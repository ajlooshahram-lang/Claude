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Denne_projektmappe" defaultThemeVersion="166925"/>
  <mc:AlternateContent xmlns:mc="http://schemas.openxmlformats.org/markup-compatibility/2006">
    <mc:Choice Requires="x15">
      <x15ac:absPath xmlns:x15ac="http://schemas.microsoft.com/office/spreadsheetml/2010/11/ac" url="https://d.docs.live.net/43b0bb3d0c4ae2db/Regneark/"/>
    </mc:Choice>
  </mc:AlternateContent>
  <xr:revisionPtr revIDLastSave="496" documentId="13_ncr:1_{0A689068-7E3D-4787-BB12-AD2BBD3D2BC6}" xr6:coauthVersionLast="47" xr6:coauthVersionMax="47" xr10:uidLastSave="{EC8042B5-3CE5-47E5-A0C8-F6AA66E24BEC}"/>
  <bookViews>
    <workbookView xWindow="-120" yWindow="-120" windowWidth="29040" windowHeight="15720" tabRatio="876" activeTab="1" xr2:uid="{00000000-000D-0000-FFFF-FFFF00000000}"/>
  </bookViews>
  <sheets>
    <sheet name="Data Input" sheetId="1" r:id="rId1"/>
    <sheet name="Ark2" sheetId="3" r:id="rId2"/>
    <sheet name="B.52.14" sheetId="4" state="hidden" r:id="rId3"/>
    <sheet name="B.52.15" sheetId="5" r:id="rId4"/>
    <sheet name="B.52.16" sheetId="6" r:id="rId5"/>
    <sheet name="B.52.18" sheetId="10" r:id="rId6"/>
    <sheet name="C.52.1" sheetId="7" state="hidden" r:id="rId7"/>
    <sheet name="C.52.2" sheetId="8" r:id="rId8"/>
    <sheet name="C.52.3" sheetId="9" state="hidden" r:id="rId9"/>
    <sheet name="E.52.1" sheetId="12" r:id="rId10"/>
    <sheet name="Cu - 70°C" sheetId="13" state="hidden" r:id="rId11"/>
    <sheet name="Armerede - Cu - 70°C" sheetId="14" state="hidden" r:id="rId12"/>
    <sheet name="Al - 70°C" sheetId="15" state="hidden" r:id="rId13"/>
    <sheet name="Cu - 90°C" sheetId="16" r:id="rId14"/>
    <sheet name="Al - 90°C" sheetId="17" state="hidden" r:id="rId15"/>
  </sheets>
  <externalReferences>
    <externalReference r:id="rId16"/>
  </externalReferences>
  <definedNames>
    <definedName name="B.52.14">'B.52.14'!$B$10:$B$27</definedName>
    <definedName name="B.52.14_PVC">'B.52.14'!$C$10:$C$27</definedName>
    <definedName name="B.52.14_XLPE">'B.52.14'!$D$10:$D$27</definedName>
    <definedName name="B.52.15" localSheetId="5">'[1]B.52.15'!$E$12:$E$26</definedName>
    <definedName name="B.52.15">'B.52.15'!$B$7:$B$21</definedName>
    <definedName name="B.52.15_PVC" localSheetId="5">'[1]B.52.15'!$F$12:$F$26</definedName>
    <definedName name="B.52.15_PVC">'B.52.15'!$C$7:$C$21</definedName>
    <definedName name="B.52.15_XLPE">'B.52.15'!$D$7:$D$21</definedName>
    <definedName name="B.52.16">'B.52.16'!$D$5:$J$5</definedName>
    <definedName name="B.52.16.0.7">'B.52.16'!$E$5:$E$7</definedName>
    <definedName name="B.52.16.05">'B.52.16'!$D$5:$D$7</definedName>
    <definedName name="B.52.16.1">'B.52.16'!$F$5:$F$7</definedName>
    <definedName name="B.52.16.1.5">'B.52.16'!$G$5:$G$7</definedName>
    <definedName name="B.52.16.2">'B.52.16'!$H$5:$H$7</definedName>
    <definedName name="B.52.16.2.5">'B.52.16'!$I$5:$I$7</definedName>
    <definedName name="B.52.16.3">'B.52.16'!$J$5:$J$7</definedName>
    <definedName name="B.52.16_D">'B.52.16'!$D$6:$J$6</definedName>
    <definedName name="B.52.16_D2">'B.52.16'!$D$7:$J$7</definedName>
    <definedName name="B.52.18">'B.52.18'!$B$7:$B$17</definedName>
    <definedName name="B.52.18_10">'B.52.18'!$G$7:$G$17</definedName>
    <definedName name="B.52.18_6">'B.52.18'!$C$7:$C$17</definedName>
    <definedName name="B.52.18_7">'B.52.18'!$D$7:$D$17</definedName>
    <definedName name="B.52.18_8">'B.52.18'!$E$7:$E$17</definedName>
    <definedName name="B.52.18_9">'B.52.18'!$F$7:$F$17</definedName>
    <definedName name="B.52.19">'[1]B.52.19'!$E$12:$E$30</definedName>
    <definedName name="B.52.4_Cu">'[1]B.52.4'!$E$14:$E$29</definedName>
    <definedName name="B.52.4_Kol.7_Cu">'[1]B.52.4'!$K$13:$K$29</definedName>
    <definedName name="C.52.1">'C.52.1'!$B$5:$B$11</definedName>
    <definedName name="C.52.1_A1">'C.52.1'!$C$5:$N$5</definedName>
    <definedName name="C.52.1_A2">'C.52.1'!$C$6:$N$6</definedName>
    <definedName name="C.52.1_B1">'C.52.1'!$C$7:$N$7</definedName>
    <definedName name="C.52.1_B2">'C.52.1'!$C$8:$N$8</definedName>
    <definedName name="C.52.1_C">'C.52.1'!$C$9:$N$9</definedName>
    <definedName name="C.52.1_E">'C.52.1'!$C$10:$N$10</definedName>
    <definedName name="C.52.1_F">'C.52.1'!$C$11:$N$11</definedName>
    <definedName name="C.52.1_Iso">'C.52.1'!$C$5:$N$11</definedName>
    <definedName name="C.52.1_Kol">'C.52.1'!$C$12:$N$12</definedName>
    <definedName name="C.52.2">'C.52.2'!$D$5:$G$5</definedName>
    <definedName name="C.52.3">'C.52.3'!$D$6:$L$6</definedName>
    <definedName name="C.52.3_1">'C.52.3'!$D$7:$L$7</definedName>
    <definedName name="C.52.3_2">'C.52.3'!$D$8:$L$8</definedName>
    <definedName name="C.52.3_3">'C.52.3'!$D$9:$L$9</definedName>
    <definedName name="C.52.3_4">'C.52.3'!$D$10:$L$10</definedName>
    <definedName name="C.52.3_5">'C.52.3'!$D$11:$L$11</definedName>
    <definedName name="Dimmensioneringstrøm">'Ark2'!$AE$41</definedName>
    <definedName name="E.52.1">'E.52.1'!$C$6:$C$9</definedName>
    <definedName name="E.52.1_1">'E.52.1'!$D$6:$D$9</definedName>
    <definedName name="E.52.1_2">'E.52.1'!$E$6:$E$9</definedName>
    <definedName name="Faktor_Ks">[1]udregninger!$D$3</definedName>
    <definedName name="Faktor_Kt">[1]udregninger!$D$2</definedName>
    <definedName name="Føringsvej">'Ark2'!$AE$37</definedName>
    <definedName name="Ingen_Afstand">'[1]B.52.19'!$F$12:$F$30</definedName>
    <definedName name="Installationsmetode">'Ark2'!$M$14</definedName>
    <definedName name="Isolering" localSheetId="5">[1]Input!$C$3</definedName>
    <definedName name="Isolering">'Ark2'!$AE$27</definedName>
    <definedName name="Iz">'Ark2'!$N$10</definedName>
    <definedName name="Iz_Kabel">'Ark2'!$L$19</definedName>
    <definedName name="Jordmodstand">'Ark2'!$AE$31</definedName>
    <definedName name="Kabel">'Ark2'!$E$19</definedName>
    <definedName name="Kabel_J">'Ark2'!$E$21</definedName>
    <definedName name="Kabel_Type">'Ark2'!$I$19</definedName>
    <definedName name="Kabel_Type_J">'Ark2'!$I$21</definedName>
    <definedName name="Kj">'Ark2'!$D$4</definedName>
    <definedName name="Kj_ohm">'Ark2'!$K$4</definedName>
    <definedName name="Kj_Opslag">'Ark2'!$G$4</definedName>
    <definedName name="Kn">'Ark2'!$D$7</definedName>
    <definedName name="Kn_Opslag">'Ark2'!$G$7</definedName>
    <definedName name="Ks">'Ark2'!$D$6</definedName>
    <definedName name="Ks_Opslag">'Ark2'!$G$6</definedName>
    <definedName name="Kt">'Ark2'!$D$5</definedName>
    <definedName name="Kt_Opslag">'Ark2'!$G$5</definedName>
    <definedName name="Kt_temp">'Ark2'!$K$5</definedName>
    <definedName name="Materiale">'Ark2'!$AE$29</definedName>
    <definedName name="Np">'Ark2'!$D$19</definedName>
    <definedName name="Omgivelsestemperatur" localSheetId="5">[1]Input!$C$7</definedName>
    <definedName name="Omgivelsestemperatur">'Ark2'!$AE$33</definedName>
    <definedName name="Oplæg.metode_opslag">'Ark2'!$M$15</definedName>
    <definedName name="Oplægningsmetode" localSheetId="5">[1]Input!$C$2</definedName>
    <definedName name="Oplægningsmetode">'Ark2'!$AE$25</definedName>
    <definedName name="Parallelekabler" localSheetId="5">[1]Input!$C$9</definedName>
    <definedName name="Parallelekabler">'Ark2'!$AE$43</definedName>
    <definedName name="Referenceinstallationsmetode">[1]udregninger!$D$1</definedName>
    <definedName name="S">'Ark2'!$F$19</definedName>
    <definedName name="S_J">'Ark2'!$F$21</definedName>
    <definedName name="S_Opslag">'Ark2'!$M$16</definedName>
    <definedName name="Samletfremføring">'Ark2'!$AE$35</definedName>
    <definedName name="THDi">'Ark2'!$AE$39</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1" i="3" l="1"/>
  <c r="L11" i="3"/>
  <c r="K11" i="3"/>
  <c r="J11" i="3"/>
  <c r="I11" i="3"/>
  <c r="C10" i="3"/>
  <c r="C19" i="3"/>
  <c r="J9" i="3"/>
  <c r="J10" i="3"/>
  <c r="M10" i="3"/>
  <c r="H10" i="3"/>
</calcChain>
</file>

<file path=xl/sharedStrings.xml><?xml version="1.0" encoding="utf-8"?>
<sst xmlns="http://schemas.openxmlformats.org/spreadsheetml/2006/main" count="684" uniqueCount="281">
  <si>
    <t>Oplægningsmetode</t>
  </si>
  <si>
    <t>Samletfremføring antal kabler</t>
  </si>
  <si>
    <t>A1</t>
  </si>
  <si>
    <t>A2</t>
  </si>
  <si>
    <t>B1</t>
  </si>
  <si>
    <t>B2</t>
  </si>
  <si>
    <t>C</t>
  </si>
  <si>
    <t>D</t>
  </si>
  <si>
    <t>D2</t>
  </si>
  <si>
    <t>E</t>
  </si>
  <si>
    <t>F</t>
  </si>
  <si>
    <t>G</t>
  </si>
  <si>
    <t>PVC_2</t>
  </si>
  <si>
    <t>PVC_3</t>
  </si>
  <si>
    <t>XLPE_2</t>
  </si>
  <si>
    <t>XLPE_3</t>
  </si>
  <si>
    <t>Cu</t>
  </si>
  <si>
    <t>Al</t>
  </si>
  <si>
    <t>Ikke relevant</t>
  </si>
  <si>
    <t>Tabel B.52.14 – Korrektionsfaktorer for andre omgivende lufttemperaturer end 30 °C for strømværdier for kabler i luft</t>
  </si>
  <si>
    <r>
      <t>Omgivelses- temperatur</t>
    </r>
    <r>
      <rPr>
        <vertAlign val="superscript"/>
        <sz val="9"/>
        <color rgb="FF000000"/>
        <rFont val="Times New Roman"/>
        <family val="1"/>
      </rPr>
      <t xml:space="preserve"> a</t>
    </r>
    <r>
      <rPr>
        <vertAlign val="superscript"/>
        <sz val="11"/>
        <color rgb="FF000000"/>
        <rFont val="Calibri"/>
        <family val="2"/>
        <scheme val="minor"/>
      </rPr>
      <t xml:space="preserve"> </t>
    </r>
    <r>
      <rPr>
        <sz val="9"/>
        <color rgb="FF000000"/>
        <rFont val="Times New Roman"/>
        <family val="1"/>
      </rPr>
      <t>°C</t>
    </r>
  </si>
  <si>
    <t>Isolering</t>
  </si>
  <si>
    <t>PVC</t>
  </si>
  <si>
    <t>XLPE og EPR</t>
  </si>
  <si>
    <r>
      <t>Mineral</t>
    </r>
    <r>
      <rPr>
        <vertAlign val="superscript"/>
        <sz val="9"/>
        <color rgb="FF000000"/>
        <rFont val="Times New Roman"/>
        <family val="1"/>
      </rPr>
      <t xml:space="preserve"> a</t>
    </r>
  </si>
  <si>
    <t>PVC-overtræk eller blottet og berøringstilgængelig 70 °C</t>
  </si>
  <si>
    <t>Blottet og ikke berøringstilgængelig 105 °C</t>
  </si>
  <si>
    <t>–</t>
  </si>
  <si>
    <r>
      <t>a</t>
    </r>
    <r>
      <rPr>
        <sz val="9"/>
        <color rgb="FF000000"/>
        <rFont val="Times New Roman"/>
        <family val="1"/>
      </rPr>
      <t xml:space="preserve"> Kontakt producenten for højere omgivelsestemperaturer.</t>
    </r>
  </si>
  <si>
    <t>Jordtemperatur °C</t>
  </si>
  <si>
    <t>Kt</t>
  </si>
  <si>
    <t>Tabel B.52.15 – Korrektionsfaktorer for andre omgivende jordtemperaturer end 20 °C for strømværdier for kabler i lukkede kanaler i jord</t>
  </si>
  <si>
    <t>Tabel B.52.16 – Korrektionsfaktorer for kabler nedgravet direkte i jord eller i nedgravede lukkede kanaler, for termisk modstand i jord forskellig fra 2,5 K · m/W, der skal anvendes for strømværdier for referenceinstallationsmetode D</t>
  </si>
  <si>
    <t>Termisk modstand, K · m/W</t>
  </si>
  <si>
    <t>Korrektionsfaktor for kabler i nedgravede lukkede kanaler</t>
  </si>
  <si>
    <t>Korrektionsfaktor for direkte nedgravede kabler</t>
  </si>
  <si>
    <t>NOTE 1 – De angivne korrektionsfaktorer er middelværdier for et område af ledertværsnit og installationstyper indeholdt i tabel B.52.2 til B.52.5. Nøjagtigheden af korrektionsfaktorerne er inden for ±5 %.</t>
  </si>
  <si>
    <t>NOTE 2 – Korrektionsfaktorerne kan anvendes på kabler, der er trukket i nedgravede lukkede kanaler. For kabler nedgravet direkte i jord vil korrektionsfaktorerne for termisk modstand mindre end 2,5 K · m/W være højere. Hvis der kræves mere præcise værdier, kan de beregnes ved hjælp af de metoder, der er angivet i IEC 60287-serien.</t>
  </si>
  <si>
    <t>NOTE 3 – Korrektionsfaktorerne kan anvendes på lukkede kanaler nedgravet i en dybde på indtil 0,8 m.</t>
  </si>
  <si>
    <t>NOTE 4 – Det antages, at jordens egenskaber er ensartede. Der er ikke taget højde for fugtmigrering, som kan føre til et område med høj termisk modstand rundt om kablet. Hvis delvis udtørring af jorden kan forudses, skal den tilladte strømværdi findes ud fra de metoder, der er specificeret i IEC 60287-serien.</t>
  </si>
  <si>
    <t>Reference- installationsmetode i  tabel B.52.1</t>
  </si>
  <si>
    <t>Antal belastede ledere og isoleringstype</t>
  </si>
  <si>
    <r>
      <t>Tværsnit (mm</t>
    </r>
    <r>
      <rPr>
        <vertAlign val="superscript"/>
        <sz val="9"/>
        <color rgb="FF000000"/>
        <rFont val="Times New Roman"/>
        <family val="1"/>
      </rPr>
      <t>2</t>
    </r>
    <r>
      <rPr>
        <sz val="9"/>
        <color rgb="FF000000"/>
        <rFont val="Times New Roman"/>
        <family val="1"/>
      </rPr>
      <t>) Kobber</t>
    </r>
  </si>
  <si>
    <t>Aluminium</t>
  </si>
  <si>
    <t>NOTE – Den relevante tabel for strømværdi i anneks B bør anvendes til at fastsætte de ledertværsnit, som ovenstående strømværdier gælder for, for hver installationsmetode.</t>
  </si>
  <si>
    <t>Tabel C.52.1 – Strømværdi i ampere</t>
  </si>
  <si>
    <t>Installations- metode</t>
  </si>
  <si>
    <r>
      <t>Tværsnit mm</t>
    </r>
    <r>
      <rPr>
        <vertAlign val="superscript"/>
        <sz val="9"/>
        <color rgb="FF000000"/>
        <rFont val="Times New Roman"/>
        <family val="1"/>
      </rPr>
      <t>2</t>
    </r>
  </si>
  <si>
    <t>D1/D2</t>
  </si>
  <si>
    <t xml:space="preserve">Kobber </t>
  </si>
  <si>
    <t>Tabel C.52.2 – Strømværdier i ampere</t>
  </si>
  <si>
    <t>Nummer</t>
  </si>
  <si>
    <t>Fremføring</t>
  </si>
  <si>
    <t>Antal strømkredse eller flerlederkabler</t>
  </si>
  <si>
    <t>Bundtet i luft, på en overflade, indfældet eller indkapslet</t>
  </si>
  <si>
    <t>Enkelt lag på væg, på gulve eller på uperforerede kabelbakker</t>
  </si>
  <si>
    <t xml:space="preserve">Enkelt lag fastgjort direkte under et loft </t>
  </si>
  <si>
    <t>Enkelt lag på perforerede vandrette eller lodrette kabelbakker</t>
  </si>
  <si>
    <t>Enkelt lag på kabelstige eller på bæringer eller holdere osv.</t>
  </si>
  <si>
    <t>Tabel C.52.3 DK5) – Reduktionsfaktorer for samlet fremføring af flere strømkredse eller flere flerlederkabler (til anvendelse sammen med strømværdierne i tabel C.52.1)</t>
  </si>
  <si>
    <t>Kj</t>
  </si>
  <si>
    <t>0.5</t>
  </si>
  <si>
    <t>0.7</t>
  </si>
  <si>
    <t>1.5</t>
  </si>
  <si>
    <t>2.5</t>
  </si>
  <si>
    <t>1: Bundtet i luft, på en overflade, indfældet eller indkapslet</t>
  </si>
  <si>
    <t>2: Enkelt lag på væg, på gulve eller på uperforerede kabelbakker</t>
  </si>
  <si>
    <t>4: Enkelt lag på perforerede vandrette eller lodrette kabelbakker</t>
  </si>
  <si>
    <t>5: Enkelt lag på kabelstige eller på bæringer eller holdere osv.</t>
  </si>
  <si>
    <t>Antal parallele kabler</t>
  </si>
  <si>
    <t>Ks</t>
  </si>
  <si>
    <r>
      <t xml:space="preserve">Isolering  og antal belastet leder </t>
    </r>
    <r>
      <rPr>
        <sz val="12"/>
        <rFont val="Garamond"/>
        <family val="1"/>
      </rPr>
      <t>(PVC = 70 °C, XLPE = 90 °C)</t>
    </r>
  </si>
  <si>
    <r>
      <t xml:space="preserve">Matriale </t>
    </r>
    <r>
      <rPr>
        <sz val="12"/>
        <rFont val="Garamond"/>
        <family val="1"/>
      </rPr>
      <t>(kobber eller Aluminium)</t>
    </r>
  </si>
  <si>
    <r>
      <t xml:space="preserve">Termisk modstand i jord  </t>
    </r>
    <r>
      <rPr>
        <sz val="12"/>
        <rFont val="Garamond"/>
        <family val="1"/>
      </rPr>
      <t>[K · m/W]</t>
    </r>
  </si>
  <si>
    <r>
      <t xml:space="preserve">Omgivelsestemperatur </t>
    </r>
    <r>
      <rPr>
        <sz val="12"/>
        <rFont val="Garamond"/>
        <family val="1"/>
      </rPr>
      <t>[°C]</t>
    </r>
  </si>
  <si>
    <r>
      <t xml:space="preserve">Føringsvej </t>
    </r>
    <r>
      <rPr>
        <sz val="12"/>
        <rFont val="Garamond"/>
        <family val="1"/>
      </rPr>
      <t>(se beskrivelserne i C.52.3)</t>
    </r>
    <r>
      <rPr>
        <b/>
        <sz val="12"/>
        <rFont val="Garamond"/>
        <family val="1"/>
      </rPr>
      <t xml:space="preserve"> </t>
    </r>
  </si>
  <si>
    <r>
      <t xml:space="preserve">Dimmensioneringsstrøm </t>
    </r>
    <r>
      <rPr>
        <sz val="12"/>
        <rFont val="Garamond"/>
        <family val="1"/>
      </rPr>
      <t>(In eller Ib) [A]</t>
    </r>
  </si>
  <si>
    <t>3: Enkelt lag fastgjort direkte under et loft</t>
  </si>
  <si>
    <t>S</t>
  </si>
  <si>
    <t>Installationsmetode</t>
  </si>
  <si>
    <t>Kn</t>
  </si>
  <si>
    <t>np</t>
  </si>
  <si>
    <t>In</t>
  </si>
  <si>
    <t>Tværesnit er fundet i</t>
  </si>
  <si>
    <t>Dimensionering</t>
  </si>
  <si>
    <t>=</t>
  </si>
  <si>
    <t>Kj ·</t>
  </si>
  <si>
    <t>Kt ·</t>
  </si>
  <si>
    <t>Ks ·</t>
  </si>
  <si>
    <t>NOTE 3 – Hvis en strømkreds består af m parallelle ledere pr. fase, bør denne kreds betragtes som m kredse, når reduktionsfaktoren skal fastsættes.</t>
  </si>
  <si>
    <t>NOTE 2 – Hvis den termiske modstand er lavere end 2,5 K · m/W, kan korrektionsfaktorerne generelt forøges og beregnes ved hjælp af de metoder, der er angivet i IEC 60287-2-1.</t>
  </si>
  <si>
    <t>NOTE 1 – De angivne værdier gælder for en installationsdybde på 0,7 m og en termisk jordmodstand på 2,5 K · m/W. De er middelværdier for et område af ledertværsnit og installationsmetoder indeholdt i tabel B.52.2 til B.52.5 De afrundede middelværdier kan i visse tilfælde resultere i fejl på indtil ±10 %. (Hvis der kræves mere præcise værdier, kan de beregnes ved hjælp af de metoder, der er angivet i IEC 60287-2-1.)</t>
  </si>
  <si>
    <r>
      <t>a</t>
    </r>
    <r>
      <rPr>
        <sz val="9"/>
        <color rgb="FF000000"/>
        <rFont val="Times New Roman"/>
        <family val="1"/>
      </rPr>
      <t xml:space="preserve"> Enlederkabler</t>
    </r>
  </si>
  <si>
    <r>
      <t>a</t>
    </r>
    <r>
      <rPr>
        <sz val="9"/>
        <color rgb="FF000000"/>
        <rFont val="Times New Roman"/>
        <family val="1"/>
      </rPr>
      <t xml:space="preserve"> Flerlederkabler</t>
    </r>
  </si>
  <si>
    <t>0,5 m</t>
  </si>
  <si>
    <t>0,25 m</t>
  </si>
  <si>
    <t>0,125 m</t>
  </si>
  <si>
    <t>En kabel- diameter</t>
  </si>
  <si>
    <t>Ingen (kabler berørende)</t>
  </si>
  <si>
    <r>
      <t>Afstand mellem kabler</t>
    </r>
    <r>
      <rPr>
        <vertAlign val="superscript"/>
        <sz val="9"/>
        <color rgb="FF000000"/>
        <rFont val="Times New Roman"/>
        <family val="1"/>
      </rPr>
      <t xml:space="preserve"> a</t>
    </r>
  </si>
  <si>
    <t>Antal strømkredse</t>
  </si>
  <si>
    <t>Tabel B.52.18 – Reduktionsfaktorer for mere end en strømkreds, kabler lagt direkte i jord – Installationsmetode D2 i tabel B.52.2 til B.52.5 – Enleder- eller flerlederkabler</t>
  </si>
  <si>
    <t>7 : Kabler direkte i jord, med inbyrdes afstand på en kabel diameter</t>
  </si>
  <si>
    <t>6 : Kabler direkte i jord berørende</t>
  </si>
  <si>
    <t>8 : Kabler direkte i jord, med inbyrdes afstand på 0,125m</t>
  </si>
  <si>
    <t>10 : Kabler direkte i jord, med inbyrdes afstand på 0,5m</t>
  </si>
  <si>
    <t>9 : Kabler direkte i jord, med inbyrdes afstand på 0,25m</t>
  </si>
  <si>
    <t>0 - 45%</t>
  </si>
  <si>
    <t>45 - 100%</t>
  </si>
  <si>
    <t>100 - 135%</t>
  </si>
  <si>
    <t>&gt;  135%</t>
  </si>
  <si>
    <r>
      <rPr>
        <sz val="14"/>
        <color theme="1"/>
        <rFont val="Calibri"/>
        <family val="2"/>
        <scheme val="minor"/>
      </rPr>
      <t>I</t>
    </r>
    <r>
      <rPr>
        <sz val="8"/>
        <color theme="1"/>
        <rFont val="Calibri"/>
        <family val="2"/>
        <scheme val="minor"/>
      </rPr>
      <t>z,min</t>
    </r>
  </si>
  <si>
    <t>Reduktionsfaktor</t>
  </si>
  <si>
    <t>Valg af tværsnit baseret på fasestrøm</t>
  </si>
  <si>
    <t>Valg af tværsnit baseret på nulstrøm</t>
  </si>
  <si>
    <t>0 - 15</t>
  </si>
  <si>
    <t>&gt; 45</t>
  </si>
  <si>
    <t>33 - 45</t>
  </si>
  <si>
    <t>15 - 33</t>
  </si>
  <si>
    <t>Fasestrømmens indhold af tredje harmoniske  %</t>
  </si>
  <si>
    <t>Tabel E.52.1 – Reduktionsfaktorer for harmoniske strømme i fire- og femlederkabler</t>
  </si>
  <si>
    <r>
      <rPr>
        <b/>
        <sz val="12"/>
        <color theme="1"/>
        <rFont val="Garamond"/>
        <family val="1"/>
      </rPr>
      <t>De tredje harmoniske strømme summeret i nullederen</t>
    </r>
    <r>
      <rPr>
        <sz val="12"/>
        <color theme="1"/>
        <rFont val="Garamond"/>
        <family val="1"/>
      </rPr>
      <t xml:space="preserve"> (se E.52.1) [%]</t>
    </r>
  </si>
  <si>
    <t>&gt; 135%</t>
  </si>
  <si>
    <t>Ikke opgivet</t>
  </si>
  <si>
    <t>Reference til installationsmetode</t>
  </si>
  <si>
    <t>3G</t>
  </si>
  <si>
    <r>
      <rPr>
        <b/>
        <sz val="11"/>
        <color theme="1"/>
        <rFont val="Calibri"/>
        <family val="2"/>
        <scheme val="minor"/>
      </rPr>
      <t>W3.17 - W3.18</t>
    </r>
    <r>
      <rPr>
        <sz val="11"/>
        <color theme="1"/>
        <rFont val="Calibri"/>
        <family val="2"/>
        <scheme val="minor"/>
      </rPr>
      <t xml:space="preserve"> - Kablerne er samlet fremført bundtet i kabelkanal på hele deres strækning.</t>
    </r>
  </si>
  <si>
    <t xml:space="preserve">NKT </t>
  </si>
  <si>
    <t>70˚C/CU</t>
  </si>
  <si>
    <t>NOIKSLX-M-CU</t>
  </si>
  <si>
    <t>NOIKX 70</t>
  </si>
  <si>
    <t>NOIKSX-CU</t>
  </si>
  <si>
    <t>NOIKSLX-CU</t>
  </si>
  <si>
    <t>NOIKX-Flex 70</t>
  </si>
  <si>
    <t>NOSP-CU</t>
  </si>
  <si>
    <t>5G2,5</t>
  </si>
  <si>
    <t>3X6+6</t>
  </si>
  <si>
    <t>4X6</t>
  </si>
  <si>
    <t>4G6</t>
  </si>
  <si>
    <t>5G6</t>
  </si>
  <si>
    <t>1X10+10</t>
  </si>
  <si>
    <t>3X10+10</t>
  </si>
  <si>
    <t>4X10</t>
  </si>
  <si>
    <t>5G10</t>
  </si>
  <si>
    <t>3X16+16</t>
  </si>
  <si>
    <t>4X16</t>
  </si>
  <si>
    <t>4G16</t>
  </si>
  <si>
    <t>5G16</t>
  </si>
  <si>
    <t>3X25+25</t>
  </si>
  <si>
    <t>4X25</t>
  </si>
  <si>
    <t xml:space="preserve"> </t>
  </si>
  <si>
    <t>4G25</t>
  </si>
  <si>
    <t>5G25</t>
  </si>
  <si>
    <t>4X35</t>
  </si>
  <si>
    <t>4G35</t>
  </si>
  <si>
    <t>5G35</t>
  </si>
  <si>
    <t>1G50</t>
  </si>
  <si>
    <t>3X50+25</t>
  </si>
  <si>
    <t>4X50</t>
  </si>
  <si>
    <t>1G70</t>
  </si>
  <si>
    <t>3X70+35</t>
  </si>
  <si>
    <t>4X70+35</t>
  </si>
  <si>
    <t>4X70</t>
  </si>
  <si>
    <t>1X95</t>
  </si>
  <si>
    <t>1G95</t>
  </si>
  <si>
    <t>3X95+50</t>
  </si>
  <si>
    <t>4X95+50</t>
  </si>
  <si>
    <t>4X95</t>
  </si>
  <si>
    <t>1X120</t>
  </si>
  <si>
    <t>1G120</t>
  </si>
  <si>
    <t>4X120+70</t>
  </si>
  <si>
    <t>4X120</t>
  </si>
  <si>
    <t>1X150</t>
  </si>
  <si>
    <t>1G150</t>
  </si>
  <si>
    <t>3X150+70</t>
  </si>
  <si>
    <t>4X150</t>
  </si>
  <si>
    <t>1X185</t>
  </si>
  <si>
    <t>4X185+95</t>
  </si>
  <si>
    <t>1X240</t>
  </si>
  <si>
    <t>1G240</t>
  </si>
  <si>
    <t>3X240+120</t>
  </si>
  <si>
    <t>Installationskabler CU 70°C</t>
  </si>
  <si>
    <t>NKT</t>
  </si>
  <si>
    <t>NOAKLX</t>
  </si>
  <si>
    <t>NOAKX</t>
  </si>
  <si>
    <t>NOSKX 70</t>
  </si>
  <si>
    <t>PVT</t>
  </si>
  <si>
    <t>3G1,5</t>
  </si>
  <si>
    <t>4G1,5</t>
  </si>
  <si>
    <t>5G1,5</t>
  </si>
  <si>
    <t>7X1,5</t>
  </si>
  <si>
    <t>7G1,5</t>
  </si>
  <si>
    <t>10G1,5</t>
  </si>
  <si>
    <t>14G1,5</t>
  </si>
  <si>
    <t>19G1,5</t>
  </si>
  <si>
    <t>1G2,5</t>
  </si>
  <si>
    <t>1X2,5</t>
  </si>
  <si>
    <t>3G2,5</t>
  </si>
  <si>
    <t>7G2,5</t>
  </si>
  <si>
    <t>5G4</t>
  </si>
  <si>
    <t>1X6</t>
  </si>
  <si>
    <t>1X10</t>
  </si>
  <si>
    <t>4G10</t>
  </si>
  <si>
    <t>1X16</t>
  </si>
  <si>
    <t>1X35</t>
  </si>
  <si>
    <t>Armerede og skærmede kabler - Cu - 70°C</t>
  </si>
  <si>
    <t>70˚C/AL</t>
  </si>
  <si>
    <t>NOIKSX-M-AL</t>
  </si>
  <si>
    <t>NOIK-AL-M 70</t>
  </si>
  <si>
    <t>NOIK-AL-S 70</t>
  </si>
  <si>
    <t>NOSP-AL</t>
  </si>
  <si>
    <t>NOIK-AL 70</t>
  </si>
  <si>
    <t>4X185</t>
  </si>
  <si>
    <t>4X240</t>
  </si>
  <si>
    <t>3X50+35</t>
  </si>
  <si>
    <t>3X70+25</t>
  </si>
  <si>
    <t>4X95+35</t>
  </si>
  <si>
    <t>3X120+50</t>
  </si>
  <si>
    <t>4X150+50</t>
  </si>
  <si>
    <t>3X185+70</t>
  </si>
  <si>
    <t>3X240+95</t>
  </si>
  <si>
    <t>4X240+70</t>
  </si>
  <si>
    <t>4X300</t>
  </si>
  <si>
    <t>Forsynings- og Halogenfri installationskabler Aluminium 70˚C</t>
  </si>
  <si>
    <t>90˚C/CU</t>
  </si>
  <si>
    <t>NOIKX 90</t>
  </si>
  <si>
    <t>NOIKX FLEX 90</t>
  </si>
  <si>
    <t>PVT 90</t>
  </si>
  <si>
    <t>NOSKLX medico 90</t>
  </si>
  <si>
    <t>1X1,5</t>
  </si>
  <si>
    <t>x</t>
  </si>
  <si>
    <t>4G2,5</t>
  </si>
  <si>
    <t>4X4</t>
  </si>
  <si>
    <t>4G4</t>
  </si>
  <si>
    <t>1G6</t>
  </si>
  <si>
    <t>1G10</t>
  </si>
  <si>
    <t>3X10</t>
  </si>
  <si>
    <t>1G16</t>
  </si>
  <si>
    <t>1X25</t>
  </si>
  <si>
    <t>1G25</t>
  </si>
  <si>
    <t>1G35</t>
  </si>
  <si>
    <t>1X50</t>
  </si>
  <si>
    <t>1X300</t>
  </si>
  <si>
    <t>90˚C/AL</t>
  </si>
  <si>
    <t>NOIK-AL-M 90</t>
  </si>
  <si>
    <t>PEX-M-AL</t>
  </si>
  <si>
    <t>NOIK-AL-S</t>
  </si>
  <si>
    <t>NOIK-AL 90</t>
  </si>
  <si>
    <t>5X16</t>
  </si>
  <si>
    <t>90˚C kobber kabler</t>
  </si>
  <si>
    <t xml:space="preserve">90˚C aluminiumskabler </t>
  </si>
  <si>
    <r>
      <t xml:space="preserve">Installationsmetode nr. i hht. </t>
    </r>
    <r>
      <rPr>
        <sz val="18"/>
        <color theme="0"/>
        <rFont val="Calibri"/>
        <family val="2"/>
        <scheme val="minor"/>
      </rPr>
      <t>(A.52.3)</t>
    </r>
  </si>
  <si>
    <r>
      <t xml:space="preserve">Isolering  og antal belastet leder </t>
    </r>
    <r>
      <rPr>
        <sz val="18"/>
        <color theme="0"/>
        <rFont val="Calibri"/>
        <family val="2"/>
        <scheme val="minor"/>
      </rPr>
      <t>(PVC = 70 °C, XLPE = 90 °C)</t>
    </r>
  </si>
  <si>
    <r>
      <t xml:space="preserve">Matriale </t>
    </r>
    <r>
      <rPr>
        <sz val="18"/>
        <color theme="0"/>
        <rFont val="Calibri"/>
        <family val="2"/>
        <scheme val="minor"/>
      </rPr>
      <t>(kobber eller Aluminium)</t>
    </r>
  </si>
  <si>
    <r>
      <t xml:space="preserve">Termisk modstand i jord  </t>
    </r>
    <r>
      <rPr>
        <sz val="18"/>
        <color theme="0"/>
        <rFont val="Calibri"/>
        <family val="2"/>
        <scheme val="minor"/>
      </rPr>
      <t>[K · m/W]</t>
    </r>
  </si>
  <si>
    <r>
      <t xml:space="preserve">Omgivelsestemperatur </t>
    </r>
    <r>
      <rPr>
        <sz val="18"/>
        <color theme="0"/>
        <rFont val="Calibri"/>
        <family val="2"/>
        <scheme val="minor"/>
      </rPr>
      <t>[°C]</t>
    </r>
  </si>
  <si>
    <r>
      <t xml:space="preserve">Føringsvej </t>
    </r>
    <r>
      <rPr>
        <sz val="18"/>
        <color theme="0"/>
        <rFont val="Calibri"/>
        <family val="2"/>
        <scheme val="minor"/>
      </rPr>
      <t>(se beskrivelserne i C.52.3 og i B.52.18)</t>
    </r>
    <r>
      <rPr>
        <b/>
        <sz val="18"/>
        <color theme="0"/>
        <rFont val="Calibri"/>
        <family val="2"/>
        <scheme val="minor"/>
      </rPr>
      <t xml:space="preserve"> </t>
    </r>
  </si>
  <si>
    <r>
      <t xml:space="preserve">De tredje harmoniske strømme summeret i nullen </t>
    </r>
    <r>
      <rPr>
        <sz val="18"/>
        <color theme="0"/>
        <rFont val="Calibri"/>
        <family val="2"/>
        <scheme val="minor"/>
      </rPr>
      <t>(se E.52.1)</t>
    </r>
    <r>
      <rPr>
        <b/>
        <sz val="18"/>
        <color theme="0"/>
        <rFont val="Calibri"/>
        <family val="2"/>
        <scheme val="minor"/>
      </rPr>
      <t xml:space="preserve"> </t>
    </r>
    <r>
      <rPr>
        <sz val="18"/>
        <color theme="0"/>
        <rFont val="Calibri"/>
        <family val="2"/>
        <scheme val="minor"/>
      </rPr>
      <t>[%]</t>
    </r>
  </si>
  <si>
    <r>
      <t xml:space="preserve">Dimmensioneringsstrøm </t>
    </r>
    <r>
      <rPr>
        <sz val="18"/>
        <color theme="0"/>
        <rFont val="Calibri"/>
        <family val="2"/>
        <scheme val="minor"/>
      </rPr>
      <t>(In eller Ib) [A]</t>
    </r>
  </si>
  <si>
    <t>Valg af Kabel</t>
  </si>
  <si>
    <t>3X</t>
  </si>
  <si>
    <t>4X</t>
  </si>
  <si>
    <t>4G</t>
  </si>
  <si>
    <t>5G</t>
  </si>
  <si>
    <t>S_PE</t>
  </si>
  <si>
    <t>NOIKLX 90</t>
  </si>
  <si>
    <t>3G4</t>
  </si>
  <si>
    <t>3G6</t>
  </si>
  <si>
    <t>20 [°C]</t>
  </si>
  <si>
    <t>E.52.1 / 45 - 100%</t>
  </si>
  <si>
    <t>A.52.3/72</t>
  </si>
  <si>
    <t>B.52.15</t>
  </si>
  <si>
    <t>B.52.16</t>
  </si>
  <si>
    <t>2,5 [K · m/W]</t>
  </si>
  <si>
    <t>B.52.18 - 4 Kabler</t>
  </si>
  <si>
    <t>C.52.2/XLPE_3</t>
  </si>
  <si>
    <t>211 [A]</t>
  </si>
  <si>
    <t>193,8 A</t>
  </si>
  <si>
    <t>C.52.2/D2</t>
  </si>
  <si>
    <t>95 mm2</t>
  </si>
  <si>
    <t xml:space="preserve"> mm2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</si>
</sst>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0.0"/>
  </numFmts>
  <fonts count="31" x14ac:knownFonts="1">
    <font>
      <sz val="11"/>
      <color theme="1"/>
      <name val="Calibri"/>
      <family val="2"/>
      <scheme val="minor"/>
    </font>
    <font>
      <sz val="36"/>
      <color theme="1"/>
      <name val="Calibri"/>
      <family val="2"/>
      <scheme val="minor"/>
    </font>
    <font>
      <b/>
      <sz val="14"/>
      <color rgb="FF000000"/>
      <name val="Times New Roman"/>
      <family val="1"/>
    </font>
    <font>
      <sz val="9"/>
      <color rgb="FF000000"/>
      <name val="Times New Roman"/>
      <family val="1"/>
    </font>
    <font>
      <vertAlign val="superscript"/>
      <sz val="9"/>
      <color rgb="FF000000"/>
      <name val="Times New Roman"/>
      <family val="1"/>
    </font>
    <font>
      <vertAlign val="superscript"/>
      <sz val="11"/>
      <color rgb="FF000000"/>
      <name val="Calibri"/>
      <family val="2"/>
      <scheme val="minor"/>
    </font>
    <font>
      <b/>
      <sz val="14"/>
      <color rgb="FF000000"/>
      <name val="Calibri"/>
      <family val="2"/>
      <scheme val="minor"/>
    </font>
    <font>
      <b/>
      <sz val="14"/>
      <color theme="1"/>
      <name val="Calibri"/>
      <family val="2"/>
      <scheme val="minor"/>
    </font>
    <font>
      <sz val="11"/>
      <color rgb="FF000000"/>
      <name val="Calibri"/>
      <family val="2"/>
      <scheme val="minor"/>
    </font>
    <font>
      <sz val="10"/>
      <color rgb="FF000000"/>
      <name val="Times New Roman"/>
      <family val="1"/>
    </font>
    <font>
      <sz val="9"/>
      <color theme="1"/>
      <name val="Times New Roman"/>
      <family val="1"/>
    </font>
    <font>
      <b/>
      <sz val="14"/>
      <color theme="1"/>
      <name val="Times New Roman"/>
      <family val="1"/>
    </font>
    <font>
      <b/>
      <sz val="14"/>
      <color theme="1"/>
      <name val="Garamond"/>
      <family val="1"/>
    </font>
    <font>
      <sz val="14"/>
      <color theme="1"/>
      <name val="Garamond"/>
      <family val="1"/>
    </font>
    <font>
      <sz val="72"/>
      <color theme="0"/>
      <name val="Arial"/>
      <family val="2"/>
    </font>
    <font>
      <b/>
      <sz val="12"/>
      <name val="Garamond"/>
      <family val="1"/>
    </font>
    <font>
      <sz val="12"/>
      <name val="Calibri"/>
      <family val="2"/>
      <scheme val="minor"/>
    </font>
    <font>
      <sz val="12"/>
      <name val="Garamond"/>
      <family val="1"/>
    </font>
    <font>
      <b/>
      <sz val="11"/>
      <color theme="1"/>
      <name val="Calibri"/>
      <family val="2"/>
      <scheme val="minor"/>
    </font>
    <font>
      <sz val="8"/>
      <color theme="1"/>
      <name val="Calibri"/>
      <family val="2"/>
      <scheme val="minor"/>
    </font>
    <font>
      <sz val="14"/>
      <color theme="1"/>
      <name val="Calibri"/>
      <family val="2"/>
      <scheme val="minor"/>
    </font>
    <font>
      <sz val="9"/>
      <color rgb="FFFF0000"/>
      <name val="Times New Roman"/>
      <family val="1"/>
    </font>
    <font>
      <sz val="12"/>
      <color theme="1"/>
      <name val="Garamond"/>
      <family val="1"/>
    </font>
    <font>
      <b/>
      <sz val="12"/>
      <color theme="1"/>
      <name val="Garamond"/>
      <family val="1"/>
    </font>
    <font>
      <b/>
      <sz val="11"/>
      <name val="Calibri"/>
      <family val="2"/>
      <scheme val="minor"/>
    </font>
    <font>
      <sz val="10"/>
      <color theme="1"/>
      <name val="Times New Roman"/>
      <family val="1"/>
    </font>
    <font>
      <sz val="12"/>
      <color theme="1"/>
      <name val="Times New Roman"/>
      <family val="1"/>
    </font>
    <font>
      <b/>
      <sz val="12"/>
      <color theme="1"/>
      <name val="Times New Roman"/>
      <family val="1"/>
    </font>
    <font>
      <b/>
      <sz val="16"/>
      <color theme="1"/>
      <name val="Calibri"/>
      <family val="2"/>
      <scheme val="minor"/>
    </font>
    <font>
      <sz val="18"/>
      <color theme="0"/>
      <name val="Calibri"/>
      <family val="2"/>
      <scheme val="minor"/>
    </font>
    <font>
      <b/>
      <sz val="1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rgb="FFFFFFCC"/>
        <bgColor indexed="64"/>
      </patternFill>
    </fill>
    <fill>
      <patternFill patternType="solid">
        <fgColor indexed="9"/>
        <bgColor indexed="64"/>
      </patternFill>
    </fill>
    <fill>
      <patternFill patternType="solid">
        <fgColor indexed="13"/>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bottom/>
      <diagonal/>
    </border>
    <border>
      <left/>
      <right style="medium">
        <color rgb="FF000000"/>
      </right>
      <top/>
      <bottom style="medium">
        <color rgb="FF000000"/>
      </bottom>
      <diagonal/>
    </border>
    <border>
      <left/>
      <right/>
      <top style="medium">
        <color rgb="FF000000"/>
      </top>
      <bottom/>
      <diagonal/>
    </border>
    <border>
      <left style="medium">
        <color rgb="FF000000"/>
      </left>
      <right/>
      <top/>
      <bottom style="medium">
        <color rgb="FF000000"/>
      </bottom>
      <diagonal/>
    </border>
    <border>
      <left style="medium">
        <color rgb="FF000000"/>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indexed="64"/>
      </bottom>
      <diagonal/>
    </border>
    <border>
      <left style="medium">
        <color rgb="FF000000"/>
      </left>
      <right style="medium">
        <color rgb="FF000000"/>
      </right>
      <top style="thin">
        <color indexed="64"/>
      </top>
      <bottom style="thin">
        <color indexed="64"/>
      </bottom>
      <diagonal/>
    </border>
    <border>
      <left/>
      <right style="medium">
        <color rgb="FF000000"/>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indexed="64"/>
      </right>
      <top/>
      <bottom style="medium">
        <color rgb="FF00000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theme="1"/>
      </bottom>
      <diagonal/>
    </border>
    <border>
      <left/>
      <right style="medium">
        <color rgb="FF000000"/>
      </right>
      <top style="medium">
        <color rgb="FF000000"/>
      </top>
      <bottom/>
      <diagonal/>
    </border>
    <border>
      <left style="medium">
        <color rgb="FF000000"/>
      </left>
      <right/>
      <top style="medium">
        <color rgb="FF000000"/>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rgb="FF000000"/>
      </bottom>
      <diagonal/>
    </border>
    <border>
      <left/>
      <right style="medium">
        <color rgb="FF000000"/>
      </right>
      <top/>
      <bottom style="medium">
        <color indexed="64"/>
      </bottom>
      <diagonal/>
    </border>
    <border>
      <left/>
      <right/>
      <top/>
      <bottom style="double">
        <color indexed="64"/>
      </bottom>
      <diagonal/>
    </border>
  </borders>
  <cellStyleXfs count="1">
    <xf numFmtId="0" fontId="0" fillId="0" borderId="0"/>
  </cellStyleXfs>
  <cellXfs count="191">
    <xf numFmtId="0" fontId="0" fillId="0" borderId="0" xfId="0"/>
    <xf numFmtId="0" fontId="0" fillId="0" borderId="0" xfId="0" applyAlignment="1">
      <alignment horizontal="left"/>
    </xf>
    <xf numFmtId="0" fontId="0" fillId="0" borderId="0" xfId="0" applyAlignment="1">
      <alignment horizontal="left" vertical="center"/>
    </xf>
    <xf numFmtId="0" fontId="0" fillId="0" borderId="0" xfId="0" applyFont="1" applyFill="1" applyBorder="1" applyAlignment="1">
      <alignment horizontal="center" vertical="center"/>
    </xf>
    <xf numFmtId="0" fontId="0" fillId="2" borderId="0" xfId="0" applyFill="1"/>
    <xf numFmtId="0" fontId="7" fillId="2" borderId="0" xfId="0" applyFont="1" applyFill="1"/>
    <xf numFmtId="0" fontId="0" fillId="0" borderId="0" xfId="0" applyAlignment="1">
      <alignment horizontal="center" vertical="center"/>
    </xf>
    <xf numFmtId="0" fontId="3" fillId="0" borderId="0" xfId="0" applyFont="1" applyBorder="1" applyAlignment="1">
      <alignment horizontal="left" vertical="center" wrapText="1"/>
    </xf>
    <xf numFmtId="0" fontId="0" fillId="0" borderId="0" xfId="0" applyBorder="1" applyAlignment="1">
      <alignment horizontal="left" vertical="center"/>
    </xf>
    <xf numFmtId="0" fontId="1" fillId="3" borderId="0" xfId="0" applyFont="1" applyFill="1" applyBorder="1" applyAlignment="1">
      <alignment vertical="center"/>
    </xf>
    <xf numFmtId="0" fontId="0" fillId="3" borderId="0" xfId="0" applyFill="1" applyBorder="1" applyAlignment="1">
      <alignment horizontal="left"/>
    </xf>
    <xf numFmtId="0" fontId="12" fillId="3" borderId="0" xfId="0" applyFont="1" applyFill="1" applyBorder="1" applyAlignment="1">
      <alignment horizontal="left" vertical="center"/>
    </xf>
    <xf numFmtId="0" fontId="13" fillId="3" borderId="0" xfId="0" applyFont="1" applyFill="1" applyBorder="1" applyAlignment="1">
      <alignment horizontal="left"/>
    </xf>
    <xf numFmtId="0" fontId="15" fillId="0" borderId="0" xfId="0" applyFont="1" applyFill="1" applyBorder="1" applyAlignment="1">
      <alignment horizontal="left" vertical="center"/>
    </xf>
    <xf numFmtId="0" fontId="16" fillId="0" borderId="0" xfId="0" applyFont="1" applyFill="1" applyBorder="1" applyAlignment="1">
      <alignment horizontal="left"/>
    </xf>
    <xf numFmtId="0" fontId="17" fillId="0" borderId="0" xfId="0" applyFont="1" applyFill="1" applyBorder="1" applyAlignment="1">
      <alignment horizontal="left" vertical="center"/>
    </xf>
    <xf numFmtId="0" fontId="17" fillId="0" borderId="0" xfId="0" applyFont="1" applyFill="1" applyBorder="1" applyAlignment="1">
      <alignment horizontal="left"/>
    </xf>
    <xf numFmtId="0" fontId="0" fillId="0" borderId="0" xfId="0" applyAlignment="1">
      <alignment vertical="center"/>
    </xf>
    <xf numFmtId="0" fontId="0" fillId="0" borderId="0" xfId="0" applyAlignment="1"/>
    <xf numFmtId="0" fontId="0" fillId="0" borderId="0" xfId="0" applyAlignment="1">
      <alignment horizontal="center"/>
    </xf>
    <xf numFmtId="0" fontId="0" fillId="0" borderId="5" xfId="0" applyBorder="1" applyAlignment="1">
      <alignment horizontal="center" vertical="center"/>
    </xf>
    <xf numFmtId="0" fontId="0" fillId="0" borderId="5" xfId="0" applyBorder="1" applyAlignment="1">
      <alignment vertical="center"/>
    </xf>
    <xf numFmtId="0" fontId="0" fillId="0" borderId="0" xfId="0" applyAlignment="1">
      <alignment horizontal="left"/>
    </xf>
    <xf numFmtId="164" fontId="0" fillId="0" borderId="0" xfId="0" applyNumberForma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left"/>
    </xf>
    <xf numFmtId="0" fontId="0" fillId="0" borderId="0" xfId="0" applyBorder="1" applyAlignment="1">
      <alignment horizontal="left"/>
    </xf>
    <xf numFmtId="1" fontId="0" fillId="0" borderId="0" xfId="0" applyNumberFormat="1" applyBorder="1" applyAlignment="1">
      <alignment horizontal="left" vertical="center"/>
    </xf>
    <xf numFmtId="0" fontId="0" fillId="0" borderId="0" xfId="0" applyFill="1" applyBorder="1" applyAlignment="1">
      <alignment horizontal="center" vertical="center"/>
    </xf>
    <xf numFmtId="1" fontId="0" fillId="0" borderId="0" xfId="0" applyNumberFormat="1" applyFill="1" applyBorder="1" applyAlignment="1">
      <alignment horizontal="center" vertical="center"/>
    </xf>
    <xf numFmtId="0" fontId="0" fillId="0" borderId="0" xfId="0" applyFill="1" applyBorder="1" applyAlignment="1">
      <alignment horizontal="left"/>
    </xf>
    <xf numFmtId="0" fontId="0" fillId="0" borderId="0" xfId="0" applyFill="1" applyBorder="1" applyAlignment="1">
      <alignment horizontal="left" vertical="center"/>
    </xf>
    <xf numFmtId="0" fontId="18" fillId="4" borderId="30" xfId="0" applyFont="1" applyFill="1" applyBorder="1" applyAlignment="1">
      <alignment horizontal="center" vertical="center"/>
    </xf>
    <xf numFmtId="0" fontId="0" fillId="0" borderId="0" xfId="0" applyBorder="1" applyAlignment="1">
      <alignment horizontal="center" vertical="center"/>
    </xf>
    <xf numFmtId="20" fontId="10" fillId="0" borderId="0" xfId="0" applyNumberFormat="1" applyFont="1" applyBorder="1" applyAlignment="1">
      <alignment horizontal="left" vertical="center"/>
    </xf>
    <xf numFmtId="0" fontId="10" fillId="0" borderId="0" xfId="0" applyFont="1" applyBorder="1" applyAlignment="1">
      <alignment horizontal="left" vertical="center"/>
    </xf>
    <xf numFmtId="0" fontId="15" fillId="0" borderId="0" xfId="0" applyFont="1" applyFill="1" applyBorder="1" applyAlignment="1">
      <alignment horizontal="left" vertical="center"/>
    </xf>
    <xf numFmtId="0" fontId="0" fillId="0" borderId="0" xfId="0" applyAlignment="1">
      <alignment horizontal="center"/>
    </xf>
    <xf numFmtId="0" fontId="0" fillId="0" borderId="0" xfId="0" applyAlignment="1">
      <alignment horizontal="left" vertical="center"/>
    </xf>
    <xf numFmtId="0" fontId="0" fillId="5" borderId="0" xfId="0" applyFill="1"/>
    <xf numFmtId="0" fontId="3" fillId="5" borderId="22" xfId="0" applyFont="1" applyFill="1" applyBorder="1" applyAlignment="1">
      <alignment horizontal="center" vertical="center" wrapText="1"/>
    </xf>
    <xf numFmtId="0" fontId="8" fillId="5" borderId="14" xfId="0" applyFont="1" applyFill="1" applyBorder="1" applyAlignment="1">
      <alignment horizontal="center" vertical="center" wrapText="1"/>
    </xf>
    <xf numFmtId="0" fontId="3" fillId="5" borderId="14" xfId="0" applyFont="1" applyFill="1" applyBorder="1" applyAlignment="1">
      <alignment horizontal="center" vertical="center" wrapText="1"/>
    </xf>
    <xf numFmtId="0" fontId="9" fillId="5" borderId="12"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3" fillId="5" borderId="13" xfId="0" applyFont="1" applyFill="1" applyBorder="1" applyAlignment="1">
      <alignment horizontal="center" vertical="center" wrapText="1"/>
    </xf>
    <xf numFmtId="1" fontId="3" fillId="5" borderId="13" xfId="0" applyNumberFormat="1" applyFont="1" applyFill="1" applyBorder="1" applyAlignment="1">
      <alignment horizontal="center" vertical="center" wrapText="1"/>
    </xf>
    <xf numFmtId="0" fontId="10" fillId="5" borderId="13" xfId="0" applyFont="1" applyFill="1" applyBorder="1" applyAlignment="1">
      <alignment horizontal="center" wrapText="1"/>
    </xf>
    <xf numFmtId="0" fontId="10" fillId="5" borderId="14" xfId="0" applyFont="1" applyFill="1" applyBorder="1" applyAlignment="1">
      <alignment horizontal="center" wrapText="1"/>
    </xf>
    <xf numFmtId="1" fontId="10" fillId="5" borderId="14" xfId="0" applyNumberFormat="1" applyFont="1" applyFill="1" applyBorder="1" applyAlignment="1">
      <alignment horizontal="center" wrapText="1"/>
    </xf>
    <xf numFmtId="0" fontId="7" fillId="5" borderId="0" xfId="0" applyFont="1" applyFill="1"/>
    <xf numFmtId="0" fontId="8" fillId="5" borderId="15" xfId="0" applyFont="1" applyFill="1" applyBorder="1" applyAlignment="1">
      <alignment vertical="center" wrapText="1"/>
    </xf>
    <xf numFmtId="0" fontId="3" fillId="5" borderId="10" xfId="0" applyFont="1" applyFill="1" applyBorder="1" applyAlignment="1">
      <alignment vertical="center" wrapText="1"/>
    </xf>
    <xf numFmtId="0" fontId="3" fillId="5" borderId="1" xfId="0" applyFont="1" applyFill="1" applyBorder="1" applyAlignment="1">
      <alignment horizontal="center" vertical="center" wrapText="1"/>
    </xf>
    <xf numFmtId="0" fontId="3" fillId="5" borderId="17" xfId="0" applyFont="1" applyFill="1" applyBorder="1" applyAlignment="1">
      <alignment horizontal="center" vertical="center" wrapText="1"/>
    </xf>
    <xf numFmtId="0" fontId="3" fillId="5" borderId="18"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3" fillId="5" borderId="20" xfId="0" applyFont="1" applyFill="1" applyBorder="1" applyAlignment="1">
      <alignment horizontal="center" vertical="center" wrapText="1"/>
    </xf>
    <xf numFmtId="0" fontId="3" fillId="5" borderId="25" xfId="0" applyFont="1" applyFill="1" applyBorder="1" applyAlignment="1">
      <alignment horizontal="center" vertical="center" wrapText="1"/>
    </xf>
    <xf numFmtId="0" fontId="3" fillId="5" borderId="29" xfId="0" applyFont="1" applyFill="1" applyBorder="1" applyAlignment="1">
      <alignment vertical="center" wrapText="1"/>
    </xf>
    <xf numFmtId="0" fontId="3" fillId="5" borderId="27" xfId="0" applyFont="1" applyFill="1" applyBorder="1" applyAlignment="1">
      <alignment horizontal="center" vertical="center" wrapText="1"/>
    </xf>
    <xf numFmtId="0" fontId="8" fillId="5" borderId="9" xfId="0" applyFont="1" applyFill="1" applyBorder="1" applyAlignment="1">
      <alignment vertical="center" wrapText="1"/>
    </xf>
    <xf numFmtId="0" fontId="8" fillId="5" borderId="10" xfId="0" applyFont="1" applyFill="1" applyBorder="1" applyAlignment="1">
      <alignment vertical="center" wrapText="1"/>
    </xf>
    <xf numFmtId="0" fontId="3" fillId="5" borderId="23" xfId="0" applyFont="1" applyFill="1" applyBorder="1" applyAlignment="1">
      <alignment horizontal="center" vertical="center" wrapText="1"/>
    </xf>
    <xf numFmtId="0" fontId="3" fillId="5" borderId="23" xfId="0" applyFont="1" applyFill="1" applyBorder="1" applyAlignment="1">
      <alignment horizontal="left" vertical="center" wrapText="1"/>
    </xf>
    <xf numFmtId="0" fontId="3" fillId="5" borderId="24" xfId="0" applyFont="1" applyFill="1" applyBorder="1" applyAlignment="1">
      <alignment horizontal="center" vertical="center" wrapText="1"/>
    </xf>
    <xf numFmtId="0" fontId="3" fillId="5" borderId="24" xfId="0" applyFont="1" applyFill="1" applyBorder="1" applyAlignment="1">
      <alignment horizontal="left" vertical="center" wrapText="1"/>
    </xf>
    <xf numFmtId="0" fontId="3" fillId="5" borderId="14" xfId="0" applyFont="1" applyFill="1" applyBorder="1" applyAlignment="1">
      <alignment horizontal="left" vertical="center" wrapText="1"/>
    </xf>
    <xf numFmtId="0" fontId="3" fillId="5" borderId="14" xfId="0" applyFont="1" applyFill="1" applyBorder="1" applyAlignment="1">
      <alignment horizontal="left" vertical="center" wrapText="1" indent="1"/>
    </xf>
    <xf numFmtId="0" fontId="10" fillId="5" borderId="2" xfId="0" applyFont="1" applyFill="1" applyBorder="1" applyAlignment="1">
      <alignment horizontal="center" vertical="center"/>
    </xf>
    <xf numFmtId="0" fontId="21" fillId="5" borderId="3"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10" fillId="5" borderId="4" xfId="0" applyFont="1" applyFill="1" applyBorder="1" applyAlignment="1">
      <alignment horizontal="center" vertical="center"/>
    </xf>
    <xf numFmtId="0" fontId="21" fillId="5" borderId="6" xfId="0" applyFont="1" applyFill="1" applyBorder="1" applyAlignment="1">
      <alignment horizontal="center" vertical="top" wrapText="1"/>
    </xf>
    <xf numFmtId="0" fontId="3" fillId="5" borderId="36" xfId="0" applyFont="1" applyFill="1" applyBorder="1" applyAlignment="1">
      <alignment horizontal="center" vertical="center" wrapText="1"/>
    </xf>
    <xf numFmtId="0" fontId="10" fillId="5" borderId="6" xfId="0" applyFont="1" applyFill="1" applyBorder="1" applyAlignment="1">
      <alignment horizontal="center" vertical="top" wrapText="1"/>
    </xf>
    <xf numFmtId="165" fontId="3" fillId="5" borderId="13" xfId="0" applyNumberFormat="1" applyFont="1" applyFill="1" applyBorder="1" applyAlignment="1">
      <alignment horizontal="center" vertical="center" wrapText="1"/>
    </xf>
    <xf numFmtId="0" fontId="30" fillId="3" borderId="0" xfId="0" applyFont="1" applyFill="1" applyBorder="1" applyAlignment="1">
      <alignment horizontal="left" vertical="center"/>
    </xf>
    <xf numFmtId="0" fontId="29" fillId="3" borderId="0" xfId="0" applyFont="1" applyFill="1" applyBorder="1" applyAlignment="1">
      <alignment horizontal="left" vertical="center"/>
    </xf>
    <xf numFmtId="0" fontId="29" fillId="3" borderId="0" xfId="0" applyFont="1" applyFill="1" applyBorder="1" applyAlignment="1">
      <alignment horizontal="left"/>
    </xf>
    <xf numFmtId="0" fontId="18" fillId="4" borderId="30" xfId="0" applyFont="1" applyFill="1" applyBorder="1" applyAlignment="1">
      <alignment horizontal="center"/>
    </xf>
    <xf numFmtId="0" fontId="24" fillId="4" borderId="30" xfId="0" applyFont="1" applyFill="1" applyBorder="1" applyAlignment="1">
      <alignment horizontal="center" vertical="center"/>
    </xf>
    <xf numFmtId="0" fontId="0" fillId="0" borderId="0" xfId="0" applyFont="1"/>
    <xf numFmtId="0" fontId="0" fillId="0" borderId="0" xfId="0" applyFont="1" applyAlignment="1">
      <alignment horizontal="center"/>
    </xf>
    <xf numFmtId="0" fontId="0" fillId="0" borderId="0" xfId="0" applyFont="1" applyAlignment="1">
      <alignment horizontal="center" vertical="center"/>
    </xf>
    <xf numFmtId="0" fontId="18" fillId="4" borderId="37" xfId="0" applyFont="1" applyFill="1" applyBorder="1"/>
    <xf numFmtId="0" fontId="18" fillId="4" borderId="37" xfId="0" applyFont="1" applyFill="1" applyBorder="1" applyAlignment="1">
      <alignment horizontal="center"/>
    </xf>
    <xf numFmtId="0" fontId="18" fillId="4" borderId="37" xfId="0" applyFont="1" applyFill="1" applyBorder="1" applyAlignment="1">
      <alignment horizontal="center" vertical="center"/>
    </xf>
    <xf numFmtId="0" fontId="0" fillId="0" borderId="0" xfId="0" applyFill="1"/>
    <xf numFmtId="0" fontId="18" fillId="0" borderId="0" xfId="0" applyFont="1" applyFill="1" applyBorder="1" applyAlignment="1">
      <alignment horizontal="center"/>
    </xf>
    <xf numFmtId="0" fontId="18" fillId="0" borderId="0" xfId="0" applyFont="1" applyFill="1" applyBorder="1" applyAlignment="1">
      <alignment horizontal="center" vertical="center"/>
    </xf>
    <xf numFmtId="0" fontId="24" fillId="0" borderId="0" xfId="0" applyFont="1" applyFill="1" applyBorder="1" applyAlignment="1">
      <alignment horizontal="center" vertical="center"/>
    </xf>
    <xf numFmtId="0" fontId="24" fillId="0" borderId="0" xfId="0" applyFont="1" applyFill="1" applyBorder="1" applyAlignment="1">
      <alignment horizontal="left" vertical="center"/>
    </xf>
    <xf numFmtId="0" fontId="0" fillId="0" borderId="0" xfId="0" applyFill="1" applyAlignment="1">
      <alignment horizontal="left"/>
    </xf>
    <xf numFmtId="0" fontId="27" fillId="5" borderId="18" xfId="0" applyFont="1" applyFill="1" applyBorder="1" applyAlignment="1">
      <alignment vertical="center" wrapText="1"/>
    </xf>
    <xf numFmtId="0" fontId="25" fillId="5" borderId="20" xfId="0" applyFont="1" applyFill="1" applyBorder="1" applyAlignment="1">
      <alignment vertical="center" wrapText="1"/>
    </xf>
    <xf numFmtId="0" fontId="25" fillId="5" borderId="6" xfId="0" applyFont="1" applyFill="1" applyBorder="1" applyAlignment="1">
      <alignment horizontal="center" vertical="center" wrapText="1"/>
    </xf>
    <xf numFmtId="0" fontId="26" fillId="5" borderId="6" xfId="0" applyFont="1" applyFill="1" applyBorder="1" applyAlignment="1">
      <alignment horizontal="center" vertical="center" wrapText="1"/>
    </xf>
    <xf numFmtId="0" fontId="25" fillId="5" borderId="6" xfId="0" applyFont="1" applyFill="1" applyBorder="1" applyAlignment="1">
      <alignment vertical="center" wrapText="1"/>
    </xf>
    <xf numFmtId="0" fontId="26" fillId="5" borderId="6" xfId="0" applyFont="1" applyFill="1" applyBorder="1" applyAlignment="1">
      <alignment vertical="center" wrapText="1"/>
    </xf>
    <xf numFmtId="49" fontId="25" fillId="5" borderId="6" xfId="0" applyNumberFormat="1" applyFont="1" applyFill="1" applyBorder="1" applyAlignment="1">
      <alignment horizontal="center" vertical="center" wrapText="1"/>
    </xf>
    <xf numFmtId="49" fontId="26" fillId="5" borderId="6" xfId="0" applyNumberFormat="1" applyFont="1" applyFill="1" applyBorder="1" applyAlignment="1">
      <alignment horizontal="center" vertical="center" wrapText="1"/>
    </xf>
    <xf numFmtId="49" fontId="26" fillId="5" borderId="1" xfId="0" applyNumberFormat="1" applyFont="1" applyFill="1" applyBorder="1" applyAlignment="1">
      <alignment horizontal="center" vertical="center" wrapText="1"/>
    </xf>
    <xf numFmtId="49" fontId="25" fillId="5" borderId="1" xfId="0" applyNumberFormat="1"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5" borderId="11" xfId="0" applyFont="1" applyFill="1" applyBorder="1" applyAlignment="1">
      <alignment horizontal="center" vertical="center" wrapText="1"/>
    </xf>
    <xf numFmtId="0" fontId="3" fillId="5" borderId="12"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26" xfId="0" applyFont="1" applyFill="1" applyBorder="1" applyAlignment="1">
      <alignment horizontal="center" vertical="center" wrapText="1"/>
    </xf>
    <xf numFmtId="0" fontId="26" fillId="5" borderId="20" xfId="0" applyFont="1" applyFill="1" applyBorder="1" applyAlignment="1">
      <alignment vertical="center" wrapText="1"/>
    </xf>
    <xf numFmtId="0" fontId="14" fillId="3" borderId="0" xfId="0" applyFont="1" applyFill="1" applyBorder="1" applyAlignment="1">
      <alignment horizontal="center" vertical="center"/>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18" fillId="4" borderId="37" xfId="0" applyFont="1" applyFill="1" applyBorder="1" applyAlignment="1">
      <alignment horizontal="center" vertical="center"/>
    </xf>
    <xf numFmtId="0" fontId="15" fillId="0" borderId="0" xfId="0" applyFont="1" applyFill="1" applyBorder="1" applyAlignment="1">
      <alignment horizontal="left" vertical="center"/>
    </xf>
    <xf numFmtId="0" fontId="22" fillId="0" borderId="0" xfId="0" applyFont="1" applyAlignment="1">
      <alignment horizontal="left"/>
    </xf>
    <xf numFmtId="0" fontId="24" fillId="4" borderId="30" xfId="0" applyFont="1" applyFill="1" applyBorder="1" applyAlignment="1">
      <alignment horizontal="left" vertical="center"/>
    </xf>
    <xf numFmtId="0" fontId="18" fillId="4" borderId="30" xfId="0" applyFont="1" applyFill="1" applyBorder="1" applyAlignment="1">
      <alignment horizontal="center"/>
    </xf>
    <xf numFmtId="0" fontId="15" fillId="0" borderId="0" xfId="0" applyFont="1" applyFill="1" applyBorder="1" applyAlignment="1">
      <alignment horizontal="left" vertical="center" wrapText="1"/>
    </xf>
    <xf numFmtId="0" fontId="0" fillId="0" borderId="0" xfId="0" applyAlignment="1">
      <alignment horizontal="left"/>
    </xf>
    <xf numFmtId="0" fontId="0" fillId="0" borderId="0" xfId="0" applyAlignment="1">
      <alignment horizontal="center" vertical="center"/>
    </xf>
    <xf numFmtId="0" fontId="24" fillId="4" borderId="30" xfId="0" applyFont="1" applyFill="1" applyBorder="1" applyAlignment="1">
      <alignment horizontal="center" vertical="center"/>
    </xf>
    <xf numFmtId="0" fontId="0" fillId="0" borderId="5" xfId="0"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164" fontId="0" fillId="0" borderId="0" xfId="0" applyNumberFormat="1" applyAlignment="1">
      <alignment horizontal="center" vertical="center"/>
    </xf>
    <xf numFmtId="0" fontId="0" fillId="0" borderId="0" xfId="0" applyAlignment="1">
      <alignment horizontal="center"/>
    </xf>
    <xf numFmtId="0" fontId="2" fillId="5" borderId="0" xfId="0" applyFont="1" applyFill="1" applyAlignment="1">
      <alignment horizontal="center" vertical="center" wrapText="1"/>
    </xf>
    <xf numFmtId="0" fontId="2" fillId="5" borderId="21" xfId="0" applyFont="1" applyFill="1" applyBorder="1" applyAlignment="1">
      <alignment horizontal="center" vertical="center" wrapText="1"/>
    </xf>
    <xf numFmtId="0" fontId="4" fillId="5" borderId="8" xfId="0" applyFont="1" applyFill="1" applyBorder="1" applyAlignment="1">
      <alignment vertical="center" wrapText="1"/>
    </xf>
    <xf numFmtId="0" fontId="4" fillId="5" borderId="9" xfId="0" applyFont="1" applyFill="1" applyBorder="1" applyAlignment="1">
      <alignment vertical="center" wrapText="1"/>
    </xf>
    <xf numFmtId="0" fontId="4" fillId="5" borderId="10" xfId="0" applyFont="1" applyFill="1" applyBorder="1" applyAlignment="1">
      <alignment vertical="center" wrapText="1"/>
    </xf>
    <xf numFmtId="0" fontId="3" fillId="5" borderId="7" xfId="0" applyFont="1" applyFill="1" applyBorder="1" applyAlignment="1">
      <alignment horizontal="center" vertical="center" wrapText="1"/>
    </xf>
    <xf numFmtId="0" fontId="3" fillId="5" borderId="11" xfId="0" applyFont="1" applyFill="1" applyBorder="1" applyAlignment="1">
      <alignment horizontal="center" vertical="center" wrapText="1"/>
    </xf>
    <xf numFmtId="0" fontId="3" fillId="5" borderId="12" xfId="0" applyFont="1" applyFill="1" applyBorder="1" applyAlignment="1">
      <alignment horizontal="center" vertical="center" wrapText="1"/>
    </xf>
    <xf numFmtId="0" fontId="3" fillId="5" borderId="8" xfId="0" applyFont="1" applyFill="1" applyBorder="1" applyAlignment="1">
      <alignment horizontal="center" vertical="center" wrapText="1"/>
    </xf>
    <xf numFmtId="0" fontId="3" fillId="5" borderId="9" xfId="0" applyFont="1" applyFill="1" applyBorder="1" applyAlignment="1">
      <alignment horizontal="center" vertical="center" wrapText="1"/>
    </xf>
    <xf numFmtId="0" fontId="3" fillId="5" borderId="10"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6" fillId="5" borderId="0" xfId="0" applyFont="1" applyFill="1" applyAlignment="1">
      <alignment horizontal="center" vertical="center" wrapText="1"/>
    </xf>
    <xf numFmtId="0" fontId="6" fillId="5" borderId="21" xfId="0" applyFont="1" applyFill="1" applyBorder="1" applyAlignment="1">
      <alignment horizontal="center" vertical="center" wrapText="1"/>
    </xf>
    <xf numFmtId="0" fontId="3" fillId="5" borderId="2" xfId="0" applyFont="1" applyFill="1" applyBorder="1" applyAlignment="1">
      <alignment horizontal="left" vertical="center" wrapText="1"/>
    </xf>
    <xf numFmtId="0" fontId="3" fillId="5" borderId="0" xfId="0" applyFont="1" applyFill="1" applyBorder="1" applyAlignment="1">
      <alignment horizontal="left" vertical="center" wrapText="1"/>
    </xf>
    <xf numFmtId="0" fontId="3" fillId="5" borderId="3" xfId="0" applyFont="1" applyFill="1" applyBorder="1" applyAlignment="1">
      <alignment horizontal="left" vertical="center" wrapText="1"/>
    </xf>
    <xf numFmtId="0" fontId="3" fillId="5" borderId="4" xfId="0" applyFont="1" applyFill="1" applyBorder="1" applyAlignment="1">
      <alignment horizontal="left" vertical="center" wrapText="1"/>
    </xf>
    <xf numFmtId="0" fontId="3" fillId="5" borderId="5" xfId="0" applyFont="1" applyFill="1" applyBorder="1" applyAlignment="1">
      <alignment horizontal="left" vertical="center" wrapText="1"/>
    </xf>
    <xf numFmtId="0" fontId="3" fillId="5" borderId="6" xfId="0" applyFont="1" applyFill="1" applyBorder="1" applyAlignment="1">
      <alignment horizontal="left" vertical="center" wrapText="1"/>
    </xf>
    <xf numFmtId="0" fontId="2" fillId="5" borderId="5" xfId="0" applyFont="1" applyFill="1" applyBorder="1" applyAlignment="1">
      <alignment horizontal="center" vertical="center" wrapText="1"/>
    </xf>
    <xf numFmtId="0" fontId="3" fillId="5" borderId="28" xfId="0" applyFont="1" applyFill="1" applyBorder="1" applyAlignment="1">
      <alignment horizontal="center" vertical="center" wrapText="1"/>
    </xf>
    <xf numFmtId="0" fontId="3" fillId="5" borderId="29" xfId="0" applyFont="1" applyFill="1" applyBorder="1" applyAlignment="1">
      <alignment horizontal="center" vertical="center" wrapText="1"/>
    </xf>
    <xf numFmtId="0" fontId="3" fillId="5" borderId="16" xfId="0" applyFont="1" applyFill="1" applyBorder="1" applyAlignment="1">
      <alignment vertical="center" wrapText="1"/>
    </xf>
    <xf numFmtId="0" fontId="3" fillId="5" borderId="21" xfId="0" applyFont="1" applyFill="1" applyBorder="1" applyAlignment="1">
      <alignment vertical="center" wrapText="1"/>
    </xf>
    <xf numFmtId="0" fontId="3" fillId="5" borderId="14" xfId="0" applyFont="1" applyFill="1" applyBorder="1" applyAlignment="1">
      <alignment vertical="center" wrapText="1"/>
    </xf>
    <xf numFmtId="0" fontId="4" fillId="5" borderId="32" xfId="0" applyFont="1" applyFill="1" applyBorder="1" applyAlignment="1">
      <alignment vertical="center" wrapText="1"/>
    </xf>
    <xf numFmtId="0" fontId="4" fillId="5" borderId="15" xfId="0" applyFont="1" applyFill="1" applyBorder="1" applyAlignment="1">
      <alignment vertical="center" wrapText="1"/>
    </xf>
    <xf numFmtId="0" fontId="4" fillId="5" borderId="31" xfId="0" applyFont="1" applyFill="1" applyBorder="1" applyAlignment="1">
      <alignment vertical="center" wrapText="1"/>
    </xf>
    <xf numFmtId="0" fontId="4" fillId="5" borderId="17" xfId="0" applyFont="1" applyFill="1" applyBorder="1" applyAlignment="1">
      <alignment vertical="center" wrapText="1"/>
    </xf>
    <xf numFmtId="0" fontId="4" fillId="5" borderId="0" xfId="0" applyFont="1" applyFill="1" applyBorder="1" applyAlignment="1">
      <alignment vertical="center" wrapText="1"/>
    </xf>
    <xf numFmtId="0" fontId="4" fillId="5" borderId="13" xfId="0" applyFont="1" applyFill="1" applyBorder="1" applyAlignment="1">
      <alignment vertical="center" wrapText="1"/>
    </xf>
    <xf numFmtId="0" fontId="4" fillId="5" borderId="16" xfId="0" applyFont="1" applyFill="1" applyBorder="1" applyAlignment="1">
      <alignment vertical="center" wrapText="1"/>
    </xf>
    <xf numFmtId="0" fontId="4" fillId="5" borderId="21" xfId="0" applyFont="1" applyFill="1" applyBorder="1" applyAlignment="1">
      <alignment vertical="center" wrapText="1"/>
    </xf>
    <xf numFmtId="0" fontId="4" fillId="5" borderId="14" xfId="0" applyFont="1" applyFill="1" applyBorder="1" applyAlignment="1">
      <alignment vertical="center" wrapText="1"/>
    </xf>
    <xf numFmtId="0" fontId="3" fillId="5" borderId="32" xfId="0" applyFont="1" applyFill="1" applyBorder="1" applyAlignment="1">
      <alignment horizontal="justify" vertical="center" wrapText="1"/>
    </xf>
    <xf numFmtId="0" fontId="3" fillId="5" borderId="15" xfId="0" applyFont="1" applyFill="1" applyBorder="1" applyAlignment="1">
      <alignment horizontal="justify" vertical="center" wrapText="1"/>
    </xf>
    <xf numFmtId="0" fontId="3" fillId="5" borderId="31" xfId="0" applyFont="1" applyFill="1" applyBorder="1" applyAlignment="1">
      <alignment horizontal="justify" vertical="center" wrapText="1"/>
    </xf>
    <xf numFmtId="0" fontId="3" fillId="5" borderId="17" xfId="0" applyFont="1" applyFill="1" applyBorder="1" applyAlignment="1">
      <alignment horizontal="justify" vertical="center" wrapText="1"/>
    </xf>
    <xf numFmtId="0" fontId="3" fillId="5" borderId="0" xfId="0" applyFont="1" applyFill="1" applyBorder="1" applyAlignment="1">
      <alignment horizontal="justify" vertical="center" wrapText="1"/>
    </xf>
    <xf numFmtId="0" fontId="3" fillId="5" borderId="13" xfId="0" applyFont="1" applyFill="1" applyBorder="1" applyAlignment="1">
      <alignment horizontal="justify" vertical="center" wrapText="1"/>
    </xf>
    <xf numFmtId="0" fontId="3" fillId="5" borderId="8" xfId="0" applyFont="1" applyFill="1" applyBorder="1" applyAlignment="1">
      <alignment horizontal="justify" vertical="center" wrapText="1"/>
    </xf>
    <xf numFmtId="0" fontId="3" fillId="5" borderId="9" xfId="0" applyFont="1" applyFill="1" applyBorder="1" applyAlignment="1">
      <alignment horizontal="justify" vertical="center" wrapText="1"/>
    </xf>
    <xf numFmtId="0" fontId="3" fillId="5" borderId="10" xfId="0" applyFont="1" applyFill="1" applyBorder="1" applyAlignment="1">
      <alignment horizontal="justify" vertical="center" wrapText="1"/>
    </xf>
    <xf numFmtId="0" fontId="2" fillId="5" borderId="0" xfId="0" applyFont="1" applyFill="1" applyAlignment="1">
      <alignment horizontal="center" vertical="center"/>
    </xf>
    <xf numFmtId="0" fontId="2" fillId="5" borderId="21" xfId="0" applyFont="1" applyFill="1" applyBorder="1" applyAlignment="1">
      <alignment horizontal="center" vertical="center"/>
    </xf>
    <xf numFmtId="0" fontId="11" fillId="5" borderId="0" xfId="0" applyFont="1" applyFill="1" applyAlignment="1">
      <alignment horizontal="center" vertical="center"/>
    </xf>
    <xf numFmtId="0" fontId="11" fillId="5" borderId="21" xfId="0" applyFont="1" applyFill="1" applyBorder="1" applyAlignment="1">
      <alignment horizontal="center" vertical="center"/>
    </xf>
    <xf numFmtId="0" fontId="11" fillId="5" borderId="0" xfId="0" applyFont="1" applyFill="1" applyAlignment="1">
      <alignment horizontal="center" vertical="center" wrapText="1"/>
    </xf>
    <xf numFmtId="0" fontId="11" fillId="5" borderId="21" xfId="0" applyFont="1" applyFill="1" applyBorder="1" applyAlignment="1">
      <alignment horizontal="center" vertical="center" wrapText="1"/>
    </xf>
    <xf numFmtId="0" fontId="3" fillId="5" borderId="33" xfId="0" applyFont="1" applyFill="1" applyBorder="1" applyAlignment="1">
      <alignment horizontal="center" vertical="center" wrapText="1"/>
    </xf>
    <xf numFmtId="0" fontId="3" fillId="5" borderId="34" xfId="0" applyFont="1" applyFill="1" applyBorder="1" applyAlignment="1">
      <alignment horizontal="center" vertical="center" wrapText="1"/>
    </xf>
    <xf numFmtId="0" fontId="3" fillId="5" borderId="4" xfId="0" applyFont="1" applyFill="1" applyBorder="1" applyAlignment="1">
      <alignment horizontal="center" vertical="center" wrapText="1"/>
    </xf>
    <xf numFmtId="0" fontId="3" fillId="5" borderId="6" xfId="0" applyFont="1" applyFill="1" applyBorder="1" applyAlignment="1">
      <alignment horizontal="center" vertical="center" wrapText="1"/>
    </xf>
    <xf numFmtId="0" fontId="3" fillId="5" borderId="35" xfId="0" applyFont="1" applyFill="1" applyBorder="1" applyAlignment="1">
      <alignment horizontal="center" vertical="center" wrapText="1"/>
    </xf>
    <xf numFmtId="0" fontId="3" fillId="5" borderId="26"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8" fillId="5" borderId="0" xfId="0" applyFont="1" applyFill="1" applyAlignment="1">
      <alignment horizontal="center" vertical="center"/>
    </xf>
    <xf numFmtId="0" fontId="26" fillId="5" borderId="18" xfId="0" applyFont="1" applyFill="1" applyBorder="1" applyAlignment="1">
      <alignment vertical="center" wrapText="1"/>
    </xf>
    <xf numFmtId="0" fontId="26" fillId="5" borderId="20" xfId="0" applyFont="1" applyFill="1" applyBorder="1" applyAlignment="1">
      <alignment vertical="center" wrapText="1"/>
    </xf>
    <xf numFmtId="0" fontId="26" fillId="5" borderId="18" xfId="0" applyFont="1" applyFill="1" applyBorder="1" applyAlignment="1">
      <alignment horizontal="center" vertical="center" wrapText="1"/>
    </xf>
    <xf numFmtId="0" fontId="26" fillId="5" borderId="20" xfId="0" applyFont="1" applyFill="1" applyBorder="1" applyAlignment="1">
      <alignment horizontal="center" vertical="center" wrapText="1"/>
    </xf>
    <xf numFmtId="0" fontId="3" fillId="6" borderId="14"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FF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2.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3.emf"/><Relationship Id="rId5" Type="http://schemas.openxmlformats.org/officeDocument/2006/relationships/image" Target="../media/image9.emf"/><Relationship Id="rId10"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5.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485775</xdr:colOff>
          <xdr:row>7</xdr:row>
          <xdr:rowOff>66675</xdr:rowOff>
        </xdr:from>
        <xdr:to>
          <xdr:col>20</xdr:col>
          <xdr:colOff>1323975</xdr:colOff>
          <xdr:row>7</xdr:row>
          <xdr:rowOff>400050</xdr:rowOff>
        </xdr:to>
        <xdr:sp macro="" textlink="">
          <xdr:nvSpPr>
            <xdr:cNvPr id="1037" name="Oplægningsmetode"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11</xdr:row>
          <xdr:rowOff>38100</xdr:rowOff>
        </xdr:from>
        <xdr:to>
          <xdr:col>20</xdr:col>
          <xdr:colOff>1323975</xdr:colOff>
          <xdr:row>11</xdr:row>
          <xdr:rowOff>361950</xdr:rowOff>
        </xdr:to>
        <xdr:sp macro="" textlink="">
          <xdr:nvSpPr>
            <xdr:cNvPr id="1038" name="Isolering"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13</xdr:row>
          <xdr:rowOff>38100</xdr:rowOff>
        </xdr:from>
        <xdr:to>
          <xdr:col>20</xdr:col>
          <xdr:colOff>1323975</xdr:colOff>
          <xdr:row>13</xdr:row>
          <xdr:rowOff>361950</xdr:rowOff>
        </xdr:to>
        <xdr:sp macro="" textlink="">
          <xdr:nvSpPr>
            <xdr:cNvPr id="1039" name="Materiale"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27</xdr:row>
          <xdr:rowOff>19050</xdr:rowOff>
        </xdr:from>
        <xdr:to>
          <xdr:col>20</xdr:col>
          <xdr:colOff>1323975</xdr:colOff>
          <xdr:row>27</xdr:row>
          <xdr:rowOff>342900</xdr:rowOff>
        </xdr:to>
        <xdr:sp macro="" textlink="">
          <xdr:nvSpPr>
            <xdr:cNvPr id="1042" name="Parallelekabl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15</xdr:row>
          <xdr:rowOff>28575</xdr:rowOff>
        </xdr:from>
        <xdr:to>
          <xdr:col>20</xdr:col>
          <xdr:colOff>1323975</xdr:colOff>
          <xdr:row>15</xdr:row>
          <xdr:rowOff>352425</xdr:rowOff>
        </xdr:to>
        <xdr:sp macro="" textlink="">
          <xdr:nvSpPr>
            <xdr:cNvPr id="1043" name="Jordmodstand"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25</xdr:row>
          <xdr:rowOff>19050</xdr:rowOff>
        </xdr:from>
        <xdr:to>
          <xdr:col>20</xdr:col>
          <xdr:colOff>1323975</xdr:colOff>
          <xdr:row>25</xdr:row>
          <xdr:rowOff>342900</xdr:rowOff>
        </xdr:to>
        <xdr:sp macro="" textlink="">
          <xdr:nvSpPr>
            <xdr:cNvPr id="1044" name="Dimmensioneringsstrøm"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17</xdr:row>
          <xdr:rowOff>28575</xdr:rowOff>
        </xdr:from>
        <xdr:to>
          <xdr:col>20</xdr:col>
          <xdr:colOff>1323975</xdr:colOff>
          <xdr:row>17</xdr:row>
          <xdr:rowOff>352425</xdr:rowOff>
        </xdr:to>
        <xdr:sp macro="" textlink="">
          <xdr:nvSpPr>
            <xdr:cNvPr id="1045" name="Omgivelsestemp"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19</xdr:row>
          <xdr:rowOff>28575</xdr:rowOff>
        </xdr:from>
        <xdr:to>
          <xdr:col>20</xdr:col>
          <xdr:colOff>1323975</xdr:colOff>
          <xdr:row>19</xdr:row>
          <xdr:rowOff>352425</xdr:rowOff>
        </xdr:to>
        <xdr:sp macro="" textlink="">
          <xdr:nvSpPr>
            <xdr:cNvPr id="1046" name="Samletfremføring"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xdr:colOff>
          <xdr:row>29</xdr:row>
          <xdr:rowOff>133350</xdr:rowOff>
        </xdr:from>
        <xdr:to>
          <xdr:col>20</xdr:col>
          <xdr:colOff>1181100</xdr:colOff>
          <xdr:row>30</xdr:row>
          <xdr:rowOff>142875</xdr:rowOff>
        </xdr:to>
        <xdr:sp macro="" textlink="">
          <xdr:nvSpPr>
            <xdr:cNvPr id="1052" name="CMDBeregn"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29</xdr:row>
          <xdr:rowOff>133350</xdr:rowOff>
        </xdr:from>
        <xdr:to>
          <xdr:col>14</xdr:col>
          <xdr:colOff>447675</xdr:colOff>
          <xdr:row>30</xdr:row>
          <xdr:rowOff>142875</xdr:rowOff>
        </xdr:to>
        <xdr:sp macro="" textlink="">
          <xdr:nvSpPr>
            <xdr:cNvPr id="1053" name="CMDNulstil"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21</xdr:row>
          <xdr:rowOff>85725</xdr:rowOff>
        </xdr:from>
        <xdr:to>
          <xdr:col>20</xdr:col>
          <xdr:colOff>1323975</xdr:colOff>
          <xdr:row>21</xdr:row>
          <xdr:rowOff>409575</xdr:rowOff>
        </xdr:to>
        <xdr:sp macro="" textlink="">
          <xdr:nvSpPr>
            <xdr:cNvPr id="1054" name="Føringsvej"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23</xdr:row>
          <xdr:rowOff>57150</xdr:rowOff>
        </xdr:from>
        <xdr:to>
          <xdr:col>20</xdr:col>
          <xdr:colOff>1323975</xdr:colOff>
          <xdr:row>23</xdr:row>
          <xdr:rowOff>390525</xdr:rowOff>
        </xdr:to>
        <xdr:sp macro="" textlink="">
          <xdr:nvSpPr>
            <xdr:cNvPr id="1055" name="THDi"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485775</xdr:colOff>
          <xdr:row>5</xdr:row>
          <xdr:rowOff>123825</xdr:rowOff>
        </xdr:from>
        <xdr:to>
          <xdr:col>20</xdr:col>
          <xdr:colOff>1323975</xdr:colOff>
          <xdr:row>5</xdr:row>
          <xdr:rowOff>457200</xdr:rowOff>
        </xdr:to>
        <xdr:sp macro="" textlink="">
          <xdr:nvSpPr>
            <xdr:cNvPr id="1056" name="Installationsmetode"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485775</xdr:colOff>
          <xdr:row>9</xdr:row>
          <xdr:rowOff>57150</xdr:rowOff>
        </xdr:from>
        <xdr:to>
          <xdr:col>20</xdr:col>
          <xdr:colOff>1323975</xdr:colOff>
          <xdr:row>9</xdr:row>
          <xdr:rowOff>400050</xdr:rowOff>
        </xdr:to>
        <xdr:sp macro="" textlink="">
          <xdr:nvSpPr>
            <xdr:cNvPr id="1057" name="Kabel"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863302</xdr:colOff>
      <xdr:row>19</xdr:row>
      <xdr:rowOff>95923</xdr:rowOff>
    </xdr:from>
    <xdr:to>
      <xdr:col>3</xdr:col>
      <xdr:colOff>276935</xdr:colOff>
      <xdr:row>20</xdr:row>
      <xdr:rowOff>393103</xdr:rowOff>
    </xdr:to>
    <xdr:grpSp>
      <xdr:nvGrpSpPr>
        <xdr:cNvPr id="2" name="Group 119215">
          <a:extLst>
            <a:ext uri="{FF2B5EF4-FFF2-40B4-BE49-F238E27FC236}">
              <a16:creationId xmlns:a16="http://schemas.microsoft.com/office/drawing/2014/main" id="{00000000-0008-0000-0500-000002000000}"/>
            </a:ext>
          </a:extLst>
        </xdr:cNvPr>
        <xdr:cNvGrpSpPr>
          <a:grpSpLocks/>
        </xdr:cNvGrpSpPr>
      </xdr:nvGrpSpPr>
      <xdr:grpSpPr bwMode="auto">
        <a:xfrm>
          <a:off x="2647563" y="3825430"/>
          <a:ext cx="956414" cy="484997"/>
          <a:chOff x="0" y="0"/>
          <a:chExt cx="9994" cy="4798"/>
        </a:xfrm>
      </xdr:grpSpPr>
      <xdr:sp macro="" textlink="">
        <xdr:nvSpPr>
          <xdr:cNvPr id="3" name="Shape 8936">
            <a:extLst>
              <a:ext uri="{FF2B5EF4-FFF2-40B4-BE49-F238E27FC236}">
                <a16:creationId xmlns:a16="http://schemas.microsoft.com/office/drawing/2014/main" id="{00000000-0008-0000-0500-000003000000}"/>
              </a:ext>
            </a:extLst>
          </xdr:cNvPr>
          <xdr:cNvSpPr>
            <a:spLocks/>
          </xdr:cNvSpPr>
        </xdr:nvSpPr>
        <xdr:spPr bwMode="auto">
          <a:xfrm>
            <a:off x="0" y="0"/>
            <a:ext cx="3305" cy="3214"/>
          </a:xfrm>
          <a:custGeom>
            <a:avLst/>
            <a:gdLst>
              <a:gd name="T0" fmla="*/ 0 w 330592"/>
              <a:gd name="T1" fmla="*/ 0 h 321449"/>
              <a:gd name="T2" fmla="*/ 0 w 330592"/>
              <a:gd name="T3" fmla="*/ 0 h 321449"/>
              <a:gd name="T4" fmla="*/ 0 w 330592"/>
              <a:gd name="T5" fmla="*/ 0 h 321449"/>
              <a:gd name="T6" fmla="*/ 0 w 330592"/>
              <a:gd name="T7" fmla="*/ 0 h 321449"/>
              <a:gd name="T8" fmla="*/ 0 w 330592"/>
              <a:gd name="T9" fmla="*/ 0 h 321449"/>
              <a:gd name="T10" fmla="*/ 0 w 330592"/>
              <a:gd name="T11" fmla="*/ 0 h 321449"/>
              <a:gd name="T12" fmla="*/ 0 w 330592"/>
              <a:gd name="T13" fmla="*/ 0 h 321449"/>
              <a:gd name="T14" fmla="*/ 0 w 330592"/>
              <a:gd name="T15" fmla="*/ 0 h 321449"/>
              <a:gd name="T16" fmla="*/ 0 w 330592"/>
              <a:gd name="T17" fmla="*/ 0 h 321449"/>
              <a:gd name="T18" fmla="*/ 0 w 330592"/>
              <a:gd name="T19" fmla="*/ 0 h 321449"/>
              <a:gd name="T20" fmla="*/ 0 w 330592"/>
              <a:gd name="T21" fmla="*/ 0 h 321449"/>
              <a:gd name="T22" fmla="*/ 0 w 330592"/>
              <a:gd name="T23" fmla="*/ 0 h 321449"/>
              <a:gd name="T24" fmla="*/ 0 w 330592"/>
              <a:gd name="T25" fmla="*/ 0 h 32144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30592"/>
              <a:gd name="T40" fmla="*/ 0 h 321449"/>
              <a:gd name="T41" fmla="*/ 330592 w 330592"/>
              <a:gd name="T42" fmla="*/ 321449 h 32144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30592" h="321449">
                <a:moveTo>
                  <a:pt x="166064" y="0"/>
                </a:moveTo>
                <a:cubicBezTo>
                  <a:pt x="255942" y="0"/>
                  <a:pt x="330592" y="71603"/>
                  <a:pt x="330592" y="161480"/>
                </a:cubicBezTo>
                <a:cubicBezTo>
                  <a:pt x="330592" y="249846"/>
                  <a:pt x="255942" y="321449"/>
                  <a:pt x="166064" y="321449"/>
                </a:cubicBezTo>
                <a:cubicBezTo>
                  <a:pt x="74650" y="321449"/>
                  <a:pt x="0" y="249846"/>
                  <a:pt x="0" y="161480"/>
                </a:cubicBezTo>
                <a:cubicBezTo>
                  <a:pt x="0" y="71603"/>
                  <a:pt x="74650" y="0"/>
                  <a:pt x="166064" y="0"/>
                </a:cubicBezTo>
                <a:close/>
              </a:path>
            </a:pathLst>
          </a:custGeom>
          <a:solidFill>
            <a:srgbClr val="E1E2E3"/>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4" name="Shape 8937">
            <a:extLst>
              <a:ext uri="{FF2B5EF4-FFF2-40B4-BE49-F238E27FC236}">
                <a16:creationId xmlns:a16="http://schemas.microsoft.com/office/drawing/2014/main" id="{00000000-0008-0000-0500-000004000000}"/>
              </a:ext>
            </a:extLst>
          </xdr:cNvPr>
          <xdr:cNvSpPr>
            <a:spLocks/>
          </xdr:cNvSpPr>
        </xdr:nvSpPr>
        <xdr:spPr bwMode="auto">
          <a:xfrm>
            <a:off x="0" y="0"/>
            <a:ext cx="3305" cy="3214"/>
          </a:xfrm>
          <a:custGeom>
            <a:avLst/>
            <a:gdLst>
              <a:gd name="T0" fmla="*/ 0 w 330592"/>
              <a:gd name="T1" fmla="*/ 0 h 321449"/>
              <a:gd name="T2" fmla="*/ 0 w 330592"/>
              <a:gd name="T3" fmla="*/ 0 h 321449"/>
              <a:gd name="T4" fmla="*/ 0 w 330592"/>
              <a:gd name="T5" fmla="*/ 0 h 321449"/>
              <a:gd name="T6" fmla="*/ 0 w 330592"/>
              <a:gd name="T7" fmla="*/ 0 h 321449"/>
              <a:gd name="T8" fmla="*/ 0 w 330592"/>
              <a:gd name="T9" fmla="*/ 0 h 321449"/>
              <a:gd name="T10" fmla="*/ 0 w 330592"/>
              <a:gd name="T11" fmla="*/ 0 h 321449"/>
              <a:gd name="T12" fmla="*/ 0 w 330592"/>
              <a:gd name="T13" fmla="*/ 0 h 321449"/>
              <a:gd name="T14" fmla="*/ 0 w 330592"/>
              <a:gd name="T15" fmla="*/ 0 h 321449"/>
              <a:gd name="T16" fmla="*/ 0 w 330592"/>
              <a:gd name="T17" fmla="*/ 0 h 321449"/>
              <a:gd name="T18" fmla="*/ 0 w 330592"/>
              <a:gd name="T19" fmla="*/ 0 h 321449"/>
              <a:gd name="T20" fmla="*/ 0 w 330592"/>
              <a:gd name="T21" fmla="*/ 0 h 321449"/>
              <a:gd name="T22" fmla="*/ 0 w 330592"/>
              <a:gd name="T23" fmla="*/ 0 h 321449"/>
              <a:gd name="T24" fmla="*/ 0 w 330592"/>
              <a:gd name="T25" fmla="*/ 0 h 32144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30592"/>
              <a:gd name="T40" fmla="*/ 0 h 321449"/>
              <a:gd name="T41" fmla="*/ 330592 w 330592"/>
              <a:gd name="T42" fmla="*/ 321449 h 32144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30592" h="321449">
                <a:moveTo>
                  <a:pt x="330592" y="161480"/>
                </a:moveTo>
                <a:cubicBezTo>
                  <a:pt x="330592" y="71603"/>
                  <a:pt x="255942" y="0"/>
                  <a:pt x="166064" y="0"/>
                </a:cubicBezTo>
                <a:cubicBezTo>
                  <a:pt x="74650" y="0"/>
                  <a:pt x="0" y="71603"/>
                  <a:pt x="0" y="161480"/>
                </a:cubicBezTo>
                <a:cubicBezTo>
                  <a:pt x="0" y="249846"/>
                  <a:pt x="74650" y="321449"/>
                  <a:pt x="166064" y="321449"/>
                </a:cubicBezTo>
                <a:cubicBezTo>
                  <a:pt x="255942" y="321449"/>
                  <a:pt x="330592" y="249846"/>
                  <a:pt x="330592" y="161480"/>
                </a:cubicBezTo>
                <a:close/>
              </a:path>
            </a:pathLst>
          </a:custGeom>
          <a:noFill/>
          <a:ln w="7607"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5" name="Shape 8938">
            <a:extLst>
              <a:ext uri="{FF2B5EF4-FFF2-40B4-BE49-F238E27FC236}">
                <a16:creationId xmlns:a16="http://schemas.microsoft.com/office/drawing/2014/main" id="{00000000-0008-0000-0500-000005000000}"/>
              </a:ext>
            </a:extLst>
          </xdr:cNvPr>
          <xdr:cNvSpPr>
            <a:spLocks/>
          </xdr:cNvSpPr>
        </xdr:nvSpPr>
        <xdr:spPr bwMode="auto">
          <a:xfrm>
            <a:off x="1675" y="807"/>
            <a:ext cx="1554" cy="1554"/>
          </a:xfrm>
          <a:custGeom>
            <a:avLst/>
            <a:gdLst>
              <a:gd name="T0" fmla="*/ 0 w 155397"/>
              <a:gd name="T1" fmla="*/ 0 h 155397"/>
              <a:gd name="T2" fmla="*/ 0 w 155397"/>
              <a:gd name="T3" fmla="*/ 0 h 155397"/>
              <a:gd name="T4" fmla="*/ 0 w 155397"/>
              <a:gd name="T5" fmla="*/ 0 h 155397"/>
              <a:gd name="T6" fmla="*/ 0 w 155397"/>
              <a:gd name="T7" fmla="*/ 0 h 155397"/>
              <a:gd name="T8" fmla="*/ 0 w 155397"/>
              <a:gd name="T9" fmla="*/ 0 h 155397"/>
              <a:gd name="T10" fmla="*/ 0 w 155397"/>
              <a:gd name="T11" fmla="*/ 0 h 155397"/>
              <a:gd name="T12" fmla="*/ 0 w 155397"/>
              <a:gd name="T13" fmla="*/ 0 h 155397"/>
              <a:gd name="T14" fmla="*/ 0 w 155397"/>
              <a:gd name="T15" fmla="*/ 0 h 155397"/>
              <a:gd name="T16" fmla="*/ 0 w 155397"/>
              <a:gd name="T17" fmla="*/ 0 h 155397"/>
              <a:gd name="T18" fmla="*/ 0 w 155397"/>
              <a:gd name="T19" fmla="*/ 0 h 155397"/>
              <a:gd name="T20" fmla="*/ 0 w 155397"/>
              <a:gd name="T21" fmla="*/ 0 h 155397"/>
              <a:gd name="T22" fmla="*/ 0 w 155397"/>
              <a:gd name="T23" fmla="*/ 0 h 155397"/>
              <a:gd name="T24" fmla="*/ 0 w 155397"/>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97"/>
              <a:gd name="T40" fmla="*/ 0 h 155397"/>
              <a:gd name="T41" fmla="*/ 155397 w 155397"/>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97" h="155397">
                <a:moveTo>
                  <a:pt x="77698" y="0"/>
                </a:moveTo>
                <a:cubicBezTo>
                  <a:pt x="120358" y="0"/>
                  <a:pt x="155397" y="33515"/>
                  <a:pt x="155397" y="77698"/>
                </a:cubicBezTo>
                <a:cubicBezTo>
                  <a:pt x="155397" y="120357"/>
                  <a:pt x="120358" y="155397"/>
                  <a:pt x="77698" y="155397"/>
                </a:cubicBezTo>
                <a:cubicBezTo>
                  <a:pt x="33515" y="155397"/>
                  <a:pt x="0" y="120357"/>
                  <a:pt x="0" y="77698"/>
                </a:cubicBezTo>
                <a:cubicBezTo>
                  <a:pt x="0" y="33515"/>
                  <a:pt x="33515" y="0"/>
                  <a:pt x="77698"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6" name="Shape 8939">
            <a:extLst>
              <a:ext uri="{FF2B5EF4-FFF2-40B4-BE49-F238E27FC236}">
                <a16:creationId xmlns:a16="http://schemas.microsoft.com/office/drawing/2014/main" id="{00000000-0008-0000-0500-000006000000}"/>
              </a:ext>
            </a:extLst>
          </xdr:cNvPr>
          <xdr:cNvSpPr>
            <a:spLocks/>
          </xdr:cNvSpPr>
        </xdr:nvSpPr>
        <xdr:spPr bwMode="auto">
          <a:xfrm>
            <a:off x="1675" y="807"/>
            <a:ext cx="1554" cy="1554"/>
          </a:xfrm>
          <a:custGeom>
            <a:avLst/>
            <a:gdLst>
              <a:gd name="T0" fmla="*/ 0 w 155397"/>
              <a:gd name="T1" fmla="*/ 0 h 155397"/>
              <a:gd name="T2" fmla="*/ 0 w 155397"/>
              <a:gd name="T3" fmla="*/ 0 h 155397"/>
              <a:gd name="T4" fmla="*/ 0 w 155397"/>
              <a:gd name="T5" fmla="*/ 0 h 155397"/>
              <a:gd name="T6" fmla="*/ 0 w 155397"/>
              <a:gd name="T7" fmla="*/ 0 h 155397"/>
              <a:gd name="T8" fmla="*/ 0 w 155397"/>
              <a:gd name="T9" fmla="*/ 0 h 155397"/>
              <a:gd name="T10" fmla="*/ 0 w 155397"/>
              <a:gd name="T11" fmla="*/ 0 h 155397"/>
              <a:gd name="T12" fmla="*/ 0 w 155397"/>
              <a:gd name="T13" fmla="*/ 0 h 155397"/>
              <a:gd name="T14" fmla="*/ 0 w 155397"/>
              <a:gd name="T15" fmla="*/ 0 h 155397"/>
              <a:gd name="T16" fmla="*/ 0 w 155397"/>
              <a:gd name="T17" fmla="*/ 0 h 155397"/>
              <a:gd name="T18" fmla="*/ 0 w 155397"/>
              <a:gd name="T19" fmla="*/ 0 h 155397"/>
              <a:gd name="T20" fmla="*/ 0 w 155397"/>
              <a:gd name="T21" fmla="*/ 0 h 155397"/>
              <a:gd name="T22" fmla="*/ 0 w 155397"/>
              <a:gd name="T23" fmla="*/ 0 h 155397"/>
              <a:gd name="T24" fmla="*/ 0 w 155397"/>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97"/>
              <a:gd name="T40" fmla="*/ 0 h 155397"/>
              <a:gd name="T41" fmla="*/ 155397 w 155397"/>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97" h="155397">
                <a:moveTo>
                  <a:pt x="155397" y="77698"/>
                </a:moveTo>
                <a:cubicBezTo>
                  <a:pt x="155397" y="33515"/>
                  <a:pt x="120358" y="0"/>
                  <a:pt x="77698" y="0"/>
                </a:cubicBezTo>
                <a:cubicBezTo>
                  <a:pt x="33515" y="0"/>
                  <a:pt x="0" y="33515"/>
                  <a:pt x="0" y="77698"/>
                </a:cubicBezTo>
                <a:cubicBezTo>
                  <a:pt x="0" y="120357"/>
                  <a:pt x="33515" y="155397"/>
                  <a:pt x="77698" y="155397"/>
                </a:cubicBezTo>
                <a:cubicBezTo>
                  <a:pt x="120358" y="155397"/>
                  <a:pt x="155397" y="120357"/>
                  <a:pt x="155397" y="77698"/>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 name="Shape 8940">
            <a:extLst>
              <a:ext uri="{FF2B5EF4-FFF2-40B4-BE49-F238E27FC236}">
                <a16:creationId xmlns:a16="http://schemas.microsoft.com/office/drawing/2014/main" id="{00000000-0008-0000-0500-000007000000}"/>
              </a:ext>
            </a:extLst>
          </xdr:cNvPr>
          <xdr:cNvSpPr>
            <a:spLocks/>
          </xdr:cNvSpPr>
        </xdr:nvSpPr>
        <xdr:spPr bwMode="auto">
          <a:xfrm>
            <a:off x="2315" y="1416"/>
            <a:ext cx="351"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16764" y="0"/>
                </a:moveTo>
                <a:cubicBezTo>
                  <a:pt x="25895" y="0"/>
                  <a:pt x="35039" y="6096"/>
                  <a:pt x="35039" y="16751"/>
                </a:cubicBezTo>
                <a:cubicBezTo>
                  <a:pt x="35039" y="25895"/>
                  <a:pt x="25895" y="33515"/>
                  <a:pt x="16764" y="33515"/>
                </a:cubicBezTo>
                <a:cubicBezTo>
                  <a:pt x="7620" y="33515"/>
                  <a:pt x="0" y="25895"/>
                  <a:pt x="0" y="16751"/>
                </a:cubicBezTo>
                <a:cubicBezTo>
                  <a:pt x="0" y="6096"/>
                  <a:pt x="7620" y="0"/>
                  <a:pt x="16764"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8" name="Shape 8941">
            <a:extLst>
              <a:ext uri="{FF2B5EF4-FFF2-40B4-BE49-F238E27FC236}">
                <a16:creationId xmlns:a16="http://schemas.microsoft.com/office/drawing/2014/main" id="{00000000-0008-0000-0500-000008000000}"/>
              </a:ext>
            </a:extLst>
          </xdr:cNvPr>
          <xdr:cNvSpPr>
            <a:spLocks/>
          </xdr:cNvSpPr>
        </xdr:nvSpPr>
        <xdr:spPr bwMode="auto">
          <a:xfrm>
            <a:off x="2315" y="1416"/>
            <a:ext cx="351"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35039" y="16751"/>
                </a:moveTo>
                <a:cubicBezTo>
                  <a:pt x="35039" y="6096"/>
                  <a:pt x="25895" y="0"/>
                  <a:pt x="16764" y="0"/>
                </a:cubicBezTo>
                <a:cubicBezTo>
                  <a:pt x="7620" y="0"/>
                  <a:pt x="0" y="6096"/>
                  <a:pt x="0" y="16751"/>
                </a:cubicBezTo>
                <a:cubicBezTo>
                  <a:pt x="0" y="25895"/>
                  <a:pt x="7620" y="33515"/>
                  <a:pt x="16764" y="33515"/>
                </a:cubicBezTo>
                <a:cubicBezTo>
                  <a:pt x="25895" y="33515"/>
                  <a:pt x="35039" y="25895"/>
                  <a:pt x="35039" y="16751"/>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9" name="Shape 8942">
            <a:extLst>
              <a:ext uri="{FF2B5EF4-FFF2-40B4-BE49-F238E27FC236}">
                <a16:creationId xmlns:a16="http://schemas.microsoft.com/office/drawing/2014/main" id="{00000000-0008-0000-0500-000009000000}"/>
              </a:ext>
            </a:extLst>
          </xdr:cNvPr>
          <xdr:cNvSpPr>
            <a:spLocks/>
          </xdr:cNvSpPr>
        </xdr:nvSpPr>
        <xdr:spPr bwMode="auto">
          <a:xfrm>
            <a:off x="91" y="792"/>
            <a:ext cx="1539" cy="1569"/>
          </a:xfrm>
          <a:custGeom>
            <a:avLst/>
            <a:gdLst>
              <a:gd name="T0" fmla="*/ 0 w 153873"/>
              <a:gd name="T1" fmla="*/ 0 h 156921"/>
              <a:gd name="T2" fmla="*/ 0 w 153873"/>
              <a:gd name="T3" fmla="*/ 0 h 156921"/>
              <a:gd name="T4" fmla="*/ 0 w 153873"/>
              <a:gd name="T5" fmla="*/ 0 h 156921"/>
              <a:gd name="T6" fmla="*/ 0 w 153873"/>
              <a:gd name="T7" fmla="*/ 0 h 156921"/>
              <a:gd name="T8" fmla="*/ 0 w 153873"/>
              <a:gd name="T9" fmla="*/ 0 h 156921"/>
              <a:gd name="T10" fmla="*/ 0 w 153873"/>
              <a:gd name="T11" fmla="*/ 0 h 156921"/>
              <a:gd name="T12" fmla="*/ 0 w 153873"/>
              <a:gd name="T13" fmla="*/ 0 h 156921"/>
              <a:gd name="T14" fmla="*/ 0 w 153873"/>
              <a:gd name="T15" fmla="*/ 0 h 156921"/>
              <a:gd name="T16" fmla="*/ 0 w 153873"/>
              <a:gd name="T17" fmla="*/ 0 h 156921"/>
              <a:gd name="T18" fmla="*/ 0 w 153873"/>
              <a:gd name="T19" fmla="*/ 0 h 156921"/>
              <a:gd name="T20" fmla="*/ 0 w 153873"/>
              <a:gd name="T21" fmla="*/ 0 h 156921"/>
              <a:gd name="T22" fmla="*/ 0 w 153873"/>
              <a:gd name="T23" fmla="*/ 0 h 156921"/>
              <a:gd name="T24" fmla="*/ 0 w 153873"/>
              <a:gd name="T25" fmla="*/ 0 h 15692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3873"/>
              <a:gd name="T40" fmla="*/ 0 h 156921"/>
              <a:gd name="T41" fmla="*/ 153873 w 153873"/>
              <a:gd name="T42" fmla="*/ 156921 h 15692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3873" h="156921">
                <a:moveTo>
                  <a:pt x="76174" y="0"/>
                </a:moveTo>
                <a:cubicBezTo>
                  <a:pt x="118833" y="0"/>
                  <a:pt x="153873" y="35039"/>
                  <a:pt x="153873" y="77698"/>
                </a:cubicBezTo>
                <a:cubicBezTo>
                  <a:pt x="153873" y="120357"/>
                  <a:pt x="118833" y="156921"/>
                  <a:pt x="76174" y="156921"/>
                </a:cubicBezTo>
                <a:cubicBezTo>
                  <a:pt x="33515" y="156921"/>
                  <a:pt x="0" y="120357"/>
                  <a:pt x="0" y="77698"/>
                </a:cubicBezTo>
                <a:cubicBezTo>
                  <a:pt x="0" y="35039"/>
                  <a:pt x="33515" y="0"/>
                  <a:pt x="76174"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0" name="Shape 8943">
            <a:extLst>
              <a:ext uri="{FF2B5EF4-FFF2-40B4-BE49-F238E27FC236}">
                <a16:creationId xmlns:a16="http://schemas.microsoft.com/office/drawing/2014/main" id="{00000000-0008-0000-0500-00000A000000}"/>
              </a:ext>
            </a:extLst>
          </xdr:cNvPr>
          <xdr:cNvSpPr>
            <a:spLocks/>
          </xdr:cNvSpPr>
        </xdr:nvSpPr>
        <xdr:spPr bwMode="auto">
          <a:xfrm>
            <a:off x="91" y="792"/>
            <a:ext cx="1539" cy="1569"/>
          </a:xfrm>
          <a:custGeom>
            <a:avLst/>
            <a:gdLst>
              <a:gd name="T0" fmla="*/ 0 w 153873"/>
              <a:gd name="T1" fmla="*/ 0 h 156921"/>
              <a:gd name="T2" fmla="*/ 0 w 153873"/>
              <a:gd name="T3" fmla="*/ 0 h 156921"/>
              <a:gd name="T4" fmla="*/ 0 w 153873"/>
              <a:gd name="T5" fmla="*/ 0 h 156921"/>
              <a:gd name="T6" fmla="*/ 0 w 153873"/>
              <a:gd name="T7" fmla="*/ 0 h 156921"/>
              <a:gd name="T8" fmla="*/ 0 w 153873"/>
              <a:gd name="T9" fmla="*/ 0 h 156921"/>
              <a:gd name="T10" fmla="*/ 0 w 153873"/>
              <a:gd name="T11" fmla="*/ 0 h 156921"/>
              <a:gd name="T12" fmla="*/ 0 w 153873"/>
              <a:gd name="T13" fmla="*/ 0 h 156921"/>
              <a:gd name="T14" fmla="*/ 0 w 153873"/>
              <a:gd name="T15" fmla="*/ 0 h 156921"/>
              <a:gd name="T16" fmla="*/ 0 w 153873"/>
              <a:gd name="T17" fmla="*/ 0 h 156921"/>
              <a:gd name="T18" fmla="*/ 0 w 153873"/>
              <a:gd name="T19" fmla="*/ 0 h 156921"/>
              <a:gd name="T20" fmla="*/ 0 w 153873"/>
              <a:gd name="T21" fmla="*/ 0 h 156921"/>
              <a:gd name="T22" fmla="*/ 0 w 153873"/>
              <a:gd name="T23" fmla="*/ 0 h 156921"/>
              <a:gd name="T24" fmla="*/ 0 w 153873"/>
              <a:gd name="T25" fmla="*/ 0 h 15692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3873"/>
              <a:gd name="T40" fmla="*/ 0 h 156921"/>
              <a:gd name="T41" fmla="*/ 153873 w 153873"/>
              <a:gd name="T42" fmla="*/ 156921 h 15692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3873" h="156921">
                <a:moveTo>
                  <a:pt x="153873" y="77698"/>
                </a:moveTo>
                <a:cubicBezTo>
                  <a:pt x="153873" y="35039"/>
                  <a:pt x="118833" y="0"/>
                  <a:pt x="76174" y="0"/>
                </a:cubicBezTo>
                <a:cubicBezTo>
                  <a:pt x="33515" y="0"/>
                  <a:pt x="0" y="35039"/>
                  <a:pt x="0" y="77698"/>
                </a:cubicBezTo>
                <a:cubicBezTo>
                  <a:pt x="0" y="120357"/>
                  <a:pt x="33515" y="156921"/>
                  <a:pt x="76174" y="156921"/>
                </a:cubicBezTo>
                <a:cubicBezTo>
                  <a:pt x="118833" y="156921"/>
                  <a:pt x="153873" y="120357"/>
                  <a:pt x="153873" y="77698"/>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1" name="Shape 8944">
            <a:extLst>
              <a:ext uri="{FF2B5EF4-FFF2-40B4-BE49-F238E27FC236}">
                <a16:creationId xmlns:a16="http://schemas.microsoft.com/office/drawing/2014/main" id="{00000000-0008-0000-0500-00000B000000}"/>
              </a:ext>
            </a:extLst>
          </xdr:cNvPr>
          <xdr:cNvSpPr>
            <a:spLocks/>
          </xdr:cNvSpPr>
        </xdr:nvSpPr>
        <xdr:spPr bwMode="auto">
          <a:xfrm>
            <a:off x="716" y="1401"/>
            <a:ext cx="350" cy="350"/>
          </a:xfrm>
          <a:custGeom>
            <a:avLst/>
            <a:gdLst>
              <a:gd name="T0" fmla="*/ 0 w 35039"/>
              <a:gd name="T1" fmla="*/ 0 h 35039"/>
              <a:gd name="T2" fmla="*/ 0 w 35039"/>
              <a:gd name="T3" fmla="*/ 0 h 35039"/>
              <a:gd name="T4" fmla="*/ 0 w 35039"/>
              <a:gd name="T5" fmla="*/ 0 h 35039"/>
              <a:gd name="T6" fmla="*/ 0 w 35039"/>
              <a:gd name="T7" fmla="*/ 0 h 35039"/>
              <a:gd name="T8" fmla="*/ 0 w 35039"/>
              <a:gd name="T9" fmla="*/ 0 h 35039"/>
              <a:gd name="T10" fmla="*/ 0 w 35039"/>
              <a:gd name="T11" fmla="*/ 0 h 35039"/>
              <a:gd name="T12" fmla="*/ 0 w 35039"/>
              <a:gd name="T13" fmla="*/ 0 h 35039"/>
              <a:gd name="T14" fmla="*/ 0 w 35039"/>
              <a:gd name="T15" fmla="*/ 0 h 35039"/>
              <a:gd name="T16" fmla="*/ 0 w 35039"/>
              <a:gd name="T17" fmla="*/ 0 h 35039"/>
              <a:gd name="T18" fmla="*/ 0 w 35039"/>
              <a:gd name="T19" fmla="*/ 0 h 35039"/>
              <a:gd name="T20" fmla="*/ 0 w 35039"/>
              <a:gd name="T21" fmla="*/ 0 h 35039"/>
              <a:gd name="T22" fmla="*/ 0 w 35039"/>
              <a:gd name="T23" fmla="*/ 0 h 35039"/>
              <a:gd name="T24" fmla="*/ 0 w 35039"/>
              <a:gd name="T25" fmla="*/ 0 h 3503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5039"/>
              <a:gd name="T41" fmla="*/ 35039 w 35039"/>
              <a:gd name="T42" fmla="*/ 35039 h 3503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5039">
                <a:moveTo>
                  <a:pt x="16764" y="0"/>
                </a:moveTo>
                <a:cubicBezTo>
                  <a:pt x="25908" y="0"/>
                  <a:pt x="35039" y="7620"/>
                  <a:pt x="35039" y="16751"/>
                </a:cubicBezTo>
                <a:cubicBezTo>
                  <a:pt x="35039" y="25895"/>
                  <a:pt x="25908" y="35039"/>
                  <a:pt x="16764" y="35039"/>
                </a:cubicBezTo>
                <a:cubicBezTo>
                  <a:pt x="7620" y="35039"/>
                  <a:pt x="0" y="25895"/>
                  <a:pt x="0" y="16751"/>
                </a:cubicBezTo>
                <a:cubicBezTo>
                  <a:pt x="0" y="7620"/>
                  <a:pt x="7620" y="0"/>
                  <a:pt x="16764"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2" name="Shape 8945">
            <a:extLst>
              <a:ext uri="{FF2B5EF4-FFF2-40B4-BE49-F238E27FC236}">
                <a16:creationId xmlns:a16="http://schemas.microsoft.com/office/drawing/2014/main" id="{00000000-0008-0000-0500-00000C000000}"/>
              </a:ext>
            </a:extLst>
          </xdr:cNvPr>
          <xdr:cNvSpPr>
            <a:spLocks/>
          </xdr:cNvSpPr>
        </xdr:nvSpPr>
        <xdr:spPr bwMode="auto">
          <a:xfrm>
            <a:off x="716" y="1401"/>
            <a:ext cx="350" cy="350"/>
          </a:xfrm>
          <a:custGeom>
            <a:avLst/>
            <a:gdLst>
              <a:gd name="T0" fmla="*/ 0 w 35039"/>
              <a:gd name="T1" fmla="*/ 0 h 35039"/>
              <a:gd name="T2" fmla="*/ 0 w 35039"/>
              <a:gd name="T3" fmla="*/ 0 h 35039"/>
              <a:gd name="T4" fmla="*/ 0 w 35039"/>
              <a:gd name="T5" fmla="*/ 0 h 35039"/>
              <a:gd name="T6" fmla="*/ 0 w 35039"/>
              <a:gd name="T7" fmla="*/ 0 h 35039"/>
              <a:gd name="T8" fmla="*/ 0 w 35039"/>
              <a:gd name="T9" fmla="*/ 0 h 35039"/>
              <a:gd name="T10" fmla="*/ 0 w 35039"/>
              <a:gd name="T11" fmla="*/ 0 h 35039"/>
              <a:gd name="T12" fmla="*/ 0 w 35039"/>
              <a:gd name="T13" fmla="*/ 0 h 35039"/>
              <a:gd name="T14" fmla="*/ 0 w 35039"/>
              <a:gd name="T15" fmla="*/ 0 h 35039"/>
              <a:gd name="T16" fmla="*/ 0 w 35039"/>
              <a:gd name="T17" fmla="*/ 0 h 35039"/>
              <a:gd name="T18" fmla="*/ 0 w 35039"/>
              <a:gd name="T19" fmla="*/ 0 h 35039"/>
              <a:gd name="T20" fmla="*/ 0 w 35039"/>
              <a:gd name="T21" fmla="*/ 0 h 35039"/>
              <a:gd name="T22" fmla="*/ 0 w 35039"/>
              <a:gd name="T23" fmla="*/ 0 h 35039"/>
              <a:gd name="T24" fmla="*/ 0 w 35039"/>
              <a:gd name="T25" fmla="*/ 0 h 3503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5039"/>
              <a:gd name="T41" fmla="*/ 35039 w 35039"/>
              <a:gd name="T42" fmla="*/ 35039 h 3503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5039">
                <a:moveTo>
                  <a:pt x="35039" y="16751"/>
                </a:moveTo>
                <a:cubicBezTo>
                  <a:pt x="35039" y="7620"/>
                  <a:pt x="25908" y="0"/>
                  <a:pt x="16764" y="0"/>
                </a:cubicBezTo>
                <a:cubicBezTo>
                  <a:pt x="7620" y="0"/>
                  <a:pt x="0" y="7620"/>
                  <a:pt x="0" y="16751"/>
                </a:cubicBezTo>
                <a:cubicBezTo>
                  <a:pt x="0" y="25895"/>
                  <a:pt x="7620" y="35039"/>
                  <a:pt x="16764" y="35039"/>
                </a:cubicBezTo>
                <a:cubicBezTo>
                  <a:pt x="25908" y="35039"/>
                  <a:pt x="35039" y="25895"/>
                  <a:pt x="35039" y="16751"/>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3" name="Shape 8946">
            <a:extLst>
              <a:ext uri="{FF2B5EF4-FFF2-40B4-BE49-F238E27FC236}">
                <a16:creationId xmlns:a16="http://schemas.microsoft.com/office/drawing/2014/main" id="{00000000-0008-0000-0500-00000D000000}"/>
              </a:ext>
            </a:extLst>
          </xdr:cNvPr>
          <xdr:cNvSpPr>
            <a:spLocks/>
          </xdr:cNvSpPr>
        </xdr:nvSpPr>
        <xdr:spPr bwMode="auto">
          <a:xfrm>
            <a:off x="6688" y="45"/>
            <a:ext cx="3306" cy="3215"/>
          </a:xfrm>
          <a:custGeom>
            <a:avLst/>
            <a:gdLst>
              <a:gd name="T0" fmla="*/ 0 w 330605"/>
              <a:gd name="T1" fmla="*/ 0 h 321461"/>
              <a:gd name="T2" fmla="*/ 0 w 330605"/>
              <a:gd name="T3" fmla="*/ 0 h 321461"/>
              <a:gd name="T4" fmla="*/ 0 w 330605"/>
              <a:gd name="T5" fmla="*/ 0 h 321461"/>
              <a:gd name="T6" fmla="*/ 0 w 330605"/>
              <a:gd name="T7" fmla="*/ 0 h 321461"/>
              <a:gd name="T8" fmla="*/ 0 w 330605"/>
              <a:gd name="T9" fmla="*/ 0 h 321461"/>
              <a:gd name="T10" fmla="*/ 0 w 330605"/>
              <a:gd name="T11" fmla="*/ 0 h 321461"/>
              <a:gd name="T12" fmla="*/ 0 w 330605"/>
              <a:gd name="T13" fmla="*/ 0 h 321461"/>
              <a:gd name="T14" fmla="*/ 0 w 330605"/>
              <a:gd name="T15" fmla="*/ 0 h 321461"/>
              <a:gd name="T16" fmla="*/ 0 w 330605"/>
              <a:gd name="T17" fmla="*/ 0 h 321461"/>
              <a:gd name="T18" fmla="*/ 0 w 330605"/>
              <a:gd name="T19" fmla="*/ 0 h 321461"/>
              <a:gd name="T20" fmla="*/ 0 w 330605"/>
              <a:gd name="T21" fmla="*/ 0 h 321461"/>
              <a:gd name="T22" fmla="*/ 0 w 330605"/>
              <a:gd name="T23" fmla="*/ 0 h 321461"/>
              <a:gd name="T24" fmla="*/ 0 w 330605"/>
              <a:gd name="T25" fmla="*/ 0 h 32146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30605"/>
              <a:gd name="T40" fmla="*/ 0 h 321461"/>
              <a:gd name="T41" fmla="*/ 330605 w 330605"/>
              <a:gd name="T42" fmla="*/ 321461 h 32146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30605" h="321461">
                <a:moveTo>
                  <a:pt x="166064" y="0"/>
                </a:moveTo>
                <a:cubicBezTo>
                  <a:pt x="255955" y="0"/>
                  <a:pt x="330605" y="71602"/>
                  <a:pt x="330605" y="161492"/>
                </a:cubicBezTo>
                <a:cubicBezTo>
                  <a:pt x="330605" y="249859"/>
                  <a:pt x="255955" y="321461"/>
                  <a:pt x="166064" y="321461"/>
                </a:cubicBezTo>
                <a:cubicBezTo>
                  <a:pt x="74650" y="321461"/>
                  <a:pt x="0" y="249859"/>
                  <a:pt x="0" y="161492"/>
                </a:cubicBezTo>
                <a:cubicBezTo>
                  <a:pt x="0" y="71602"/>
                  <a:pt x="74650" y="0"/>
                  <a:pt x="166064" y="0"/>
                </a:cubicBezTo>
                <a:close/>
              </a:path>
            </a:pathLst>
          </a:custGeom>
          <a:solidFill>
            <a:srgbClr val="E1E2E3"/>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4" name="Shape 8947">
            <a:extLst>
              <a:ext uri="{FF2B5EF4-FFF2-40B4-BE49-F238E27FC236}">
                <a16:creationId xmlns:a16="http://schemas.microsoft.com/office/drawing/2014/main" id="{00000000-0008-0000-0500-00000E000000}"/>
              </a:ext>
            </a:extLst>
          </xdr:cNvPr>
          <xdr:cNvSpPr>
            <a:spLocks/>
          </xdr:cNvSpPr>
        </xdr:nvSpPr>
        <xdr:spPr bwMode="auto">
          <a:xfrm>
            <a:off x="6688" y="45"/>
            <a:ext cx="3306" cy="3215"/>
          </a:xfrm>
          <a:custGeom>
            <a:avLst/>
            <a:gdLst>
              <a:gd name="T0" fmla="*/ 0 w 330605"/>
              <a:gd name="T1" fmla="*/ 0 h 321461"/>
              <a:gd name="T2" fmla="*/ 0 w 330605"/>
              <a:gd name="T3" fmla="*/ 0 h 321461"/>
              <a:gd name="T4" fmla="*/ 0 w 330605"/>
              <a:gd name="T5" fmla="*/ 0 h 321461"/>
              <a:gd name="T6" fmla="*/ 0 w 330605"/>
              <a:gd name="T7" fmla="*/ 0 h 321461"/>
              <a:gd name="T8" fmla="*/ 0 w 330605"/>
              <a:gd name="T9" fmla="*/ 0 h 321461"/>
              <a:gd name="T10" fmla="*/ 0 w 330605"/>
              <a:gd name="T11" fmla="*/ 0 h 321461"/>
              <a:gd name="T12" fmla="*/ 0 w 330605"/>
              <a:gd name="T13" fmla="*/ 0 h 321461"/>
              <a:gd name="T14" fmla="*/ 0 w 330605"/>
              <a:gd name="T15" fmla="*/ 0 h 321461"/>
              <a:gd name="T16" fmla="*/ 0 w 330605"/>
              <a:gd name="T17" fmla="*/ 0 h 321461"/>
              <a:gd name="T18" fmla="*/ 0 w 330605"/>
              <a:gd name="T19" fmla="*/ 0 h 321461"/>
              <a:gd name="T20" fmla="*/ 0 w 330605"/>
              <a:gd name="T21" fmla="*/ 0 h 321461"/>
              <a:gd name="T22" fmla="*/ 0 w 330605"/>
              <a:gd name="T23" fmla="*/ 0 h 321461"/>
              <a:gd name="T24" fmla="*/ 0 w 330605"/>
              <a:gd name="T25" fmla="*/ 0 h 32146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30605"/>
              <a:gd name="T40" fmla="*/ 0 h 321461"/>
              <a:gd name="T41" fmla="*/ 330605 w 330605"/>
              <a:gd name="T42" fmla="*/ 321461 h 32146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30605" h="321461">
                <a:moveTo>
                  <a:pt x="330605" y="161492"/>
                </a:moveTo>
                <a:cubicBezTo>
                  <a:pt x="330605" y="71602"/>
                  <a:pt x="255955" y="0"/>
                  <a:pt x="166064" y="0"/>
                </a:cubicBezTo>
                <a:cubicBezTo>
                  <a:pt x="74650" y="0"/>
                  <a:pt x="0" y="71602"/>
                  <a:pt x="0" y="161492"/>
                </a:cubicBezTo>
                <a:cubicBezTo>
                  <a:pt x="0" y="249859"/>
                  <a:pt x="74650" y="321461"/>
                  <a:pt x="166064" y="321461"/>
                </a:cubicBezTo>
                <a:cubicBezTo>
                  <a:pt x="255955" y="321461"/>
                  <a:pt x="330605" y="249859"/>
                  <a:pt x="330605" y="161492"/>
                </a:cubicBezTo>
                <a:close/>
              </a:path>
            </a:pathLst>
          </a:custGeom>
          <a:noFill/>
          <a:ln w="7607"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5" name="Shape 8948">
            <a:extLst>
              <a:ext uri="{FF2B5EF4-FFF2-40B4-BE49-F238E27FC236}">
                <a16:creationId xmlns:a16="http://schemas.microsoft.com/office/drawing/2014/main" id="{00000000-0008-0000-0500-00000F000000}"/>
              </a:ext>
            </a:extLst>
          </xdr:cNvPr>
          <xdr:cNvSpPr>
            <a:spLocks/>
          </xdr:cNvSpPr>
        </xdr:nvSpPr>
        <xdr:spPr bwMode="auto">
          <a:xfrm>
            <a:off x="8363" y="868"/>
            <a:ext cx="1554" cy="1554"/>
          </a:xfrm>
          <a:custGeom>
            <a:avLst/>
            <a:gdLst>
              <a:gd name="T0" fmla="*/ 0 w 155397"/>
              <a:gd name="T1" fmla="*/ 0 h 155397"/>
              <a:gd name="T2" fmla="*/ 0 w 155397"/>
              <a:gd name="T3" fmla="*/ 0 h 155397"/>
              <a:gd name="T4" fmla="*/ 0 w 155397"/>
              <a:gd name="T5" fmla="*/ 0 h 155397"/>
              <a:gd name="T6" fmla="*/ 0 w 155397"/>
              <a:gd name="T7" fmla="*/ 0 h 155397"/>
              <a:gd name="T8" fmla="*/ 0 w 155397"/>
              <a:gd name="T9" fmla="*/ 0 h 155397"/>
              <a:gd name="T10" fmla="*/ 0 w 155397"/>
              <a:gd name="T11" fmla="*/ 0 h 155397"/>
              <a:gd name="T12" fmla="*/ 0 w 155397"/>
              <a:gd name="T13" fmla="*/ 0 h 155397"/>
              <a:gd name="T14" fmla="*/ 0 w 155397"/>
              <a:gd name="T15" fmla="*/ 0 h 155397"/>
              <a:gd name="T16" fmla="*/ 0 w 155397"/>
              <a:gd name="T17" fmla="*/ 0 h 155397"/>
              <a:gd name="T18" fmla="*/ 0 w 155397"/>
              <a:gd name="T19" fmla="*/ 0 h 155397"/>
              <a:gd name="T20" fmla="*/ 0 w 155397"/>
              <a:gd name="T21" fmla="*/ 0 h 155397"/>
              <a:gd name="T22" fmla="*/ 0 w 155397"/>
              <a:gd name="T23" fmla="*/ 0 h 155397"/>
              <a:gd name="T24" fmla="*/ 0 w 155397"/>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97"/>
              <a:gd name="T40" fmla="*/ 0 h 155397"/>
              <a:gd name="T41" fmla="*/ 155397 w 155397"/>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97" h="155397">
                <a:moveTo>
                  <a:pt x="77698" y="0"/>
                </a:moveTo>
                <a:cubicBezTo>
                  <a:pt x="120357" y="0"/>
                  <a:pt x="155397" y="33515"/>
                  <a:pt x="155397" y="77698"/>
                </a:cubicBezTo>
                <a:cubicBezTo>
                  <a:pt x="155397" y="120357"/>
                  <a:pt x="120357" y="155397"/>
                  <a:pt x="77698" y="155397"/>
                </a:cubicBezTo>
                <a:cubicBezTo>
                  <a:pt x="33515" y="155397"/>
                  <a:pt x="0" y="120357"/>
                  <a:pt x="0" y="77698"/>
                </a:cubicBezTo>
                <a:cubicBezTo>
                  <a:pt x="0" y="33515"/>
                  <a:pt x="33515" y="0"/>
                  <a:pt x="77698"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6" name="Shape 8949">
            <a:extLst>
              <a:ext uri="{FF2B5EF4-FFF2-40B4-BE49-F238E27FC236}">
                <a16:creationId xmlns:a16="http://schemas.microsoft.com/office/drawing/2014/main" id="{00000000-0008-0000-0500-000010000000}"/>
              </a:ext>
            </a:extLst>
          </xdr:cNvPr>
          <xdr:cNvSpPr>
            <a:spLocks/>
          </xdr:cNvSpPr>
        </xdr:nvSpPr>
        <xdr:spPr bwMode="auto">
          <a:xfrm>
            <a:off x="8363" y="868"/>
            <a:ext cx="1554" cy="1554"/>
          </a:xfrm>
          <a:custGeom>
            <a:avLst/>
            <a:gdLst>
              <a:gd name="T0" fmla="*/ 0 w 155397"/>
              <a:gd name="T1" fmla="*/ 0 h 155397"/>
              <a:gd name="T2" fmla="*/ 0 w 155397"/>
              <a:gd name="T3" fmla="*/ 0 h 155397"/>
              <a:gd name="T4" fmla="*/ 0 w 155397"/>
              <a:gd name="T5" fmla="*/ 0 h 155397"/>
              <a:gd name="T6" fmla="*/ 0 w 155397"/>
              <a:gd name="T7" fmla="*/ 0 h 155397"/>
              <a:gd name="T8" fmla="*/ 0 w 155397"/>
              <a:gd name="T9" fmla="*/ 0 h 155397"/>
              <a:gd name="T10" fmla="*/ 0 w 155397"/>
              <a:gd name="T11" fmla="*/ 0 h 155397"/>
              <a:gd name="T12" fmla="*/ 0 w 155397"/>
              <a:gd name="T13" fmla="*/ 0 h 155397"/>
              <a:gd name="T14" fmla="*/ 0 w 155397"/>
              <a:gd name="T15" fmla="*/ 0 h 155397"/>
              <a:gd name="T16" fmla="*/ 0 w 155397"/>
              <a:gd name="T17" fmla="*/ 0 h 155397"/>
              <a:gd name="T18" fmla="*/ 0 w 155397"/>
              <a:gd name="T19" fmla="*/ 0 h 155397"/>
              <a:gd name="T20" fmla="*/ 0 w 155397"/>
              <a:gd name="T21" fmla="*/ 0 h 155397"/>
              <a:gd name="T22" fmla="*/ 0 w 155397"/>
              <a:gd name="T23" fmla="*/ 0 h 155397"/>
              <a:gd name="T24" fmla="*/ 0 w 155397"/>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97"/>
              <a:gd name="T40" fmla="*/ 0 h 155397"/>
              <a:gd name="T41" fmla="*/ 155397 w 155397"/>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97" h="155397">
                <a:moveTo>
                  <a:pt x="155397" y="77698"/>
                </a:moveTo>
                <a:cubicBezTo>
                  <a:pt x="155397" y="33515"/>
                  <a:pt x="120357" y="0"/>
                  <a:pt x="77698" y="0"/>
                </a:cubicBezTo>
                <a:cubicBezTo>
                  <a:pt x="33515" y="0"/>
                  <a:pt x="0" y="33515"/>
                  <a:pt x="0" y="77698"/>
                </a:cubicBezTo>
                <a:cubicBezTo>
                  <a:pt x="0" y="120357"/>
                  <a:pt x="33515" y="155397"/>
                  <a:pt x="77698" y="155397"/>
                </a:cubicBezTo>
                <a:cubicBezTo>
                  <a:pt x="120357" y="155397"/>
                  <a:pt x="155397" y="120357"/>
                  <a:pt x="155397" y="77698"/>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7" name="Shape 8950">
            <a:extLst>
              <a:ext uri="{FF2B5EF4-FFF2-40B4-BE49-F238E27FC236}">
                <a16:creationId xmlns:a16="http://schemas.microsoft.com/office/drawing/2014/main" id="{00000000-0008-0000-0500-000011000000}"/>
              </a:ext>
            </a:extLst>
          </xdr:cNvPr>
          <xdr:cNvSpPr>
            <a:spLocks/>
          </xdr:cNvSpPr>
        </xdr:nvSpPr>
        <xdr:spPr bwMode="auto">
          <a:xfrm>
            <a:off x="8988" y="1477"/>
            <a:ext cx="350"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16764" y="0"/>
                </a:moveTo>
                <a:cubicBezTo>
                  <a:pt x="25908" y="0"/>
                  <a:pt x="35039" y="6083"/>
                  <a:pt x="35039" y="16751"/>
                </a:cubicBezTo>
                <a:cubicBezTo>
                  <a:pt x="35039" y="25895"/>
                  <a:pt x="25908" y="33515"/>
                  <a:pt x="16764" y="33515"/>
                </a:cubicBezTo>
                <a:cubicBezTo>
                  <a:pt x="7620" y="33515"/>
                  <a:pt x="0" y="25895"/>
                  <a:pt x="0" y="16751"/>
                </a:cubicBezTo>
                <a:cubicBezTo>
                  <a:pt x="0" y="6083"/>
                  <a:pt x="7620" y="0"/>
                  <a:pt x="16764"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8" name="Shape 8951">
            <a:extLst>
              <a:ext uri="{FF2B5EF4-FFF2-40B4-BE49-F238E27FC236}">
                <a16:creationId xmlns:a16="http://schemas.microsoft.com/office/drawing/2014/main" id="{00000000-0008-0000-0500-000012000000}"/>
              </a:ext>
            </a:extLst>
          </xdr:cNvPr>
          <xdr:cNvSpPr>
            <a:spLocks/>
          </xdr:cNvSpPr>
        </xdr:nvSpPr>
        <xdr:spPr bwMode="auto">
          <a:xfrm>
            <a:off x="8988" y="1477"/>
            <a:ext cx="350"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35039" y="16751"/>
                </a:moveTo>
                <a:cubicBezTo>
                  <a:pt x="35039" y="6083"/>
                  <a:pt x="25908" y="0"/>
                  <a:pt x="16764" y="0"/>
                </a:cubicBezTo>
                <a:cubicBezTo>
                  <a:pt x="7620" y="0"/>
                  <a:pt x="0" y="6083"/>
                  <a:pt x="0" y="16751"/>
                </a:cubicBezTo>
                <a:cubicBezTo>
                  <a:pt x="0" y="25895"/>
                  <a:pt x="7620" y="33515"/>
                  <a:pt x="16764" y="33515"/>
                </a:cubicBezTo>
                <a:cubicBezTo>
                  <a:pt x="25908" y="33515"/>
                  <a:pt x="35039" y="25895"/>
                  <a:pt x="35039" y="16751"/>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9" name="Shape 8952">
            <a:extLst>
              <a:ext uri="{FF2B5EF4-FFF2-40B4-BE49-F238E27FC236}">
                <a16:creationId xmlns:a16="http://schemas.microsoft.com/office/drawing/2014/main" id="{00000000-0008-0000-0500-000013000000}"/>
              </a:ext>
            </a:extLst>
          </xdr:cNvPr>
          <xdr:cNvSpPr>
            <a:spLocks/>
          </xdr:cNvSpPr>
        </xdr:nvSpPr>
        <xdr:spPr bwMode="auto">
          <a:xfrm>
            <a:off x="6764" y="853"/>
            <a:ext cx="1538" cy="1554"/>
          </a:xfrm>
          <a:custGeom>
            <a:avLst/>
            <a:gdLst>
              <a:gd name="T0" fmla="*/ 0 w 153873"/>
              <a:gd name="T1" fmla="*/ 0 h 155397"/>
              <a:gd name="T2" fmla="*/ 0 w 153873"/>
              <a:gd name="T3" fmla="*/ 0 h 155397"/>
              <a:gd name="T4" fmla="*/ 0 w 153873"/>
              <a:gd name="T5" fmla="*/ 0 h 155397"/>
              <a:gd name="T6" fmla="*/ 0 w 153873"/>
              <a:gd name="T7" fmla="*/ 0 h 155397"/>
              <a:gd name="T8" fmla="*/ 0 w 153873"/>
              <a:gd name="T9" fmla="*/ 0 h 155397"/>
              <a:gd name="T10" fmla="*/ 0 w 153873"/>
              <a:gd name="T11" fmla="*/ 0 h 155397"/>
              <a:gd name="T12" fmla="*/ 0 w 153873"/>
              <a:gd name="T13" fmla="*/ 0 h 155397"/>
              <a:gd name="T14" fmla="*/ 0 w 153873"/>
              <a:gd name="T15" fmla="*/ 0 h 155397"/>
              <a:gd name="T16" fmla="*/ 0 w 153873"/>
              <a:gd name="T17" fmla="*/ 0 h 155397"/>
              <a:gd name="T18" fmla="*/ 0 w 153873"/>
              <a:gd name="T19" fmla="*/ 0 h 155397"/>
              <a:gd name="T20" fmla="*/ 0 w 153873"/>
              <a:gd name="T21" fmla="*/ 0 h 155397"/>
              <a:gd name="T22" fmla="*/ 0 w 153873"/>
              <a:gd name="T23" fmla="*/ 0 h 155397"/>
              <a:gd name="T24" fmla="*/ 0 w 153873"/>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3873"/>
              <a:gd name="T40" fmla="*/ 0 h 155397"/>
              <a:gd name="T41" fmla="*/ 153873 w 153873"/>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3873" h="155397">
                <a:moveTo>
                  <a:pt x="76174" y="0"/>
                </a:moveTo>
                <a:cubicBezTo>
                  <a:pt x="118833" y="0"/>
                  <a:pt x="153873" y="33515"/>
                  <a:pt x="153873" y="77698"/>
                </a:cubicBezTo>
                <a:cubicBezTo>
                  <a:pt x="153873" y="120357"/>
                  <a:pt x="118833" y="155397"/>
                  <a:pt x="76174" y="155397"/>
                </a:cubicBezTo>
                <a:cubicBezTo>
                  <a:pt x="33515" y="155397"/>
                  <a:pt x="0" y="120357"/>
                  <a:pt x="0" y="77698"/>
                </a:cubicBezTo>
                <a:cubicBezTo>
                  <a:pt x="0" y="33515"/>
                  <a:pt x="33515" y="0"/>
                  <a:pt x="76174"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20" name="Shape 8953">
            <a:extLst>
              <a:ext uri="{FF2B5EF4-FFF2-40B4-BE49-F238E27FC236}">
                <a16:creationId xmlns:a16="http://schemas.microsoft.com/office/drawing/2014/main" id="{00000000-0008-0000-0500-000014000000}"/>
              </a:ext>
            </a:extLst>
          </xdr:cNvPr>
          <xdr:cNvSpPr>
            <a:spLocks/>
          </xdr:cNvSpPr>
        </xdr:nvSpPr>
        <xdr:spPr bwMode="auto">
          <a:xfrm>
            <a:off x="6764" y="853"/>
            <a:ext cx="1538" cy="1554"/>
          </a:xfrm>
          <a:custGeom>
            <a:avLst/>
            <a:gdLst>
              <a:gd name="T0" fmla="*/ 0 w 153873"/>
              <a:gd name="T1" fmla="*/ 0 h 155397"/>
              <a:gd name="T2" fmla="*/ 0 w 153873"/>
              <a:gd name="T3" fmla="*/ 0 h 155397"/>
              <a:gd name="T4" fmla="*/ 0 w 153873"/>
              <a:gd name="T5" fmla="*/ 0 h 155397"/>
              <a:gd name="T6" fmla="*/ 0 w 153873"/>
              <a:gd name="T7" fmla="*/ 0 h 155397"/>
              <a:gd name="T8" fmla="*/ 0 w 153873"/>
              <a:gd name="T9" fmla="*/ 0 h 155397"/>
              <a:gd name="T10" fmla="*/ 0 w 153873"/>
              <a:gd name="T11" fmla="*/ 0 h 155397"/>
              <a:gd name="T12" fmla="*/ 0 w 153873"/>
              <a:gd name="T13" fmla="*/ 0 h 155397"/>
              <a:gd name="T14" fmla="*/ 0 w 153873"/>
              <a:gd name="T15" fmla="*/ 0 h 155397"/>
              <a:gd name="T16" fmla="*/ 0 w 153873"/>
              <a:gd name="T17" fmla="*/ 0 h 155397"/>
              <a:gd name="T18" fmla="*/ 0 w 153873"/>
              <a:gd name="T19" fmla="*/ 0 h 155397"/>
              <a:gd name="T20" fmla="*/ 0 w 153873"/>
              <a:gd name="T21" fmla="*/ 0 h 155397"/>
              <a:gd name="T22" fmla="*/ 0 w 153873"/>
              <a:gd name="T23" fmla="*/ 0 h 155397"/>
              <a:gd name="T24" fmla="*/ 0 w 153873"/>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3873"/>
              <a:gd name="T40" fmla="*/ 0 h 155397"/>
              <a:gd name="T41" fmla="*/ 153873 w 153873"/>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3873" h="155397">
                <a:moveTo>
                  <a:pt x="153873" y="77698"/>
                </a:moveTo>
                <a:cubicBezTo>
                  <a:pt x="153873" y="33515"/>
                  <a:pt x="118833" y="0"/>
                  <a:pt x="76174" y="0"/>
                </a:cubicBezTo>
                <a:cubicBezTo>
                  <a:pt x="33515" y="0"/>
                  <a:pt x="0" y="33515"/>
                  <a:pt x="0" y="77698"/>
                </a:cubicBezTo>
                <a:cubicBezTo>
                  <a:pt x="0" y="120357"/>
                  <a:pt x="33515" y="155397"/>
                  <a:pt x="76174" y="155397"/>
                </a:cubicBezTo>
                <a:cubicBezTo>
                  <a:pt x="118833" y="155397"/>
                  <a:pt x="153873" y="120357"/>
                  <a:pt x="153873" y="77698"/>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21" name="Shape 8954">
            <a:extLst>
              <a:ext uri="{FF2B5EF4-FFF2-40B4-BE49-F238E27FC236}">
                <a16:creationId xmlns:a16="http://schemas.microsoft.com/office/drawing/2014/main" id="{00000000-0008-0000-0500-000015000000}"/>
              </a:ext>
            </a:extLst>
          </xdr:cNvPr>
          <xdr:cNvSpPr>
            <a:spLocks/>
          </xdr:cNvSpPr>
        </xdr:nvSpPr>
        <xdr:spPr bwMode="auto">
          <a:xfrm>
            <a:off x="7388" y="1462"/>
            <a:ext cx="366" cy="335"/>
          </a:xfrm>
          <a:custGeom>
            <a:avLst/>
            <a:gdLst>
              <a:gd name="T0" fmla="*/ 0 w 36563"/>
              <a:gd name="T1" fmla="*/ 0 h 33515"/>
              <a:gd name="T2" fmla="*/ 0 w 36563"/>
              <a:gd name="T3" fmla="*/ 0 h 33515"/>
              <a:gd name="T4" fmla="*/ 0 w 36563"/>
              <a:gd name="T5" fmla="*/ 0 h 33515"/>
              <a:gd name="T6" fmla="*/ 0 w 36563"/>
              <a:gd name="T7" fmla="*/ 0 h 33515"/>
              <a:gd name="T8" fmla="*/ 0 w 36563"/>
              <a:gd name="T9" fmla="*/ 0 h 33515"/>
              <a:gd name="T10" fmla="*/ 0 w 36563"/>
              <a:gd name="T11" fmla="*/ 0 h 33515"/>
              <a:gd name="T12" fmla="*/ 0 w 36563"/>
              <a:gd name="T13" fmla="*/ 0 h 33515"/>
              <a:gd name="T14" fmla="*/ 0 w 36563"/>
              <a:gd name="T15" fmla="*/ 0 h 33515"/>
              <a:gd name="T16" fmla="*/ 0 w 36563"/>
              <a:gd name="T17" fmla="*/ 0 h 33515"/>
              <a:gd name="T18" fmla="*/ 0 w 36563"/>
              <a:gd name="T19" fmla="*/ 0 h 33515"/>
              <a:gd name="T20" fmla="*/ 0 w 36563"/>
              <a:gd name="T21" fmla="*/ 0 h 33515"/>
              <a:gd name="T22" fmla="*/ 0 w 36563"/>
              <a:gd name="T23" fmla="*/ 0 h 33515"/>
              <a:gd name="T24" fmla="*/ 0 w 36563"/>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6563"/>
              <a:gd name="T40" fmla="*/ 0 h 33515"/>
              <a:gd name="T41" fmla="*/ 36563 w 36563"/>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6563" h="33515">
                <a:moveTo>
                  <a:pt x="18275" y="0"/>
                </a:moveTo>
                <a:cubicBezTo>
                  <a:pt x="27419" y="0"/>
                  <a:pt x="36563" y="6083"/>
                  <a:pt x="36563" y="16751"/>
                </a:cubicBezTo>
                <a:cubicBezTo>
                  <a:pt x="36563" y="25895"/>
                  <a:pt x="27419" y="33515"/>
                  <a:pt x="18275" y="33515"/>
                </a:cubicBezTo>
                <a:cubicBezTo>
                  <a:pt x="7607" y="33515"/>
                  <a:pt x="0" y="25895"/>
                  <a:pt x="0" y="16751"/>
                </a:cubicBezTo>
                <a:cubicBezTo>
                  <a:pt x="0" y="6083"/>
                  <a:pt x="7607" y="0"/>
                  <a:pt x="18275"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22" name="Shape 8955">
            <a:extLst>
              <a:ext uri="{FF2B5EF4-FFF2-40B4-BE49-F238E27FC236}">
                <a16:creationId xmlns:a16="http://schemas.microsoft.com/office/drawing/2014/main" id="{00000000-0008-0000-0500-000016000000}"/>
              </a:ext>
            </a:extLst>
          </xdr:cNvPr>
          <xdr:cNvSpPr>
            <a:spLocks/>
          </xdr:cNvSpPr>
        </xdr:nvSpPr>
        <xdr:spPr bwMode="auto">
          <a:xfrm>
            <a:off x="7388" y="1462"/>
            <a:ext cx="366" cy="335"/>
          </a:xfrm>
          <a:custGeom>
            <a:avLst/>
            <a:gdLst>
              <a:gd name="T0" fmla="*/ 0 w 36563"/>
              <a:gd name="T1" fmla="*/ 0 h 33515"/>
              <a:gd name="T2" fmla="*/ 0 w 36563"/>
              <a:gd name="T3" fmla="*/ 0 h 33515"/>
              <a:gd name="T4" fmla="*/ 0 w 36563"/>
              <a:gd name="T5" fmla="*/ 0 h 33515"/>
              <a:gd name="T6" fmla="*/ 0 w 36563"/>
              <a:gd name="T7" fmla="*/ 0 h 33515"/>
              <a:gd name="T8" fmla="*/ 0 w 36563"/>
              <a:gd name="T9" fmla="*/ 0 h 33515"/>
              <a:gd name="T10" fmla="*/ 0 w 36563"/>
              <a:gd name="T11" fmla="*/ 0 h 33515"/>
              <a:gd name="T12" fmla="*/ 0 w 36563"/>
              <a:gd name="T13" fmla="*/ 0 h 33515"/>
              <a:gd name="T14" fmla="*/ 0 w 36563"/>
              <a:gd name="T15" fmla="*/ 0 h 33515"/>
              <a:gd name="T16" fmla="*/ 0 w 36563"/>
              <a:gd name="T17" fmla="*/ 0 h 33515"/>
              <a:gd name="T18" fmla="*/ 0 w 36563"/>
              <a:gd name="T19" fmla="*/ 0 h 33515"/>
              <a:gd name="T20" fmla="*/ 0 w 36563"/>
              <a:gd name="T21" fmla="*/ 0 h 33515"/>
              <a:gd name="T22" fmla="*/ 0 w 36563"/>
              <a:gd name="T23" fmla="*/ 0 h 33515"/>
              <a:gd name="T24" fmla="*/ 0 w 36563"/>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6563"/>
              <a:gd name="T40" fmla="*/ 0 h 33515"/>
              <a:gd name="T41" fmla="*/ 36563 w 36563"/>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6563" h="33515">
                <a:moveTo>
                  <a:pt x="36563" y="16751"/>
                </a:moveTo>
                <a:cubicBezTo>
                  <a:pt x="36563" y="6083"/>
                  <a:pt x="27419" y="0"/>
                  <a:pt x="18275" y="0"/>
                </a:cubicBezTo>
                <a:cubicBezTo>
                  <a:pt x="7607" y="0"/>
                  <a:pt x="0" y="6083"/>
                  <a:pt x="0" y="16751"/>
                </a:cubicBezTo>
                <a:cubicBezTo>
                  <a:pt x="0" y="25895"/>
                  <a:pt x="7607" y="33515"/>
                  <a:pt x="18275" y="33515"/>
                </a:cubicBezTo>
                <a:cubicBezTo>
                  <a:pt x="27419" y="33515"/>
                  <a:pt x="36563" y="25895"/>
                  <a:pt x="36563" y="16751"/>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23" name="Shape 8956">
            <a:extLst>
              <a:ext uri="{FF2B5EF4-FFF2-40B4-BE49-F238E27FC236}">
                <a16:creationId xmlns:a16="http://schemas.microsoft.com/office/drawing/2014/main" id="{00000000-0008-0000-0500-000017000000}"/>
              </a:ext>
            </a:extLst>
          </xdr:cNvPr>
          <xdr:cNvSpPr>
            <a:spLocks/>
          </xdr:cNvSpPr>
        </xdr:nvSpPr>
        <xdr:spPr bwMode="auto">
          <a:xfrm>
            <a:off x="6596" y="2483"/>
            <a:ext cx="0" cy="2315"/>
          </a:xfrm>
          <a:custGeom>
            <a:avLst/>
            <a:gdLst>
              <a:gd name="T0" fmla="*/ 0 h 231571"/>
              <a:gd name="T1" fmla="*/ 0 h 231571"/>
              <a:gd name="T2" fmla="*/ 0 60000 65536"/>
              <a:gd name="T3" fmla="*/ 0 60000 65536"/>
              <a:gd name="T4" fmla="*/ 0 h 231571"/>
              <a:gd name="T5" fmla="*/ 231571 h 231571"/>
            </a:gdLst>
            <a:ahLst/>
            <a:cxnLst>
              <a:cxn ang="T2">
                <a:pos x="0" y="T0"/>
              </a:cxn>
              <a:cxn ang="T3">
                <a:pos x="0" y="T1"/>
              </a:cxn>
            </a:cxnLst>
            <a:rect l="0" t="T4" r="0" b="T5"/>
            <a:pathLst>
              <a:path h="231571">
                <a:moveTo>
                  <a:pt x="0" y="0"/>
                </a:moveTo>
                <a:lnTo>
                  <a:pt x="0" y="231571"/>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24" name="Shape 8957">
            <a:extLst>
              <a:ext uri="{FF2B5EF4-FFF2-40B4-BE49-F238E27FC236}">
                <a16:creationId xmlns:a16="http://schemas.microsoft.com/office/drawing/2014/main" id="{00000000-0008-0000-0500-000018000000}"/>
              </a:ext>
            </a:extLst>
          </xdr:cNvPr>
          <xdr:cNvSpPr>
            <a:spLocks/>
          </xdr:cNvSpPr>
        </xdr:nvSpPr>
        <xdr:spPr bwMode="auto">
          <a:xfrm>
            <a:off x="3260" y="2437"/>
            <a:ext cx="0" cy="2331"/>
          </a:xfrm>
          <a:custGeom>
            <a:avLst/>
            <a:gdLst>
              <a:gd name="T0" fmla="*/ 0 h 233095"/>
              <a:gd name="T1" fmla="*/ 0 h 233095"/>
              <a:gd name="T2" fmla="*/ 0 60000 65536"/>
              <a:gd name="T3" fmla="*/ 0 60000 65536"/>
              <a:gd name="T4" fmla="*/ 0 h 233095"/>
              <a:gd name="T5" fmla="*/ 233095 h 233095"/>
            </a:gdLst>
            <a:ahLst/>
            <a:cxnLst>
              <a:cxn ang="T2">
                <a:pos x="0" y="T0"/>
              </a:cxn>
              <a:cxn ang="T3">
                <a:pos x="0" y="T1"/>
              </a:cxn>
            </a:cxnLst>
            <a:rect l="0" t="T4" r="0" b="T5"/>
            <a:pathLst>
              <a:path h="233095">
                <a:moveTo>
                  <a:pt x="0" y="0"/>
                </a:moveTo>
                <a:lnTo>
                  <a:pt x="0" y="233095"/>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25" name="Shape 8958">
            <a:extLst>
              <a:ext uri="{FF2B5EF4-FFF2-40B4-BE49-F238E27FC236}">
                <a16:creationId xmlns:a16="http://schemas.microsoft.com/office/drawing/2014/main" id="{00000000-0008-0000-0500-000019000000}"/>
              </a:ext>
            </a:extLst>
          </xdr:cNvPr>
          <xdr:cNvSpPr>
            <a:spLocks/>
          </xdr:cNvSpPr>
        </xdr:nvSpPr>
        <xdr:spPr bwMode="auto">
          <a:xfrm>
            <a:off x="3397" y="4296"/>
            <a:ext cx="1935" cy="0"/>
          </a:xfrm>
          <a:custGeom>
            <a:avLst/>
            <a:gdLst>
              <a:gd name="T0" fmla="*/ 0 w 193484"/>
              <a:gd name="T1" fmla="*/ 0 w 193484"/>
              <a:gd name="T2" fmla="*/ 0 60000 65536"/>
              <a:gd name="T3" fmla="*/ 0 60000 65536"/>
              <a:gd name="T4" fmla="*/ 0 w 193484"/>
              <a:gd name="T5" fmla="*/ 193484 w 193484"/>
            </a:gdLst>
            <a:ahLst/>
            <a:cxnLst>
              <a:cxn ang="T2">
                <a:pos x="T0" y="0"/>
              </a:cxn>
              <a:cxn ang="T3">
                <a:pos x="T1" y="0"/>
              </a:cxn>
            </a:cxnLst>
            <a:rect l="T4" t="0" r="T5" b="0"/>
            <a:pathLst>
              <a:path w="193484">
                <a:moveTo>
                  <a:pt x="0" y="0"/>
                </a:moveTo>
                <a:lnTo>
                  <a:pt x="193484" y="0"/>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26" name="Shape 8959">
            <a:extLst>
              <a:ext uri="{FF2B5EF4-FFF2-40B4-BE49-F238E27FC236}">
                <a16:creationId xmlns:a16="http://schemas.microsoft.com/office/drawing/2014/main" id="{00000000-0008-0000-0500-00001A000000}"/>
              </a:ext>
            </a:extLst>
          </xdr:cNvPr>
          <xdr:cNvSpPr>
            <a:spLocks/>
          </xdr:cNvSpPr>
        </xdr:nvSpPr>
        <xdr:spPr bwMode="auto">
          <a:xfrm>
            <a:off x="3351" y="4158"/>
            <a:ext cx="701" cy="153"/>
          </a:xfrm>
          <a:custGeom>
            <a:avLst/>
            <a:gdLst>
              <a:gd name="T0" fmla="*/ 0 w 70078"/>
              <a:gd name="T1" fmla="*/ 0 h 15240"/>
              <a:gd name="T2" fmla="*/ 0 w 70078"/>
              <a:gd name="T3" fmla="*/ 0 h 15240"/>
              <a:gd name="T4" fmla="*/ 0 60000 65536"/>
              <a:gd name="T5" fmla="*/ 0 60000 65536"/>
              <a:gd name="T6" fmla="*/ 0 w 70078"/>
              <a:gd name="T7" fmla="*/ 0 h 15240"/>
              <a:gd name="T8" fmla="*/ 70078 w 70078"/>
              <a:gd name="T9" fmla="*/ 15240 h 15240"/>
            </a:gdLst>
            <a:ahLst/>
            <a:cxnLst>
              <a:cxn ang="T4">
                <a:pos x="T0" y="T1"/>
              </a:cxn>
              <a:cxn ang="T5">
                <a:pos x="T2" y="T3"/>
              </a:cxn>
            </a:cxnLst>
            <a:rect l="T6" t="T7" r="T8" b="T9"/>
            <a:pathLst>
              <a:path w="70078" h="15240">
                <a:moveTo>
                  <a:pt x="70078" y="0"/>
                </a:moveTo>
                <a:lnTo>
                  <a:pt x="0" y="15240"/>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27" name="Shape 8960">
            <a:extLst>
              <a:ext uri="{FF2B5EF4-FFF2-40B4-BE49-F238E27FC236}">
                <a16:creationId xmlns:a16="http://schemas.microsoft.com/office/drawing/2014/main" id="{00000000-0008-0000-0500-00001B000000}"/>
              </a:ext>
            </a:extLst>
          </xdr:cNvPr>
          <xdr:cNvSpPr>
            <a:spLocks/>
          </xdr:cNvSpPr>
        </xdr:nvSpPr>
        <xdr:spPr bwMode="auto">
          <a:xfrm>
            <a:off x="3305" y="4296"/>
            <a:ext cx="732" cy="152"/>
          </a:xfrm>
          <a:custGeom>
            <a:avLst/>
            <a:gdLst>
              <a:gd name="T0" fmla="*/ 0 w 73126"/>
              <a:gd name="T1" fmla="*/ 0 h 15240"/>
              <a:gd name="T2" fmla="*/ 0 w 73126"/>
              <a:gd name="T3" fmla="*/ 0 h 15240"/>
              <a:gd name="T4" fmla="*/ 0 60000 65536"/>
              <a:gd name="T5" fmla="*/ 0 60000 65536"/>
              <a:gd name="T6" fmla="*/ 0 w 73126"/>
              <a:gd name="T7" fmla="*/ 0 h 15240"/>
              <a:gd name="T8" fmla="*/ 73126 w 73126"/>
              <a:gd name="T9" fmla="*/ 15240 h 15240"/>
            </a:gdLst>
            <a:ahLst/>
            <a:cxnLst>
              <a:cxn ang="T4">
                <a:pos x="T0" y="T1"/>
              </a:cxn>
              <a:cxn ang="T5">
                <a:pos x="T2" y="T3"/>
              </a:cxn>
            </a:cxnLst>
            <a:rect l="T6" t="T7" r="T8" b="T9"/>
            <a:pathLst>
              <a:path w="73126" h="15240">
                <a:moveTo>
                  <a:pt x="73126" y="15240"/>
                </a:moveTo>
                <a:lnTo>
                  <a:pt x="0" y="0"/>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28" name="Shape 8961">
            <a:extLst>
              <a:ext uri="{FF2B5EF4-FFF2-40B4-BE49-F238E27FC236}">
                <a16:creationId xmlns:a16="http://schemas.microsoft.com/office/drawing/2014/main" id="{00000000-0008-0000-0500-00001C000000}"/>
              </a:ext>
            </a:extLst>
          </xdr:cNvPr>
          <xdr:cNvSpPr>
            <a:spLocks/>
          </xdr:cNvSpPr>
        </xdr:nvSpPr>
        <xdr:spPr bwMode="auto">
          <a:xfrm>
            <a:off x="4616" y="4296"/>
            <a:ext cx="1935" cy="0"/>
          </a:xfrm>
          <a:custGeom>
            <a:avLst/>
            <a:gdLst>
              <a:gd name="T0" fmla="*/ 0 w 193484"/>
              <a:gd name="T1" fmla="*/ 0 w 193484"/>
              <a:gd name="T2" fmla="*/ 0 60000 65536"/>
              <a:gd name="T3" fmla="*/ 0 60000 65536"/>
              <a:gd name="T4" fmla="*/ 0 w 193484"/>
              <a:gd name="T5" fmla="*/ 193484 w 193484"/>
            </a:gdLst>
            <a:ahLst/>
            <a:cxnLst>
              <a:cxn ang="T2">
                <a:pos x="T0" y="0"/>
              </a:cxn>
              <a:cxn ang="T3">
                <a:pos x="T1" y="0"/>
              </a:cxn>
            </a:cxnLst>
            <a:rect l="T4" t="0" r="T5" b="0"/>
            <a:pathLst>
              <a:path w="193484">
                <a:moveTo>
                  <a:pt x="193484" y="0"/>
                </a:moveTo>
                <a:lnTo>
                  <a:pt x="0" y="0"/>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29" name="Shape 8962">
            <a:extLst>
              <a:ext uri="{FF2B5EF4-FFF2-40B4-BE49-F238E27FC236}">
                <a16:creationId xmlns:a16="http://schemas.microsoft.com/office/drawing/2014/main" id="{00000000-0008-0000-0500-00001D000000}"/>
              </a:ext>
            </a:extLst>
          </xdr:cNvPr>
          <xdr:cNvSpPr>
            <a:spLocks/>
          </xdr:cNvSpPr>
        </xdr:nvSpPr>
        <xdr:spPr bwMode="auto">
          <a:xfrm>
            <a:off x="5895" y="4158"/>
            <a:ext cx="716" cy="138"/>
          </a:xfrm>
          <a:custGeom>
            <a:avLst/>
            <a:gdLst>
              <a:gd name="T0" fmla="*/ 0 w 71602"/>
              <a:gd name="T1" fmla="*/ 0 h 13716"/>
              <a:gd name="T2" fmla="*/ 0 w 71602"/>
              <a:gd name="T3" fmla="*/ 0 h 13716"/>
              <a:gd name="T4" fmla="*/ 0 60000 65536"/>
              <a:gd name="T5" fmla="*/ 0 60000 65536"/>
              <a:gd name="T6" fmla="*/ 0 w 71602"/>
              <a:gd name="T7" fmla="*/ 0 h 13716"/>
              <a:gd name="T8" fmla="*/ 71602 w 71602"/>
              <a:gd name="T9" fmla="*/ 13716 h 13716"/>
            </a:gdLst>
            <a:ahLst/>
            <a:cxnLst>
              <a:cxn ang="T4">
                <a:pos x="T0" y="T1"/>
              </a:cxn>
              <a:cxn ang="T5">
                <a:pos x="T2" y="T3"/>
              </a:cxn>
            </a:cxnLst>
            <a:rect l="T6" t="T7" r="T8" b="T9"/>
            <a:pathLst>
              <a:path w="71602" h="13716">
                <a:moveTo>
                  <a:pt x="0" y="0"/>
                </a:moveTo>
                <a:lnTo>
                  <a:pt x="71602" y="13716"/>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30" name="Shape 8963">
            <a:extLst>
              <a:ext uri="{FF2B5EF4-FFF2-40B4-BE49-F238E27FC236}">
                <a16:creationId xmlns:a16="http://schemas.microsoft.com/office/drawing/2014/main" id="{00000000-0008-0000-0500-00001E000000}"/>
              </a:ext>
            </a:extLst>
          </xdr:cNvPr>
          <xdr:cNvSpPr>
            <a:spLocks/>
          </xdr:cNvSpPr>
        </xdr:nvSpPr>
        <xdr:spPr bwMode="auto">
          <a:xfrm>
            <a:off x="5911" y="4296"/>
            <a:ext cx="731" cy="152"/>
          </a:xfrm>
          <a:custGeom>
            <a:avLst/>
            <a:gdLst>
              <a:gd name="T0" fmla="*/ 0 w 73139"/>
              <a:gd name="T1" fmla="*/ 0 h 15240"/>
              <a:gd name="T2" fmla="*/ 0 w 73139"/>
              <a:gd name="T3" fmla="*/ 0 h 15240"/>
              <a:gd name="T4" fmla="*/ 0 60000 65536"/>
              <a:gd name="T5" fmla="*/ 0 60000 65536"/>
              <a:gd name="T6" fmla="*/ 0 w 73139"/>
              <a:gd name="T7" fmla="*/ 0 h 15240"/>
              <a:gd name="T8" fmla="*/ 73139 w 73139"/>
              <a:gd name="T9" fmla="*/ 15240 h 15240"/>
            </a:gdLst>
            <a:ahLst/>
            <a:cxnLst>
              <a:cxn ang="T4">
                <a:pos x="T0" y="T1"/>
              </a:cxn>
              <a:cxn ang="T5">
                <a:pos x="T2" y="T3"/>
              </a:cxn>
            </a:cxnLst>
            <a:rect l="T6" t="T7" r="T8" b="T9"/>
            <a:pathLst>
              <a:path w="73139" h="15240">
                <a:moveTo>
                  <a:pt x="0" y="15240"/>
                </a:moveTo>
                <a:lnTo>
                  <a:pt x="73139" y="0"/>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31" name="Rectangle 9003">
            <a:extLst>
              <a:ext uri="{FF2B5EF4-FFF2-40B4-BE49-F238E27FC236}">
                <a16:creationId xmlns:a16="http://schemas.microsoft.com/office/drawing/2014/main" id="{00000000-0008-0000-0500-00001F000000}"/>
              </a:ext>
            </a:extLst>
          </xdr:cNvPr>
          <xdr:cNvSpPr>
            <a:spLocks noChangeArrowheads="1"/>
          </xdr:cNvSpPr>
        </xdr:nvSpPr>
        <xdr:spPr bwMode="auto">
          <a:xfrm>
            <a:off x="4692" y="3538"/>
            <a:ext cx="653" cy="6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lnSpc>
                <a:spcPct val="105000"/>
              </a:lnSpc>
              <a:spcAft>
                <a:spcPts val="800"/>
              </a:spcAft>
            </a:pPr>
            <a:r>
              <a:rPr lang="da-DK" sz="1100">
                <a:solidFill>
                  <a:srgbClr val="000000"/>
                </a:solidFill>
                <a:effectLst/>
                <a:latin typeface="Calibri" panose="020F0502020204030204" pitchFamily="34" charset="0"/>
                <a:ea typeface="Calibri" panose="020F0502020204030204" pitchFamily="34" charset="0"/>
              </a:rPr>
              <a:t> </a:t>
            </a:r>
          </a:p>
        </xdr:txBody>
      </xdr:sp>
    </xdr:grpSp>
    <xdr:clientData/>
  </xdr:twoCellAnchor>
  <xdr:twoCellAnchor>
    <xdr:from>
      <xdr:col>2</xdr:col>
      <xdr:colOff>1399391</xdr:colOff>
      <xdr:row>23</xdr:row>
      <xdr:rowOff>103991</xdr:rowOff>
    </xdr:from>
    <xdr:to>
      <xdr:col>5</xdr:col>
      <xdr:colOff>51659</xdr:colOff>
      <xdr:row>24</xdr:row>
      <xdr:rowOff>401171</xdr:rowOff>
    </xdr:to>
    <xdr:grpSp>
      <xdr:nvGrpSpPr>
        <xdr:cNvPr id="32" name="Group 159096">
          <a:extLst>
            <a:ext uri="{FF2B5EF4-FFF2-40B4-BE49-F238E27FC236}">
              <a16:creationId xmlns:a16="http://schemas.microsoft.com/office/drawing/2014/main" id="{00000000-0008-0000-0500-000020000000}"/>
            </a:ext>
          </a:extLst>
        </xdr:cNvPr>
        <xdr:cNvGrpSpPr>
          <a:grpSpLocks/>
        </xdr:cNvGrpSpPr>
      </xdr:nvGrpSpPr>
      <xdr:grpSpPr bwMode="auto">
        <a:xfrm>
          <a:off x="3183652" y="5148216"/>
          <a:ext cx="2529345" cy="484997"/>
          <a:chOff x="0" y="0"/>
          <a:chExt cx="26462" cy="4798"/>
        </a:xfrm>
      </xdr:grpSpPr>
      <xdr:sp macro="" textlink="">
        <xdr:nvSpPr>
          <xdr:cNvPr id="33" name="Rectangle 9011">
            <a:extLst>
              <a:ext uri="{FF2B5EF4-FFF2-40B4-BE49-F238E27FC236}">
                <a16:creationId xmlns:a16="http://schemas.microsoft.com/office/drawing/2014/main" id="{00000000-0008-0000-0500-000021000000}"/>
              </a:ext>
            </a:extLst>
          </xdr:cNvPr>
          <xdr:cNvSpPr>
            <a:spLocks noChangeArrowheads="1"/>
          </xdr:cNvSpPr>
        </xdr:nvSpPr>
        <xdr:spPr bwMode="auto">
          <a:xfrm>
            <a:off x="21465" y="3172"/>
            <a:ext cx="653" cy="6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lnSpc>
                <a:spcPct val="105000"/>
              </a:lnSpc>
              <a:spcAft>
                <a:spcPts val="800"/>
              </a:spcAft>
            </a:pPr>
            <a:r>
              <a:rPr lang="da-DK" sz="1100">
                <a:solidFill>
                  <a:srgbClr val="000000"/>
                </a:solidFill>
                <a:effectLst/>
                <a:latin typeface="Calibri" panose="020F0502020204030204" pitchFamily="34" charset="0"/>
                <a:ea typeface="Calibri" panose="020F0502020204030204" pitchFamily="34" charset="0"/>
              </a:rPr>
              <a:t> </a:t>
            </a:r>
          </a:p>
        </xdr:txBody>
      </xdr:sp>
      <xdr:sp macro="" textlink="">
        <xdr:nvSpPr>
          <xdr:cNvPr id="34" name="Shape 9012">
            <a:extLst>
              <a:ext uri="{FF2B5EF4-FFF2-40B4-BE49-F238E27FC236}">
                <a16:creationId xmlns:a16="http://schemas.microsoft.com/office/drawing/2014/main" id="{00000000-0008-0000-0500-000022000000}"/>
              </a:ext>
            </a:extLst>
          </xdr:cNvPr>
          <xdr:cNvSpPr>
            <a:spLocks/>
          </xdr:cNvSpPr>
        </xdr:nvSpPr>
        <xdr:spPr bwMode="auto">
          <a:xfrm>
            <a:off x="20064" y="2452"/>
            <a:ext cx="0" cy="2301"/>
          </a:xfrm>
          <a:custGeom>
            <a:avLst/>
            <a:gdLst>
              <a:gd name="T0" fmla="*/ 0 h 230047"/>
              <a:gd name="T1" fmla="*/ 0 h 230047"/>
              <a:gd name="T2" fmla="*/ 0 60000 65536"/>
              <a:gd name="T3" fmla="*/ 0 60000 65536"/>
              <a:gd name="T4" fmla="*/ 0 h 230047"/>
              <a:gd name="T5" fmla="*/ 230047 h 230047"/>
            </a:gdLst>
            <a:ahLst/>
            <a:cxnLst>
              <a:cxn ang="T2">
                <a:pos x="0" y="T0"/>
              </a:cxn>
              <a:cxn ang="T3">
                <a:pos x="0" y="T1"/>
              </a:cxn>
            </a:cxnLst>
            <a:rect l="0" t="T4" r="0" b="T5"/>
            <a:pathLst>
              <a:path h="230047">
                <a:moveTo>
                  <a:pt x="0" y="0"/>
                </a:moveTo>
                <a:lnTo>
                  <a:pt x="0" y="230047"/>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35" name="Shape 9013">
            <a:extLst>
              <a:ext uri="{FF2B5EF4-FFF2-40B4-BE49-F238E27FC236}">
                <a16:creationId xmlns:a16="http://schemas.microsoft.com/office/drawing/2014/main" id="{00000000-0008-0000-0500-000023000000}"/>
              </a:ext>
            </a:extLst>
          </xdr:cNvPr>
          <xdr:cNvSpPr>
            <a:spLocks/>
          </xdr:cNvSpPr>
        </xdr:nvSpPr>
        <xdr:spPr bwMode="auto">
          <a:xfrm>
            <a:off x="23385" y="2407"/>
            <a:ext cx="0" cy="2315"/>
          </a:xfrm>
          <a:custGeom>
            <a:avLst/>
            <a:gdLst>
              <a:gd name="T0" fmla="*/ 0 h 231571"/>
              <a:gd name="T1" fmla="*/ 0 h 231571"/>
              <a:gd name="T2" fmla="*/ 0 60000 65536"/>
              <a:gd name="T3" fmla="*/ 0 60000 65536"/>
              <a:gd name="T4" fmla="*/ 0 h 231571"/>
              <a:gd name="T5" fmla="*/ 231571 h 231571"/>
            </a:gdLst>
            <a:ahLst/>
            <a:cxnLst>
              <a:cxn ang="T2">
                <a:pos x="0" y="T0"/>
              </a:cxn>
              <a:cxn ang="T3">
                <a:pos x="0" y="T1"/>
              </a:cxn>
            </a:cxnLst>
            <a:rect l="0" t="T4" r="0" b="T5"/>
            <a:pathLst>
              <a:path h="231571">
                <a:moveTo>
                  <a:pt x="0" y="0"/>
                </a:moveTo>
                <a:lnTo>
                  <a:pt x="0" y="231571"/>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36" name="Shape 9014">
            <a:extLst>
              <a:ext uri="{FF2B5EF4-FFF2-40B4-BE49-F238E27FC236}">
                <a16:creationId xmlns:a16="http://schemas.microsoft.com/office/drawing/2014/main" id="{00000000-0008-0000-0500-000024000000}"/>
              </a:ext>
            </a:extLst>
          </xdr:cNvPr>
          <xdr:cNvSpPr>
            <a:spLocks/>
          </xdr:cNvSpPr>
        </xdr:nvSpPr>
        <xdr:spPr bwMode="auto">
          <a:xfrm>
            <a:off x="21313" y="4265"/>
            <a:ext cx="1950" cy="0"/>
          </a:xfrm>
          <a:custGeom>
            <a:avLst/>
            <a:gdLst>
              <a:gd name="T0" fmla="*/ 0 w 194995"/>
              <a:gd name="T1" fmla="*/ 0 w 194995"/>
              <a:gd name="T2" fmla="*/ 0 60000 65536"/>
              <a:gd name="T3" fmla="*/ 0 60000 65536"/>
              <a:gd name="T4" fmla="*/ 0 w 194995"/>
              <a:gd name="T5" fmla="*/ 194995 w 194995"/>
            </a:gdLst>
            <a:ahLst/>
            <a:cxnLst>
              <a:cxn ang="T2">
                <a:pos x="T0" y="0"/>
              </a:cxn>
              <a:cxn ang="T3">
                <a:pos x="T1" y="0"/>
              </a:cxn>
            </a:cxnLst>
            <a:rect l="T4" t="0" r="T5" b="0"/>
            <a:pathLst>
              <a:path w="194995">
                <a:moveTo>
                  <a:pt x="194995" y="0"/>
                </a:moveTo>
                <a:lnTo>
                  <a:pt x="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37" name="Shape 9015">
            <a:extLst>
              <a:ext uri="{FF2B5EF4-FFF2-40B4-BE49-F238E27FC236}">
                <a16:creationId xmlns:a16="http://schemas.microsoft.com/office/drawing/2014/main" id="{00000000-0008-0000-0500-000025000000}"/>
              </a:ext>
            </a:extLst>
          </xdr:cNvPr>
          <xdr:cNvSpPr>
            <a:spLocks/>
          </xdr:cNvSpPr>
        </xdr:nvSpPr>
        <xdr:spPr bwMode="auto">
          <a:xfrm>
            <a:off x="22593" y="4113"/>
            <a:ext cx="716" cy="152"/>
          </a:xfrm>
          <a:custGeom>
            <a:avLst/>
            <a:gdLst>
              <a:gd name="T0" fmla="*/ 0 w 71602"/>
              <a:gd name="T1" fmla="*/ 0 h 15227"/>
              <a:gd name="T2" fmla="*/ 0 w 71602"/>
              <a:gd name="T3" fmla="*/ 0 h 15227"/>
              <a:gd name="T4" fmla="*/ 0 60000 65536"/>
              <a:gd name="T5" fmla="*/ 0 60000 65536"/>
              <a:gd name="T6" fmla="*/ 0 w 71602"/>
              <a:gd name="T7" fmla="*/ 0 h 15227"/>
              <a:gd name="T8" fmla="*/ 71602 w 71602"/>
              <a:gd name="T9" fmla="*/ 15227 h 15227"/>
            </a:gdLst>
            <a:ahLst/>
            <a:cxnLst>
              <a:cxn ang="T4">
                <a:pos x="T0" y="T1"/>
              </a:cxn>
              <a:cxn ang="T5">
                <a:pos x="T2" y="T3"/>
              </a:cxn>
            </a:cxnLst>
            <a:rect l="T6" t="T7" r="T8" b="T9"/>
            <a:pathLst>
              <a:path w="71602" h="15227">
                <a:moveTo>
                  <a:pt x="0" y="0"/>
                </a:moveTo>
                <a:lnTo>
                  <a:pt x="71602" y="15227"/>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38" name="Shape 9016">
            <a:extLst>
              <a:ext uri="{FF2B5EF4-FFF2-40B4-BE49-F238E27FC236}">
                <a16:creationId xmlns:a16="http://schemas.microsoft.com/office/drawing/2014/main" id="{00000000-0008-0000-0500-000026000000}"/>
              </a:ext>
            </a:extLst>
          </xdr:cNvPr>
          <xdr:cNvSpPr>
            <a:spLocks/>
          </xdr:cNvSpPr>
        </xdr:nvSpPr>
        <xdr:spPr bwMode="auto">
          <a:xfrm>
            <a:off x="22623" y="4265"/>
            <a:ext cx="716" cy="153"/>
          </a:xfrm>
          <a:custGeom>
            <a:avLst/>
            <a:gdLst>
              <a:gd name="T0" fmla="*/ 0 w 71602"/>
              <a:gd name="T1" fmla="*/ 0 h 15240"/>
              <a:gd name="T2" fmla="*/ 0 w 71602"/>
              <a:gd name="T3" fmla="*/ 0 h 15240"/>
              <a:gd name="T4" fmla="*/ 0 60000 65536"/>
              <a:gd name="T5" fmla="*/ 0 60000 65536"/>
              <a:gd name="T6" fmla="*/ 0 w 71602"/>
              <a:gd name="T7" fmla="*/ 0 h 15240"/>
              <a:gd name="T8" fmla="*/ 71602 w 71602"/>
              <a:gd name="T9" fmla="*/ 15240 h 15240"/>
            </a:gdLst>
            <a:ahLst/>
            <a:cxnLst>
              <a:cxn ang="T4">
                <a:pos x="T0" y="T1"/>
              </a:cxn>
              <a:cxn ang="T5">
                <a:pos x="T2" y="T3"/>
              </a:cxn>
            </a:cxnLst>
            <a:rect l="T6" t="T7" r="T8" b="T9"/>
            <a:pathLst>
              <a:path w="71602" h="15240">
                <a:moveTo>
                  <a:pt x="0" y="15240"/>
                </a:moveTo>
                <a:lnTo>
                  <a:pt x="71602"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39" name="Shape 9017">
            <a:extLst>
              <a:ext uri="{FF2B5EF4-FFF2-40B4-BE49-F238E27FC236}">
                <a16:creationId xmlns:a16="http://schemas.microsoft.com/office/drawing/2014/main" id="{00000000-0008-0000-0500-000027000000}"/>
              </a:ext>
            </a:extLst>
          </xdr:cNvPr>
          <xdr:cNvSpPr>
            <a:spLocks/>
          </xdr:cNvSpPr>
        </xdr:nvSpPr>
        <xdr:spPr bwMode="auto">
          <a:xfrm>
            <a:off x="20125" y="4265"/>
            <a:ext cx="1919" cy="0"/>
          </a:xfrm>
          <a:custGeom>
            <a:avLst/>
            <a:gdLst>
              <a:gd name="T0" fmla="*/ 0 w 191960"/>
              <a:gd name="T1" fmla="*/ 0 w 191960"/>
              <a:gd name="T2" fmla="*/ 0 60000 65536"/>
              <a:gd name="T3" fmla="*/ 0 60000 65536"/>
              <a:gd name="T4" fmla="*/ 0 w 191960"/>
              <a:gd name="T5" fmla="*/ 191960 w 191960"/>
            </a:gdLst>
            <a:ahLst/>
            <a:cxnLst>
              <a:cxn ang="T2">
                <a:pos x="T0" y="0"/>
              </a:cxn>
              <a:cxn ang="T3">
                <a:pos x="T1" y="0"/>
              </a:cxn>
            </a:cxnLst>
            <a:rect l="T4" t="0" r="T5" b="0"/>
            <a:pathLst>
              <a:path w="191960">
                <a:moveTo>
                  <a:pt x="0" y="0"/>
                </a:moveTo>
                <a:lnTo>
                  <a:pt x="19196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40" name="Shape 9018">
            <a:extLst>
              <a:ext uri="{FF2B5EF4-FFF2-40B4-BE49-F238E27FC236}">
                <a16:creationId xmlns:a16="http://schemas.microsoft.com/office/drawing/2014/main" id="{00000000-0008-0000-0500-000028000000}"/>
              </a:ext>
            </a:extLst>
          </xdr:cNvPr>
          <xdr:cNvSpPr>
            <a:spLocks/>
          </xdr:cNvSpPr>
        </xdr:nvSpPr>
        <xdr:spPr bwMode="auto">
          <a:xfrm>
            <a:off x="20049" y="4113"/>
            <a:ext cx="716" cy="152"/>
          </a:xfrm>
          <a:custGeom>
            <a:avLst/>
            <a:gdLst>
              <a:gd name="T0" fmla="*/ 0 w 71602"/>
              <a:gd name="T1" fmla="*/ 0 h 15227"/>
              <a:gd name="T2" fmla="*/ 0 w 71602"/>
              <a:gd name="T3" fmla="*/ 0 h 15227"/>
              <a:gd name="T4" fmla="*/ 0 60000 65536"/>
              <a:gd name="T5" fmla="*/ 0 60000 65536"/>
              <a:gd name="T6" fmla="*/ 0 w 71602"/>
              <a:gd name="T7" fmla="*/ 0 h 15227"/>
              <a:gd name="T8" fmla="*/ 71602 w 71602"/>
              <a:gd name="T9" fmla="*/ 15227 h 15227"/>
            </a:gdLst>
            <a:ahLst/>
            <a:cxnLst>
              <a:cxn ang="T4">
                <a:pos x="T0" y="T1"/>
              </a:cxn>
              <a:cxn ang="T5">
                <a:pos x="T2" y="T3"/>
              </a:cxn>
            </a:cxnLst>
            <a:rect l="T6" t="T7" r="T8" b="T9"/>
            <a:pathLst>
              <a:path w="71602" h="15227">
                <a:moveTo>
                  <a:pt x="71602" y="0"/>
                </a:moveTo>
                <a:lnTo>
                  <a:pt x="0" y="15227"/>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41" name="Shape 9019">
            <a:extLst>
              <a:ext uri="{FF2B5EF4-FFF2-40B4-BE49-F238E27FC236}">
                <a16:creationId xmlns:a16="http://schemas.microsoft.com/office/drawing/2014/main" id="{00000000-0008-0000-0500-000029000000}"/>
              </a:ext>
            </a:extLst>
          </xdr:cNvPr>
          <xdr:cNvSpPr>
            <a:spLocks/>
          </xdr:cNvSpPr>
        </xdr:nvSpPr>
        <xdr:spPr bwMode="auto">
          <a:xfrm>
            <a:off x="20033" y="4265"/>
            <a:ext cx="701" cy="137"/>
          </a:xfrm>
          <a:custGeom>
            <a:avLst/>
            <a:gdLst>
              <a:gd name="T0" fmla="*/ 0 w 70078"/>
              <a:gd name="T1" fmla="*/ 0 h 13716"/>
              <a:gd name="T2" fmla="*/ 0 w 70078"/>
              <a:gd name="T3" fmla="*/ 0 h 13716"/>
              <a:gd name="T4" fmla="*/ 0 60000 65536"/>
              <a:gd name="T5" fmla="*/ 0 60000 65536"/>
              <a:gd name="T6" fmla="*/ 0 w 70078"/>
              <a:gd name="T7" fmla="*/ 0 h 13716"/>
              <a:gd name="T8" fmla="*/ 70078 w 70078"/>
              <a:gd name="T9" fmla="*/ 13716 h 13716"/>
            </a:gdLst>
            <a:ahLst/>
            <a:cxnLst>
              <a:cxn ang="T4">
                <a:pos x="T0" y="T1"/>
              </a:cxn>
              <a:cxn ang="T5">
                <a:pos x="T2" y="T3"/>
              </a:cxn>
            </a:cxnLst>
            <a:rect l="T6" t="T7" r="T8" b="T9"/>
            <a:pathLst>
              <a:path w="70078" h="13716">
                <a:moveTo>
                  <a:pt x="70078" y="13716"/>
                </a:moveTo>
                <a:lnTo>
                  <a:pt x="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42" name="Shape 9020">
            <a:extLst>
              <a:ext uri="{FF2B5EF4-FFF2-40B4-BE49-F238E27FC236}">
                <a16:creationId xmlns:a16="http://schemas.microsoft.com/office/drawing/2014/main" id="{00000000-0008-0000-0500-00002A000000}"/>
              </a:ext>
            </a:extLst>
          </xdr:cNvPr>
          <xdr:cNvSpPr>
            <a:spLocks/>
          </xdr:cNvSpPr>
        </xdr:nvSpPr>
        <xdr:spPr bwMode="auto">
          <a:xfrm>
            <a:off x="16956" y="1325"/>
            <a:ext cx="1478" cy="1478"/>
          </a:xfrm>
          <a:custGeom>
            <a:avLst/>
            <a:gdLst>
              <a:gd name="T0" fmla="*/ 0 w 147777"/>
              <a:gd name="T1" fmla="*/ 0 h 147777"/>
              <a:gd name="T2" fmla="*/ 0 w 147777"/>
              <a:gd name="T3" fmla="*/ 0 h 147777"/>
              <a:gd name="T4" fmla="*/ 0 w 147777"/>
              <a:gd name="T5" fmla="*/ 0 h 147777"/>
              <a:gd name="T6" fmla="*/ 0 w 147777"/>
              <a:gd name="T7" fmla="*/ 0 h 147777"/>
              <a:gd name="T8" fmla="*/ 0 w 147777"/>
              <a:gd name="T9" fmla="*/ 0 h 147777"/>
              <a:gd name="T10" fmla="*/ 0 w 147777"/>
              <a:gd name="T11" fmla="*/ 0 h 147777"/>
              <a:gd name="T12" fmla="*/ 0 w 147777"/>
              <a:gd name="T13" fmla="*/ 0 h 147777"/>
              <a:gd name="T14" fmla="*/ 0 w 147777"/>
              <a:gd name="T15" fmla="*/ 0 h 147777"/>
              <a:gd name="T16" fmla="*/ 0 w 147777"/>
              <a:gd name="T17" fmla="*/ 0 h 147777"/>
              <a:gd name="T18" fmla="*/ 0 w 147777"/>
              <a:gd name="T19" fmla="*/ 0 h 147777"/>
              <a:gd name="T20" fmla="*/ 0 w 147777"/>
              <a:gd name="T21" fmla="*/ 0 h 147777"/>
              <a:gd name="T22" fmla="*/ 0 w 147777"/>
              <a:gd name="T23" fmla="*/ 0 h 147777"/>
              <a:gd name="T24" fmla="*/ 0 w 147777"/>
              <a:gd name="T25" fmla="*/ 0 h 147777"/>
              <a:gd name="T26" fmla="*/ 0 w 147777"/>
              <a:gd name="T27" fmla="*/ 0 h 147777"/>
              <a:gd name="T28" fmla="*/ 0 w 147777"/>
              <a:gd name="T29" fmla="*/ 0 h 147777"/>
              <a:gd name="T30" fmla="*/ 0 w 147777"/>
              <a:gd name="T31" fmla="*/ 0 h 147777"/>
              <a:gd name="T32" fmla="*/ 0 w 147777"/>
              <a:gd name="T33" fmla="*/ 0 h 147777"/>
              <a:gd name="T34" fmla="*/ 0 w 147777"/>
              <a:gd name="T35" fmla="*/ 0 h 147777"/>
              <a:gd name="T36" fmla="*/ 0 w 147777"/>
              <a:gd name="T37" fmla="*/ 0 h 147777"/>
              <a:gd name="T38" fmla="*/ 0 w 147777"/>
              <a:gd name="T39" fmla="*/ 0 h 147777"/>
              <a:gd name="T40" fmla="*/ 0 w 147777"/>
              <a:gd name="T41" fmla="*/ 0 h 147777"/>
              <a:gd name="T42" fmla="*/ 0 w 147777"/>
              <a:gd name="T43" fmla="*/ 0 h 147777"/>
              <a:gd name="T44" fmla="*/ 0 w 147777"/>
              <a:gd name="T45" fmla="*/ 0 h 147777"/>
              <a:gd name="T46" fmla="*/ 0 w 147777"/>
              <a:gd name="T47" fmla="*/ 0 h 147777"/>
              <a:gd name="T48" fmla="*/ 0 w 147777"/>
              <a:gd name="T49" fmla="*/ 0 h 147777"/>
              <a:gd name="T50" fmla="*/ 0 w 147777"/>
              <a:gd name="T51" fmla="*/ 0 h 147777"/>
              <a:gd name="T52" fmla="*/ 0 w 147777"/>
              <a:gd name="T53" fmla="*/ 0 h 147777"/>
              <a:gd name="T54" fmla="*/ 0 w 147777"/>
              <a:gd name="T55" fmla="*/ 0 h 147777"/>
              <a:gd name="T56" fmla="*/ 0 w 147777"/>
              <a:gd name="T57" fmla="*/ 0 h 147777"/>
              <a:gd name="T58" fmla="*/ 0 w 147777"/>
              <a:gd name="T59" fmla="*/ 0 h 147777"/>
              <a:gd name="T60" fmla="*/ 0 w 147777"/>
              <a:gd name="T61" fmla="*/ 0 h 147777"/>
              <a:gd name="T62" fmla="*/ 0 w 147777"/>
              <a:gd name="T63" fmla="*/ 0 h 147777"/>
              <a:gd name="T64" fmla="*/ 0 w 147777"/>
              <a:gd name="T65" fmla="*/ 0 h 147777"/>
              <a:gd name="T66" fmla="*/ 0 w 147777"/>
              <a:gd name="T67" fmla="*/ 0 h 147777"/>
              <a:gd name="T68" fmla="*/ 0 w 147777"/>
              <a:gd name="T69" fmla="*/ 0 h 147777"/>
              <a:gd name="T70" fmla="*/ 0 w 147777"/>
              <a:gd name="T71" fmla="*/ 0 h 147777"/>
              <a:gd name="T72" fmla="*/ 0 w 147777"/>
              <a:gd name="T73" fmla="*/ 0 h 147777"/>
              <a:gd name="T74" fmla="*/ 0 w 147777"/>
              <a:gd name="T75" fmla="*/ 0 h 147777"/>
              <a:gd name="T76" fmla="*/ 0 w 147777"/>
              <a:gd name="T77" fmla="*/ 0 h 147777"/>
              <a:gd name="T78" fmla="*/ 0 w 147777"/>
              <a:gd name="T79" fmla="*/ 0 h 147777"/>
              <a:gd name="T80" fmla="*/ 0 w 147777"/>
              <a:gd name="T81" fmla="*/ 0 h 147777"/>
              <a:gd name="T82" fmla="*/ 0 w 147777"/>
              <a:gd name="T83" fmla="*/ 0 h 147777"/>
              <a:gd name="T84" fmla="*/ 0 w 147777"/>
              <a:gd name="T85" fmla="*/ 0 h 147777"/>
              <a:gd name="T86" fmla="*/ 0 w 147777"/>
              <a:gd name="T87" fmla="*/ 0 h 147777"/>
              <a:gd name="T88" fmla="*/ 0 w 147777"/>
              <a:gd name="T89" fmla="*/ 0 h 147777"/>
              <a:gd name="T90" fmla="*/ 0 w 147777"/>
              <a:gd name="T91" fmla="*/ 0 h 147777"/>
              <a:gd name="T92" fmla="*/ 0 w 147777"/>
              <a:gd name="T93" fmla="*/ 0 h 147777"/>
              <a:gd name="T94" fmla="*/ 0 w 147777"/>
              <a:gd name="T95" fmla="*/ 0 h 147777"/>
              <a:gd name="T96" fmla="*/ 0 w 147777"/>
              <a:gd name="T97" fmla="*/ 0 h 147777"/>
              <a:gd name="T98" fmla="*/ 0 w 147777"/>
              <a:gd name="T99" fmla="*/ 0 h 147777"/>
              <a:gd name="T100" fmla="*/ 0 w 147777"/>
              <a:gd name="T101" fmla="*/ 0 h 147777"/>
              <a:gd name="T102" fmla="*/ 0 w 147777"/>
              <a:gd name="T103" fmla="*/ 0 h 147777"/>
              <a:gd name="T104" fmla="*/ 0 w 147777"/>
              <a:gd name="T105" fmla="*/ 0 h 147777"/>
              <a:gd name="T106" fmla="*/ 0 w 147777"/>
              <a:gd name="T107" fmla="*/ 0 h 147777"/>
              <a:gd name="T108" fmla="*/ 0 w 147777"/>
              <a:gd name="T109" fmla="*/ 0 h 147777"/>
              <a:gd name="T110" fmla="*/ 0 w 147777"/>
              <a:gd name="T111" fmla="*/ 0 h 147777"/>
              <a:gd name="T112" fmla="*/ 0 w 147777"/>
              <a:gd name="T113" fmla="*/ 0 h 147777"/>
              <a:gd name="T114" fmla="*/ 0 w 147777"/>
              <a:gd name="T115" fmla="*/ 0 h 147777"/>
              <a:gd name="T116" fmla="*/ 0 w 147777"/>
              <a:gd name="T117" fmla="*/ 0 h 147777"/>
              <a:gd name="T118" fmla="*/ 0 w 147777"/>
              <a:gd name="T119" fmla="*/ 0 h 147777"/>
              <a:gd name="T120" fmla="*/ 0 w 147777"/>
              <a:gd name="T121" fmla="*/ 0 h 147777"/>
              <a:gd name="T122" fmla="*/ 0 w 147777"/>
              <a:gd name="T123" fmla="*/ 0 h 147777"/>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147777"/>
              <a:gd name="T187" fmla="*/ 0 h 147777"/>
              <a:gd name="T188" fmla="*/ 147777 w 147777"/>
              <a:gd name="T189" fmla="*/ 147777 h 147777"/>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147777" h="147777">
                <a:moveTo>
                  <a:pt x="74650" y="0"/>
                </a:moveTo>
                <a:lnTo>
                  <a:pt x="85318" y="0"/>
                </a:lnTo>
                <a:lnTo>
                  <a:pt x="88366" y="1524"/>
                </a:lnTo>
                <a:cubicBezTo>
                  <a:pt x="107188" y="2946"/>
                  <a:pt x="112725" y="10236"/>
                  <a:pt x="126454" y="21323"/>
                </a:cubicBezTo>
                <a:lnTo>
                  <a:pt x="127977" y="24371"/>
                </a:lnTo>
                <a:lnTo>
                  <a:pt x="131026" y="25895"/>
                </a:lnTo>
                <a:lnTo>
                  <a:pt x="132550" y="28943"/>
                </a:lnTo>
                <a:lnTo>
                  <a:pt x="135598" y="31991"/>
                </a:lnTo>
                <a:lnTo>
                  <a:pt x="141681" y="44183"/>
                </a:lnTo>
                <a:lnTo>
                  <a:pt x="143205" y="48755"/>
                </a:lnTo>
                <a:lnTo>
                  <a:pt x="144729" y="51803"/>
                </a:lnTo>
                <a:lnTo>
                  <a:pt x="144729" y="54851"/>
                </a:lnTo>
                <a:lnTo>
                  <a:pt x="146253" y="57899"/>
                </a:lnTo>
                <a:lnTo>
                  <a:pt x="147777" y="62458"/>
                </a:lnTo>
                <a:lnTo>
                  <a:pt x="147777" y="85318"/>
                </a:lnTo>
                <a:lnTo>
                  <a:pt x="146253" y="88366"/>
                </a:lnTo>
                <a:lnTo>
                  <a:pt x="144729" y="92938"/>
                </a:lnTo>
                <a:lnTo>
                  <a:pt x="144729" y="95986"/>
                </a:lnTo>
                <a:lnTo>
                  <a:pt x="141681" y="102069"/>
                </a:lnTo>
                <a:lnTo>
                  <a:pt x="140157" y="106641"/>
                </a:lnTo>
                <a:lnTo>
                  <a:pt x="135598" y="115785"/>
                </a:lnTo>
                <a:lnTo>
                  <a:pt x="132550" y="118833"/>
                </a:lnTo>
                <a:lnTo>
                  <a:pt x="131026" y="121881"/>
                </a:lnTo>
                <a:lnTo>
                  <a:pt x="127977" y="123405"/>
                </a:lnTo>
                <a:lnTo>
                  <a:pt x="126454" y="126453"/>
                </a:lnTo>
                <a:lnTo>
                  <a:pt x="123406" y="129501"/>
                </a:lnTo>
                <a:lnTo>
                  <a:pt x="120358" y="131025"/>
                </a:lnTo>
                <a:lnTo>
                  <a:pt x="115786" y="135597"/>
                </a:lnTo>
                <a:lnTo>
                  <a:pt x="109690" y="138633"/>
                </a:lnTo>
                <a:lnTo>
                  <a:pt x="106642" y="141681"/>
                </a:lnTo>
                <a:lnTo>
                  <a:pt x="102070" y="143204"/>
                </a:lnTo>
                <a:lnTo>
                  <a:pt x="99034" y="143204"/>
                </a:lnTo>
                <a:lnTo>
                  <a:pt x="92939" y="146252"/>
                </a:lnTo>
                <a:lnTo>
                  <a:pt x="88366" y="146252"/>
                </a:lnTo>
                <a:lnTo>
                  <a:pt x="85318" y="147777"/>
                </a:lnTo>
                <a:lnTo>
                  <a:pt x="62459" y="147777"/>
                </a:lnTo>
                <a:lnTo>
                  <a:pt x="59423" y="146252"/>
                </a:lnTo>
                <a:lnTo>
                  <a:pt x="54851" y="146252"/>
                </a:lnTo>
                <a:lnTo>
                  <a:pt x="48755" y="143204"/>
                </a:lnTo>
                <a:lnTo>
                  <a:pt x="45707" y="143204"/>
                </a:lnTo>
                <a:lnTo>
                  <a:pt x="42659" y="141681"/>
                </a:lnTo>
                <a:lnTo>
                  <a:pt x="39611" y="138633"/>
                </a:lnTo>
                <a:lnTo>
                  <a:pt x="35039" y="137109"/>
                </a:lnTo>
                <a:lnTo>
                  <a:pt x="31991" y="135597"/>
                </a:lnTo>
                <a:lnTo>
                  <a:pt x="27419" y="131025"/>
                </a:lnTo>
                <a:lnTo>
                  <a:pt x="24384" y="129501"/>
                </a:lnTo>
                <a:lnTo>
                  <a:pt x="21336" y="126453"/>
                </a:lnTo>
                <a:lnTo>
                  <a:pt x="19812" y="123405"/>
                </a:lnTo>
                <a:cubicBezTo>
                  <a:pt x="9449" y="117906"/>
                  <a:pt x="3823" y="95313"/>
                  <a:pt x="0" y="85318"/>
                </a:cubicBezTo>
                <a:lnTo>
                  <a:pt x="0" y="62458"/>
                </a:lnTo>
                <a:lnTo>
                  <a:pt x="1524" y="57899"/>
                </a:lnTo>
                <a:lnTo>
                  <a:pt x="3048" y="54851"/>
                </a:lnTo>
                <a:lnTo>
                  <a:pt x="3048" y="51803"/>
                </a:lnTo>
                <a:lnTo>
                  <a:pt x="4572" y="48755"/>
                </a:lnTo>
                <a:lnTo>
                  <a:pt x="6096" y="44183"/>
                </a:lnTo>
                <a:lnTo>
                  <a:pt x="12192" y="31991"/>
                </a:lnTo>
                <a:lnTo>
                  <a:pt x="15240" y="28943"/>
                </a:lnTo>
                <a:lnTo>
                  <a:pt x="16764" y="25895"/>
                </a:lnTo>
                <a:lnTo>
                  <a:pt x="19812" y="24371"/>
                </a:lnTo>
                <a:cubicBezTo>
                  <a:pt x="25972" y="14363"/>
                  <a:pt x="47257" y="825"/>
                  <a:pt x="59423" y="1524"/>
                </a:cubicBezTo>
                <a:lnTo>
                  <a:pt x="62459" y="0"/>
                </a:lnTo>
                <a:lnTo>
                  <a:pt x="7465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43" name="Shape 9021">
            <a:extLst>
              <a:ext uri="{FF2B5EF4-FFF2-40B4-BE49-F238E27FC236}">
                <a16:creationId xmlns:a16="http://schemas.microsoft.com/office/drawing/2014/main" id="{00000000-0008-0000-0500-00002B000000}"/>
              </a:ext>
            </a:extLst>
          </xdr:cNvPr>
          <xdr:cNvSpPr>
            <a:spLocks/>
          </xdr:cNvSpPr>
        </xdr:nvSpPr>
        <xdr:spPr bwMode="auto">
          <a:xfrm>
            <a:off x="17520" y="1919"/>
            <a:ext cx="335" cy="335"/>
          </a:xfrm>
          <a:custGeom>
            <a:avLst/>
            <a:gdLst>
              <a:gd name="T0" fmla="*/ 0 w 33515"/>
              <a:gd name="T1" fmla="*/ 0 h 33515"/>
              <a:gd name="T2" fmla="*/ 0 w 33515"/>
              <a:gd name="T3" fmla="*/ 0 h 33515"/>
              <a:gd name="T4" fmla="*/ 0 w 33515"/>
              <a:gd name="T5" fmla="*/ 0 h 33515"/>
              <a:gd name="T6" fmla="*/ 0 w 33515"/>
              <a:gd name="T7" fmla="*/ 0 h 33515"/>
              <a:gd name="T8" fmla="*/ 0 w 33515"/>
              <a:gd name="T9" fmla="*/ 0 h 33515"/>
              <a:gd name="T10" fmla="*/ 0 w 33515"/>
              <a:gd name="T11" fmla="*/ 0 h 33515"/>
              <a:gd name="T12" fmla="*/ 0 w 33515"/>
              <a:gd name="T13" fmla="*/ 0 h 33515"/>
              <a:gd name="T14" fmla="*/ 0 w 33515"/>
              <a:gd name="T15" fmla="*/ 0 h 33515"/>
              <a:gd name="T16" fmla="*/ 0 w 33515"/>
              <a:gd name="T17" fmla="*/ 0 h 33515"/>
              <a:gd name="T18" fmla="*/ 0 w 33515"/>
              <a:gd name="T19" fmla="*/ 0 h 33515"/>
              <a:gd name="T20" fmla="*/ 0 w 33515"/>
              <a:gd name="T21" fmla="*/ 0 h 33515"/>
              <a:gd name="T22" fmla="*/ 0 w 33515"/>
              <a:gd name="T23" fmla="*/ 0 h 33515"/>
              <a:gd name="T24" fmla="*/ 0 w 33515"/>
              <a:gd name="T25" fmla="*/ 0 h 33515"/>
              <a:gd name="T26" fmla="*/ 0 w 33515"/>
              <a:gd name="T27" fmla="*/ 0 h 33515"/>
              <a:gd name="T28" fmla="*/ 0 w 33515"/>
              <a:gd name="T29" fmla="*/ 0 h 33515"/>
              <a:gd name="T30" fmla="*/ 0 w 33515"/>
              <a:gd name="T31" fmla="*/ 0 h 33515"/>
              <a:gd name="T32" fmla="*/ 0 w 33515"/>
              <a:gd name="T33" fmla="*/ 0 h 33515"/>
              <a:gd name="T34" fmla="*/ 0 w 33515"/>
              <a:gd name="T35" fmla="*/ 0 h 33515"/>
              <a:gd name="T36" fmla="*/ 0 w 33515"/>
              <a:gd name="T37" fmla="*/ 0 h 33515"/>
              <a:gd name="T38" fmla="*/ 0 w 33515"/>
              <a:gd name="T39" fmla="*/ 0 h 33515"/>
              <a:gd name="T40" fmla="*/ 0 w 33515"/>
              <a:gd name="T41" fmla="*/ 0 h 33515"/>
              <a:gd name="T42" fmla="*/ 0 w 33515"/>
              <a:gd name="T43" fmla="*/ 0 h 33515"/>
              <a:gd name="T44" fmla="*/ 0 w 33515"/>
              <a:gd name="T45" fmla="*/ 0 h 33515"/>
              <a:gd name="T46" fmla="*/ 0 w 33515"/>
              <a:gd name="T47" fmla="*/ 0 h 33515"/>
              <a:gd name="T48" fmla="*/ 0 w 33515"/>
              <a:gd name="T49" fmla="*/ 0 h 33515"/>
              <a:gd name="T50" fmla="*/ 0 w 33515"/>
              <a:gd name="T51" fmla="*/ 0 h 33515"/>
              <a:gd name="T52" fmla="*/ 0 w 33515"/>
              <a:gd name="T53" fmla="*/ 0 h 33515"/>
              <a:gd name="T54" fmla="*/ 0 w 33515"/>
              <a:gd name="T55" fmla="*/ 0 h 33515"/>
              <a:gd name="T56" fmla="*/ 0 w 33515"/>
              <a:gd name="T57" fmla="*/ 0 h 33515"/>
              <a:gd name="T58" fmla="*/ 0 w 33515"/>
              <a:gd name="T59" fmla="*/ 0 h 33515"/>
              <a:gd name="T60" fmla="*/ 0 w 33515"/>
              <a:gd name="T61" fmla="*/ 0 h 33515"/>
              <a:gd name="T62" fmla="*/ 0 w 33515"/>
              <a:gd name="T63" fmla="*/ 0 h 33515"/>
              <a:gd name="T64" fmla="*/ 0 w 33515"/>
              <a:gd name="T65" fmla="*/ 0 h 33515"/>
              <a:gd name="T66" fmla="*/ 0 w 33515"/>
              <a:gd name="T67" fmla="*/ 0 h 33515"/>
              <a:gd name="T68" fmla="*/ 0 w 33515"/>
              <a:gd name="T69" fmla="*/ 0 h 33515"/>
              <a:gd name="T70" fmla="*/ 0 w 33515"/>
              <a:gd name="T71" fmla="*/ 0 h 33515"/>
              <a:gd name="T72" fmla="*/ 0 w 33515"/>
              <a:gd name="T73" fmla="*/ 0 h 3351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3515"/>
              <a:gd name="T112" fmla="*/ 0 h 33515"/>
              <a:gd name="T113" fmla="*/ 33515 w 33515"/>
              <a:gd name="T114" fmla="*/ 33515 h 3351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3515" h="33515">
                <a:moveTo>
                  <a:pt x="12179" y="0"/>
                </a:moveTo>
                <a:lnTo>
                  <a:pt x="16751" y="0"/>
                </a:lnTo>
                <a:lnTo>
                  <a:pt x="21323" y="0"/>
                </a:lnTo>
                <a:lnTo>
                  <a:pt x="22847" y="1511"/>
                </a:lnTo>
                <a:lnTo>
                  <a:pt x="25895" y="1511"/>
                </a:lnTo>
                <a:lnTo>
                  <a:pt x="27419" y="3035"/>
                </a:lnTo>
                <a:lnTo>
                  <a:pt x="27419" y="4559"/>
                </a:lnTo>
                <a:lnTo>
                  <a:pt x="30467" y="7607"/>
                </a:lnTo>
                <a:lnTo>
                  <a:pt x="31991" y="10655"/>
                </a:lnTo>
                <a:lnTo>
                  <a:pt x="31991" y="13703"/>
                </a:lnTo>
                <a:lnTo>
                  <a:pt x="33515" y="15227"/>
                </a:lnTo>
                <a:lnTo>
                  <a:pt x="33515" y="18275"/>
                </a:lnTo>
                <a:lnTo>
                  <a:pt x="31991" y="19799"/>
                </a:lnTo>
                <a:lnTo>
                  <a:pt x="31991" y="22847"/>
                </a:lnTo>
                <a:lnTo>
                  <a:pt x="30467" y="25895"/>
                </a:lnTo>
                <a:lnTo>
                  <a:pt x="27419" y="28943"/>
                </a:lnTo>
                <a:lnTo>
                  <a:pt x="27419" y="30467"/>
                </a:lnTo>
                <a:lnTo>
                  <a:pt x="25895" y="30467"/>
                </a:lnTo>
                <a:lnTo>
                  <a:pt x="24371" y="31991"/>
                </a:lnTo>
                <a:lnTo>
                  <a:pt x="22847" y="31991"/>
                </a:lnTo>
                <a:lnTo>
                  <a:pt x="21323" y="33515"/>
                </a:lnTo>
                <a:lnTo>
                  <a:pt x="12179" y="33515"/>
                </a:lnTo>
                <a:lnTo>
                  <a:pt x="10655" y="31991"/>
                </a:lnTo>
                <a:lnTo>
                  <a:pt x="9131" y="31991"/>
                </a:lnTo>
                <a:lnTo>
                  <a:pt x="7607" y="30467"/>
                </a:lnTo>
                <a:lnTo>
                  <a:pt x="6083" y="30467"/>
                </a:lnTo>
                <a:lnTo>
                  <a:pt x="6083" y="28943"/>
                </a:lnTo>
                <a:cubicBezTo>
                  <a:pt x="2121" y="25222"/>
                  <a:pt x="953" y="24092"/>
                  <a:pt x="1524" y="18275"/>
                </a:cubicBezTo>
                <a:lnTo>
                  <a:pt x="0" y="16751"/>
                </a:lnTo>
                <a:lnTo>
                  <a:pt x="1524" y="15227"/>
                </a:lnTo>
                <a:lnTo>
                  <a:pt x="1524" y="10655"/>
                </a:lnTo>
                <a:lnTo>
                  <a:pt x="3048" y="7607"/>
                </a:lnTo>
                <a:lnTo>
                  <a:pt x="6083" y="4559"/>
                </a:lnTo>
                <a:lnTo>
                  <a:pt x="6083" y="3035"/>
                </a:lnTo>
                <a:lnTo>
                  <a:pt x="7607" y="1511"/>
                </a:lnTo>
                <a:lnTo>
                  <a:pt x="10655" y="1511"/>
                </a:lnTo>
                <a:lnTo>
                  <a:pt x="12179" y="0"/>
                </a:ln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44" name="Shape 9022">
            <a:extLst>
              <a:ext uri="{FF2B5EF4-FFF2-40B4-BE49-F238E27FC236}">
                <a16:creationId xmlns:a16="http://schemas.microsoft.com/office/drawing/2014/main" id="{00000000-0008-0000-0500-00002C000000}"/>
              </a:ext>
            </a:extLst>
          </xdr:cNvPr>
          <xdr:cNvSpPr>
            <a:spLocks/>
          </xdr:cNvSpPr>
        </xdr:nvSpPr>
        <xdr:spPr bwMode="auto">
          <a:xfrm>
            <a:off x="17520" y="1919"/>
            <a:ext cx="335" cy="335"/>
          </a:xfrm>
          <a:custGeom>
            <a:avLst/>
            <a:gdLst>
              <a:gd name="T0" fmla="*/ 0 w 33515"/>
              <a:gd name="T1" fmla="*/ 0 h 33515"/>
              <a:gd name="T2" fmla="*/ 0 w 33515"/>
              <a:gd name="T3" fmla="*/ 0 h 33515"/>
              <a:gd name="T4" fmla="*/ 0 w 33515"/>
              <a:gd name="T5" fmla="*/ 0 h 33515"/>
              <a:gd name="T6" fmla="*/ 0 w 33515"/>
              <a:gd name="T7" fmla="*/ 0 h 33515"/>
              <a:gd name="T8" fmla="*/ 0 w 33515"/>
              <a:gd name="T9" fmla="*/ 0 h 33515"/>
              <a:gd name="T10" fmla="*/ 0 w 33515"/>
              <a:gd name="T11" fmla="*/ 0 h 33515"/>
              <a:gd name="T12" fmla="*/ 0 w 33515"/>
              <a:gd name="T13" fmla="*/ 0 h 33515"/>
              <a:gd name="T14" fmla="*/ 0 w 33515"/>
              <a:gd name="T15" fmla="*/ 0 h 33515"/>
              <a:gd name="T16" fmla="*/ 0 w 33515"/>
              <a:gd name="T17" fmla="*/ 0 h 33515"/>
              <a:gd name="T18" fmla="*/ 0 w 33515"/>
              <a:gd name="T19" fmla="*/ 0 h 33515"/>
              <a:gd name="T20" fmla="*/ 0 w 33515"/>
              <a:gd name="T21" fmla="*/ 0 h 33515"/>
              <a:gd name="T22" fmla="*/ 0 w 33515"/>
              <a:gd name="T23" fmla="*/ 0 h 33515"/>
              <a:gd name="T24" fmla="*/ 0 w 33515"/>
              <a:gd name="T25" fmla="*/ 0 h 33515"/>
              <a:gd name="T26" fmla="*/ 0 w 33515"/>
              <a:gd name="T27" fmla="*/ 0 h 33515"/>
              <a:gd name="T28" fmla="*/ 0 w 33515"/>
              <a:gd name="T29" fmla="*/ 0 h 33515"/>
              <a:gd name="T30" fmla="*/ 0 w 33515"/>
              <a:gd name="T31" fmla="*/ 0 h 33515"/>
              <a:gd name="T32" fmla="*/ 0 w 33515"/>
              <a:gd name="T33" fmla="*/ 0 h 33515"/>
              <a:gd name="T34" fmla="*/ 0 w 33515"/>
              <a:gd name="T35" fmla="*/ 0 h 33515"/>
              <a:gd name="T36" fmla="*/ 0 w 33515"/>
              <a:gd name="T37" fmla="*/ 0 h 33515"/>
              <a:gd name="T38" fmla="*/ 0 w 33515"/>
              <a:gd name="T39" fmla="*/ 0 h 33515"/>
              <a:gd name="T40" fmla="*/ 0 w 33515"/>
              <a:gd name="T41" fmla="*/ 0 h 33515"/>
              <a:gd name="T42" fmla="*/ 0 w 33515"/>
              <a:gd name="T43" fmla="*/ 0 h 33515"/>
              <a:gd name="T44" fmla="*/ 0 w 33515"/>
              <a:gd name="T45" fmla="*/ 0 h 33515"/>
              <a:gd name="T46" fmla="*/ 0 w 33515"/>
              <a:gd name="T47" fmla="*/ 0 h 33515"/>
              <a:gd name="T48" fmla="*/ 0 w 33515"/>
              <a:gd name="T49" fmla="*/ 0 h 33515"/>
              <a:gd name="T50" fmla="*/ 0 w 33515"/>
              <a:gd name="T51" fmla="*/ 0 h 33515"/>
              <a:gd name="T52" fmla="*/ 0 w 33515"/>
              <a:gd name="T53" fmla="*/ 0 h 33515"/>
              <a:gd name="T54" fmla="*/ 0 w 33515"/>
              <a:gd name="T55" fmla="*/ 0 h 33515"/>
              <a:gd name="T56" fmla="*/ 0 w 33515"/>
              <a:gd name="T57" fmla="*/ 0 h 33515"/>
              <a:gd name="T58" fmla="*/ 0 w 33515"/>
              <a:gd name="T59" fmla="*/ 0 h 33515"/>
              <a:gd name="T60" fmla="*/ 0 w 33515"/>
              <a:gd name="T61" fmla="*/ 0 h 33515"/>
              <a:gd name="T62" fmla="*/ 0 w 33515"/>
              <a:gd name="T63" fmla="*/ 0 h 33515"/>
              <a:gd name="T64" fmla="*/ 0 w 33515"/>
              <a:gd name="T65" fmla="*/ 0 h 33515"/>
              <a:gd name="T66" fmla="*/ 0 w 33515"/>
              <a:gd name="T67" fmla="*/ 0 h 33515"/>
              <a:gd name="T68" fmla="*/ 0 w 33515"/>
              <a:gd name="T69" fmla="*/ 0 h 33515"/>
              <a:gd name="T70" fmla="*/ 0 w 33515"/>
              <a:gd name="T71" fmla="*/ 0 h 33515"/>
              <a:gd name="T72" fmla="*/ 0 w 33515"/>
              <a:gd name="T73" fmla="*/ 0 h 3351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3515"/>
              <a:gd name="T112" fmla="*/ 0 h 33515"/>
              <a:gd name="T113" fmla="*/ 33515 w 33515"/>
              <a:gd name="T114" fmla="*/ 33515 h 3351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3515" h="33515">
                <a:moveTo>
                  <a:pt x="16751" y="0"/>
                </a:moveTo>
                <a:lnTo>
                  <a:pt x="21323" y="0"/>
                </a:lnTo>
                <a:lnTo>
                  <a:pt x="22847" y="1511"/>
                </a:lnTo>
                <a:lnTo>
                  <a:pt x="25895" y="1511"/>
                </a:lnTo>
                <a:lnTo>
                  <a:pt x="27419" y="3035"/>
                </a:lnTo>
                <a:lnTo>
                  <a:pt x="27419" y="4559"/>
                </a:lnTo>
                <a:lnTo>
                  <a:pt x="30467" y="7607"/>
                </a:lnTo>
                <a:lnTo>
                  <a:pt x="31991" y="10655"/>
                </a:lnTo>
                <a:lnTo>
                  <a:pt x="31991" y="13703"/>
                </a:lnTo>
                <a:lnTo>
                  <a:pt x="33515" y="15227"/>
                </a:lnTo>
                <a:lnTo>
                  <a:pt x="33515" y="18275"/>
                </a:lnTo>
                <a:lnTo>
                  <a:pt x="31991" y="19799"/>
                </a:lnTo>
                <a:lnTo>
                  <a:pt x="31991" y="22847"/>
                </a:lnTo>
                <a:lnTo>
                  <a:pt x="30467" y="25895"/>
                </a:lnTo>
                <a:lnTo>
                  <a:pt x="27419" y="28943"/>
                </a:lnTo>
                <a:lnTo>
                  <a:pt x="27419" y="30467"/>
                </a:lnTo>
                <a:lnTo>
                  <a:pt x="25895" y="30467"/>
                </a:lnTo>
                <a:lnTo>
                  <a:pt x="24371" y="31991"/>
                </a:lnTo>
                <a:lnTo>
                  <a:pt x="22847" y="31991"/>
                </a:lnTo>
                <a:lnTo>
                  <a:pt x="21323" y="33515"/>
                </a:lnTo>
                <a:lnTo>
                  <a:pt x="12179" y="33515"/>
                </a:lnTo>
                <a:lnTo>
                  <a:pt x="10655" y="31991"/>
                </a:lnTo>
                <a:lnTo>
                  <a:pt x="9131" y="31991"/>
                </a:lnTo>
                <a:lnTo>
                  <a:pt x="7607" y="30467"/>
                </a:lnTo>
                <a:lnTo>
                  <a:pt x="6083" y="30467"/>
                </a:lnTo>
                <a:lnTo>
                  <a:pt x="6083" y="28943"/>
                </a:lnTo>
                <a:cubicBezTo>
                  <a:pt x="2121" y="25222"/>
                  <a:pt x="953" y="24092"/>
                  <a:pt x="1524" y="18275"/>
                </a:cubicBezTo>
                <a:lnTo>
                  <a:pt x="0" y="16751"/>
                </a:lnTo>
                <a:lnTo>
                  <a:pt x="1524" y="15227"/>
                </a:lnTo>
                <a:lnTo>
                  <a:pt x="1524" y="10655"/>
                </a:lnTo>
                <a:lnTo>
                  <a:pt x="3048" y="7607"/>
                </a:lnTo>
                <a:lnTo>
                  <a:pt x="6083" y="4559"/>
                </a:lnTo>
                <a:lnTo>
                  <a:pt x="6083" y="3035"/>
                </a:lnTo>
                <a:lnTo>
                  <a:pt x="7607" y="1511"/>
                </a:lnTo>
                <a:lnTo>
                  <a:pt x="10655" y="1511"/>
                </a:lnTo>
                <a:lnTo>
                  <a:pt x="12179" y="0"/>
                </a:lnTo>
                <a:lnTo>
                  <a:pt x="16751"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45" name="Shape 9023">
            <a:extLst>
              <a:ext uri="{FF2B5EF4-FFF2-40B4-BE49-F238E27FC236}">
                <a16:creationId xmlns:a16="http://schemas.microsoft.com/office/drawing/2014/main" id="{00000000-0008-0000-0500-00002D000000}"/>
              </a:ext>
            </a:extLst>
          </xdr:cNvPr>
          <xdr:cNvSpPr>
            <a:spLocks/>
          </xdr:cNvSpPr>
        </xdr:nvSpPr>
        <xdr:spPr bwMode="auto">
          <a:xfrm>
            <a:off x="17127" y="1493"/>
            <a:ext cx="1142" cy="1112"/>
          </a:xfrm>
          <a:custGeom>
            <a:avLst/>
            <a:gdLst>
              <a:gd name="T0" fmla="*/ 0 w 114223"/>
              <a:gd name="T1" fmla="*/ 0 h 111213"/>
              <a:gd name="T2" fmla="*/ 0 w 114223"/>
              <a:gd name="T3" fmla="*/ 0 h 111213"/>
              <a:gd name="T4" fmla="*/ 0 w 114223"/>
              <a:gd name="T5" fmla="*/ 0 h 111213"/>
              <a:gd name="T6" fmla="*/ 0 w 114223"/>
              <a:gd name="T7" fmla="*/ 0 h 111213"/>
              <a:gd name="T8" fmla="*/ 0 w 114223"/>
              <a:gd name="T9" fmla="*/ 0 h 111213"/>
              <a:gd name="T10" fmla="*/ 0 w 114223"/>
              <a:gd name="T11" fmla="*/ 0 h 111213"/>
              <a:gd name="T12" fmla="*/ 0 w 114223"/>
              <a:gd name="T13" fmla="*/ 0 h 111213"/>
              <a:gd name="T14" fmla="*/ 0 w 114223"/>
              <a:gd name="T15" fmla="*/ 0 h 111213"/>
              <a:gd name="T16" fmla="*/ 0 w 114223"/>
              <a:gd name="T17" fmla="*/ 0 h 111213"/>
              <a:gd name="T18" fmla="*/ 0 w 114223"/>
              <a:gd name="T19" fmla="*/ 0 h 111213"/>
              <a:gd name="T20" fmla="*/ 0 w 114223"/>
              <a:gd name="T21" fmla="*/ 0 h 111213"/>
              <a:gd name="T22" fmla="*/ 0 w 114223"/>
              <a:gd name="T23" fmla="*/ 0 h 111213"/>
              <a:gd name="T24" fmla="*/ 0 w 114223"/>
              <a:gd name="T25" fmla="*/ 0 h 111213"/>
              <a:gd name="T26" fmla="*/ 0 w 114223"/>
              <a:gd name="T27" fmla="*/ 0 h 111213"/>
              <a:gd name="T28" fmla="*/ 0 w 114223"/>
              <a:gd name="T29" fmla="*/ 0 h 111213"/>
              <a:gd name="T30" fmla="*/ 0 w 114223"/>
              <a:gd name="T31" fmla="*/ 0 h 111213"/>
              <a:gd name="T32" fmla="*/ 0 w 114223"/>
              <a:gd name="T33" fmla="*/ 0 h 111213"/>
              <a:gd name="T34" fmla="*/ 0 w 114223"/>
              <a:gd name="T35" fmla="*/ 0 h 111213"/>
              <a:gd name="T36" fmla="*/ 0 w 114223"/>
              <a:gd name="T37" fmla="*/ 0 h 111213"/>
              <a:gd name="T38" fmla="*/ 0 w 114223"/>
              <a:gd name="T39" fmla="*/ 0 h 111213"/>
              <a:gd name="T40" fmla="*/ 0 w 114223"/>
              <a:gd name="T41" fmla="*/ 0 h 111213"/>
              <a:gd name="T42" fmla="*/ 0 w 114223"/>
              <a:gd name="T43" fmla="*/ 0 h 111213"/>
              <a:gd name="T44" fmla="*/ 0 w 114223"/>
              <a:gd name="T45" fmla="*/ 0 h 111213"/>
              <a:gd name="T46" fmla="*/ 0 w 114223"/>
              <a:gd name="T47" fmla="*/ 0 h 111213"/>
              <a:gd name="T48" fmla="*/ 0 w 114223"/>
              <a:gd name="T49" fmla="*/ 0 h 111213"/>
              <a:gd name="T50" fmla="*/ 0 w 114223"/>
              <a:gd name="T51" fmla="*/ 0 h 111213"/>
              <a:gd name="T52" fmla="*/ 0 w 114223"/>
              <a:gd name="T53" fmla="*/ 0 h 111213"/>
              <a:gd name="T54" fmla="*/ 0 w 114223"/>
              <a:gd name="T55" fmla="*/ 0 h 111213"/>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14223"/>
              <a:gd name="T85" fmla="*/ 0 h 111213"/>
              <a:gd name="T86" fmla="*/ 114223 w 114223"/>
              <a:gd name="T87" fmla="*/ 111213 h 111213"/>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14223" h="111213">
                <a:moveTo>
                  <a:pt x="57581" y="0"/>
                </a:moveTo>
                <a:lnTo>
                  <a:pt x="63678" y="0"/>
                </a:lnTo>
                <a:lnTo>
                  <a:pt x="66725" y="1524"/>
                </a:lnTo>
                <a:cubicBezTo>
                  <a:pt x="90017" y="2718"/>
                  <a:pt x="114223" y="29514"/>
                  <a:pt x="112433" y="53314"/>
                </a:cubicBezTo>
                <a:lnTo>
                  <a:pt x="112433" y="60934"/>
                </a:lnTo>
                <a:cubicBezTo>
                  <a:pt x="112407" y="70446"/>
                  <a:pt x="108940" y="79172"/>
                  <a:pt x="103289" y="86830"/>
                </a:cubicBezTo>
                <a:lnTo>
                  <a:pt x="97193" y="95974"/>
                </a:lnTo>
                <a:lnTo>
                  <a:pt x="83477" y="105117"/>
                </a:lnTo>
                <a:lnTo>
                  <a:pt x="81965" y="106642"/>
                </a:lnTo>
                <a:lnTo>
                  <a:pt x="78917" y="106642"/>
                </a:lnTo>
                <a:lnTo>
                  <a:pt x="75869" y="108165"/>
                </a:lnTo>
                <a:lnTo>
                  <a:pt x="74345" y="108165"/>
                </a:lnTo>
                <a:lnTo>
                  <a:pt x="68249" y="111213"/>
                </a:lnTo>
                <a:lnTo>
                  <a:pt x="46913" y="111213"/>
                </a:lnTo>
                <a:lnTo>
                  <a:pt x="40830" y="108165"/>
                </a:lnTo>
                <a:lnTo>
                  <a:pt x="39306" y="108165"/>
                </a:lnTo>
                <a:lnTo>
                  <a:pt x="36258" y="106642"/>
                </a:lnTo>
                <a:lnTo>
                  <a:pt x="33210" y="106642"/>
                </a:lnTo>
                <a:lnTo>
                  <a:pt x="31686" y="105117"/>
                </a:lnTo>
                <a:lnTo>
                  <a:pt x="25590" y="102069"/>
                </a:lnTo>
                <a:lnTo>
                  <a:pt x="22542" y="99021"/>
                </a:lnTo>
                <a:lnTo>
                  <a:pt x="17970" y="95974"/>
                </a:lnTo>
                <a:lnTo>
                  <a:pt x="14922" y="91401"/>
                </a:lnTo>
                <a:cubicBezTo>
                  <a:pt x="7607" y="81216"/>
                  <a:pt x="4597" y="75984"/>
                  <a:pt x="2743" y="63982"/>
                </a:cubicBezTo>
                <a:lnTo>
                  <a:pt x="2743" y="56362"/>
                </a:lnTo>
                <a:cubicBezTo>
                  <a:pt x="0" y="30899"/>
                  <a:pt x="23304" y="3010"/>
                  <a:pt x="48437" y="1524"/>
                </a:cubicBezTo>
                <a:lnTo>
                  <a:pt x="51486" y="0"/>
                </a:lnTo>
                <a:lnTo>
                  <a:pt x="57581"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46" name="Shape 9024">
            <a:extLst>
              <a:ext uri="{FF2B5EF4-FFF2-40B4-BE49-F238E27FC236}">
                <a16:creationId xmlns:a16="http://schemas.microsoft.com/office/drawing/2014/main" id="{00000000-0008-0000-0500-00002E000000}"/>
              </a:ext>
            </a:extLst>
          </xdr:cNvPr>
          <xdr:cNvSpPr>
            <a:spLocks/>
          </xdr:cNvSpPr>
        </xdr:nvSpPr>
        <xdr:spPr bwMode="auto">
          <a:xfrm>
            <a:off x="18510" y="1310"/>
            <a:ext cx="1478" cy="1493"/>
          </a:xfrm>
          <a:custGeom>
            <a:avLst/>
            <a:gdLst>
              <a:gd name="T0" fmla="*/ 0 w 147777"/>
              <a:gd name="T1" fmla="*/ 0 h 149301"/>
              <a:gd name="T2" fmla="*/ 0 w 147777"/>
              <a:gd name="T3" fmla="*/ 0 h 149301"/>
              <a:gd name="T4" fmla="*/ 0 w 147777"/>
              <a:gd name="T5" fmla="*/ 0 h 149301"/>
              <a:gd name="T6" fmla="*/ 0 w 147777"/>
              <a:gd name="T7" fmla="*/ 0 h 149301"/>
              <a:gd name="T8" fmla="*/ 0 w 147777"/>
              <a:gd name="T9" fmla="*/ 0 h 149301"/>
              <a:gd name="T10" fmla="*/ 0 w 147777"/>
              <a:gd name="T11" fmla="*/ 0 h 149301"/>
              <a:gd name="T12" fmla="*/ 0 w 147777"/>
              <a:gd name="T13" fmla="*/ 0 h 149301"/>
              <a:gd name="T14" fmla="*/ 0 w 147777"/>
              <a:gd name="T15" fmla="*/ 0 h 149301"/>
              <a:gd name="T16" fmla="*/ 0 w 147777"/>
              <a:gd name="T17" fmla="*/ 0 h 149301"/>
              <a:gd name="T18" fmla="*/ 0 w 147777"/>
              <a:gd name="T19" fmla="*/ 0 h 149301"/>
              <a:gd name="T20" fmla="*/ 0 w 147777"/>
              <a:gd name="T21" fmla="*/ 0 h 149301"/>
              <a:gd name="T22" fmla="*/ 0 w 147777"/>
              <a:gd name="T23" fmla="*/ 0 h 149301"/>
              <a:gd name="T24" fmla="*/ 0 w 147777"/>
              <a:gd name="T25" fmla="*/ 0 h 149301"/>
              <a:gd name="T26" fmla="*/ 0 w 147777"/>
              <a:gd name="T27" fmla="*/ 0 h 149301"/>
              <a:gd name="T28" fmla="*/ 0 w 147777"/>
              <a:gd name="T29" fmla="*/ 0 h 149301"/>
              <a:gd name="T30" fmla="*/ 0 w 147777"/>
              <a:gd name="T31" fmla="*/ 0 h 149301"/>
              <a:gd name="T32" fmla="*/ 0 w 147777"/>
              <a:gd name="T33" fmla="*/ 0 h 149301"/>
              <a:gd name="T34" fmla="*/ 0 w 147777"/>
              <a:gd name="T35" fmla="*/ 0 h 149301"/>
              <a:gd name="T36" fmla="*/ 0 w 147777"/>
              <a:gd name="T37" fmla="*/ 0 h 149301"/>
              <a:gd name="T38" fmla="*/ 0 w 147777"/>
              <a:gd name="T39" fmla="*/ 0 h 149301"/>
              <a:gd name="T40" fmla="*/ 0 w 147777"/>
              <a:gd name="T41" fmla="*/ 0 h 149301"/>
              <a:gd name="T42" fmla="*/ 0 w 147777"/>
              <a:gd name="T43" fmla="*/ 0 h 149301"/>
              <a:gd name="T44" fmla="*/ 0 w 147777"/>
              <a:gd name="T45" fmla="*/ 0 h 149301"/>
              <a:gd name="T46" fmla="*/ 0 w 147777"/>
              <a:gd name="T47" fmla="*/ 0 h 149301"/>
              <a:gd name="T48" fmla="*/ 0 w 147777"/>
              <a:gd name="T49" fmla="*/ 0 h 149301"/>
              <a:gd name="T50" fmla="*/ 0 w 147777"/>
              <a:gd name="T51" fmla="*/ 0 h 149301"/>
              <a:gd name="T52" fmla="*/ 0 w 147777"/>
              <a:gd name="T53" fmla="*/ 0 h 149301"/>
              <a:gd name="T54" fmla="*/ 0 w 147777"/>
              <a:gd name="T55" fmla="*/ 0 h 149301"/>
              <a:gd name="T56" fmla="*/ 0 w 147777"/>
              <a:gd name="T57" fmla="*/ 0 h 149301"/>
              <a:gd name="T58" fmla="*/ 0 w 147777"/>
              <a:gd name="T59" fmla="*/ 0 h 149301"/>
              <a:gd name="T60" fmla="*/ 0 w 147777"/>
              <a:gd name="T61" fmla="*/ 0 h 149301"/>
              <a:gd name="T62" fmla="*/ 0 w 147777"/>
              <a:gd name="T63" fmla="*/ 0 h 149301"/>
              <a:gd name="T64" fmla="*/ 0 w 147777"/>
              <a:gd name="T65" fmla="*/ 0 h 149301"/>
              <a:gd name="T66" fmla="*/ 0 w 147777"/>
              <a:gd name="T67" fmla="*/ 0 h 149301"/>
              <a:gd name="T68" fmla="*/ 0 w 147777"/>
              <a:gd name="T69" fmla="*/ 0 h 149301"/>
              <a:gd name="T70" fmla="*/ 0 w 147777"/>
              <a:gd name="T71" fmla="*/ 0 h 149301"/>
              <a:gd name="T72" fmla="*/ 0 w 147777"/>
              <a:gd name="T73" fmla="*/ 0 h 149301"/>
              <a:gd name="T74" fmla="*/ 0 w 147777"/>
              <a:gd name="T75" fmla="*/ 0 h 149301"/>
              <a:gd name="T76" fmla="*/ 0 w 147777"/>
              <a:gd name="T77" fmla="*/ 0 h 149301"/>
              <a:gd name="T78" fmla="*/ 0 w 147777"/>
              <a:gd name="T79" fmla="*/ 0 h 149301"/>
              <a:gd name="T80" fmla="*/ 0 w 147777"/>
              <a:gd name="T81" fmla="*/ 0 h 149301"/>
              <a:gd name="T82" fmla="*/ 0 w 147777"/>
              <a:gd name="T83" fmla="*/ 0 h 149301"/>
              <a:gd name="T84" fmla="*/ 0 w 147777"/>
              <a:gd name="T85" fmla="*/ 0 h 149301"/>
              <a:gd name="T86" fmla="*/ 0 w 147777"/>
              <a:gd name="T87" fmla="*/ 0 h 149301"/>
              <a:gd name="T88" fmla="*/ 0 w 147777"/>
              <a:gd name="T89" fmla="*/ 0 h 149301"/>
              <a:gd name="T90" fmla="*/ 0 w 147777"/>
              <a:gd name="T91" fmla="*/ 0 h 149301"/>
              <a:gd name="T92" fmla="*/ 0 w 147777"/>
              <a:gd name="T93" fmla="*/ 0 h 149301"/>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147777"/>
              <a:gd name="T142" fmla="*/ 0 h 149301"/>
              <a:gd name="T143" fmla="*/ 147777 w 147777"/>
              <a:gd name="T144" fmla="*/ 149301 h 149301"/>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147777" h="149301">
                <a:moveTo>
                  <a:pt x="74650" y="0"/>
                </a:moveTo>
                <a:lnTo>
                  <a:pt x="82271" y="0"/>
                </a:lnTo>
                <a:lnTo>
                  <a:pt x="85318" y="1524"/>
                </a:lnTo>
                <a:lnTo>
                  <a:pt x="89890" y="1524"/>
                </a:lnTo>
                <a:cubicBezTo>
                  <a:pt x="108293" y="8217"/>
                  <a:pt x="111023" y="7226"/>
                  <a:pt x="126454" y="22860"/>
                </a:cubicBezTo>
                <a:lnTo>
                  <a:pt x="129501" y="24371"/>
                </a:lnTo>
                <a:lnTo>
                  <a:pt x="131026" y="27419"/>
                </a:lnTo>
                <a:cubicBezTo>
                  <a:pt x="139357" y="35039"/>
                  <a:pt x="146926" y="55461"/>
                  <a:pt x="147777" y="67030"/>
                </a:cubicBezTo>
                <a:lnTo>
                  <a:pt x="147777" y="82270"/>
                </a:lnTo>
                <a:cubicBezTo>
                  <a:pt x="147205" y="93624"/>
                  <a:pt x="139395" y="116001"/>
                  <a:pt x="131026" y="123405"/>
                </a:cubicBezTo>
                <a:lnTo>
                  <a:pt x="118833" y="135598"/>
                </a:lnTo>
                <a:lnTo>
                  <a:pt x="109689" y="140157"/>
                </a:lnTo>
                <a:lnTo>
                  <a:pt x="106642" y="143205"/>
                </a:lnTo>
                <a:lnTo>
                  <a:pt x="103594" y="144729"/>
                </a:lnTo>
                <a:lnTo>
                  <a:pt x="100546" y="144729"/>
                </a:lnTo>
                <a:lnTo>
                  <a:pt x="95974" y="146253"/>
                </a:lnTo>
                <a:lnTo>
                  <a:pt x="92939" y="147777"/>
                </a:lnTo>
                <a:lnTo>
                  <a:pt x="89890" y="147777"/>
                </a:lnTo>
                <a:lnTo>
                  <a:pt x="85318" y="149301"/>
                </a:lnTo>
                <a:lnTo>
                  <a:pt x="62459" y="149301"/>
                </a:lnTo>
                <a:lnTo>
                  <a:pt x="59410" y="147777"/>
                </a:lnTo>
                <a:lnTo>
                  <a:pt x="56375" y="147777"/>
                </a:lnTo>
                <a:lnTo>
                  <a:pt x="51803" y="146253"/>
                </a:lnTo>
                <a:lnTo>
                  <a:pt x="48755" y="144729"/>
                </a:lnTo>
                <a:lnTo>
                  <a:pt x="45707" y="144729"/>
                </a:lnTo>
                <a:lnTo>
                  <a:pt x="42659" y="143205"/>
                </a:lnTo>
                <a:lnTo>
                  <a:pt x="39611" y="140157"/>
                </a:lnTo>
                <a:lnTo>
                  <a:pt x="30467" y="135598"/>
                </a:lnTo>
                <a:lnTo>
                  <a:pt x="27419" y="132549"/>
                </a:lnTo>
                <a:lnTo>
                  <a:pt x="24371" y="131025"/>
                </a:lnTo>
                <a:lnTo>
                  <a:pt x="22847" y="127977"/>
                </a:lnTo>
                <a:lnTo>
                  <a:pt x="15240" y="120357"/>
                </a:lnTo>
                <a:lnTo>
                  <a:pt x="12192" y="114262"/>
                </a:lnTo>
                <a:lnTo>
                  <a:pt x="9144" y="111213"/>
                </a:lnTo>
                <a:lnTo>
                  <a:pt x="7620" y="108165"/>
                </a:lnTo>
                <a:lnTo>
                  <a:pt x="6096" y="103594"/>
                </a:lnTo>
                <a:lnTo>
                  <a:pt x="4572" y="100545"/>
                </a:lnTo>
                <a:lnTo>
                  <a:pt x="4572" y="97510"/>
                </a:lnTo>
                <a:lnTo>
                  <a:pt x="3048" y="94462"/>
                </a:lnTo>
                <a:lnTo>
                  <a:pt x="3048" y="89890"/>
                </a:lnTo>
                <a:lnTo>
                  <a:pt x="1524" y="86842"/>
                </a:lnTo>
                <a:lnTo>
                  <a:pt x="1524" y="82270"/>
                </a:lnTo>
                <a:lnTo>
                  <a:pt x="0" y="79222"/>
                </a:lnTo>
                <a:lnTo>
                  <a:pt x="0" y="74650"/>
                </a:lnTo>
                <a:cubicBezTo>
                  <a:pt x="1702" y="39192"/>
                  <a:pt x="26327" y="6972"/>
                  <a:pt x="62459" y="1524"/>
                </a:cubicBezTo>
                <a:lnTo>
                  <a:pt x="67030" y="0"/>
                </a:lnTo>
                <a:lnTo>
                  <a:pt x="7465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47" name="Shape 9025">
            <a:extLst>
              <a:ext uri="{FF2B5EF4-FFF2-40B4-BE49-F238E27FC236}">
                <a16:creationId xmlns:a16="http://schemas.microsoft.com/office/drawing/2014/main" id="{00000000-0008-0000-0500-00002F000000}"/>
              </a:ext>
            </a:extLst>
          </xdr:cNvPr>
          <xdr:cNvSpPr>
            <a:spLocks/>
          </xdr:cNvSpPr>
        </xdr:nvSpPr>
        <xdr:spPr bwMode="auto">
          <a:xfrm>
            <a:off x="19089" y="1919"/>
            <a:ext cx="320" cy="335"/>
          </a:xfrm>
          <a:custGeom>
            <a:avLst/>
            <a:gdLst>
              <a:gd name="T0" fmla="*/ 0 w 31991"/>
              <a:gd name="T1" fmla="*/ 0 h 33515"/>
              <a:gd name="T2" fmla="*/ 0 w 31991"/>
              <a:gd name="T3" fmla="*/ 0 h 33515"/>
              <a:gd name="T4" fmla="*/ 0 w 31991"/>
              <a:gd name="T5" fmla="*/ 0 h 33515"/>
              <a:gd name="T6" fmla="*/ 0 w 31991"/>
              <a:gd name="T7" fmla="*/ 0 h 33515"/>
              <a:gd name="T8" fmla="*/ 0 w 31991"/>
              <a:gd name="T9" fmla="*/ 0 h 33515"/>
              <a:gd name="T10" fmla="*/ 0 w 31991"/>
              <a:gd name="T11" fmla="*/ 0 h 33515"/>
              <a:gd name="T12" fmla="*/ 0 w 31991"/>
              <a:gd name="T13" fmla="*/ 0 h 33515"/>
              <a:gd name="T14" fmla="*/ 0 w 31991"/>
              <a:gd name="T15" fmla="*/ 0 h 33515"/>
              <a:gd name="T16" fmla="*/ 0 w 31991"/>
              <a:gd name="T17" fmla="*/ 0 h 33515"/>
              <a:gd name="T18" fmla="*/ 0 w 31991"/>
              <a:gd name="T19" fmla="*/ 0 h 33515"/>
              <a:gd name="T20" fmla="*/ 0 w 31991"/>
              <a:gd name="T21" fmla="*/ 0 h 33515"/>
              <a:gd name="T22" fmla="*/ 0 w 31991"/>
              <a:gd name="T23" fmla="*/ 0 h 33515"/>
              <a:gd name="T24" fmla="*/ 0 w 31991"/>
              <a:gd name="T25" fmla="*/ 0 h 33515"/>
              <a:gd name="T26" fmla="*/ 0 w 31991"/>
              <a:gd name="T27" fmla="*/ 0 h 33515"/>
              <a:gd name="T28" fmla="*/ 0 w 31991"/>
              <a:gd name="T29" fmla="*/ 0 h 33515"/>
              <a:gd name="T30" fmla="*/ 0 w 31991"/>
              <a:gd name="T31" fmla="*/ 0 h 33515"/>
              <a:gd name="T32" fmla="*/ 0 w 31991"/>
              <a:gd name="T33" fmla="*/ 0 h 33515"/>
              <a:gd name="T34" fmla="*/ 0 w 31991"/>
              <a:gd name="T35" fmla="*/ 0 h 33515"/>
              <a:gd name="T36" fmla="*/ 0 w 31991"/>
              <a:gd name="T37" fmla="*/ 0 h 33515"/>
              <a:gd name="T38" fmla="*/ 0 w 31991"/>
              <a:gd name="T39" fmla="*/ 0 h 33515"/>
              <a:gd name="T40" fmla="*/ 0 w 31991"/>
              <a:gd name="T41" fmla="*/ 0 h 33515"/>
              <a:gd name="T42" fmla="*/ 0 w 31991"/>
              <a:gd name="T43" fmla="*/ 0 h 33515"/>
              <a:gd name="T44" fmla="*/ 0 w 31991"/>
              <a:gd name="T45" fmla="*/ 0 h 33515"/>
              <a:gd name="T46" fmla="*/ 0 w 31991"/>
              <a:gd name="T47" fmla="*/ 0 h 33515"/>
              <a:gd name="T48" fmla="*/ 0 w 31991"/>
              <a:gd name="T49" fmla="*/ 0 h 33515"/>
              <a:gd name="T50" fmla="*/ 0 w 31991"/>
              <a:gd name="T51" fmla="*/ 0 h 33515"/>
              <a:gd name="T52" fmla="*/ 0 w 31991"/>
              <a:gd name="T53" fmla="*/ 0 h 33515"/>
              <a:gd name="T54" fmla="*/ 0 w 31991"/>
              <a:gd name="T55" fmla="*/ 0 h 33515"/>
              <a:gd name="T56" fmla="*/ 0 w 31991"/>
              <a:gd name="T57" fmla="*/ 0 h 33515"/>
              <a:gd name="T58" fmla="*/ 0 w 31991"/>
              <a:gd name="T59" fmla="*/ 0 h 33515"/>
              <a:gd name="T60" fmla="*/ 0 w 31991"/>
              <a:gd name="T61" fmla="*/ 0 h 33515"/>
              <a:gd name="T62" fmla="*/ 0 w 31991"/>
              <a:gd name="T63" fmla="*/ 0 h 33515"/>
              <a:gd name="T64" fmla="*/ 0 w 31991"/>
              <a:gd name="T65" fmla="*/ 0 h 33515"/>
              <a:gd name="T66" fmla="*/ 0 w 31991"/>
              <a:gd name="T67" fmla="*/ 0 h 33515"/>
              <a:gd name="T68" fmla="*/ 0 w 31991"/>
              <a:gd name="T69" fmla="*/ 0 h 33515"/>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1991"/>
              <a:gd name="T106" fmla="*/ 0 h 33515"/>
              <a:gd name="T107" fmla="*/ 31991 w 31991"/>
              <a:gd name="T108" fmla="*/ 33515 h 33515"/>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1991" h="33515">
                <a:moveTo>
                  <a:pt x="10656" y="0"/>
                </a:moveTo>
                <a:lnTo>
                  <a:pt x="21324" y="0"/>
                </a:lnTo>
                <a:lnTo>
                  <a:pt x="22847" y="1511"/>
                </a:lnTo>
                <a:lnTo>
                  <a:pt x="24371" y="1511"/>
                </a:lnTo>
                <a:lnTo>
                  <a:pt x="28943" y="6083"/>
                </a:lnTo>
                <a:lnTo>
                  <a:pt x="28943" y="7607"/>
                </a:lnTo>
                <a:lnTo>
                  <a:pt x="30467" y="7607"/>
                </a:lnTo>
                <a:lnTo>
                  <a:pt x="30467" y="12179"/>
                </a:lnTo>
                <a:lnTo>
                  <a:pt x="31991" y="13703"/>
                </a:lnTo>
                <a:lnTo>
                  <a:pt x="31991" y="19799"/>
                </a:lnTo>
                <a:lnTo>
                  <a:pt x="30467" y="22847"/>
                </a:lnTo>
                <a:lnTo>
                  <a:pt x="30467" y="25895"/>
                </a:lnTo>
                <a:lnTo>
                  <a:pt x="28943" y="25895"/>
                </a:lnTo>
                <a:lnTo>
                  <a:pt x="28943" y="27419"/>
                </a:lnTo>
                <a:lnTo>
                  <a:pt x="25895" y="30467"/>
                </a:lnTo>
                <a:lnTo>
                  <a:pt x="24371" y="30467"/>
                </a:lnTo>
                <a:lnTo>
                  <a:pt x="24371" y="31991"/>
                </a:lnTo>
                <a:lnTo>
                  <a:pt x="22847" y="31991"/>
                </a:lnTo>
                <a:lnTo>
                  <a:pt x="21324" y="33515"/>
                </a:lnTo>
                <a:lnTo>
                  <a:pt x="10656" y="33515"/>
                </a:lnTo>
                <a:lnTo>
                  <a:pt x="7607" y="30467"/>
                </a:lnTo>
                <a:lnTo>
                  <a:pt x="6083" y="30467"/>
                </a:lnTo>
                <a:lnTo>
                  <a:pt x="3035" y="27419"/>
                </a:lnTo>
                <a:lnTo>
                  <a:pt x="3035" y="25895"/>
                </a:lnTo>
                <a:lnTo>
                  <a:pt x="1512" y="25895"/>
                </a:lnTo>
                <a:lnTo>
                  <a:pt x="1512" y="22847"/>
                </a:lnTo>
                <a:lnTo>
                  <a:pt x="0" y="22847"/>
                </a:lnTo>
                <a:lnTo>
                  <a:pt x="0" y="12179"/>
                </a:lnTo>
                <a:lnTo>
                  <a:pt x="1512" y="10655"/>
                </a:lnTo>
                <a:lnTo>
                  <a:pt x="1512" y="7607"/>
                </a:lnTo>
                <a:lnTo>
                  <a:pt x="3035" y="7607"/>
                </a:lnTo>
                <a:lnTo>
                  <a:pt x="3035" y="6083"/>
                </a:lnTo>
                <a:lnTo>
                  <a:pt x="7607" y="1511"/>
                </a:lnTo>
                <a:lnTo>
                  <a:pt x="9131" y="1511"/>
                </a:lnTo>
                <a:lnTo>
                  <a:pt x="10656" y="0"/>
                </a:ln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48" name="Shape 9026">
            <a:extLst>
              <a:ext uri="{FF2B5EF4-FFF2-40B4-BE49-F238E27FC236}">
                <a16:creationId xmlns:a16="http://schemas.microsoft.com/office/drawing/2014/main" id="{00000000-0008-0000-0500-000030000000}"/>
              </a:ext>
            </a:extLst>
          </xdr:cNvPr>
          <xdr:cNvSpPr>
            <a:spLocks/>
          </xdr:cNvSpPr>
        </xdr:nvSpPr>
        <xdr:spPr bwMode="auto">
          <a:xfrm>
            <a:off x="19089" y="1919"/>
            <a:ext cx="320" cy="335"/>
          </a:xfrm>
          <a:custGeom>
            <a:avLst/>
            <a:gdLst>
              <a:gd name="T0" fmla="*/ 0 w 31991"/>
              <a:gd name="T1" fmla="*/ 0 h 33515"/>
              <a:gd name="T2" fmla="*/ 0 w 31991"/>
              <a:gd name="T3" fmla="*/ 0 h 33515"/>
              <a:gd name="T4" fmla="*/ 0 w 31991"/>
              <a:gd name="T5" fmla="*/ 0 h 33515"/>
              <a:gd name="T6" fmla="*/ 0 w 31991"/>
              <a:gd name="T7" fmla="*/ 0 h 33515"/>
              <a:gd name="T8" fmla="*/ 0 w 31991"/>
              <a:gd name="T9" fmla="*/ 0 h 33515"/>
              <a:gd name="T10" fmla="*/ 0 w 31991"/>
              <a:gd name="T11" fmla="*/ 0 h 33515"/>
              <a:gd name="T12" fmla="*/ 0 w 31991"/>
              <a:gd name="T13" fmla="*/ 0 h 33515"/>
              <a:gd name="T14" fmla="*/ 0 w 31991"/>
              <a:gd name="T15" fmla="*/ 0 h 33515"/>
              <a:gd name="T16" fmla="*/ 0 w 31991"/>
              <a:gd name="T17" fmla="*/ 0 h 33515"/>
              <a:gd name="T18" fmla="*/ 0 w 31991"/>
              <a:gd name="T19" fmla="*/ 0 h 33515"/>
              <a:gd name="T20" fmla="*/ 0 w 31991"/>
              <a:gd name="T21" fmla="*/ 0 h 33515"/>
              <a:gd name="T22" fmla="*/ 0 w 31991"/>
              <a:gd name="T23" fmla="*/ 0 h 33515"/>
              <a:gd name="T24" fmla="*/ 0 w 31991"/>
              <a:gd name="T25" fmla="*/ 0 h 33515"/>
              <a:gd name="T26" fmla="*/ 0 w 31991"/>
              <a:gd name="T27" fmla="*/ 0 h 33515"/>
              <a:gd name="T28" fmla="*/ 0 w 31991"/>
              <a:gd name="T29" fmla="*/ 0 h 33515"/>
              <a:gd name="T30" fmla="*/ 0 w 31991"/>
              <a:gd name="T31" fmla="*/ 0 h 33515"/>
              <a:gd name="T32" fmla="*/ 0 w 31991"/>
              <a:gd name="T33" fmla="*/ 0 h 33515"/>
              <a:gd name="T34" fmla="*/ 0 w 31991"/>
              <a:gd name="T35" fmla="*/ 0 h 33515"/>
              <a:gd name="T36" fmla="*/ 0 w 31991"/>
              <a:gd name="T37" fmla="*/ 0 h 33515"/>
              <a:gd name="T38" fmla="*/ 0 w 31991"/>
              <a:gd name="T39" fmla="*/ 0 h 33515"/>
              <a:gd name="T40" fmla="*/ 0 w 31991"/>
              <a:gd name="T41" fmla="*/ 0 h 33515"/>
              <a:gd name="T42" fmla="*/ 0 w 31991"/>
              <a:gd name="T43" fmla="*/ 0 h 33515"/>
              <a:gd name="T44" fmla="*/ 0 w 31991"/>
              <a:gd name="T45" fmla="*/ 0 h 33515"/>
              <a:gd name="T46" fmla="*/ 0 w 31991"/>
              <a:gd name="T47" fmla="*/ 0 h 33515"/>
              <a:gd name="T48" fmla="*/ 0 w 31991"/>
              <a:gd name="T49" fmla="*/ 0 h 33515"/>
              <a:gd name="T50" fmla="*/ 0 w 31991"/>
              <a:gd name="T51" fmla="*/ 0 h 33515"/>
              <a:gd name="T52" fmla="*/ 0 w 31991"/>
              <a:gd name="T53" fmla="*/ 0 h 33515"/>
              <a:gd name="T54" fmla="*/ 0 w 31991"/>
              <a:gd name="T55" fmla="*/ 0 h 33515"/>
              <a:gd name="T56" fmla="*/ 0 w 31991"/>
              <a:gd name="T57" fmla="*/ 0 h 33515"/>
              <a:gd name="T58" fmla="*/ 0 w 31991"/>
              <a:gd name="T59" fmla="*/ 0 h 33515"/>
              <a:gd name="T60" fmla="*/ 0 w 31991"/>
              <a:gd name="T61" fmla="*/ 0 h 33515"/>
              <a:gd name="T62" fmla="*/ 0 w 31991"/>
              <a:gd name="T63" fmla="*/ 0 h 33515"/>
              <a:gd name="T64" fmla="*/ 0 w 31991"/>
              <a:gd name="T65" fmla="*/ 0 h 33515"/>
              <a:gd name="T66" fmla="*/ 0 w 31991"/>
              <a:gd name="T67" fmla="*/ 0 h 33515"/>
              <a:gd name="T68" fmla="*/ 0 w 31991"/>
              <a:gd name="T69" fmla="*/ 0 h 33515"/>
              <a:gd name="T70" fmla="*/ 0 w 31991"/>
              <a:gd name="T71" fmla="*/ 0 h 33515"/>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1991"/>
              <a:gd name="T109" fmla="*/ 0 h 33515"/>
              <a:gd name="T110" fmla="*/ 31991 w 31991"/>
              <a:gd name="T111" fmla="*/ 33515 h 33515"/>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1991" h="33515">
                <a:moveTo>
                  <a:pt x="15227" y="0"/>
                </a:moveTo>
                <a:lnTo>
                  <a:pt x="21324" y="0"/>
                </a:lnTo>
                <a:lnTo>
                  <a:pt x="22847" y="1511"/>
                </a:lnTo>
                <a:lnTo>
                  <a:pt x="24371" y="1511"/>
                </a:lnTo>
                <a:lnTo>
                  <a:pt x="28943" y="6083"/>
                </a:lnTo>
                <a:lnTo>
                  <a:pt x="28943" y="7607"/>
                </a:lnTo>
                <a:lnTo>
                  <a:pt x="30467" y="7607"/>
                </a:lnTo>
                <a:lnTo>
                  <a:pt x="30467" y="12179"/>
                </a:lnTo>
                <a:lnTo>
                  <a:pt x="31991" y="13703"/>
                </a:lnTo>
                <a:lnTo>
                  <a:pt x="31991" y="19799"/>
                </a:lnTo>
                <a:lnTo>
                  <a:pt x="30467" y="22847"/>
                </a:lnTo>
                <a:lnTo>
                  <a:pt x="30467" y="25895"/>
                </a:lnTo>
                <a:lnTo>
                  <a:pt x="28943" y="25895"/>
                </a:lnTo>
                <a:lnTo>
                  <a:pt x="28943" y="27419"/>
                </a:lnTo>
                <a:lnTo>
                  <a:pt x="25895" y="30467"/>
                </a:lnTo>
                <a:lnTo>
                  <a:pt x="24371" y="30467"/>
                </a:lnTo>
                <a:lnTo>
                  <a:pt x="24371" y="31991"/>
                </a:lnTo>
                <a:lnTo>
                  <a:pt x="22847" y="31991"/>
                </a:lnTo>
                <a:lnTo>
                  <a:pt x="21324" y="33515"/>
                </a:lnTo>
                <a:lnTo>
                  <a:pt x="10656" y="33515"/>
                </a:lnTo>
                <a:lnTo>
                  <a:pt x="7607" y="30467"/>
                </a:lnTo>
                <a:lnTo>
                  <a:pt x="6083" y="30467"/>
                </a:lnTo>
                <a:lnTo>
                  <a:pt x="3035" y="27419"/>
                </a:lnTo>
                <a:lnTo>
                  <a:pt x="3035" y="25895"/>
                </a:lnTo>
                <a:lnTo>
                  <a:pt x="1512" y="25895"/>
                </a:lnTo>
                <a:lnTo>
                  <a:pt x="1512" y="22847"/>
                </a:lnTo>
                <a:lnTo>
                  <a:pt x="0" y="22847"/>
                </a:lnTo>
                <a:lnTo>
                  <a:pt x="0" y="12179"/>
                </a:lnTo>
                <a:lnTo>
                  <a:pt x="1512" y="10655"/>
                </a:lnTo>
                <a:lnTo>
                  <a:pt x="1512" y="7607"/>
                </a:lnTo>
                <a:lnTo>
                  <a:pt x="3035" y="7607"/>
                </a:lnTo>
                <a:lnTo>
                  <a:pt x="3035" y="6083"/>
                </a:lnTo>
                <a:lnTo>
                  <a:pt x="7607" y="1511"/>
                </a:lnTo>
                <a:lnTo>
                  <a:pt x="9131" y="1511"/>
                </a:lnTo>
                <a:lnTo>
                  <a:pt x="10656" y="0"/>
                </a:lnTo>
                <a:lnTo>
                  <a:pt x="15227"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49" name="Shape 9027">
            <a:extLst>
              <a:ext uri="{FF2B5EF4-FFF2-40B4-BE49-F238E27FC236}">
                <a16:creationId xmlns:a16="http://schemas.microsoft.com/office/drawing/2014/main" id="{00000000-0008-0000-0500-000031000000}"/>
              </a:ext>
            </a:extLst>
          </xdr:cNvPr>
          <xdr:cNvSpPr>
            <a:spLocks/>
          </xdr:cNvSpPr>
        </xdr:nvSpPr>
        <xdr:spPr bwMode="auto">
          <a:xfrm>
            <a:off x="18708" y="1493"/>
            <a:ext cx="1112" cy="1112"/>
          </a:xfrm>
          <a:custGeom>
            <a:avLst/>
            <a:gdLst>
              <a:gd name="T0" fmla="*/ 0 w 111214"/>
              <a:gd name="T1" fmla="*/ 0 h 111213"/>
              <a:gd name="T2" fmla="*/ 0 w 111214"/>
              <a:gd name="T3" fmla="*/ 0 h 111213"/>
              <a:gd name="T4" fmla="*/ 0 w 111214"/>
              <a:gd name="T5" fmla="*/ 0 h 111213"/>
              <a:gd name="T6" fmla="*/ 0 w 111214"/>
              <a:gd name="T7" fmla="*/ 0 h 111213"/>
              <a:gd name="T8" fmla="*/ 0 w 111214"/>
              <a:gd name="T9" fmla="*/ 0 h 111213"/>
              <a:gd name="T10" fmla="*/ 0 w 111214"/>
              <a:gd name="T11" fmla="*/ 0 h 111213"/>
              <a:gd name="T12" fmla="*/ 0 w 111214"/>
              <a:gd name="T13" fmla="*/ 0 h 111213"/>
              <a:gd name="T14" fmla="*/ 0 w 111214"/>
              <a:gd name="T15" fmla="*/ 0 h 111213"/>
              <a:gd name="T16" fmla="*/ 0 w 111214"/>
              <a:gd name="T17" fmla="*/ 0 h 111213"/>
              <a:gd name="T18" fmla="*/ 0 w 111214"/>
              <a:gd name="T19" fmla="*/ 0 h 111213"/>
              <a:gd name="T20" fmla="*/ 0 w 111214"/>
              <a:gd name="T21" fmla="*/ 0 h 111213"/>
              <a:gd name="T22" fmla="*/ 0 w 111214"/>
              <a:gd name="T23" fmla="*/ 0 h 111213"/>
              <a:gd name="T24" fmla="*/ 0 w 111214"/>
              <a:gd name="T25" fmla="*/ 0 h 111213"/>
              <a:gd name="T26" fmla="*/ 0 w 111214"/>
              <a:gd name="T27" fmla="*/ 0 h 111213"/>
              <a:gd name="T28" fmla="*/ 0 w 111214"/>
              <a:gd name="T29" fmla="*/ 0 h 111213"/>
              <a:gd name="T30" fmla="*/ 0 w 111214"/>
              <a:gd name="T31" fmla="*/ 0 h 111213"/>
              <a:gd name="T32" fmla="*/ 0 w 111214"/>
              <a:gd name="T33" fmla="*/ 0 h 111213"/>
              <a:gd name="T34" fmla="*/ 0 w 111214"/>
              <a:gd name="T35" fmla="*/ 0 h 111213"/>
              <a:gd name="T36" fmla="*/ 0 w 111214"/>
              <a:gd name="T37" fmla="*/ 0 h 111213"/>
              <a:gd name="T38" fmla="*/ 0 w 111214"/>
              <a:gd name="T39" fmla="*/ 0 h 111213"/>
              <a:gd name="T40" fmla="*/ 0 w 111214"/>
              <a:gd name="T41" fmla="*/ 0 h 111213"/>
              <a:gd name="T42" fmla="*/ 0 w 111214"/>
              <a:gd name="T43" fmla="*/ 0 h 111213"/>
              <a:gd name="T44" fmla="*/ 0 w 111214"/>
              <a:gd name="T45" fmla="*/ 0 h 111213"/>
              <a:gd name="T46" fmla="*/ 0 w 111214"/>
              <a:gd name="T47" fmla="*/ 0 h 111213"/>
              <a:gd name="T48" fmla="*/ 0 w 111214"/>
              <a:gd name="T49" fmla="*/ 0 h 111213"/>
              <a:gd name="T50" fmla="*/ 0 w 111214"/>
              <a:gd name="T51" fmla="*/ 0 h 111213"/>
              <a:gd name="T52" fmla="*/ 0 w 111214"/>
              <a:gd name="T53" fmla="*/ 0 h 111213"/>
              <a:gd name="T54" fmla="*/ 0 w 111214"/>
              <a:gd name="T55" fmla="*/ 0 h 111213"/>
              <a:gd name="T56" fmla="*/ 0 w 111214"/>
              <a:gd name="T57" fmla="*/ 0 h 111213"/>
              <a:gd name="T58" fmla="*/ 0 w 111214"/>
              <a:gd name="T59" fmla="*/ 0 h 111213"/>
              <a:gd name="T60" fmla="*/ 0 w 111214"/>
              <a:gd name="T61" fmla="*/ 0 h 111213"/>
              <a:gd name="T62" fmla="*/ 0 w 111214"/>
              <a:gd name="T63" fmla="*/ 0 h 111213"/>
              <a:gd name="T64" fmla="*/ 0 w 111214"/>
              <a:gd name="T65" fmla="*/ 0 h 111213"/>
              <a:gd name="T66" fmla="*/ 0 w 111214"/>
              <a:gd name="T67" fmla="*/ 0 h 111213"/>
              <a:gd name="T68" fmla="*/ 0 w 111214"/>
              <a:gd name="T69" fmla="*/ 0 h 111213"/>
              <a:gd name="T70" fmla="*/ 0 w 111214"/>
              <a:gd name="T71" fmla="*/ 0 h 111213"/>
              <a:gd name="T72" fmla="*/ 0 w 111214"/>
              <a:gd name="T73" fmla="*/ 0 h 111213"/>
              <a:gd name="T74" fmla="*/ 0 w 111214"/>
              <a:gd name="T75" fmla="*/ 0 h 111213"/>
              <a:gd name="T76" fmla="*/ 0 w 111214"/>
              <a:gd name="T77" fmla="*/ 0 h 111213"/>
              <a:gd name="T78" fmla="*/ 0 w 111214"/>
              <a:gd name="T79" fmla="*/ 0 h 111213"/>
              <a:gd name="T80" fmla="*/ 0 w 111214"/>
              <a:gd name="T81" fmla="*/ 0 h 111213"/>
              <a:gd name="T82" fmla="*/ 0 w 111214"/>
              <a:gd name="T83" fmla="*/ 0 h 111213"/>
              <a:gd name="T84" fmla="*/ 0 w 111214"/>
              <a:gd name="T85" fmla="*/ 0 h 111213"/>
              <a:gd name="T86" fmla="*/ 0 w 111214"/>
              <a:gd name="T87" fmla="*/ 0 h 111213"/>
              <a:gd name="T88" fmla="*/ 0 w 111214"/>
              <a:gd name="T89" fmla="*/ 0 h 111213"/>
              <a:gd name="T90" fmla="*/ 0 w 111214"/>
              <a:gd name="T91" fmla="*/ 0 h 111213"/>
              <a:gd name="T92" fmla="*/ 0 w 111214"/>
              <a:gd name="T93" fmla="*/ 0 h 111213"/>
              <a:gd name="T94" fmla="*/ 0 w 111214"/>
              <a:gd name="T95" fmla="*/ 0 h 111213"/>
              <a:gd name="T96" fmla="*/ 0 w 111214"/>
              <a:gd name="T97" fmla="*/ 0 h 111213"/>
              <a:gd name="T98" fmla="*/ 0 w 111214"/>
              <a:gd name="T99" fmla="*/ 0 h 111213"/>
              <a:gd name="T100" fmla="*/ 0 w 111214"/>
              <a:gd name="T101" fmla="*/ 0 h 111213"/>
              <a:gd name="T102" fmla="*/ 0 w 111214"/>
              <a:gd name="T103" fmla="*/ 0 h 111213"/>
              <a:gd name="T104" fmla="*/ 0 w 111214"/>
              <a:gd name="T105" fmla="*/ 0 h 111213"/>
              <a:gd name="T106" fmla="*/ 0 w 111214"/>
              <a:gd name="T107" fmla="*/ 0 h 111213"/>
              <a:gd name="T108" fmla="*/ 0 w 111214"/>
              <a:gd name="T109" fmla="*/ 0 h 111213"/>
              <a:gd name="T110" fmla="*/ 0 w 111214"/>
              <a:gd name="T111" fmla="*/ 0 h 111213"/>
              <a:gd name="T112" fmla="*/ 0 w 111214"/>
              <a:gd name="T113" fmla="*/ 0 h 111213"/>
              <a:gd name="T114" fmla="*/ 0 w 111214"/>
              <a:gd name="T115" fmla="*/ 0 h 111213"/>
              <a:gd name="T116" fmla="*/ 0 w 111214"/>
              <a:gd name="T117" fmla="*/ 0 h 111213"/>
              <a:gd name="T118" fmla="*/ 0 w 111214"/>
              <a:gd name="T119" fmla="*/ 0 h 111213"/>
              <a:gd name="T120" fmla="*/ 0 w 111214"/>
              <a:gd name="T121" fmla="*/ 0 h 111213"/>
              <a:gd name="T122" fmla="*/ 0 w 111214"/>
              <a:gd name="T123" fmla="*/ 0 h 111213"/>
              <a:gd name="T124" fmla="*/ 0 w 111214"/>
              <a:gd name="T125" fmla="*/ 0 h 111213"/>
              <a:gd name="T126" fmla="*/ 0 w 111214"/>
              <a:gd name="T127" fmla="*/ 0 h 111213"/>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60000 65536"/>
              <a:gd name="T190" fmla="*/ 0 60000 65536"/>
              <a:gd name="T191" fmla="*/ 0 60000 65536"/>
              <a:gd name="T192" fmla="*/ 0 w 111214"/>
              <a:gd name="T193" fmla="*/ 0 h 111213"/>
              <a:gd name="T194" fmla="*/ 111214 w 111214"/>
              <a:gd name="T195" fmla="*/ 111213 h 111213"/>
            </a:gdLst>
            <a:ahLst/>
            <a:cxnLst>
              <a:cxn ang="T128">
                <a:pos x="T0" y="T1"/>
              </a:cxn>
              <a:cxn ang="T129">
                <a:pos x="T2" y="T3"/>
              </a:cxn>
              <a:cxn ang="T130">
                <a:pos x="T4" y="T5"/>
              </a:cxn>
              <a:cxn ang="T131">
                <a:pos x="T6" y="T7"/>
              </a:cxn>
              <a:cxn ang="T132">
                <a:pos x="T8" y="T9"/>
              </a:cxn>
              <a:cxn ang="T133">
                <a:pos x="T10" y="T11"/>
              </a:cxn>
              <a:cxn ang="T134">
                <a:pos x="T12" y="T13"/>
              </a:cxn>
              <a:cxn ang="T135">
                <a:pos x="T14" y="T15"/>
              </a:cxn>
              <a:cxn ang="T136">
                <a:pos x="T16" y="T17"/>
              </a:cxn>
              <a:cxn ang="T137">
                <a:pos x="T18" y="T19"/>
              </a:cxn>
              <a:cxn ang="T138">
                <a:pos x="T20" y="T21"/>
              </a:cxn>
              <a:cxn ang="T139">
                <a:pos x="T22" y="T23"/>
              </a:cxn>
              <a:cxn ang="T140">
                <a:pos x="T24" y="T25"/>
              </a:cxn>
              <a:cxn ang="T141">
                <a:pos x="T26" y="T27"/>
              </a:cxn>
              <a:cxn ang="T142">
                <a:pos x="T28" y="T29"/>
              </a:cxn>
              <a:cxn ang="T143">
                <a:pos x="T30" y="T31"/>
              </a:cxn>
              <a:cxn ang="T144">
                <a:pos x="T32" y="T33"/>
              </a:cxn>
              <a:cxn ang="T145">
                <a:pos x="T34" y="T35"/>
              </a:cxn>
              <a:cxn ang="T146">
                <a:pos x="T36" y="T37"/>
              </a:cxn>
              <a:cxn ang="T147">
                <a:pos x="T38" y="T39"/>
              </a:cxn>
              <a:cxn ang="T148">
                <a:pos x="T40" y="T41"/>
              </a:cxn>
              <a:cxn ang="T149">
                <a:pos x="T42" y="T43"/>
              </a:cxn>
              <a:cxn ang="T150">
                <a:pos x="T44" y="T45"/>
              </a:cxn>
              <a:cxn ang="T151">
                <a:pos x="T46" y="T47"/>
              </a:cxn>
              <a:cxn ang="T152">
                <a:pos x="T48" y="T49"/>
              </a:cxn>
              <a:cxn ang="T153">
                <a:pos x="T50" y="T51"/>
              </a:cxn>
              <a:cxn ang="T154">
                <a:pos x="T52" y="T53"/>
              </a:cxn>
              <a:cxn ang="T155">
                <a:pos x="T54" y="T55"/>
              </a:cxn>
              <a:cxn ang="T156">
                <a:pos x="T56" y="T57"/>
              </a:cxn>
              <a:cxn ang="T157">
                <a:pos x="T58" y="T59"/>
              </a:cxn>
              <a:cxn ang="T158">
                <a:pos x="T60" y="T61"/>
              </a:cxn>
              <a:cxn ang="T159">
                <a:pos x="T62" y="T63"/>
              </a:cxn>
              <a:cxn ang="T160">
                <a:pos x="T64" y="T65"/>
              </a:cxn>
              <a:cxn ang="T161">
                <a:pos x="T66" y="T67"/>
              </a:cxn>
              <a:cxn ang="T162">
                <a:pos x="T68" y="T69"/>
              </a:cxn>
              <a:cxn ang="T163">
                <a:pos x="T70" y="T71"/>
              </a:cxn>
              <a:cxn ang="T164">
                <a:pos x="T72" y="T73"/>
              </a:cxn>
              <a:cxn ang="T165">
                <a:pos x="T74" y="T75"/>
              </a:cxn>
              <a:cxn ang="T166">
                <a:pos x="T76" y="T77"/>
              </a:cxn>
              <a:cxn ang="T167">
                <a:pos x="T78" y="T79"/>
              </a:cxn>
              <a:cxn ang="T168">
                <a:pos x="T80" y="T81"/>
              </a:cxn>
              <a:cxn ang="T169">
                <a:pos x="T82" y="T83"/>
              </a:cxn>
              <a:cxn ang="T170">
                <a:pos x="T84" y="T85"/>
              </a:cxn>
              <a:cxn ang="T171">
                <a:pos x="T86" y="T87"/>
              </a:cxn>
              <a:cxn ang="T172">
                <a:pos x="T88" y="T89"/>
              </a:cxn>
              <a:cxn ang="T173">
                <a:pos x="T90" y="T91"/>
              </a:cxn>
              <a:cxn ang="T174">
                <a:pos x="T92" y="T93"/>
              </a:cxn>
              <a:cxn ang="T175">
                <a:pos x="T94" y="T95"/>
              </a:cxn>
              <a:cxn ang="T176">
                <a:pos x="T96" y="T97"/>
              </a:cxn>
              <a:cxn ang="T177">
                <a:pos x="T98" y="T99"/>
              </a:cxn>
              <a:cxn ang="T178">
                <a:pos x="T100" y="T101"/>
              </a:cxn>
              <a:cxn ang="T179">
                <a:pos x="T102" y="T103"/>
              </a:cxn>
              <a:cxn ang="T180">
                <a:pos x="T104" y="T105"/>
              </a:cxn>
              <a:cxn ang="T181">
                <a:pos x="T106" y="T107"/>
              </a:cxn>
              <a:cxn ang="T182">
                <a:pos x="T108" y="T109"/>
              </a:cxn>
              <a:cxn ang="T183">
                <a:pos x="T110" y="T111"/>
              </a:cxn>
              <a:cxn ang="T184">
                <a:pos x="T112" y="T113"/>
              </a:cxn>
              <a:cxn ang="T185">
                <a:pos x="T114" y="T115"/>
              </a:cxn>
              <a:cxn ang="T186">
                <a:pos x="T116" y="T117"/>
              </a:cxn>
              <a:cxn ang="T187">
                <a:pos x="T118" y="T119"/>
              </a:cxn>
              <a:cxn ang="T188">
                <a:pos x="T120" y="T121"/>
              </a:cxn>
              <a:cxn ang="T189">
                <a:pos x="T122" y="T123"/>
              </a:cxn>
              <a:cxn ang="T190">
                <a:pos x="T124" y="T125"/>
              </a:cxn>
              <a:cxn ang="T191">
                <a:pos x="T126" y="T127"/>
              </a:cxn>
            </a:cxnLst>
            <a:rect l="T192" t="T193" r="T194" b="T195"/>
            <a:pathLst>
              <a:path w="111214" h="111213">
                <a:moveTo>
                  <a:pt x="54839" y="0"/>
                </a:moveTo>
                <a:lnTo>
                  <a:pt x="60935" y="0"/>
                </a:lnTo>
                <a:lnTo>
                  <a:pt x="63983" y="1524"/>
                </a:lnTo>
                <a:lnTo>
                  <a:pt x="70079" y="1524"/>
                </a:lnTo>
                <a:lnTo>
                  <a:pt x="71603" y="3048"/>
                </a:lnTo>
                <a:lnTo>
                  <a:pt x="74650" y="3048"/>
                </a:lnTo>
                <a:lnTo>
                  <a:pt x="77686" y="4572"/>
                </a:lnTo>
                <a:lnTo>
                  <a:pt x="79210" y="6083"/>
                </a:lnTo>
                <a:lnTo>
                  <a:pt x="82258" y="6083"/>
                </a:lnTo>
                <a:lnTo>
                  <a:pt x="86830" y="9131"/>
                </a:lnTo>
                <a:lnTo>
                  <a:pt x="94450" y="16751"/>
                </a:lnTo>
                <a:lnTo>
                  <a:pt x="99022" y="19799"/>
                </a:lnTo>
                <a:lnTo>
                  <a:pt x="105118" y="28943"/>
                </a:lnTo>
                <a:lnTo>
                  <a:pt x="106642" y="31991"/>
                </a:lnTo>
                <a:lnTo>
                  <a:pt x="106642" y="35039"/>
                </a:lnTo>
                <a:lnTo>
                  <a:pt x="108165" y="36563"/>
                </a:lnTo>
                <a:lnTo>
                  <a:pt x="109690" y="39611"/>
                </a:lnTo>
                <a:lnTo>
                  <a:pt x="109690" y="42659"/>
                </a:lnTo>
                <a:lnTo>
                  <a:pt x="111214" y="44170"/>
                </a:lnTo>
                <a:lnTo>
                  <a:pt x="111214" y="67030"/>
                </a:lnTo>
                <a:lnTo>
                  <a:pt x="109690" y="70078"/>
                </a:lnTo>
                <a:lnTo>
                  <a:pt x="109690" y="71602"/>
                </a:lnTo>
                <a:lnTo>
                  <a:pt x="106642" y="77698"/>
                </a:lnTo>
                <a:lnTo>
                  <a:pt x="106642" y="79222"/>
                </a:lnTo>
                <a:lnTo>
                  <a:pt x="105118" y="82257"/>
                </a:lnTo>
                <a:lnTo>
                  <a:pt x="99022" y="91401"/>
                </a:lnTo>
                <a:lnTo>
                  <a:pt x="91402" y="99021"/>
                </a:lnTo>
                <a:lnTo>
                  <a:pt x="82258" y="105117"/>
                </a:lnTo>
                <a:lnTo>
                  <a:pt x="79210" y="106642"/>
                </a:lnTo>
                <a:lnTo>
                  <a:pt x="77686" y="106642"/>
                </a:lnTo>
                <a:lnTo>
                  <a:pt x="74650" y="108165"/>
                </a:lnTo>
                <a:lnTo>
                  <a:pt x="71603" y="108165"/>
                </a:lnTo>
                <a:lnTo>
                  <a:pt x="70079" y="109689"/>
                </a:lnTo>
                <a:lnTo>
                  <a:pt x="67030" y="111213"/>
                </a:lnTo>
                <a:lnTo>
                  <a:pt x="44171" y="111213"/>
                </a:lnTo>
                <a:lnTo>
                  <a:pt x="41123" y="109689"/>
                </a:lnTo>
                <a:lnTo>
                  <a:pt x="39599" y="108165"/>
                </a:lnTo>
                <a:lnTo>
                  <a:pt x="36563" y="108165"/>
                </a:lnTo>
                <a:lnTo>
                  <a:pt x="33515" y="106642"/>
                </a:lnTo>
                <a:lnTo>
                  <a:pt x="30468" y="106642"/>
                </a:lnTo>
                <a:lnTo>
                  <a:pt x="28943" y="105117"/>
                </a:lnTo>
                <a:lnTo>
                  <a:pt x="19800" y="99021"/>
                </a:lnTo>
                <a:lnTo>
                  <a:pt x="12179" y="91401"/>
                </a:lnTo>
                <a:lnTo>
                  <a:pt x="6083" y="82257"/>
                </a:lnTo>
                <a:lnTo>
                  <a:pt x="4559" y="79222"/>
                </a:lnTo>
                <a:lnTo>
                  <a:pt x="4559" y="77698"/>
                </a:lnTo>
                <a:lnTo>
                  <a:pt x="1512" y="71602"/>
                </a:lnTo>
                <a:lnTo>
                  <a:pt x="1512" y="67030"/>
                </a:lnTo>
                <a:lnTo>
                  <a:pt x="0" y="63982"/>
                </a:lnTo>
                <a:lnTo>
                  <a:pt x="0" y="47218"/>
                </a:lnTo>
                <a:lnTo>
                  <a:pt x="1512" y="44170"/>
                </a:lnTo>
                <a:lnTo>
                  <a:pt x="1512" y="39611"/>
                </a:lnTo>
                <a:lnTo>
                  <a:pt x="3035" y="36563"/>
                </a:lnTo>
                <a:lnTo>
                  <a:pt x="4559" y="35039"/>
                </a:lnTo>
                <a:lnTo>
                  <a:pt x="4559" y="31991"/>
                </a:lnTo>
                <a:lnTo>
                  <a:pt x="6083" y="28943"/>
                </a:lnTo>
                <a:lnTo>
                  <a:pt x="12179" y="19799"/>
                </a:lnTo>
                <a:lnTo>
                  <a:pt x="16751" y="16751"/>
                </a:lnTo>
                <a:lnTo>
                  <a:pt x="24371" y="9131"/>
                </a:lnTo>
                <a:lnTo>
                  <a:pt x="28943" y="6083"/>
                </a:lnTo>
                <a:lnTo>
                  <a:pt x="30468" y="6083"/>
                </a:lnTo>
                <a:lnTo>
                  <a:pt x="36563" y="3048"/>
                </a:lnTo>
                <a:lnTo>
                  <a:pt x="39599" y="3048"/>
                </a:lnTo>
                <a:lnTo>
                  <a:pt x="41123" y="1524"/>
                </a:lnTo>
                <a:lnTo>
                  <a:pt x="47218" y="1524"/>
                </a:lnTo>
                <a:lnTo>
                  <a:pt x="50267" y="0"/>
                </a:lnTo>
                <a:lnTo>
                  <a:pt x="54839"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50" name="Shape 9028">
            <a:extLst>
              <a:ext uri="{FF2B5EF4-FFF2-40B4-BE49-F238E27FC236}">
                <a16:creationId xmlns:a16="http://schemas.microsoft.com/office/drawing/2014/main" id="{00000000-0008-0000-0500-000032000000}"/>
              </a:ext>
            </a:extLst>
          </xdr:cNvPr>
          <xdr:cNvSpPr>
            <a:spLocks/>
          </xdr:cNvSpPr>
        </xdr:nvSpPr>
        <xdr:spPr bwMode="auto">
          <a:xfrm>
            <a:off x="17733" y="0"/>
            <a:ext cx="1493" cy="1477"/>
          </a:xfrm>
          <a:custGeom>
            <a:avLst/>
            <a:gdLst>
              <a:gd name="T0" fmla="*/ 0 w 149301"/>
              <a:gd name="T1" fmla="*/ 0 h 147777"/>
              <a:gd name="T2" fmla="*/ 0 w 149301"/>
              <a:gd name="T3" fmla="*/ 0 h 147777"/>
              <a:gd name="T4" fmla="*/ 0 w 149301"/>
              <a:gd name="T5" fmla="*/ 0 h 147777"/>
              <a:gd name="T6" fmla="*/ 0 w 149301"/>
              <a:gd name="T7" fmla="*/ 0 h 147777"/>
              <a:gd name="T8" fmla="*/ 0 w 149301"/>
              <a:gd name="T9" fmla="*/ 0 h 147777"/>
              <a:gd name="T10" fmla="*/ 0 w 149301"/>
              <a:gd name="T11" fmla="*/ 0 h 147777"/>
              <a:gd name="T12" fmla="*/ 0 w 149301"/>
              <a:gd name="T13" fmla="*/ 0 h 147777"/>
              <a:gd name="T14" fmla="*/ 0 w 149301"/>
              <a:gd name="T15" fmla="*/ 0 h 147777"/>
              <a:gd name="T16" fmla="*/ 0 w 149301"/>
              <a:gd name="T17" fmla="*/ 0 h 147777"/>
              <a:gd name="T18" fmla="*/ 0 w 149301"/>
              <a:gd name="T19" fmla="*/ 0 h 147777"/>
              <a:gd name="T20" fmla="*/ 0 w 149301"/>
              <a:gd name="T21" fmla="*/ 0 h 147777"/>
              <a:gd name="T22" fmla="*/ 0 w 149301"/>
              <a:gd name="T23" fmla="*/ 0 h 147777"/>
              <a:gd name="T24" fmla="*/ 0 w 149301"/>
              <a:gd name="T25" fmla="*/ 0 h 147777"/>
              <a:gd name="T26" fmla="*/ 0 w 149301"/>
              <a:gd name="T27" fmla="*/ 0 h 147777"/>
              <a:gd name="T28" fmla="*/ 0 w 149301"/>
              <a:gd name="T29" fmla="*/ 0 h 147777"/>
              <a:gd name="T30" fmla="*/ 0 w 149301"/>
              <a:gd name="T31" fmla="*/ 0 h 147777"/>
              <a:gd name="T32" fmla="*/ 0 w 149301"/>
              <a:gd name="T33" fmla="*/ 0 h 147777"/>
              <a:gd name="T34" fmla="*/ 0 w 149301"/>
              <a:gd name="T35" fmla="*/ 0 h 147777"/>
              <a:gd name="T36" fmla="*/ 0 w 149301"/>
              <a:gd name="T37" fmla="*/ 0 h 147777"/>
              <a:gd name="T38" fmla="*/ 0 w 149301"/>
              <a:gd name="T39" fmla="*/ 0 h 147777"/>
              <a:gd name="T40" fmla="*/ 0 w 149301"/>
              <a:gd name="T41" fmla="*/ 0 h 147777"/>
              <a:gd name="T42" fmla="*/ 0 w 149301"/>
              <a:gd name="T43" fmla="*/ 0 h 147777"/>
              <a:gd name="T44" fmla="*/ 0 w 149301"/>
              <a:gd name="T45" fmla="*/ 0 h 147777"/>
              <a:gd name="T46" fmla="*/ 0 w 149301"/>
              <a:gd name="T47" fmla="*/ 0 h 147777"/>
              <a:gd name="T48" fmla="*/ 0 w 149301"/>
              <a:gd name="T49" fmla="*/ 0 h 147777"/>
              <a:gd name="T50" fmla="*/ 0 w 149301"/>
              <a:gd name="T51" fmla="*/ 0 h 147777"/>
              <a:gd name="T52" fmla="*/ 0 w 149301"/>
              <a:gd name="T53" fmla="*/ 0 h 147777"/>
              <a:gd name="T54" fmla="*/ 0 w 149301"/>
              <a:gd name="T55" fmla="*/ 0 h 147777"/>
              <a:gd name="T56" fmla="*/ 0 w 149301"/>
              <a:gd name="T57" fmla="*/ 0 h 147777"/>
              <a:gd name="T58" fmla="*/ 0 w 149301"/>
              <a:gd name="T59" fmla="*/ 0 h 147777"/>
              <a:gd name="T60" fmla="*/ 0 w 149301"/>
              <a:gd name="T61" fmla="*/ 0 h 147777"/>
              <a:gd name="T62" fmla="*/ 0 w 149301"/>
              <a:gd name="T63" fmla="*/ 0 h 147777"/>
              <a:gd name="T64" fmla="*/ 0 w 149301"/>
              <a:gd name="T65" fmla="*/ 0 h 147777"/>
              <a:gd name="T66" fmla="*/ 0 w 149301"/>
              <a:gd name="T67" fmla="*/ 0 h 147777"/>
              <a:gd name="T68" fmla="*/ 0 w 149301"/>
              <a:gd name="T69" fmla="*/ 0 h 147777"/>
              <a:gd name="T70" fmla="*/ 0 w 149301"/>
              <a:gd name="T71" fmla="*/ 0 h 147777"/>
              <a:gd name="T72" fmla="*/ 0 w 149301"/>
              <a:gd name="T73" fmla="*/ 0 h 147777"/>
              <a:gd name="T74" fmla="*/ 0 w 149301"/>
              <a:gd name="T75" fmla="*/ 0 h 147777"/>
              <a:gd name="T76" fmla="*/ 0 w 149301"/>
              <a:gd name="T77" fmla="*/ 0 h 147777"/>
              <a:gd name="T78" fmla="*/ 0 w 149301"/>
              <a:gd name="T79" fmla="*/ 0 h 147777"/>
              <a:gd name="T80" fmla="*/ 0 w 149301"/>
              <a:gd name="T81" fmla="*/ 0 h 147777"/>
              <a:gd name="T82" fmla="*/ 0 w 149301"/>
              <a:gd name="T83" fmla="*/ 0 h 147777"/>
              <a:gd name="T84" fmla="*/ 0 w 149301"/>
              <a:gd name="T85" fmla="*/ 0 h 147777"/>
              <a:gd name="T86" fmla="*/ 0 w 149301"/>
              <a:gd name="T87" fmla="*/ 0 h 147777"/>
              <a:gd name="T88" fmla="*/ 0 w 149301"/>
              <a:gd name="T89" fmla="*/ 0 h 147777"/>
              <a:gd name="T90" fmla="*/ 0 w 149301"/>
              <a:gd name="T91" fmla="*/ 0 h 147777"/>
              <a:gd name="T92" fmla="*/ 0 w 149301"/>
              <a:gd name="T93" fmla="*/ 0 h 147777"/>
              <a:gd name="T94" fmla="*/ 0 w 149301"/>
              <a:gd name="T95" fmla="*/ 0 h 147777"/>
              <a:gd name="T96" fmla="*/ 0 w 149301"/>
              <a:gd name="T97" fmla="*/ 0 h 147777"/>
              <a:gd name="T98" fmla="*/ 0 w 149301"/>
              <a:gd name="T99" fmla="*/ 0 h 147777"/>
              <a:gd name="T100" fmla="*/ 0 w 149301"/>
              <a:gd name="T101" fmla="*/ 0 h 147777"/>
              <a:gd name="T102" fmla="*/ 0 w 149301"/>
              <a:gd name="T103" fmla="*/ 0 h 147777"/>
              <a:gd name="T104" fmla="*/ 0 w 149301"/>
              <a:gd name="T105" fmla="*/ 0 h 147777"/>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149301"/>
              <a:gd name="T160" fmla="*/ 0 h 147777"/>
              <a:gd name="T161" fmla="*/ 149301 w 149301"/>
              <a:gd name="T162" fmla="*/ 147777 h 147777"/>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149301" h="147777">
                <a:moveTo>
                  <a:pt x="74650" y="0"/>
                </a:moveTo>
                <a:lnTo>
                  <a:pt x="86842" y="0"/>
                </a:lnTo>
                <a:lnTo>
                  <a:pt x="89890" y="1524"/>
                </a:lnTo>
                <a:lnTo>
                  <a:pt x="92938" y="1524"/>
                </a:lnTo>
                <a:lnTo>
                  <a:pt x="95986" y="3048"/>
                </a:lnTo>
                <a:lnTo>
                  <a:pt x="100545" y="3048"/>
                </a:lnTo>
                <a:lnTo>
                  <a:pt x="103593" y="6083"/>
                </a:lnTo>
                <a:lnTo>
                  <a:pt x="106642" y="6083"/>
                </a:lnTo>
                <a:lnTo>
                  <a:pt x="112737" y="9132"/>
                </a:lnTo>
                <a:lnTo>
                  <a:pt x="115785" y="12179"/>
                </a:lnTo>
                <a:lnTo>
                  <a:pt x="118833" y="13703"/>
                </a:lnTo>
                <a:lnTo>
                  <a:pt x="121881" y="16751"/>
                </a:lnTo>
                <a:lnTo>
                  <a:pt x="124929" y="18275"/>
                </a:lnTo>
                <a:lnTo>
                  <a:pt x="126453" y="21324"/>
                </a:lnTo>
                <a:lnTo>
                  <a:pt x="129501" y="22847"/>
                </a:lnTo>
                <a:lnTo>
                  <a:pt x="132549" y="25895"/>
                </a:lnTo>
                <a:lnTo>
                  <a:pt x="135597" y="31991"/>
                </a:lnTo>
                <a:lnTo>
                  <a:pt x="138633" y="35039"/>
                </a:lnTo>
                <a:lnTo>
                  <a:pt x="144728" y="47218"/>
                </a:lnTo>
                <a:lnTo>
                  <a:pt x="144728" y="51791"/>
                </a:lnTo>
                <a:lnTo>
                  <a:pt x="147777" y="57886"/>
                </a:lnTo>
                <a:lnTo>
                  <a:pt x="147777" y="62459"/>
                </a:lnTo>
                <a:lnTo>
                  <a:pt x="149301" y="65506"/>
                </a:lnTo>
                <a:lnTo>
                  <a:pt x="149301" y="77698"/>
                </a:lnTo>
                <a:cubicBezTo>
                  <a:pt x="145097" y="115087"/>
                  <a:pt x="119735" y="142024"/>
                  <a:pt x="82270" y="147777"/>
                </a:cubicBezTo>
                <a:lnTo>
                  <a:pt x="67030" y="147777"/>
                </a:lnTo>
                <a:lnTo>
                  <a:pt x="63982" y="146253"/>
                </a:lnTo>
                <a:cubicBezTo>
                  <a:pt x="49466" y="145478"/>
                  <a:pt x="35115" y="137668"/>
                  <a:pt x="24371" y="127965"/>
                </a:cubicBezTo>
                <a:lnTo>
                  <a:pt x="21336" y="126441"/>
                </a:lnTo>
                <a:lnTo>
                  <a:pt x="19812" y="123393"/>
                </a:lnTo>
                <a:cubicBezTo>
                  <a:pt x="9436" y="110312"/>
                  <a:pt x="4382" y="101828"/>
                  <a:pt x="1524" y="85306"/>
                </a:cubicBezTo>
                <a:lnTo>
                  <a:pt x="0" y="80734"/>
                </a:lnTo>
                <a:lnTo>
                  <a:pt x="0" y="65506"/>
                </a:lnTo>
                <a:lnTo>
                  <a:pt x="1524" y="62459"/>
                </a:lnTo>
                <a:lnTo>
                  <a:pt x="1524" y="57886"/>
                </a:lnTo>
                <a:lnTo>
                  <a:pt x="4572" y="51791"/>
                </a:lnTo>
                <a:lnTo>
                  <a:pt x="4572" y="47218"/>
                </a:lnTo>
                <a:lnTo>
                  <a:pt x="10668" y="35039"/>
                </a:lnTo>
                <a:lnTo>
                  <a:pt x="13716" y="31991"/>
                </a:lnTo>
                <a:lnTo>
                  <a:pt x="16764" y="25895"/>
                </a:lnTo>
                <a:lnTo>
                  <a:pt x="24371" y="18275"/>
                </a:lnTo>
                <a:lnTo>
                  <a:pt x="27419" y="16751"/>
                </a:lnTo>
                <a:lnTo>
                  <a:pt x="30467" y="13703"/>
                </a:lnTo>
                <a:lnTo>
                  <a:pt x="33515" y="12179"/>
                </a:lnTo>
                <a:lnTo>
                  <a:pt x="36563" y="9132"/>
                </a:lnTo>
                <a:lnTo>
                  <a:pt x="42659" y="6083"/>
                </a:lnTo>
                <a:lnTo>
                  <a:pt x="45707" y="6083"/>
                </a:lnTo>
                <a:lnTo>
                  <a:pt x="48755" y="3048"/>
                </a:lnTo>
                <a:lnTo>
                  <a:pt x="53327" y="3048"/>
                </a:lnTo>
                <a:lnTo>
                  <a:pt x="56375" y="1524"/>
                </a:lnTo>
                <a:lnTo>
                  <a:pt x="59423" y="1524"/>
                </a:lnTo>
                <a:lnTo>
                  <a:pt x="63982" y="0"/>
                </a:lnTo>
                <a:lnTo>
                  <a:pt x="7465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51" name="Shape 9029">
            <a:extLst>
              <a:ext uri="{FF2B5EF4-FFF2-40B4-BE49-F238E27FC236}">
                <a16:creationId xmlns:a16="http://schemas.microsoft.com/office/drawing/2014/main" id="{00000000-0008-0000-0500-000033000000}"/>
              </a:ext>
            </a:extLst>
          </xdr:cNvPr>
          <xdr:cNvSpPr>
            <a:spLocks/>
          </xdr:cNvSpPr>
        </xdr:nvSpPr>
        <xdr:spPr bwMode="auto">
          <a:xfrm>
            <a:off x="18312" y="594"/>
            <a:ext cx="320" cy="350"/>
          </a:xfrm>
          <a:custGeom>
            <a:avLst/>
            <a:gdLst>
              <a:gd name="T0" fmla="*/ 0 w 31991"/>
              <a:gd name="T1" fmla="*/ 0 h 35039"/>
              <a:gd name="T2" fmla="*/ 0 w 31991"/>
              <a:gd name="T3" fmla="*/ 0 h 35039"/>
              <a:gd name="T4" fmla="*/ 0 w 31991"/>
              <a:gd name="T5" fmla="*/ 0 h 35039"/>
              <a:gd name="T6" fmla="*/ 0 w 31991"/>
              <a:gd name="T7" fmla="*/ 0 h 35039"/>
              <a:gd name="T8" fmla="*/ 0 w 31991"/>
              <a:gd name="T9" fmla="*/ 0 h 35039"/>
              <a:gd name="T10" fmla="*/ 0 w 31991"/>
              <a:gd name="T11" fmla="*/ 0 h 35039"/>
              <a:gd name="T12" fmla="*/ 0 w 31991"/>
              <a:gd name="T13" fmla="*/ 0 h 35039"/>
              <a:gd name="T14" fmla="*/ 0 w 31991"/>
              <a:gd name="T15" fmla="*/ 0 h 35039"/>
              <a:gd name="T16" fmla="*/ 0 w 31991"/>
              <a:gd name="T17" fmla="*/ 0 h 35039"/>
              <a:gd name="T18" fmla="*/ 0 w 31991"/>
              <a:gd name="T19" fmla="*/ 0 h 35039"/>
              <a:gd name="T20" fmla="*/ 0 w 31991"/>
              <a:gd name="T21" fmla="*/ 0 h 35039"/>
              <a:gd name="T22" fmla="*/ 0 w 31991"/>
              <a:gd name="T23" fmla="*/ 0 h 35039"/>
              <a:gd name="T24" fmla="*/ 0 w 31991"/>
              <a:gd name="T25" fmla="*/ 0 h 35039"/>
              <a:gd name="T26" fmla="*/ 0 w 31991"/>
              <a:gd name="T27" fmla="*/ 0 h 35039"/>
              <a:gd name="T28" fmla="*/ 0 w 31991"/>
              <a:gd name="T29" fmla="*/ 0 h 35039"/>
              <a:gd name="T30" fmla="*/ 0 w 31991"/>
              <a:gd name="T31" fmla="*/ 0 h 35039"/>
              <a:gd name="T32" fmla="*/ 0 w 31991"/>
              <a:gd name="T33" fmla="*/ 0 h 35039"/>
              <a:gd name="T34" fmla="*/ 0 w 31991"/>
              <a:gd name="T35" fmla="*/ 0 h 35039"/>
              <a:gd name="T36" fmla="*/ 0 w 31991"/>
              <a:gd name="T37" fmla="*/ 0 h 35039"/>
              <a:gd name="T38" fmla="*/ 0 w 31991"/>
              <a:gd name="T39" fmla="*/ 0 h 35039"/>
              <a:gd name="T40" fmla="*/ 0 w 31991"/>
              <a:gd name="T41" fmla="*/ 0 h 35039"/>
              <a:gd name="T42" fmla="*/ 0 w 31991"/>
              <a:gd name="T43" fmla="*/ 0 h 35039"/>
              <a:gd name="T44" fmla="*/ 0 w 31991"/>
              <a:gd name="T45" fmla="*/ 0 h 35039"/>
              <a:gd name="T46" fmla="*/ 0 w 31991"/>
              <a:gd name="T47" fmla="*/ 0 h 35039"/>
              <a:gd name="T48" fmla="*/ 0 w 31991"/>
              <a:gd name="T49" fmla="*/ 0 h 35039"/>
              <a:gd name="T50" fmla="*/ 0 w 31991"/>
              <a:gd name="T51" fmla="*/ 0 h 35039"/>
              <a:gd name="T52" fmla="*/ 0 w 31991"/>
              <a:gd name="T53" fmla="*/ 0 h 35039"/>
              <a:gd name="T54" fmla="*/ 0 w 31991"/>
              <a:gd name="T55" fmla="*/ 0 h 35039"/>
              <a:gd name="T56" fmla="*/ 0 w 31991"/>
              <a:gd name="T57" fmla="*/ 0 h 35039"/>
              <a:gd name="T58" fmla="*/ 0 w 31991"/>
              <a:gd name="T59" fmla="*/ 0 h 35039"/>
              <a:gd name="T60" fmla="*/ 0 w 31991"/>
              <a:gd name="T61" fmla="*/ 0 h 35039"/>
              <a:gd name="T62" fmla="*/ 0 w 31991"/>
              <a:gd name="T63" fmla="*/ 0 h 35039"/>
              <a:gd name="T64" fmla="*/ 0 w 31991"/>
              <a:gd name="T65" fmla="*/ 0 h 35039"/>
              <a:gd name="T66" fmla="*/ 0 w 31991"/>
              <a:gd name="T67" fmla="*/ 0 h 35039"/>
              <a:gd name="T68" fmla="*/ 0 w 31991"/>
              <a:gd name="T69" fmla="*/ 0 h 35039"/>
              <a:gd name="T70" fmla="*/ 0 w 31991"/>
              <a:gd name="T71" fmla="*/ 0 h 35039"/>
              <a:gd name="T72" fmla="*/ 0 w 31991"/>
              <a:gd name="T73" fmla="*/ 0 h 35039"/>
              <a:gd name="T74" fmla="*/ 0 w 31991"/>
              <a:gd name="T75" fmla="*/ 0 h 35039"/>
              <a:gd name="T76" fmla="*/ 0 w 31991"/>
              <a:gd name="T77" fmla="*/ 0 h 35039"/>
              <a:gd name="T78" fmla="*/ 0 w 31991"/>
              <a:gd name="T79" fmla="*/ 0 h 35039"/>
              <a:gd name="T80" fmla="*/ 0 w 31991"/>
              <a:gd name="T81" fmla="*/ 0 h 35039"/>
              <a:gd name="T82" fmla="*/ 0 w 31991"/>
              <a:gd name="T83" fmla="*/ 0 h 35039"/>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31991"/>
              <a:gd name="T127" fmla="*/ 0 h 35039"/>
              <a:gd name="T128" fmla="*/ 31991 w 31991"/>
              <a:gd name="T129" fmla="*/ 35039 h 35039"/>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31991" h="35039">
                <a:moveTo>
                  <a:pt x="10656" y="0"/>
                </a:moveTo>
                <a:lnTo>
                  <a:pt x="19799" y="0"/>
                </a:lnTo>
                <a:lnTo>
                  <a:pt x="21324" y="1524"/>
                </a:lnTo>
                <a:lnTo>
                  <a:pt x="22847" y="1524"/>
                </a:lnTo>
                <a:lnTo>
                  <a:pt x="24371" y="3048"/>
                </a:lnTo>
                <a:lnTo>
                  <a:pt x="25895" y="3048"/>
                </a:lnTo>
                <a:lnTo>
                  <a:pt x="27419" y="4572"/>
                </a:lnTo>
                <a:lnTo>
                  <a:pt x="27419" y="6096"/>
                </a:lnTo>
                <a:lnTo>
                  <a:pt x="30467" y="9144"/>
                </a:lnTo>
                <a:lnTo>
                  <a:pt x="30467" y="13716"/>
                </a:lnTo>
                <a:lnTo>
                  <a:pt x="31991" y="15240"/>
                </a:lnTo>
                <a:lnTo>
                  <a:pt x="31991" y="18288"/>
                </a:lnTo>
                <a:lnTo>
                  <a:pt x="30467" y="19812"/>
                </a:lnTo>
                <a:lnTo>
                  <a:pt x="30467" y="25895"/>
                </a:lnTo>
                <a:lnTo>
                  <a:pt x="28943" y="27419"/>
                </a:lnTo>
                <a:lnTo>
                  <a:pt x="27419" y="27419"/>
                </a:lnTo>
                <a:lnTo>
                  <a:pt x="27419" y="30467"/>
                </a:lnTo>
                <a:lnTo>
                  <a:pt x="25895" y="30467"/>
                </a:lnTo>
                <a:lnTo>
                  <a:pt x="24371" y="31991"/>
                </a:lnTo>
                <a:lnTo>
                  <a:pt x="22847" y="31991"/>
                </a:lnTo>
                <a:lnTo>
                  <a:pt x="21324" y="33515"/>
                </a:lnTo>
                <a:lnTo>
                  <a:pt x="18275" y="33515"/>
                </a:lnTo>
                <a:lnTo>
                  <a:pt x="16751" y="35039"/>
                </a:lnTo>
                <a:lnTo>
                  <a:pt x="13703" y="35039"/>
                </a:lnTo>
                <a:lnTo>
                  <a:pt x="12179" y="33515"/>
                </a:lnTo>
                <a:lnTo>
                  <a:pt x="9131" y="33515"/>
                </a:lnTo>
                <a:lnTo>
                  <a:pt x="7607" y="31991"/>
                </a:lnTo>
                <a:lnTo>
                  <a:pt x="6083" y="31991"/>
                </a:lnTo>
                <a:lnTo>
                  <a:pt x="4559" y="30467"/>
                </a:lnTo>
                <a:lnTo>
                  <a:pt x="3035" y="27419"/>
                </a:lnTo>
                <a:lnTo>
                  <a:pt x="1524" y="27419"/>
                </a:lnTo>
                <a:lnTo>
                  <a:pt x="1524" y="24371"/>
                </a:lnTo>
                <a:lnTo>
                  <a:pt x="0" y="22847"/>
                </a:lnTo>
                <a:lnTo>
                  <a:pt x="0" y="12192"/>
                </a:lnTo>
                <a:lnTo>
                  <a:pt x="1524" y="10668"/>
                </a:lnTo>
                <a:lnTo>
                  <a:pt x="1524" y="7620"/>
                </a:lnTo>
                <a:lnTo>
                  <a:pt x="4559" y="4572"/>
                </a:lnTo>
                <a:lnTo>
                  <a:pt x="4559" y="3048"/>
                </a:lnTo>
                <a:lnTo>
                  <a:pt x="6083" y="3048"/>
                </a:lnTo>
                <a:lnTo>
                  <a:pt x="7607" y="1524"/>
                </a:lnTo>
                <a:lnTo>
                  <a:pt x="9131" y="1524"/>
                </a:lnTo>
                <a:lnTo>
                  <a:pt x="10656" y="0"/>
                </a:ln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52" name="Shape 9030">
            <a:extLst>
              <a:ext uri="{FF2B5EF4-FFF2-40B4-BE49-F238E27FC236}">
                <a16:creationId xmlns:a16="http://schemas.microsoft.com/office/drawing/2014/main" id="{00000000-0008-0000-0500-000034000000}"/>
              </a:ext>
            </a:extLst>
          </xdr:cNvPr>
          <xdr:cNvSpPr>
            <a:spLocks/>
          </xdr:cNvSpPr>
        </xdr:nvSpPr>
        <xdr:spPr bwMode="auto">
          <a:xfrm>
            <a:off x="18312" y="594"/>
            <a:ext cx="320" cy="350"/>
          </a:xfrm>
          <a:custGeom>
            <a:avLst/>
            <a:gdLst>
              <a:gd name="T0" fmla="*/ 0 w 31991"/>
              <a:gd name="T1" fmla="*/ 0 h 35039"/>
              <a:gd name="T2" fmla="*/ 0 w 31991"/>
              <a:gd name="T3" fmla="*/ 0 h 35039"/>
              <a:gd name="T4" fmla="*/ 0 w 31991"/>
              <a:gd name="T5" fmla="*/ 0 h 35039"/>
              <a:gd name="T6" fmla="*/ 0 w 31991"/>
              <a:gd name="T7" fmla="*/ 0 h 35039"/>
              <a:gd name="T8" fmla="*/ 0 w 31991"/>
              <a:gd name="T9" fmla="*/ 0 h 35039"/>
              <a:gd name="T10" fmla="*/ 0 w 31991"/>
              <a:gd name="T11" fmla="*/ 0 h 35039"/>
              <a:gd name="T12" fmla="*/ 0 w 31991"/>
              <a:gd name="T13" fmla="*/ 0 h 35039"/>
              <a:gd name="T14" fmla="*/ 0 w 31991"/>
              <a:gd name="T15" fmla="*/ 0 h 35039"/>
              <a:gd name="T16" fmla="*/ 0 w 31991"/>
              <a:gd name="T17" fmla="*/ 0 h 35039"/>
              <a:gd name="T18" fmla="*/ 0 w 31991"/>
              <a:gd name="T19" fmla="*/ 0 h 35039"/>
              <a:gd name="T20" fmla="*/ 0 w 31991"/>
              <a:gd name="T21" fmla="*/ 0 h 35039"/>
              <a:gd name="T22" fmla="*/ 0 w 31991"/>
              <a:gd name="T23" fmla="*/ 0 h 35039"/>
              <a:gd name="T24" fmla="*/ 0 w 31991"/>
              <a:gd name="T25" fmla="*/ 0 h 35039"/>
              <a:gd name="T26" fmla="*/ 0 w 31991"/>
              <a:gd name="T27" fmla="*/ 0 h 35039"/>
              <a:gd name="T28" fmla="*/ 0 w 31991"/>
              <a:gd name="T29" fmla="*/ 0 h 35039"/>
              <a:gd name="T30" fmla="*/ 0 w 31991"/>
              <a:gd name="T31" fmla="*/ 0 h 35039"/>
              <a:gd name="T32" fmla="*/ 0 w 31991"/>
              <a:gd name="T33" fmla="*/ 0 h 35039"/>
              <a:gd name="T34" fmla="*/ 0 w 31991"/>
              <a:gd name="T35" fmla="*/ 0 h 35039"/>
              <a:gd name="T36" fmla="*/ 0 w 31991"/>
              <a:gd name="T37" fmla="*/ 0 h 35039"/>
              <a:gd name="T38" fmla="*/ 0 w 31991"/>
              <a:gd name="T39" fmla="*/ 0 h 35039"/>
              <a:gd name="T40" fmla="*/ 0 w 31991"/>
              <a:gd name="T41" fmla="*/ 0 h 35039"/>
              <a:gd name="T42" fmla="*/ 0 w 31991"/>
              <a:gd name="T43" fmla="*/ 0 h 35039"/>
              <a:gd name="T44" fmla="*/ 0 w 31991"/>
              <a:gd name="T45" fmla="*/ 0 h 35039"/>
              <a:gd name="T46" fmla="*/ 0 w 31991"/>
              <a:gd name="T47" fmla="*/ 0 h 35039"/>
              <a:gd name="T48" fmla="*/ 0 w 31991"/>
              <a:gd name="T49" fmla="*/ 0 h 35039"/>
              <a:gd name="T50" fmla="*/ 0 w 31991"/>
              <a:gd name="T51" fmla="*/ 0 h 35039"/>
              <a:gd name="T52" fmla="*/ 0 w 31991"/>
              <a:gd name="T53" fmla="*/ 0 h 35039"/>
              <a:gd name="T54" fmla="*/ 0 w 31991"/>
              <a:gd name="T55" fmla="*/ 0 h 35039"/>
              <a:gd name="T56" fmla="*/ 0 w 31991"/>
              <a:gd name="T57" fmla="*/ 0 h 35039"/>
              <a:gd name="T58" fmla="*/ 0 w 31991"/>
              <a:gd name="T59" fmla="*/ 0 h 35039"/>
              <a:gd name="T60" fmla="*/ 0 w 31991"/>
              <a:gd name="T61" fmla="*/ 0 h 35039"/>
              <a:gd name="T62" fmla="*/ 0 w 31991"/>
              <a:gd name="T63" fmla="*/ 0 h 35039"/>
              <a:gd name="T64" fmla="*/ 0 w 31991"/>
              <a:gd name="T65" fmla="*/ 0 h 35039"/>
              <a:gd name="T66" fmla="*/ 0 w 31991"/>
              <a:gd name="T67" fmla="*/ 0 h 35039"/>
              <a:gd name="T68" fmla="*/ 0 w 31991"/>
              <a:gd name="T69" fmla="*/ 0 h 35039"/>
              <a:gd name="T70" fmla="*/ 0 w 31991"/>
              <a:gd name="T71" fmla="*/ 0 h 35039"/>
              <a:gd name="T72" fmla="*/ 0 w 31991"/>
              <a:gd name="T73" fmla="*/ 0 h 35039"/>
              <a:gd name="T74" fmla="*/ 0 w 31991"/>
              <a:gd name="T75" fmla="*/ 0 h 35039"/>
              <a:gd name="T76" fmla="*/ 0 w 31991"/>
              <a:gd name="T77" fmla="*/ 0 h 35039"/>
              <a:gd name="T78" fmla="*/ 0 w 31991"/>
              <a:gd name="T79" fmla="*/ 0 h 35039"/>
              <a:gd name="T80" fmla="*/ 0 w 31991"/>
              <a:gd name="T81" fmla="*/ 0 h 35039"/>
              <a:gd name="T82" fmla="*/ 0 w 31991"/>
              <a:gd name="T83" fmla="*/ 0 h 35039"/>
              <a:gd name="T84" fmla="*/ 0 w 31991"/>
              <a:gd name="T85" fmla="*/ 0 h 35039"/>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31991"/>
              <a:gd name="T130" fmla="*/ 0 h 35039"/>
              <a:gd name="T131" fmla="*/ 31991 w 31991"/>
              <a:gd name="T132" fmla="*/ 35039 h 35039"/>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31991" h="35039">
                <a:moveTo>
                  <a:pt x="15227" y="0"/>
                </a:moveTo>
                <a:lnTo>
                  <a:pt x="19799" y="0"/>
                </a:lnTo>
                <a:lnTo>
                  <a:pt x="21324" y="1524"/>
                </a:lnTo>
                <a:lnTo>
                  <a:pt x="22847" y="1524"/>
                </a:lnTo>
                <a:lnTo>
                  <a:pt x="24371" y="3048"/>
                </a:lnTo>
                <a:lnTo>
                  <a:pt x="25895" y="3048"/>
                </a:lnTo>
                <a:lnTo>
                  <a:pt x="27419" y="4572"/>
                </a:lnTo>
                <a:lnTo>
                  <a:pt x="27419" y="6096"/>
                </a:lnTo>
                <a:lnTo>
                  <a:pt x="30467" y="9144"/>
                </a:lnTo>
                <a:lnTo>
                  <a:pt x="30467" y="13716"/>
                </a:lnTo>
                <a:lnTo>
                  <a:pt x="31991" y="15240"/>
                </a:lnTo>
                <a:lnTo>
                  <a:pt x="31991" y="18288"/>
                </a:lnTo>
                <a:lnTo>
                  <a:pt x="30467" y="19812"/>
                </a:lnTo>
                <a:lnTo>
                  <a:pt x="30467" y="25895"/>
                </a:lnTo>
                <a:lnTo>
                  <a:pt x="28943" y="27419"/>
                </a:lnTo>
                <a:lnTo>
                  <a:pt x="27419" y="27419"/>
                </a:lnTo>
                <a:lnTo>
                  <a:pt x="27419" y="30467"/>
                </a:lnTo>
                <a:lnTo>
                  <a:pt x="25895" y="30467"/>
                </a:lnTo>
                <a:lnTo>
                  <a:pt x="24371" y="31991"/>
                </a:lnTo>
                <a:lnTo>
                  <a:pt x="22847" y="31991"/>
                </a:lnTo>
                <a:lnTo>
                  <a:pt x="21324" y="33515"/>
                </a:lnTo>
                <a:lnTo>
                  <a:pt x="18275" y="33515"/>
                </a:lnTo>
                <a:lnTo>
                  <a:pt x="16751" y="35039"/>
                </a:lnTo>
                <a:lnTo>
                  <a:pt x="13703" y="35039"/>
                </a:lnTo>
                <a:lnTo>
                  <a:pt x="12179" y="33515"/>
                </a:lnTo>
                <a:lnTo>
                  <a:pt x="9131" y="33515"/>
                </a:lnTo>
                <a:lnTo>
                  <a:pt x="7607" y="31991"/>
                </a:lnTo>
                <a:lnTo>
                  <a:pt x="6083" y="31991"/>
                </a:lnTo>
                <a:lnTo>
                  <a:pt x="4559" y="30467"/>
                </a:lnTo>
                <a:lnTo>
                  <a:pt x="3035" y="27419"/>
                </a:lnTo>
                <a:lnTo>
                  <a:pt x="1524" y="27419"/>
                </a:lnTo>
                <a:lnTo>
                  <a:pt x="1524" y="24371"/>
                </a:lnTo>
                <a:lnTo>
                  <a:pt x="0" y="22847"/>
                </a:lnTo>
                <a:lnTo>
                  <a:pt x="0" y="12192"/>
                </a:lnTo>
                <a:lnTo>
                  <a:pt x="1524" y="10668"/>
                </a:lnTo>
                <a:lnTo>
                  <a:pt x="1524" y="7620"/>
                </a:lnTo>
                <a:lnTo>
                  <a:pt x="4559" y="4572"/>
                </a:lnTo>
                <a:lnTo>
                  <a:pt x="4559" y="3048"/>
                </a:lnTo>
                <a:lnTo>
                  <a:pt x="6083" y="3048"/>
                </a:lnTo>
                <a:lnTo>
                  <a:pt x="7607" y="1524"/>
                </a:lnTo>
                <a:lnTo>
                  <a:pt x="9131" y="1524"/>
                </a:lnTo>
                <a:lnTo>
                  <a:pt x="10656" y="0"/>
                </a:lnTo>
                <a:lnTo>
                  <a:pt x="15227"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53" name="Shape 9031">
            <a:extLst>
              <a:ext uri="{FF2B5EF4-FFF2-40B4-BE49-F238E27FC236}">
                <a16:creationId xmlns:a16="http://schemas.microsoft.com/office/drawing/2014/main" id="{00000000-0008-0000-0500-000035000000}"/>
              </a:ext>
            </a:extLst>
          </xdr:cNvPr>
          <xdr:cNvSpPr>
            <a:spLocks/>
          </xdr:cNvSpPr>
        </xdr:nvSpPr>
        <xdr:spPr bwMode="auto">
          <a:xfrm>
            <a:off x="17900" y="152"/>
            <a:ext cx="1142" cy="1127"/>
          </a:xfrm>
          <a:custGeom>
            <a:avLst/>
            <a:gdLst>
              <a:gd name="T0" fmla="*/ 0 w 114261"/>
              <a:gd name="T1" fmla="*/ 0 h 112737"/>
              <a:gd name="T2" fmla="*/ 0 w 114261"/>
              <a:gd name="T3" fmla="*/ 0 h 112737"/>
              <a:gd name="T4" fmla="*/ 0 w 114261"/>
              <a:gd name="T5" fmla="*/ 0 h 112737"/>
              <a:gd name="T6" fmla="*/ 0 w 114261"/>
              <a:gd name="T7" fmla="*/ 0 h 112737"/>
              <a:gd name="T8" fmla="*/ 0 w 114261"/>
              <a:gd name="T9" fmla="*/ 0 h 112737"/>
              <a:gd name="T10" fmla="*/ 0 w 114261"/>
              <a:gd name="T11" fmla="*/ 0 h 112737"/>
              <a:gd name="T12" fmla="*/ 0 w 114261"/>
              <a:gd name="T13" fmla="*/ 0 h 112737"/>
              <a:gd name="T14" fmla="*/ 0 w 114261"/>
              <a:gd name="T15" fmla="*/ 0 h 112737"/>
              <a:gd name="T16" fmla="*/ 0 w 114261"/>
              <a:gd name="T17" fmla="*/ 0 h 112737"/>
              <a:gd name="T18" fmla="*/ 0 w 114261"/>
              <a:gd name="T19" fmla="*/ 0 h 112737"/>
              <a:gd name="T20" fmla="*/ 0 w 114261"/>
              <a:gd name="T21" fmla="*/ 0 h 112737"/>
              <a:gd name="T22" fmla="*/ 0 w 114261"/>
              <a:gd name="T23" fmla="*/ 0 h 112737"/>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14261"/>
              <a:gd name="T37" fmla="*/ 0 h 112737"/>
              <a:gd name="T38" fmla="*/ 114261 w 114261"/>
              <a:gd name="T39" fmla="*/ 112737 h 112737"/>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14261" h="112737">
                <a:moveTo>
                  <a:pt x="57975" y="0"/>
                </a:moveTo>
                <a:lnTo>
                  <a:pt x="61023" y="1524"/>
                </a:lnTo>
                <a:lnTo>
                  <a:pt x="67119" y="1524"/>
                </a:lnTo>
                <a:cubicBezTo>
                  <a:pt x="90195" y="3937"/>
                  <a:pt x="114249" y="29895"/>
                  <a:pt x="112826" y="53327"/>
                </a:cubicBezTo>
                <a:lnTo>
                  <a:pt x="112826" y="59423"/>
                </a:lnTo>
                <a:cubicBezTo>
                  <a:pt x="114261" y="86156"/>
                  <a:pt x="88569" y="109524"/>
                  <a:pt x="64071" y="112737"/>
                </a:cubicBezTo>
                <a:lnTo>
                  <a:pt x="51879" y="112737"/>
                </a:lnTo>
                <a:cubicBezTo>
                  <a:pt x="27889" y="109397"/>
                  <a:pt x="3658" y="87833"/>
                  <a:pt x="3137" y="62471"/>
                </a:cubicBezTo>
                <a:lnTo>
                  <a:pt x="3137" y="56375"/>
                </a:lnTo>
                <a:cubicBezTo>
                  <a:pt x="0" y="31394"/>
                  <a:pt x="26162" y="2413"/>
                  <a:pt x="50355" y="1524"/>
                </a:cubicBezTo>
                <a:lnTo>
                  <a:pt x="54927" y="1524"/>
                </a:lnTo>
                <a:lnTo>
                  <a:pt x="57975"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54" name="Shape 9032">
            <a:extLst>
              <a:ext uri="{FF2B5EF4-FFF2-40B4-BE49-F238E27FC236}">
                <a16:creationId xmlns:a16="http://schemas.microsoft.com/office/drawing/2014/main" id="{00000000-0008-0000-0500-000036000000}"/>
              </a:ext>
            </a:extLst>
          </xdr:cNvPr>
          <xdr:cNvSpPr>
            <a:spLocks/>
          </xdr:cNvSpPr>
        </xdr:nvSpPr>
        <xdr:spPr bwMode="auto">
          <a:xfrm>
            <a:off x="23415" y="1310"/>
            <a:ext cx="1493" cy="1493"/>
          </a:xfrm>
          <a:custGeom>
            <a:avLst/>
            <a:gdLst>
              <a:gd name="T0" fmla="*/ 0 w 149301"/>
              <a:gd name="T1" fmla="*/ 0 h 149301"/>
              <a:gd name="T2" fmla="*/ 0 w 149301"/>
              <a:gd name="T3" fmla="*/ 0 h 149301"/>
              <a:gd name="T4" fmla="*/ 0 w 149301"/>
              <a:gd name="T5" fmla="*/ 0 h 149301"/>
              <a:gd name="T6" fmla="*/ 0 w 149301"/>
              <a:gd name="T7" fmla="*/ 0 h 149301"/>
              <a:gd name="T8" fmla="*/ 0 w 149301"/>
              <a:gd name="T9" fmla="*/ 0 h 149301"/>
              <a:gd name="T10" fmla="*/ 0 w 149301"/>
              <a:gd name="T11" fmla="*/ 0 h 149301"/>
              <a:gd name="T12" fmla="*/ 0 w 149301"/>
              <a:gd name="T13" fmla="*/ 0 h 149301"/>
              <a:gd name="T14" fmla="*/ 0 w 149301"/>
              <a:gd name="T15" fmla="*/ 0 h 149301"/>
              <a:gd name="T16" fmla="*/ 0 w 149301"/>
              <a:gd name="T17" fmla="*/ 0 h 149301"/>
              <a:gd name="T18" fmla="*/ 0 w 149301"/>
              <a:gd name="T19" fmla="*/ 0 h 149301"/>
              <a:gd name="T20" fmla="*/ 0 w 149301"/>
              <a:gd name="T21" fmla="*/ 0 h 149301"/>
              <a:gd name="T22" fmla="*/ 0 w 149301"/>
              <a:gd name="T23" fmla="*/ 0 h 149301"/>
              <a:gd name="T24" fmla="*/ 0 w 149301"/>
              <a:gd name="T25" fmla="*/ 0 h 149301"/>
              <a:gd name="T26" fmla="*/ 0 w 149301"/>
              <a:gd name="T27" fmla="*/ 0 h 149301"/>
              <a:gd name="T28" fmla="*/ 0 w 149301"/>
              <a:gd name="T29" fmla="*/ 0 h 149301"/>
              <a:gd name="T30" fmla="*/ 0 w 149301"/>
              <a:gd name="T31" fmla="*/ 0 h 149301"/>
              <a:gd name="T32" fmla="*/ 0 w 149301"/>
              <a:gd name="T33" fmla="*/ 0 h 149301"/>
              <a:gd name="T34" fmla="*/ 0 w 149301"/>
              <a:gd name="T35" fmla="*/ 0 h 149301"/>
              <a:gd name="T36" fmla="*/ 0 w 149301"/>
              <a:gd name="T37" fmla="*/ 0 h 149301"/>
              <a:gd name="T38" fmla="*/ 0 w 149301"/>
              <a:gd name="T39" fmla="*/ 0 h 149301"/>
              <a:gd name="T40" fmla="*/ 0 w 149301"/>
              <a:gd name="T41" fmla="*/ 0 h 149301"/>
              <a:gd name="T42" fmla="*/ 0 w 149301"/>
              <a:gd name="T43" fmla="*/ 0 h 149301"/>
              <a:gd name="T44" fmla="*/ 0 w 149301"/>
              <a:gd name="T45" fmla="*/ 0 h 149301"/>
              <a:gd name="T46" fmla="*/ 0 w 149301"/>
              <a:gd name="T47" fmla="*/ 0 h 149301"/>
              <a:gd name="T48" fmla="*/ 0 w 149301"/>
              <a:gd name="T49" fmla="*/ 0 h 149301"/>
              <a:gd name="T50" fmla="*/ 0 w 149301"/>
              <a:gd name="T51" fmla="*/ 0 h 149301"/>
              <a:gd name="T52" fmla="*/ 0 w 149301"/>
              <a:gd name="T53" fmla="*/ 0 h 149301"/>
              <a:gd name="T54" fmla="*/ 0 w 149301"/>
              <a:gd name="T55" fmla="*/ 0 h 149301"/>
              <a:gd name="T56" fmla="*/ 0 w 149301"/>
              <a:gd name="T57" fmla="*/ 0 h 149301"/>
              <a:gd name="T58" fmla="*/ 0 w 149301"/>
              <a:gd name="T59" fmla="*/ 0 h 149301"/>
              <a:gd name="T60" fmla="*/ 0 w 149301"/>
              <a:gd name="T61" fmla="*/ 0 h 149301"/>
              <a:gd name="T62" fmla="*/ 0 w 149301"/>
              <a:gd name="T63" fmla="*/ 0 h 149301"/>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49301"/>
              <a:gd name="T97" fmla="*/ 0 h 149301"/>
              <a:gd name="T98" fmla="*/ 149301 w 149301"/>
              <a:gd name="T99" fmla="*/ 149301 h 149301"/>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49301" h="149301">
                <a:moveTo>
                  <a:pt x="74650" y="0"/>
                </a:moveTo>
                <a:lnTo>
                  <a:pt x="82271" y="0"/>
                </a:lnTo>
                <a:lnTo>
                  <a:pt x="86842" y="1524"/>
                </a:lnTo>
                <a:cubicBezTo>
                  <a:pt x="120828" y="5969"/>
                  <a:pt x="148018" y="37706"/>
                  <a:pt x="149301" y="71603"/>
                </a:cubicBezTo>
                <a:lnTo>
                  <a:pt x="149301" y="82271"/>
                </a:lnTo>
                <a:lnTo>
                  <a:pt x="147777" y="86842"/>
                </a:lnTo>
                <a:lnTo>
                  <a:pt x="147777" y="89890"/>
                </a:lnTo>
                <a:lnTo>
                  <a:pt x="146253" y="94462"/>
                </a:lnTo>
                <a:lnTo>
                  <a:pt x="146253" y="97510"/>
                </a:lnTo>
                <a:lnTo>
                  <a:pt x="143205" y="103594"/>
                </a:lnTo>
                <a:lnTo>
                  <a:pt x="141681" y="108165"/>
                </a:lnTo>
                <a:lnTo>
                  <a:pt x="137109" y="117310"/>
                </a:lnTo>
                <a:lnTo>
                  <a:pt x="134074" y="120357"/>
                </a:lnTo>
                <a:lnTo>
                  <a:pt x="132550" y="123406"/>
                </a:lnTo>
                <a:lnTo>
                  <a:pt x="129501" y="124930"/>
                </a:lnTo>
                <a:lnTo>
                  <a:pt x="127977" y="127977"/>
                </a:lnTo>
                <a:lnTo>
                  <a:pt x="124930" y="131026"/>
                </a:lnTo>
                <a:lnTo>
                  <a:pt x="121882" y="132550"/>
                </a:lnTo>
                <a:lnTo>
                  <a:pt x="117310" y="137121"/>
                </a:lnTo>
                <a:lnTo>
                  <a:pt x="114262" y="138633"/>
                </a:lnTo>
                <a:lnTo>
                  <a:pt x="109690" y="140157"/>
                </a:lnTo>
                <a:lnTo>
                  <a:pt x="106642" y="143205"/>
                </a:lnTo>
                <a:lnTo>
                  <a:pt x="103594" y="144729"/>
                </a:lnTo>
                <a:lnTo>
                  <a:pt x="100546" y="144729"/>
                </a:lnTo>
                <a:lnTo>
                  <a:pt x="97498" y="146253"/>
                </a:lnTo>
                <a:lnTo>
                  <a:pt x="92939" y="147777"/>
                </a:lnTo>
                <a:lnTo>
                  <a:pt x="89890" y="147777"/>
                </a:lnTo>
                <a:lnTo>
                  <a:pt x="86842" y="149301"/>
                </a:lnTo>
                <a:lnTo>
                  <a:pt x="63983" y="149301"/>
                </a:lnTo>
                <a:lnTo>
                  <a:pt x="59411" y="147777"/>
                </a:lnTo>
                <a:lnTo>
                  <a:pt x="56375" y="147777"/>
                </a:lnTo>
                <a:lnTo>
                  <a:pt x="50279" y="144729"/>
                </a:lnTo>
                <a:lnTo>
                  <a:pt x="45707" y="144729"/>
                </a:lnTo>
                <a:lnTo>
                  <a:pt x="42659" y="143205"/>
                </a:lnTo>
                <a:lnTo>
                  <a:pt x="39611" y="140157"/>
                </a:lnTo>
                <a:lnTo>
                  <a:pt x="30468" y="135598"/>
                </a:lnTo>
                <a:lnTo>
                  <a:pt x="27419" y="132550"/>
                </a:lnTo>
                <a:lnTo>
                  <a:pt x="24371" y="131026"/>
                </a:lnTo>
                <a:lnTo>
                  <a:pt x="22847" y="127977"/>
                </a:lnTo>
                <a:lnTo>
                  <a:pt x="19812" y="124930"/>
                </a:lnTo>
                <a:lnTo>
                  <a:pt x="16764" y="123406"/>
                </a:lnTo>
                <a:lnTo>
                  <a:pt x="13716" y="117310"/>
                </a:lnTo>
                <a:lnTo>
                  <a:pt x="10668" y="114262"/>
                </a:lnTo>
                <a:lnTo>
                  <a:pt x="7620" y="108165"/>
                </a:lnTo>
                <a:lnTo>
                  <a:pt x="6096" y="103594"/>
                </a:lnTo>
                <a:lnTo>
                  <a:pt x="4572" y="100546"/>
                </a:lnTo>
                <a:lnTo>
                  <a:pt x="4572" y="97510"/>
                </a:lnTo>
                <a:lnTo>
                  <a:pt x="3048" y="94462"/>
                </a:lnTo>
                <a:lnTo>
                  <a:pt x="1524" y="89890"/>
                </a:lnTo>
                <a:lnTo>
                  <a:pt x="1524" y="82271"/>
                </a:lnTo>
                <a:lnTo>
                  <a:pt x="0" y="79222"/>
                </a:lnTo>
                <a:lnTo>
                  <a:pt x="0" y="71603"/>
                </a:lnTo>
                <a:lnTo>
                  <a:pt x="1524" y="67030"/>
                </a:lnTo>
                <a:lnTo>
                  <a:pt x="1524" y="59423"/>
                </a:lnTo>
                <a:lnTo>
                  <a:pt x="4572" y="53327"/>
                </a:lnTo>
                <a:lnTo>
                  <a:pt x="4572" y="48755"/>
                </a:lnTo>
                <a:lnTo>
                  <a:pt x="10668" y="36563"/>
                </a:lnTo>
                <a:lnTo>
                  <a:pt x="13716" y="33515"/>
                </a:lnTo>
                <a:lnTo>
                  <a:pt x="16764" y="27419"/>
                </a:lnTo>
                <a:lnTo>
                  <a:pt x="19812" y="24371"/>
                </a:lnTo>
                <a:cubicBezTo>
                  <a:pt x="37503" y="8776"/>
                  <a:pt x="38468" y="8979"/>
                  <a:pt x="59411" y="1524"/>
                </a:cubicBezTo>
                <a:lnTo>
                  <a:pt x="63983" y="1524"/>
                </a:lnTo>
                <a:lnTo>
                  <a:pt x="67030" y="0"/>
                </a:lnTo>
                <a:lnTo>
                  <a:pt x="7465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55" name="Shape 9033">
            <a:extLst>
              <a:ext uri="{FF2B5EF4-FFF2-40B4-BE49-F238E27FC236}">
                <a16:creationId xmlns:a16="http://schemas.microsoft.com/office/drawing/2014/main" id="{00000000-0008-0000-0500-000037000000}"/>
              </a:ext>
            </a:extLst>
          </xdr:cNvPr>
          <xdr:cNvSpPr>
            <a:spLocks/>
          </xdr:cNvSpPr>
        </xdr:nvSpPr>
        <xdr:spPr bwMode="auto">
          <a:xfrm>
            <a:off x="23994" y="1910"/>
            <a:ext cx="336" cy="344"/>
          </a:xfrm>
          <a:custGeom>
            <a:avLst/>
            <a:gdLst>
              <a:gd name="T0" fmla="*/ 0 w 33515"/>
              <a:gd name="T1" fmla="*/ 0 h 34379"/>
              <a:gd name="T2" fmla="*/ 0 w 33515"/>
              <a:gd name="T3" fmla="*/ 0 h 34379"/>
              <a:gd name="T4" fmla="*/ 0 w 33515"/>
              <a:gd name="T5" fmla="*/ 0 h 34379"/>
              <a:gd name="T6" fmla="*/ 0 w 33515"/>
              <a:gd name="T7" fmla="*/ 0 h 34379"/>
              <a:gd name="T8" fmla="*/ 0 w 33515"/>
              <a:gd name="T9" fmla="*/ 0 h 34379"/>
              <a:gd name="T10" fmla="*/ 0 w 33515"/>
              <a:gd name="T11" fmla="*/ 0 h 34379"/>
              <a:gd name="T12" fmla="*/ 0 w 33515"/>
              <a:gd name="T13" fmla="*/ 0 h 34379"/>
              <a:gd name="T14" fmla="*/ 0 w 33515"/>
              <a:gd name="T15" fmla="*/ 0 h 34379"/>
              <a:gd name="T16" fmla="*/ 0 w 33515"/>
              <a:gd name="T17" fmla="*/ 0 h 34379"/>
              <a:gd name="T18" fmla="*/ 0 w 33515"/>
              <a:gd name="T19" fmla="*/ 0 h 34379"/>
              <a:gd name="T20" fmla="*/ 0 w 33515"/>
              <a:gd name="T21" fmla="*/ 0 h 34379"/>
              <a:gd name="T22" fmla="*/ 0 w 33515"/>
              <a:gd name="T23" fmla="*/ 0 h 34379"/>
              <a:gd name="T24" fmla="*/ 0 w 33515"/>
              <a:gd name="T25" fmla="*/ 0 h 34379"/>
              <a:gd name="T26" fmla="*/ 0 w 33515"/>
              <a:gd name="T27" fmla="*/ 0 h 34379"/>
              <a:gd name="T28" fmla="*/ 0 w 33515"/>
              <a:gd name="T29" fmla="*/ 0 h 34379"/>
              <a:gd name="T30" fmla="*/ 0 w 33515"/>
              <a:gd name="T31" fmla="*/ 0 h 34379"/>
              <a:gd name="T32" fmla="*/ 0 w 33515"/>
              <a:gd name="T33" fmla="*/ 0 h 34379"/>
              <a:gd name="T34" fmla="*/ 0 w 33515"/>
              <a:gd name="T35" fmla="*/ 0 h 34379"/>
              <a:gd name="T36" fmla="*/ 0 w 33515"/>
              <a:gd name="T37" fmla="*/ 0 h 34379"/>
              <a:gd name="T38" fmla="*/ 0 w 33515"/>
              <a:gd name="T39" fmla="*/ 0 h 34379"/>
              <a:gd name="T40" fmla="*/ 0 w 33515"/>
              <a:gd name="T41" fmla="*/ 0 h 34379"/>
              <a:gd name="T42" fmla="*/ 0 w 33515"/>
              <a:gd name="T43" fmla="*/ 0 h 34379"/>
              <a:gd name="T44" fmla="*/ 0 w 33515"/>
              <a:gd name="T45" fmla="*/ 0 h 34379"/>
              <a:gd name="T46" fmla="*/ 0 w 33515"/>
              <a:gd name="T47" fmla="*/ 0 h 34379"/>
              <a:gd name="T48" fmla="*/ 0 w 33515"/>
              <a:gd name="T49" fmla="*/ 0 h 34379"/>
              <a:gd name="T50" fmla="*/ 0 w 33515"/>
              <a:gd name="T51" fmla="*/ 0 h 34379"/>
              <a:gd name="T52" fmla="*/ 0 w 33515"/>
              <a:gd name="T53" fmla="*/ 0 h 34379"/>
              <a:gd name="T54" fmla="*/ 0 w 33515"/>
              <a:gd name="T55" fmla="*/ 0 h 34379"/>
              <a:gd name="T56" fmla="*/ 0 w 33515"/>
              <a:gd name="T57" fmla="*/ 0 h 34379"/>
              <a:gd name="T58" fmla="*/ 0 w 33515"/>
              <a:gd name="T59" fmla="*/ 0 h 34379"/>
              <a:gd name="T60" fmla="*/ 0 w 33515"/>
              <a:gd name="T61" fmla="*/ 0 h 34379"/>
              <a:gd name="T62" fmla="*/ 0 w 33515"/>
              <a:gd name="T63" fmla="*/ 0 h 34379"/>
              <a:gd name="T64" fmla="*/ 0 w 33515"/>
              <a:gd name="T65" fmla="*/ 0 h 34379"/>
              <a:gd name="T66" fmla="*/ 0 w 33515"/>
              <a:gd name="T67" fmla="*/ 0 h 34379"/>
              <a:gd name="T68" fmla="*/ 0 w 33515"/>
              <a:gd name="T69" fmla="*/ 0 h 34379"/>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3515"/>
              <a:gd name="T106" fmla="*/ 0 h 34379"/>
              <a:gd name="T107" fmla="*/ 33515 w 33515"/>
              <a:gd name="T108" fmla="*/ 34379 h 34379"/>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3515" h="34379">
                <a:moveTo>
                  <a:pt x="15227" y="864"/>
                </a:moveTo>
                <a:lnTo>
                  <a:pt x="16751" y="864"/>
                </a:lnTo>
                <a:lnTo>
                  <a:pt x="21323" y="864"/>
                </a:lnTo>
                <a:lnTo>
                  <a:pt x="22847" y="2375"/>
                </a:lnTo>
                <a:lnTo>
                  <a:pt x="25895" y="2375"/>
                </a:lnTo>
                <a:lnTo>
                  <a:pt x="27419" y="3899"/>
                </a:lnTo>
                <a:lnTo>
                  <a:pt x="27419" y="5423"/>
                </a:lnTo>
                <a:lnTo>
                  <a:pt x="30467" y="8471"/>
                </a:lnTo>
                <a:lnTo>
                  <a:pt x="31991" y="11519"/>
                </a:lnTo>
                <a:lnTo>
                  <a:pt x="31991" y="14567"/>
                </a:lnTo>
                <a:lnTo>
                  <a:pt x="33515" y="16091"/>
                </a:lnTo>
                <a:lnTo>
                  <a:pt x="33515" y="19139"/>
                </a:lnTo>
                <a:lnTo>
                  <a:pt x="31991" y="20663"/>
                </a:lnTo>
                <a:lnTo>
                  <a:pt x="31991" y="23711"/>
                </a:lnTo>
                <a:lnTo>
                  <a:pt x="30467" y="26759"/>
                </a:lnTo>
                <a:lnTo>
                  <a:pt x="27419" y="29807"/>
                </a:lnTo>
                <a:lnTo>
                  <a:pt x="27419" y="31331"/>
                </a:lnTo>
                <a:lnTo>
                  <a:pt x="25895" y="31331"/>
                </a:lnTo>
                <a:lnTo>
                  <a:pt x="24371" y="32855"/>
                </a:lnTo>
                <a:lnTo>
                  <a:pt x="22847" y="32855"/>
                </a:lnTo>
                <a:lnTo>
                  <a:pt x="21323" y="34379"/>
                </a:lnTo>
                <a:lnTo>
                  <a:pt x="10655" y="34379"/>
                </a:lnTo>
                <a:lnTo>
                  <a:pt x="7607" y="31331"/>
                </a:lnTo>
                <a:lnTo>
                  <a:pt x="6083" y="31331"/>
                </a:lnTo>
                <a:lnTo>
                  <a:pt x="3035" y="28283"/>
                </a:lnTo>
                <a:lnTo>
                  <a:pt x="3035" y="26759"/>
                </a:lnTo>
                <a:lnTo>
                  <a:pt x="1512" y="26759"/>
                </a:lnTo>
                <a:lnTo>
                  <a:pt x="1512" y="23711"/>
                </a:lnTo>
                <a:lnTo>
                  <a:pt x="0" y="23711"/>
                </a:lnTo>
                <a:lnTo>
                  <a:pt x="0" y="13043"/>
                </a:lnTo>
                <a:lnTo>
                  <a:pt x="1512" y="11519"/>
                </a:lnTo>
                <a:lnTo>
                  <a:pt x="1512" y="8471"/>
                </a:lnTo>
                <a:lnTo>
                  <a:pt x="3035" y="8471"/>
                </a:lnTo>
                <a:lnTo>
                  <a:pt x="3035" y="6947"/>
                </a:lnTo>
                <a:cubicBezTo>
                  <a:pt x="6426" y="3277"/>
                  <a:pt x="9957" y="0"/>
                  <a:pt x="15227" y="864"/>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56" name="Shape 9034">
            <a:extLst>
              <a:ext uri="{FF2B5EF4-FFF2-40B4-BE49-F238E27FC236}">
                <a16:creationId xmlns:a16="http://schemas.microsoft.com/office/drawing/2014/main" id="{00000000-0008-0000-0500-000038000000}"/>
              </a:ext>
            </a:extLst>
          </xdr:cNvPr>
          <xdr:cNvSpPr>
            <a:spLocks/>
          </xdr:cNvSpPr>
        </xdr:nvSpPr>
        <xdr:spPr bwMode="auto">
          <a:xfrm>
            <a:off x="23994" y="1910"/>
            <a:ext cx="336" cy="344"/>
          </a:xfrm>
          <a:custGeom>
            <a:avLst/>
            <a:gdLst>
              <a:gd name="T0" fmla="*/ 0 w 33515"/>
              <a:gd name="T1" fmla="*/ 0 h 34379"/>
              <a:gd name="T2" fmla="*/ 0 w 33515"/>
              <a:gd name="T3" fmla="*/ 0 h 34379"/>
              <a:gd name="T4" fmla="*/ 0 w 33515"/>
              <a:gd name="T5" fmla="*/ 0 h 34379"/>
              <a:gd name="T6" fmla="*/ 0 w 33515"/>
              <a:gd name="T7" fmla="*/ 0 h 34379"/>
              <a:gd name="T8" fmla="*/ 0 w 33515"/>
              <a:gd name="T9" fmla="*/ 0 h 34379"/>
              <a:gd name="T10" fmla="*/ 0 w 33515"/>
              <a:gd name="T11" fmla="*/ 0 h 34379"/>
              <a:gd name="T12" fmla="*/ 0 w 33515"/>
              <a:gd name="T13" fmla="*/ 0 h 34379"/>
              <a:gd name="T14" fmla="*/ 0 w 33515"/>
              <a:gd name="T15" fmla="*/ 0 h 34379"/>
              <a:gd name="T16" fmla="*/ 0 w 33515"/>
              <a:gd name="T17" fmla="*/ 0 h 34379"/>
              <a:gd name="T18" fmla="*/ 0 w 33515"/>
              <a:gd name="T19" fmla="*/ 0 h 34379"/>
              <a:gd name="T20" fmla="*/ 0 w 33515"/>
              <a:gd name="T21" fmla="*/ 0 h 34379"/>
              <a:gd name="T22" fmla="*/ 0 w 33515"/>
              <a:gd name="T23" fmla="*/ 0 h 34379"/>
              <a:gd name="T24" fmla="*/ 0 w 33515"/>
              <a:gd name="T25" fmla="*/ 0 h 34379"/>
              <a:gd name="T26" fmla="*/ 0 w 33515"/>
              <a:gd name="T27" fmla="*/ 0 h 34379"/>
              <a:gd name="T28" fmla="*/ 0 w 33515"/>
              <a:gd name="T29" fmla="*/ 0 h 34379"/>
              <a:gd name="T30" fmla="*/ 0 w 33515"/>
              <a:gd name="T31" fmla="*/ 0 h 34379"/>
              <a:gd name="T32" fmla="*/ 0 w 33515"/>
              <a:gd name="T33" fmla="*/ 0 h 34379"/>
              <a:gd name="T34" fmla="*/ 0 w 33515"/>
              <a:gd name="T35" fmla="*/ 0 h 34379"/>
              <a:gd name="T36" fmla="*/ 0 w 33515"/>
              <a:gd name="T37" fmla="*/ 0 h 34379"/>
              <a:gd name="T38" fmla="*/ 0 w 33515"/>
              <a:gd name="T39" fmla="*/ 0 h 34379"/>
              <a:gd name="T40" fmla="*/ 0 w 33515"/>
              <a:gd name="T41" fmla="*/ 0 h 34379"/>
              <a:gd name="T42" fmla="*/ 0 w 33515"/>
              <a:gd name="T43" fmla="*/ 0 h 34379"/>
              <a:gd name="T44" fmla="*/ 0 w 33515"/>
              <a:gd name="T45" fmla="*/ 0 h 34379"/>
              <a:gd name="T46" fmla="*/ 0 w 33515"/>
              <a:gd name="T47" fmla="*/ 0 h 34379"/>
              <a:gd name="T48" fmla="*/ 0 w 33515"/>
              <a:gd name="T49" fmla="*/ 0 h 34379"/>
              <a:gd name="T50" fmla="*/ 0 w 33515"/>
              <a:gd name="T51" fmla="*/ 0 h 34379"/>
              <a:gd name="T52" fmla="*/ 0 w 33515"/>
              <a:gd name="T53" fmla="*/ 0 h 34379"/>
              <a:gd name="T54" fmla="*/ 0 w 33515"/>
              <a:gd name="T55" fmla="*/ 0 h 34379"/>
              <a:gd name="T56" fmla="*/ 0 w 33515"/>
              <a:gd name="T57" fmla="*/ 0 h 34379"/>
              <a:gd name="T58" fmla="*/ 0 w 33515"/>
              <a:gd name="T59" fmla="*/ 0 h 34379"/>
              <a:gd name="T60" fmla="*/ 0 w 33515"/>
              <a:gd name="T61" fmla="*/ 0 h 34379"/>
              <a:gd name="T62" fmla="*/ 0 w 33515"/>
              <a:gd name="T63" fmla="*/ 0 h 34379"/>
              <a:gd name="T64" fmla="*/ 0 w 33515"/>
              <a:gd name="T65" fmla="*/ 0 h 34379"/>
              <a:gd name="T66" fmla="*/ 0 w 33515"/>
              <a:gd name="T67" fmla="*/ 0 h 34379"/>
              <a:gd name="T68" fmla="*/ 0 w 33515"/>
              <a:gd name="T69" fmla="*/ 0 h 34379"/>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3515"/>
              <a:gd name="T106" fmla="*/ 0 h 34379"/>
              <a:gd name="T107" fmla="*/ 33515 w 33515"/>
              <a:gd name="T108" fmla="*/ 34379 h 34379"/>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3515" h="34379">
                <a:moveTo>
                  <a:pt x="16751" y="864"/>
                </a:moveTo>
                <a:lnTo>
                  <a:pt x="21323" y="864"/>
                </a:lnTo>
                <a:lnTo>
                  <a:pt x="22847" y="2375"/>
                </a:lnTo>
                <a:lnTo>
                  <a:pt x="25895" y="2375"/>
                </a:lnTo>
                <a:lnTo>
                  <a:pt x="27419" y="3899"/>
                </a:lnTo>
                <a:lnTo>
                  <a:pt x="27419" y="5423"/>
                </a:lnTo>
                <a:lnTo>
                  <a:pt x="30467" y="8471"/>
                </a:lnTo>
                <a:lnTo>
                  <a:pt x="31991" y="11519"/>
                </a:lnTo>
                <a:lnTo>
                  <a:pt x="31991" y="14567"/>
                </a:lnTo>
                <a:lnTo>
                  <a:pt x="33515" y="16091"/>
                </a:lnTo>
                <a:lnTo>
                  <a:pt x="33515" y="19139"/>
                </a:lnTo>
                <a:lnTo>
                  <a:pt x="31991" y="20663"/>
                </a:lnTo>
                <a:lnTo>
                  <a:pt x="31991" y="23711"/>
                </a:lnTo>
                <a:lnTo>
                  <a:pt x="30467" y="26759"/>
                </a:lnTo>
                <a:lnTo>
                  <a:pt x="27419" y="29807"/>
                </a:lnTo>
                <a:lnTo>
                  <a:pt x="27419" y="31331"/>
                </a:lnTo>
                <a:lnTo>
                  <a:pt x="25895" y="31331"/>
                </a:lnTo>
                <a:lnTo>
                  <a:pt x="24371" y="32855"/>
                </a:lnTo>
                <a:lnTo>
                  <a:pt x="22847" y="32855"/>
                </a:lnTo>
                <a:lnTo>
                  <a:pt x="21323" y="34379"/>
                </a:lnTo>
                <a:lnTo>
                  <a:pt x="10655" y="34379"/>
                </a:lnTo>
                <a:lnTo>
                  <a:pt x="7607" y="31331"/>
                </a:lnTo>
                <a:lnTo>
                  <a:pt x="6083" y="31331"/>
                </a:lnTo>
                <a:lnTo>
                  <a:pt x="3035" y="28283"/>
                </a:lnTo>
                <a:lnTo>
                  <a:pt x="3035" y="26759"/>
                </a:lnTo>
                <a:lnTo>
                  <a:pt x="1512" y="26759"/>
                </a:lnTo>
                <a:lnTo>
                  <a:pt x="1512" y="23711"/>
                </a:lnTo>
                <a:lnTo>
                  <a:pt x="0" y="23711"/>
                </a:lnTo>
                <a:lnTo>
                  <a:pt x="0" y="13043"/>
                </a:lnTo>
                <a:lnTo>
                  <a:pt x="1512" y="11519"/>
                </a:lnTo>
                <a:lnTo>
                  <a:pt x="1512" y="8471"/>
                </a:lnTo>
                <a:lnTo>
                  <a:pt x="3035" y="8471"/>
                </a:lnTo>
                <a:lnTo>
                  <a:pt x="3035" y="6947"/>
                </a:lnTo>
                <a:cubicBezTo>
                  <a:pt x="6426" y="3277"/>
                  <a:pt x="9957" y="0"/>
                  <a:pt x="15227" y="864"/>
                </a:cubicBezTo>
                <a:lnTo>
                  <a:pt x="16751" y="864"/>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57" name="Shape 9035">
            <a:extLst>
              <a:ext uri="{FF2B5EF4-FFF2-40B4-BE49-F238E27FC236}">
                <a16:creationId xmlns:a16="http://schemas.microsoft.com/office/drawing/2014/main" id="{00000000-0008-0000-0500-000039000000}"/>
              </a:ext>
            </a:extLst>
          </xdr:cNvPr>
          <xdr:cNvSpPr>
            <a:spLocks/>
          </xdr:cNvSpPr>
        </xdr:nvSpPr>
        <xdr:spPr bwMode="auto">
          <a:xfrm>
            <a:off x="23614" y="1493"/>
            <a:ext cx="1112" cy="1112"/>
          </a:xfrm>
          <a:custGeom>
            <a:avLst/>
            <a:gdLst>
              <a:gd name="T0" fmla="*/ 0 w 111214"/>
              <a:gd name="T1" fmla="*/ 0 h 111213"/>
              <a:gd name="T2" fmla="*/ 0 w 111214"/>
              <a:gd name="T3" fmla="*/ 0 h 111213"/>
              <a:gd name="T4" fmla="*/ 0 w 111214"/>
              <a:gd name="T5" fmla="*/ 0 h 111213"/>
              <a:gd name="T6" fmla="*/ 0 w 111214"/>
              <a:gd name="T7" fmla="*/ 0 h 111213"/>
              <a:gd name="T8" fmla="*/ 0 w 111214"/>
              <a:gd name="T9" fmla="*/ 0 h 111213"/>
              <a:gd name="T10" fmla="*/ 0 w 111214"/>
              <a:gd name="T11" fmla="*/ 0 h 111213"/>
              <a:gd name="T12" fmla="*/ 0 w 111214"/>
              <a:gd name="T13" fmla="*/ 0 h 111213"/>
              <a:gd name="T14" fmla="*/ 0 w 111214"/>
              <a:gd name="T15" fmla="*/ 0 h 111213"/>
              <a:gd name="T16" fmla="*/ 0 w 111214"/>
              <a:gd name="T17" fmla="*/ 0 h 111213"/>
              <a:gd name="T18" fmla="*/ 0 w 111214"/>
              <a:gd name="T19" fmla="*/ 0 h 111213"/>
              <a:gd name="T20" fmla="*/ 0 w 111214"/>
              <a:gd name="T21" fmla="*/ 0 h 111213"/>
              <a:gd name="T22" fmla="*/ 0 w 111214"/>
              <a:gd name="T23" fmla="*/ 0 h 111213"/>
              <a:gd name="T24" fmla="*/ 0 w 111214"/>
              <a:gd name="T25" fmla="*/ 0 h 111213"/>
              <a:gd name="T26" fmla="*/ 0 w 111214"/>
              <a:gd name="T27" fmla="*/ 0 h 111213"/>
              <a:gd name="T28" fmla="*/ 0 w 111214"/>
              <a:gd name="T29" fmla="*/ 0 h 111213"/>
              <a:gd name="T30" fmla="*/ 0 w 111214"/>
              <a:gd name="T31" fmla="*/ 0 h 111213"/>
              <a:gd name="T32" fmla="*/ 0 w 111214"/>
              <a:gd name="T33" fmla="*/ 0 h 111213"/>
              <a:gd name="T34" fmla="*/ 0 w 111214"/>
              <a:gd name="T35" fmla="*/ 0 h 111213"/>
              <a:gd name="T36" fmla="*/ 0 w 111214"/>
              <a:gd name="T37" fmla="*/ 0 h 111213"/>
              <a:gd name="T38" fmla="*/ 0 w 111214"/>
              <a:gd name="T39" fmla="*/ 0 h 111213"/>
              <a:gd name="T40" fmla="*/ 0 w 111214"/>
              <a:gd name="T41" fmla="*/ 0 h 111213"/>
              <a:gd name="T42" fmla="*/ 0 w 111214"/>
              <a:gd name="T43" fmla="*/ 0 h 111213"/>
              <a:gd name="T44" fmla="*/ 0 w 111214"/>
              <a:gd name="T45" fmla="*/ 0 h 111213"/>
              <a:gd name="T46" fmla="*/ 0 w 111214"/>
              <a:gd name="T47" fmla="*/ 0 h 111213"/>
              <a:gd name="T48" fmla="*/ 0 w 111214"/>
              <a:gd name="T49" fmla="*/ 0 h 111213"/>
              <a:gd name="T50" fmla="*/ 0 w 111214"/>
              <a:gd name="T51" fmla="*/ 0 h 111213"/>
              <a:gd name="T52" fmla="*/ 0 w 111214"/>
              <a:gd name="T53" fmla="*/ 0 h 111213"/>
              <a:gd name="T54" fmla="*/ 0 w 111214"/>
              <a:gd name="T55" fmla="*/ 0 h 111213"/>
              <a:gd name="T56" fmla="*/ 0 w 111214"/>
              <a:gd name="T57" fmla="*/ 0 h 111213"/>
              <a:gd name="T58" fmla="*/ 0 w 111214"/>
              <a:gd name="T59" fmla="*/ 0 h 111213"/>
              <a:gd name="T60" fmla="*/ 0 w 111214"/>
              <a:gd name="T61" fmla="*/ 0 h 111213"/>
              <a:gd name="T62" fmla="*/ 0 w 111214"/>
              <a:gd name="T63" fmla="*/ 0 h 111213"/>
              <a:gd name="T64" fmla="*/ 0 w 111214"/>
              <a:gd name="T65" fmla="*/ 0 h 111213"/>
              <a:gd name="T66" fmla="*/ 0 w 111214"/>
              <a:gd name="T67" fmla="*/ 0 h 111213"/>
              <a:gd name="T68" fmla="*/ 0 w 111214"/>
              <a:gd name="T69" fmla="*/ 0 h 111213"/>
              <a:gd name="T70" fmla="*/ 0 w 111214"/>
              <a:gd name="T71" fmla="*/ 0 h 111213"/>
              <a:gd name="T72" fmla="*/ 0 w 111214"/>
              <a:gd name="T73" fmla="*/ 0 h 111213"/>
              <a:gd name="T74" fmla="*/ 0 w 111214"/>
              <a:gd name="T75" fmla="*/ 0 h 111213"/>
              <a:gd name="T76" fmla="*/ 0 w 111214"/>
              <a:gd name="T77" fmla="*/ 0 h 111213"/>
              <a:gd name="T78" fmla="*/ 0 w 111214"/>
              <a:gd name="T79" fmla="*/ 0 h 111213"/>
              <a:gd name="T80" fmla="*/ 0 w 111214"/>
              <a:gd name="T81" fmla="*/ 0 h 111213"/>
              <a:gd name="T82" fmla="*/ 0 w 111214"/>
              <a:gd name="T83" fmla="*/ 0 h 111213"/>
              <a:gd name="T84" fmla="*/ 0 w 111214"/>
              <a:gd name="T85" fmla="*/ 0 h 111213"/>
              <a:gd name="T86" fmla="*/ 0 w 111214"/>
              <a:gd name="T87" fmla="*/ 0 h 111213"/>
              <a:gd name="T88" fmla="*/ 0 w 111214"/>
              <a:gd name="T89" fmla="*/ 0 h 111213"/>
              <a:gd name="T90" fmla="*/ 0 w 111214"/>
              <a:gd name="T91" fmla="*/ 0 h 111213"/>
              <a:gd name="T92" fmla="*/ 0 w 111214"/>
              <a:gd name="T93" fmla="*/ 0 h 111213"/>
              <a:gd name="T94" fmla="*/ 0 w 111214"/>
              <a:gd name="T95" fmla="*/ 0 h 111213"/>
              <a:gd name="T96" fmla="*/ 0 w 111214"/>
              <a:gd name="T97" fmla="*/ 0 h 111213"/>
              <a:gd name="T98" fmla="*/ 0 w 111214"/>
              <a:gd name="T99" fmla="*/ 0 h 111213"/>
              <a:gd name="T100" fmla="*/ 0 w 111214"/>
              <a:gd name="T101" fmla="*/ 0 h 111213"/>
              <a:gd name="T102" fmla="*/ 0 w 111214"/>
              <a:gd name="T103" fmla="*/ 0 h 111213"/>
              <a:gd name="T104" fmla="*/ 0 w 111214"/>
              <a:gd name="T105" fmla="*/ 0 h 111213"/>
              <a:gd name="T106" fmla="*/ 0 w 111214"/>
              <a:gd name="T107" fmla="*/ 0 h 111213"/>
              <a:gd name="T108" fmla="*/ 0 w 111214"/>
              <a:gd name="T109" fmla="*/ 0 h 111213"/>
              <a:gd name="T110" fmla="*/ 0 w 111214"/>
              <a:gd name="T111" fmla="*/ 0 h 111213"/>
              <a:gd name="T112" fmla="*/ 0 w 111214"/>
              <a:gd name="T113" fmla="*/ 0 h 111213"/>
              <a:gd name="T114" fmla="*/ 0 w 111214"/>
              <a:gd name="T115" fmla="*/ 0 h 11121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111214"/>
              <a:gd name="T175" fmla="*/ 0 h 111213"/>
              <a:gd name="T176" fmla="*/ 111214 w 111214"/>
              <a:gd name="T177" fmla="*/ 111213 h 11121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111214" h="111213">
                <a:moveTo>
                  <a:pt x="56362" y="0"/>
                </a:moveTo>
                <a:lnTo>
                  <a:pt x="62459" y="0"/>
                </a:lnTo>
                <a:lnTo>
                  <a:pt x="63983" y="1524"/>
                </a:lnTo>
                <a:lnTo>
                  <a:pt x="67030" y="1524"/>
                </a:lnTo>
                <a:cubicBezTo>
                  <a:pt x="79984" y="3175"/>
                  <a:pt x="86055" y="8877"/>
                  <a:pt x="95974" y="16751"/>
                </a:cubicBezTo>
                <a:lnTo>
                  <a:pt x="99021" y="19799"/>
                </a:lnTo>
                <a:lnTo>
                  <a:pt x="105118" y="28943"/>
                </a:lnTo>
                <a:lnTo>
                  <a:pt x="106642" y="31991"/>
                </a:lnTo>
                <a:lnTo>
                  <a:pt x="106642" y="35039"/>
                </a:lnTo>
                <a:lnTo>
                  <a:pt x="108165" y="36563"/>
                </a:lnTo>
                <a:lnTo>
                  <a:pt x="109689" y="39611"/>
                </a:lnTo>
                <a:lnTo>
                  <a:pt x="109689" y="42659"/>
                </a:lnTo>
                <a:lnTo>
                  <a:pt x="111214" y="44170"/>
                </a:lnTo>
                <a:lnTo>
                  <a:pt x="111214" y="67030"/>
                </a:lnTo>
                <a:lnTo>
                  <a:pt x="109689" y="70078"/>
                </a:lnTo>
                <a:lnTo>
                  <a:pt x="109689" y="71602"/>
                </a:lnTo>
                <a:lnTo>
                  <a:pt x="106642" y="77698"/>
                </a:lnTo>
                <a:lnTo>
                  <a:pt x="106642" y="79222"/>
                </a:lnTo>
                <a:lnTo>
                  <a:pt x="105118" y="82257"/>
                </a:lnTo>
                <a:lnTo>
                  <a:pt x="95974" y="95974"/>
                </a:lnTo>
                <a:lnTo>
                  <a:pt x="82258" y="105117"/>
                </a:lnTo>
                <a:lnTo>
                  <a:pt x="80734" y="106642"/>
                </a:lnTo>
                <a:lnTo>
                  <a:pt x="77686" y="106642"/>
                </a:lnTo>
                <a:lnTo>
                  <a:pt x="74650" y="108165"/>
                </a:lnTo>
                <a:lnTo>
                  <a:pt x="73127" y="108165"/>
                </a:lnTo>
                <a:lnTo>
                  <a:pt x="67030" y="111213"/>
                </a:lnTo>
                <a:lnTo>
                  <a:pt x="45694" y="111213"/>
                </a:lnTo>
                <a:lnTo>
                  <a:pt x="39599" y="108165"/>
                </a:lnTo>
                <a:lnTo>
                  <a:pt x="36563" y="108165"/>
                </a:lnTo>
                <a:lnTo>
                  <a:pt x="35039" y="106642"/>
                </a:lnTo>
                <a:lnTo>
                  <a:pt x="31991" y="106642"/>
                </a:lnTo>
                <a:lnTo>
                  <a:pt x="28943" y="105117"/>
                </a:lnTo>
                <a:lnTo>
                  <a:pt x="25895" y="102069"/>
                </a:lnTo>
                <a:lnTo>
                  <a:pt x="16751" y="95974"/>
                </a:lnTo>
                <a:lnTo>
                  <a:pt x="13703" y="91401"/>
                </a:lnTo>
                <a:cubicBezTo>
                  <a:pt x="6388" y="81216"/>
                  <a:pt x="3366" y="75984"/>
                  <a:pt x="1512" y="63982"/>
                </a:cubicBezTo>
                <a:lnTo>
                  <a:pt x="1512" y="60934"/>
                </a:lnTo>
                <a:lnTo>
                  <a:pt x="0" y="59410"/>
                </a:lnTo>
                <a:lnTo>
                  <a:pt x="0" y="53314"/>
                </a:lnTo>
                <a:lnTo>
                  <a:pt x="1512" y="50266"/>
                </a:lnTo>
                <a:lnTo>
                  <a:pt x="1512" y="44170"/>
                </a:lnTo>
                <a:lnTo>
                  <a:pt x="3035" y="42659"/>
                </a:lnTo>
                <a:lnTo>
                  <a:pt x="3035" y="39611"/>
                </a:lnTo>
                <a:lnTo>
                  <a:pt x="4559" y="36563"/>
                </a:lnTo>
                <a:lnTo>
                  <a:pt x="4559" y="35039"/>
                </a:lnTo>
                <a:lnTo>
                  <a:pt x="7607" y="28943"/>
                </a:lnTo>
                <a:lnTo>
                  <a:pt x="13703" y="19799"/>
                </a:lnTo>
                <a:lnTo>
                  <a:pt x="16751" y="16751"/>
                </a:lnTo>
                <a:lnTo>
                  <a:pt x="21324" y="13703"/>
                </a:lnTo>
                <a:lnTo>
                  <a:pt x="28943" y="6083"/>
                </a:lnTo>
                <a:lnTo>
                  <a:pt x="31991" y="6083"/>
                </a:lnTo>
                <a:lnTo>
                  <a:pt x="35039" y="4572"/>
                </a:lnTo>
                <a:lnTo>
                  <a:pt x="36563" y="3048"/>
                </a:lnTo>
                <a:lnTo>
                  <a:pt x="39599" y="3048"/>
                </a:lnTo>
                <a:lnTo>
                  <a:pt x="42647" y="1524"/>
                </a:lnTo>
                <a:lnTo>
                  <a:pt x="47218" y="1524"/>
                </a:lnTo>
                <a:lnTo>
                  <a:pt x="50267" y="0"/>
                </a:lnTo>
                <a:lnTo>
                  <a:pt x="56362"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58" name="Shape 9036">
            <a:extLst>
              <a:ext uri="{FF2B5EF4-FFF2-40B4-BE49-F238E27FC236}">
                <a16:creationId xmlns:a16="http://schemas.microsoft.com/office/drawing/2014/main" id="{00000000-0008-0000-0500-00003A000000}"/>
              </a:ext>
            </a:extLst>
          </xdr:cNvPr>
          <xdr:cNvSpPr>
            <a:spLocks/>
          </xdr:cNvSpPr>
        </xdr:nvSpPr>
        <xdr:spPr bwMode="auto">
          <a:xfrm>
            <a:off x="24985" y="1310"/>
            <a:ext cx="1477" cy="1493"/>
          </a:xfrm>
          <a:custGeom>
            <a:avLst/>
            <a:gdLst>
              <a:gd name="T0" fmla="*/ 0 w 147777"/>
              <a:gd name="T1" fmla="*/ 0 h 149301"/>
              <a:gd name="T2" fmla="*/ 0 w 147777"/>
              <a:gd name="T3" fmla="*/ 0 h 149301"/>
              <a:gd name="T4" fmla="*/ 0 w 147777"/>
              <a:gd name="T5" fmla="*/ 0 h 149301"/>
              <a:gd name="T6" fmla="*/ 0 w 147777"/>
              <a:gd name="T7" fmla="*/ 0 h 149301"/>
              <a:gd name="T8" fmla="*/ 0 w 147777"/>
              <a:gd name="T9" fmla="*/ 0 h 149301"/>
              <a:gd name="T10" fmla="*/ 0 w 147777"/>
              <a:gd name="T11" fmla="*/ 0 h 149301"/>
              <a:gd name="T12" fmla="*/ 0 w 147777"/>
              <a:gd name="T13" fmla="*/ 0 h 149301"/>
              <a:gd name="T14" fmla="*/ 0 w 147777"/>
              <a:gd name="T15" fmla="*/ 0 h 149301"/>
              <a:gd name="T16" fmla="*/ 0 w 147777"/>
              <a:gd name="T17" fmla="*/ 0 h 149301"/>
              <a:gd name="T18" fmla="*/ 0 w 147777"/>
              <a:gd name="T19" fmla="*/ 0 h 149301"/>
              <a:gd name="T20" fmla="*/ 0 w 147777"/>
              <a:gd name="T21" fmla="*/ 0 h 149301"/>
              <a:gd name="T22" fmla="*/ 0 w 147777"/>
              <a:gd name="T23" fmla="*/ 0 h 149301"/>
              <a:gd name="T24" fmla="*/ 0 w 147777"/>
              <a:gd name="T25" fmla="*/ 0 h 149301"/>
              <a:gd name="T26" fmla="*/ 0 w 147777"/>
              <a:gd name="T27" fmla="*/ 0 h 149301"/>
              <a:gd name="T28" fmla="*/ 0 w 147777"/>
              <a:gd name="T29" fmla="*/ 0 h 149301"/>
              <a:gd name="T30" fmla="*/ 0 w 147777"/>
              <a:gd name="T31" fmla="*/ 0 h 149301"/>
              <a:gd name="T32" fmla="*/ 0 w 147777"/>
              <a:gd name="T33" fmla="*/ 0 h 149301"/>
              <a:gd name="T34" fmla="*/ 0 w 147777"/>
              <a:gd name="T35" fmla="*/ 0 h 149301"/>
              <a:gd name="T36" fmla="*/ 0 w 147777"/>
              <a:gd name="T37" fmla="*/ 0 h 149301"/>
              <a:gd name="T38" fmla="*/ 0 w 147777"/>
              <a:gd name="T39" fmla="*/ 0 h 149301"/>
              <a:gd name="T40" fmla="*/ 0 w 147777"/>
              <a:gd name="T41" fmla="*/ 0 h 149301"/>
              <a:gd name="T42" fmla="*/ 0 w 147777"/>
              <a:gd name="T43" fmla="*/ 0 h 149301"/>
              <a:gd name="T44" fmla="*/ 0 w 147777"/>
              <a:gd name="T45" fmla="*/ 0 h 149301"/>
              <a:gd name="T46" fmla="*/ 0 w 147777"/>
              <a:gd name="T47" fmla="*/ 0 h 149301"/>
              <a:gd name="T48" fmla="*/ 0 w 147777"/>
              <a:gd name="T49" fmla="*/ 0 h 149301"/>
              <a:gd name="T50" fmla="*/ 0 w 147777"/>
              <a:gd name="T51" fmla="*/ 0 h 149301"/>
              <a:gd name="T52" fmla="*/ 0 w 147777"/>
              <a:gd name="T53" fmla="*/ 0 h 149301"/>
              <a:gd name="T54" fmla="*/ 0 w 147777"/>
              <a:gd name="T55" fmla="*/ 0 h 149301"/>
              <a:gd name="T56" fmla="*/ 0 w 147777"/>
              <a:gd name="T57" fmla="*/ 0 h 149301"/>
              <a:gd name="T58" fmla="*/ 0 w 147777"/>
              <a:gd name="T59" fmla="*/ 0 h 149301"/>
              <a:gd name="T60" fmla="*/ 0 w 147777"/>
              <a:gd name="T61" fmla="*/ 0 h 149301"/>
              <a:gd name="T62" fmla="*/ 0 w 147777"/>
              <a:gd name="T63" fmla="*/ 0 h 149301"/>
              <a:gd name="T64" fmla="*/ 0 w 147777"/>
              <a:gd name="T65" fmla="*/ 0 h 149301"/>
              <a:gd name="T66" fmla="*/ 0 w 147777"/>
              <a:gd name="T67" fmla="*/ 0 h 149301"/>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47777"/>
              <a:gd name="T103" fmla="*/ 0 h 149301"/>
              <a:gd name="T104" fmla="*/ 147777 w 147777"/>
              <a:gd name="T105" fmla="*/ 149301 h 149301"/>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47777" h="149301">
                <a:moveTo>
                  <a:pt x="74650" y="0"/>
                </a:moveTo>
                <a:lnTo>
                  <a:pt x="80747" y="0"/>
                </a:lnTo>
                <a:lnTo>
                  <a:pt x="85318" y="1524"/>
                </a:lnTo>
                <a:lnTo>
                  <a:pt x="88366" y="1524"/>
                </a:lnTo>
                <a:cubicBezTo>
                  <a:pt x="107874" y="7848"/>
                  <a:pt x="110884" y="7099"/>
                  <a:pt x="126454" y="22860"/>
                </a:cubicBezTo>
                <a:lnTo>
                  <a:pt x="129489" y="24371"/>
                </a:lnTo>
                <a:lnTo>
                  <a:pt x="131013" y="27419"/>
                </a:lnTo>
                <a:lnTo>
                  <a:pt x="134061" y="30467"/>
                </a:lnTo>
                <a:lnTo>
                  <a:pt x="138633" y="39611"/>
                </a:lnTo>
                <a:lnTo>
                  <a:pt x="141681" y="42659"/>
                </a:lnTo>
                <a:lnTo>
                  <a:pt x="143205" y="45707"/>
                </a:lnTo>
                <a:lnTo>
                  <a:pt x="143205" y="48755"/>
                </a:lnTo>
                <a:lnTo>
                  <a:pt x="144729" y="53327"/>
                </a:lnTo>
                <a:lnTo>
                  <a:pt x="146253" y="56375"/>
                </a:lnTo>
                <a:lnTo>
                  <a:pt x="146253" y="59423"/>
                </a:lnTo>
                <a:lnTo>
                  <a:pt x="147777" y="63983"/>
                </a:lnTo>
                <a:lnTo>
                  <a:pt x="147777" y="86842"/>
                </a:lnTo>
                <a:lnTo>
                  <a:pt x="146253" y="89890"/>
                </a:lnTo>
                <a:lnTo>
                  <a:pt x="146253" y="94462"/>
                </a:lnTo>
                <a:lnTo>
                  <a:pt x="143205" y="100545"/>
                </a:lnTo>
                <a:lnTo>
                  <a:pt x="143205" y="103594"/>
                </a:lnTo>
                <a:lnTo>
                  <a:pt x="141681" y="108165"/>
                </a:lnTo>
                <a:lnTo>
                  <a:pt x="138633" y="111213"/>
                </a:lnTo>
                <a:lnTo>
                  <a:pt x="134061" y="120357"/>
                </a:lnTo>
                <a:lnTo>
                  <a:pt x="118833" y="135598"/>
                </a:lnTo>
                <a:lnTo>
                  <a:pt x="109690" y="140157"/>
                </a:lnTo>
                <a:lnTo>
                  <a:pt x="106642" y="143205"/>
                </a:lnTo>
                <a:lnTo>
                  <a:pt x="103594" y="144729"/>
                </a:lnTo>
                <a:lnTo>
                  <a:pt x="99021" y="144729"/>
                </a:lnTo>
                <a:lnTo>
                  <a:pt x="92926" y="147777"/>
                </a:lnTo>
                <a:lnTo>
                  <a:pt x="88366" y="147777"/>
                </a:lnTo>
                <a:lnTo>
                  <a:pt x="85318" y="149301"/>
                </a:lnTo>
                <a:lnTo>
                  <a:pt x="62459" y="149301"/>
                </a:lnTo>
                <a:lnTo>
                  <a:pt x="59410" y="147777"/>
                </a:lnTo>
                <a:lnTo>
                  <a:pt x="54839" y="147777"/>
                </a:lnTo>
                <a:lnTo>
                  <a:pt x="48755" y="144729"/>
                </a:lnTo>
                <a:lnTo>
                  <a:pt x="45707" y="144729"/>
                </a:lnTo>
                <a:lnTo>
                  <a:pt x="42659" y="143205"/>
                </a:lnTo>
                <a:lnTo>
                  <a:pt x="38087" y="140157"/>
                </a:lnTo>
                <a:lnTo>
                  <a:pt x="28943" y="135598"/>
                </a:lnTo>
                <a:lnTo>
                  <a:pt x="27419" y="132549"/>
                </a:lnTo>
                <a:lnTo>
                  <a:pt x="24371" y="131025"/>
                </a:lnTo>
                <a:lnTo>
                  <a:pt x="16751" y="123405"/>
                </a:lnTo>
                <a:lnTo>
                  <a:pt x="15227" y="120357"/>
                </a:lnTo>
                <a:lnTo>
                  <a:pt x="12192" y="117310"/>
                </a:lnTo>
                <a:lnTo>
                  <a:pt x="7620" y="108165"/>
                </a:lnTo>
                <a:lnTo>
                  <a:pt x="6096" y="103594"/>
                </a:lnTo>
                <a:lnTo>
                  <a:pt x="1524" y="94462"/>
                </a:lnTo>
                <a:lnTo>
                  <a:pt x="1524" y="86842"/>
                </a:lnTo>
                <a:lnTo>
                  <a:pt x="0" y="82270"/>
                </a:lnTo>
                <a:lnTo>
                  <a:pt x="0" y="67030"/>
                </a:lnTo>
                <a:lnTo>
                  <a:pt x="1524" y="63983"/>
                </a:lnTo>
                <a:lnTo>
                  <a:pt x="1524" y="56375"/>
                </a:lnTo>
                <a:lnTo>
                  <a:pt x="3048" y="53327"/>
                </a:lnTo>
                <a:lnTo>
                  <a:pt x="4572" y="48755"/>
                </a:lnTo>
                <a:lnTo>
                  <a:pt x="12192" y="33515"/>
                </a:lnTo>
                <a:lnTo>
                  <a:pt x="15227" y="30467"/>
                </a:lnTo>
                <a:lnTo>
                  <a:pt x="18275" y="24371"/>
                </a:lnTo>
                <a:lnTo>
                  <a:pt x="21324" y="21336"/>
                </a:lnTo>
                <a:lnTo>
                  <a:pt x="27419" y="18288"/>
                </a:lnTo>
                <a:lnTo>
                  <a:pt x="28943" y="15240"/>
                </a:lnTo>
                <a:lnTo>
                  <a:pt x="31991" y="13716"/>
                </a:lnTo>
                <a:lnTo>
                  <a:pt x="35039" y="10668"/>
                </a:lnTo>
                <a:lnTo>
                  <a:pt x="38087" y="9144"/>
                </a:lnTo>
                <a:cubicBezTo>
                  <a:pt x="43853" y="6909"/>
                  <a:pt x="49136" y="4750"/>
                  <a:pt x="54839" y="3048"/>
                </a:cubicBezTo>
                <a:lnTo>
                  <a:pt x="59410" y="1524"/>
                </a:lnTo>
                <a:lnTo>
                  <a:pt x="62459" y="1524"/>
                </a:lnTo>
                <a:lnTo>
                  <a:pt x="67030" y="0"/>
                </a:lnTo>
                <a:lnTo>
                  <a:pt x="7465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59" name="Shape 9037">
            <a:extLst>
              <a:ext uri="{FF2B5EF4-FFF2-40B4-BE49-F238E27FC236}">
                <a16:creationId xmlns:a16="http://schemas.microsoft.com/office/drawing/2014/main" id="{00000000-0008-0000-0500-00003B000000}"/>
              </a:ext>
            </a:extLst>
          </xdr:cNvPr>
          <xdr:cNvSpPr>
            <a:spLocks/>
          </xdr:cNvSpPr>
        </xdr:nvSpPr>
        <xdr:spPr bwMode="auto">
          <a:xfrm>
            <a:off x="25548" y="1915"/>
            <a:ext cx="336" cy="349"/>
          </a:xfrm>
          <a:custGeom>
            <a:avLst/>
            <a:gdLst>
              <a:gd name="T0" fmla="*/ 0 w 33528"/>
              <a:gd name="T1" fmla="*/ 0 h 34963"/>
              <a:gd name="T2" fmla="*/ 0 w 33528"/>
              <a:gd name="T3" fmla="*/ 0 h 34963"/>
              <a:gd name="T4" fmla="*/ 0 w 33528"/>
              <a:gd name="T5" fmla="*/ 0 h 34963"/>
              <a:gd name="T6" fmla="*/ 0 w 33528"/>
              <a:gd name="T7" fmla="*/ 0 h 34963"/>
              <a:gd name="T8" fmla="*/ 0 w 33528"/>
              <a:gd name="T9" fmla="*/ 0 h 34963"/>
              <a:gd name="T10" fmla="*/ 0 w 33528"/>
              <a:gd name="T11" fmla="*/ 0 h 34963"/>
              <a:gd name="T12" fmla="*/ 0 w 33528"/>
              <a:gd name="T13" fmla="*/ 0 h 34963"/>
              <a:gd name="T14" fmla="*/ 0 w 33528"/>
              <a:gd name="T15" fmla="*/ 0 h 34963"/>
              <a:gd name="T16" fmla="*/ 0 w 33528"/>
              <a:gd name="T17" fmla="*/ 0 h 34963"/>
              <a:gd name="T18" fmla="*/ 0 w 33528"/>
              <a:gd name="T19" fmla="*/ 0 h 34963"/>
              <a:gd name="T20" fmla="*/ 0 w 33528"/>
              <a:gd name="T21" fmla="*/ 0 h 34963"/>
              <a:gd name="T22" fmla="*/ 0 w 33528"/>
              <a:gd name="T23" fmla="*/ 0 h 34963"/>
              <a:gd name="T24" fmla="*/ 0 w 33528"/>
              <a:gd name="T25" fmla="*/ 0 h 34963"/>
              <a:gd name="T26" fmla="*/ 0 w 33528"/>
              <a:gd name="T27" fmla="*/ 0 h 34963"/>
              <a:gd name="T28" fmla="*/ 0 w 33528"/>
              <a:gd name="T29" fmla="*/ 0 h 34963"/>
              <a:gd name="T30" fmla="*/ 0 w 33528"/>
              <a:gd name="T31" fmla="*/ 0 h 34963"/>
              <a:gd name="T32" fmla="*/ 0 w 33528"/>
              <a:gd name="T33" fmla="*/ 0 h 34963"/>
              <a:gd name="T34" fmla="*/ 0 w 33528"/>
              <a:gd name="T35" fmla="*/ 0 h 34963"/>
              <a:gd name="T36" fmla="*/ 0 w 33528"/>
              <a:gd name="T37" fmla="*/ 0 h 34963"/>
              <a:gd name="T38" fmla="*/ 0 w 33528"/>
              <a:gd name="T39" fmla="*/ 0 h 34963"/>
              <a:gd name="T40" fmla="*/ 0 w 33528"/>
              <a:gd name="T41" fmla="*/ 0 h 34963"/>
              <a:gd name="T42" fmla="*/ 0 w 33528"/>
              <a:gd name="T43" fmla="*/ 0 h 34963"/>
              <a:gd name="T44" fmla="*/ 0 w 33528"/>
              <a:gd name="T45" fmla="*/ 0 h 34963"/>
              <a:gd name="T46" fmla="*/ 0 w 33528"/>
              <a:gd name="T47" fmla="*/ 0 h 34963"/>
              <a:gd name="T48" fmla="*/ 0 w 33528"/>
              <a:gd name="T49" fmla="*/ 0 h 34963"/>
              <a:gd name="T50" fmla="*/ 0 w 33528"/>
              <a:gd name="T51" fmla="*/ 0 h 34963"/>
              <a:gd name="T52" fmla="*/ 0 w 33528"/>
              <a:gd name="T53" fmla="*/ 0 h 34963"/>
              <a:gd name="T54" fmla="*/ 0 w 33528"/>
              <a:gd name="T55" fmla="*/ 0 h 34963"/>
              <a:gd name="T56" fmla="*/ 0 w 33528"/>
              <a:gd name="T57" fmla="*/ 0 h 34963"/>
              <a:gd name="T58" fmla="*/ 0 w 33528"/>
              <a:gd name="T59" fmla="*/ 0 h 34963"/>
              <a:gd name="T60" fmla="*/ 0 w 33528"/>
              <a:gd name="T61" fmla="*/ 0 h 34963"/>
              <a:gd name="T62" fmla="*/ 0 w 33528"/>
              <a:gd name="T63" fmla="*/ 0 h 34963"/>
              <a:gd name="T64" fmla="*/ 0 w 33528"/>
              <a:gd name="T65" fmla="*/ 0 h 34963"/>
              <a:gd name="T66" fmla="*/ 0 w 33528"/>
              <a:gd name="T67" fmla="*/ 0 h 34963"/>
              <a:gd name="T68" fmla="*/ 0 w 33528"/>
              <a:gd name="T69" fmla="*/ 0 h 34963"/>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3528"/>
              <a:gd name="T106" fmla="*/ 0 h 34963"/>
              <a:gd name="T107" fmla="*/ 33528 w 33528"/>
              <a:gd name="T108" fmla="*/ 34963 h 34963"/>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3528" h="34963">
                <a:moveTo>
                  <a:pt x="12192" y="457"/>
                </a:moveTo>
                <a:lnTo>
                  <a:pt x="16764" y="457"/>
                </a:lnTo>
                <a:lnTo>
                  <a:pt x="18288" y="457"/>
                </a:lnTo>
                <a:cubicBezTo>
                  <a:pt x="23330" y="0"/>
                  <a:pt x="27381" y="2820"/>
                  <a:pt x="30480" y="6541"/>
                </a:cubicBezTo>
                <a:lnTo>
                  <a:pt x="30480" y="8065"/>
                </a:lnTo>
                <a:lnTo>
                  <a:pt x="32004" y="8065"/>
                </a:lnTo>
                <a:lnTo>
                  <a:pt x="32004" y="11113"/>
                </a:lnTo>
                <a:lnTo>
                  <a:pt x="33528" y="12636"/>
                </a:lnTo>
                <a:lnTo>
                  <a:pt x="33528" y="23304"/>
                </a:lnTo>
                <a:lnTo>
                  <a:pt x="32004" y="23304"/>
                </a:lnTo>
                <a:lnTo>
                  <a:pt x="32004" y="26353"/>
                </a:lnTo>
                <a:lnTo>
                  <a:pt x="30480" y="26353"/>
                </a:lnTo>
                <a:lnTo>
                  <a:pt x="30480" y="27877"/>
                </a:lnTo>
                <a:lnTo>
                  <a:pt x="27432" y="30924"/>
                </a:lnTo>
                <a:cubicBezTo>
                  <a:pt x="23863" y="30378"/>
                  <a:pt x="25489" y="34963"/>
                  <a:pt x="16764" y="33972"/>
                </a:cubicBezTo>
                <a:lnTo>
                  <a:pt x="12192" y="33972"/>
                </a:lnTo>
                <a:lnTo>
                  <a:pt x="10668" y="32448"/>
                </a:lnTo>
                <a:lnTo>
                  <a:pt x="9144" y="32448"/>
                </a:lnTo>
                <a:lnTo>
                  <a:pt x="7620" y="30924"/>
                </a:lnTo>
                <a:lnTo>
                  <a:pt x="6096" y="30924"/>
                </a:lnTo>
                <a:lnTo>
                  <a:pt x="4572" y="29401"/>
                </a:lnTo>
                <a:lnTo>
                  <a:pt x="4572" y="27877"/>
                </a:lnTo>
                <a:lnTo>
                  <a:pt x="3048" y="26353"/>
                </a:lnTo>
                <a:lnTo>
                  <a:pt x="1524" y="23304"/>
                </a:lnTo>
                <a:lnTo>
                  <a:pt x="1524" y="20257"/>
                </a:lnTo>
                <a:lnTo>
                  <a:pt x="0" y="18733"/>
                </a:lnTo>
                <a:lnTo>
                  <a:pt x="0" y="15685"/>
                </a:lnTo>
                <a:lnTo>
                  <a:pt x="1524" y="14161"/>
                </a:lnTo>
                <a:lnTo>
                  <a:pt x="1524" y="11113"/>
                </a:lnTo>
                <a:lnTo>
                  <a:pt x="3048" y="8065"/>
                </a:lnTo>
                <a:lnTo>
                  <a:pt x="4572" y="6541"/>
                </a:lnTo>
                <a:lnTo>
                  <a:pt x="4572" y="5017"/>
                </a:lnTo>
                <a:lnTo>
                  <a:pt x="7620" y="1968"/>
                </a:lnTo>
                <a:lnTo>
                  <a:pt x="10668" y="1968"/>
                </a:lnTo>
                <a:lnTo>
                  <a:pt x="12192" y="457"/>
                </a:ln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60" name="Shape 9038">
            <a:extLst>
              <a:ext uri="{FF2B5EF4-FFF2-40B4-BE49-F238E27FC236}">
                <a16:creationId xmlns:a16="http://schemas.microsoft.com/office/drawing/2014/main" id="{00000000-0008-0000-0500-00003C000000}"/>
              </a:ext>
            </a:extLst>
          </xdr:cNvPr>
          <xdr:cNvSpPr>
            <a:spLocks/>
          </xdr:cNvSpPr>
        </xdr:nvSpPr>
        <xdr:spPr bwMode="auto">
          <a:xfrm>
            <a:off x="25548" y="1915"/>
            <a:ext cx="336" cy="349"/>
          </a:xfrm>
          <a:custGeom>
            <a:avLst/>
            <a:gdLst>
              <a:gd name="T0" fmla="*/ 0 w 33528"/>
              <a:gd name="T1" fmla="*/ 0 h 34963"/>
              <a:gd name="T2" fmla="*/ 0 w 33528"/>
              <a:gd name="T3" fmla="*/ 0 h 34963"/>
              <a:gd name="T4" fmla="*/ 0 w 33528"/>
              <a:gd name="T5" fmla="*/ 0 h 34963"/>
              <a:gd name="T6" fmla="*/ 0 w 33528"/>
              <a:gd name="T7" fmla="*/ 0 h 34963"/>
              <a:gd name="T8" fmla="*/ 0 w 33528"/>
              <a:gd name="T9" fmla="*/ 0 h 34963"/>
              <a:gd name="T10" fmla="*/ 0 w 33528"/>
              <a:gd name="T11" fmla="*/ 0 h 34963"/>
              <a:gd name="T12" fmla="*/ 0 w 33528"/>
              <a:gd name="T13" fmla="*/ 0 h 34963"/>
              <a:gd name="T14" fmla="*/ 0 w 33528"/>
              <a:gd name="T15" fmla="*/ 0 h 34963"/>
              <a:gd name="T16" fmla="*/ 0 w 33528"/>
              <a:gd name="T17" fmla="*/ 0 h 34963"/>
              <a:gd name="T18" fmla="*/ 0 w 33528"/>
              <a:gd name="T19" fmla="*/ 0 h 34963"/>
              <a:gd name="T20" fmla="*/ 0 w 33528"/>
              <a:gd name="T21" fmla="*/ 0 h 34963"/>
              <a:gd name="T22" fmla="*/ 0 w 33528"/>
              <a:gd name="T23" fmla="*/ 0 h 34963"/>
              <a:gd name="T24" fmla="*/ 0 w 33528"/>
              <a:gd name="T25" fmla="*/ 0 h 34963"/>
              <a:gd name="T26" fmla="*/ 0 w 33528"/>
              <a:gd name="T27" fmla="*/ 0 h 34963"/>
              <a:gd name="T28" fmla="*/ 0 w 33528"/>
              <a:gd name="T29" fmla="*/ 0 h 34963"/>
              <a:gd name="T30" fmla="*/ 0 w 33528"/>
              <a:gd name="T31" fmla="*/ 0 h 34963"/>
              <a:gd name="T32" fmla="*/ 0 w 33528"/>
              <a:gd name="T33" fmla="*/ 0 h 34963"/>
              <a:gd name="T34" fmla="*/ 0 w 33528"/>
              <a:gd name="T35" fmla="*/ 0 h 34963"/>
              <a:gd name="T36" fmla="*/ 0 w 33528"/>
              <a:gd name="T37" fmla="*/ 0 h 34963"/>
              <a:gd name="T38" fmla="*/ 0 w 33528"/>
              <a:gd name="T39" fmla="*/ 0 h 34963"/>
              <a:gd name="T40" fmla="*/ 0 w 33528"/>
              <a:gd name="T41" fmla="*/ 0 h 34963"/>
              <a:gd name="T42" fmla="*/ 0 w 33528"/>
              <a:gd name="T43" fmla="*/ 0 h 34963"/>
              <a:gd name="T44" fmla="*/ 0 w 33528"/>
              <a:gd name="T45" fmla="*/ 0 h 34963"/>
              <a:gd name="T46" fmla="*/ 0 w 33528"/>
              <a:gd name="T47" fmla="*/ 0 h 34963"/>
              <a:gd name="T48" fmla="*/ 0 w 33528"/>
              <a:gd name="T49" fmla="*/ 0 h 34963"/>
              <a:gd name="T50" fmla="*/ 0 w 33528"/>
              <a:gd name="T51" fmla="*/ 0 h 34963"/>
              <a:gd name="T52" fmla="*/ 0 w 33528"/>
              <a:gd name="T53" fmla="*/ 0 h 34963"/>
              <a:gd name="T54" fmla="*/ 0 w 33528"/>
              <a:gd name="T55" fmla="*/ 0 h 34963"/>
              <a:gd name="T56" fmla="*/ 0 w 33528"/>
              <a:gd name="T57" fmla="*/ 0 h 34963"/>
              <a:gd name="T58" fmla="*/ 0 w 33528"/>
              <a:gd name="T59" fmla="*/ 0 h 34963"/>
              <a:gd name="T60" fmla="*/ 0 w 33528"/>
              <a:gd name="T61" fmla="*/ 0 h 34963"/>
              <a:gd name="T62" fmla="*/ 0 w 33528"/>
              <a:gd name="T63" fmla="*/ 0 h 34963"/>
              <a:gd name="T64" fmla="*/ 0 w 33528"/>
              <a:gd name="T65" fmla="*/ 0 h 34963"/>
              <a:gd name="T66" fmla="*/ 0 w 33528"/>
              <a:gd name="T67" fmla="*/ 0 h 34963"/>
              <a:gd name="T68" fmla="*/ 0 w 33528"/>
              <a:gd name="T69" fmla="*/ 0 h 34963"/>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3528"/>
              <a:gd name="T106" fmla="*/ 0 h 34963"/>
              <a:gd name="T107" fmla="*/ 33528 w 33528"/>
              <a:gd name="T108" fmla="*/ 34963 h 34963"/>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3528" h="34963">
                <a:moveTo>
                  <a:pt x="16764" y="457"/>
                </a:moveTo>
                <a:lnTo>
                  <a:pt x="18288" y="457"/>
                </a:lnTo>
                <a:cubicBezTo>
                  <a:pt x="23330" y="0"/>
                  <a:pt x="27381" y="2820"/>
                  <a:pt x="30480" y="6541"/>
                </a:cubicBezTo>
                <a:lnTo>
                  <a:pt x="30480" y="8065"/>
                </a:lnTo>
                <a:lnTo>
                  <a:pt x="32004" y="8065"/>
                </a:lnTo>
                <a:lnTo>
                  <a:pt x="32004" y="11113"/>
                </a:lnTo>
                <a:lnTo>
                  <a:pt x="33528" y="12636"/>
                </a:lnTo>
                <a:lnTo>
                  <a:pt x="33528" y="23304"/>
                </a:lnTo>
                <a:lnTo>
                  <a:pt x="32004" y="23304"/>
                </a:lnTo>
                <a:lnTo>
                  <a:pt x="32004" y="26353"/>
                </a:lnTo>
                <a:lnTo>
                  <a:pt x="30480" y="26353"/>
                </a:lnTo>
                <a:lnTo>
                  <a:pt x="30480" y="27877"/>
                </a:lnTo>
                <a:lnTo>
                  <a:pt x="27432" y="30924"/>
                </a:lnTo>
                <a:cubicBezTo>
                  <a:pt x="23863" y="30378"/>
                  <a:pt x="25489" y="34963"/>
                  <a:pt x="16764" y="33972"/>
                </a:cubicBezTo>
                <a:lnTo>
                  <a:pt x="12192" y="33972"/>
                </a:lnTo>
                <a:lnTo>
                  <a:pt x="10668" y="32448"/>
                </a:lnTo>
                <a:lnTo>
                  <a:pt x="9144" y="32448"/>
                </a:lnTo>
                <a:lnTo>
                  <a:pt x="7620" y="30924"/>
                </a:lnTo>
                <a:lnTo>
                  <a:pt x="6096" y="30924"/>
                </a:lnTo>
                <a:lnTo>
                  <a:pt x="4572" y="29401"/>
                </a:lnTo>
                <a:lnTo>
                  <a:pt x="4572" y="27877"/>
                </a:lnTo>
                <a:lnTo>
                  <a:pt x="3048" y="26353"/>
                </a:lnTo>
                <a:lnTo>
                  <a:pt x="1524" y="23304"/>
                </a:lnTo>
                <a:lnTo>
                  <a:pt x="1524" y="20257"/>
                </a:lnTo>
                <a:lnTo>
                  <a:pt x="0" y="18733"/>
                </a:lnTo>
                <a:lnTo>
                  <a:pt x="0" y="15685"/>
                </a:lnTo>
                <a:lnTo>
                  <a:pt x="1524" y="14161"/>
                </a:lnTo>
                <a:lnTo>
                  <a:pt x="1524" y="11113"/>
                </a:lnTo>
                <a:lnTo>
                  <a:pt x="3048" y="8065"/>
                </a:lnTo>
                <a:lnTo>
                  <a:pt x="4572" y="6541"/>
                </a:lnTo>
                <a:lnTo>
                  <a:pt x="4572" y="5017"/>
                </a:lnTo>
                <a:lnTo>
                  <a:pt x="7620" y="1968"/>
                </a:lnTo>
                <a:lnTo>
                  <a:pt x="10668" y="1968"/>
                </a:lnTo>
                <a:lnTo>
                  <a:pt x="12192" y="457"/>
                </a:lnTo>
                <a:lnTo>
                  <a:pt x="16764" y="457"/>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61" name="Shape 9039">
            <a:extLst>
              <a:ext uri="{FF2B5EF4-FFF2-40B4-BE49-F238E27FC236}">
                <a16:creationId xmlns:a16="http://schemas.microsoft.com/office/drawing/2014/main" id="{00000000-0008-0000-0500-00003D000000}"/>
              </a:ext>
            </a:extLst>
          </xdr:cNvPr>
          <xdr:cNvSpPr>
            <a:spLocks/>
          </xdr:cNvSpPr>
        </xdr:nvSpPr>
        <xdr:spPr bwMode="auto">
          <a:xfrm>
            <a:off x="25183" y="1493"/>
            <a:ext cx="1112" cy="1112"/>
          </a:xfrm>
          <a:custGeom>
            <a:avLst/>
            <a:gdLst>
              <a:gd name="T0" fmla="*/ 0 w 111213"/>
              <a:gd name="T1" fmla="*/ 0 h 111213"/>
              <a:gd name="T2" fmla="*/ 0 w 111213"/>
              <a:gd name="T3" fmla="*/ 0 h 111213"/>
              <a:gd name="T4" fmla="*/ 0 w 111213"/>
              <a:gd name="T5" fmla="*/ 0 h 111213"/>
              <a:gd name="T6" fmla="*/ 0 w 111213"/>
              <a:gd name="T7" fmla="*/ 0 h 111213"/>
              <a:gd name="T8" fmla="*/ 0 w 111213"/>
              <a:gd name="T9" fmla="*/ 0 h 111213"/>
              <a:gd name="T10" fmla="*/ 0 w 111213"/>
              <a:gd name="T11" fmla="*/ 0 h 111213"/>
              <a:gd name="T12" fmla="*/ 0 w 111213"/>
              <a:gd name="T13" fmla="*/ 0 h 111213"/>
              <a:gd name="T14" fmla="*/ 0 w 111213"/>
              <a:gd name="T15" fmla="*/ 0 h 111213"/>
              <a:gd name="T16" fmla="*/ 0 w 111213"/>
              <a:gd name="T17" fmla="*/ 0 h 111213"/>
              <a:gd name="T18" fmla="*/ 0 w 111213"/>
              <a:gd name="T19" fmla="*/ 0 h 111213"/>
              <a:gd name="T20" fmla="*/ 0 w 111213"/>
              <a:gd name="T21" fmla="*/ 0 h 111213"/>
              <a:gd name="T22" fmla="*/ 0 w 111213"/>
              <a:gd name="T23" fmla="*/ 0 h 111213"/>
              <a:gd name="T24" fmla="*/ 0 w 111213"/>
              <a:gd name="T25" fmla="*/ 0 h 111213"/>
              <a:gd name="T26" fmla="*/ 0 w 111213"/>
              <a:gd name="T27" fmla="*/ 0 h 111213"/>
              <a:gd name="T28" fmla="*/ 0 w 111213"/>
              <a:gd name="T29" fmla="*/ 0 h 111213"/>
              <a:gd name="T30" fmla="*/ 0 w 111213"/>
              <a:gd name="T31" fmla="*/ 0 h 111213"/>
              <a:gd name="T32" fmla="*/ 0 w 111213"/>
              <a:gd name="T33" fmla="*/ 0 h 111213"/>
              <a:gd name="T34" fmla="*/ 0 w 111213"/>
              <a:gd name="T35" fmla="*/ 0 h 111213"/>
              <a:gd name="T36" fmla="*/ 0 w 111213"/>
              <a:gd name="T37" fmla="*/ 0 h 111213"/>
              <a:gd name="T38" fmla="*/ 0 w 111213"/>
              <a:gd name="T39" fmla="*/ 0 h 111213"/>
              <a:gd name="T40" fmla="*/ 0 w 111213"/>
              <a:gd name="T41" fmla="*/ 0 h 111213"/>
              <a:gd name="T42" fmla="*/ 0 w 111213"/>
              <a:gd name="T43" fmla="*/ 0 h 111213"/>
              <a:gd name="T44" fmla="*/ 0 w 111213"/>
              <a:gd name="T45" fmla="*/ 0 h 111213"/>
              <a:gd name="T46" fmla="*/ 0 w 111213"/>
              <a:gd name="T47" fmla="*/ 0 h 111213"/>
              <a:gd name="T48" fmla="*/ 0 w 111213"/>
              <a:gd name="T49" fmla="*/ 0 h 111213"/>
              <a:gd name="T50" fmla="*/ 0 w 111213"/>
              <a:gd name="T51" fmla="*/ 0 h 111213"/>
              <a:gd name="T52" fmla="*/ 0 w 111213"/>
              <a:gd name="T53" fmla="*/ 0 h 111213"/>
              <a:gd name="T54" fmla="*/ 0 w 111213"/>
              <a:gd name="T55" fmla="*/ 0 h 111213"/>
              <a:gd name="T56" fmla="*/ 0 w 111213"/>
              <a:gd name="T57" fmla="*/ 0 h 111213"/>
              <a:gd name="T58" fmla="*/ 0 w 111213"/>
              <a:gd name="T59" fmla="*/ 0 h 111213"/>
              <a:gd name="T60" fmla="*/ 0 w 111213"/>
              <a:gd name="T61" fmla="*/ 0 h 111213"/>
              <a:gd name="T62" fmla="*/ 0 w 111213"/>
              <a:gd name="T63" fmla="*/ 0 h 111213"/>
              <a:gd name="T64" fmla="*/ 0 w 111213"/>
              <a:gd name="T65" fmla="*/ 0 h 111213"/>
              <a:gd name="T66" fmla="*/ 0 w 111213"/>
              <a:gd name="T67" fmla="*/ 0 h 111213"/>
              <a:gd name="T68" fmla="*/ 0 w 111213"/>
              <a:gd name="T69" fmla="*/ 0 h 111213"/>
              <a:gd name="T70" fmla="*/ 0 w 111213"/>
              <a:gd name="T71" fmla="*/ 0 h 111213"/>
              <a:gd name="T72" fmla="*/ 0 w 111213"/>
              <a:gd name="T73" fmla="*/ 0 h 111213"/>
              <a:gd name="T74" fmla="*/ 0 w 111213"/>
              <a:gd name="T75" fmla="*/ 0 h 111213"/>
              <a:gd name="T76" fmla="*/ 0 w 111213"/>
              <a:gd name="T77" fmla="*/ 0 h 111213"/>
              <a:gd name="T78" fmla="*/ 0 w 111213"/>
              <a:gd name="T79" fmla="*/ 0 h 111213"/>
              <a:gd name="T80" fmla="*/ 0 w 111213"/>
              <a:gd name="T81" fmla="*/ 0 h 111213"/>
              <a:gd name="T82" fmla="*/ 0 w 111213"/>
              <a:gd name="T83" fmla="*/ 0 h 111213"/>
              <a:gd name="T84" fmla="*/ 0 w 111213"/>
              <a:gd name="T85" fmla="*/ 0 h 111213"/>
              <a:gd name="T86" fmla="*/ 0 w 111213"/>
              <a:gd name="T87" fmla="*/ 0 h 111213"/>
              <a:gd name="T88" fmla="*/ 0 w 111213"/>
              <a:gd name="T89" fmla="*/ 0 h 111213"/>
              <a:gd name="T90" fmla="*/ 0 w 111213"/>
              <a:gd name="T91" fmla="*/ 0 h 111213"/>
              <a:gd name="T92" fmla="*/ 0 w 111213"/>
              <a:gd name="T93" fmla="*/ 0 h 111213"/>
              <a:gd name="T94" fmla="*/ 0 w 111213"/>
              <a:gd name="T95" fmla="*/ 0 h 111213"/>
              <a:gd name="T96" fmla="*/ 0 w 111213"/>
              <a:gd name="T97" fmla="*/ 0 h 111213"/>
              <a:gd name="T98" fmla="*/ 0 w 111213"/>
              <a:gd name="T99" fmla="*/ 0 h 111213"/>
              <a:gd name="T100" fmla="*/ 0 w 111213"/>
              <a:gd name="T101" fmla="*/ 0 h 111213"/>
              <a:gd name="T102" fmla="*/ 0 w 111213"/>
              <a:gd name="T103" fmla="*/ 0 h 111213"/>
              <a:gd name="T104" fmla="*/ 0 w 111213"/>
              <a:gd name="T105" fmla="*/ 0 h 111213"/>
              <a:gd name="T106" fmla="*/ 0 w 111213"/>
              <a:gd name="T107" fmla="*/ 0 h 111213"/>
              <a:gd name="T108" fmla="*/ 0 w 111213"/>
              <a:gd name="T109" fmla="*/ 0 h 111213"/>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111213"/>
              <a:gd name="T166" fmla="*/ 0 h 111213"/>
              <a:gd name="T167" fmla="*/ 111213 w 111213"/>
              <a:gd name="T168" fmla="*/ 111213 h 111213"/>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111213" h="111213">
                <a:moveTo>
                  <a:pt x="54851" y="0"/>
                </a:moveTo>
                <a:lnTo>
                  <a:pt x="60947" y="0"/>
                </a:lnTo>
                <a:lnTo>
                  <a:pt x="63995" y="1524"/>
                </a:lnTo>
                <a:lnTo>
                  <a:pt x="68567" y="1524"/>
                </a:lnTo>
                <a:lnTo>
                  <a:pt x="71602" y="3048"/>
                </a:lnTo>
                <a:lnTo>
                  <a:pt x="74650" y="3048"/>
                </a:lnTo>
                <a:lnTo>
                  <a:pt x="76174" y="4572"/>
                </a:lnTo>
                <a:lnTo>
                  <a:pt x="79222" y="6083"/>
                </a:lnTo>
                <a:lnTo>
                  <a:pt x="80746" y="6083"/>
                </a:lnTo>
                <a:lnTo>
                  <a:pt x="86842" y="9131"/>
                </a:lnTo>
                <a:lnTo>
                  <a:pt x="89890" y="13703"/>
                </a:lnTo>
                <a:lnTo>
                  <a:pt x="94462" y="16751"/>
                </a:lnTo>
                <a:lnTo>
                  <a:pt x="97510" y="19799"/>
                </a:lnTo>
                <a:lnTo>
                  <a:pt x="100558" y="24371"/>
                </a:lnTo>
                <a:cubicBezTo>
                  <a:pt x="106044" y="32143"/>
                  <a:pt x="109575" y="41224"/>
                  <a:pt x="109689" y="50266"/>
                </a:cubicBezTo>
                <a:lnTo>
                  <a:pt x="111213" y="53314"/>
                </a:lnTo>
                <a:lnTo>
                  <a:pt x="111213" y="59410"/>
                </a:lnTo>
                <a:lnTo>
                  <a:pt x="109689" y="60934"/>
                </a:lnTo>
                <a:cubicBezTo>
                  <a:pt x="109664" y="70446"/>
                  <a:pt x="106209" y="79172"/>
                  <a:pt x="100558" y="86830"/>
                </a:cubicBezTo>
                <a:lnTo>
                  <a:pt x="94462" y="95974"/>
                </a:lnTo>
                <a:lnTo>
                  <a:pt x="89890" y="99021"/>
                </a:lnTo>
                <a:lnTo>
                  <a:pt x="86842" y="102069"/>
                </a:lnTo>
                <a:lnTo>
                  <a:pt x="80746" y="105117"/>
                </a:lnTo>
                <a:lnTo>
                  <a:pt x="79222" y="106642"/>
                </a:lnTo>
                <a:lnTo>
                  <a:pt x="76174" y="106642"/>
                </a:lnTo>
                <a:lnTo>
                  <a:pt x="74650" y="108165"/>
                </a:lnTo>
                <a:lnTo>
                  <a:pt x="71602" y="108165"/>
                </a:lnTo>
                <a:lnTo>
                  <a:pt x="68567" y="109689"/>
                </a:lnTo>
                <a:lnTo>
                  <a:pt x="67043" y="111213"/>
                </a:lnTo>
                <a:lnTo>
                  <a:pt x="44183" y="111213"/>
                </a:lnTo>
                <a:lnTo>
                  <a:pt x="38087" y="108165"/>
                </a:lnTo>
                <a:lnTo>
                  <a:pt x="36563" y="108165"/>
                </a:lnTo>
                <a:lnTo>
                  <a:pt x="33515" y="106642"/>
                </a:lnTo>
                <a:lnTo>
                  <a:pt x="32004" y="106642"/>
                </a:lnTo>
                <a:lnTo>
                  <a:pt x="28956" y="105117"/>
                </a:lnTo>
                <a:lnTo>
                  <a:pt x="19812" y="99021"/>
                </a:lnTo>
                <a:lnTo>
                  <a:pt x="12192" y="91401"/>
                </a:lnTo>
                <a:lnTo>
                  <a:pt x="6096" y="82257"/>
                </a:lnTo>
                <a:lnTo>
                  <a:pt x="6096" y="79222"/>
                </a:lnTo>
                <a:lnTo>
                  <a:pt x="4572" y="77698"/>
                </a:lnTo>
                <a:lnTo>
                  <a:pt x="1524" y="71602"/>
                </a:lnTo>
                <a:lnTo>
                  <a:pt x="1524" y="70078"/>
                </a:lnTo>
                <a:lnTo>
                  <a:pt x="0" y="67030"/>
                </a:lnTo>
                <a:lnTo>
                  <a:pt x="0" y="44170"/>
                </a:lnTo>
                <a:lnTo>
                  <a:pt x="1524" y="42659"/>
                </a:lnTo>
                <a:lnTo>
                  <a:pt x="1524" y="39611"/>
                </a:lnTo>
                <a:lnTo>
                  <a:pt x="3048" y="36563"/>
                </a:lnTo>
                <a:lnTo>
                  <a:pt x="4572" y="35039"/>
                </a:lnTo>
                <a:lnTo>
                  <a:pt x="6096" y="31991"/>
                </a:lnTo>
                <a:lnTo>
                  <a:pt x="6096" y="28943"/>
                </a:lnTo>
                <a:lnTo>
                  <a:pt x="12192" y="19799"/>
                </a:lnTo>
                <a:cubicBezTo>
                  <a:pt x="22225" y="11671"/>
                  <a:pt x="31128" y="2718"/>
                  <a:pt x="44183" y="1524"/>
                </a:cubicBezTo>
                <a:lnTo>
                  <a:pt x="47231" y="1524"/>
                </a:lnTo>
                <a:lnTo>
                  <a:pt x="48755" y="0"/>
                </a:lnTo>
                <a:lnTo>
                  <a:pt x="54851"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62" name="Shape 9040">
            <a:extLst>
              <a:ext uri="{FF2B5EF4-FFF2-40B4-BE49-F238E27FC236}">
                <a16:creationId xmlns:a16="http://schemas.microsoft.com/office/drawing/2014/main" id="{00000000-0008-0000-0500-00003E000000}"/>
              </a:ext>
            </a:extLst>
          </xdr:cNvPr>
          <xdr:cNvSpPr>
            <a:spLocks/>
          </xdr:cNvSpPr>
        </xdr:nvSpPr>
        <xdr:spPr bwMode="auto">
          <a:xfrm>
            <a:off x="24208" y="0"/>
            <a:ext cx="1477" cy="1484"/>
          </a:xfrm>
          <a:custGeom>
            <a:avLst/>
            <a:gdLst>
              <a:gd name="T0" fmla="*/ 0 w 147777"/>
              <a:gd name="T1" fmla="*/ 0 h 148412"/>
              <a:gd name="T2" fmla="*/ 0 w 147777"/>
              <a:gd name="T3" fmla="*/ 0 h 148412"/>
              <a:gd name="T4" fmla="*/ 0 w 147777"/>
              <a:gd name="T5" fmla="*/ 0 h 148412"/>
              <a:gd name="T6" fmla="*/ 0 w 147777"/>
              <a:gd name="T7" fmla="*/ 0 h 148412"/>
              <a:gd name="T8" fmla="*/ 0 w 147777"/>
              <a:gd name="T9" fmla="*/ 0 h 148412"/>
              <a:gd name="T10" fmla="*/ 0 w 147777"/>
              <a:gd name="T11" fmla="*/ 0 h 148412"/>
              <a:gd name="T12" fmla="*/ 0 w 147777"/>
              <a:gd name="T13" fmla="*/ 0 h 148412"/>
              <a:gd name="T14" fmla="*/ 0 w 147777"/>
              <a:gd name="T15" fmla="*/ 0 h 148412"/>
              <a:gd name="T16" fmla="*/ 0 w 147777"/>
              <a:gd name="T17" fmla="*/ 0 h 148412"/>
              <a:gd name="T18" fmla="*/ 0 w 147777"/>
              <a:gd name="T19" fmla="*/ 0 h 148412"/>
              <a:gd name="T20" fmla="*/ 0 w 147777"/>
              <a:gd name="T21" fmla="*/ 0 h 148412"/>
              <a:gd name="T22" fmla="*/ 0 w 147777"/>
              <a:gd name="T23" fmla="*/ 0 h 148412"/>
              <a:gd name="T24" fmla="*/ 0 w 147777"/>
              <a:gd name="T25" fmla="*/ 0 h 148412"/>
              <a:gd name="T26" fmla="*/ 0 w 147777"/>
              <a:gd name="T27" fmla="*/ 0 h 148412"/>
              <a:gd name="T28" fmla="*/ 0 w 147777"/>
              <a:gd name="T29" fmla="*/ 0 h 148412"/>
              <a:gd name="T30" fmla="*/ 0 w 147777"/>
              <a:gd name="T31" fmla="*/ 0 h 148412"/>
              <a:gd name="T32" fmla="*/ 0 w 147777"/>
              <a:gd name="T33" fmla="*/ 0 h 148412"/>
              <a:gd name="T34" fmla="*/ 0 w 147777"/>
              <a:gd name="T35" fmla="*/ 0 h 148412"/>
              <a:gd name="T36" fmla="*/ 0 w 147777"/>
              <a:gd name="T37" fmla="*/ 0 h 148412"/>
              <a:gd name="T38" fmla="*/ 0 w 147777"/>
              <a:gd name="T39" fmla="*/ 0 h 148412"/>
              <a:gd name="T40" fmla="*/ 0 w 147777"/>
              <a:gd name="T41" fmla="*/ 0 h 148412"/>
              <a:gd name="T42" fmla="*/ 0 w 147777"/>
              <a:gd name="T43" fmla="*/ 0 h 148412"/>
              <a:gd name="T44" fmla="*/ 0 w 147777"/>
              <a:gd name="T45" fmla="*/ 0 h 148412"/>
              <a:gd name="T46" fmla="*/ 0 w 147777"/>
              <a:gd name="T47" fmla="*/ 0 h 148412"/>
              <a:gd name="T48" fmla="*/ 0 w 147777"/>
              <a:gd name="T49" fmla="*/ 0 h 148412"/>
              <a:gd name="T50" fmla="*/ 0 w 147777"/>
              <a:gd name="T51" fmla="*/ 0 h 148412"/>
              <a:gd name="T52" fmla="*/ 0 w 147777"/>
              <a:gd name="T53" fmla="*/ 0 h 148412"/>
              <a:gd name="T54" fmla="*/ 0 w 147777"/>
              <a:gd name="T55" fmla="*/ 0 h 148412"/>
              <a:gd name="T56" fmla="*/ 0 w 147777"/>
              <a:gd name="T57" fmla="*/ 0 h 148412"/>
              <a:gd name="T58" fmla="*/ 0 w 147777"/>
              <a:gd name="T59" fmla="*/ 0 h 148412"/>
              <a:gd name="T60" fmla="*/ 0 w 147777"/>
              <a:gd name="T61" fmla="*/ 0 h 148412"/>
              <a:gd name="T62" fmla="*/ 0 w 147777"/>
              <a:gd name="T63" fmla="*/ 0 h 148412"/>
              <a:gd name="T64" fmla="*/ 0 w 147777"/>
              <a:gd name="T65" fmla="*/ 0 h 148412"/>
              <a:gd name="T66" fmla="*/ 0 w 147777"/>
              <a:gd name="T67" fmla="*/ 0 h 148412"/>
              <a:gd name="T68" fmla="*/ 0 w 147777"/>
              <a:gd name="T69" fmla="*/ 0 h 148412"/>
              <a:gd name="T70" fmla="*/ 0 w 147777"/>
              <a:gd name="T71" fmla="*/ 0 h 148412"/>
              <a:gd name="T72" fmla="*/ 0 w 147777"/>
              <a:gd name="T73" fmla="*/ 0 h 148412"/>
              <a:gd name="T74" fmla="*/ 0 w 147777"/>
              <a:gd name="T75" fmla="*/ 0 h 148412"/>
              <a:gd name="T76" fmla="*/ 0 w 147777"/>
              <a:gd name="T77" fmla="*/ 0 h 148412"/>
              <a:gd name="T78" fmla="*/ 0 w 147777"/>
              <a:gd name="T79" fmla="*/ 0 h 148412"/>
              <a:gd name="T80" fmla="*/ 0 w 147777"/>
              <a:gd name="T81" fmla="*/ 0 h 148412"/>
              <a:gd name="T82" fmla="*/ 0 w 147777"/>
              <a:gd name="T83" fmla="*/ 0 h 148412"/>
              <a:gd name="T84" fmla="*/ 0 w 147777"/>
              <a:gd name="T85" fmla="*/ 0 h 148412"/>
              <a:gd name="T86" fmla="*/ 0 w 147777"/>
              <a:gd name="T87" fmla="*/ 0 h 148412"/>
              <a:gd name="T88" fmla="*/ 0 w 147777"/>
              <a:gd name="T89" fmla="*/ 0 h 148412"/>
              <a:gd name="T90" fmla="*/ 0 w 147777"/>
              <a:gd name="T91" fmla="*/ 0 h 148412"/>
              <a:gd name="T92" fmla="*/ 0 w 147777"/>
              <a:gd name="T93" fmla="*/ 0 h 148412"/>
              <a:gd name="T94" fmla="*/ 0 w 147777"/>
              <a:gd name="T95" fmla="*/ 0 h 148412"/>
              <a:gd name="T96" fmla="*/ 0 w 147777"/>
              <a:gd name="T97" fmla="*/ 0 h 148412"/>
              <a:gd name="T98" fmla="*/ 0 w 147777"/>
              <a:gd name="T99" fmla="*/ 0 h 148412"/>
              <a:gd name="T100" fmla="*/ 0 w 147777"/>
              <a:gd name="T101" fmla="*/ 0 h 148412"/>
              <a:gd name="T102" fmla="*/ 0 w 147777"/>
              <a:gd name="T103" fmla="*/ 0 h 148412"/>
              <a:gd name="T104" fmla="*/ 0 w 147777"/>
              <a:gd name="T105" fmla="*/ 0 h 148412"/>
              <a:gd name="T106" fmla="*/ 0 w 147777"/>
              <a:gd name="T107" fmla="*/ 0 h 148412"/>
              <a:gd name="T108" fmla="*/ 0 w 147777"/>
              <a:gd name="T109" fmla="*/ 0 h 148412"/>
              <a:gd name="T110" fmla="*/ 0 w 147777"/>
              <a:gd name="T111" fmla="*/ 0 h 148412"/>
              <a:gd name="T112" fmla="*/ 0 w 147777"/>
              <a:gd name="T113" fmla="*/ 0 h 148412"/>
              <a:gd name="T114" fmla="*/ 0 w 147777"/>
              <a:gd name="T115" fmla="*/ 0 h 148412"/>
              <a:gd name="T116" fmla="*/ 0 w 147777"/>
              <a:gd name="T117" fmla="*/ 0 h 148412"/>
              <a:gd name="T118" fmla="*/ 0 w 147777"/>
              <a:gd name="T119" fmla="*/ 0 h 148412"/>
              <a:gd name="T120" fmla="*/ 0 w 147777"/>
              <a:gd name="T121" fmla="*/ 0 h 148412"/>
              <a:gd name="T122" fmla="*/ 0 w 147777"/>
              <a:gd name="T123" fmla="*/ 0 h 148412"/>
              <a:gd name="T124" fmla="*/ 0 w 147777"/>
              <a:gd name="T125" fmla="*/ 0 h 148412"/>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147777"/>
              <a:gd name="T190" fmla="*/ 0 h 148412"/>
              <a:gd name="T191" fmla="*/ 147777 w 147777"/>
              <a:gd name="T192" fmla="*/ 148412 h 148412"/>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147777" h="148412">
                <a:moveTo>
                  <a:pt x="73126" y="0"/>
                </a:moveTo>
                <a:lnTo>
                  <a:pt x="85318" y="0"/>
                </a:lnTo>
                <a:lnTo>
                  <a:pt x="88366" y="1524"/>
                </a:lnTo>
                <a:lnTo>
                  <a:pt x="91414" y="1524"/>
                </a:lnTo>
                <a:lnTo>
                  <a:pt x="95974" y="3048"/>
                </a:lnTo>
                <a:lnTo>
                  <a:pt x="99021" y="3048"/>
                </a:lnTo>
                <a:lnTo>
                  <a:pt x="102069" y="6083"/>
                </a:lnTo>
                <a:lnTo>
                  <a:pt x="105117" y="6083"/>
                </a:lnTo>
                <a:lnTo>
                  <a:pt x="109689" y="7607"/>
                </a:lnTo>
                <a:lnTo>
                  <a:pt x="112737" y="9132"/>
                </a:lnTo>
                <a:lnTo>
                  <a:pt x="114261" y="12179"/>
                </a:lnTo>
                <a:lnTo>
                  <a:pt x="118833" y="13703"/>
                </a:lnTo>
                <a:lnTo>
                  <a:pt x="120357" y="16751"/>
                </a:lnTo>
                <a:lnTo>
                  <a:pt x="123405" y="18275"/>
                </a:lnTo>
                <a:lnTo>
                  <a:pt x="131025" y="25895"/>
                </a:lnTo>
                <a:cubicBezTo>
                  <a:pt x="140131" y="36970"/>
                  <a:pt x="145364" y="51714"/>
                  <a:pt x="147777" y="65506"/>
                </a:cubicBezTo>
                <a:lnTo>
                  <a:pt x="147777" y="85306"/>
                </a:lnTo>
                <a:lnTo>
                  <a:pt x="144728" y="91402"/>
                </a:lnTo>
                <a:lnTo>
                  <a:pt x="144728" y="95974"/>
                </a:lnTo>
                <a:lnTo>
                  <a:pt x="134060" y="117297"/>
                </a:lnTo>
                <a:lnTo>
                  <a:pt x="127977" y="123393"/>
                </a:lnTo>
                <a:lnTo>
                  <a:pt x="126453" y="126441"/>
                </a:lnTo>
                <a:lnTo>
                  <a:pt x="123405" y="127965"/>
                </a:lnTo>
                <a:lnTo>
                  <a:pt x="118833" y="132537"/>
                </a:lnTo>
                <a:lnTo>
                  <a:pt x="114261" y="135585"/>
                </a:lnTo>
                <a:lnTo>
                  <a:pt x="112737" y="137109"/>
                </a:lnTo>
                <a:lnTo>
                  <a:pt x="109689" y="138633"/>
                </a:lnTo>
                <a:lnTo>
                  <a:pt x="105117" y="140157"/>
                </a:lnTo>
                <a:cubicBezTo>
                  <a:pt x="90893" y="148412"/>
                  <a:pt x="96316" y="141884"/>
                  <a:pt x="88366" y="146253"/>
                </a:cubicBezTo>
                <a:lnTo>
                  <a:pt x="85318" y="146253"/>
                </a:lnTo>
                <a:lnTo>
                  <a:pt x="80746" y="147777"/>
                </a:lnTo>
                <a:lnTo>
                  <a:pt x="65506" y="147777"/>
                </a:lnTo>
                <a:lnTo>
                  <a:pt x="62458" y="146253"/>
                </a:lnTo>
                <a:cubicBezTo>
                  <a:pt x="48387" y="145186"/>
                  <a:pt x="33109" y="137655"/>
                  <a:pt x="22847" y="127965"/>
                </a:cubicBezTo>
                <a:lnTo>
                  <a:pt x="18275" y="123393"/>
                </a:lnTo>
                <a:lnTo>
                  <a:pt x="16764" y="120345"/>
                </a:lnTo>
                <a:lnTo>
                  <a:pt x="13716" y="117297"/>
                </a:lnTo>
                <a:lnTo>
                  <a:pt x="9144" y="108166"/>
                </a:lnTo>
                <a:lnTo>
                  <a:pt x="6096" y="105118"/>
                </a:lnTo>
                <a:lnTo>
                  <a:pt x="6096" y="102070"/>
                </a:lnTo>
                <a:lnTo>
                  <a:pt x="3048" y="95974"/>
                </a:lnTo>
                <a:lnTo>
                  <a:pt x="1524" y="91402"/>
                </a:lnTo>
                <a:lnTo>
                  <a:pt x="0" y="88354"/>
                </a:lnTo>
                <a:lnTo>
                  <a:pt x="0" y="57886"/>
                </a:lnTo>
                <a:lnTo>
                  <a:pt x="3048" y="51791"/>
                </a:lnTo>
                <a:lnTo>
                  <a:pt x="4572" y="47218"/>
                </a:lnTo>
                <a:lnTo>
                  <a:pt x="6096" y="44171"/>
                </a:lnTo>
                <a:lnTo>
                  <a:pt x="6096" y="41135"/>
                </a:lnTo>
                <a:lnTo>
                  <a:pt x="9144" y="38087"/>
                </a:lnTo>
                <a:lnTo>
                  <a:pt x="13716" y="28943"/>
                </a:lnTo>
                <a:lnTo>
                  <a:pt x="16764" y="25895"/>
                </a:lnTo>
                <a:lnTo>
                  <a:pt x="18275" y="22847"/>
                </a:lnTo>
                <a:lnTo>
                  <a:pt x="21323" y="21324"/>
                </a:lnTo>
                <a:lnTo>
                  <a:pt x="22847" y="18275"/>
                </a:lnTo>
                <a:lnTo>
                  <a:pt x="25895" y="16751"/>
                </a:lnTo>
                <a:lnTo>
                  <a:pt x="28943" y="13703"/>
                </a:lnTo>
                <a:lnTo>
                  <a:pt x="31991" y="12179"/>
                </a:lnTo>
                <a:lnTo>
                  <a:pt x="35039" y="9132"/>
                </a:lnTo>
                <a:lnTo>
                  <a:pt x="38087" y="7607"/>
                </a:lnTo>
                <a:cubicBezTo>
                  <a:pt x="46139" y="5093"/>
                  <a:pt x="46799" y="4026"/>
                  <a:pt x="54851" y="1524"/>
                </a:cubicBezTo>
                <a:lnTo>
                  <a:pt x="59410" y="1524"/>
                </a:lnTo>
                <a:lnTo>
                  <a:pt x="62458" y="0"/>
                </a:lnTo>
                <a:lnTo>
                  <a:pt x="73126"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63" name="Shape 9041">
            <a:extLst>
              <a:ext uri="{FF2B5EF4-FFF2-40B4-BE49-F238E27FC236}">
                <a16:creationId xmlns:a16="http://schemas.microsoft.com/office/drawing/2014/main" id="{00000000-0008-0000-0500-00003F000000}"/>
              </a:ext>
            </a:extLst>
          </xdr:cNvPr>
          <xdr:cNvSpPr>
            <a:spLocks/>
          </xdr:cNvSpPr>
        </xdr:nvSpPr>
        <xdr:spPr bwMode="auto">
          <a:xfrm>
            <a:off x="24771" y="594"/>
            <a:ext cx="336" cy="350"/>
          </a:xfrm>
          <a:custGeom>
            <a:avLst/>
            <a:gdLst>
              <a:gd name="T0" fmla="*/ 0 w 33528"/>
              <a:gd name="T1" fmla="*/ 0 h 35039"/>
              <a:gd name="T2" fmla="*/ 0 w 33528"/>
              <a:gd name="T3" fmla="*/ 0 h 35039"/>
              <a:gd name="T4" fmla="*/ 0 w 33528"/>
              <a:gd name="T5" fmla="*/ 0 h 35039"/>
              <a:gd name="T6" fmla="*/ 0 w 33528"/>
              <a:gd name="T7" fmla="*/ 0 h 35039"/>
              <a:gd name="T8" fmla="*/ 0 w 33528"/>
              <a:gd name="T9" fmla="*/ 0 h 35039"/>
              <a:gd name="T10" fmla="*/ 0 w 33528"/>
              <a:gd name="T11" fmla="*/ 0 h 35039"/>
              <a:gd name="T12" fmla="*/ 0 w 33528"/>
              <a:gd name="T13" fmla="*/ 0 h 35039"/>
              <a:gd name="T14" fmla="*/ 0 w 33528"/>
              <a:gd name="T15" fmla="*/ 0 h 35039"/>
              <a:gd name="T16" fmla="*/ 0 w 33528"/>
              <a:gd name="T17" fmla="*/ 0 h 35039"/>
              <a:gd name="T18" fmla="*/ 0 w 33528"/>
              <a:gd name="T19" fmla="*/ 0 h 35039"/>
              <a:gd name="T20" fmla="*/ 0 w 33528"/>
              <a:gd name="T21" fmla="*/ 0 h 35039"/>
              <a:gd name="T22" fmla="*/ 0 w 33528"/>
              <a:gd name="T23" fmla="*/ 0 h 35039"/>
              <a:gd name="T24" fmla="*/ 0 w 33528"/>
              <a:gd name="T25" fmla="*/ 0 h 35039"/>
              <a:gd name="T26" fmla="*/ 0 w 33528"/>
              <a:gd name="T27" fmla="*/ 0 h 35039"/>
              <a:gd name="T28" fmla="*/ 0 w 33528"/>
              <a:gd name="T29" fmla="*/ 0 h 35039"/>
              <a:gd name="T30" fmla="*/ 0 w 33528"/>
              <a:gd name="T31" fmla="*/ 0 h 35039"/>
              <a:gd name="T32" fmla="*/ 0 w 33528"/>
              <a:gd name="T33" fmla="*/ 0 h 35039"/>
              <a:gd name="T34" fmla="*/ 0 w 33528"/>
              <a:gd name="T35" fmla="*/ 0 h 35039"/>
              <a:gd name="T36" fmla="*/ 0 w 33528"/>
              <a:gd name="T37" fmla="*/ 0 h 35039"/>
              <a:gd name="T38" fmla="*/ 0 w 33528"/>
              <a:gd name="T39" fmla="*/ 0 h 35039"/>
              <a:gd name="T40" fmla="*/ 0 w 33528"/>
              <a:gd name="T41" fmla="*/ 0 h 35039"/>
              <a:gd name="T42" fmla="*/ 0 w 33528"/>
              <a:gd name="T43" fmla="*/ 0 h 35039"/>
              <a:gd name="T44" fmla="*/ 0 w 33528"/>
              <a:gd name="T45" fmla="*/ 0 h 35039"/>
              <a:gd name="T46" fmla="*/ 0 w 33528"/>
              <a:gd name="T47" fmla="*/ 0 h 35039"/>
              <a:gd name="T48" fmla="*/ 0 w 33528"/>
              <a:gd name="T49" fmla="*/ 0 h 35039"/>
              <a:gd name="T50" fmla="*/ 0 w 33528"/>
              <a:gd name="T51" fmla="*/ 0 h 35039"/>
              <a:gd name="T52" fmla="*/ 0 w 33528"/>
              <a:gd name="T53" fmla="*/ 0 h 35039"/>
              <a:gd name="T54" fmla="*/ 0 w 33528"/>
              <a:gd name="T55" fmla="*/ 0 h 35039"/>
              <a:gd name="T56" fmla="*/ 0 w 33528"/>
              <a:gd name="T57" fmla="*/ 0 h 35039"/>
              <a:gd name="T58" fmla="*/ 0 w 33528"/>
              <a:gd name="T59" fmla="*/ 0 h 35039"/>
              <a:gd name="T60" fmla="*/ 0 w 33528"/>
              <a:gd name="T61" fmla="*/ 0 h 35039"/>
              <a:gd name="T62" fmla="*/ 0 w 33528"/>
              <a:gd name="T63" fmla="*/ 0 h 35039"/>
              <a:gd name="T64" fmla="*/ 0 w 33528"/>
              <a:gd name="T65" fmla="*/ 0 h 35039"/>
              <a:gd name="T66" fmla="*/ 0 w 33528"/>
              <a:gd name="T67" fmla="*/ 0 h 35039"/>
              <a:gd name="T68" fmla="*/ 0 w 33528"/>
              <a:gd name="T69" fmla="*/ 0 h 35039"/>
              <a:gd name="T70" fmla="*/ 0 w 33528"/>
              <a:gd name="T71" fmla="*/ 0 h 35039"/>
              <a:gd name="T72" fmla="*/ 0 w 33528"/>
              <a:gd name="T73" fmla="*/ 0 h 35039"/>
              <a:gd name="T74" fmla="*/ 0 w 33528"/>
              <a:gd name="T75" fmla="*/ 0 h 35039"/>
              <a:gd name="T76" fmla="*/ 0 w 33528"/>
              <a:gd name="T77" fmla="*/ 0 h 35039"/>
              <a:gd name="T78" fmla="*/ 0 w 33528"/>
              <a:gd name="T79" fmla="*/ 0 h 35039"/>
              <a:gd name="T80" fmla="*/ 0 w 33528"/>
              <a:gd name="T81" fmla="*/ 0 h 35039"/>
              <a:gd name="T82" fmla="*/ 0 w 33528"/>
              <a:gd name="T83" fmla="*/ 0 h 35039"/>
              <a:gd name="T84" fmla="*/ 0 w 33528"/>
              <a:gd name="T85" fmla="*/ 0 h 35039"/>
              <a:gd name="T86" fmla="*/ 0 w 33528"/>
              <a:gd name="T87" fmla="*/ 0 h 35039"/>
              <a:gd name="T88" fmla="*/ 0 w 33528"/>
              <a:gd name="T89" fmla="*/ 0 h 3503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3528"/>
              <a:gd name="T136" fmla="*/ 0 h 35039"/>
              <a:gd name="T137" fmla="*/ 33528 w 33528"/>
              <a:gd name="T138" fmla="*/ 35039 h 3503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3528" h="35039">
                <a:moveTo>
                  <a:pt x="12192" y="0"/>
                </a:moveTo>
                <a:lnTo>
                  <a:pt x="21336" y="0"/>
                </a:lnTo>
                <a:lnTo>
                  <a:pt x="22860" y="1524"/>
                </a:lnTo>
                <a:lnTo>
                  <a:pt x="24384" y="1524"/>
                </a:lnTo>
                <a:lnTo>
                  <a:pt x="25908" y="3048"/>
                </a:lnTo>
                <a:lnTo>
                  <a:pt x="27432" y="3048"/>
                </a:lnTo>
                <a:lnTo>
                  <a:pt x="28956" y="4572"/>
                </a:lnTo>
                <a:lnTo>
                  <a:pt x="28956" y="6096"/>
                </a:lnTo>
                <a:lnTo>
                  <a:pt x="30480" y="7620"/>
                </a:lnTo>
                <a:lnTo>
                  <a:pt x="30480" y="9144"/>
                </a:lnTo>
                <a:lnTo>
                  <a:pt x="32004" y="10668"/>
                </a:lnTo>
                <a:lnTo>
                  <a:pt x="32004" y="12192"/>
                </a:lnTo>
                <a:lnTo>
                  <a:pt x="33528" y="13716"/>
                </a:lnTo>
                <a:lnTo>
                  <a:pt x="33528" y="19812"/>
                </a:lnTo>
                <a:lnTo>
                  <a:pt x="32004" y="22847"/>
                </a:lnTo>
                <a:lnTo>
                  <a:pt x="32004" y="24371"/>
                </a:lnTo>
                <a:lnTo>
                  <a:pt x="30480" y="25895"/>
                </a:lnTo>
                <a:lnTo>
                  <a:pt x="30480" y="27419"/>
                </a:lnTo>
                <a:lnTo>
                  <a:pt x="28956" y="27419"/>
                </a:lnTo>
                <a:lnTo>
                  <a:pt x="28956" y="30467"/>
                </a:lnTo>
                <a:lnTo>
                  <a:pt x="27432" y="30467"/>
                </a:lnTo>
                <a:lnTo>
                  <a:pt x="25908" y="31991"/>
                </a:lnTo>
                <a:lnTo>
                  <a:pt x="24384" y="31991"/>
                </a:lnTo>
                <a:lnTo>
                  <a:pt x="22860" y="33515"/>
                </a:lnTo>
                <a:lnTo>
                  <a:pt x="19812" y="33515"/>
                </a:lnTo>
                <a:lnTo>
                  <a:pt x="18288" y="35039"/>
                </a:lnTo>
                <a:lnTo>
                  <a:pt x="15240" y="35039"/>
                </a:lnTo>
                <a:lnTo>
                  <a:pt x="13716" y="33515"/>
                </a:lnTo>
                <a:lnTo>
                  <a:pt x="10668" y="33515"/>
                </a:lnTo>
                <a:lnTo>
                  <a:pt x="9144" y="31991"/>
                </a:lnTo>
                <a:lnTo>
                  <a:pt x="7620" y="31991"/>
                </a:lnTo>
                <a:lnTo>
                  <a:pt x="1524" y="25895"/>
                </a:lnTo>
                <a:lnTo>
                  <a:pt x="1524" y="22847"/>
                </a:lnTo>
                <a:lnTo>
                  <a:pt x="0" y="19812"/>
                </a:lnTo>
                <a:lnTo>
                  <a:pt x="0" y="13716"/>
                </a:lnTo>
                <a:lnTo>
                  <a:pt x="1524" y="12192"/>
                </a:lnTo>
                <a:lnTo>
                  <a:pt x="1524" y="9144"/>
                </a:lnTo>
                <a:lnTo>
                  <a:pt x="3048" y="7620"/>
                </a:lnTo>
                <a:lnTo>
                  <a:pt x="3048" y="6096"/>
                </a:lnTo>
                <a:lnTo>
                  <a:pt x="6096" y="4572"/>
                </a:lnTo>
                <a:lnTo>
                  <a:pt x="6096" y="3048"/>
                </a:lnTo>
                <a:lnTo>
                  <a:pt x="7620" y="3048"/>
                </a:lnTo>
                <a:lnTo>
                  <a:pt x="9144" y="1524"/>
                </a:lnTo>
                <a:lnTo>
                  <a:pt x="10668" y="1524"/>
                </a:lnTo>
                <a:lnTo>
                  <a:pt x="12192" y="0"/>
                </a:ln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64" name="Shape 9042">
            <a:extLst>
              <a:ext uri="{FF2B5EF4-FFF2-40B4-BE49-F238E27FC236}">
                <a16:creationId xmlns:a16="http://schemas.microsoft.com/office/drawing/2014/main" id="{00000000-0008-0000-0500-000040000000}"/>
              </a:ext>
            </a:extLst>
          </xdr:cNvPr>
          <xdr:cNvSpPr>
            <a:spLocks/>
          </xdr:cNvSpPr>
        </xdr:nvSpPr>
        <xdr:spPr bwMode="auto">
          <a:xfrm>
            <a:off x="24771" y="594"/>
            <a:ext cx="336" cy="350"/>
          </a:xfrm>
          <a:custGeom>
            <a:avLst/>
            <a:gdLst>
              <a:gd name="T0" fmla="*/ 0 w 33528"/>
              <a:gd name="T1" fmla="*/ 0 h 35039"/>
              <a:gd name="T2" fmla="*/ 0 w 33528"/>
              <a:gd name="T3" fmla="*/ 0 h 35039"/>
              <a:gd name="T4" fmla="*/ 0 w 33528"/>
              <a:gd name="T5" fmla="*/ 0 h 35039"/>
              <a:gd name="T6" fmla="*/ 0 w 33528"/>
              <a:gd name="T7" fmla="*/ 0 h 35039"/>
              <a:gd name="T8" fmla="*/ 0 w 33528"/>
              <a:gd name="T9" fmla="*/ 0 h 35039"/>
              <a:gd name="T10" fmla="*/ 0 w 33528"/>
              <a:gd name="T11" fmla="*/ 0 h 35039"/>
              <a:gd name="T12" fmla="*/ 0 w 33528"/>
              <a:gd name="T13" fmla="*/ 0 h 35039"/>
              <a:gd name="T14" fmla="*/ 0 w 33528"/>
              <a:gd name="T15" fmla="*/ 0 h 35039"/>
              <a:gd name="T16" fmla="*/ 0 w 33528"/>
              <a:gd name="T17" fmla="*/ 0 h 35039"/>
              <a:gd name="T18" fmla="*/ 0 w 33528"/>
              <a:gd name="T19" fmla="*/ 0 h 35039"/>
              <a:gd name="T20" fmla="*/ 0 w 33528"/>
              <a:gd name="T21" fmla="*/ 0 h 35039"/>
              <a:gd name="T22" fmla="*/ 0 w 33528"/>
              <a:gd name="T23" fmla="*/ 0 h 35039"/>
              <a:gd name="T24" fmla="*/ 0 w 33528"/>
              <a:gd name="T25" fmla="*/ 0 h 35039"/>
              <a:gd name="T26" fmla="*/ 0 w 33528"/>
              <a:gd name="T27" fmla="*/ 0 h 35039"/>
              <a:gd name="T28" fmla="*/ 0 w 33528"/>
              <a:gd name="T29" fmla="*/ 0 h 35039"/>
              <a:gd name="T30" fmla="*/ 0 w 33528"/>
              <a:gd name="T31" fmla="*/ 0 h 35039"/>
              <a:gd name="T32" fmla="*/ 0 w 33528"/>
              <a:gd name="T33" fmla="*/ 0 h 35039"/>
              <a:gd name="T34" fmla="*/ 0 w 33528"/>
              <a:gd name="T35" fmla="*/ 0 h 35039"/>
              <a:gd name="T36" fmla="*/ 0 w 33528"/>
              <a:gd name="T37" fmla="*/ 0 h 35039"/>
              <a:gd name="T38" fmla="*/ 0 w 33528"/>
              <a:gd name="T39" fmla="*/ 0 h 35039"/>
              <a:gd name="T40" fmla="*/ 0 w 33528"/>
              <a:gd name="T41" fmla="*/ 0 h 35039"/>
              <a:gd name="T42" fmla="*/ 0 w 33528"/>
              <a:gd name="T43" fmla="*/ 0 h 35039"/>
              <a:gd name="T44" fmla="*/ 0 w 33528"/>
              <a:gd name="T45" fmla="*/ 0 h 35039"/>
              <a:gd name="T46" fmla="*/ 0 w 33528"/>
              <a:gd name="T47" fmla="*/ 0 h 35039"/>
              <a:gd name="T48" fmla="*/ 0 w 33528"/>
              <a:gd name="T49" fmla="*/ 0 h 35039"/>
              <a:gd name="T50" fmla="*/ 0 w 33528"/>
              <a:gd name="T51" fmla="*/ 0 h 35039"/>
              <a:gd name="T52" fmla="*/ 0 w 33528"/>
              <a:gd name="T53" fmla="*/ 0 h 35039"/>
              <a:gd name="T54" fmla="*/ 0 w 33528"/>
              <a:gd name="T55" fmla="*/ 0 h 35039"/>
              <a:gd name="T56" fmla="*/ 0 w 33528"/>
              <a:gd name="T57" fmla="*/ 0 h 35039"/>
              <a:gd name="T58" fmla="*/ 0 w 33528"/>
              <a:gd name="T59" fmla="*/ 0 h 35039"/>
              <a:gd name="T60" fmla="*/ 0 w 33528"/>
              <a:gd name="T61" fmla="*/ 0 h 35039"/>
              <a:gd name="T62" fmla="*/ 0 w 33528"/>
              <a:gd name="T63" fmla="*/ 0 h 35039"/>
              <a:gd name="T64" fmla="*/ 0 w 33528"/>
              <a:gd name="T65" fmla="*/ 0 h 35039"/>
              <a:gd name="T66" fmla="*/ 0 w 33528"/>
              <a:gd name="T67" fmla="*/ 0 h 35039"/>
              <a:gd name="T68" fmla="*/ 0 w 33528"/>
              <a:gd name="T69" fmla="*/ 0 h 35039"/>
              <a:gd name="T70" fmla="*/ 0 w 33528"/>
              <a:gd name="T71" fmla="*/ 0 h 35039"/>
              <a:gd name="T72" fmla="*/ 0 w 33528"/>
              <a:gd name="T73" fmla="*/ 0 h 35039"/>
              <a:gd name="T74" fmla="*/ 0 w 33528"/>
              <a:gd name="T75" fmla="*/ 0 h 35039"/>
              <a:gd name="T76" fmla="*/ 0 w 33528"/>
              <a:gd name="T77" fmla="*/ 0 h 35039"/>
              <a:gd name="T78" fmla="*/ 0 w 33528"/>
              <a:gd name="T79" fmla="*/ 0 h 35039"/>
              <a:gd name="T80" fmla="*/ 0 w 33528"/>
              <a:gd name="T81" fmla="*/ 0 h 35039"/>
              <a:gd name="T82" fmla="*/ 0 w 33528"/>
              <a:gd name="T83" fmla="*/ 0 h 35039"/>
              <a:gd name="T84" fmla="*/ 0 w 33528"/>
              <a:gd name="T85" fmla="*/ 0 h 35039"/>
              <a:gd name="T86" fmla="*/ 0 w 33528"/>
              <a:gd name="T87" fmla="*/ 0 h 35039"/>
              <a:gd name="T88" fmla="*/ 0 w 33528"/>
              <a:gd name="T89" fmla="*/ 0 h 35039"/>
              <a:gd name="T90" fmla="*/ 0 w 33528"/>
              <a:gd name="T91" fmla="*/ 0 h 35039"/>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33528"/>
              <a:gd name="T139" fmla="*/ 0 h 35039"/>
              <a:gd name="T140" fmla="*/ 33528 w 33528"/>
              <a:gd name="T141" fmla="*/ 35039 h 35039"/>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33528" h="35039">
                <a:moveTo>
                  <a:pt x="16764" y="0"/>
                </a:moveTo>
                <a:lnTo>
                  <a:pt x="21336" y="0"/>
                </a:lnTo>
                <a:lnTo>
                  <a:pt x="22860" y="1524"/>
                </a:lnTo>
                <a:lnTo>
                  <a:pt x="24384" y="1524"/>
                </a:lnTo>
                <a:lnTo>
                  <a:pt x="25908" y="3048"/>
                </a:lnTo>
                <a:lnTo>
                  <a:pt x="27432" y="3048"/>
                </a:lnTo>
                <a:lnTo>
                  <a:pt x="28956" y="4572"/>
                </a:lnTo>
                <a:lnTo>
                  <a:pt x="28956" y="6096"/>
                </a:lnTo>
                <a:lnTo>
                  <a:pt x="30480" y="7620"/>
                </a:lnTo>
                <a:lnTo>
                  <a:pt x="30480" y="9144"/>
                </a:lnTo>
                <a:lnTo>
                  <a:pt x="32004" y="10668"/>
                </a:lnTo>
                <a:lnTo>
                  <a:pt x="32004" y="12192"/>
                </a:lnTo>
                <a:lnTo>
                  <a:pt x="33528" y="13716"/>
                </a:lnTo>
                <a:lnTo>
                  <a:pt x="33528" y="19812"/>
                </a:lnTo>
                <a:lnTo>
                  <a:pt x="32004" y="22847"/>
                </a:lnTo>
                <a:lnTo>
                  <a:pt x="32004" y="24371"/>
                </a:lnTo>
                <a:lnTo>
                  <a:pt x="30480" y="25895"/>
                </a:lnTo>
                <a:lnTo>
                  <a:pt x="30480" y="27419"/>
                </a:lnTo>
                <a:lnTo>
                  <a:pt x="28956" y="27419"/>
                </a:lnTo>
                <a:lnTo>
                  <a:pt x="28956" y="30467"/>
                </a:lnTo>
                <a:lnTo>
                  <a:pt x="27432" y="30467"/>
                </a:lnTo>
                <a:lnTo>
                  <a:pt x="25908" y="31991"/>
                </a:lnTo>
                <a:lnTo>
                  <a:pt x="24384" y="31991"/>
                </a:lnTo>
                <a:lnTo>
                  <a:pt x="22860" y="33515"/>
                </a:lnTo>
                <a:lnTo>
                  <a:pt x="19812" y="33515"/>
                </a:lnTo>
                <a:lnTo>
                  <a:pt x="18288" y="35039"/>
                </a:lnTo>
                <a:lnTo>
                  <a:pt x="15240" y="35039"/>
                </a:lnTo>
                <a:lnTo>
                  <a:pt x="13716" y="33515"/>
                </a:lnTo>
                <a:lnTo>
                  <a:pt x="10668" y="33515"/>
                </a:lnTo>
                <a:lnTo>
                  <a:pt x="9144" y="31991"/>
                </a:lnTo>
                <a:lnTo>
                  <a:pt x="7620" y="31991"/>
                </a:lnTo>
                <a:lnTo>
                  <a:pt x="1524" y="25895"/>
                </a:lnTo>
                <a:lnTo>
                  <a:pt x="1524" y="22847"/>
                </a:lnTo>
                <a:lnTo>
                  <a:pt x="0" y="19812"/>
                </a:lnTo>
                <a:lnTo>
                  <a:pt x="0" y="13716"/>
                </a:lnTo>
                <a:lnTo>
                  <a:pt x="1524" y="12192"/>
                </a:lnTo>
                <a:lnTo>
                  <a:pt x="1524" y="9144"/>
                </a:lnTo>
                <a:lnTo>
                  <a:pt x="3048" y="7620"/>
                </a:lnTo>
                <a:lnTo>
                  <a:pt x="3048" y="6096"/>
                </a:lnTo>
                <a:lnTo>
                  <a:pt x="6096" y="4572"/>
                </a:lnTo>
                <a:lnTo>
                  <a:pt x="6096" y="3048"/>
                </a:lnTo>
                <a:lnTo>
                  <a:pt x="7620" y="3048"/>
                </a:lnTo>
                <a:lnTo>
                  <a:pt x="9144" y="1524"/>
                </a:lnTo>
                <a:lnTo>
                  <a:pt x="10668" y="1524"/>
                </a:lnTo>
                <a:lnTo>
                  <a:pt x="12192" y="0"/>
                </a:lnTo>
                <a:lnTo>
                  <a:pt x="16764"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65" name="Shape 9043">
            <a:extLst>
              <a:ext uri="{FF2B5EF4-FFF2-40B4-BE49-F238E27FC236}">
                <a16:creationId xmlns:a16="http://schemas.microsoft.com/office/drawing/2014/main" id="{00000000-0008-0000-0500-000041000000}"/>
              </a:ext>
            </a:extLst>
          </xdr:cNvPr>
          <xdr:cNvSpPr>
            <a:spLocks/>
          </xdr:cNvSpPr>
        </xdr:nvSpPr>
        <xdr:spPr bwMode="auto">
          <a:xfrm>
            <a:off x="24406" y="152"/>
            <a:ext cx="1111" cy="1127"/>
          </a:xfrm>
          <a:custGeom>
            <a:avLst/>
            <a:gdLst>
              <a:gd name="T0" fmla="*/ 0 w 111163"/>
              <a:gd name="T1" fmla="*/ 0 h 112737"/>
              <a:gd name="T2" fmla="*/ 0 w 111163"/>
              <a:gd name="T3" fmla="*/ 0 h 112737"/>
              <a:gd name="T4" fmla="*/ 0 w 111163"/>
              <a:gd name="T5" fmla="*/ 0 h 112737"/>
              <a:gd name="T6" fmla="*/ 0 w 111163"/>
              <a:gd name="T7" fmla="*/ 0 h 112737"/>
              <a:gd name="T8" fmla="*/ 0 w 111163"/>
              <a:gd name="T9" fmla="*/ 0 h 112737"/>
              <a:gd name="T10" fmla="*/ 0 w 111163"/>
              <a:gd name="T11" fmla="*/ 0 h 112737"/>
              <a:gd name="T12" fmla="*/ 0 w 111163"/>
              <a:gd name="T13" fmla="*/ 0 h 112737"/>
              <a:gd name="T14" fmla="*/ 0 w 111163"/>
              <a:gd name="T15" fmla="*/ 0 h 112737"/>
              <a:gd name="T16" fmla="*/ 0 w 111163"/>
              <a:gd name="T17" fmla="*/ 0 h 112737"/>
              <a:gd name="T18" fmla="*/ 0 w 111163"/>
              <a:gd name="T19" fmla="*/ 0 h 112737"/>
              <a:gd name="T20" fmla="*/ 0 w 111163"/>
              <a:gd name="T21" fmla="*/ 0 h 112737"/>
              <a:gd name="T22" fmla="*/ 0 w 111163"/>
              <a:gd name="T23" fmla="*/ 0 h 112737"/>
              <a:gd name="T24" fmla="*/ 0 w 111163"/>
              <a:gd name="T25" fmla="*/ 0 h 112737"/>
              <a:gd name="T26" fmla="*/ 0 w 111163"/>
              <a:gd name="T27" fmla="*/ 0 h 112737"/>
              <a:gd name="T28" fmla="*/ 0 w 111163"/>
              <a:gd name="T29" fmla="*/ 0 h 112737"/>
              <a:gd name="T30" fmla="*/ 0 w 111163"/>
              <a:gd name="T31" fmla="*/ 0 h 112737"/>
              <a:gd name="T32" fmla="*/ 0 w 111163"/>
              <a:gd name="T33" fmla="*/ 0 h 112737"/>
              <a:gd name="T34" fmla="*/ 0 w 111163"/>
              <a:gd name="T35" fmla="*/ 0 h 112737"/>
              <a:gd name="T36" fmla="*/ 0 w 111163"/>
              <a:gd name="T37" fmla="*/ 0 h 112737"/>
              <a:gd name="T38" fmla="*/ 0 w 111163"/>
              <a:gd name="T39" fmla="*/ 0 h 112737"/>
              <a:gd name="T40" fmla="*/ 0 w 111163"/>
              <a:gd name="T41" fmla="*/ 0 h 112737"/>
              <a:gd name="T42" fmla="*/ 0 w 111163"/>
              <a:gd name="T43" fmla="*/ 0 h 112737"/>
              <a:gd name="T44" fmla="*/ 0 w 111163"/>
              <a:gd name="T45" fmla="*/ 0 h 112737"/>
              <a:gd name="T46" fmla="*/ 0 w 111163"/>
              <a:gd name="T47" fmla="*/ 0 h 112737"/>
              <a:gd name="T48" fmla="*/ 0 w 111163"/>
              <a:gd name="T49" fmla="*/ 0 h 112737"/>
              <a:gd name="T50" fmla="*/ 0 w 111163"/>
              <a:gd name="T51" fmla="*/ 0 h 112737"/>
              <a:gd name="T52" fmla="*/ 0 w 111163"/>
              <a:gd name="T53" fmla="*/ 0 h 112737"/>
              <a:gd name="T54" fmla="*/ 0 w 111163"/>
              <a:gd name="T55" fmla="*/ 0 h 112737"/>
              <a:gd name="T56" fmla="*/ 0 w 111163"/>
              <a:gd name="T57" fmla="*/ 0 h 112737"/>
              <a:gd name="T58" fmla="*/ 0 w 111163"/>
              <a:gd name="T59" fmla="*/ 0 h 112737"/>
              <a:gd name="T60" fmla="*/ 0 w 111163"/>
              <a:gd name="T61" fmla="*/ 0 h 112737"/>
              <a:gd name="T62" fmla="*/ 0 w 111163"/>
              <a:gd name="T63" fmla="*/ 0 h 112737"/>
              <a:gd name="T64" fmla="*/ 0 w 111163"/>
              <a:gd name="T65" fmla="*/ 0 h 112737"/>
              <a:gd name="T66" fmla="*/ 0 w 111163"/>
              <a:gd name="T67" fmla="*/ 0 h 112737"/>
              <a:gd name="T68" fmla="*/ 0 w 111163"/>
              <a:gd name="T69" fmla="*/ 0 h 112737"/>
              <a:gd name="T70" fmla="*/ 0 w 111163"/>
              <a:gd name="T71" fmla="*/ 0 h 112737"/>
              <a:gd name="T72" fmla="*/ 0 w 111163"/>
              <a:gd name="T73" fmla="*/ 0 h 112737"/>
              <a:gd name="T74" fmla="*/ 0 w 111163"/>
              <a:gd name="T75" fmla="*/ 0 h 112737"/>
              <a:gd name="T76" fmla="*/ 0 w 111163"/>
              <a:gd name="T77" fmla="*/ 0 h 112737"/>
              <a:gd name="T78" fmla="*/ 0 w 111163"/>
              <a:gd name="T79" fmla="*/ 0 h 112737"/>
              <a:gd name="T80" fmla="*/ 0 w 111163"/>
              <a:gd name="T81" fmla="*/ 0 h 112737"/>
              <a:gd name="T82" fmla="*/ 0 w 111163"/>
              <a:gd name="T83" fmla="*/ 0 h 112737"/>
              <a:gd name="T84" fmla="*/ 0 w 111163"/>
              <a:gd name="T85" fmla="*/ 0 h 112737"/>
              <a:gd name="T86" fmla="*/ 0 w 111163"/>
              <a:gd name="T87" fmla="*/ 0 h 112737"/>
              <a:gd name="T88" fmla="*/ 0 w 111163"/>
              <a:gd name="T89" fmla="*/ 0 h 112737"/>
              <a:gd name="T90" fmla="*/ 0 w 111163"/>
              <a:gd name="T91" fmla="*/ 0 h 112737"/>
              <a:gd name="T92" fmla="*/ 0 w 111163"/>
              <a:gd name="T93" fmla="*/ 0 h 112737"/>
              <a:gd name="T94" fmla="*/ 0 w 111163"/>
              <a:gd name="T95" fmla="*/ 0 h 112737"/>
              <a:gd name="T96" fmla="*/ 0 w 111163"/>
              <a:gd name="T97" fmla="*/ 0 h 112737"/>
              <a:gd name="T98" fmla="*/ 0 w 111163"/>
              <a:gd name="T99" fmla="*/ 0 h 112737"/>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11163"/>
              <a:gd name="T151" fmla="*/ 0 h 112737"/>
              <a:gd name="T152" fmla="*/ 111163 w 111163"/>
              <a:gd name="T153" fmla="*/ 112737 h 112737"/>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11163" h="112737">
                <a:moveTo>
                  <a:pt x="54851" y="0"/>
                </a:moveTo>
                <a:lnTo>
                  <a:pt x="57899" y="1524"/>
                </a:lnTo>
                <a:lnTo>
                  <a:pt x="68567" y="1524"/>
                </a:lnTo>
                <a:lnTo>
                  <a:pt x="74650" y="4572"/>
                </a:lnTo>
                <a:lnTo>
                  <a:pt x="76174" y="4572"/>
                </a:lnTo>
                <a:lnTo>
                  <a:pt x="79222" y="6096"/>
                </a:lnTo>
                <a:lnTo>
                  <a:pt x="80746" y="7620"/>
                </a:lnTo>
                <a:lnTo>
                  <a:pt x="94462" y="16764"/>
                </a:lnTo>
                <a:lnTo>
                  <a:pt x="103606" y="30467"/>
                </a:lnTo>
                <a:lnTo>
                  <a:pt x="105130" y="31991"/>
                </a:lnTo>
                <a:lnTo>
                  <a:pt x="106654" y="35039"/>
                </a:lnTo>
                <a:lnTo>
                  <a:pt x="106654" y="38087"/>
                </a:lnTo>
                <a:lnTo>
                  <a:pt x="108178" y="39611"/>
                </a:lnTo>
                <a:lnTo>
                  <a:pt x="108178" y="42659"/>
                </a:lnTo>
                <a:lnTo>
                  <a:pt x="109702" y="45707"/>
                </a:lnTo>
                <a:lnTo>
                  <a:pt x="109702" y="59423"/>
                </a:lnTo>
                <a:cubicBezTo>
                  <a:pt x="111163" y="86004"/>
                  <a:pt x="85534" y="109588"/>
                  <a:pt x="60947" y="112737"/>
                </a:cubicBezTo>
                <a:lnTo>
                  <a:pt x="47231" y="112737"/>
                </a:lnTo>
                <a:lnTo>
                  <a:pt x="44183" y="111213"/>
                </a:lnTo>
                <a:lnTo>
                  <a:pt x="41135" y="111213"/>
                </a:lnTo>
                <a:lnTo>
                  <a:pt x="38087" y="109689"/>
                </a:lnTo>
                <a:lnTo>
                  <a:pt x="35052" y="109689"/>
                </a:lnTo>
                <a:lnTo>
                  <a:pt x="33528" y="108165"/>
                </a:lnTo>
                <a:lnTo>
                  <a:pt x="30480" y="106641"/>
                </a:lnTo>
                <a:lnTo>
                  <a:pt x="28956" y="106641"/>
                </a:lnTo>
                <a:lnTo>
                  <a:pt x="24384" y="102069"/>
                </a:lnTo>
                <a:lnTo>
                  <a:pt x="15240" y="95986"/>
                </a:lnTo>
                <a:lnTo>
                  <a:pt x="12192" y="92938"/>
                </a:lnTo>
                <a:lnTo>
                  <a:pt x="6096" y="83794"/>
                </a:lnTo>
                <a:lnTo>
                  <a:pt x="4572" y="80746"/>
                </a:lnTo>
                <a:lnTo>
                  <a:pt x="4572" y="77698"/>
                </a:lnTo>
                <a:lnTo>
                  <a:pt x="3048" y="76174"/>
                </a:lnTo>
                <a:lnTo>
                  <a:pt x="1524" y="73126"/>
                </a:lnTo>
                <a:lnTo>
                  <a:pt x="1524" y="68554"/>
                </a:lnTo>
                <a:lnTo>
                  <a:pt x="0" y="65506"/>
                </a:lnTo>
                <a:lnTo>
                  <a:pt x="0" y="48755"/>
                </a:lnTo>
                <a:lnTo>
                  <a:pt x="1524" y="45707"/>
                </a:lnTo>
                <a:lnTo>
                  <a:pt x="1524" y="39611"/>
                </a:lnTo>
                <a:lnTo>
                  <a:pt x="3048" y="38087"/>
                </a:lnTo>
                <a:lnTo>
                  <a:pt x="4572" y="35039"/>
                </a:lnTo>
                <a:lnTo>
                  <a:pt x="4572" y="31991"/>
                </a:lnTo>
                <a:lnTo>
                  <a:pt x="6096" y="30467"/>
                </a:lnTo>
                <a:lnTo>
                  <a:pt x="15240" y="16764"/>
                </a:lnTo>
                <a:lnTo>
                  <a:pt x="28956" y="7620"/>
                </a:lnTo>
                <a:lnTo>
                  <a:pt x="30480" y="6096"/>
                </a:lnTo>
                <a:lnTo>
                  <a:pt x="33528" y="4572"/>
                </a:lnTo>
                <a:lnTo>
                  <a:pt x="35052" y="4572"/>
                </a:lnTo>
                <a:lnTo>
                  <a:pt x="41135" y="1524"/>
                </a:lnTo>
                <a:lnTo>
                  <a:pt x="51803" y="1524"/>
                </a:lnTo>
                <a:lnTo>
                  <a:pt x="54851"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66" name="Rectangle 9044">
            <a:extLst>
              <a:ext uri="{FF2B5EF4-FFF2-40B4-BE49-F238E27FC236}">
                <a16:creationId xmlns:a16="http://schemas.microsoft.com/office/drawing/2014/main" id="{00000000-0008-0000-0500-000042000000}"/>
              </a:ext>
            </a:extLst>
          </xdr:cNvPr>
          <xdr:cNvSpPr>
            <a:spLocks noChangeArrowheads="1"/>
          </xdr:cNvSpPr>
        </xdr:nvSpPr>
        <xdr:spPr bwMode="auto">
          <a:xfrm>
            <a:off x="4402" y="3172"/>
            <a:ext cx="653" cy="6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lnSpc>
                <a:spcPct val="105000"/>
              </a:lnSpc>
              <a:spcAft>
                <a:spcPts val="800"/>
              </a:spcAft>
            </a:pPr>
            <a:r>
              <a:rPr lang="da-DK" sz="1100">
                <a:solidFill>
                  <a:srgbClr val="000000"/>
                </a:solidFill>
                <a:effectLst/>
                <a:latin typeface="Calibri" panose="020F0502020204030204" pitchFamily="34" charset="0"/>
                <a:ea typeface="Calibri" panose="020F0502020204030204" pitchFamily="34" charset="0"/>
              </a:rPr>
              <a:t> </a:t>
            </a:r>
          </a:p>
        </xdr:txBody>
      </xdr:sp>
      <xdr:sp macro="" textlink="">
        <xdr:nvSpPr>
          <xdr:cNvPr id="67" name="Shape 9045">
            <a:extLst>
              <a:ext uri="{FF2B5EF4-FFF2-40B4-BE49-F238E27FC236}">
                <a16:creationId xmlns:a16="http://schemas.microsoft.com/office/drawing/2014/main" id="{00000000-0008-0000-0500-000043000000}"/>
              </a:ext>
            </a:extLst>
          </xdr:cNvPr>
          <xdr:cNvSpPr>
            <a:spLocks/>
          </xdr:cNvSpPr>
        </xdr:nvSpPr>
        <xdr:spPr bwMode="auto">
          <a:xfrm>
            <a:off x="3046" y="2483"/>
            <a:ext cx="0" cy="2315"/>
          </a:xfrm>
          <a:custGeom>
            <a:avLst/>
            <a:gdLst>
              <a:gd name="T0" fmla="*/ 0 h 231571"/>
              <a:gd name="T1" fmla="*/ 0 h 231571"/>
              <a:gd name="T2" fmla="*/ 0 60000 65536"/>
              <a:gd name="T3" fmla="*/ 0 60000 65536"/>
              <a:gd name="T4" fmla="*/ 0 h 231571"/>
              <a:gd name="T5" fmla="*/ 231571 h 231571"/>
            </a:gdLst>
            <a:ahLst/>
            <a:cxnLst>
              <a:cxn ang="T2">
                <a:pos x="0" y="T0"/>
              </a:cxn>
              <a:cxn ang="T3">
                <a:pos x="0" y="T1"/>
              </a:cxn>
            </a:cxnLst>
            <a:rect l="0" t="T4" r="0" b="T5"/>
            <a:pathLst>
              <a:path h="231571">
                <a:moveTo>
                  <a:pt x="0" y="0"/>
                </a:moveTo>
                <a:lnTo>
                  <a:pt x="0" y="231571"/>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68" name="Shape 9046">
            <a:extLst>
              <a:ext uri="{FF2B5EF4-FFF2-40B4-BE49-F238E27FC236}">
                <a16:creationId xmlns:a16="http://schemas.microsoft.com/office/drawing/2014/main" id="{00000000-0008-0000-0500-000044000000}"/>
              </a:ext>
            </a:extLst>
          </xdr:cNvPr>
          <xdr:cNvSpPr>
            <a:spLocks/>
          </xdr:cNvSpPr>
        </xdr:nvSpPr>
        <xdr:spPr bwMode="auto">
          <a:xfrm>
            <a:off x="6352" y="2452"/>
            <a:ext cx="0" cy="2301"/>
          </a:xfrm>
          <a:custGeom>
            <a:avLst/>
            <a:gdLst>
              <a:gd name="T0" fmla="*/ 0 h 230047"/>
              <a:gd name="T1" fmla="*/ 0 h 230047"/>
              <a:gd name="T2" fmla="*/ 0 60000 65536"/>
              <a:gd name="T3" fmla="*/ 0 60000 65536"/>
              <a:gd name="T4" fmla="*/ 0 h 230047"/>
              <a:gd name="T5" fmla="*/ 230047 h 230047"/>
            </a:gdLst>
            <a:ahLst/>
            <a:cxnLst>
              <a:cxn ang="T2">
                <a:pos x="0" y="T0"/>
              </a:cxn>
              <a:cxn ang="T3">
                <a:pos x="0" y="T1"/>
              </a:cxn>
            </a:cxnLst>
            <a:rect l="0" t="T4" r="0" b="T5"/>
            <a:pathLst>
              <a:path h="230047">
                <a:moveTo>
                  <a:pt x="0" y="0"/>
                </a:moveTo>
                <a:lnTo>
                  <a:pt x="0" y="230047"/>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69" name="Shape 9047">
            <a:extLst>
              <a:ext uri="{FF2B5EF4-FFF2-40B4-BE49-F238E27FC236}">
                <a16:creationId xmlns:a16="http://schemas.microsoft.com/office/drawing/2014/main" id="{00000000-0008-0000-0500-000045000000}"/>
              </a:ext>
            </a:extLst>
          </xdr:cNvPr>
          <xdr:cNvSpPr>
            <a:spLocks/>
          </xdr:cNvSpPr>
        </xdr:nvSpPr>
        <xdr:spPr bwMode="auto">
          <a:xfrm>
            <a:off x="4296" y="4296"/>
            <a:ext cx="1935" cy="0"/>
          </a:xfrm>
          <a:custGeom>
            <a:avLst/>
            <a:gdLst>
              <a:gd name="T0" fmla="*/ 0 w 193484"/>
              <a:gd name="T1" fmla="*/ 0 w 193484"/>
              <a:gd name="T2" fmla="*/ 0 60000 65536"/>
              <a:gd name="T3" fmla="*/ 0 60000 65536"/>
              <a:gd name="T4" fmla="*/ 0 w 193484"/>
              <a:gd name="T5" fmla="*/ 193484 w 193484"/>
            </a:gdLst>
            <a:ahLst/>
            <a:cxnLst>
              <a:cxn ang="T2">
                <a:pos x="T0" y="0"/>
              </a:cxn>
              <a:cxn ang="T3">
                <a:pos x="T1" y="0"/>
              </a:cxn>
            </a:cxnLst>
            <a:rect l="T4" t="0" r="T5" b="0"/>
            <a:pathLst>
              <a:path w="193484">
                <a:moveTo>
                  <a:pt x="193484" y="0"/>
                </a:moveTo>
                <a:lnTo>
                  <a:pt x="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0" name="Shape 9048">
            <a:extLst>
              <a:ext uri="{FF2B5EF4-FFF2-40B4-BE49-F238E27FC236}">
                <a16:creationId xmlns:a16="http://schemas.microsoft.com/office/drawing/2014/main" id="{00000000-0008-0000-0500-000046000000}"/>
              </a:ext>
            </a:extLst>
          </xdr:cNvPr>
          <xdr:cNvSpPr>
            <a:spLocks/>
          </xdr:cNvSpPr>
        </xdr:nvSpPr>
        <xdr:spPr bwMode="auto">
          <a:xfrm>
            <a:off x="5575" y="4159"/>
            <a:ext cx="701" cy="137"/>
          </a:xfrm>
          <a:custGeom>
            <a:avLst/>
            <a:gdLst>
              <a:gd name="T0" fmla="*/ 0 w 70078"/>
              <a:gd name="T1" fmla="*/ 0 h 13703"/>
              <a:gd name="T2" fmla="*/ 0 w 70078"/>
              <a:gd name="T3" fmla="*/ 0 h 13703"/>
              <a:gd name="T4" fmla="*/ 0 60000 65536"/>
              <a:gd name="T5" fmla="*/ 0 60000 65536"/>
              <a:gd name="T6" fmla="*/ 0 w 70078"/>
              <a:gd name="T7" fmla="*/ 0 h 13703"/>
              <a:gd name="T8" fmla="*/ 70078 w 70078"/>
              <a:gd name="T9" fmla="*/ 13703 h 13703"/>
            </a:gdLst>
            <a:ahLst/>
            <a:cxnLst>
              <a:cxn ang="T4">
                <a:pos x="T0" y="T1"/>
              </a:cxn>
              <a:cxn ang="T5">
                <a:pos x="T2" y="T3"/>
              </a:cxn>
            </a:cxnLst>
            <a:rect l="T6" t="T7" r="T8" b="T9"/>
            <a:pathLst>
              <a:path w="70078" h="13703">
                <a:moveTo>
                  <a:pt x="0" y="0"/>
                </a:moveTo>
                <a:lnTo>
                  <a:pt x="70078" y="13703"/>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1" name="Shape 9049">
            <a:extLst>
              <a:ext uri="{FF2B5EF4-FFF2-40B4-BE49-F238E27FC236}">
                <a16:creationId xmlns:a16="http://schemas.microsoft.com/office/drawing/2014/main" id="{00000000-0008-0000-0500-000047000000}"/>
              </a:ext>
            </a:extLst>
          </xdr:cNvPr>
          <xdr:cNvSpPr>
            <a:spLocks/>
          </xdr:cNvSpPr>
        </xdr:nvSpPr>
        <xdr:spPr bwMode="auto">
          <a:xfrm>
            <a:off x="5591" y="4296"/>
            <a:ext cx="731" cy="152"/>
          </a:xfrm>
          <a:custGeom>
            <a:avLst/>
            <a:gdLst>
              <a:gd name="T0" fmla="*/ 0 w 73126"/>
              <a:gd name="T1" fmla="*/ 0 h 15240"/>
              <a:gd name="T2" fmla="*/ 0 w 73126"/>
              <a:gd name="T3" fmla="*/ 0 h 15240"/>
              <a:gd name="T4" fmla="*/ 0 60000 65536"/>
              <a:gd name="T5" fmla="*/ 0 60000 65536"/>
              <a:gd name="T6" fmla="*/ 0 w 73126"/>
              <a:gd name="T7" fmla="*/ 0 h 15240"/>
              <a:gd name="T8" fmla="*/ 73126 w 73126"/>
              <a:gd name="T9" fmla="*/ 15240 h 15240"/>
            </a:gdLst>
            <a:ahLst/>
            <a:cxnLst>
              <a:cxn ang="T4">
                <a:pos x="T0" y="T1"/>
              </a:cxn>
              <a:cxn ang="T5">
                <a:pos x="T2" y="T3"/>
              </a:cxn>
            </a:cxnLst>
            <a:rect l="T6" t="T7" r="T8" b="T9"/>
            <a:pathLst>
              <a:path w="73126" h="15240">
                <a:moveTo>
                  <a:pt x="0" y="15240"/>
                </a:moveTo>
                <a:lnTo>
                  <a:pt x="73126"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2" name="Shape 9050">
            <a:extLst>
              <a:ext uri="{FF2B5EF4-FFF2-40B4-BE49-F238E27FC236}">
                <a16:creationId xmlns:a16="http://schemas.microsoft.com/office/drawing/2014/main" id="{00000000-0008-0000-0500-000048000000}"/>
              </a:ext>
            </a:extLst>
          </xdr:cNvPr>
          <xdr:cNvSpPr>
            <a:spLocks/>
          </xdr:cNvSpPr>
        </xdr:nvSpPr>
        <xdr:spPr bwMode="auto">
          <a:xfrm>
            <a:off x="3092" y="4296"/>
            <a:ext cx="1920" cy="0"/>
          </a:xfrm>
          <a:custGeom>
            <a:avLst/>
            <a:gdLst>
              <a:gd name="T0" fmla="*/ 0 w 191960"/>
              <a:gd name="T1" fmla="*/ 0 w 191960"/>
              <a:gd name="T2" fmla="*/ 0 60000 65536"/>
              <a:gd name="T3" fmla="*/ 0 60000 65536"/>
              <a:gd name="T4" fmla="*/ 0 w 191960"/>
              <a:gd name="T5" fmla="*/ 191960 w 191960"/>
            </a:gdLst>
            <a:ahLst/>
            <a:cxnLst>
              <a:cxn ang="T2">
                <a:pos x="T0" y="0"/>
              </a:cxn>
              <a:cxn ang="T3">
                <a:pos x="T1" y="0"/>
              </a:cxn>
            </a:cxnLst>
            <a:rect l="T4" t="0" r="T5" b="0"/>
            <a:pathLst>
              <a:path w="191960">
                <a:moveTo>
                  <a:pt x="0" y="0"/>
                </a:moveTo>
                <a:lnTo>
                  <a:pt x="19196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3" name="Shape 9051">
            <a:extLst>
              <a:ext uri="{FF2B5EF4-FFF2-40B4-BE49-F238E27FC236}">
                <a16:creationId xmlns:a16="http://schemas.microsoft.com/office/drawing/2014/main" id="{00000000-0008-0000-0500-000049000000}"/>
              </a:ext>
            </a:extLst>
          </xdr:cNvPr>
          <xdr:cNvSpPr>
            <a:spLocks/>
          </xdr:cNvSpPr>
        </xdr:nvSpPr>
        <xdr:spPr bwMode="auto">
          <a:xfrm>
            <a:off x="3031" y="4159"/>
            <a:ext cx="701" cy="137"/>
          </a:xfrm>
          <a:custGeom>
            <a:avLst/>
            <a:gdLst>
              <a:gd name="T0" fmla="*/ 0 w 70078"/>
              <a:gd name="T1" fmla="*/ 0 h 13703"/>
              <a:gd name="T2" fmla="*/ 0 w 70078"/>
              <a:gd name="T3" fmla="*/ 0 h 13703"/>
              <a:gd name="T4" fmla="*/ 0 60000 65536"/>
              <a:gd name="T5" fmla="*/ 0 60000 65536"/>
              <a:gd name="T6" fmla="*/ 0 w 70078"/>
              <a:gd name="T7" fmla="*/ 0 h 13703"/>
              <a:gd name="T8" fmla="*/ 70078 w 70078"/>
              <a:gd name="T9" fmla="*/ 13703 h 13703"/>
            </a:gdLst>
            <a:ahLst/>
            <a:cxnLst>
              <a:cxn ang="T4">
                <a:pos x="T0" y="T1"/>
              </a:cxn>
              <a:cxn ang="T5">
                <a:pos x="T2" y="T3"/>
              </a:cxn>
            </a:cxnLst>
            <a:rect l="T6" t="T7" r="T8" b="T9"/>
            <a:pathLst>
              <a:path w="70078" h="13703">
                <a:moveTo>
                  <a:pt x="70078" y="0"/>
                </a:moveTo>
                <a:lnTo>
                  <a:pt x="0" y="13703"/>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4" name="Shape 9052">
            <a:extLst>
              <a:ext uri="{FF2B5EF4-FFF2-40B4-BE49-F238E27FC236}">
                <a16:creationId xmlns:a16="http://schemas.microsoft.com/office/drawing/2014/main" id="{00000000-0008-0000-0500-00004A000000}"/>
              </a:ext>
            </a:extLst>
          </xdr:cNvPr>
          <xdr:cNvSpPr>
            <a:spLocks/>
          </xdr:cNvSpPr>
        </xdr:nvSpPr>
        <xdr:spPr bwMode="auto">
          <a:xfrm>
            <a:off x="3001" y="4296"/>
            <a:ext cx="716" cy="152"/>
          </a:xfrm>
          <a:custGeom>
            <a:avLst/>
            <a:gdLst>
              <a:gd name="T0" fmla="*/ 0 w 71602"/>
              <a:gd name="T1" fmla="*/ 0 h 15240"/>
              <a:gd name="T2" fmla="*/ 0 w 71602"/>
              <a:gd name="T3" fmla="*/ 0 h 15240"/>
              <a:gd name="T4" fmla="*/ 0 60000 65536"/>
              <a:gd name="T5" fmla="*/ 0 60000 65536"/>
              <a:gd name="T6" fmla="*/ 0 w 71602"/>
              <a:gd name="T7" fmla="*/ 0 h 15240"/>
              <a:gd name="T8" fmla="*/ 71602 w 71602"/>
              <a:gd name="T9" fmla="*/ 15240 h 15240"/>
            </a:gdLst>
            <a:ahLst/>
            <a:cxnLst>
              <a:cxn ang="T4">
                <a:pos x="T0" y="T1"/>
              </a:cxn>
              <a:cxn ang="T5">
                <a:pos x="T2" y="T3"/>
              </a:cxn>
            </a:cxnLst>
            <a:rect l="T6" t="T7" r="T8" b="T9"/>
            <a:pathLst>
              <a:path w="71602" h="15240">
                <a:moveTo>
                  <a:pt x="71602" y="15240"/>
                </a:moveTo>
                <a:lnTo>
                  <a:pt x="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5" name="Shape 9053">
            <a:extLst>
              <a:ext uri="{FF2B5EF4-FFF2-40B4-BE49-F238E27FC236}">
                <a16:creationId xmlns:a16="http://schemas.microsoft.com/office/drawing/2014/main" id="{00000000-0008-0000-0500-00004B000000}"/>
              </a:ext>
            </a:extLst>
          </xdr:cNvPr>
          <xdr:cNvSpPr>
            <a:spLocks/>
          </xdr:cNvSpPr>
        </xdr:nvSpPr>
        <xdr:spPr bwMode="auto">
          <a:xfrm>
            <a:off x="6322" y="914"/>
            <a:ext cx="1493" cy="1493"/>
          </a:xfrm>
          <a:custGeom>
            <a:avLst/>
            <a:gdLst>
              <a:gd name="T0" fmla="*/ 0 w 149301"/>
              <a:gd name="T1" fmla="*/ 0 h 149301"/>
              <a:gd name="T2" fmla="*/ 0 w 149301"/>
              <a:gd name="T3" fmla="*/ 0 h 149301"/>
              <a:gd name="T4" fmla="*/ 0 w 149301"/>
              <a:gd name="T5" fmla="*/ 0 h 149301"/>
              <a:gd name="T6" fmla="*/ 0 w 149301"/>
              <a:gd name="T7" fmla="*/ 0 h 149301"/>
              <a:gd name="T8" fmla="*/ 0 w 149301"/>
              <a:gd name="T9" fmla="*/ 0 h 149301"/>
              <a:gd name="T10" fmla="*/ 0 w 149301"/>
              <a:gd name="T11" fmla="*/ 0 h 149301"/>
              <a:gd name="T12" fmla="*/ 0 w 149301"/>
              <a:gd name="T13" fmla="*/ 0 h 149301"/>
              <a:gd name="T14" fmla="*/ 0 w 149301"/>
              <a:gd name="T15" fmla="*/ 0 h 149301"/>
              <a:gd name="T16" fmla="*/ 0 w 149301"/>
              <a:gd name="T17" fmla="*/ 0 h 149301"/>
              <a:gd name="T18" fmla="*/ 0 w 149301"/>
              <a:gd name="T19" fmla="*/ 0 h 149301"/>
              <a:gd name="T20" fmla="*/ 0 w 149301"/>
              <a:gd name="T21" fmla="*/ 0 h 149301"/>
              <a:gd name="T22" fmla="*/ 0 w 149301"/>
              <a:gd name="T23" fmla="*/ 0 h 149301"/>
              <a:gd name="T24" fmla="*/ 0 w 149301"/>
              <a:gd name="T25" fmla="*/ 0 h 149301"/>
              <a:gd name="T26" fmla="*/ 0 w 149301"/>
              <a:gd name="T27" fmla="*/ 0 h 149301"/>
              <a:gd name="T28" fmla="*/ 0 w 149301"/>
              <a:gd name="T29" fmla="*/ 0 h 149301"/>
              <a:gd name="T30" fmla="*/ 0 w 149301"/>
              <a:gd name="T31" fmla="*/ 0 h 149301"/>
              <a:gd name="T32" fmla="*/ 0 w 149301"/>
              <a:gd name="T33" fmla="*/ 0 h 149301"/>
              <a:gd name="T34" fmla="*/ 0 w 149301"/>
              <a:gd name="T35" fmla="*/ 0 h 149301"/>
              <a:gd name="T36" fmla="*/ 0 w 149301"/>
              <a:gd name="T37" fmla="*/ 0 h 149301"/>
              <a:gd name="T38" fmla="*/ 0 w 149301"/>
              <a:gd name="T39" fmla="*/ 0 h 149301"/>
              <a:gd name="T40" fmla="*/ 0 w 149301"/>
              <a:gd name="T41" fmla="*/ 0 h 149301"/>
              <a:gd name="T42" fmla="*/ 0 w 149301"/>
              <a:gd name="T43" fmla="*/ 0 h 149301"/>
              <a:gd name="T44" fmla="*/ 0 w 149301"/>
              <a:gd name="T45" fmla="*/ 0 h 149301"/>
              <a:gd name="T46" fmla="*/ 0 w 149301"/>
              <a:gd name="T47" fmla="*/ 0 h 149301"/>
              <a:gd name="T48" fmla="*/ 0 w 149301"/>
              <a:gd name="T49" fmla="*/ 0 h 149301"/>
              <a:gd name="T50" fmla="*/ 0 w 149301"/>
              <a:gd name="T51" fmla="*/ 0 h 149301"/>
              <a:gd name="T52" fmla="*/ 0 w 149301"/>
              <a:gd name="T53" fmla="*/ 0 h 149301"/>
              <a:gd name="T54" fmla="*/ 0 w 149301"/>
              <a:gd name="T55" fmla="*/ 0 h 149301"/>
              <a:gd name="T56" fmla="*/ 0 w 149301"/>
              <a:gd name="T57" fmla="*/ 0 h 149301"/>
              <a:gd name="T58" fmla="*/ 0 w 149301"/>
              <a:gd name="T59" fmla="*/ 0 h 149301"/>
              <a:gd name="T60" fmla="*/ 0 w 149301"/>
              <a:gd name="T61" fmla="*/ 0 h 149301"/>
              <a:gd name="T62" fmla="*/ 0 w 149301"/>
              <a:gd name="T63" fmla="*/ 0 h 149301"/>
              <a:gd name="T64" fmla="*/ 0 w 149301"/>
              <a:gd name="T65" fmla="*/ 0 h 149301"/>
              <a:gd name="T66" fmla="*/ 0 w 149301"/>
              <a:gd name="T67" fmla="*/ 0 h 149301"/>
              <a:gd name="T68" fmla="*/ 0 w 149301"/>
              <a:gd name="T69" fmla="*/ 0 h 149301"/>
              <a:gd name="T70" fmla="*/ 0 w 149301"/>
              <a:gd name="T71" fmla="*/ 0 h 149301"/>
              <a:gd name="T72" fmla="*/ 0 w 149301"/>
              <a:gd name="T73" fmla="*/ 0 h 149301"/>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49301"/>
              <a:gd name="T112" fmla="*/ 0 h 149301"/>
              <a:gd name="T113" fmla="*/ 149301 w 149301"/>
              <a:gd name="T114" fmla="*/ 149301 h 149301"/>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49301" h="149301">
                <a:moveTo>
                  <a:pt x="74650" y="0"/>
                </a:moveTo>
                <a:lnTo>
                  <a:pt x="79222" y="0"/>
                </a:lnTo>
                <a:lnTo>
                  <a:pt x="82271" y="1524"/>
                </a:lnTo>
                <a:lnTo>
                  <a:pt x="89890" y="1524"/>
                </a:lnTo>
                <a:lnTo>
                  <a:pt x="92939" y="3048"/>
                </a:lnTo>
                <a:lnTo>
                  <a:pt x="97510" y="3048"/>
                </a:lnTo>
                <a:lnTo>
                  <a:pt x="112738" y="10668"/>
                </a:lnTo>
                <a:lnTo>
                  <a:pt x="115786" y="13716"/>
                </a:lnTo>
                <a:lnTo>
                  <a:pt x="121882" y="16764"/>
                </a:lnTo>
                <a:lnTo>
                  <a:pt x="124930" y="19812"/>
                </a:lnTo>
                <a:lnTo>
                  <a:pt x="126454" y="22860"/>
                </a:lnTo>
                <a:lnTo>
                  <a:pt x="129502" y="24384"/>
                </a:lnTo>
                <a:lnTo>
                  <a:pt x="132550" y="27419"/>
                </a:lnTo>
                <a:lnTo>
                  <a:pt x="135598" y="33515"/>
                </a:lnTo>
                <a:lnTo>
                  <a:pt x="138645" y="36563"/>
                </a:lnTo>
                <a:lnTo>
                  <a:pt x="143218" y="45707"/>
                </a:lnTo>
                <a:lnTo>
                  <a:pt x="144729" y="50279"/>
                </a:lnTo>
                <a:lnTo>
                  <a:pt x="146253" y="53327"/>
                </a:lnTo>
                <a:lnTo>
                  <a:pt x="146253" y="56375"/>
                </a:lnTo>
                <a:lnTo>
                  <a:pt x="147777" y="60947"/>
                </a:lnTo>
                <a:lnTo>
                  <a:pt x="147777" y="63983"/>
                </a:lnTo>
                <a:lnTo>
                  <a:pt x="149301" y="67030"/>
                </a:lnTo>
                <a:lnTo>
                  <a:pt x="149301" y="82270"/>
                </a:lnTo>
                <a:cubicBezTo>
                  <a:pt x="146265" y="96253"/>
                  <a:pt x="142621" y="110871"/>
                  <a:pt x="132550" y="121881"/>
                </a:cubicBezTo>
                <a:lnTo>
                  <a:pt x="126454" y="127977"/>
                </a:lnTo>
                <a:lnTo>
                  <a:pt x="124930" y="131025"/>
                </a:lnTo>
                <a:lnTo>
                  <a:pt x="118833" y="134074"/>
                </a:lnTo>
                <a:lnTo>
                  <a:pt x="115786" y="137121"/>
                </a:lnTo>
                <a:lnTo>
                  <a:pt x="106642" y="141681"/>
                </a:lnTo>
                <a:lnTo>
                  <a:pt x="103606" y="144729"/>
                </a:lnTo>
                <a:lnTo>
                  <a:pt x="100559" y="144729"/>
                </a:lnTo>
                <a:lnTo>
                  <a:pt x="97510" y="146253"/>
                </a:lnTo>
                <a:lnTo>
                  <a:pt x="92939" y="147777"/>
                </a:lnTo>
                <a:lnTo>
                  <a:pt x="89890" y="147777"/>
                </a:lnTo>
                <a:lnTo>
                  <a:pt x="85318" y="149301"/>
                </a:lnTo>
                <a:lnTo>
                  <a:pt x="62471" y="149301"/>
                </a:lnTo>
                <a:lnTo>
                  <a:pt x="59423" y="147777"/>
                </a:lnTo>
                <a:lnTo>
                  <a:pt x="56375" y="147777"/>
                </a:lnTo>
                <a:lnTo>
                  <a:pt x="51803" y="146253"/>
                </a:lnTo>
                <a:lnTo>
                  <a:pt x="48755" y="144729"/>
                </a:lnTo>
                <a:lnTo>
                  <a:pt x="45707" y="144729"/>
                </a:lnTo>
                <a:lnTo>
                  <a:pt x="42659" y="141681"/>
                </a:lnTo>
                <a:lnTo>
                  <a:pt x="33515" y="137121"/>
                </a:lnTo>
                <a:lnTo>
                  <a:pt x="30468" y="134074"/>
                </a:lnTo>
                <a:lnTo>
                  <a:pt x="24384" y="131025"/>
                </a:lnTo>
                <a:lnTo>
                  <a:pt x="21336" y="127977"/>
                </a:lnTo>
                <a:lnTo>
                  <a:pt x="18288" y="121881"/>
                </a:lnTo>
                <a:lnTo>
                  <a:pt x="15240" y="120357"/>
                </a:lnTo>
                <a:lnTo>
                  <a:pt x="12192" y="117310"/>
                </a:lnTo>
                <a:lnTo>
                  <a:pt x="9144" y="111213"/>
                </a:lnTo>
                <a:lnTo>
                  <a:pt x="7620" y="106642"/>
                </a:lnTo>
                <a:lnTo>
                  <a:pt x="3048" y="97510"/>
                </a:lnTo>
                <a:lnTo>
                  <a:pt x="3048" y="92938"/>
                </a:lnTo>
                <a:lnTo>
                  <a:pt x="1524" y="89890"/>
                </a:lnTo>
                <a:lnTo>
                  <a:pt x="1524" y="82270"/>
                </a:lnTo>
                <a:lnTo>
                  <a:pt x="0" y="79222"/>
                </a:lnTo>
                <a:lnTo>
                  <a:pt x="0" y="71602"/>
                </a:lnTo>
                <a:lnTo>
                  <a:pt x="1524" y="67030"/>
                </a:lnTo>
                <a:lnTo>
                  <a:pt x="1524" y="60947"/>
                </a:lnTo>
                <a:lnTo>
                  <a:pt x="3048" y="56375"/>
                </a:lnTo>
                <a:lnTo>
                  <a:pt x="3048" y="53327"/>
                </a:lnTo>
                <a:lnTo>
                  <a:pt x="4572" y="50279"/>
                </a:lnTo>
                <a:lnTo>
                  <a:pt x="6096" y="45707"/>
                </a:lnTo>
                <a:lnTo>
                  <a:pt x="12192" y="33515"/>
                </a:lnTo>
                <a:lnTo>
                  <a:pt x="18288" y="27419"/>
                </a:lnTo>
                <a:lnTo>
                  <a:pt x="19812" y="24384"/>
                </a:lnTo>
                <a:lnTo>
                  <a:pt x="27432" y="16764"/>
                </a:lnTo>
                <a:lnTo>
                  <a:pt x="33515" y="13716"/>
                </a:lnTo>
                <a:lnTo>
                  <a:pt x="36563" y="10668"/>
                </a:lnTo>
                <a:lnTo>
                  <a:pt x="51803" y="3048"/>
                </a:lnTo>
                <a:lnTo>
                  <a:pt x="56375" y="3048"/>
                </a:lnTo>
                <a:lnTo>
                  <a:pt x="59423" y="1524"/>
                </a:lnTo>
                <a:lnTo>
                  <a:pt x="67043" y="1524"/>
                </a:lnTo>
                <a:lnTo>
                  <a:pt x="71603" y="0"/>
                </a:lnTo>
                <a:lnTo>
                  <a:pt x="7465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6" name="Shape 9054">
            <a:extLst>
              <a:ext uri="{FF2B5EF4-FFF2-40B4-BE49-F238E27FC236}">
                <a16:creationId xmlns:a16="http://schemas.microsoft.com/office/drawing/2014/main" id="{00000000-0008-0000-0500-00004C000000}"/>
              </a:ext>
            </a:extLst>
          </xdr:cNvPr>
          <xdr:cNvSpPr>
            <a:spLocks/>
          </xdr:cNvSpPr>
        </xdr:nvSpPr>
        <xdr:spPr bwMode="auto">
          <a:xfrm>
            <a:off x="6901" y="1523"/>
            <a:ext cx="320" cy="335"/>
          </a:xfrm>
          <a:custGeom>
            <a:avLst/>
            <a:gdLst>
              <a:gd name="T0" fmla="*/ 0 w 31991"/>
              <a:gd name="T1" fmla="*/ 0 h 33515"/>
              <a:gd name="T2" fmla="*/ 0 w 31991"/>
              <a:gd name="T3" fmla="*/ 0 h 33515"/>
              <a:gd name="T4" fmla="*/ 0 w 31991"/>
              <a:gd name="T5" fmla="*/ 0 h 33515"/>
              <a:gd name="T6" fmla="*/ 0 w 31991"/>
              <a:gd name="T7" fmla="*/ 0 h 33515"/>
              <a:gd name="T8" fmla="*/ 0 w 31991"/>
              <a:gd name="T9" fmla="*/ 0 h 33515"/>
              <a:gd name="T10" fmla="*/ 0 w 31991"/>
              <a:gd name="T11" fmla="*/ 0 h 33515"/>
              <a:gd name="T12" fmla="*/ 0 w 31991"/>
              <a:gd name="T13" fmla="*/ 0 h 33515"/>
              <a:gd name="T14" fmla="*/ 0 w 31991"/>
              <a:gd name="T15" fmla="*/ 0 h 33515"/>
              <a:gd name="T16" fmla="*/ 0 w 31991"/>
              <a:gd name="T17" fmla="*/ 0 h 33515"/>
              <a:gd name="T18" fmla="*/ 0 w 31991"/>
              <a:gd name="T19" fmla="*/ 0 h 33515"/>
              <a:gd name="T20" fmla="*/ 0 w 31991"/>
              <a:gd name="T21" fmla="*/ 0 h 33515"/>
              <a:gd name="T22" fmla="*/ 0 w 31991"/>
              <a:gd name="T23" fmla="*/ 0 h 33515"/>
              <a:gd name="T24" fmla="*/ 0 w 31991"/>
              <a:gd name="T25" fmla="*/ 0 h 33515"/>
              <a:gd name="T26" fmla="*/ 0 w 31991"/>
              <a:gd name="T27" fmla="*/ 0 h 33515"/>
              <a:gd name="T28" fmla="*/ 0 w 31991"/>
              <a:gd name="T29" fmla="*/ 0 h 33515"/>
              <a:gd name="T30" fmla="*/ 0 w 31991"/>
              <a:gd name="T31" fmla="*/ 0 h 33515"/>
              <a:gd name="T32" fmla="*/ 0 w 31991"/>
              <a:gd name="T33" fmla="*/ 0 h 33515"/>
              <a:gd name="T34" fmla="*/ 0 w 31991"/>
              <a:gd name="T35" fmla="*/ 0 h 33515"/>
              <a:gd name="T36" fmla="*/ 0 w 31991"/>
              <a:gd name="T37" fmla="*/ 0 h 33515"/>
              <a:gd name="T38" fmla="*/ 0 w 31991"/>
              <a:gd name="T39" fmla="*/ 0 h 33515"/>
              <a:gd name="T40" fmla="*/ 0 w 31991"/>
              <a:gd name="T41" fmla="*/ 0 h 33515"/>
              <a:gd name="T42" fmla="*/ 0 w 31991"/>
              <a:gd name="T43" fmla="*/ 0 h 33515"/>
              <a:gd name="T44" fmla="*/ 0 w 31991"/>
              <a:gd name="T45" fmla="*/ 0 h 33515"/>
              <a:gd name="T46" fmla="*/ 0 w 31991"/>
              <a:gd name="T47" fmla="*/ 0 h 33515"/>
              <a:gd name="T48" fmla="*/ 0 w 31991"/>
              <a:gd name="T49" fmla="*/ 0 h 33515"/>
              <a:gd name="T50" fmla="*/ 0 w 31991"/>
              <a:gd name="T51" fmla="*/ 0 h 33515"/>
              <a:gd name="T52" fmla="*/ 0 w 31991"/>
              <a:gd name="T53" fmla="*/ 0 h 33515"/>
              <a:gd name="T54" fmla="*/ 0 w 31991"/>
              <a:gd name="T55" fmla="*/ 0 h 33515"/>
              <a:gd name="T56" fmla="*/ 0 w 31991"/>
              <a:gd name="T57" fmla="*/ 0 h 33515"/>
              <a:gd name="T58" fmla="*/ 0 w 31991"/>
              <a:gd name="T59" fmla="*/ 0 h 33515"/>
              <a:gd name="T60" fmla="*/ 0 w 31991"/>
              <a:gd name="T61" fmla="*/ 0 h 33515"/>
              <a:gd name="T62" fmla="*/ 0 w 31991"/>
              <a:gd name="T63" fmla="*/ 0 h 33515"/>
              <a:gd name="T64" fmla="*/ 0 w 31991"/>
              <a:gd name="T65" fmla="*/ 0 h 33515"/>
              <a:gd name="T66" fmla="*/ 0 w 31991"/>
              <a:gd name="T67" fmla="*/ 0 h 33515"/>
              <a:gd name="T68" fmla="*/ 0 w 31991"/>
              <a:gd name="T69" fmla="*/ 0 h 33515"/>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1991"/>
              <a:gd name="T106" fmla="*/ 0 h 33515"/>
              <a:gd name="T107" fmla="*/ 31991 w 31991"/>
              <a:gd name="T108" fmla="*/ 33515 h 33515"/>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1991" h="33515">
                <a:moveTo>
                  <a:pt x="12179" y="0"/>
                </a:moveTo>
                <a:lnTo>
                  <a:pt x="19799" y="0"/>
                </a:lnTo>
                <a:lnTo>
                  <a:pt x="21323" y="1524"/>
                </a:lnTo>
                <a:lnTo>
                  <a:pt x="24371" y="1524"/>
                </a:lnTo>
                <a:lnTo>
                  <a:pt x="25895" y="3035"/>
                </a:lnTo>
                <a:lnTo>
                  <a:pt x="25895" y="4559"/>
                </a:lnTo>
                <a:lnTo>
                  <a:pt x="27419" y="4559"/>
                </a:lnTo>
                <a:lnTo>
                  <a:pt x="28943" y="6083"/>
                </a:lnTo>
                <a:lnTo>
                  <a:pt x="28943" y="7607"/>
                </a:lnTo>
                <a:lnTo>
                  <a:pt x="31991" y="10655"/>
                </a:lnTo>
                <a:lnTo>
                  <a:pt x="31991" y="24371"/>
                </a:lnTo>
                <a:lnTo>
                  <a:pt x="30467" y="24371"/>
                </a:lnTo>
                <a:lnTo>
                  <a:pt x="28943" y="25895"/>
                </a:lnTo>
                <a:lnTo>
                  <a:pt x="28943" y="27419"/>
                </a:lnTo>
                <a:lnTo>
                  <a:pt x="25895" y="30467"/>
                </a:lnTo>
                <a:lnTo>
                  <a:pt x="25895" y="31991"/>
                </a:lnTo>
                <a:lnTo>
                  <a:pt x="22847" y="31991"/>
                </a:lnTo>
                <a:lnTo>
                  <a:pt x="21323" y="33515"/>
                </a:lnTo>
                <a:lnTo>
                  <a:pt x="10655" y="33515"/>
                </a:lnTo>
                <a:lnTo>
                  <a:pt x="9144" y="31991"/>
                </a:lnTo>
                <a:lnTo>
                  <a:pt x="7620" y="31991"/>
                </a:lnTo>
                <a:lnTo>
                  <a:pt x="3048" y="27419"/>
                </a:lnTo>
                <a:lnTo>
                  <a:pt x="3048" y="25895"/>
                </a:lnTo>
                <a:lnTo>
                  <a:pt x="1524" y="24371"/>
                </a:lnTo>
                <a:lnTo>
                  <a:pt x="0" y="21323"/>
                </a:lnTo>
                <a:lnTo>
                  <a:pt x="0" y="12179"/>
                </a:lnTo>
                <a:lnTo>
                  <a:pt x="1524" y="10655"/>
                </a:lnTo>
                <a:lnTo>
                  <a:pt x="1524" y="9131"/>
                </a:lnTo>
                <a:lnTo>
                  <a:pt x="3048" y="7607"/>
                </a:lnTo>
                <a:lnTo>
                  <a:pt x="3048" y="6083"/>
                </a:lnTo>
                <a:lnTo>
                  <a:pt x="4572" y="4559"/>
                </a:lnTo>
                <a:lnTo>
                  <a:pt x="6096" y="4559"/>
                </a:lnTo>
                <a:lnTo>
                  <a:pt x="9144" y="1524"/>
                </a:lnTo>
                <a:lnTo>
                  <a:pt x="10655" y="1524"/>
                </a:lnTo>
                <a:lnTo>
                  <a:pt x="12179" y="0"/>
                </a:ln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77" name="Shape 9055">
            <a:extLst>
              <a:ext uri="{FF2B5EF4-FFF2-40B4-BE49-F238E27FC236}">
                <a16:creationId xmlns:a16="http://schemas.microsoft.com/office/drawing/2014/main" id="{00000000-0008-0000-0500-00004D000000}"/>
              </a:ext>
            </a:extLst>
          </xdr:cNvPr>
          <xdr:cNvSpPr>
            <a:spLocks/>
          </xdr:cNvSpPr>
        </xdr:nvSpPr>
        <xdr:spPr bwMode="auto">
          <a:xfrm>
            <a:off x="6901" y="1523"/>
            <a:ext cx="320" cy="335"/>
          </a:xfrm>
          <a:custGeom>
            <a:avLst/>
            <a:gdLst>
              <a:gd name="T0" fmla="*/ 0 w 31991"/>
              <a:gd name="T1" fmla="*/ 0 h 33515"/>
              <a:gd name="T2" fmla="*/ 0 w 31991"/>
              <a:gd name="T3" fmla="*/ 0 h 33515"/>
              <a:gd name="T4" fmla="*/ 0 w 31991"/>
              <a:gd name="T5" fmla="*/ 0 h 33515"/>
              <a:gd name="T6" fmla="*/ 0 w 31991"/>
              <a:gd name="T7" fmla="*/ 0 h 33515"/>
              <a:gd name="T8" fmla="*/ 0 w 31991"/>
              <a:gd name="T9" fmla="*/ 0 h 33515"/>
              <a:gd name="T10" fmla="*/ 0 w 31991"/>
              <a:gd name="T11" fmla="*/ 0 h 33515"/>
              <a:gd name="T12" fmla="*/ 0 w 31991"/>
              <a:gd name="T13" fmla="*/ 0 h 33515"/>
              <a:gd name="T14" fmla="*/ 0 w 31991"/>
              <a:gd name="T15" fmla="*/ 0 h 33515"/>
              <a:gd name="T16" fmla="*/ 0 w 31991"/>
              <a:gd name="T17" fmla="*/ 0 h 33515"/>
              <a:gd name="T18" fmla="*/ 0 w 31991"/>
              <a:gd name="T19" fmla="*/ 0 h 33515"/>
              <a:gd name="T20" fmla="*/ 0 w 31991"/>
              <a:gd name="T21" fmla="*/ 0 h 33515"/>
              <a:gd name="T22" fmla="*/ 0 w 31991"/>
              <a:gd name="T23" fmla="*/ 0 h 33515"/>
              <a:gd name="T24" fmla="*/ 0 w 31991"/>
              <a:gd name="T25" fmla="*/ 0 h 33515"/>
              <a:gd name="T26" fmla="*/ 0 w 31991"/>
              <a:gd name="T27" fmla="*/ 0 h 33515"/>
              <a:gd name="T28" fmla="*/ 0 w 31991"/>
              <a:gd name="T29" fmla="*/ 0 h 33515"/>
              <a:gd name="T30" fmla="*/ 0 w 31991"/>
              <a:gd name="T31" fmla="*/ 0 h 33515"/>
              <a:gd name="T32" fmla="*/ 0 w 31991"/>
              <a:gd name="T33" fmla="*/ 0 h 33515"/>
              <a:gd name="T34" fmla="*/ 0 w 31991"/>
              <a:gd name="T35" fmla="*/ 0 h 33515"/>
              <a:gd name="T36" fmla="*/ 0 w 31991"/>
              <a:gd name="T37" fmla="*/ 0 h 33515"/>
              <a:gd name="T38" fmla="*/ 0 w 31991"/>
              <a:gd name="T39" fmla="*/ 0 h 33515"/>
              <a:gd name="T40" fmla="*/ 0 w 31991"/>
              <a:gd name="T41" fmla="*/ 0 h 33515"/>
              <a:gd name="T42" fmla="*/ 0 w 31991"/>
              <a:gd name="T43" fmla="*/ 0 h 33515"/>
              <a:gd name="T44" fmla="*/ 0 w 31991"/>
              <a:gd name="T45" fmla="*/ 0 h 33515"/>
              <a:gd name="T46" fmla="*/ 0 w 31991"/>
              <a:gd name="T47" fmla="*/ 0 h 33515"/>
              <a:gd name="T48" fmla="*/ 0 w 31991"/>
              <a:gd name="T49" fmla="*/ 0 h 33515"/>
              <a:gd name="T50" fmla="*/ 0 w 31991"/>
              <a:gd name="T51" fmla="*/ 0 h 33515"/>
              <a:gd name="T52" fmla="*/ 0 w 31991"/>
              <a:gd name="T53" fmla="*/ 0 h 33515"/>
              <a:gd name="T54" fmla="*/ 0 w 31991"/>
              <a:gd name="T55" fmla="*/ 0 h 33515"/>
              <a:gd name="T56" fmla="*/ 0 w 31991"/>
              <a:gd name="T57" fmla="*/ 0 h 33515"/>
              <a:gd name="T58" fmla="*/ 0 w 31991"/>
              <a:gd name="T59" fmla="*/ 0 h 33515"/>
              <a:gd name="T60" fmla="*/ 0 w 31991"/>
              <a:gd name="T61" fmla="*/ 0 h 33515"/>
              <a:gd name="T62" fmla="*/ 0 w 31991"/>
              <a:gd name="T63" fmla="*/ 0 h 33515"/>
              <a:gd name="T64" fmla="*/ 0 w 31991"/>
              <a:gd name="T65" fmla="*/ 0 h 33515"/>
              <a:gd name="T66" fmla="*/ 0 w 31991"/>
              <a:gd name="T67" fmla="*/ 0 h 33515"/>
              <a:gd name="T68" fmla="*/ 0 w 31991"/>
              <a:gd name="T69" fmla="*/ 0 h 33515"/>
              <a:gd name="T70" fmla="*/ 0 w 31991"/>
              <a:gd name="T71" fmla="*/ 0 h 33515"/>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1991"/>
              <a:gd name="T109" fmla="*/ 0 h 33515"/>
              <a:gd name="T110" fmla="*/ 31991 w 31991"/>
              <a:gd name="T111" fmla="*/ 33515 h 33515"/>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1991" h="33515">
                <a:moveTo>
                  <a:pt x="16751" y="0"/>
                </a:moveTo>
                <a:lnTo>
                  <a:pt x="19799" y="0"/>
                </a:lnTo>
                <a:lnTo>
                  <a:pt x="21323" y="1524"/>
                </a:lnTo>
                <a:lnTo>
                  <a:pt x="24371" y="1524"/>
                </a:lnTo>
                <a:lnTo>
                  <a:pt x="25895" y="3035"/>
                </a:lnTo>
                <a:lnTo>
                  <a:pt x="25895" y="4559"/>
                </a:lnTo>
                <a:lnTo>
                  <a:pt x="27419" y="4559"/>
                </a:lnTo>
                <a:lnTo>
                  <a:pt x="28943" y="6083"/>
                </a:lnTo>
                <a:lnTo>
                  <a:pt x="28943" y="7607"/>
                </a:lnTo>
                <a:lnTo>
                  <a:pt x="31991" y="10655"/>
                </a:lnTo>
                <a:lnTo>
                  <a:pt x="31991" y="24371"/>
                </a:lnTo>
                <a:lnTo>
                  <a:pt x="30467" y="24371"/>
                </a:lnTo>
                <a:lnTo>
                  <a:pt x="28943" y="25895"/>
                </a:lnTo>
                <a:lnTo>
                  <a:pt x="28943" y="27419"/>
                </a:lnTo>
                <a:lnTo>
                  <a:pt x="25895" y="30467"/>
                </a:lnTo>
                <a:lnTo>
                  <a:pt x="25895" y="31991"/>
                </a:lnTo>
                <a:lnTo>
                  <a:pt x="22847" y="31991"/>
                </a:lnTo>
                <a:lnTo>
                  <a:pt x="21323" y="33515"/>
                </a:lnTo>
                <a:lnTo>
                  <a:pt x="10655" y="33515"/>
                </a:lnTo>
                <a:lnTo>
                  <a:pt x="9144" y="31991"/>
                </a:lnTo>
                <a:lnTo>
                  <a:pt x="7620" y="31991"/>
                </a:lnTo>
                <a:lnTo>
                  <a:pt x="3048" y="27419"/>
                </a:lnTo>
                <a:lnTo>
                  <a:pt x="3048" y="25895"/>
                </a:lnTo>
                <a:lnTo>
                  <a:pt x="1524" y="24371"/>
                </a:lnTo>
                <a:lnTo>
                  <a:pt x="0" y="21323"/>
                </a:lnTo>
                <a:lnTo>
                  <a:pt x="0" y="12179"/>
                </a:lnTo>
                <a:lnTo>
                  <a:pt x="1524" y="10655"/>
                </a:lnTo>
                <a:lnTo>
                  <a:pt x="1524" y="9131"/>
                </a:lnTo>
                <a:lnTo>
                  <a:pt x="3048" y="7607"/>
                </a:lnTo>
                <a:lnTo>
                  <a:pt x="3048" y="6083"/>
                </a:lnTo>
                <a:lnTo>
                  <a:pt x="4572" y="4559"/>
                </a:lnTo>
                <a:lnTo>
                  <a:pt x="6096" y="4559"/>
                </a:lnTo>
                <a:lnTo>
                  <a:pt x="9144" y="1524"/>
                </a:lnTo>
                <a:lnTo>
                  <a:pt x="10655" y="1524"/>
                </a:lnTo>
                <a:lnTo>
                  <a:pt x="12179" y="0"/>
                </a:lnTo>
                <a:lnTo>
                  <a:pt x="16751"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8" name="Shape 9056">
            <a:extLst>
              <a:ext uri="{FF2B5EF4-FFF2-40B4-BE49-F238E27FC236}">
                <a16:creationId xmlns:a16="http://schemas.microsoft.com/office/drawing/2014/main" id="{00000000-0008-0000-0500-00004E000000}"/>
              </a:ext>
            </a:extLst>
          </xdr:cNvPr>
          <xdr:cNvSpPr>
            <a:spLocks/>
          </xdr:cNvSpPr>
        </xdr:nvSpPr>
        <xdr:spPr bwMode="auto">
          <a:xfrm>
            <a:off x="6510" y="1096"/>
            <a:ext cx="1122" cy="1113"/>
          </a:xfrm>
          <a:custGeom>
            <a:avLst/>
            <a:gdLst>
              <a:gd name="T0" fmla="*/ 0 w 112204"/>
              <a:gd name="T1" fmla="*/ 0 h 111213"/>
              <a:gd name="T2" fmla="*/ 0 w 112204"/>
              <a:gd name="T3" fmla="*/ 0 h 111213"/>
              <a:gd name="T4" fmla="*/ 0 w 112204"/>
              <a:gd name="T5" fmla="*/ 0 h 111213"/>
              <a:gd name="T6" fmla="*/ 0 w 112204"/>
              <a:gd name="T7" fmla="*/ 0 h 111213"/>
              <a:gd name="T8" fmla="*/ 0 w 112204"/>
              <a:gd name="T9" fmla="*/ 0 h 111213"/>
              <a:gd name="T10" fmla="*/ 0 w 112204"/>
              <a:gd name="T11" fmla="*/ 0 h 111213"/>
              <a:gd name="T12" fmla="*/ 0 w 112204"/>
              <a:gd name="T13" fmla="*/ 0 h 111213"/>
              <a:gd name="T14" fmla="*/ 0 w 112204"/>
              <a:gd name="T15" fmla="*/ 0 h 111213"/>
              <a:gd name="T16" fmla="*/ 0 w 112204"/>
              <a:gd name="T17" fmla="*/ 0 h 111213"/>
              <a:gd name="T18" fmla="*/ 0 w 112204"/>
              <a:gd name="T19" fmla="*/ 0 h 111213"/>
              <a:gd name="T20" fmla="*/ 0 w 112204"/>
              <a:gd name="T21" fmla="*/ 0 h 111213"/>
              <a:gd name="T22" fmla="*/ 0 w 112204"/>
              <a:gd name="T23" fmla="*/ 0 h 111213"/>
              <a:gd name="T24" fmla="*/ 0 w 112204"/>
              <a:gd name="T25" fmla="*/ 0 h 111213"/>
              <a:gd name="T26" fmla="*/ 0 w 112204"/>
              <a:gd name="T27" fmla="*/ 0 h 111213"/>
              <a:gd name="T28" fmla="*/ 0 w 112204"/>
              <a:gd name="T29" fmla="*/ 0 h 111213"/>
              <a:gd name="T30" fmla="*/ 0 w 112204"/>
              <a:gd name="T31" fmla="*/ 0 h 111213"/>
              <a:gd name="T32" fmla="*/ 0 w 112204"/>
              <a:gd name="T33" fmla="*/ 0 h 111213"/>
              <a:gd name="T34" fmla="*/ 0 w 112204"/>
              <a:gd name="T35" fmla="*/ 0 h 111213"/>
              <a:gd name="T36" fmla="*/ 0 w 112204"/>
              <a:gd name="T37" fmla="*/ 0 h 111213"/>
              <a:gd name="T38" fmla="*/ 0 w 112204"/>
              <a:gd name="T39" fmla="*/ 0 h 111213"/>
              <a:gd name="T40" fmla="*/ 0 w 112204"/>
              <a:gd name="T41" fmla="*/ 0 h 111213"/>
              <a:gd name="T42" fmla="*/ 0 w 112204"/>
              <a:gd name="T43" fmla="*/ 0 h 111213"/>
              <a:gd name="T44" fmla="*/ 0 w 112204"/>
              <a:gd name="T45" fmla="*/ 0 h 111213"/>
              <a:gd name="T46" fmla="*/ 0 w 112204"/>
              <a:gd name="T47" fmla="*/ 0 h 111213"/>
              <a:gd name="T48" fmla="*/ 0 w 112204"/>
              <a:gd name="T49" fmla="*/ 0 h 111213"/>
              <a:gd name="T50" fmla="*/ 0 w 112204"/>
              <a:gd name="T51" fmla="*/ 0 h 111213"/>
              <a:gd name="T52" fmla="*/ 0 w 112204"/>
              <a:gd name="T53" fmla="*/ 0 h 111213"/>
              <a:gd name="T54" fmla="*/ 0 w 112204"/>
              <a:gd name="T55" fmla="*/ 0 h 111213"/>
              <a:gd name="T56" fmla="*/ 0 w 112204"/>
              <a:gd name="T57" fmla="*/ 0 h 111213"/>
              <a:gd name="T58" fmla="*/ 0 w 112204"/>
              <a:gd name="T59" fmla="*/ 0 h 111213"/>
              <a:gd name="T60" fmla="*/ 0 w 112204"/>
              <a:gd name="T61" fmla="*/ 0 h 111213"/>
              <a:gd name="T62" fmla="*/ 0 w 112204"/>
              <a:gd name="T63" fmla="*/ 0 h 111213"/>
              <a:gd name="T64" fmla="*/ 0 w 112204"/>
              <a:gd name="T65" fmla="*/ 0 h 111213"/>
              <a:gd name="T66" fmla="*/ 0 w 112204"/>
              <a:gd name="T67" fmla="*/ 0 h 111213"/>
              <a:gd name="T68" fmla="*/ 0 w 112204"/>
              <a:gd name="T69" fmla="*/ 0 h 111213"/>
              <a:gd name="T70" fmla="*/ 0 w 112204"/>
              <a:gd name="T71" fmla="*/ 0 h 111213"/>
              <a:gd name="T72" fmla="*/ 0 w 112204"/>
              <a:gd name="T73" fmla="*/ 0 h 111213"/>
              <a:gd name="T74" fmla="*/ 0 w 112204"/>
              <a:gd name="T75" fmla="*/ 0 h 111213"/>
              <a:gd name="T76" fmla="*/ 0 w 112204"/>
              <a:gd name="T77" fmla="*/ 0 h 111213"/>
              <a:gd name="T78" fmla="*/ 0 w 112204"/>
              <a:gd name="T79" fmla="*/ 0 h 111213"/>
              <a:gd name="T80" fmla="*/ 0 w 112204"/>
              <a:gd name="T81" fmla="*/ 0 h 111213"/>
              <a:gd name="T82" fmla="*/ 0 w 112204"/>
              <a:gd name="T83" fmla="*/ 0 h 111213"/>
              <a:gd name="T84" fmla="*/ 0 w 112204"/>
              <a:gd name="T85" fmla="*/ 0 h 111213"/>
              <a:gd name="T86" fmla="*/ 0 w 112204"/>
              <a:gd name="T87" fmla="*/ 0 h 111213"/>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112204"/>
              <a:gd name="T133" fmla="*/ 0 h 111213"/>
              <a:gd name="T134" fmla="*/ 112204 w 112204"/>
              <a:gd name="T135" fmla="*/ 111213 h 111213"/>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112204" h="111213">
                <a:moveTo>
                  <a:pt x="55829" y="0"/>
                </a:moveTo>
                <a:lnTo>
                  <a:pt x="66497" y="0"/>
                </a:lnTo>
                <a:lnTo>
                  <a:pt x="69545" y="1524"/>
                </a:lnTo>
                <a:lnTo>
                  <a:pt x="72593" y="1524"/>
                </a:lnTo>
                <a:lnTo>
                  <a:pt x="75641" y="3048"/>
                </a:lnTo>
                <a:lnTo>
                  <a:pt x="77165" y="4572"/>
                </a:lnTo>
                <a:lnTo>
                  <a:pt x="80213" y="4572"/>
                </a:lnTo>
                <a:lnTo>
                  <a:pt x="83261" y="6096"/>
                </a:lnTo>
                <a:lnTo>
                  <a:pt x="87820" y="9131"/>
                </a:lnTo>
                <a:lnTo>
                  <a:pt x="90868" y="12179"/>
                </a:lnTo>
                <a:lnTo>
                  <a:pt x="95440" y="15227"/>
                </a:lnTo>
                <a:lnTo>
                  <a:pt x="101536" y="24371"/>
                </a:lnTo>
                <a:cubicBezTo>
                  <a:pt x="108267" y="32004"/>
                  <a:pt x="108826" y="41338"/>
                  <a:pt x="112204" y="50266"/>
                </a:cubicBezTo>
                <a:lnTo>
                  <a:pt x="112204" y="60934"/>
                </a:lnTo>
                <a:cubicBezTo>
                  <a:pt x="108826" y="69875"/>
                  <a:pt x="108267" y="79210"/>
                  <a:pt x="101536" y="86830"/>
                </a:cubicBezTo>
                <a:lnTo>
                  <a:pt x="98488" y="91401"/>
                </a:lnTo>
                <a:lnTo>
                  <a:pt x="87820" y="102069"/>
                </a:lnTo>
                <a:lnTo>
                  <a:pt x="83261" y="105117"/>
                </a:lnTo>
                <a:lnTo>
                  <a:pt x="80213" y="105117"/>
                </a:lnTo>
                <a:lnTo>
                  <a:pt x="77165" y="106642"/>
                </a:lnTo>
                <a:lnTo>
                  <a:pt x="75641" y="108165"/>
                </a:lnTo>
                <a:lnTo>
                  <a:pt x="72593" y="109689"/>
                </a:lnTo>
                <a:lnTo>
                  <a:pt x="66497" y="109689"/>
                </a:lnTo>
                <a:lnTo>
                  <a:pt x="64973" y="111213"/>
                </a:lnTo>
                <a:lnTo>
                  <a:pt x="48222" y="111213"/>
                </a:lnTo>
                <a:lnTo>
                  <a:pt x="45174" y="109689"/>
                </a:lnTo>
                <a:lnTo>
                  <a:pt x="40602" y="109689"/>
                </a:lnTo>
                <a:lnTo>
                  <a:pt x="31458" y="105117"/>
                </a:lnTo>
                <a:lnTo>
                  <a:pt x="29934" y="105117"/>
                </a:lnTo>
                <a:lnTo>
                  <a:pt x="20790" y="99021"/>
                </a:lnTo>
                <a:lnTo>
                  <a:pt x="17742" y="94449"/>
                </a:lnTo>
                <a:lnTo>
                  <a:pt x="13170" y="91401"/>
                </a:lnTo>
                <a:cubicBezTo>
                  <a:pt x="9017" y="86868"/>
                  <a:pt x="826" y="70205"/>
                  <a:pt x="991" y="63982"/>
                </a:cubicBezTo>
                <a:lnTo>
                  <a:pt x="991" y="53314"/>
                </a:lnTo>
                <a:cubicBezTo>
                  <a:pt x="0" y="41948"/>
                  <a:pt x="3505" y="39039"/>
                  <a:pt x="7087" y="28943"/>
                </a:cubicBezTo>
                <a:lnTo>
                  <a:pt x="13170" y="19799"/>
                </a:lnTo>
                <a:lnTo>
                  <a:pt x="20790" y="12179"/>
                </a:lnTo>
                <a:lnTo>
                  <a:pt x="29934" y="6096"/>
                </a:lnTo>
                <a:lnTo>
                  <a:pt x="31458" y="4572"/>
                </a:lnTo>
                <a:lnTo>
                  <a:pt x="34506" y="4572"/>
                </a:lnTo>
                <a:lnTo>
                  <a:pt x="40602" y="1524"/>
                </a:lnTo>
                <a:lnTo>
                  <a:pt x="42126" y="1524"/>
                </a:lnTo>
                <a:lnTo>
                  <a:pt x="45174" y="0"/>
                </a:lnTo>
                <a:lnTo>
                  <a:pt x="55829"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79" name="Shape 9057">
            <a:extLst>
              <a:ext uri="{FF2B5EF4-FFF2-40B4-BE49-F238E27FC236}">
                <a16:creationId xmlns:a16="http://schemas.microsoft.com/office/drawing/2014/main" id="{00000000-0008-0000-0500-00004F000000}"/>
              </a:ext>
            </a:extLst>
          </xdr:cNvPr>
          <xdr:cNvSpPr>
            <a:spLocks/>
          </xdr:cNvSpPr>
        </xdr:nvSpPr>
        <xdr:spPr bwMode="auto">
          <a:xfrm>
            <a:off x="7876" y="914"/>
            <a:ext cx="1478" cy="1493"/>
          </a:xfrm>
          <a:custGeom>
            <a:avLst/>
            <a:gdLst>
              <a:gd name="T0" fmla="*/ 0 w 147777"/>
              <a:gd name="T1" fmla="*/ 0 h 149301"/>
              <a:gd name="T2" fmla="*/ 0 w 147777"/>
              <a:gd name="T3" fmla="*/ 0 h 149301"/>
              <a:gd name="T4" fmla="*/ 0 w 147777"/>
              <a:gd name="T5" fmla="*/ 0 h 149301"/>
              <a:gd name="T6" fmla="*/ 0 w 147777"/>
              <a:gd name="T7" fmla="*/ 0 h 149301"/>
              <a:gd name="T8" fmla="*/ 0 w 147777"/>
              <a:gd name="T9" fmla="*/ 0 h 149301"/>
              <a:gd name="T10" fmla="*/ 0 w 147777"/>
              <a:gd name="T11" fmla="*/ 0 h 149301"/>
              <a:gd name="T12" fmla="*/ 0 w 147777"/>
              <a:gd name="T13" fmla="*/ 0 h 149301"/>
              <a:gd name="T14" fmla="*/ 0 w 147777"/>
              <a:gd name="T15" fmla="*/ 0 h 149301"/>
              <a:gd name="T16" fmla="*/ 0 w 147777"/>
              <a:gd name="T17" fmla="*/ 0 h 149301"/>
              <a:gd name="T18" fmla="*/ 0 w 147777"/>
              <a:gd name="T19" fmla="*/ 0 h 149301"/>
              <a:gd name="T20" fmla="*/ 0 w 147777"/>
              <a:gd name="T21" fmla="*/ 0 h 149301"/>
              <a:gd name="T22" fmla="*/ 0 w 147777"/>
              <a:gd name="T23" fmla="*/ 0 h 149301"/>
              <a:gd name="T24" fmla="*/ 0 w 147777"/>
              <a:gd name="T25" fmla="*/ 0 h 149301"/>
              <a:gd name="T26" fmla="*/ 0 w 147777"/>
              <a:gd name="T27" fmla="*/ 0 h 149301"/>
              <a:gd name="T28" fmla="*/ 0 w 147777"/>
              <a:gd name="T29" fmla="*/ 0 h 149301"/>
              <a:gd name="T30" fmla="*/ 0 w 147777"/>
              <a:gd name="T31" fmla="*/ 0 h 149301"/>
              <a:gd name="T32" fmla="*/ 0 w 147777"/>
              <a:gd name="T33" fmla="*/ 0 h 149301"/>
              <a:gd name="T34" fmla="*/ 0 w 147777"/>
              <a:gd name="T35" fmla="*/ 0 h 149301"/>
              <a:gd name="T36" fmla="*/ 0 w 147777"/>
              <a:gd name="T37" fmla="*/ 0 h 149301"/>
              <a:gd name="T38" fmla="*/ 0 w 147777"/>
              <a:gd name="T39" fmla="*/ 0 h 149301"/>
              <a:gd name="T40" fmla="*/ 0 w 147777"/>
              <a:gd name="T41" fmla="*/ 0 h 149301"/>
              <a:gd name="T42" fmla="*/ 0 w 147777"/>
              <a:gd name="T43" fmla="*/ 0 h 149301"/>
              <a:gd name="T44" fmla="*/ 0 w 147777"/>
              <a:gd name="T45" fmla="*/ 0 h 149301"/>
              <a:gd name="T46" fmla="*/ 0 w 147777"/>
              <a:gd name="T47" fmla="*/ 0 h 149301"/>
              <a:gd name="T48" fmla="*/ 0 w 147777"/>
              <a:gd name="T49" fmla="*/ 0 h 149301"/>
              <a:gd name="T50" fmla="*/ 0 w 147777"/>
              <a:gd name="T51" fmla="*/ 0 h 149301"/>
              <a:gd name="T52" fmla="*/ 0 w 147777"/>
              <a:gd name="T53" fmla="*/ 0 h 149301"/>
              <a:gd name="T54" fmla="*/ 0 w 147777"/>
              <a:gd name="T55" fmla="*/ 0 h 149301"/>
              <a:gd name="T56" fmla="*/ 0 w 147777"/>
              <a:gd name="T57" fmla="*/ 0 h 149301"/>
              <a:gd name="T58" fmla="*/ 0 w 147777"/>
              <a:gd name="T59" fmla="*/ 0 h 149301"/>
              <a:gd name="T60" fmla="*/ 0 w 147777"/>
              <a:gd name="T61" fmla="*/ 0 h 149301"/>
              <a:gd name="T62" fmla="*/ 0 w 147777"/>
              <a:gd name="T63" fmla="*/ 0 h 149301"/>
              <a:gd name="T64" fmla="*/ 0 w 147777"/>
              <a:gd name="T65" fmla="*/ 0 h 149301"/>
              <a:gd name="T66" fmla="*/ 0 w 147777"/>
              <a:gd name="T67" fmla="*/ 0 h 149301"/>
              <a:gd name="T68" fmla="*/ 0 w 147777"/>
              <a:gd name="T69" fmla="*/ 0 h 149301"/>
              <a:gd name="T70" fmla="*/ 0 w 147777"/>
              <a:gd name="T71" fmla="*/ 0 h 149301"/>
              <a:gd name="T72" fmla="*/ 0 w 147777"/>
              <a:gd name="T73" fmla="*/ 0 h 149301"/>
              <a:gd name="T74" fmla="*/ 0 w 147777"/>
              <a:gd name="T75" fmla="*/ 0 h 14930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147777"/>
              <a:gd name="T115" fmla="*/ 0 h 149301"/>
              <a:gd name="T116" fmla="*/ 147777 w 147777"/>
              <a:gd name="T117" fmla="*/ 149301 h 14930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147777" h="149301">
                <a:moveTo>
                  <a:pt x="74650" y="0"/>
                </a:moveTo>
                <a:lnTo>
                  <a:pt x="79222" y="0"/>
                </a:lnTo>
                <a:lnTo>
                  <a:pt x="82271" y="1524"/>
                </a:lnTo>
                <a:lnTo>
                  <a:pt x="89890" y="1524"/>
                </a:lnTo>
                <a:lnTo>
                  <a:pt x="92939" y="3048"/>
                </a:lnTo>
                <a:lnTo>
                  <a:pt x="95986" y="3048"/>
                </a:lnTo>
                <a:lnTo>
                  <a:pt x="100558" y="4572"/>
                </a:lnTo>
                <a:lnTo>
                  <a:pt x="112738" y="10668"/>
                </a:lnTo>
                <a:lnTo>
                  <a:pt x="115786" y="13716"/>
                </a:lnTo>
                <a:lnTo>
                  <a:pt x="121882" y="16764"/>
                </a:lnTo>
                <a:lnTo>
                  <a:pt x="129501" y="24384"/>
                </a:lnTo>
                <a:lnTo>
                  <a:pt x="131025" y="27419"/>
                </a:lnTo>
                <a:cubicBezTo>
                  <a:pt x="141986" y="37135"/>
                  <a:pt x="146609" y="53124"/>
                  <a:pt x="147777" y="67030"/>
                </a:cubicBezTo>
                <a:lnTo>
                  <a:pt x="147777" y="89890"/>
                </a:lnTo>
                <a:lnTo>
                  <a:pt x="146253" y="92938"/>
                </a:lnTo>
                <a:lnTo>
                  <a:pt x="144729" y="97510"/>
                </a:lnTo>
                <a:lnTo>
                  <a:pt x="144729" y="100558"/>
                </a:lnTo>
                <a:lnTo>
                  <a:pt x="141681" y="106642"/>
                </a:lnTo>
                <a:lnTo>
                  <a:pt x="140157" y="111213"/>
                </a:lnTo>
                <a:lnTo>
                  <a:pt x="137121" y="117310"/>
                </a:lnTo>
                <a:lnTo>
                  <a:pt x="134074" y="120357"/>
                </a:lnTo>
                <a:lnTo>
                  <a:pt x="131025" y="121881"/>
                </a:lnTo>
                <a:lnTo>
                  <a:pt x="127977" y="127977"/>
                </a:lnTo>
                <a:lnTo>
                  <a:pt x="124930" y="131025"/>
                </a:lnTo>
                <a:lnTo>
                  <a:pt x="118833" y="134073"/>
                </a:lnTo>
                <a:lnTo>
                  <a:pt x="115786" y="137121"/>
                </a:lnTo>
                <a:lnTo>
                  <a:pt x="106642" y="141681"/>
                </a:lnTo>
                <a:lnTo>
                  <a:pt x="103594" y="144729"/>
                </a:lnTo>
                <a:lnTo>
                  <a:pt x="100558" y="144729"/>
                </a:lnTo>
                <a:lnTo>
                  <a:pt x="95986" y="146253"/>
                </a:lnTo>
                <a:lnTo>
                  <a:pt x="92939" y="147777"/>
                </a:lnTo>
                <a:lnTo>
                  <a:pt x="89890" y="147777"/>
                </a:lnTo>
                <a:lnTo>
                  <a:pt x="85318" y="149301"/>
                </a:lnTo>
                <a:lnTo>
                  <a:pt x="63983" y="149301"/>
                </a:lnTo>
                <a:lnTo>
                  <a:pt x="59423" y="147777"/>
                </a:lnTo>
                <a:lnTo>
                  <a:pt x="56375" y="147777"/>
                </a:lnTo>
                <a:lnTo>
                  <a:pt x="53327" y="146253"/>
                </a:lnTo>
                <a:lnTo>
                  <a:pt x="48755" y="144729"/>
                </a:lnTo>
                <a:lnTo>
                  <a:pt x="45707" y="144729"/>
                </a:lnTo>
                <a:lnTo>
                  <a:pt x="42659" y="141681"/>
                </a:lnTo>
                <a:lnTo>
                  <a:pt x="33515" y="137121"/>
                </a:lnTo>
                <a:lnTo>
                  <a:pt x="30467" y="134073"/>
                </a:lnTo>
                <a:lnTo>
                  <a:pt x="27419" y="132549"/>
                </a:lnTo>
                <a:lnTo>
                  <a:pt x="15240" y="120357"/>
                </a:lnTo>
                <a:lnTo>
                  <a:pt x="12192" y="114262"/>
                </a:lnTo>
                <a:lnTo>
                  <a:pt x="9144" y="111213"/>
                </a:lnTo>
                <a:lnTo>
                  <a:pt x="7620" y="106642"/>
                </a:lnTo>
                <a:lnTo>
                  <a:pt x="6096" y="103594"/>
                </a:lnTo>
                <a:lnTo>
                  <a:pt x="6096" y="100558"/>
                </a:lnTo>
                <a:lnTo>
                  <a:pt x="4572" y="97510"/>
                </a:lnTo>
                <a:lnTo>
                  <a:pt x="3048" y="92938"/>
                </a:lnTo>
                <a:lnTo>
                  <a:pt x="3048" y="89890"/>
                </a:lnTo>
                <a:lnTo>
                  <a:pt x="1524" y="86842"/>
                </a:lnTo>
                <a:lnTo>
                  <a:pt x="1524" y="79222"/>
                </a:lnTo>
                <a:lnTo>
                  <a:pt x="0" y="74650"/>
                </a:lnTo>
                <a:lnTo>
                  <a:pt x="1524" y="71602"/>
                </a:lnTo>
                <a:lnTo>
                  <a:pt x="1524" y="63983"/>
                </a:lnTo>
                <a:lnTo>
                  <a:pt x="3048" y="60947"/>
                </a:lnTo>
                <a:lnTo>
                  <a:pt x="3048" y="56375"/>
                </a:lnTo>
                <a:lnTo>
                  <a:pt x="6096" y="50279"/>
                </a:lnTo>
                <a:lnTo>
                  <a:pt x="6096" y="45707"/>
                </a:lnTo>
                <a:lnTo>
                  <a:pt x="9144" y="39611"/>
                </a:lnTo>
                <a:lnTo>
                  <a:pt x="12192" y="36563"/>
                </a:lnTo>
                <a:lnTo>
                  <a:pt x="16764" y="27419"/>
                </a:lnTo>
                <a:lnTo>
                  <a:pt x="19812" y="24384"/>
                </a:lnTo>
                <a:lnTo>
                  <a:pt x="22860" y="22860"/>
                </a:lnTo>
                <a:lnTo>
                  <a:pt x="25895" y="19812"/>
                </a:lnTo>
                <a:lnTo>
                  <a:pt x="27419" y="16764"/>
                </a:lnTo>
                <a:lnTo>
                  <a:pt x="33515" y="13716"/>
                </a:lnTo>
                <a:lnTo>
                  <a:pt x="36563" y="10668"/>
                </a:lnTo>
                <a:lnTo>
                  <a:pt x="48755" y="4572"/>
                </a:lnTo>
                <a:lnTo>
                  <a:pt x="53327" y="3048"/>
                </a:lnTo>
                <a:lnTo>
                  <a:pt x="56375" y="3048"/>
                </a:lnTo>
                <a:lnTo>
                  <a:pt x="59423" y="1524"/>
                </a:lnTo>
                <a:lnTo>
                  <a:pt x="67030" y="1524"/>
                </a:lnTo>
                <a:lnTo>
                  <a:pt x="71603" y="0"/>
                </a:lnTo>
                <a:lnTo>
                  <a:pt x="7465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80" name="Shape 9058">
            <a:extLst>
              <a:ext uri="{FF2B5EF4-FFF2-40B4-BE49-F238E27FC236}">
                <a16:creationId xmlns:a16="http://schemas.microsoft.com/office/drawing/2014/main" id="{00000000-0008-0000-0500-000050000000}"/>
              </a:ext>
            </a:extLst>
          </xdr:cNvPr>
          <xdr:cNvSpPr>
            <a:spLocks/>
          </xdr:cNvSpPr>
        </xdr:nvSpPr>
        <xdr:spPr bwMode="auto">
          <a:xfrm>
            <a:off x="8455" y="1523"/>
            <a:ext cx="335" cy="335"/>
          </a:xfrm>
          <a:custGeom>
            <a:avLst/>
            <a:gdLst>
              <a:gd name="T0" fmla="*/ 0 w 33515"/>
              <a:gd name="T1" fmla="*/ 0 h 33515"/>
              <a:gd name="T2" fmla="*/ 0 w 33515"/>
              <a:gd name="T3" fmla="*/ 0 h 33515"/>
              <a:gd name="T4" fmla="*/ 0 w 33515"/>
              <a:gd name="T5" fmla="*/ 0 h 33515"/>
              <a:gd name="T6" fmla="*/ 0 w 33515"/>
              <a:gd name="T7" fmla="*/ 0 h 33515"/>
              <a:gd name="T8" fmla="*/ 0 w 33515"/>
              <a:gd name="T9" fmla="*/ 0 h 33515"/>
              <a:gd name="T10" fmla="*/ 0 w 33515"/>
              <a:gd name="T11" fmla="*/ 0 h 33515"/>
              <a:gd name="T12" fmla="*/ 0 w 33515"/>
              <a:gd name="T13" fmla="*/ 0 h 33515"/>
              <a:gd name="T14" fmla="*/ 0 w 33515"/>
              <a:gd name="T15" fmla="*/ 0 h 33515"/>
              <a:gd name="T16" fmla="*/ 0 w 33515"/>
              <a:gd name="T17" fmla="*/ 0 h 33515"/>
              <a:gd name="T18" fmla="*/ 0 w 33515"/>
              <a:gd name="T19" fmla="*/ 0 h 33515"/>
              <a:gd name="T20" fmla="*/ 0 w 33515"/>
              <a:gd name="T21" fmla="*/ 0 h 33515"/>
              <a:gd name="T22" fmla="*/ 0 w 33515"/>
              <a:gd name="T23" fmla="*/ 0 h 33515"/>
              <a:gd name="T24" fmla="*/ 0 w 33515"/>
              <a:gd name="T25" fmla="*/ 0 h 33515"/>
              <a:gd name="T26" fmla="*/ 0 w 33515"/>
              <a:gd name="T27" fmla="*/ 0 h 33515"/>
              <a:gd name="T28" fmla="*/ 0 w 33515"/>
              <a:gd name="T29" fmla="*/ 0 h 33515"/>
              <a:gd name="T30" fmla="*/ 0 w 33515"/>
              <a:gd name="T31" fmla="*/ 0 h 33515"/>
              <a:gd name="T32" fmla="*/ 0 w 33515"/>
              <a:gd name="T33" fmla="*/ 0 h 33515"/>
              <a:gd name="T34" fmla="*/ 0 w 33515"/>
              <a:gd name="T35" fmla="*/ 0 h 33515"/>
              <a:gd name="T36" fmla="*/ 0 w 33515"/>
              <a:gd name="T37" fmla="*/ 0 h 33515"/>
              <a:gd name="T38" fmla="*/ 0 w 33515"/>
              <a:gd name="T39" fmla="*/ 0 h 33515"/>
              <a:gd name="T40" fmla="*/ 0 w 33515"/>
              <a:gd name="T41" fmla="*/ 0 h 33515"/>
              <a:gd name="T42" fmla="*/ 0 w 33515"/>
              <a:gd name="T43" fmla="*/ 0 h 33515"/>
              <a:gd name="T44" fmla="*/ 0 w 33515"/>
              <a:gd name="T45" fmla="*/ 0 h 33515"/>
              <a:gd name="T46" fmla="*/ 0 w 33515"/>
              <a:gd name="T47" fmla="*/ 0 h 33515"/>
              <a:gd name="T48" fmla="*/ 0 w 33515"/>
              <a:gd name="T49" fmla="*/ 0 h 33515"/>
              <a:gd name="T50" fmla="*/ 0 w 33515"/>
              <a:gd name="T51" fmla="*/ 0 h 33515"/>
              <a:gd name="T52" fmla="*/ 0 w 33515"/>
              <a:gd name="T53" fmla="*/ 0 h 33515"/>
              <a:gd name="T54" fmla="*/ 0 w 33515"/>
              <a:gd name="T55" fmla="*/ 0 h 33515"/>
              <a:gd name="T56" fmla="*/ 0 w 33515"/>
              <a:gd name="T57" fmla="*/ 0 h 33515"/>
              <a:gd name="T58" fmla="*/ 0 w 33515"/>
              <a:gd name="T59" fmla="*/ 0 h 33515"/>
              <a:gd name="T60" fmla="*/ 0 w 33515"/>
              <a:gd name="T61" fmla="*/ 0 h 33515"/>
              <a:gd name="T62" fmla="*/ 0 w 33515"/>
              <a:gd name="T63" fmla="*/ 0 h 33515"/>
              <a:gd name="T64" fmla="*/ 0 w 33515"/>
              <a:gd name="T65" fmla="*/ 0 h 33515"/>
              <a:gd name="T66" fmla="*/ 0 w 33515"/>
              <a:gd name="T67" fmla="*/ 0 h 33515"/>
              <a:gd name="T68" fmla="*/ 0 w 33515"/>
              <a:gd name="T69" fmla="*/ 0 h 33515"/>
              <a:gd name="T70" fmla="*/ 0 w 33515"/>
              <a:gd name="T71" fmla="*/ 0 h 33515"/>
              <a:gd name="T72" fmla="*/ 0 w 33515"/>
              <a:gd name="T73" fmla="*/ 0 h 33515"/>
              <a:gd name="T74" fmla="*/ 0 w 33515"/>
              <a:gd name="T75" fmla="*/ 0 h 33515"/>
              <a:gd name="T76" fmla="*/ 0 w 33515"/>
              <a:gd name="T77" fmla="*/ 0 h 3351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33515"/>
              <a:gd name="T118" fmla="*/ 0 h 33515"/>
              <a:gd name="T119" fmla="*/ 33515 w 33515"/>
              <a:gd name="T120" fmla="*/ 33515 h 3351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33515" h="33515">
                <a:moveTo>
                  <a:pt x="13703" y="0"/>
                </a:moveTo>
                <a:lnTo>
                  <a:pt x="19799" y="0"/>
                </a:lnTo>
                <a:lnTo>
                  <a:pt x="21323" y="1524"/>
                </a:lnTo>
                <a:lnTo>
                  <a:pt x="24371" y="1524"/>
                </a:lnTo>
                <a:lnTo>
                  <a:pt x="30467" y="7607"/>
                </a:lnTo>
                <a:lnTo>
                  <a:pt x="30467" y="9131"/>
                </a:lnTo>
                <a:lnTo>
                  <a:pt x="31991" y="10655"/>
                </a:lnTo>
                <a:lnTo>
                  <a:pt x="31991" y="13703"/>
                </a:lnTo>
                <a:lnTo>
                  <a:pt x="33515" y="15227"/>
                </a:lnTo>
                <a:lnTo>
                  <a:pt x="33515" y="18275"/>
                </a:lnTo>
                <a:lnTo>
                  <a:pt x="31991" y="21323"/>
                </a:lnTo>
                <a:lnTo>
                  <a:pt x="31991" y="24371"/>
                </a:lnTo>
                <a:lnTo>
                  <a:pt x="30467" y="24371"/>
                </a:lnTo>
                <a:lnTo>
                  <a:pt x="30467" y="25895"/>
                </a:lnTo>
                <a:lnTo>
                  <a:pt x="27419" y="28943"/>
                </a:lnTo>
                <a:lnTo>
                  <a:pt x="27419" y="30467"/>
                </a:lnTo>
                <a:lnTo>
                  <a:pt x="25895" y="30467"/>
                </a:lnTo>
                <a:lnTo>
                  <a:pt x="24371" y="31991"/>
                </a:lnTo>
                <a:lnTo>
                  <a:pt x="22847" y="31991"/>
                </a:lnTo>
                <a:lnTo>
                  <a:pt x="21323" y="33515"/>
                </a:lnTo>
                <a:lnTo>
                  <a:pt x="12179" y="33515"/>
                </a:lnTo>
                <a:lnTo>
                  <a:pt x="10655" y="31991"/>
                </a:lnTo>
                <a:lnTo>
                  <a:pt x="9131" y="31991"/>
                </a:lnTo>
                <a:lnTo>
                  <a:pt x="7607" y="30467"/>
                </a:lnTo>
                <a:lnTo>
                  <a:pt x="6083" y="30467"/>
                </a:lnTo>
                <a:lnTo>
                  <a:pt x="4572" y="28943"/>
                </a:lnTo>
                <a:lnTo>
                  <a:pt x="4572" y="27419"/>
                </a:lnTo>
                <a:lnTo>
                  <a:pt x="1524" y="24371"/>
                </a:lnTo>
                <a:lnTo>
                  <a:pt x="1524" y="21323"/>
                </a:lnTo>
                <a:lnTo>
                  <a:pt x="0" y="21323"/>
                </a:lnTo>
                <a:lnTo>
                  <a:pt x="0" y="13703"/>
                </a:lnTo>
                <a:lnTo>
                  <a:pt x="1524" y="12179"/>
                </a:lnTo>
                <a:lnTo>
                  <a:pt x="1524" y="9131"/>
                </a:lnTo>
                <a:lnTo>
                  <a:pt x="4572" y="6083"/>
                </a:lnTo>
                <a:lnTo>
                  <a:pt x="4572" y="4559"/>
                </a:lnTo>
                <a:lnTo>
                  <a:pt x="6083" y="4559"/>
                </a:lnTo>
                <a:lnTo>
                  <a:pt x="9131" y="1524"/>
                </a:lnTo>
                <a:lnTo>
                  <a:pt x="12179" y="1524"/>
                </a:lnTo>
                <a:lnTo>
                  <a:pt x="13703" y="0"/>
                </a:ln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81" name="Shape 9059">
            <a:extLst>
              <a:ext uri="{FF2B5EF4-FFF2-40B4-BE49-F238E27FC236}">
                <a16:creationId xmlns:a16="http://schemas.microsoft.com/office/drawing/2014/main" id="{00000000-0008-0000-0500-000051000000}"/>
              </a:ext>
            </a:extLst>
          </xdr:cNvPr>
          <xdr:cNvSpPr>
            <a:spLocks/>
          </xdr:cNvSpPr>
        </xdr:nvSpPr>
        <xdr:spPr bwMode="auto">
          <a:xfrm>
            <a:off x="8455" y="1523"/>
            <a:ext cx="335" cy="335"/>
          </a:xfrm>
          <a:custGeom>
            <a:avLst/>
            <a:gdLst>
              <a:gd name="T0" fmla="*/ 0 w 33515"/>
              <a:gd name="T1" fmla="*/ 0 h 33515"/>
              <a:gd name="T2" fmla="*/ 0 w 33515"/>
              <a:gd name="T3" fmla="*/ 0 h 33515"/>
              <a:gd name="T4" fmla="*/ 0 w 33515"/>
              <a:gd name="T5" fmla="*/ 0 h 33515"/>
              <a:gd name="T6" fmla="*/ 0 w 33515"/>
              <a:gd name="T7" fmla="*/ 0 h 33515"/>
              <a:gd name="T8" fmla="*/ 0 w 33515"/>
              <a:gd name="T9" fmla="*/ 0 h 33515"/>
              <a:gd name="T10" fmla="*/ 0 w 33515"/>
              <a:gd name="T11" fmla="*/ 0 h 33515"/>
              <a:gd name="T12" fmla="*/ 0 w 33515"/>
              <a:gd name="T13" fmla="*/ 0 h 33515"/>
              <a:gd name="T14" fmla="*/ 0 w 33515"/>
              <a:gd name="T15" fmla="*/ 0 h 33515"/>
              <a:gd name="T16" fmla="*/ 0 w 33515"/>
              <a:gd name="T17" fmla="*/ 0 h 33515"/>
              <a:gd name="T18" fmla="*/ 0 w 33515"/>
              <a:gd name="T19" fmla="*/ 0 h 33515"/>
              <a:gd name="T20" fmla="*/ 0 w 33515"/>
              <a:gd name="T21" fmla="*/ 0 h 33515"/>
              <a:gd name="T22" fmla="*/ 0 w 33515"/>
              <a:gd name="T23" fmla="*/ 0 h 33515"/>
              <a:gd name="T24" fmla="*/ 0 w 33515"/>
              <a:gd name="T25" fmla="*/ 0 h 33515"/>
              <a:gd name="T26" fmla="*/ 0 w 33515"/>
              <a:gd name="T27" fmla="*/ 0 h 33515"/>
              <a:gd name="T28" fmla="*/ 0 w 33515"/>
              <a:gd name="T29" fmla="*/ 0 h 33515"/>
              <a:gd name="T30" fmla="*/ 0 w 33515"/>
              <a:gd name="T31" fmla="*/ 0 h 33515"/>
              <a:gd name="T32" fmla="*/ 0 w 33515"/>
              <a:gd name="T33" fmla="*/ 0 h 33515"/>
              <a:gd name="T34" fmla="*/ 0 w 33515"/>
              <a:gd name="T35" fmla="*/ 0 h 33515"/>
              <a:gd name="T36" fmla="*/ 0 w 33515"/>
              <a:gd name="T37" fmla="*/ 0 h 33515"/>
              <a:gd name="T38" fmla="*/ 0 w 33515"/>
              <a:gd name="T39" fmla="*/ 0 h 33515"/>
              <a:gd name="T40" fmla="*/ 0 w 33515"/>
              <a:gd name="T41" fmla="*/ 0 h 33515"/>
              <a:gd name="T42" fmla="*/ 0 w 33515"/>
              <a:gd name="T43" fmla="*/ 0 h 33515"/>
              <a:gd name="T44" fmla="*/ 0 w 33515"/>
              <a:gd name="T45" fmla="*/ 0 h 33515"/>
              <a:gd name="T46" fmla="*/ 0 w 33515"/>
              <a:gd name="T47" fmla="*/ 0 h 33515"/>
              <a:gd name="T48" fmla="*/ 0 w 33515"/>
              <a:gd name="T49" fmla="*/ 0 h 33515"/>
              <a:gd name="T50" fmla="*/ 0 w 33515"/>
              <a:gd name="T51" fmla="*/ 0 h 33515"/>
              <a:gd name="T52" fmla="*/ 0 w 33515"/>
              <a:gd name="T53" fmla="*/ 0 h 33515"/>
              <a:gd name="T54" fmla="*/ 0 w 33515"/>
              <a:gd name="T55" fmla="*/ 0 h 33515"/>
              <a:gd name="T56" fmla="*/ 0 w 33515"/>
              <a:gd name="T57" fmla="*/ 0 h 33515"/>
              <a:gd name="T58" fmla="*/ 0 w 33515"/>
              <a:gd name="T59" fmla="*/ 0 h 33515"/>
              <a:gd name="T60" fmla="*/ 0 w 33515"/>
              <a:gd name="T61" fmla="*/ 0 h 33515"/>
              <a:gd name="T62" fmla="*/ 0 w 33515"/>
              <a:gd name="T63" fmla="*/ 0 h 33515"/>
              <a:gd name="T64" fmla="*/ 0 w 33515"/>
              <a:gd name="T65" fmla="*/ 0 h 33515"/>
              <a:gd name="T66" fmla="*/ 0 w 33515"/>
              <a:gd name="T67" fmla="*/ 0 h 33515"/>
              <a:gd name="T68" fmla="*/ 0 w 33515"/>
              <a:gd name="T69" fmla="*/ 0 h 33515"/>
              <a:gd name="T70" fmla="*/ 0 w 33515"/>
              <a:gd name="T71" fmla="*/ 0 h 33515"/>
              <a:gd name="T72" fmla="*/ 0 w 33515"/>
              <a:gd name="T73" fmla="*/ 0 h 33515"/>
              <a:gd name="T74" fmla="*/ 0 w 33515"/>
              <a:gd name="T75" fmla="*/ 0 h 33515"/>
              <a:gd name="T76" fmla="*/ 0 w 33515"/>
              <a:gd name="T77" fmla="*/ 0 h 33515"/>
              <a:gd name="T78" fmla="*/ 0 w 33515"/>
              <a:gd name="T79" fmla="*/ 0 h 33515"/>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33515"/>
              <a:gd name="T121" fmla="*/ 0 h 33515"/>
              <a:gd name="T122" fmla="*/ 33515 w 33515"/>
              <a:gd name="T123" fmla="*/ 33515 h 33515"/>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33515" h="33515">
                <a:moveTo>
                  <a:pt x="16751" y="0"/>
                </a:moveTo>
                <a:lnTo>
                  <a:pt x="19799" y="0"/>
                </a:lnTo>
                <a:lnTo>
                  <a:pt x="21323" y="1524"/>
                </a:lnTo>
                <a:lnTo>
                  <a:pt x="24371" y="1524"/>
                </a:lnTo>
                <a:lnTo>
                  <a:pt x="30467" y="7607"/>
                </a:lnTo>
                <a:lnTo>
                  <a:pt x="30467" y="9131"/>
                </a:lnTo>
                <a:lnTo>
                  <a:pt x="31991" y="10655"/>
                </a:lnTo>
                <a:lnTo>
                  <a:pt x="31991" y="13703"/>
                </a:lnTo>
                <a:lnTo>
                  <a:pt x="33515" y="15227"/>
                </a:lnTo>
                <a:lnTo>
                  <a:pt x="33515" y="18275"/>
                </a:lnTo>
                <a:lnTo>
                  <a:pt x="31991" y="21323"/>
                </a:lnTo>
                <a:lnTo>
                  <a:pt x="31991" y="24371"/>
                </a:lnTo>
                <a:lnTo>
                  <a:pt x="30467" y="24371"/>
                </a:lnTo>
                <a:lnTo>
                  <a:pt x="30467" y="25895"/>
                </a:lnTo>
                <a:lnTo>
                  <a:pt x="27419" y="28943"/>
                </a:lnTo>
                <a:lnTo>
                  <a:pt x="27419" y="30467"/>
                </a:lnTo>
                <a:lnTo>
                  <a:pt x="25895" y="30467"/>
                </a:lnTo>
                <a:lnTo>
                  <a:pt x="24371" y="31991"/>
                </a:lnTo>
                <a:lnTo>
                  <a:pt x="22847" y="31991"/>
                </a:lnTo>
                <a:lnTo>
                  <a:pt x="21323" y="33515"/>
                </a:lnTo>
                <a:lnTo>
                  <a:pt x="12179" y="33515"/>
                </a:lnTo>
                <a:lnTo>
                  <a:pt x="10655" y="31991"/>
                </a:lnTo>
                <a:lnTo>
                  <a:pt x="9131" y="31991"/>
                </a:lnTo>
                <a:lnTo>
                  <a:pt x="7607" y="30467"/>
                </a:lnTo>
                <a:lnTo>
                  <a:pt x="6083" y="30467"/>
                </a:lnTo>
                <a:lnTo>
                  <a:pt x="4572" y="28943"/>
                </a:lnTo>
                <a:lnTo>
                  <a:pt x="4572" y="27419"/>
                </a:lnTo>
                <a:lnTo>
                  <a:pt x="1524" y="24371"/>
                </a:lnTo>
                <a:lnTo>
                  <a:pt x="1524" y="21323"/>
                </a:lnTo>
                <a:lnTo>
                  <a:pt x="0" y="21323"/>
                </a:lnTo>
                <a:lnTo>
                  <a:pt x="0" y="13703"/>
                </a:lnTo>
                <a:lnTo>
                  <a:pt x="1524" y="12179"/>
                </a:lnTo>
                <a:lnTo>
                  <a:pt x="1524" y="9131"/>
                </a:lnTo>
                <a:lnTo>
                  <a:pt x="4572" y="6083"/>
                </a:lnTo>
                <a:lnTo>
                  <a:pt x="4572" y="4559"/>
                </a:lnTo>
                <a:lnTo>
                  <a:pt x="6083" y="4559"/>
                </a:lnTo>
                <a:lnTo>
                  <a:pt x="9131" y="1524"/>
                </a:lnTo>
                <a:lnTo>
                  <a:pt x="12179" y="1524"/>
                </a:lnTo>
                <a:lnTo>
                  <a:pt x="13703" y="0"/>
                </a:lnTo>
                <a:lnTo>
                  <a:pt x="16751"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82" name="Shape 9060">
            <a:extLst>
              <a:ext uri="{FF2B5EF4-FFF2-40B4-BE49-F238E27FC236}">
                <a16:creationId xmlns:a16="http://schemas.microsoft.com/office/drawing/2014/main" id="{00000000-0008-0000-0500-000052000000}"/>
              </a:ext>
            </a:extLst>
          </xdr:cNvPr>
          <xdr:cNvSpPr>
            <a:spLocks/>
          </xdr:cNvSpPr>
        </xdr:nvSpPr>
        <xdr:spPr bwMode="auto">
          <a:xfrm>
            <a:off x="7968" y="1094"/>
            <a:ext cx="1218" cy="1115"/>
          </a:xfrm>
          <a:custGeom>
            <a:avLst/>
            <a:gdLst>
              <a:gd name="T0" fmla="*/ 0 w 121780"/>
              <a:gd name="T1" fmla="*/ 0 h 111480"/>
              <a:gd name="T2" fmla="*/ 0 w 121780"/>
              <a:gd name="T3" fmla="*/ 0 h 111480"/>
              <a:gd name="T4" fmla="*/ 0 w 121780"/>
              <a:gd name="T5" fmla="*/ 0 h 111480"/>
              <a:gd name="T6" fmla="*/ 0 w 121780"/>
              <a:gd name="T7" fmla="*/ 0 h 111480"/>
              <a:gd name="T8" fmla="*/ 0 w 121780"/>
              <a:gd name="T9" fmla="*/ 0 h 111480"/>
              <a:gd name="T10" fmla="*/ 0 w 121780"/>
              <a:gd name="T11" fmla="*/ 0 h 111480"/>
              <a:gd name="T12" fmla="*/ 0 w 121780"/>
              <a:gd name="T13" fmla="*/ 0 h 111480"/>
              <a:gd name="T14" fmla="*/ 0 w 121780"/>
              <a:gd name="T15" fmla="*/ 0 h 111480"/>
              <a:gd name="T16" fmla="*/ 0 w 121780"/>
              <a:gd name="T17" fmla="*/ 0 h 111480"/>
              <a:gd name="T18" fmla="*/ 0 w 121780"/>
              <a:gd name="T19" fmla="*/ 0 h 111480"/>
              <a:gd name="T20" fmla="*/ 0 w 121780"/>
              <a:gd name="T21" fmla="*/ 0 h 111480"/>
              <a:gd name="T22" fmla="*/ 0 w 121780"/>
              <a:gd name="T23" fmla="*/ 0 h 111480"/>
              <a:gd name="T24" fmla="*/ 0 w 121780"/>
              <a:gd name="T25" fmla="*/ 0 h 111480"/>
              <a:gd name="T26" fmla="*/ 0 w 121780"/>
              <a:gd name="T27" fmla="*/ 0 h 111480"/>
              <a:gd name="T28" fmla="*/ 0 w 121780"/>
              <a:gd name="T29" fmla="*/ 0 h 111480"/>
              <a:gd name="T30" fmla="*/ 0 w 121780"/>
              <a:gd name="T31" fmla="*/ 0 h 111480"/>
              <a:gd name="T32" fmla="*/ 0 w 121780"/>
              <a:gd name="T33" fmla="*/ 0 h 111480"/>
              <a:gd name="T34" fmla="*/ 0 w 121780"/>
              <a:gd name="T35" fmla="*/ 0 h 111480"/>
              <a:gd name="T36" fmla="*/ 0 w 121780"/>
              <a:gd name="T37" fmla="*/ 0 h 111480"/>
              <a:gd name="T38" fmla="*/ 0 w 121780"/>
              <a:gd name="T39" fmla="*/ 0 h 111480"/>
              <a:gd name="T40" fmla="*/ 0 w 121780"/>
              <a:gd name="T41" fmla="*/ 0 h 111480"/>
              <a:gd name="T42" fmla="*/ 0 w 121780"/>
              <a:gd name="T43" fmla="*/ 0 h 111480"/>
              <a:gd name="T44" fmla="*/ 0 w 121780"/>
              <a:gd name="T45" fmla="*/ 0 h 111480"/>
              <a:gd name="T46" fmla="*/ 0 w 121780"/>
              <a:gd name="T47" fmla="*/ 0 h 111480"/>
              <a:gd name="T48" fmla="*/ 0 w 121780"/>
              <a:gd name="T49" fmla="*/ 0 h 111480"/>
              <a:gd name="T50" fmla="*/ 0 w 121780"/>
              <a:gd name="T51" fmla="*/ 0 h 111480"/>
              <a:gd name="T52" fmla="*/ 0 w 121780"/>
              <a:gd name="T53" fmla="*/ 0 h 111480"/>
              <a:gd name="T54" fmla="*/ 0 w 121780"/>
              <a:gd name="T55" fmla="*/ 0 h 111480"/>
              <a:gd name="T56" fmla="*/ 0 w 121780"/>
              <a:gd name="T57" fmla="*/ 0 h 111480"/>
              <a:gd name="T58" fmla="*/ 0 w 121780"/>
              <a:gd name="T59" fmla="*/ 0 h 111480"/>
              <a:gd name="T60" fmla="*/ 0 w 121780"/>
              <a:gd name="T61" fmla="*/ 0 h 111480"/>
              <a:gd name="T62" fmla="*/ 0 w 121780"/>
              <a:gd name="T63" fmla="*/ 0 h 111480"/>
              <a:gd name="T64" fmla="*/ 0 w 121780"/>
              <a:gd name="T65" fmla="*/ 0 h 111480"/>
              <a:gd name="T66" fmla="*/ 0 w 121780"/>
              <a:gd name="T67" fmla="*/ 0 h 111480"/>
              <a:gd name="T68" fmla="*/ 0 w 121780"/>
              <a:gd name="T69" fmla="*/ 0 h 111480"/>
              <a:gd name="T70" fmla="*/ 0 w 121780"/>
              <a:gd name="T71" fmla="*/ 0 h 111480"/>
              <a:gd name="T72" fmla="*/ 0 w 121780"/>
              <a:gd name="T73" fmla="*/ 0 h 111480"/>
              <a:gd name="T74" fmla="*/ 0 w 121780"/>
              <a:gd name="T75" fmla="*/ 0 h 111480"/>
              <a:gd name="T76" fmla="*/ 0 w 121780"/>
              <a:gd name="T77" fmla="*/ 0 h 111480"/>
              <a:gd name="T78" fmla="*/ 0 w 121780"/>
              <a:gd name="T79" fmla="*/ 0 h 111480"/>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21780"/>
              <a:gd name="T121" fmla="*/ 0 h 111480"/>
              <a:gd name="T122" fmla="*/ 121780 w 121780"/>
              <a:gd name="T123" fmla="*/ 111480 h 111480"/>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21780" h="111480">
                <a:moveTo>
                  <a:pt x="65405" y="267"/>
                </a:moveTo>
                <a:lnTo>
                  <a:pt x="71501" y="267"/>
                </a:lnTo>
                <a:cubicBezTo>
                  <a:pt x="76162" y="0"/>
                  <a:pt x="81686" y="787"/>
                  <a:pt x="85217" y="3315"/>
                </a:cubicBezTo>
                <a:lnTo>
                  <a:pt x="88265" y="4838"/>
                </a:lnTo>
                <a:lnTo>
                  <a:pt x="89789" y="4838"/>
                </a:lnTo>
                <a:cubicBezTo>
                  <a:pt x="101524" y="12090"/>
                  <a:pt x="106095" y="12789"/>
                  <a:pt x="112636" y="24638"/>
                </a:cubicBezTo>
                <a:lnTo>
                  <a:pt x="115684" y="29210"/>
                </a:lnTo>
                <a:lnTo>
                  <a:pt x="115684" y="32258"/>
                </a:lnTo>
                <a:lnTo>
                  <a:pt x="118732" y="33782"/>
                </a:lnTo>
                <a:lnTo>
                  <a:pt x="118732" y="36830"/>
                </a:lnTo>
                <a:lnTo>
                  <a:pt x="120256" y="39878"/>
                </a:lnTo>
                <a:lnTo>
                  <a:pt x="120256" y="41402"/>
                </a:lnTo>
                <a:lnTo>
                  <a:pt x="121780" y="44450"/>
                </a:lnTo>
                <a:lnTo>
                  <a:pt x="121780" y="67297"/>
                </a:lnTo>
                <a:lnTo>
                  <a:pt x="120256" y="70345"/>
                </a:lnTo>
                <a:lnTo>
                  <a:pt x="120256" y="71869"/>
                </a:lnTo>
                <a:lnTo>
                  <a:pt x="118732" y="74917"/>
                </a:lnTo>
                <a:lnTo>
                  <a:pt x="118732" y="77965"/>
                </a:lnTo>
                <a:lnTo>
                  <a:pt x="115684" y="79489"/>
                </a:lnTo>
                <a:lnTo>
                  <a:pt x="115684" y="82537"/>
                </a:lnTo>
                <a:lnTo>
                  <a:pt x="109588" y="91668"/>
                </a:lnTo>
                <a:lnTo>
                  <a:pt x="101968" y="99288"/>
                </a:lnTo>
                <a:lnTo>
                  <a:pt x="92824" y="105384"/>
                </a:lnTo>
                <a:lnTo>
                  <a:pt x="89789" y="105384"/>
                </a:lnTo>
                <a:lnTo>
                  <a:pt x="88265" y="106908"/>
                </a:lnTo>
                <a:lnTo>
                  <a:pt x="85217" y="108432"/>
                </a:lnTo>
                <a:lnTo>
                  <a:pt x="83693" y="109956"/>
                </a:lnTo>
                <a:lnTo>
                  <a:pt x="77597" y="109956"/>
                </a:lnTo>
                <a:lnTo>
                  <a:pt x="74549" y="111480"/>
                </a:lnTo>
                <a:lnTo>
                  <a:pt x="57785" y="111480"/>
                </a:lnTo>
                <a:lnTo>
                  <a:pt x="54737" y="109956"/>
                </a:lnTo>
                <a:lnTo>
                  <a:pt x="50178" y="109956"/>
                </a:lnTo>
                <a:lnTo>
                  <a:pt x="44082" y="106908"/>
                </a:lnTo>
                <a:lnTo>
                  <a:pt x="42558" y="105384"/>
                </a:lnTo>
                <a:cubicBezTo>
                  <a:pt x="33490" y="106057"/>
                  <a:pt x="29654" y="95085"/>
                  <a:pt x="22746" y="91668"/>
                </a:cubicBezTo>
                <a:lnTo>
                  <a:pt x="16650" y="82537"/>
                </a:lnTo>
                <a:lnTo>
                  <a:pt x="15139" y="79489"/>
                </a:lnTo>
                <a:lnTo>
                  <a:pt x="15139" y="77965"/>
                </a:lnTo>
                <a:cubicBezTo>
                  <a:pt x="0" y="44971"/>
                  <a:pt x="22670" y="2641"/>
                  <a:pt x="60833" y="267"/>
                </a:cubicBezTo>
                <a:lnTo>
                  <a:pt x="65405" y="267"/>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83" name="Shape 9061">
            <a:extLst>
              <a:ext uri="{FF2B5EF4-FFF2-40B4-BE49-F238E27FC236}">
                <a16:creationId xmlns:a16="http://schemas.microsoft.com/office/drawing/2014/main" id="{00000000-0008-0000-0500-000053000000}"/>
              </a:ext>
            </a:extLst>
          </xdr:cNvPr>
          <xdr:cNvSpPr>
            <a:spLocks/>
          </xdr:cNvSpPr>
        </xdr:nvSpPr>
        <xdr:spPr bwMode="auto">
          <a:xfrm>
            <a:off x="0" y="883"/>
            <a:ext cx="1493" cy="1493"/>
          </a:xfrm>
          <a:custGeom>
            <a:avLst/>
            <a:gdLst>
              <a:gd name="T0" fmla="*/ 0 w 149301"/>
              <a:gd name="T1" fmla="*/ 0 h 149301"/>
              <a:gd name="T2" fmla="*/ 0 w 149301"/>
              <a:gd name="T3" fmla="*/ 0 h 149301"/>
              <a:gd name="T4" fmla="*/ 0 w 149301"/>
              <a:gd name="T5" fmla="*/ 0 h 149301"/>
              <a:gd name="T6" fmla="*/ 0 w 149301"/>
              <a:gd name="T7" fmla="*/ 0 h 149301"/>
              <a:gd name="T8" fmla="*/ 0 w 149301"/>
              <a:gd name="T9" fmla="*/ 0 h 149301"/>
              <a:gd name="T10" fmla="*/ 0 w 149301"/>
              <a:gd name="T11" fmla="*/ 0 h 149301"/>
              <a:gd name="T12" fmla="*/ 0 w 149301"/>
              <a:gd name="T13" fmla="*/ 0 h 149301"/>
              <a:gd name="T14" fmla="*/ 0 w 149301"/>
              <a:gd name="T15" fmla="*/ 0 h 149301"/>
              <a:gd name="T16" fmla="*/ 0 w 149301"/>
              <a:gd name="T17" fmla="*/ 0 h 149301"/>
              <a:gd name="T18" fmla="*/ 0 w 149301"/>
              <a:gd name="T19" fmla="*/ 0 h 149301"/>
              <a:gd name="T20" fmla="*/ 0 w 149301"/>
              <a:gd name="T21" fmla="*/ 0 h 149301"/>
              <a:gd name="T22" fmla="*/ 0 w 149301"/>
              <a:gd name="T23" fmla="*/ 0 h 149301"/>
              <a:gd name="T24" fmla="*/ 0 w 149301"/>
              <a:gd name="T25" fmla="*/ 0 h 149301"/>
              <a:gd name="T26" fmla="*/ 0 w 149301"/>
              <a:gd name="T27" fmla="*/ 0 h 149301"/>
              <a:gd name="T28" fmla="*/ 0 w 149301"/>
              <a:gd name="T29" fmla="*/ 0 h 149301"/>
              <a:gd name="T30" fmla="*/ 0 w 149301"/>
              <a:gd name="T31" fmla="*/ 0 h 149301"/>
              <a:gd name="T32" fmla="*/ 0 w 149301"/>
              <a:gd name="T33" fmla="*/ 0 h 149301"/>
              <a:gd name="T34" fmla="*/ 0 w 149301"/>
              <a:gd name="T35" fmla="*/ 0 h 149301"/>
              <a:gd name="T36" fmla="*/ 0 w 149301"/>
              <a:gd name="T37" fmla="*/ 0 h 149301"/>
              <a:gd name="T38" fmla="*/ 0 w 149301"/>
              <a:gd name="T39" fmla="*/ 0 h 149301"/>
              <a:gd name="T40" fmla="*/ 0 w 149301"/>
              <a:gd name="T41" fmla="*/ 0 h 149301"/>
              <a:gd name="T42" fmla="*/ 0 w 149301"/>
              <a:gd name="T43" fmla="*/ 0 h 149301"/>
              <a:gd name="T44" fmla="*/ 0 w 149301"/>
              <a:gd name="T45" fmla="*/ 0 h 149301"/>
              <a:gd name="T46" fmla="*/ 0 w 149301"/>
              <a:gd name="T47" fmla="*/ 0 h 149301"/>
              <a:gd name="T48" fmla="*/ 0 w 149301"/>
              <a:gd name="T49" fmla="*/ 0 h 149301"/>
              <a:gd name="T50" fmla="*/ 0 w 149301"/>
              <a:gd name="T51" fmla="*/ 0 h 149301"/>
              <a:gd name="T52" fmla="*/ 0 w 149301"/>
              <a:gd name="T53" fmla="*/ 0 h 149301"/>
              <a:gd name="T54" fmla="*/ 0 w 149301"/>
              <a:gd name="T55" fmla="*/ 0 h 149301"/>
              <a:gd name="T56" fmla="*/ 0 w 149301"/>
              <a:gd name="T57" fmla="*/ 0 h 149301"/>
              <a:gd name="T58" fmla="*/ 0 w 149301"/>
              <a:gd name="T59" fmla="*/ 0 h 149301"/>
              <a:gd name="T60" fmla="*/ 0 w 149301"/>
              <a:gd name="T61" fmla="*/ 0 h 149301"/>
              <a:gd name="T62" fmla="*/ 0 w 149301"/>
              <a:gd name="T63" fmla="*/ 0 h 149301"/>
              <a:gd name="T64" fmla="*/ 0 w 149301"/>
              <a:gd name="T65" fmla="*/ 0 h 149301"/>
              <a:gd name="T66" fmla="*/ 0 w 149301"/>
              <a:gd name="T67" fmla="*/ 0 h 149301"/>
              <a:gd name="T68" fmla="*/ 0 w 149301"/>
              <a:gd name="T69" fmla="*/ 0 h 149301"/>
              <a:gd name="T70" fmla="*/ 0 w 149301"/>
              <a:gd name="T71" fmla="*/ 0 h 149301"/>
              <a:gd name="T72" fmla="*/ 0 w 149301"/>
              <a:gd name="T73" fmla="*/ 0 h 149301"/>
              <a:gd name="T74" fmla="*/ 0 w 149301"/>
              <a:gd name="T75" fmla="*/ 0 h 149301"/>
              <a:gd name="T76" fmla="*/ 0 w 149301"/>
              <a:gd name="T77" fmla="*/ 0 h 149301"/>
              <a:gd name="T78" fmla="*/ 0 w 149301"/>
              <a:gd name="T79" fmla="*/ 0 h 149301"/>
              <a:gd name="T80" fmla="*/ 0 w 149301"/>
              <a:gd name="T81" fmla="*/ 0 h 149301"/>
              <a:gd name="T82" fmla="*/ 0 w 149301"/>
              <a:gd name="T83" fmla="*/ 0 h 149301"/>
              <a:gd name="T84" fmla="*/ 0 w 149301"/>
              <a:gd name="T85" fmla="*/ 0 h 149301"/>
              <a:gd name="T86" fmla="*/ 0 w 149301"/>
              <a:gd name="T87" fmla="*/ 0 h 149301"/>
              <a:gd name="T88" fmla="*/ 0 w 149301"/>
              <a:gd name="T89" fmla="*/ 0 h 149301"/>
              <a:gd name="T90" fmla="*/ 0 w 149301"/>
              <a:gd name="T91" fmla="*/ 0 h 149301"/>
              <a:gd name="T92" fmla="*/ 0 w 149301"/>
              <a:gd name="T93" fmla="*/ 0 h 149301"/>
              <a:gd name="T94" fmla="*/ 0 w 149301"/>
              <a:gd name="T95" fmla="*/ 0 h 149301"/>
              <a:gd name="T96" fmla="*/ 0 w 149301"/>
              <a:gd name="T97" fmla="*/ 0 h 149301"/>
              <a:gd name="T98" fmla="*/ 0 w 149301"/>
              <a:gd name="T99" fmla="*/ 0 h 149301"/>
              <a:gd name="T100" fmla="*/ 0 w 149301"/>
              <a:gd name="T101" fmla="*/ 0 h 149301"/>
              <a:gd name="T102" fmla="*/ 0 w 149301"/>
              <a:gd name="T103" fmla="*/ 0 h 149301"/>
              <a:gd name="T104" fmla="*/ 0 w 149301"/>
              <a:gd name="T105" fmla="*/ 0 h 149301"/>
              <a:gd name="T106" fmla="*/ 0 w 149301"/>
              <a:gd name="T107" fmla="*/ 0 h 149301"/>
              <a:gd name="T108" fmla="*/ 0 w 149301"/>
              <a:gd name="T109" fmla="*/ 0 h 149301"/>
              <a:gd name="T110" fmla="*/ 0 w 149301"/>
              <a:gd name="T111" fmla="*/ 0 h 14930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149301"/>
              <a:gd name="T169" fmla="*/ 0 h 149301"/>
              <a:gd name="T170" fmla="*/ 149301 w 149301"/>
              <a:gd name="T171" fmla="*/ 149301 h 149301"/>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149301" h="149301">
                <a:moveTo>
                  <a:pt x="74650" y="0"/>
                </a:moveTo>
                <a:lnTo>
                  <a:pt x="79222" y="0"/>
                </a:lnTo>
                <a:lnTo>
                  <a:pt x="82270" y="1524"/>
                </a:lnTo>
                <a:lnTo>
                  <a:pt x="86842" y="1524"/>
                </a:lnTo>
                <a:cubicBezTo>
                  <a:pt x="120205" y="5486"/>
                  <a:pt x="147574" y="37160"/>
                  <a:pt x="149301" y="70078"/>
                </a:cubicBezTo>
                <a:lnTo>
                  <a:pt x="149301" y="77698"/>
                </a:lnTo>
                <a:cubicBezTo>
                  <a:pt x="148386" y="112699"/>
                  <a:pt x="117919" y="146722"/>
                  <a:pt x="82270" y="147777"/>
                </a:cubicBezTo>
                <a:lnTo>
                  <a:pt x="79222" y="147777"/>
                </a:lnTo>
                <a:lnTo>
                  <a:pt x="74650" y="149301"/>
                </a:lnTo>
                <a:lnTo>
                  <a:pt x="71602" y="147777"/>
                </a:lnTo>
                <a:lnTo>
                  <a:pt x="59410" y="147777"/>
                </a:lnTo>
                <a:lnTo>
                  <a:pt x="53327" y="144728"/>
                </a:lnTo>
                <a:lnTo>
                  <a:pt x="48755" y="144728"/>
                </a:lnTo>
                <a:lnTo>
                  <a:pt x="36563" y="138645"/>
                </a:lnTo>
                <a:lnTo>
                  <a:pt x="33515" y="135597"/>
                </a:lnTo>
                <a:lnTo>
                  <a:pt x="30467" y="134073"/>
                </a:lnTo>
                <a:lnTo>
                  <a:pt x="22847" y="126453"/>
                </a:lnTo>
                <a:lnTo>
                  <a:pt x="19799" y="124929"/>
                </a:lnTo>
                <a:lnTo>
                  <a:pt x="18288" y="121881"/>
                </a:lnTo>
                <a:lnTo>
                  <a:pt x="15240" y="118833"/>
                </a:lnTo>
                <a:lnTo>
                  <a:pt x="12192" y="112737"/>
                </a:lnTo>
                <a:lnTo>
                  <a:pt x="9144" y="109689"/>
                </a:lnTo>
                <a:lnTo>
                  <a:pt x="9144" y="106642"/>
                </a:lnTo>
                <a:lnTo>
                  <a:pt x="6096" y="103606"/>
                </a:lnTo>
                <a:lnTo>
                  <a:pt x="4572" y="100558"/>
                </a:lnTo>
                <a:lnTo>
                  <a:pt x="4572" y="95986"/>
                </a:lnTo>
                <a:lnTo>
                  <a:pt x="3048" y="92938"/>
                </a:lnTo>
                <a:lnTo>
                  <a:pt x="3048" y="89890"/>
                </a:lnTo>
                <a:lnTo>
                  <a:pt x="1524" y="85318"/>
                </a:lnTo>
                <a:lnTo>
                  <a:pt x="1524" y="77698"/>
                </a:lnTo>
                <a:lnTo>
                  <a:pt x="0" y="74650"/>
                </a:lnTo>
                <a:lnTo>
                  <a:pt x="1524" y="70078"/>
                </a:lnTo>
                <a:lnTo>
                  <a:pt x="1524" y="63995"/>
                </a:lnTo>
                <a:lnTo>
                  <a:pt x="3048" y="59423"/>
                </a:lnTo>
                <a:lnTo>
                  <a:pt x="3048" y="56375"/>
                </a:lnTo>
                <a:lnTo>
                  <a:pt x="4572" y="51803"/>
                </a:lnTo>
                <a:lnTo>
                  <a:pt x="4572" y="48755"/>
                </a:lnTo>
                <a:lnTo>
                  <a:pt x="6096" y="45707"/>
                </a:lnTo>
                <a:lnTo>
                  <a:pt x="9144" y="42659"/>
                </a:lnTo>
                <a:lnTo>
                  <a:pt x="9144" y="39611"/>
                </a:lnTo>
                <a:lnTo>
                  <a:pt x="12192" y="36563"/>
                </a:lnTo>
                <a:lnTo>
                  <a:pt x="15240" y="30467"/>
                </a:lnTo>
                <a:lnTo>
                  <a:pt x="18288" y="27432"/>
                </a:lnTo>
                <a:lnTo>
                  <a:pt x="19799" y="24384"/>
                </a:lnTo>
                <a:lnTo>
                  <a:pt x="22847" y="22860"/>
                </a:lnTo>
                <a:lnTo>
                  <a:pt x="25895" y="19812"/>
                </a:lnTo>
                <a:lnTo>
                  <a:pt x="27419" y="16764"/>
                </a:lnTo>
                <a:lnTo>
                  <a:pt x="33515" y="13716"/>
                </a:lnTo>
                <a:lnTo>
                  <a:pt x="36563" y="10668"/>
                </a:lnTo>
                <a:lnTo>
                  <a:pt x="48755" y="4572"/>
                </a:lnTo>
                <a:lnTo>
                  <a:pt x="53327" y="3048"/>
                </a:lnTo>
                <a:lnTo>
                  <a:pt x="56375" y="3048"/>
                </a:lnTo>
                <a:lnTo>
                  <a:pt x="59410" y="1524"/>
                </a:lnTo>
                <a:lnTo>
                  <a:pt x="67030" y="1524"/>
                </a:lnTo>
                <a:lnTo>
                  <a:pt x="71602" y="0"/>
                </a:lnTo>
                <a:lnTo>
                  <a:pt x="7465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84" name="Shape 9062">
            <a:extLst>
              <a:ext uri="{FF2B5EF4-FFF2-40B4-BE49-F238E27FC236}">
                <a16:creationId xmlns:a16="http://schemas.microsoft.com/office/drawing/2014/main" id="{00000000-0008-0000-0500-000054000000}"/>
              </a:ext>
            </a:extLst>
          </xdr:cNvPr>
          <xdr:cNvSpPr>
            <a:spLocks/>
          </xdr:cNvSpPr>
        </xdr:nvSpPr>
        <xdr:spPr bwMode="auto">
          <a:xfrm>
            <a:off x="578" y="1477"/>
            <a:ext cx="320" cy="351"/>
          </a:xfrm>
          <a:custGeom>
            <a:avLst/>
            <a:gdLst>
              <a:gd name="T0" fmla="*/ 0 w 32004"/>
              <a:gd name="T1" fmla="*/ 0 h 35039"/>
              <a:gd name="T2" fmla="*/ 0 w 32004"/>
              <a:gd name="T3" fmla="*/ 0 h 35039"/>
              <a:gd name="T4" fmla="*/ 0 w 32004"/>
              <a:gd name="T5" fmla="*/ 0 h 35039"/>
              <a:gd name="T6" fmla="*/ 0 w 32004"/>
              <a:gd name="T7" fmla="*/ 0 h 35039"/>
              <a:gd name="T8" fmla="*/ 0 w 32004"/>
              <a:gd name="T9" fmla="*/ 0 h 35039"/>
              <a:gd name="T10" fmla="*/ 0 w 32004"/>
              <a:gd name="T11" fmla="*/ 0 h 35039"/>
              <a:gd name="T12" fmla="*/ 0 w 32004"/>
              <a:gd name="T13" fmla="*/ 0 h 35039"/>
              <a:gd name="T14" fmla="*/ 0 w 32004"/>
              <a:gd name="T15" fmla="*/ 0 h 35039"/>
              <a:gd name="T16" fmla="*/ 0 w 32004"/>
              <a:gd name="T17" fmla="*/ 0 h 35039"/>
              <a:gd name="T18" fmla="*/ 0 w 32004"/>
              <a:gd name="T19" fmla="*/ 0 h 35039"/>
              <a:gd name="T20" fmla="*/ 0 w 32004"/>
              <a:gd name="T21" fmla="*/ 0 h 35039"/>
              <a:gd name="T22" fmla="*/ 0 w 32004"/>
              <a:gd name="T23" fmla="*/ 0 h 35039"/>
              <a:gd name="T24" fmla="*/ 0 w 32004"/>
              <a:gd name="T25" fmla="*/ 0 h 35039"/>
              <a:gd name="T26" fmla="*/ 0 w 32004"/>
              <a:gd name="T27" fmla="*/ 0 h 35039"/>
              <a:gd name="T28" fmla="*/ 0 w 32004"/>
              <a:gd name="T29" fmla="*/ 0 h 35039"/>
              <a:gd name="T30" fmla="*/ 0 w 32004"/>
              <a:gd name="T31" fmla="*/ 0 h 35039"/>
              <a:gd name="T32" fmla="*/ 0 w 32004"/>
              <a:gd name="T33" fmla="*/ 0 h 35039"/>
              <a:gd name="T34" fmla="*/ 0 w 32004"/>
              <a:gd name="T35" fmla="*/ 0 h 35039"/>
              <a:gd name="T36" fmla="*/ 0 w 32004"/>
              <a:gd name="T37" fmla="*/ 0 h 35039"/>
              <a:gd name="T38" fmla="*/ 0 w 32004"/>
              <a:gd name="T39" fmla="*/ 0 h 35039"/>
              <a:gd name="T40" fmla="*/ 0 w 32004"/>
              <a:gd name="T41" fmla="*/ 0 h 35039"/>
              <a:gd name="T42" fmla="*/ 0 w 32004"/>
              <a:gd name="T43" fmla="*/ 0 h 35039"/>
              <a:gd name="T44" fmla="*/ 0 w 32004"/>
              <a:gd name="T45" fmla="*/ 0 h 35039"/>
              <a:gd name="T46" fmla="*/ 0 w 32004"/>
              <a:gd name="T47" fmla="*/ 0 h 35039"/>
              <a:gd name="T48" fmla="*/ 0 w 32004"/>
              <a:gd name="T49" fmla="*/ 0 h 35039"/>
              <a:gd name="T50" fmla="*/ 0 w 32004"/>
              <a:gd name="T51" fmla="*/ 0 h 35039"/>
              <a:gd name="T52" fmla="*/ 0 w 32004"/>
              <a:gd name="T53" fmla="*/ 0 h 35039"/>
              <a:gd name="T54" fmla="*/ 0 w 32004"/>
              <a:gd name="T55" fmla="*/ 0 h 35039"/>
              <a:gd name="T56" fmla="*/ 0 w 32004"/>
              <a:gd name="T57" fmla="*/ 0 h 35039"/>
              <a:gd name="T58" fmla="*/ 0 w 32004"/>
              <a:gd name="T59" fmla="*/ 0 h 35039"/>
              <a:gd name="T60" fmla="*/ 0 w 32004"/>
              <a:gd name="T61" fmla="*/ 0 h 35039"/>
              <a:gd name="T62" fmla="*/ 0 w 32004"/>
              <a:gd name="T63" fmla="*/ 0 h 35039"/>
              <a:gd name="T64" fmla="*/ 0 w 32004"/>
              <a:gd name="T65" fmla="*/ 0 h 35039"/>
              <a:gd name="T66" fmla="*/ 0 w 32004"/>
              <a:gd name="T67" fmla="*/ 0 h 35039"/>
              <a:gd name="T68" fmla="*/ 0 w 32004"/>
              <a:gd name="T69" fmla="*/ 0 h 35039"/>
              <a:gd name="T70" fmla="*/ 0 w 32004"/>
              <a:gd name="T71" fmla="*/ 0 h 35039"/>
              <a:gd name="T72" fmla="*/ 0 w 32004"/>
              <a:gd name="T73" fmla="*/ 0 h 3503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2004"/>
              <a:gd name="T112" fmla="*/ 0 h 35039"/>
              <a:gd name="T113" fmla="*/ 32004 w 32004"/>
              <a:gd name="T114" fmla="*/ 35039 h 3503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2004" h="35039">
                <a:moveTo>
                  <a:pt x="15240" y="0"/>
                </a:moveTo>
                <a:lnTo>
                  <a:pt x="18288" y="0"/>
                </a:lnTo>
                <a:lnTo>
                  <a:pt x="18288" y="1524"/>
                </a:lnTo>
                <a:lnTo>
                  <a:pt x="22860" y="1524"/>
                </a:lnTo>
                <a:lnTo>
                  <a:pt x="22860" y="3048"/>
                </a:lnTo>
                <a:lnTo>
                  <a:pt x="24384" y="3048"/>
                </a:lnTo>
                <a:lnTo>
                  <a:pt x="30480" y="9131"/>
                </a:lnTo>
                <a:lnTo>
                  <a:pt x="30480" y="10655"/>
                </a:lnTo>
                <a:lnTo>
                  <a:pt x="32004" y="12179"/>
                </a:lnTo>
                <a:lnTo>
                  <a:pt x="32004" y="22847"/>
                </a:lnTo>
                <a:lnTo>
                  <a:pt x="30480" y="24371"/>
                </a:lnTo>
                <a:lnTo>
                  <a:pt x="30480" y="25895"/>
                </a:lnTo>
                <a:lnTo>
                  <a:pt x="28956" y="27419"/>
                </a:lnTo>
                <a:lnTo>
                  <a:pt x="28956" y="28943"/>
                </a:lnTo>
                <a:lnTo>
                  <a:pt x="27432" y="30467"/>
                </a:lnTo>
                <a:lnTo>
                  <a:pt x="25908" y="30467"/>
                </a:lnTo>
                <a:lnTo>
                  <a:pt x="22860" y="33515"/>
                </a:lnTo>
                <a:lnTo>
                  <a:pt x="21336" y="33515"/>
                </a:lnTo>
                <a:lnTo>
                  <a:pt x="18288" y="35039"/>
                </a:lnTo>
                <a:lnTo>
                  <a:pt x="12192" y="35039"/>
                </a:lnTo>
                <a:lnTo>
                  <a:pt x="12192" y="33515"/>
                </a:lnTo>
                <a:lnTo>
                  <a:pt x="9144" y="33515"/>
                </a:lnTo>
                <a:lnTo>
                  <a:pt x="6096" y="30467"/>
                </a:lnTo>
                <a:lnTo>
                  <a:pt x="4572" y="30467"/>
                </a:lnTo>
                <a:lnTo>
                  <a:pt x="3048" y="28943"/>
                </a:lnTo>
                <a:lnTo>
                  <a:pt x="3048" y="27419"/>
                </a:lnTo>
                <a:lnTo>
                  <a:pt x="1524" y="25895"/>
                </a:lnTo>
                <a:lnTo>
                  <a:pt x="1524" y="24371"/>
                </a:lnTo>
                <a:lnTo>
                  <a:pt x="0" y="22847"/>
                </a:lnTo>
                <a:lnTo>
                  <a:pt x="0" y="12179"/>
                </a:lnTo>
                <a:lnTo>
                  <a:pt x="1524" y="10655"/>
                </a:lnTo>
                <a:lnTo>
                  <a:pt x="1524" y="9131"/>
                </a:lnTo>
                <a:lnTo>
                  <a:pt x="7620" y="3048"/>
                </a:lnTo>
                <a:lnTo>
                  <a:pt x="9144" y="3048"/>
                </a:lnTo>
                <a:lnTo>
                  <a:pt x="9144" y="1524"/>
                </a:lnTo>
                <a:lnTo>
                  <a:pt x="12192" y="1524"/>
                </a:lnTo>
                <a:lnTo>
                  <a:pt x="15240" y="0"/>
                </a:ln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85" name="Shape 9063">
            <a:extLst>
              <a:ext uri="{FF2B5EF4-FFF2-40B4-BE49-F238E27FC236}">
                <a16:creationId xmlns:a16="http://schemas.microsoft.com/office/drawing/2014/main" id="{00000000-0008-0000-0500-000055000000}"/>
              </a:ext>
            </a:extLst>
          </xdr:cNvPr>
          <xdr:cNvSpPr>
            <a:spLocks/>
          </xdr:cNvSpPr>
        </xdr:nvSpPr>
        <xdr:spPr bwMode="auto">
          <a:xfrm>
            <a:off x="578" y="1477"/>
            <a:ext cx="320" cy="351"/>
          </a:xfrm>
          <a:custGeom>
            <a:avLst/>
            <a:gdLst>
              <a:gd name="T0" fmla="*/ 0 w 32004"/>
              <a:gd name="T1" fmla="*/ 0 h 35039"/>
              <a:gd name="T2" fmla="*/ 0 w 32004"/>
              <a:gd name="T3" fmla="*/ 0 h 35039"/>
              <a:gd name="T4" fmla="*/ 0 w 32004"/>
              <a:gd name="T5" fmla="*/ 0 h 35039"/>
              <a:gd name="T6" fmla="*/ 0 w 32004"/>
              <a:gd name="T7" fmla="*/ 0 h 35039"/>
              <a:gd name="T8" fmla="*/ 0 w 32004"/>
              <a:gd name="T9" fmla="*/ 0 h 35039"/>
              <a:gd name="T10" fmla="*/ 0 w 32004"/>
              <a:gd name="T11" fmla="*/ 0 h 35039"/>
              <a:gd name="T12" fmla="*/ 0 w 32004"/>
              <a:gd name="T13" fmla="*/ 0 h 35039"/>
              <a:gd name="T14" fmla="*/ 0 w 32004"/>
              <a:gd name="T15" fmla="*/ 0 h 35039"/>
              <a:gd name="T16" fmla="*/ 0 w 32004"/>
              <a:gd name="T17" fmla="*/ 0 h 35039"/>
              <a:gd name="T18" fmla="*/ 0 w 32004"/>
              <a:gd name="T19" fmla="*/ 0 h 35039"/>
              <a:gd name="T20" fmla="*/ 0 w 32004"/>
              <a:gd name="T21" fmla="*/ 0 h 35039"/>
              <a:gd name="T22" fmla="*/ 0 w 32004"/>
              <a:gd name="T23" fmla="*/ 0 h 35039"/>
              <a:gd name="T24" fmla="*/ 0 w 32004"/>
              <a:gd name="T25" fmla="*/ 0 h 35039"/>
              <a:gd name="T26" fmla="*/ 0 w 32004"/>
              <a:gd name="T27" fmla="*/ 0 h 35039"/>
              <a:gd name="T28" fmla="*/ 0 w 32004"/>
              <a:gd name="T29" fmla="*/ 0 h 35039"/>
              <a:gd name="T30" fmla="*/ 0 w 32004"/>
              <a:gd name="T31" fmla="*/ 0 h 35039"/>
              <a:gd name="T32" fmla="*/ 0 w 32004"/>
              <a:gd name="T33" fmla="*/ 0 h 35039"/>
              <a:gd name="T34" fmla="*/ 0 w 32004"/>
              <a:gd name="T35" fmla="*/ 0 h 35039"/>
              <a:gd name="T36" fmla="*/ 0 w 32004"/>
              <a:gd name="T37" fmla="*/ 0 h 35039"/>
              <a:gd name="T38" fmla="*/ 0 w 32004"/>
              <a:gd name="T39" fmla="*/ 0 h 35039"/>
              <a:gd name="T40" fmla="*/ 0 w 32004"/>
              <a:gd name="T41" fmla="*/ 0 h 35039"/>
              <a:gd name="T42" fmla="*/ 0 w 32004"/>
              <a:gd name="T43" fmla="*/ 0 h 35039"/>
              <a:gd name="T44" fmla="*/ 0 w 32004"/>
              <a:gd name="T45" fmla="*/ 0 h 35039"/>
              <a:gd name="T46" fmla="*/ 0 w 32004"/>
              <a:gd name="T47" fmla="*/ 0 h 35039"/>
              <a:gd name="T48" fmla="*/ 0 w 32004"/>
              <a:gd name="T49" fmla="*/ 0 h 35039"/>
              <a:gd name="T50" fmla="*/ 0 w 32004"/>
              <a:gd name="T51" fmla="*/ 0 h 35039"/>
              <a:gd name="T52" fmla="*/ 0 w 32004"/>
              <a:gd name="T53" fmla="*/ 0 h 35039"/>
              <a:gd name="T54" fmla="*/ 0 w 32004"/>
              <a:gd name="T55" fmla="*/ 0 h 35039"/>
              <a:gd name="T56" fmla="*/ 0 w 32004"/>
              <a:gd name="T57" fmla="*/ 0 h 35039"/>
              <a:gd name="T58" fmla="*/ 0 w 32004"/>
              <a:gd name="T59" fmla="*/ 0 h 35039"/>
              <a:gd name="T60" fmla="*/ 0 w 32004"/>
              <a:gd name="T61" fmla="*/ 0 h 35039"/>
              <a:gd name="T62" fmla="*/ 0 w 32004"/>
              <a:gd name="T63" fmla="*/ 0 h 35039"/>
              <a:gd name="T64" fmla="*/ 0 w 32004"/>
              <a:gd name="T65" fmla="*/ 0 h 35039"/>
              <a:gd name="T66" fmla="*/ 0 w 32004"/>
              <a:gd name="T67" fmla="*/ 0 h 35039"/>
              <a:gd name="T68" fmla="*/ 0 w 32004"/>
              <a:gd name="T69" fmla="*/ 0 h 35039"/>
              <a:gd name="T70" fmla="*/ 0 w 32004"/>
              <a:gd name="T71" fmla="*/ 0 h 35039"/>
              <a:gd name="T72" fmla="*/ 0 w 32004"/>
              <a:gd name="T73" fmla="*/ 0 h 3503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2004"/>
              <a:gd name="T112" fmla="*/ 0 h 35039"/>
              <a:gd name="T113" fmla="*/ 32004 w 32004"/>
              <a:gd name="T114" fmla="*/ 35039 h 3503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2004" h="35039">
                <a:moveTo>
                  <a:pt x="15240" y="0"/>
                </a:moveTo>
                <a:lnTo>
                  <a:pt x="18288" y="0"/>
                </a:lnTo>
                <a:lnTo>
                  <a:pt x="18288" y="1524"/>
                </a:lnTo>
                <a:lnTo>
                  <a:pt x="22860" y="1524"/>
                </a:lnTo>
                <a:lnTo>
                  <a:pt x="22860" y="3048"/>
                </a:lnTo>
                <a:lnTo>
                  <a:pt x="24384" y="3048"/>
                </a:lnTo>
                <a:lnTo>
                  <a:pt x="30480" y="9131"/>
                </a:lnTo>
                <a:lnTo>
                  <a:pt x="30480" y="10655"/>
                </a:lnTo>
                <a:lnTo>
                  <a:pt x="32004" y="12179"/>
                </a:lnTo>
                <a:lnTo>
                  <a:pt x="32004" y="22847"/>
                </a:lnTo>
                <a:lnTo>
                  <a:pt x="30480" y="24371"/>
                </a:lnTo>
                <a:lnTo>
                  <a:pt x="30480" y="25895"/>
                </a:lnTo>
                <a:lnTo>
                  <a:pt x="28956" y="27419"/>
                </a:lnTo>
                <a:lnTo>
                  <a:pt x="28956" y="28943"/>
                </a:lnTo>
                <a:lnTo>
                  <a:pt x="27432" y="30467"/>
                </a:lnTo>
                <a:lnTo>
                  <a:pt x="25908" y="30467"/>
                </a:lnTo>
                <a:lnTo>
                  <a:pt x="22860" y="33515"/>
                </a:lnTo>
                <a:lnTo>
                  <a:pt x="21336" y="33515"/>
                </a:lnTo>
                <a:lnTo>
                  <a:pt x="18288" y="35039"/>
                </a:lnTo>
                <a:lnTo>
                  <a:pt x="12192" y="35039"/>
                </a:lnTo>
                <a:lnTo>
                  <a:pt x="12192" y="33515"/>
                </a:lnTo>
                <a:lnTo>
                  <a:pt x="9144" y="33515"/>
                </a:lnTo>
                <a:lnTo>
                  <a:pt x="6096" y="30467"/>
                </a:lnTo>
                <a:lnTo>
                  <a:pt x="4572" y="30467"/>
                </a:lnTo>
                <a:lnTo>
                  <a:pt x="3048" y="28943"/>
                </a:lnTo>
                <a:lnTo>
                  <a:pt x="3048" y="27419"/>
                </a:lnTo>
                <a:lnTo>
                  <a:pt x="1524" y="25895"/>
                </a:lnTo>
                <a:lnTo>
                  <a:pt x="1524" y="24371"/>
                </a:lnTo>
                <a:lnTo>
                  <a:pt x="0" y="22847"/>
                </a:lnTo>
                <a:lnTo>
                  <a:pt x="0" y="12179"/>
                </a:lnTo>
                <a:lnTo>
                  <a:pt x="1524" y="10655"/>
                </a:lnTo>
                <a:lnTo>
                  <a:pt x="1524" y="9131"/>
                </a:lnTo>
                <a:lnTo>
                  <a:pt x="7620" y="3048"/>
                </a:lnTo>
                <a:lnTo>
                  <a:pt x="9144" y="3048"/>
                </a:lnTo>
                <a:lnTo>
                  <a:pt x="9144" y="1524"/>
                </a:lnTo>
                <a:lnTo>
                  <a:pt x="12192" y="1524"/>
                </a:lnTo>
                <a:lnTo>
                  <a:pt x="1524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86" name="Shape 9064">
            <a:extLst>
              <a:ext uri="{FF2B5EF4-FFF2-40B4-BE49-F238E27FC236}">
                <a16:creationId xmlns:a16="http://schemas.microsoft.com/office/drawing/2014/main" id="{00000000-0008-0000-0500-000056000000}"/>
              </a:ext>
            </a:extLst>
          </xdr:cNvPr>
          <xdr:cNvSpPr>
            <a:spLocks/>
          </xdr:cNvSpPr>
        </xdr:nvSpPr>
        <xdr:spPr bwMode="auto">
          <a:xfrm>
            <a:off x="198" y="1066"/>
            <a:ext cx="1112" cy="1097"/>
          </a:xfrm>
          <a:custGeom>
            <a:avLst/>
            <a:gdLst>
              <a:gd name="T0" fmla="*/ 0 w 111226"/>
              <a:gd name="T1" fmla="*/ 0 h 109689"/>
              <a:gd name="T2" fmla="*/ 0 w 111226"/>
              <a:gd name="T3" fmla="*/ 0 h 109689"/>
              <a:gd name="T4" fmla="*/ 0 w 111226"/>
              <a:gd name="T5" fmla="*/ 0 h 109689"/>
              <a:gd name="T6" fmla="*/ 0 w 111226"/>
              <a:gd name="T7" fmla="*/ 0 h 109689"/>
              <a:gd name="T8" fmla="*/ 0 w 111226"/>
              <a:gd name="T9" fmla="*/ 0 h 109689"/>
              <a:gd name="T10" fmla="*/ 0 w 111226"/>
              <a:gd name="T11" fmla="*/ 0 h 109689"/>
              <a:gd name="T12" fmla="*/ 0 w 111226"/>
              <a:gd name="T13" fmla="*/ 0 h 109689"/>
              <a:gd name="T14" fmla="*/ 0 w 111226"/>
              <a:gd name="T15" fmla="*/ 0 h 109689"/>
              <a:gd name="T16" fmla="*/ 0 w 111226"/>
              <a:gd name="T17" fmla="*/ 0 h 109689"/>
              <a:gd name="T18" fmla="*/ 0 w 111226"/>
              <a:gd name="T19" fmla="*/ 0 h 109689"/>
              <a:gd name="T20" fmla="*/ 0 w 111226"/>
              <a:gd name="T21" fmla="*/ 0 h 109689"/>
              <a:gd name="T22" fmla="*/ 0 w 111226"/>
              <a:gd name="T23" fmla="*/ 0 h 109689"/>
              <a:gd name="T24" fmla="*/ 0 w 111226"/>
              <a:gd name="T25" fmla="*/ 0 h 109689"/>
              <a:gd name="T26" fmla="*/ 0 w 111226"/>
              <a:gd name="T27" fmla="*/ 0 h 109689"/>
              <a:gd name="T28" fmla="*/ 0 w 111226"/>
              <a:gd name="T29" fmla="*/ 0 h 109689"/>
              <a:gd name="T30" fmla="*/ 0 w 111226"/>
              <a:gd name="T31" fmla="*/ 0 h 109689"/>
              <a:gd name="T32" fmla="*/ 0 w 111226"/>
              <a:gd name="T33" fmla="*/ 0 h 109689"/>
              <a:gd name="T34" fmla="*/ 0 w 111226"/>
              <a:gd name="T35" fmla="*/ 0 h 109689"/>
              <a:gd name="T36" fmla="*/ 0 w 111226"/>
              <a:gd name="T37" fmla="*/ 0 h 109689"/>
              <a:gd name="T38" fmla="*/ 0 w 111226"/>
              <a:gd name="T39" fmla="*/ 0 h 109689"/>
              <a:gd name="T40" fmla="*/ 0 w 111226"/>
              <a:gd name="T41" fmla="*/ 0 h 109689"/>
              <a:gd name="T42" fmla="*/ 0 w 111226"/>
              <a:gd name="T43" fmla="*/ 0 h 109689"/>
              <a:gd name="T44" fmla="*/ 0 w 111226"/>
              <a:gd name="T45" fmla="*/ 0 h 109689"/>
              <a:gd name="T46" fmla="*/ 0 w 111226"/>
              <a:gd name="T47" fmla="*/ 0 h 109689"/>
              <a:gd name="T48" fmla="*/ 0 w 111226"/>
              <a:gd name="T49" fmla="*/ 0 h 109689"/>
              <a:gd name="T50" fmla="*/ 0 w 111226"/>
              <a:gd name="T51" fmla="*/ 0 h 109689"/>
              <a:gd name="T52" fmla="*/ 0 w 111226"/>
              <a:gd name="T53" fmla="*/ 0 h 109689"/>
              <a:gd name="T54" fmla="*/ 0 w 111226"/>
              <a:gd name="T55" fmla="*/ 0 h 109689"/>
              <a:gd name="T56" fmla="*/ 0 w 111226"/>
              <a:gd name="T57" fmla="*/ 0 h 109689"/>
              <a:gd name="T58" fmla="*/ 0 w 111226"/>
              <a:gd name="T59" fmla="*/ 0 h 109689"/>
              <a:gd name="T60" fmla="*/ 0 w 111226"/>
              <a:gd name="T61" fmla="*/ 0 h 109689"/>
              <a:gd name="T62" fmla="*/ 0 w 111226"/>
              <a:gd name="T63" fmla="*/ 0 h 109689"/>
              <a:gd name="T64" fmla="*/ 0 w 111226"/>
              <a:gd name="T65" fmla="*/ 0 h 109689"/>
              <a:gd name="T66" fmla="*/ 0 w 111226"/>
              <a:gd name="T67" fmla="*/ 0 h 109689"/>
              <a:gd name="T68" fmla="*/ 0 w 111226"/>
              <a:gd name="T69" fmla="*/ 0 h 109689"/>
              <a:gd name="T70" fmla="*/ 0 w 111226"/>
              <a:gd name="T71" fmla="*/ 0 h 109689"/>
              <a:gd name="T72" fmla="*/ 0 w 111226"/>
              <a:gd name="T73" fmla="*/ 0 h 109689"/>
              <a:gd name="T74" fmla="*/ 0 w 111226"/>
              <a:gd name="T75" fmla="*/ 0 h 109689"/>
              <a:gd name="T76" fmla="*/ 0 w 111226"/>
              <a:gd name="T77" fmla="*/ 0 h 109689"/>
              <a:gd name="T78" fmla="*/ 0 w 111226"/>
              <a:gd name="T79" fmla="*/ 0 h 109689"/>
              <a:gd name="T80" fmla="*/ 0 w 111226"/>
              <a:gd name="T81" fmla="*/ 0 h 109689"/>
              <a:gd name="T82" fmla="*/ 0 w 111226"/>
              <a:gd name="T83" fmla="*/ 0 h 109689"/>
              <a:gd name="T84" fmla="*/ 0 w 111226"/>
              <a:gd name="T85" fmla="*/ 0 h 109689"/>
              <a:gd name="T86" fmla="*/ 0 w 111226"/>
              <a:gd name="T87" fmla="*/ 0 h 109689"/>
              <a:gd name="T88" fmla="*/ 0 w 111226"/>
              <a:gd name="T89" fmla="*/ 0 h 109689"/>
              <a:gd name="T90" fmla="*/ 0 w 111226"/>
              <a:gd name="T91" fmla="*/ 0 h 109689"/>
              <a:gd name="T92" fmla="*/ 0 w 111226"/>
              <a:gd name="T93" fmla="*/ 0 h 109689"/>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111226"/>
              <a:gd name="T142" fmla="*/ 0 h 109689"/>
              <a:gd name="T143" fmla="*/ 111226 w 111226"/>
              <a:gd name="T144" fmla="*/ 109689 h 109689"/>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111226" h="109689">
                <a:moveTo>
                  <a:pt x="54851" y="0"/>
                </a:moveTo>
                <a:lnTo>
                  <a:pt x="67043" y="0"/>
                </a:lnTo>
                <a:cubicBezTo>
                  <a:pt x="78054" y="4102"/>
                  <a:pt x="84925" y="5829"/>
                  <a:pt x="94462" y="15227"/>
                </a:cubicBezTo>
                <a:lnTo>
                  <a:pt x="100558" y="24371"/>
                </a:lnTo>
                <a:lnTo>
                  <a:pt x="105130" y="28943"/>
                </a:lnTo>
                <a:lnTo>
                  <a:pt x="105130" y="30467"/>
                </a:lnTo>
                <a:lnTo>
                  <a:pt x="108178" y="36563"/>
                </a:lnTo>
                <a:lnTo>
                  <a:pt x="108178" y="41135"/>
                </a:lnTo>
                <a:lnTo>
                  <a:pt x="109702" y="44183"/>
                </a:lnTo>
                <a:lnTo>
                  <a:pt x="111226" y="45707"/>
                </a:lnTo>
                <a:lnTo>
                  <a:pt x="111226" y="63982"/>
                </a:lnTo>
                <a:lnTo>
                  <a:pt x="109702" y="65506"/>
                </a:lnTo>
                <a:lnTo>
                  <a:pt x="108178" y="68554"/>
                </a:lnTo>
                <a:lnTo>
                  <a:pt x="108178" y="73126"/>
                </a:lnTo>
                <a:lnTo>
                  <a:pt x="105130" y="79222"/>
                </a:lnTo>
                <a:lnTo>
                  <a:pt x="105130" y="80746"/>
                </a:lnTo>
                <a:lnTo>
                  <a:pt x="100558" y="86830"/>
                </a:lnTo>
                <a:lnTo>
                  <a:pt x="97510" y="89877"/>
                </a:lnTo>
                <a:lnTo>
                  <a:pt x="94462" y="94450"/>
                </a:lnTo>
                <a:cubicBezTo>
                  <a:pt x="88468" y="101358"/>
                  <a:pt x="73165" y="109080"/>
                  <a:pt x="63995" y="109689"/>
                </a:cubicBezTo>
                <a:lnTo>
                  <a:pt x="47231" y="109689"/>
                </a:lnTo>
                <a:cubicBezTo>
                  <a:pt x="35242" y="107835"/>
                  <a:pt x="29997" y="104813"/>
                  <a:pt x="19812" y="97498"/>
                </a:cubicBezTo>
                <a:lnTo>
                  <a:pt x="9144" y="86830"/>
                </a:lnTo>
                <a:lnTo>
                  <a:pt x="6096" y="80746"/>
                </a:lnTo>
                <a:lnTo>
                  <a:pt x="4572" y="79222"/>
                </a:lnTo>
                <a:lnTo>
                  <a:pt x="4572" y="76174"/>
                </a:lnTo>
                <a:lnTo>
                  <a:pt x="3048" y="73126"/>
                </a:lnTo>
                <a:lnTo>
                  <a:pt x="1524" y="71602"/>
                </a:lnTo>
                <a:lnTo>
                  <a:pt x="1524" y="65506"/>
                </a:lnTo>
                <a:lnTo>
                  <a:pt x="0" y="63982"/>
                </a:lnTo>
                <a:lnTo>
                  <a:pt x="0" y="45707"/>
                </a:lnTo>
                <a:lnTo>
                  <a:pt x="1524" y="44183"/>
                </a:lnTo>
                <a:lnTo>
                  <a:pt x="1524" y="38087"/>
                </a:lnTo>
                <a:lnTo>
                  <a:pt x="3048" y="36563"/>
                </a:lnTo>
                <a:lnTo>
                  <a:pt x="4572" y="33515"/>
                </a:lnTo>
                <a:lnTo>
                  <a:pt x="4572" y="30467"/>
                </a:lnTo>
                <a:lnTo>
                  <a:pt x="6096" y="28943"/>
                </a:lnTo>
                <a:lnTo>
                  <a:pt x="12192" y="19799"/>
                </a:lnTo>
                <a:lnTo>
                  <a:pt x="19812" y="12179"/>
                </a:lnTo>
                <a:lnTo>
                  <a:pt x="28956" y="6096"/>
                </a:lnTo>
                <a:lnTo>
                  <a:pt x="32004" y="4572"/>
                </a:lnTo>
                <a:lnTo>
                  <a:pt x="33528" y="3048"/>
                </a:lnTo>
                <a:lnTo>
                  <a:pt x="36576" y="3048"/>
                </a:lnTo>
                <a:lnTo>
                  <a:pt x="39611" y="1524"/>
                </a:lnTo>
                <a:lnTo>
                  <a:pt x="41135" y="1524"/>
                </a:lnTo>
                <a:lnTo>
                  <a:pt x="44183" y="0"/>
                </a:lnTo>
                <a:lnTo>
                  <a:pt x="54851"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87" name="Shape 9065">
            <a:extLst>
              <a:ext uri="{FF2B5EF4-FFF2-40B4-BE49-F238E27FC236}">
                <a16:creationId xmlns:a16="http://schemas.microsoft.com/office/drawing/2014/main" id="{00000000-0008-0000-0500-000057000000}"/>
              </a:ext>
            </a:extLst>
          </xdr:cNvPr>
          <xdr:cNvSpPr>
            <a:spLocks/>
          </xdr:cNvSpPr>
        </xdr:nvSpPr>
        <xdr:spPr bwMode="auto">
          <a:xfrm>
            <a:off x="1560" y="883"/>
            <a:ext cx="1486" cy="1493"/>
          </a:xfrm>
          <a:custGeom>
            <a:avLst/>
            <a:gdLst>
              <a:gd name="T0" fmla="*/ 0 w 148640"/>
              <a:gd name="T1" fmla="*/ 0 h 149301"/>
              <a:gd name="T2" fmla="*/ 0 w 148640"/>
              <a:gd name="T3" fmla="*/ 0 h 149301"/>
              <a:gd name="T4" fmla="*/ 0 w 148640"/>
              <a:gd name="T5" fmla="*/ 0 h 149301"/>
              <a:gd name="T6" fmla="*/ 0 w 148640"/>
              <a:gd name="T7" fmla="*/ 0 h 149301"/>
              <a:gd name="T8" fmla="*/ 0 w 148640"/>
              <a:gd name="T9" fmla="*/ 0 h 149301"/>
              <a:gd name="T10" fmla="*/ 0 w 148640"/>
              <a:gd name="T11" fmla="*/ 0 h 149301"/>
              <a:gd name="T12" fmla="*/ 0 w 148640"/>
              <a:gd name="T13" fmla="*/ 0 h 149301"/>
              <a:gd name="T14" fmla="*/ 0 w 148640"/>
              <a:gd name="T15" fmla="*/ 0 h 149301"/>
              <a:gd name="T16" fmla="*/ 0 w 148640"/>
              <a:gd name="T17" fmla="*/ 0 h 149301"/>
              <a:gd name="T18" fmla="*/ 0 w 148640"/>
              <a:gd name="T19" fmla="*/ 0 h 149301"/>
              <a:gd name="T20" fmla="*/ 0 w 148640"/>
              <a:gd name="T21" fmla="*/ 0 h 149301"/>
              <a:gd name="T22" fmla="*/ 0 w 148640"/>
              <a:gd name="T23" fmla="*/ 0 h 149301"/>
              <a:gd name="T24" fmla="*/ 0 w 148640"/>
              <a:gd name="T25" fmla="*/ 0 h 149301"/>
              <a:gd name="T26" fmla="*/ 0 w 148640"/>
              <a:gd name="T27" fmla="*/ 0 h 149301"/>
              <a:gd name="T28" fmla="*/ 0 w 148640"/>
              <a:gd name="T29" fmla="*/ 0 h 149301"/>
              <a:gd name="T30" fmla="*/ 0 w 148640"/>
              <a:gd name="T31" fmla="*/ 0 h 149301"/>
              <a:gd name="T32" fmla="*/ 0 w 148640"/>
              <a:gd name="T33" fmla="*/ 0 h 149301"/>
              <a:gd name="T34" fmla="*/ 0 w 148640"/>
              <a:gd name="T35" fmla="*/ 0 h 149301"/>
              <a:gd name="T36" fmla="*/ 0 w 148640"/>
              <a:gd name="T37" fmla="*/ 0 h 149301"/>
              <a:gd name="T38" fmla="*/ 0 w 148640"/>
              <a:gd name="T39" fmla="*/ 0 h 149301"/>
              <a:gd name="T40" fmla="*/ 0 w 148640"/>
              <a:gd name="T41" fmla="*/ 0 h 149301"/>
              <a:gd name="T42" fmla="*/ 0 w 148640"/>
              <a:gd name="T43" fmla="*/ 0 h 149301"/>
              <a:gd name="T44" fmla="*/ 0 w 148640"/>
              <a:gd name="T45" fmla="*/ 0 h 149301"/>
              <a:gd name="T46" fmla="*/ 0 w 148640"/>
              <a:gd name="T47" fmla="*/ 0 h 149301"/>
              <a:gd name="T48" fmla="*/ 0 w 148640"/>
              <a:gd name="T49" fmla="*/ 0 h 149301"/>
              <a:gd name="T50" fmla="*/ 0 w 148640"/>
              <a:gd name="T51" fmla="*/ 0 h 149301"/>
              <a:gd name="T52" fmla="*/ 0 w 148640"/>
              <a:gd name="T53" fmla="*/ 0 h 149301"/>
              <a:gd name="T54" fmla="*/ 0 w 148640"/>
              <a:gd name="T55" fmla="*/ 0 h 149301"/>
              <a:gd name="T56" fmla="*/ 0 w 148640"/>
              <a:gd name="T57" fmla="*/ 0 h 149301"/>
              <a:gd name="T58" fmla="*/ 0 w 148640"/>
              <a:gd name="T59" fmla="*/ 0 h 149301"/>
              <a:gd name="T60" fmla="*/ 0 w 148640"/>
              <a:gd name="T61" fmla="*/ 0 h 149301"/>
              <a:gd name="T62" fmla="*/ 0 w 148640"/>
              <a:gd name="T63" fmla="*/ 0 h 149301"/>
              <a:gd name="T64" fmla="*/ 0 w 148640"/>
              <a:gd name="T65" fmla="*/ 0 h 149301"/>
              <a:gd name="T66" fmla="*/ 0 w 148640"/>
              <a:gd name="T67" fmla="*/ 0 h 149301"/>
              <a:gd name="T68" fmla="*/ 0 w 148640"/>
              <a:gd name="T69" fmla="*/ 0 h 149301"/>
              <a:gd name="T70" fmla="*/ 0 w 148640"/>
              <a:gd name="T71" fmla="*/ 0 h 149301"/>
              <a:gd name="T72" fmla="*/ 0 w 148640"/>
              <a:gd name="T73" fmla="*/ 0 h 149301"/>
              <a:gd name="T74" fmla="*/ 0 w 148640"/>
              <a:gd name="T75" fmla="*/ 0 h 149301"/>
              <a:gd name="T76" fmla="*/ 0 w 148640"/>
              <a:gd name="T77" fmla="*/ 0 h 149301"/>
              <a:gd name="T78" fmla="*/ 0 w 148640"/>
              <a:gd name="T79" fmla="*/ 0 h 149301"/>
              <a:gd name="T80" fmla="*/ 0 w 148640"/>
              <a:gd name="T81" fmla="*/ 0 h 149301"/>
              <a:gd name="T82" fmla="*/ 0 w 148640"/>
              <a:gd name="T83" fmla="*/ 0 h 149301"/>
              <a:gd name="T84" fmla="*/ 0 w 148640"/>
              <a:gd name="T85" fmla="*/ 0 h 149301"/>
              <a:gd name="T86" fmla="*/ 0 w 148640"/>
              <a:gd name="T87" fmla="*/ 0 h 149301"/>
              <a:gd name="T88" fmla="*/ 0 w 148640"/>
              <a:gd name="T89" fmla="*/ 0 h 149301"/>
              <a:gd name="T90" fmla="*/ 0 w 148640"/>
              <a:gd name="T91" fmla="*/ 0 h 149301"/>
              <a:gd name="T92" fmla="*/ 0 w 148640"/>
              <a:gd name="T93" fmla="*/ 0 h 149301"/>
              <a:gd name="T94" fmla="*/ 0 w 148640"/>
              <a:gd name="T95" fmla="*/ 0 h 149301"/>
              <a:gd name="T96" fmla="*/ 0 w 148640"/>
              <a:gd name="T97" fmla="*/ 0 h 149301"/>
              <a:gd name="T98" fmla="*/ 0 w 148640"/>
              <a:gd name="T99" fmla="*/ 0 h 149301"/>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48640"/>
              <a:gd name="T151" fmla="*/ 0 h 149301"/>
              <a:gd name="T152" fmla="*/ 148640 w 148640"/>
              <a:gd name="T153" fmla="*/ 149301 h 149301"/>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48640" h="149301">
                <a:moveTo>
                  <a:pt x="73990" y="0"/>
                </a:moveTo>
                <a:lnTo>
                  <a:pt x="78562" y="0"/>
                </a:lnTo>
                <a:lnTo>
                  <a:pt x="81610" y="1524"/>
                </a:lnTo>
                <a:lnTo>
                  <a:pt x="89230" y="1524"/>
                </a:lnTo>
                <a:lnTo>
                  <a:pt x="92265" y="3048"/>
                </a:lnTo>
                <a:lnTo>
                  <a:pt x="96837" y="3048"/>
                </a:lnTo>
                <a:lnTo>
                  <a:pt x="109029" y="9144"/>
                </a:lnTo>
                <a:lnTo>
                  <a:pt x="113601" y="10668"/>
                </a:lnTo>
                <a:lnTo>
                  <a:pt x="118173" y="15240"/>
                </a:lnTo>
                <a:lnTo>
                  <a:pt x="121221" y="16764"/>
                </a:lnTo>
                <a:lnTo>
                  <a:pt x="131876" y="27432"/>
                </a:lnTo>
                <a:cubicBezTo>
                  <a:pt x="140080" y="39307"/>
                  <a:pt x="147929" y="52146"/>
                  <a:pt x="147116" y="67030"/>
                </a:cubicBezTo>
                <a:lnTo>
                  <a:pt x="148640" y="70078"/>
                </a:lnTo>
                <a:lnTo>
                  <a:pt x="148640" y="77698"/>
                </a:lnTo>
                <a:lnTo>
                  <a:pt x="147116" y="82270"/>
                </a:lnTo>
                <a:cubicBezTo>
                  <a:pt x="147802" y="96761"/>
                  <a:pt x="140004" y="110363"/>
                  <a:pt x="131876" y="121881"/>
                </a:cubicBezTo>
                <a:lnTo>
                  <a:pt x="124269" y="129501"/>
                </a:lnTo>
                <a:lnTo>
                  <a:pt x="121221" y="131025"/>
                </a:lnTo>
                <a:lnTo>
                  <a:pt x="113601" y="138645"/>
                </a:lnTo>
                <a:lnTo>
                  <a:pt x="109029" y="140169"/>
                </a:lnTo>
                <a:lnTo>
                  <a:pt x="105981" y="141693"/>
                </a:lnTo>
                <a:cubicBezTo>
                  <a:pt x="94488" y="148336"/>
                  <a:pt x="101422" y="141312"/>
                  <a:pt x="89230" y="147777"/>
                </a:cubicBezTo>
                <a:lnTo>
                  <a:pt x="78562" y="147777"/>
                </a:lnTo>
                <a:lnTo>
                  <a:pt x="73990" y="149301"/>
                </a:lnTo>
                <a:lnTo>
                  <a:pt x="70942" y="147777"/>
                </a:lnTo>
                <a:lnTo>
                  <a:pt x="58750" y="147777"/>
                </a:lnTo>
                <a:lnTo>
                  <a:pt x="52654" y="144729"/>
                </a:lnTo>
                <a:lnTo>
                  <a:pt x="48095" y="144729"/>
                </a:lnTo>
                <a:lnTo>
                  <a:pt x="35903" y="138645"/>
                </a:lnTo>
                <a:lnTo>
                  <a:pt x="32855" y="135598"/>
                </a:lnTo>
                <a:lnTo>
                  <a:pt x="29807" y="134074"/>
                </a:lnTo>
                <a:lnTo>
                  <a:pt x="22187" y="126454"/>
                </a:lnTo>
                <a:lnTo>
                  <a:pt x="19139" y="124930"/>
                </a:lnTo>
                <a:cubicBezTo>
                  <a:pt x="10858" y="113157"/>
                  <a:pt x="3823" y="99466"/>
                  <a:pt x="864" y="85318"/>
                </a:cubicBezTo>
                <a:lnTo>
                  <a:pt x="864" y="70078"/>
                </a:lnTo>
                <a:cubicBezTo>
                  <a:pt x="0" y="55524"/>
                  <a:pt x="8522" y="43180"/>
                  <a:pt x="14580" y="30467"/>
                </a:cubicBezTo>
                <a:lnTo>
                  <a:pt x="17615" y="27432"/>
                </a:lnTo>
                <a:lnTo>
                  <a:pt x="19139" y="24384"/>
                </a:lnTo>
                <a:lnTo>
                  <a:pt x="22187" y="22860"/>
                </a:lnTo>
                <a:lnTo>
                  <a:pt x="25235" y="19812"/>
                </a:lnTo>
                <a:lnTo>
                  <a:pt x="26759" y="16764"/>
                </a:lnTo>
                <a:lnTo>
                  <a:pt x="32855" y="13716"/>
                </a:lnTo>
                <a:lnTo>
                  <a:pt x="35903" y="10668"/>
                </a:lnTo>
                <a:lnTo>
                  <a:pt x="48095" y="4572"/>
                </a:lnTo>
                <a:lnTo>
                  <a:pt x="52654" y="3048"/>
                </a:lnTo>
                <a:lnTo>
                  <a:pt x="55702" y="3048"/>
                </a:lnTo>
                <a:lnTo>
                  <a:pt x="58750" y="1524"/>
                </a:lnTo>
                <a:lnTo>
                  <a:pt x="66370" y="1524"/>
                </a:lnTo>
                <a:lnTo>
                  <a:pt x="70942" y="0"/>
                </a:lnTo>
                <a:lnTo>
                  <a:pt x="73990"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88" name="Shape 9066">
            <a:extLst>
              <a:ext uri="{FF2B5EF4-FFF2-40B4-BE49-F238E27FC236}">
                <a16:creationId xmlns:a16="http://schemas.microsoft.com/office/drawing/2014/main" id="{00000000-0008-0000-0500-000058000000}"/>
              </a:ext>
            </a:extLst>
          </xdr:cNvPr>
          <xdr:cNvSpPr>
            <a:spLocks/>
          </xdr:cNvSpPr>
        </xdr:nvSpPr>
        <xdr:spPr bwMode="auto">
          <a:xfrm>
            <a:off x="2132" y="1477"/>
            <a:ext cx="335" cy="351"/>
          </a:xfrm>
          <a:custGeom>
            <a:avLst/>
            <a:gdLst>
              <a:gd name="T0" fmla="*/ 0 w 33515"/>
              <a:gd name="T1" fmla="*/ 0 h 35039"/>
              <a:gd name="T2" fmla="*/ 0 w 33515"/>
              <a:gd name="T3" fmla="*/ 0 h 35039"/>
              <a:gd name="T4" fmla="*/ 0 w 33515"/>
              <a:gd name="T5" fmla="*/ 0 h 35039"/>
              <a:gd name="T6" fmla="*/ 0 w 33515"/>
              <a:gd name="T7" fmla="*/ 0 h 35039"/>
              <a:gd name="T8" fmla="*/ 0 w 33515"/>
              <a:gd name="T9" fmla="*/ 0 h 35039"/>
              <a:gd name="T10" fmla="*/ 0 w 33515"/>
              <a:gd name="T11" fmla="*/ 0 h 35039"/>
              <a:gd name="T12" fmla="*/ 0 w 33515"/>
              <a:gd name="T13" fmla="*/ 0 h 35039"/>
              <a:gd name="T14" fmla="*/ 0 w 33515"/>
              <a:gd name="T15" fmla="*/ 0 h 35039"/>
              <a:gd name="T16" fmla="*/ 0 w 33515"/>
              <a:gd name="T17" fmla="*/ 0 h 35039"/>
              <a:gd name="T18" fmla="*/ 0 w 33515"/>
              <a:gd name="T19" fmla="*/ 0 h 35039"/>
              <a:gd name="T20" fmla="*/ 0 w 33515"/>
              <a:gd name="T21" fmla="*/ 0 h 35039"/>
              <a:gd name="T22" fmla="*/ 0 w 33515"/>
              <a:gd name="T23" fmla="*/ 0 h 35039"/>
              <a:gd name="T24" fmla="*/ 0 w 33515"/>
              <a:gd name="T25" fmla="*/ 0 h 35039"/>
              <a:gd name="T26" fmla="*/ 0 w 33515"/>
              <a:gd name="T27" fmla="*/ 0 h 35039"/>
              <a:gd name="T28" fmla="*/ 0 w 33515"/>
              <a:gd name="T29" fmla="*/ 0 h 35039"/>
              <a:gd name="T30" fmla="*/ 0 w 33515"/>
              <a:gd name="T31" fmla="*/ 0 h 35039"/>
              <a:gd name="T32" fmla="*/ 0 w 33515"/>
              <a:gd name="T33" fmla="*/ 0 h 35039"/>
              <a:gd name="T34" fmla="*/ 0 w 33515"/>
              <a:gd name="T35" fmla="*/ 0 h 35039"/>
              <a:gd name="T36" fmla="*/ 0 w 33515"/>
              <a:gd name="T37" fmla="*/ 0 h 35039"/>
              <a:gd name="T38" fmla="*/ 0 w 33515"/>
              <a:gd name="T39" fmla="*/ 0 h 35039"/>
              <a:gd name="T40" fmla="*/ 0 w 33515"/>
              <a:gd name="T41" fmla="*/ 0 h 35039"/>
              <a:gd name="T42" fmla="*/ 0 w 33515"/>
              <a:gd name="T43" fmla="*/ 0 h 35039"/>
              <a:gd name="T44" fmla="*/ 0 w 33515"/>
              <a:gd name="T45" fmla="*/ 0 h 35039"/>
              <a:gd name="T46" fmla="*/ 0 w 33515"/>
              <a:gd name="T47" fmla="*/ 0 h 35039"/>
              <a:gd name="T48" fmla="*/ 0 w 33515"/>
              <a:gd name="T49" fmla="*/ 0 h 35039"/>
              <a:gd name="T50" fmla="*/ 0 w 33515"/>
              <a:gd name="T51" fmla="*/ 0 h 35039"/>
              <a:gd name="T52" fmla="*/ 0 w 33515"/>
              <a:gd name="T53" fmla="*/ 0 h 35039"/>
              <a:gd name="T54" fmla="*/ 0 w 33515"/>
              <a:gd name="T55" fmla="*/ 0 h 35039"/>
              <a:gd name="T56" fmla="*/ 0 w 33515"/>
              <a:gd name="T57" fmla="*/ 0 h 35039"/>
              <a:gd name="T58" fmla="*/ 0 w 33515"/>
              <a:gd name="T59" fmla="*/ 0 h 35039"/>
              <a:gd name="T60" fmla="*/ 0 w 33515"/>
              <a:gd name="T61" fmla="*/ 0 h 35039"/>
              <a:gd name="T62" fmla="*/ 0 w 33515"/>
              <a:gd name="T63" fmla="*/ 0 h 35039"/>
              <a:gd name="T64" fmla="*/ 0 w 33515"/>
              <a:gd name="T65" fmla="*/ 0 h 35039"/>
              <a:gd name="T66" fmla="*/ 0 w 33515"/>
              <a:gd name="T67" fmla="*/ 0 h 35039"/>
              <a:gd name="T68" fmla="*/ 0 w 33515"/>
              <a:gd name="T69" fmla="*/ 0 h 35039"/>
              <a:gd name="T70" fmla="*/ 0 w 33515"/>
              <a:gd name="T71" fmla="*/ 0 h 35039"/>
              <a:gd name="T72" fmla="*/ 0 w 33515"/>
              <a:gd name="T73" fmla="*/ 0 h 35039"/>
              <a:gd name="T74" fmla="*/ 0 w 33515"/>
              <a:gd name="T75" fmla="*/ 0 h 35039"/>
              <a:gd name="T76" fmla="*/ 0 w 33515"/>
              <a:gd name="T77" fmla="*/ 0 h 35039"/>
              <a:gd name="T78" fmla="*/ 0 w 33515"/>
              <a:gd name="T79" fmla="*/ 0 h 35039"/>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33515"/>
              <a:gd name="T121" fmla="*/ 0 h 35039"/>
              <a:gd name="T122" fmla="*/ 33515 w 33515"/>
              <a:gd name="T123" fmla="*/ 35039 h 35039"/>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33515" h="35039">
                <a:moveTo>
                  <a:pt x="15240" y="0"/>
                </a:moveTo>
                <a:lnTo>
                  <a:pt x="18288" y="0"/>
                </a:lnTo>
                <a:lnTo>
                  <a:pt x="19812" y="1524"/>
                </a:lnTo>
                <a:lnTo>
                  <a:pt x="22860" y="1524"/>
                </a:lnTo>
                <a:lnTo>
                  <a:pt x="24384" y="3048"/>
                </a:lnTo>
                <a:lnTo>
                  <a:pt x="25908" y="3048"/>
                </a:lnTo>
                <a:lnTo>
                  <a:pt x="32004" y="9131"/>
                </a:lnTo>
                <a:lnTo>
                  <a:pt x="32004" y="12179"/>
                </a:lnTo>
                <a:lnTo>
                  <a:pt x="33515" y="13703"/>
                </a:lnTo>
                <a:lnTo>
                  <a:pt x="33515" y="21323"/>
                </a:lnTo>
                <a:lnTo>
                  <a:pt x="32004" y="22847"/>
                </a:lnTo>
                <a:lnTo>
                  <a:pt x="32004" y="25895"/>
                </a:lnTo>
                <a:lnTo>
                  <a:pt x="30480" y="27419"/>
                </a:lnTo>
                <a:lnTo>
                  <a:pt x="30480" y="28943"/>
                </a:lnTo>
                <a:lnTo>
                  <a:pt x="28956" y="30467"/>
                </a:lnTo>
                <a:lnTo>
                  <a:pt x="27432" y="30467"/>
                </a:lnTo>
                <a:lnTo>
                  <a:pt x="24384" y="33515"/>
                </a:lnTo>
                <a:lnTo>
                  <a:pt x="21336" y="33515"/>
                </a:lnTo>
                <a:lnTo>
                  <a:pt x="19812" y="35039"/>
                </a:lnTo>
                <a:lnTo>
                  <a:pt x="13716" y="35039"/>
                </a:lnTo>
                <a:lnTo>
                  <a:pt x="12192" y="33515"/>
                </a:lnTo>
                <a:lnTo>
                  <a:pt x="9144" y="33515"/>
                </a:lnTo>
                <a:lnTo>
                  <a:pt x="3048" y="27419"/>
                </a:lnTo>
                <a:lnTo>
                  <a:pt x="3048" y="25895"/>
                </a:lnTo>
                <a:lnTo>
                  <a:pt x="1524" y="24371"/>
                </a:lnTo>
                <a:lnTo>
                  <a:pt x="1524" y="21323"/>
                </a:lnTo>
                <a:lnTo>
                  <a:pt x="0" y="19799"/>
                </a:lnTo>
                <a:lnTo>
                  <a:pt x="0" y="15227"/>
                </a:lnTo>
                <a:lnTo>
                  <a:pt x="1524" y="13703"/>
                </a:lnTo>
                <a:lnTo>
                  <a:pt x="1524" y="10655"/>
                </a:lnTo>
                <a:lnTo>
                  <a:pt x="3048" y="9131"/>
                </a:lnTo>
                <a:lnTo>
                  <a:pt x="3048" y="7607"/>
                </a:lnTo>
                <a:lnTo>
                  <a:pt x="4572" y="7607"/>
                </a:lnTo>
                <a:lnTo>
                  <a:pt x="6096" y="6096"/>
                </a:lnTo>
                <a:lnTo>
                  <a:pt x="6096" y="4572"/>
                </a:lnTo>
                <a:lnTo>
                  <a:pt x="7620" y="3048"/>
                </a:lnTo>
                <a:lnTo>
                  <a:pt x="9144" y="3048"/>
                </a:lnTo>
                <a:lnTo>
                  <a:pt x="10668" y="1524"/>
                </a:lnTo>
                <a:lnTo>
                  <a:pt x="13716" y="1524"/>
                </a:lnTo>
                <a:lnTo>
                  <a:pt x="15240" y="0"/>
                </a:ln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89" name="Shape 9067">
            <a:extLst>
              <a:ext uri="{FF2B5EF4-FFF2-40B4-BE49-F238E27FC236}">
                <a16:creationId xmlns:a16="http://schemas.microsoft.com/office/drawing/2014/main" id="{00000000-0008-0000-0500-000059000000}"/>
              </a:ext>
            </a:extLst>
          </xdr:cNvPr>
          <xdr:cNvSpPr>
            <a:spLocks/>
          </xdr:cNvSpPr>
        </xdr:nvSpPr>
        <xdr:spPr bwMode="auto">
          <a:xfrm>
            <a:off x="2132" y="1477"/>
            <a:ext cx="335" cy="351"/>
          </a:xfrm>
          <a:custGeom>
            <a:avLst/>
            <a:gdLst>
              <a:gd name="T0" fmla="*/ 0 w 33515"/>
              <a:gd name="T1" fmla="*/ 0 h 35039"/>
              <a:gd name="T2" fmla="*/ 0 w 33515"/>
              <a:gd name="T3" fmla="*/ 0 h 35039"/>
              <a:gd name="T4" fmla="*/ 0 w 33515"/>
              <a:gd name="T5" fmla="*/ 0 h 35039"/>
              <a:gd name="T6" fmla="*/ 0 w 33515"/>
              <a:gd name="T7" fmla="*/ 0 h 35039"/>
              <a:gd name="T8" fmla="*/ 0 w 33515"/>
              <a:gd name="T9" fmla="*/ 0 h 35039"/>
              <a:gd name="T10" fmla="*/ 0 w 33515"/>
              <a:gd name="T11" fmla="*/ 0 h 35039"/>
              <a:gd name="T12" fmla="*/ 0 w 33515"/>
              <a:gd name="T13" fmla="*/ 0 h 35039"/>
              <a:gd name="T14" fmla="*/ 0 w 33515"/>
              <a:gd name="T15" fmla="*/ 0 h 35039"/>
              <a:gd name="T16" fmla="*/ 0 w 33515"/>
              <a:gd name="T17" fmla="*/ 0 h 35039"/>
              <a:gd name="T18" fmla="*/ 0 w 33515"/>
              <a:gd name="T19" fmla="*/ 0 h 35039"/>
              <a:gd name="T20" fmla="*/ 0 w 33515"/>
              <a:gd name="T21" fmla="*/ 0 h 35039"/>
              <a:gd name="T22" fmla="*/ 0 w 33515"/>
              <a:gd name="T23" fmla="*/ 0 h 35039"/>
              <a:gd name="T24" fmla="*/ 0 w 33515"/>
              <a:gd name="T25" fmla="*/ 0 h 35039"/>
              <a:gd name="T26" fmla="*/ 0 w 33515"/>
              <a:gd name="T27" fmla="*/ 0 h 35039"/>
              <a:gd name="T28" fmla="*/ 0 w 33515"/>
              <a:gd name="T29" fmla="*/ 0 h 35039"/>
              <a:gd name="T30" fmla="*/ 0 w 33515"/>
              <a:gd name="T31" fmla="*/ 0 h 35039"/>
              <a:gd name="T32" fmla="*/ 0 w 33515"/>
              <a:gd name="T33" fmla="*/ 0 h 35039"/>
              <a:gd name="T34" fmla="*/ 0 w 33515"/>
              <a:gd name="T35" fmla="*/ 0 h 35039"/>
              <a:gd name="T36" fmla="*/ 0 w 33515"/>
              <a:gd name="T37" fmla="*/ 0 h 35039"/>
              <a:gd name="T38" fmla="*/ 0 w 33515"/>
              <a:gd name="T39" fmla="*/ 0 h 35039"/>
              <a:gd name="T40" fmla="*/ 0 w 33515"/>
              <a:gd name="T41" fmla="*/ 0 h 35039"/>
              <a:gd name="T42" fmla="*/ 0 w 33515"/>
              <a:gd name="T43" fmla="*/ 0 h 35039"/>
              <a:gd name="T44" fmla="*/ 0 w 33515"/>
              <a:gd name="T45" fmla="*/ 0 h 35039"/>
              <a:gd name="T46" fmla="*/ 0 w 33515"/>
              <a:gd name="T47" fmla="*/ 0 h 35039"/>
              <a:gd name="T48" fmla="*/ 0 w 33515"/>
              <a:gd name="T49" fmla="*/ 0 h 35039"/>
              <a:gd name="T50" fmla="*/ 0 w 33515"/>
              <a:gd name="T51" fmla="*/ 0 h 35039"/>
              <a:gd name="T52" fmla="*/ 0 w 33515"/>
              <a:gd name="T53" fmla="*/ 0 h 35039"/>
              <a:gd name="T54" fmla="*/ 0 w 33515"/>
              <a:gd name="T55" fmla="*/ 0 h 35039"/>
              <a:gd name="T56" fmla="*/ 0 w 33515"/>
              <a:gd name="T57" fmla="*/ 0 h 35039"/>
              <a:gd name="T58" fmla="*/ 0 w 33515"/>
              <a:gd name="T59" fmla="*/ 0 h 35039"/>
              <a:gd name="T60" fmla="*/ 0 w 33515"/>
              <a:gd name="T61" fmla="*/ 0 h 35039"/>
              <a:gd name="T62" fmla="*/ 0 w 33515"/>
              <a:gd name="T63" fmla="*/ 0 h 35039"/>
              <a:gd name="T64" fmla="*/ 0 w 33515"/>
              <a:gd name="T65" fmla="*/ 0 h 35039"/>
              <a:gd name="T66" fmla="*/ 0 w 33515"/>
              <a:gd name="T67" fmla="*/ 0 h 35039"/>
              <a:gd name="T68" fmla="*/ 0 w 33515"/>
              <a:gd name="T69" fmla="*/ 0 h 35039"/>
              <a:gd name="T70" fmla="*/ 0 w 33515"/>
              <a:gd name="T71" fmla="*/ 0 h 35039"/>
              <a:gd name="T72" fmla="*/ 0 w 33515"/>
              <a:gd name="T73" fmla="*/ 0 h 35039"/>
              <a:gd name="T74" fmla="*/ 0 w 33515"/>
              <a:gd name="T75" fmla="*/ 0 h 35039"/>
              <a:gd name="T76" fmla="*/ 0 w 33515"/>
              <a:gd name="T77" fmla="*/ 0 h 35039"/>
              <a:gd name="T78" fmla="*/ 0 w 33515"/>
              <a:gd name="T79" fmla="*/ 0 h 35039"/>
              <a:gd name="T80" fmla="*/ 0 w 33515"/>
              <a:gd name="T81" fmla="*/ 0 h 3503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33515"/>
              <a:gd name="T124" fmla="*/ 0 h 35039"/>
              <a:gd name="T125" fmla="*/ 33515 w 33515"/>
              <a:gd name="T126" fmla="*/ 35039 h 3503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33515" h="35039">
                <a:moveTo>
                  <a:pt x="16764" y="0"/>
                </a:moveTo>
                <a:lnTo>
                  <a:pt x="18288" y="0"/>
                </a:lnTo>
                <a:lnTo>
                  <a:pt x="19812" y="1524"/>
                </a:lnTo>
                <a:lnTo>
                  <a:pt x="22860" y="1524"/>
                </a:lnTo>
                <a:lnTo>
                  <a:pt x="24384" y="3048"/>
                </a:lnTo>
                <a:lnTo>
                  <a:pt x="25908" y="3048"/>
                </a:lnTo>
                <a:lnTo>
                  <a:pt x="32004" y="9131"/>
                </a:lnTo>
                <a:lnTo>
                  <a:pt x="32004" y="12179"/>
                </a:lnTo>
                <a:lnTo>
                  <a:pt x="33515" y="13703"/>
                </a:lnTo>
                <a:lnTo>
                  <a:pt x="33515" y="21323"/>
                </a:lnTo>
                <a:lnTo>
                  <a:pt x="32004" y="22847"/>
                </a:lnTo>
                <a:lnTo>
                  <a:pt x="32004" y="25895"/>
                </a:lnTo>
                <a:lnTo>
                  <a:pt x="30480" y="27419"/>
                </a:lnTo>
                <a:lnTo>
                  <a:pt x="30480" y="28943"/>
                </a:lnTo>
                <a:lnTo>
                  <a:pt x="28956" y="30467"/>
                </a:lnTo>
                <a:lnTo>
                  <a:pt x="27432" y="30467"/>
                </a:lnTo>
                <a:lnTo>
                  <a:pt x="24384" y="33515"/>
                </a:lnTo>
                <a:lnTo>
                  <a:pt x="21336" y="33515"/>
                </a:lnTo>
                <a:lnTo>
                  <a:pt x="19812" y="35039"/>
                </a:lnTo>
                <a:lnTo>
                  <a:pt x="13716" y="35039"/>
                </a:lnTo>
                <a:lnTo>
                  <a:pt x="12192" y="33515"/>
                </a:lnTo>
                <a:lnTo>
                  <a:pt x="9144" y="33515"/>
                </a:lnTo>
                <a:lnTo>
                  <a:pt x="3048" y="27419"/>
                </a:lnTo>
                <a:lnTo>
                  <a:pt x="3048" y="25895"/>
                </a:lnTo>
                <a:lnTo>
                  <a:pt x="1524" y="24371"/>
                </a:lnTo>
                <a:lnTo>
                  <a:pt x="1524" y="21323"/>
                </a:lnTo>
                <a:lnTo>
                  <a:pt x="0" y="19799"/>
                </a:lnTo>
                <a:lnTo>
                  <a:pt x="0" y="15227"/>
                </a:lnTo>
                <a:lnTo>
                  <a:pt x="1524" y="13703"/>
                </a:lnTo>
                <a:lnTo>
                  <a:pt x="1524" y="10655"/>
                </a:lnTo>
                <a:lnTo>
                  <a:pt x="3048" y="9131"/>
                </a:lnTo>
                <a:lnTo>
                  <a:pt x="3048" y="7607"/>
                </a:lnTo>
                <a:lnTo>
                  <a:pt x="4572" y="7607"/>
                </a:lnTo>
                <a:lnTo>
                  <a:pt x="6096" y="6096"/>
                </a:lnTo>
                <a:lnTo>
                  <a:pt x="6096" y="4572"/>
                </a:lnTo>
                <a:lnTo>
                  <a:pt x="7620" y="3048"/>
                </a:lnTo>
                <a:lnTo>
                  <a:pt x="9144" y="3048"/>
                </a:lnTo>
                <a:lnTo>
                  <a:pt x="10668" y="1524"/>
                </a:lnTo>
                <a:lnTo>
                  <a:pt x="13716" y="1524"/>
                </a:lnTo>
                <a:lnTo>
                  <a:pt x="15240" y="0"/>
                </a:lnTo>
                <a:lnTo>
                  <a:pt x="16764"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90" name="Shape 9068">
            <a:extLst>
              <a:ext uri="{FF2B5EF4-FFF2-40B4-BE49-F238E27FC236}">
                <a16:creationId xmlns:a16="http://schemas.microsoft.com/office/drawing/2014/main" id="{00000000-0008-0000-0500-00005A000000}"/>
              </a:ext>
            </a:extLst>
          </xdr:cNvPr>
          <xdr:cNvSpPr>
            <a:spLocks/>
          </xdr:cNvSpPr>
        </xdr:nvSpPr>
        <xdr:spPr bwMode="auto">
          <a:xfrm>
            <a:off x="1751" y="1066"/>
            <a:ext cx="1128" cy="1097"/>
          </a:xfrm>
          <a:custGeom>
            <a:avLst/>
            <a:gdLst>
              <a:gd name="T0" fmla="*/ 0 w 112738"/>
              <a:gd name="T1" fmla="*/ 0 h 109689"/>
              <a:gd name="T2" fmla="*/ 0 w 112738"/>
              <a:gd name="T3" fmla="*/ 0 h 109689"/>
              <a:gd name="T4" fmla="*/ 0 w 112738"/>
              <a:gd name="T5" fmla="*/ 0 h 109689"/>
              <a:gd name="T6" fmla="*/ 0 w 112738"/>
              <a:gd name="T7" fmla="*/ 0 h 109689"/>
              <a:gd name="T8" fmla="*/ 0 w 112738"/>
              <a:gd name="T9" fmla="*/ 0 h 109689"/>
              <a:gd name="T10" fmla="*/ 0 w 112738"/>
              <a:gd name="T11" fmla="*/ 0 h 109689"/>
              <a:gd name="T12" fmla="*/ 0 w 112738"/>
              <a:gd name="T13" fmla="*/ 0 h 109689"/>
              <a:gd name="T14" fmla="*/ 0 w 112738"/>
              <a:gd name="T15" fmla="*/ 0 h 109689"/>
              <a:gd name="T16" fmla="*/ 0 w 112738"/>
              <a:gd name="T17" fmla="*/ 0 h 109689"/>
              <a:gd name="T18" fmla="*/ 0 w 112738"/>
              <a:gd name="T19" fmla="*/ 0 h 109689"/>
              <a:gd name="T20" fmla="*/ 0 w 112738"/>
              <a:gd name="T21" fmla="*/ 0 h 109689"/>
              <a:gd name="T22" fmla="*/ 0 w 112738"/>
              <a:gd name="T23" fmla="*/ 0 h 109689"/>
              <a:gd name="T24" fmla="*/ 0 w 112738"/>
              <a:gd name="T25" fmla="*/ 0 h 109689"/>
              <a:gd name="T26" fmla="*/ 0 w 112738"/>
              <a:gd name="T27" fmla="*/ 0 h 109689"/>
              <a:gd name="T28" fmla="*/ 0 w 112738"/>
              <a:gd name="T29" fmla="*/ 0 h 109689"/>
              <a:gd name="T30" fmla="*/ 0 w 112738"/>
              <a:gd name="T31" fmla="*/ 0 h 109689"/>
              <a:gd name="T32" fmla="*/ 0 w 112738"/>
              <a:gd name="T33" fmla="*/ 0 h 109689"/>
              <a:gd name="T34" fmla="*/ 0 w 112738"/>
              <a:gd name="T35" fmla="*/ 0 h 109689"/>
              <a:gd name="T36" fmla="*/ 0 w 112738"/>
              <a:gd name="T37" fmla="*/ 0 h 109689"/>
              <a:gd name="T38" fmla="*/ 0 w 112738"/>
              <a:gd name="T39" fmla="*/ 0 h 109689"/>
              <a:gd name="T40" fmla="*/ 0 w 112738"/>
              <a:gd name="T41" fmla="*/ 0 h 109689"/>
              <a:gd name="T42" fmla="*/ 0 w 112738"/>
              <a:gd name="T43" fmla="*/ 0 h 109689"/>
              <a:gd name="T44" fmla="*/ 0 w 112738"/>
              <a:gd name="T45" fmla="*/ 0 h 109689"/>
              <a:gd name="T46" fmla="*/ 0 w 112738"/>
              <a:gd name="T47" fmla="*/ 0 h 109689"/>
              <a:gd name="T48" fmla="*/ 0 w 112738"/>
              <a:gd name="T49" fmla="*/ 0 h 109689"/>
              <a:gd name="T50" fmla="*/ 0 w 112738"/>
              <a:gd name="T51" fmla="*/ 0 h 109689"/>
              <a:gd name="T52" fmla="*/ 0 w 112738"/>
              <a:gd name="T53" fmla="*/ 0 h 109689"/>
              <a:gd name="T54" fmla="*/ 0 w 112738"/>
              <a:gd name="T55" fmla="*/ 0 h 109689"/>
              <a:gd name="T56" fmla="*/ 0 w 112738"/>
              <a:gd name="T57" fmla="*/ 0 h 109689"/>
              <a:gd name="T58" fmla="*/ 0 w 112738"/>
              <a:gd name="T59" fmla="*/ 0 h 109689"/>
              <a:gd name="T60" fmla="*/ 0 w 112738"/>
              <a:gd name="T61" fmla="*/ 0 h 109689"/>
              <a:gd name="T62" fmla="*/ 0 w 112738"/>
              <a:gd name="T63" fmla="*/ 0 h 109689"/>
              <a:gd name="T64" fmla="*/ 0 w 112738"/>
              <a:gd name="T65" fmla="*/ 0 h 109689"/>
              <a:gd name="T66" fmla="*/ 0 w 112738"/>
              <a:gd name="T67" fmla="*/ 0 h 109689"/>
              <a:gd name="T68" fmla="*/ 0 w 112738"/>
              <a:gd name="T69" fmla="*/ 0 h 109689"/>
              <a:gd name="T70" fmla="*/ 0 w 112738"/>
              <a:gd name="T71" fmla="*/ 0 h 109689"/>
              <a:gd name="T72" fmla="*/ 0 w 112738"/>
              <a:gd name="T73" fmla="*/ 0 h 109689"/>
              <a:gd name="T74" fmla="*/ 0 w 112738"/>
              <a:gd name="T75" fmla="*/ 0 h 109689"/>
              <a:gd name="T76" fmla="*/ 0 w 112738"/>
              <a:gd name="T77" fmla="*/ 0 h 109689"/>
              <a:gd name="T78" fmla="*/ 0 w 112738"/>
              <a:gd name="T79" fmla="*/ 0 h 109689"/>
              <a:gd name="T80" fmla="*/ 0 w 112738"/>
              <a:gd name="T81" fmla="*/ 0 h 109689"/>
              <a:gd name="T82" fmla="*/ 0 w 112738"/>
              <a:gd name="T83" fmla="*/ 0 h 109689"/>
              <a:gd name="T84" fmla="*/ 0 w 112738"/>
              <a:gd name="T85" fmla="*/ 0 h 109689"/>
              <a:gd name="T86" fmla="*/ 0 w 112738"/>
              <a:gd name="T87" fmla="*/ 0 h 109689"/>
              <a:gd name="T88" fmla="*/ 0 w 112738"/>
              <a:gd name="T89" fmla="*/ 0 h 109689"/>
              <a:gd name="T90" fmla="*/ 0 w 112738"/>
              <a:gd name="T91" fmla="*/ 0 h 109689"/>
              <a:gd name="T92" fmla="*/ 0 w 112738"/>
              <a:gd name="T93" fmla="*/ 0 h 109689"/>
              <a:gd name="T94" fmla="*/ 0 w 112738"/>
              <a:gd name="T95" fmla="*/ 0 h 10968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112738"/>
              <a:gd name="T145" fmla="*/ 0 h 109689"/>
              <a:gd name="T146" fmla="*/ 112738 w 112738"/>
              <a:gd name="T147" fmla="*/ 109689 h 109689"/>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112738" h="109689">
                <a:moveTo>
                  <a:pt x="56375" y="0"/>
                </a:moveTo>
                <a:lnTo>
                  <a:pt x="68567" y="0"/>
                </a:lnTo>
                <a:lnTo>
                  <a:pt x="70091" y="1524"/>
                </a:lnTo>
                <a:lnTo>
                  <a:pt x="73126" y="1524"/>
                </a:lnTo>
                <a:lnTo>
                  <a:pt x="76174" y="3048"/>
                </a:lnTo>
                <a:lnTo>
                  <a:pt x="77698" y="3048"/>
                </a:lnTo>
                <a:lnTo>
                  <a:pt x="80746" y="4572"/>
                </a:lnTo>
                <a:lnTo>
                  <a:pt x="82270" y="6096"/>
                </a:lnTo>
                <a:lnTo>
                  <a:pt x="95986" y="15227"/>
                </a:lnTo>
                <a:lnTo>
                  <a:pt x="105130" y="28943"/>
                </a:lnTo>
                <a:lnTo>
                  <a:pt x="106654" y="30467"/>
                </a:lnTo>
                <a:lnTo>
                  <a:pt x="109689" y="36563"/>
                </a:lnTo>
                <a:lnTo>
                  <a:pt x="109689" y="41135"/>
                </a:lnTo>
                <a:lnTo>
                  <a:pt x="111214" y="44183"/>
                </a:lnTo>
                <a:lnTo>
                  <a:pt x="111214" y="48742"/>
                </a:lnTo>
                <a:lnTo>
                  <a:pt x="112738" y="51790"/>
                </a:lnTo>
                <a:lnTo>
                  <a:pt x="112738" y="57886"/>
                </a:lnTo>
                <a:lnTo>
                  <a:pt x="111214" y="60934"/>
                </a:lnTo>
                <a:lnTo>
                  <a:pt x="111214" y="65506"/>
                </a:lnTo>
                <a:lnTo>
                  <a:pt x="109689" y="68554"/>
                </a:lnTo>
                <a:lnTo>
                  <a:pt x="109689" y="73126"/>
                </a:lnTo>
                <a:lnTo>
                  <a:pt x="106654" y="79222"/>
                </a:lnTo>
                <a:lnTo>
                  <a:pt x="105130" y="80746"/>
                </a:lnTo>
                <a:lnTo>
                  <a:pt x="102082" y="86830"/>
                </a:lnTo>
                <a:lnTo>
                  <a:pt x="99034" y="89877"/>
                </a:lnTo>
                <a:lnTo>
                  <a:pt x="95986" y="94450"/>
                </a:lnTo>
                <a:cubicBezTo>
                  <a:pt x="81534" y="103467"/>
                  <a:pt x="81597" y="106921"/>
                  <a:pt x="65519" y="109689"/>
                </a:cubicBezTo>
                <a:lnTo>
                  <a:pt x="50279" y="109689"/>
                </a:lnTo>
                <a:cubicBezTo>
                  <a:pt x="25603" y="108496"/>
                  <a:pt x="2578" y="85166"/>
                  <a:pt x="1524" y="60934"/>
                </a:cubicBezTo>
                <a:lnTo>
                  <a:pt x="0" y="57886"/>
                </a:lnTo>
                <a:lnTo>
                  <a:pt x="0" y="51790"/>
                </a:lnTo>
                <a:lnTo>
                  <a:pt x="1524" y="48742"/>
                </a:lnTo>
                <a:lnTo>
                  <a:pt x="1524" y="44183"/>
                </a:lnTo>
                <a:lnTo>
                  <a:pt x="3048" y="41135"/>
                </a:lnTo>
                <a:lnTo>
                  <a:pt x="3048" y="38087"/>
                </a:lnTo>
                <a:lnTo>
                  <a:pt x="4572" y="36563"/>
                </a:lnTo>
                <a:lnTo>
                  <a:pt x="4572" y="33515"/>
                </a:lnTo>
                <a:lnTo>
                  <a:pt x="6096" y="30467"/>
                </a:lnTo>
                <a:lnTo>
                  <a:pt x="7620" y="28943"/>
                </a:lnTo>
                <a:lnTo>
                  <a:pt x="16764" y="15227"/>
                </a:lnTo>
                <a:lnTo>
                  <a:pt x="30480" y="6096"/>
                </a:lnTo>
                <a:lnTo>
                  <a:pt x="32004" y="4572"/>
                </a:lnTo>
                <a:lnTo>
                  <a:pt x="35039" y="3048"/>
                </a:lnTo>
                <a:lnTo>
                  <a:pt x="36563" y="3048"/>
                </a:lnTo>
                <a:lnTo>
                  <a:pt x="39611" y="1524"/>
                </a:lnTo>
                <a:lnTo>
                  <a:pt x="42659" y="1524"/>
                </a:lnTo>
                <a:lnTo>
                  <a:pt x="45707" y="0"/>
                </a:lnTo>
                <a:lnTo>
                  <a:pt x="56375" y="0"/>
                </a:lnTo>
              </a:path>
            </a:pathLst>
          </a:custGeom>
          <a:noFill/>
          <a:ln w="3810"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grpSp>
    <xdr:clientData/>
  </xdr:twoCellAnchor>
  <xdr:twoCellAnchor>
    <xdr:from>
      <xdr:col>5</xdr:col>
      <xdr:colOff>274320</xdr:colOff>
      <xdr:row>19</xdr:row>
      <xdr:rowOff>137160</xdr:rowOff>
    </xdr:from>
    <xdr:to>
      <xdr:col>6</xdr:col>
      <xdr:colOff>121285</xdr:colOff>
      <xdr:row>20</xdr:row>
      <xdr:rowOff>422275</xdr:rowOff>
    </xdr:to>
    <xdr:grpSp>
      <xdr:nvGrpSpPr>
        <xdr:cNvPr id="91" name="Group 119232">
          <a:extLst>
            <a:ext uri="{FF2B5EF4-FFF2-40B4-BE49-F238E27FC236}">
              <a16:creationId xmlns:a16="http://schemas.microsoft.com/office/drawing/2014/main" id="{00000000-0008-0000-0500-00005B000000}"/>
            </a:ext>
          </a:extLst>
        </xdr:cNvPr>
        <xdr:cNvGrpSpPr>
          <a:grpSpLocks/>
        </xdr:cNvGrpSpPr>
      </xdr:nvGrpSpPr>
      <xdr:grpSpPr bwMode="auto">
        <a:xfrm>
          <a:off x="5935658" y="3866667"/>
          <a:ext cx="1027528" cy="472932"/>
          <a:chOff x="0" y="0"/>
          <a:chExt cx="10588" cy="4677"/>
        </a:xfrm>
      </xdr:grpSpPr>
      <xdr:sp macro="" textlink="">
        <xdr:nvSpPr>
          <xdr:cNvPr id="92" name="Shape 8965">
            <a:extLst>
              <a:ext uri="{FF2B5EF4-FFF2-40B4-BE49-F238E27FC236}">
                <a16:creationId xmlns:a16="http://schemas.microsoft.com/office/drawing/2014/main" id="{00000000-0008-0000-0500-00005C000000}"/>
              </a:ext>
            </a:extLst>
          </xdr:cNvPr>
          <xdr:cNvSpPr>
            <a:spLocks/>
          </xdr:cNvSpPr>
        </xdr:nvSpPr>
        <xdr:spPr bwMode="auto">
          <a:xfrm>
            <a:off x="0" y="0"/>
            <a:ext cx="3504" cy="3473"/>
          </a:xfrm>
          <a:custGeom>
            <a:avLst/>
            <a:gdLst>
              <a:gd name="T0" fmla="*/ 0 w 350405"/>
              <a:gd name="T1" fmla="*/ 0 h 347344"/>
              <a:gd name="T2" fmla="*/ 0 w 350405"/>
              <a:gd name="T3" fmla="*/ 0 h 347344"/>
              <a:gd name="T4" fmla="*/ 0 w 350405"/>
              <a:gd name="T5" fmla="*/ 0 h 347344"/>
              <a:gd name="T6" fmla="*/ 0 w 350405"/>
              <a:gd name="T7" fmla="*/ 0 h 347344"/>
              <a:gd name="T8" fmla="*/ 0 w 350405"/>
              <a:gd name="T9" fmla="*/ 0 h 347344"/>
              <a:gd name="T10" fmla="*/ 0 w 350405"/>
              <a:gd name="T11" fmla="*/ 0 h 347344"/>
              <a:gd name="T12" fmla="*/ 0 w 350405"/>
              <a:gd name="T13" fmla="*/ 0 h 347344"/>
              <a:gd name="T14" fmla="*/ 0 w 350405"/>
              <a:gd name="T15" fmla="*/ 0 h 347344"/>
              <a:gd name="T16" fmla="*/ 0 w 350405"/>
              <a:gd name="T17" fmla="*/ 0 h 347344"/>
              <a:gd name="T18" fmla="*/ 0 w 350405"/>
              <a:gd name="T19" fmla="*/ 0 h 347344"/>
              <a:gd name="T20" fmla="*/ 0 w 350405"/>
              <a:gd name="T21" fmla="*/ 0 h 347344"/>
              <a:gd name="T22" fmla="*/ 0 w 350405"/>
              <a:gd name="T23" fmla="*/ 0 h 347344"/>
              <a:gd name="T24" fmla="*/ 0 w 350405"/>
              <a:gd name="T25" fmla="*/ 0 h 34734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405"/>
              <a:gd name="T40" fmla="*/ 0 h 347344"/>
              <a:gd name="T41" fmla="*/ 350405 w 350405"/>
              <a:gd name="T42" fmla="*/ 347344 h 34734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405" h="347344">
                <a:moveTo>
                  <a:pt x="175196" y="0"/>
                </a:moveTo>
                <a:cubicBezTo>
                  <a:pt x="272706" y="0"/>
                  <a:pt x="350405" y="77686"/>
                  <a:pt x="350405" y="173672"/>
                </a:cubicBezTo>
                <a:cubicBezTo>
                  <a:pt x="350405" y="269646"/>
                  <a:pt x="272706" y="347344"/>
                  <a:pt x="175196" y="347344"/>
                </a:cubicBezTo>
                <a:cubicBezTo>
                  <a:pt x="77698" y="347344"/>
                  <a:pt x="0" y="269646"/>
                  <a:pt x="0" y="173672"/>
                </a:cubicBezTo>
                <a:cubicBezTo>
                  <a:pt x="0" y="77686"/>
                  <a:pt x="77698" y="0"/>
                  <a:pt x="175196" y="0"/>
                </a:cubicBezTo>
                <a:close/>
              </a:path>
            </a:pathLst>
          </a:custGeom>
          <a:solidFill>
            <a:srgbClr val="E1E2E3"/>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93" name="Shape 8966">
            <a:extLst>
              <a:ext uri="{FF2B5EF4-FFF2-40B4-BE49-F238E27FC236}">
                <a16:creationId xmlns:a16="http://schemas.microsoft.com/office/drawing/2014/main" id="{00000000-0008-0000-0500-00005D000000}"/>
              </a:ext>
            </a:extLst>
          </xdr:cNvPr>
          <xdr:cNvSpPr>
            <a:spLocks/>
          </xdr:cNvSpPr>
        </xdr:nvSpPr>
        <xdr:spPr bwMode="auto">
          <a:xfrm>
            <a:off x="0" y="0"/>
            <a:ext cx="3504" cy="3473"/>
          </a:xfrm>
          <a:custGeom>
            <a:avLst/>
            <a:gdLst>
              <a:gd name="T0" fmla="*/ 0 w 350405"/>
              <a:gd name="T1" fmla="*/ 0 h 347344"/>
              <a:gd name="T2" fmla="*/ 0 w 350405"/>
              <a:gd name="T3" fmla="*/ 0 h 347344"/>
              <a:gd name="T4" fmla="*/ 0 w 350405"/>
              <a:gd name="T5" fmla="*/ 0 h 347344"/>
              <a:gd name="T6" fmla="*/ 0 w 350405"/>
              <a:gd name="T7" fmla="*/ 0 h 347344"/>
              <a:gd name="T8" fmla="*/ 0 w 350405"/>
              <a:gd name="T9" fmla="*/ 0 h 347344"/>
              <a:gd name="T10" fmla="*/ 0 w 350405"/>
              <a:gd name="T11" fmla="*/ 0 h 347344"/>
              <a:gd name="T12" fmla="*/ 0 w 350405"/>
              <a:gd name="T13" fmla="*/ 0 h 347344"/>
              <a:gd name="T14" fmla="*/ 0 w 350405"/>
              <a:gd name="T15" fmla="*/ 0 h 347344"/>
              <a:gd name="T16" fmla="*/ 0 w 350405"/>
              <a:gd name="T17" fmla="*/ 0 h 347344"/>
              <a:gd name="T18" fmla="*/ 0 w 350405"/>
              <a:gd name="T19" fmla="*/ 0 h 347344"/>
              <a:gd name="T20" fmla="*/ 0 w 350405"/>
              <a:gd name="T21" fmla="*/ 0 h 347344"/>
              <a:gd name="T22" fmla="*/ 0 w 350405"/>
              <a:gd name="T23" fmla="*/ 0 h 347344"/>
              <a:gd name="T24" fmla="*/ 0 w 350405"/>
              <a:gd name="T25" fmla="*/ 0 h 34734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405"/>
              <a:gd name="T40" fmla="*/ 0 h 347344"/>
              <a:gd name="T41" fmla="*/ 350405 w 350405"/>
              <a:gd name="T42" fmla="*/ 347344 h 34734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405" h="347344">
                <a:moveTo>
                  <a:pt x="350405" y="173672"/>
                </a:moveTo>
                <a:cubicBezTo>
                  <a:pt x="350405" y="77686"/>
                  <a:pt x="272706" y="0"/>
                  <a:pt x="175196" y="0"/>
                </a:cubicBezTo>
                <a:cubicBezTo>
                  <a:pt x="77698" y="0"/>
                  <a:pt x="0" y="77686"/>
                  <a:pt x="0" y="173672"/>
                </a:cubicBezTo>
                <a:cubicBezTo>
                  <a:pt x="0" y="269646"/>
                  <a:pt x="77698" y="347344"/>
                  <a:pt x="175196" y="347344"/>
                </a:cubicBezTo>
                <a:cubicBezTo>
                  <a:pt x="272706" y="347344"/>
                  <a:pt x="350405" y="269646"/>
                  <a:pt x="350405" y="173672"/>
                </a:cubicBezTo>
                <a:close/>
              </a:path>
            </a:pathLst>
          </a:custGeom>
          <a:noFill/>
          <a:ln w="7607"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94" name="Shape 8967">
            <a:extLst>
              <a:ext uri="{FF2B5EF4-FFF2-40B4-BE49-F238E27FC236}">
                <a16:creationId xmlns:a16="http://schemas.microsoft.com/office/drawing/2014/main" id="{00000000-0008-0000-0500-00005E000000}"/>
              </a:ext>
            </a:extLst>
          </xdr:cNvPr>
          <xdr:cNvSpPr>
            <a:spLocks/>
          </xdr:cNvSpPr>
        </xdr:nvSpPr>
        <xdr:spPr bwMode="auto">
          <a:xfrm>
            <a:off x="914" y="91"/>
            <a:ext cx="1553" cy="1554"/>
          </a:xfrm>
          <a:custGeom>
            <a:avLst/>
            <a:gdLst>
              <a:gd name="T0" fmla="*/ 0 w 155384"/>
              <a:gd name="T1" fmla="*/ 0 h 155397"/>
              <a:gd name="T2" fmla="*/ 0 w 155384"/>
              <a:gd name="T3" fmla="*/ 0 h 155397"/>
              <a:gd name="T4" fmla="*/ 0 w 155384"/>
              <a:gd name="T5" fmla="*/ 0 h 155397"/>
              <a:gd name="T6" fmla="*/ 0 w 155384"/>
              <a:gd name="T7" fmla="*/ 0 h 155397"/>
              <a:gd name="T8" fmla="*/ 0 w 155384"/>
              <a:gd name="T9" fmla="*/ 0 h 155397"/>
              <a:gd name="T10" fmla="*/ 0 w 155384"/>
              <a:gd name="T11" fmla="*/ 0 h 155397"/>
              <a:gd name="T12" fmla="*/ 0 w 155384"/>
              <a:gd name="T13" fmla="*/ 0 h 155397"/>
              <a:gd name="T14" fmla="*/ 0 w 155384"/>
              <a:gd name="T15" fmla="*/ 0 h 155397"/>
              <a:gd name="T16" fmla="*/ 0 w 155384"/>
              <a:gd name="T17" fmla="*/ 0 h 155397"/>
              <a:gd name="T18" fmla="*/ 0 w 155384"/>
              <a:gd name="T19" fmla="*/ 0 h 155397"/>
              <a:gd name="T20" fmla="*/ 0 w 155384"/>
              <a:gd name="T21" fmla="*/ 0 h 155397"/>
              <a:gd name="T22" fmla="*/ 0 w 155384"/>
              <a:gd name="T23" fmla="*/ 0 h 155397"/>
              <a:gd name="T24" fmla="*/ 0 w 155384"/>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84"/>
              <a:gd name="T40" fmla="*/ 0 h 155397"/>
              <a:gd name="T41" fmla="*/ 155384 w 155384"/>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84" h="155397">
                <a:moveTo>
                  <a:pt x="77686" y="0"/>
                </a:moveTo>
                <a:cubicBezTo>
                  <a:pt x="120345" y="0"/>
                  <a:pt x="155384" y="33515"/>
                  <a:pt x="155384" y="77698"/>
                </a:cubicBezTo>
                <a:cubicBezTo>
                  <a:pt x="155384" y="120357"/>
                  <a:pt x="120345" y="155397"/>
                  <a:pt x="77686" y="155397"/>
                </a:cubicBezTo>
                <a:cubicBezTo>
                  <a:pt x="33515" y="155397"/>
                  <a:pt x="0" y="120357"/>
                  <a:pt x="0" y="77698"/>
                </a:cubicBezTo>
                <a:cubicBezTo>
                  <a:pt x="0" y="33515"/>
                  <a:pt x="33515" y="0"/>
                  <a:pt x="77686"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95" name="Shape 8968">
            <a:extLst>
              <a:ext uri="{FF2B5EF4-FFF2-40B4-BE49-F238E27FC236}">
                <a16:creationId xmlns:a16="http://schemas.microsoft.com/office/drawing/2014/main" id="{00000000-0008-0000-0500-00005F000000}"/>
              </a:ext>
            </a:extLst>
          </xdr:cNvPr>
          <xdr:cNvSpPr>
            <a:spLocks/>
          </xdr:cNvSpPr>
        </xdr:nvSpPr>
        <xdr:spPr bwMode="auto">
          <a:xfrm>
            <a:off x="914" y="91"/>
            <a:ext cx="1553" cy="1554"/>
          </a:xfrm>
          <a:custGeom>
            <a:avLst/>
            <a:gdLst>
              <a:gd name="T0" fmla="*/ 0 w 155384"/>
              <a:gd name="T1" fmla="*/ 0 h 155397"/>
              <a:gd name="T2" fmla="*/ 0 w 155384"/>
              <a:gd name="T3" fmla="*/ 0 h 155397"/>
              <a:gd name="T4" fmla="*/ 0 w 155384"/>
              <a:gd name="T5" fmla="*/ 0 h 155397"/>
              <a:gd name="T6" fmla="*/ 0 w 155384"/>
              <a:gd name="T7" fmla="*/ 0 h 155397"/>
              <a:gd name="T8" fmla="*/ 0 w 155384"/>
              <a:gd name="T9" fmla="*/ 0 h 155397"/>
              <a:gd name="T10" fmla="*/ 0 w 155384"/>
              <a:gd name="T11" fmla="*/ 0 h 155397"/>
              <a:gd name="T12" fmla="*/ 0 w 155384"/>
              <a:gd name="T13" fmla="*/ 0 h 155397"/>
              <a:gd name="T14" fmla="*/ 0 w 155384"/>
              <a:gd name="T15" fmla="*/ 0 h 155397"/>
              <a:gd name="T16" fmla="*/ 0 w 155384"/>
              <a:gd name="T17" fmla="*/ 0 h 155397"/>
              <a:gd name="T18" fmla="*/ 0 w 155384"/>
              <a:gd name="T19" fmla="*/ 0 h 155397"/>
              <a:gd name="T20" fmla="*/ 0 w 155384"/>
              <a:gd name="T21" fmla="*/ 0 h 155397"/>
              <a:gd name="T22" fmla="*/ 0 w 155384"/>
              <a:gd name="T23" fmla="*/ 0 h 155397"/>
              <a:gd name="T24" fmla="*/ 0 w 155384"/>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84"/>
              <a:gd name="T40" fmla="*/ 0 h 155397"/>
              <a:gd name="T41" fmla="*/ 155384 w 155384"/>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84" h="155397">
                <a:moveTo>
                  <a:pt x="155384" y="77698"/>
                </a:moveTo>
                <a:cubicBezTo>
                  <a:pt x="155384" y="33515"/>
                  <a:pt x="120345" y="0"/>
                  <a:pt x="77686" y="0"/>
                </a:cubicBezTo>
                <a:cubicBezTo>
                  <a:pt x="33515" y="0"/>
                  <a:pt x="0" y="33515"/>
                  <a:pt x="0" y="77698"/>
                </a:cubicBezTo>
                <a:cubicBezTo>
                  <a:pt x="0" y="120357"/>
                  <a:pt x="33515" y="155397"/>
                  <a:pt x="77686" y="155397"/>
                </a:cubicBezTo>
                <a:cubicBezTo>
                  <a:pt x="120345" y="155397"/>
                  <a:pt x="155384" y="120357"/>
                  <a:pt x="155384" y="77698"/>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96" name="Shape 8969">
            <a:extLst>
              <a:ext uri="{FF2B5EF4-FFF2-40B4-BE49-F238E27FC236}">
                <a16:creationId xmlns:a16="http://schemas.microsoft.com/office/drawing/2014/main" id="{00000000-0008-0000-0500-000060000000}"/>
              </a:ext>
            </a:extLst>
          </xdr:cNvPr>
          <xdr:cNvSpPr>
            <a:spLocks/>
          </xdr:cNvSpPr>
        </xdr:nvSpPr>
        <xdr:spPr bwMode="auto">
          <a:xfrm>
            <a:off x="1553" y="700"/>
            <a:ext cx="351"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16751" y="0"/>
                </a:moveTo>
                <a:cubicBezTo>
                  <a:pt x="25895" y="0"/>
                  <a:pt x="35039" y="6096"/>
                  <a:pt x="35039" y="16751"/>
                </a:cubicBezTo>
                <a:cubicBezTo>
                  <a:pt x="35039" y="25895"/>
                  <a:pt x="25895" y="33515"/>
                  <a:pt x="16751" y="33515"/>
                </a:cubicBezTo>
                <a:cubicBezTo>
                  <a:pt x="7620" y="33515"/>
                  <a:pt x="0" y="25895"/>
                  <a:pt x="0" y="16751"/>
                </a:cubicBezTo>
                <a:cubicBezTo>
                  <a:pt x="0" y="6096"/>
                  <a:pt x="7620" y="0"/>
                  <a:pt x="16751"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97" name="Shape 8970">
            <a:extLst>
              <a:ext uri="{FF2B5EF4-FFF2-40B4-BE49-F238E27FC236}">
                <a16:creationId xmlns:a16="http://schemas.microsoft.com/office/drawing/2014/main" id="{00000000-0008-0000-0500-000061000000}"/>
              </a:ext>
            </a:extLst>
          </xdr:cNvPr>
          <xdr:cNvSpPr>
            <a:spLocks/>
          </xdr:cNvSpPr>
        </xdr:nvSpPr>
        <xdr:spPr bwMode="auto">
          <a:xfrm>
            <a:off x="1553" y="700"/>
            <a:ext cx="351"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35039" y="16751"/>
                </a:moveTo>
                <a:cubicBezTo>
                  <a:pt x="35039" y="6096"/>
                  <a:pt x="25895" y="0"/>
                  <a:pt x="16751" y="0"/>
                </a:cubicBezTo>
                <a:cubicBezTo>
                  <a:pt x="7620" y="0"/>
                  <a:pt x="0" y="6096"/>
                  <a:pt x="0" y="16751"/>
                </a:cubicBezTo>
                <a:cubicBezTo>
                  <a:pt x="0" y="25895"/>
                  <a:pt x="7620" y="33515"/>
                  <a:pt x="16751" y="33515"/>
                </a:cubicBezTo>
                <a:cubicBezTo>
                  <a:pt x="25895" y="33515"/>
                  <a:pt x="35039" y="25895"/>
                  <a:pt x="35039" y="16751"/>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98" name="Shape 8971">
            <a:extLst>
              <a:ext uri="{FF2B5EF4-FFF2-40B4-BE49-F238E27FC236}">
                <a16:creationId xmlns:a16="http://schemas.microsoft.com/office/drawing/2014/main" id="{00000000-0008-0000-0500-000062000000}"/>
              </a:ext>
            </a:extLst>
          </xdr:cNvPr>
          <xdr:cNvSpPr>
            <a:spLocks/>
          </xdr:cNvSpPr>
        </xdr:nvSpPr>
        <xdr:spPr bwMode="auto">
          <a:xfrm>
            <a:off x="1736" y="1432"/>
            <a:ext cx="1569" cy="1538"/>
          </a:xfrm>
          <a:custGeom>
            <a:avLst/>
            <a:gdLst>
              <a:gd name="T0" fmla="*/ 0 w 156921"/>
              <a:gd name="T1" fmla="*/ 0 h 153873"/>
              <a:gd name="T2" fmla="*/ 0 w 156921"/>
              <a:gd name="T3" fmla="*/ 0 h 153873"/>
              <a:gd name="T4" fmla="*/ 0 w 156921"/>
              <a:gd name="T5" fmla="*/ 0 h 153873"/>
              <a:gd name="T6" fmla="*/ 0 w 156921"/>
              <a:gd name="T7" fmla="*/ 0 h 153873"/>
              <a:gd name="T8" fmla="*/ 0 w 156921"/>
              <a:gd name="T9" fmla="*/ 0 h 153873"/>
              <a:gd name="T10" fmla="*/ 0 w 156921"/>
              <a:gd name="T11" fmla="*/ 0 h 153873"/>
              <a:gd name="T12" fmla="*/ 0 w 156921"/>
              <a:gd name="T13" fmla="*/ 0 h 153873"/>
              <a:gd name="T14" fmla="*/ 0 w 156921"/>
              <a:gd name="T15" fmla="*/ 0 h 153873"/>
              <a:gd name="T16" fmla="*/ 0 w 156921"/>
              <a:gd name="T17" fmla="*/ 0 h 153873"/>
              <a:gd name="T18" fmla="*/ 0 w 156921"/>
              <a:gd name="T19" fmla="*/ 0 h 153873"/>
              <a:gd name="T20" fmla="*/ 0 w 156921"/>
              <a:gd name="T21" fmla="*/ 0 h 153873"/>
              <a:gd name="T22" fmla="*/ 0 w 156921"/>
              <a:gd name="T23" fmla="*/ 0 h 153873"/>
              <a:gd name="T24" fmla="*/ 0 w 156921"/>
              <a:gd name="T25" fmla="*/ 0 h 1538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6921"/>
              <a:gd name="T40" fmla="*/ 0 h 153873"/>
              <a:gd name="T41" fmla="*/ 156921 w 156921"/>
              <a:gd name="T42" fmla="*/ 153873 h 1538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6921" h="153873">
                <a:moveTo>
                  <a:pt x="77698" y="0"/>
                </a:moveTo>
                <a:cubicBezTo>
                  <a:pt x="121881" y="0"/>
                  <a:pt x="156921" y="33515"/>
                  <a:pt x="156921" y="76174"/>
                </a:cubicBezTo>
                <a:cubicBezTo>
                  <a:pt x="156921" y="118833"/>
                  <a:pt x="121881" y="153873"/>
                  <a:pt x="77698" y="153873"/>
                </a:cubicBezTo>
                <a:cubicBezTo>
                  <a:pt x="35039" y="153873"/>
                  <a:pt x="0" y="118833"/>
                  <a:pt x="0" y="76174"/>
                </a:cubicBezTo>
                <a:cubicBezTo>
                  <a:pt x="0" y="33515"/>
                  <a:pt x="35039" y="0"/>
                  <a:pt x="77698"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99" name="Shape 8972">
            <a:extLst>
              <a:ext uri="{FF2B5EF4-FFF2-40B4-BE49-F238E27FC236}">
                <a16:creationId xmlns:a16="http://schemas.microsoft.com/office/drawing/2014/main" id="{00000000-0008-0000-0500-000063000000}"/>
              </a:ext>
            </a:extLst>
          </xdr:cNvPr>
          <xdr:cNvSpPr>
            <a:spLocks/>
          </xdr:cNvSpPr>
        </xdr:nvSpPr>
        <xdr:spPr bwMode="auto">
          <a:xfrm>
            <a:off x="1736" y="1432"/>
            <a:ext cx="1569" cy="1538"/>
          </a:xfrm>
          <a:custGeom>
            <a:avLst/>
            <a:gdLst>
              <a:gd name="T0" fmla="*/ 0 w 156921"/>
              <a:gd name="T1" fmla="*/ 0 h 153873"/>
              <a:gd name="T2" fmla="*/ 0 w 156921"/>
              <a:gd name="T3" fmla="*/ 0 h 153873"/>
              <a:gd name="T4" fmla="*/ 0 w 156921"/>
              <a:gd name="T5" fmla="*/ 0 h 153873"/>
              <a:gd name="T6" fmla="*/ 0 w 156921"/>
              <a:gd name="T7" fmla="*/ 0 h 153873"/>
              <a:gd name="T8" fmla="*/ 0 w 156921"/>
              <a:gd name="T9" fmla="*/ 0 h 153873"/>
              <a:gd name="T10" fmla="*/ 0 w 156921"/>
              <a:gd name="T11" fmla="*/ 0 h 153873"/>
              <a:gd name="T12" fmla="*/ 0 w 156921"/>
              <a:gd name="T13" fmla="*/ 0 h 153873"/>
              <a:gd name="T14" fmla="*/ 0 w 156921"/>
              <a:gd name="T15" fmla="*/ 0 h 153873"/>
              <a:gd name="T16" fmla="*/ 0 w 156921"/>
              <a:gd name="T17" fmla="*/ 0 h 153873"/>
              <a:gd name="T18" fmla="*/ 0 w 156921"/>
              <a:gd name="T19" fmla="*/ 0 h 153873"/>
              <a:gd name="T20" fmla="*/ 0 w 156921"/>
              <a:gd name="T21" fmla="*/ 0 h 153873"/>
              <a:gd name="T22" fmla="*/ 0 w 156921"/>
              <a:gd name="T23" fmla="*/ 0 h 153873"/>
              <a:gd name="T24" fmla="*/ 0 w 156921"/>
              <a:gd name="T25" fmla="*/ 0 h 1538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6921"/>
              <a:gd name="T40" fmla="*/ 0 h 153873"/>
              <a:gd name="T41" fmla="*/ 156921 w 156921"/>
              <a:gd name="T42" fmla="*/ 153873 h 1538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6921" h="153873">
                <a:moveTo>
                  <a:pt x="156921" y="76174"/>
                </a:moveTo>
                <a:cubicBezTo>
                  <a:pt x="156921" y="33515"/>
                  <a:pt x="121881" y="0"/>
                  <a:pt x="77698" y="0"/>
                </a:cubicBezTo>
                <a:cubicBezTo>
                  <a:pt x="35039" y="0"/>
                  <a:pt x="0" y="33515"/>
                  <a:pt x="0" y="76174"/>
                </a:cubicBezTo>
                <a:cubicBezTo>
                  <a:pt x="0" y="118833"/>
                  <a:pt x="35039" y="153873"/>
                  <a:pt x="77698" y="153873"/>
                </a:cubicBezTo>
                <a:cubicBezTo>
                  <a:pt x="121881" y="153873"/>
                  <a:pt x="156921" y="118833"/>
                  <a:pt x="156921" y="76174"/>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00" name="Shape 8973">
            <a:extLst>
              <a:ext uri="{FF2B5EF4-FFF2-40B4-BE49-F238E27FC236}">
                <a16:creationId xmlns:a16="http://schemas.microsoft.com/office/drawing/2014/main" id="{00000000-0008-0000-0500-000064000000}"/>
              </a:ext>
            </a:extLst>
          </xdr:cNvPr>
          <xdr:cNvSpPr>
            <a:spLocks/>
          </xdr:cNvSpPr>
        </xdr:nvSpPr>
        <xdr:spPr bwMode="auto">
          <a:xfrm>
            <a:off x="2361" y="2041"/>
            <a:ext cx="350"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16751" y="0"/>
                </a:moveTo>
                <a:cubicBezTo>
                  <a:pt x="25895" y="0"/>
                  <a:pt x="35039" y="6096"/>
                  <a:pt x="35039" y="16764"/>
                </a:cubicBezTo>
                <a:cubicBezTo>
                  <a:pt x="35039" y="25895"/>
                  <a:pt x="25895" y="33515"/>
                  <a:pt x="16751" y="33515"/>
                </a:cubicBezTo>
                <a:cubicBezTo>
                  <a:pt x="7620" y="33515"/>
                  <a:pt x="0" y="25895"/>
                  <a:pt x="0" y="16764"/>
                </a:cubicBezTo>
                <a:cubicBezTo>
                  <a:pt x="0" y="6096"/>
                  <a:pt x="7620" y="0"/>
                  <a:pt x="16751"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01" name="Shape 8974">
            <a:extLst>
              <a:ext uri="{FF2B5EF4-FFF2-40B4-BE49-F238E27FC236}">
                <a16:creationId xmlns:a16="http://schemas.microsoft.com/office/drawing/2014/main" id="{00000000-0008-0000-0500-000065000000}"/>
              </a:ext>
            </a:extLst>
          </xdr:cNvPr>
          <xdr:cNvSpPr>
            <a:spLocks/>
          </xdr:cNvSpPr>
        </xdr:nvSpPr>
        <xdr:spPr bwMode="auto">
          <a:xfrm>
            <a:off x="2361" y="2041"/>
            <a:ext cx="350"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35039" y="16764"/>
                </a:moveTo>
                <a:cubicBezTo>
                  <a:pt x="35039" y="6096"/>
                  <a:pt x="25895" y="0"/>
                  <a:pt x="16751" y="0"/>
                </a:cubicBezTo>
                <a:cubicBezTo>
                  <a:pt x="7620" y="0"/>
                  <a:pt x="0" y="6096"/>
                  <a:pt x="0" y="16764"/>
                </a:cubicBezTo>
                <a:cubicBezTo>
                  <a:pt x="0" y="25895"/>
                  <a:pt x="7620" y="33515"/>
                  <a:pt x="16751" y="33515"/>
                </a:cubicBezTo>
                <a:cubicBezTo>
                  <a:pt x="25895" y="33515"/>
                  <a:pt x="35039" y="25895"/>
                  <a:pt x="35039" y="16764"/>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02" name="Shape 8975">
            <a:extLst>
              <a:ext uri="{FF2B5EF4-FFF2-40B4-BE49-F238E27FC236}">
                <a16:creationId xmlns:a16="http://schemas.microsoft.com/office/drawing/2014/main" id="{00000000-0008-0000-0500-000066000000}"/>
              </a:ext>
            </a:extLst>
          </xdr:cNvPr>
          <xdr:cNvSpPr>
            <a:spLocks/>
          </xdr:cNvSpPr>
        </xdr:nvSpPr>
        <xdr:spPr bwMode="auto">
          <a:xfrm>
            <a:off x="213" y="1432"/>
            <a:ext cx="1538" cy="1538"/>
          </a:xfrm>
          <a:custGeom>
            <a:avLst/>
            <a:gdLst>
              <a:gd name="T0" fmla="*/ 0 w 153873"/>
              <a:gd name="T1" fmla="*/ 0 h 153873"/>
              <a:gd name="T2" fmla="*/ 0 w 153873"/>
              <a:gd name="T3" fmla="*/ 0 h 153873"/>
              <a:gd name="T4" fmla="*/ 0 w 153873"/>
              <a:gd name="T5" fmla="*/ 0 h 153873"/>
              <a:gd name="T6" fmla="*/ 0 w 153873"/>
              <a:gd name="T7" fmla="*/ 0 h 153873"/>
              <a:gd name="T8" fmla="*/ 0 w 153873"/>
              <a:gd name="T9" fmla="*/ 0 h 153873"/>
              <a:gd name="T10" fmla="*/ 0 w 153873"/>
              <a:gd name="T11" fmla="*/ 0 h 153873"/>
              <a:gd name="T12" fmla="*/ 0 w 153873"/>
              <a:gd name="T13" fmla="*/ 0 h 153873"/>
              <a:gd name="T14" fmla="*/ 0 w 153873"/>
              <a:gd name="T15" fmla="*/ 0 h 153873"/>
              <a:gd name="T16" fmla="*/ 0 w 153873"/>
              <a:gd name="T17" fmla="*/ 0 h 153873"/>
              <a:gd name="T18" fmla="*/ 0 w 153873"/>
              <a:gd name="T19" fmla="*/ 0 h 153873"/>
              <a:gd name="T20" fmla="*/ 0 w 153873"/>
              <a:gd name="T21" fmla="*/ 0 h 153873"/>
              <a:gd name="T22" fmla="*/ 0 w 153873"/>
              <a:gd name="T23" fmla="*/ 0 h 153873"/>
              <a:gd name="T24" fmla="*/ 0 w 153873"/>
              <a:gd name="T25" fmla="*/ 0 h 1538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3873"/>
              <a:gd name="T40" fmla="*/ 0 h 153873"/>
              <a:gd name="T41" fmla="*/ 153873 w 153873"/>
              <a:gd name="T42" fmla="*/ 153873 h 1538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3873" h="153873">
                <a:moveTo>
                  <a:pt x="76174" y="0"/>
                </a:moveTo>
                <a:cubicBezTo>
                  <a:pt x="118833" y="0"/>
                  <a:pt x="153873" y="33515"/>
                  <a:pt x="153873" y="76174"/>
                </a:cubicBezTo>
                <a:cubicBezTo>
                  <a:pt x="153873" y="118833"/>
                  <a:pt x="118833" y="153873"/>
                  <a:pt x="76174" y="153873"/>
                </a:cubicBezTo>
                <a:cubicBezTo>
                  <a:pt x="33528" y="153873"/>
                  <a:pt x="0" y="118833"/>
                  <a:pt x="0" y="76174"/>
                </a:cubicBezTo>
                <a:cubicBezTo>
                  <a:pt x="0" y="33515"/>
                  <a:pt x="33528" y="0"/>
                  <a:pt x="76174"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03" name="Shape 8976">
            <a:extLst>
              <a:ext uri="{FF2B5EF4-FFF2-40B4-BE49-F238E27FC236}">
                <a16:creationId xmlns:a16="http://schemas.microsoft.com/office/drawing/2014/main" id="{00000000-0008-0000-0500-000067000000}"/>
              </a:ext>
            </a:extLst>
          </xdr:cNvPr>
          <xdr:cNvSpPr>
            <a:spLocks/>
          </xdr:cNvSpPr>
        </xdr:nvSpPr>
        <xdr:spPr bwMode="auto">
          <a:xfrm>
            <a:off x="213" y="1432"/>
            <a:ext cx="1538" cy="1538"/>
          </a:xfrm>
          <a:custGeom>
            <a:avLst/>
            <a:gdLst>
              <a:gd name="T0" fmla="*/ 0 w 153873"/>
              <a:gd name="T1" fmla="*/ 0 h 153873"/>
              <a:gd name="T2" fmla="*/ 0 w 153873"/>
              <a:gd name="T3" fmla="*/ 0 h 153873"/>
              <a:gd name="T4" fmla="*/ 0 w 153873"/>
              <a:gd name="T5" fmla="*/ 0 h 153873"/>
              <a:gd name="T6" fmla="*/ 0 w 153873"/>
              <a:gd name="T7" fmla="*/ 0 h 153873"/>
              <a:gd name="T8" fmla="*/ 0 w 153873"/>
              <a:gd name="T9" fmla="*/ 0 h 153873"/>
              <a:gd name="T10" fmla="*/ 0 w 153873"/>
              <a:gd name="T11" fmla="*/ 0 h 153873"/>
              <a:gd name="T12" fmla="*/ 0 w 153873"/>
              <a:gd name="T13" fmla="*/ 0 h 153873"/>
              <a:gd name="T14" fmla="*/ 0 w 153873"/>
              <a:gd name="T15" fmla="*/ 0 h 153873"/>
              <a:gd name="T16" fmla="*/ 0 w 153873"/>
              <a:gd name="T17" fmla="*/ 0 h 153873"/>
              <a:gd name="T18" fmla="*/ 0 w 153873"/>
              <a:gd name="T19" fmla="*/ 0 h 153873"/>
              <a:gd name="T20" fmla="*/ 0 w 153873"/>
              <a:gd name="T21" fmla="*/ 0 h 153873"/>
              <a:gd name="T22" fmla="*/ 0 w 153873"/>
              <a:gd name="T23" fmla="*/ 0 h 153873"/>
              <a:gd name="T24" fmla="*/ 0 w 153873"/>
              <a:gd name="T25" fmla="*/ 0 h 1538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3873"/>
              <a:gd name="T40" fmla="*/ 0 h 153873"/>
              <a:gd name="T41" fmla="*/ 153873 w 153873"/>
              <a:gd name="T42" fmla="*/ 153873 h 1538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3873" h="153873">
                <a:moveTo>
                  <a:pt x="153873" y="76174"/>
                </a:moveTo>
                <a:cubicBezTo>
                  <a:pt x="153873" y="33515"/>
                  <a:pt x="118833" y="0"/>
                  <a:pt x="76174" y="0"/>
                </a:cubicBezTo>
                <a:cubicBezTo>
                  <a:pt x="33528" y="0"/>
                  <a:pt x="0" y="33515"/>
                  <a:pt x="0" y="76174"/>
                </a:cubicBezTo>
                <a:cubicBezTo>
                  <a:pt x="0" y="118833"/>
                  <a:pt x="33528" y="153873"/>
                  <a:pt x="76174" y="153873"/>
                </a:cubicBezTo>
                <a:cubicBezTo>
                  <a:pt x="118833" y="153873"/>
                  <a:pt x="153873" y="118833"/>
                  <a:pt x="153873" y="76174"/>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04" name="Shape 8977">
            <a:extLst>
              <a:ext uri="{FF2B5EF4-FFF2-40B4-BE49-F238E27FC236}">
                <a16:creationId xmlns:a16="http://schemas.microsoft.com/office/drawing/2014/main" id="{00000000-0008-0000-0500-000068000000}"/>
              </a:ext>
            </a:extLst>
          </xdr:cNvPr>
          <xdr:cNvSpPr>
            <a:spLocks/>
          </xdr:cNvSpPr>
        </xdr:nvSpPr>
        <xdr:spPr bwMode="auto">
          <a:xfrm>
            <a:off x="837" y="2041"/>
            <a:ext cx="351"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16751" y="0"/>
                </a:moveTo>
                <a:cubicBezTo>
                  <a:pt x="25895" y="0"/>
                  <a:pt x="35039" y="6096"/>
                  <a:pt x="35039" y="16764"/>
                </a:cubicBezTo>
                <a:cubicBezTo>
                  <a:pt x="35039" y="25895"/>
                  <a:pt x="25895" y="33515"/>
                  <a:pt x="16751" y="33515"/>
                </a:cubicBezTo>
                <a:cubicBezTo>
                  <a:pt x="7620" y="33515"/>
                  <a:pt x="0" y="25895"/>
                  <a:pt x="0" y="16764"/>
                </a:cubicBezTo>
                <a:cubicBezTo>
                  <a:pt x="0" y="6096"/>
                  <a:pt x="7620" y="0"/>
                  <a:pt x="16751"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05" name="Shape 8978">
            <a:extLst>
              <a:ext uri="{FF2B5EF4-FFF2-40B4-BE49-F238E27FC236}">
                <a16:creationId xmlns:a16="http://schemas.microsoft.com/office/drawing/2014/main" id="{00000000-0008-0000-0500-000069000000}"/>
              </a:ext>
            </a:extLst>
          </xdr:cNvPr>
          <xdr:cNvSpPr>
            <a:spLocks/>
          </xdr:cNvSpPr>
        </xdr:nvSpPr>
        <xdr:spPr bwMode="auto">
          <a:xfrm>
            <a:off x="837" y="2041"/>
            <a:ext cx="351"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35039" y="16764"/>
                </a:moveTo>
                <a:cubicBezTo>
                  <a:pt x="35039" y="6096"/>
                  <a:pt x="25895" y="0"/>
                  <a:pt x="16751" y="0"/>
                </a:cubicBezTo>
                <a:cubicBezTo>
                  <a:pt x="7620" y="0"/>
                  <a:pt x="0" y="6096"/>
                  <a:pt x="0" y="16764"/>
                </a:cubicBezTo>
                <a:cubicBezTo>
                  <a:pt x="0" y="25895"/>
                  <a:pt x="7620" y="33515"/>
                  <a:pt x="16751" y="33515"/>
                </a:cubicBezTo>
                <a:cubicBezTo>
                  <a:pt x="25895" y="33515"/>
                  <a:pt x="35039" y="25895"/>
                  <a:pt x="35039" y="16764"/>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06" name="Shape 8979">
            <a:extLst>
              <a:ext uri="{FF2B5EF4-FFF2-40B4-BE49-F238E27FC236}">
                <a16:creationId xmlns:a16="http://schemas.microsoft.com/office/drawing/2014/main" id="{00000000-0008-0000-0500-00006A000000}"/>
              </a:ext>
            </a:extLst>
          </xdr:cNvPr>
          <xdr:cNvSpPr>
            <a:spLocks/>
          </xdr:cNvSpPr>
        </xdr:nvSpPr>
        <xdr:spPr bwMode="auto">
          <a:xfrm>
            <a:off x="7084" y="0"/>
            <a:ext cx="3504" cy="3473"/>
          </a:xfrm>
          <a:custGeom>
            <a:avLst/>
            <a:gdLst>
              <a:gd name="T0" fmla="*/ 0 w 350405"/>
              <a:gd name="T1" fmla="*/ 0 h 347344"/>
              <a:gd name="T2" fmla="*/ 0 w 350405"/>
              <a:gd name="T3" fmla="*/ 0 h 347344"/>
              <a:gd name="T4" fmla="*/ 0 w 350405"/>
              <a:gd name="T5" fmla="*/ 0 h 347344"/>
              <a:gd name="T6" fmla="*/ 0 w 350405"/>
              <a:gd name="T7" fmla="*/ 0 h 347344"/>
              <a:gd name="T8" fmla="*/ 0 w 350405"/>
              <a:gd name="T9" fmla="*/ 0 h 347344"/>
              <a:gd name="T10" fmla="*/ 0 w 350405"/>
              <a:gd name="T11" fmla="*/ 0 h 347344"/>
              <a:gd name="T12" fmla="*/ 0 w 350405"/>
              <a:gd name="T13" fmla="*/ 0 h 347344"/>
              <a:gd name="T14" fmla="*/ 0 w 350405"/>
              <a:gd name="T15" fmla="*/ 0 h 347344"/>
              <a:gd name="T16" fmla="*/ 0 w 350405"/>
              <a:gd name="T17" fmla="*/ 0 h 347344"/>
              <a:gd name="T18" fmla="*/ 0 w 350405"/>
              <a:gd name="T19" fmla="*/ 0 h 347344"/>
              <a:gd name="T20" fmla="*/ 0 w 350405"/>
              <a:gd name="T21" fmla="*/ 0 h 347344"/>
              <a:gd name="T22" fmla="*/ 0 w 350405"/>
              <a:gd name="T23" fmla="*/ 0 h 347344"/>
              <a:gd name="T24" fmla="*/ 0 w 350405"/>
              <a:gd name="T25" fmla="*/ 0 h 34734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405"/>
              <a:gd name="T40" fmla="*/ 0 h 347344"/>
              <a:gd name="T41" fmla="*/ 350405 w 350405"/>
              <a:gd name="T42" fmla="*/ 347344 h 34734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405" h="347344">
                <a:moveTo>
                  <a:pt x="175209" y="0"/>
                </a:moveTo>
                <a:cubicBezTo>
                  <a:pt x="272706" y="0"/>
                  <a:pt x="350405" y="77686"/>
                  <a:pt x="350405" y="173672"/>
                </a:cubicBezTo>
                <a:cubicBezTo>
                  <a:pt x="350405" y="269646"/>
                  <a:pt x="272706" y="347344"/>
                  <a:pt x="175209" y="347344"/>
                </a:cubicBezTo>
                <a:cubicBezTo>
                  <a:pt x="77698" y="347344"/>
                  <a:pt x="0" y="269646"/>
                  <a:pt x="0" y="173672"/>
                </a:cubicBezTo>
                <a:cubicBezTo>
                  <a:pt x="0" y="77686"/>
                  <a:pt x="77698" y="0"/>
                  <a:pt x="175209" y="0"/>
                </a:cubicBezTo>
                <a:close/>
              </a:path>
            </a:pathLst>
          </a:custGeom>
          <a:solidFill>
            <a:srgbClr val="E1E2E3"/>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07" name="Shape 8980">
            <a:extLst>
              <a:ext uri="{FF2B5EF4-FFF2-40B4-BE49-F238E27FC236}">
                <a16:creationId xmlns:a16="http://schemas.microsoft.com/office/drawing/2014/main" id="{00000000-0008-0000-0500-00006B000000}"/>
              </a:ext>
            </a:extLst>
          </xdr:cNvPr>
          <xdr:cNvSpPr>
            <a:spLocks/>
          </xdr:cNvSpPr>
        </xdr:nvSpPr>
        <xdr:spPr bwMode="auto">
          <a:xfrm>
            <a:off x="7084" y="0"/>
            <a:ext cx="3504" cy="3473"/>
          </a:xfrm>
          <a:custGeom>
            <a:avLst/>
            <a:gdLst>
              <a:gd name="T0" fmla="*/ 0 w 350405"/>
              <a:gd name="T1" fmla="*/ 0 h 347344"/>
              <a:gd name="T2" fmla="*/ 0 w 350405"/>
              <a:gd name="T3" fmla="*/ 0 h 347344"/>
              <a:gd name="T4" fmla="*/ 0 w 350405"/>
              <a:gd name="T5" fmla="*/ 0 h 347344"/>
              <a:gd name="T6" fmla="*/ 0 w 350405"/>
              <a:gd name="T7" fmla="*/ 0 h 347344"/>
              <a:gd name="T8" fmla="*/ 0 w 350405"/>
              <a:gd name="T9" fmla="*/ 0 h 347344"/>
              <a:gd name="T10" fmla="*/ 0 w 350405"/>
              <a:gd name="T11" fmla="*/ 0 h 347344"/>
              <a:gd name="T12" fmla="*/ 0 w 350405"/>
              <a:gd name="T13" fmla="*/ 0 h 347344"/>
              <a:gd name="T14" fmla="*/ 0 w 350405"/>
              <a:gd name="T15" fmla="*/ 0 h 347344"/>
              <a:gd name="T16" fmla="*/ 0 w 350405"/>
              <a:gd name="T17" fmla="*/ 0 h 347344"/>
              <a:gd name="T18" fmla="*/ 0 w 350405"/>
              <a:gd name="T19" fmla="*/ 0 h 347344"/>
              <a:gd name="T20" fmla="*/ 0 w 350405"/>
              <a:gd name="T21" fmla="*/ 0 h 347344"/>
              <a:gd name="T22" fmla="*/ 0 w 350405"/>
              <a:gd name="T23" fmla="*/ 0 h 347344"/>
              <a:gd name="T24" fmla="*/ 0 w 350405"/>
              <a:gd name="T25" fmla="*/ 0 h 34734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405"/>
              <a:gd name="T40" fmla="*/ 0 h 347344"/>
              <a:gd name="T41" fmla="*/ 350405 w 350405"/>
              <a:gd name="T42" fmla="*/ 347344 h 34734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405" h="347344">
                <a:moveTo>
                  <a:pt x="350405" y="173672"/>
                </a:moveTo>
                <a:cubicBezTo>
                  <a:pt x="350405" y="77686"/>
                  <a:pt x="272706" y="0"/>
                  <a:pt x="175209" y="0"/>
                </a:cubicBezTo>
                <a:cubicBezTo>
                  <a:pt x="77698" y="0"/>
                  <a:pt x="0" y="77686"/>
                  <a:pt x="0" y="173672"/>
                </a:cubicBezTo>
                <a:cubicBezTo>
                  <a:pt x="0" y="269646"/>
                  <a:pt x="77698" y="347344"/>
                  <a:pt x="175209" y="347344"/>
                </a:cubicBezTo>
                <a:cubicBezTo>
                  <a:pt x="272706" y="347344"/>
                  <a:pt x="350405" y="269646"/>
                  <a:pt x="350405" y="173672"/>
                </a:cubicBezTo>
                <a:close/>
              </a:path>
            </a:pathLst>
          </a:custGeom>
          <a:noFill/>
          <a:ln w="7607"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08" name="Shape 8981">
            <a:extLst>
              <a:ext uri="{FF2B5EF4-FFF2-40B4-BE49-F238E27FC236}">
                <a16:creationId xmlns:a16="http://schemas.microsoft.com/office/drawing/2014/main" id="{00000000-0008-0000-0500-00006C000000}"/>
              </a:ext>
            </a:extLst>
          </xdr:cNvPr>
          <xdr:cNvSpPr>
            <a:spLocks/>
          </xdr:cNvSpPr>
        </xdr:nvSpPr>
        <xdr:spPr bwMode="auto">
          <a:xfrm>
            <a:off x="8013" y="91"/>
            <a:ext cx="1554" cy="1554"/>
          </a:xfrm>
          <a:custGeom>
            <a:avLst/>
            <a:gdLst>
              <a:gd name="T0" fmla="*/ 0 w 155397"/>
              <a:gd name="T1" fmla="*/ 0 h 155397"/>
              <a:gd name="T2" fmla="*/ 0 w 155397"/>
              <a:gd name="T3" fmla="*/ 0 h 155397"/>
              <a:gd name="T4" fmla="*/ 0 w 155397"/>
              <a:gd name="T5" fmla="*/ 0 h 155397"/>
              <a:gd name="T6" fmla="*/ 0 w 155397"/>
              <a:gd name="T7" fmla="*/ 0 h 155397"/>
              <a:gd name="T8" fmla="*/ 0 w 155397"/>
              <a:gd name="T9" fmla="*/ 0 h 155397"/>
              <a:gd name="T10" fmla="*/ 0 w 155397"/>
              <a:gd name="T11" fmla="*/ 0 h 155397"/>
              <a:gd name="T12" fmla="*/ 0 w 155397"/>
              <a:gd name="T13" fmla="*/ 0 h 155397"/>
              <a:gd name="T14" fmla="*/ 0 w 155397"/>
              <a:gd name="T15" fmla="*/ 0 h 155397"/>
              <a:gd name="T16" fmla="*/ 0 w 155397"/>
              <a:gd name="T17" fmla="*/ 0 h 155397"/>
              <a:gd name="T18" fmla="*/ 0 w 155397"/>
              <a:gd name="T19" fmla="*/ 0 h 155397"/>
              <a:gd name="T20" fmla="*/ 0 w 155397"/>
              <a:gd name="T21" fmla="*/ 0 h 155397"/>
              <a:gd name="T22" fmla="*/ 0 w 155397"/>
              <a:gd name="T23" fmla="*/ 0 h 155397"/>
              <a:gd name="T24" fmla="*/ 0 w 155397"/>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97"/>
              <a:gd name="T40" fmla="*/ 0 h 155397"/>
              <a:gd name="T41" fmla="*/ 155397 w 155397"/>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97" h="155397">
                <a:moveTo>
                  <a:pt x="77698" y="0"/>
                </a:moveTo>
                <a:cubicBezTo>
                  <a:pt x="120357" y="0"/>
                  <a:pt x="155397" y="33515"/>
                  <a:pt x="155397" y="77698"/>
                </a:cubicBezTo>
                <a:cubicBezTo>
                  <a:pt x="155397" y="120357"/>
                  <a:pt x="120357" y="155397"/>
                  <a:pt x="77698" y="155397"/>
                </a:cubicBezTo>
                <a:cubicBezTo>
                  <a:pt x="33515" y="155397"/>
                  <a:pt x="0" y="120357"/>
                  <a:pt x="0" y="77698"/>
                </a:cubicBezTo>
                <a:cubicBezTo>
                  <a:pt x="0" y="33515"/>
                  <a:pt x="33515" y="0"/>
                  <a:pt x="77698"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09" name="Shape 8982">
            <a:extLst>
              <a:ext uri="{FF2B5EF4-FFF2-40B4-BE49-F238E27FC236}">
                <a16:creationId xmlns:a16="http://schemas.microsoft.com/office/drawing/2014/main" id="{00000000-0008-0000-0500-00006D000000}"/>
              </a:ext>
            </a:extLst>
          </xdr:cNvPr>
          <xdr:cNvSpPr>
            <a:spLocks/>
          </xdr:cNvSpPr>
        </xdr:nvSpPr>
        <xdr:spPr bwMode="auto">
          <a:xfrm>
            <a:off x="8013" y="91"/>
            <a:ext cx="1554" cy="1554"/>
          </a:xfrm>
          <a:custGeom>
            <a:avLst/>
            <a:gdLst>
              <a:gd name="T0" fmla="*/ 0 w 155397"/>
              <a:gd name="T1" fmla="*/ 0 h 155397"/>
              <a:gd name="T2" fmla="*/ 0 w 155397"/>
              <a:gd name="T3" fmla="*/ 0 h 155397"/>
              <a:gd name="T4" fmla="*/ 0 w 155397"/>
              <a:gd name="T5" fmla="*/ 0 h 155397"/>
              <a:gd name="T6" fmla="*/ 0 w 155397"/>
              <a:gd name="T7" fmla="*/ 0 h 155397"/>
              <a:gd name="T8" fmla="*/ 0 w 155397"/>
              <a:gd name="T9" fmla="*/ 0 h 155397"/>
              <a:gd name="T10" fmla="*/ 0 w 155397"/>
              <a:gd name="T11" fmla="*/ 0 h 155397"/>
              <a:gd name="T12" fmla="*/ 0 w 155397"/>
              <a:gd name="T13" fmla="*/ 0 h 155397"/>
              <a:gd name="T14" fmla="*/ 0 w 155397"/>
              <a:gd name="T15" fmla="*/ 0 h 155397"/>
              <a:gd name="T16" fmla="*/ 0 w 155397"/>
              <a:gd name="T17" fmla="*/ 0 h 155397"/>
              <a:gd name="T18" fmla="*/ 0 w 155397"/>
              <a:gd name="T19" fmla="*/ 0 h 155397"/>
              <a:gd name="T20" fmla="*/ 0 w 155397"/>
              <a:gd name="T21" fmla="*/ 0 h 155397"/>
              <a:gd name="T22" fmla="*/ 0 w 155397"/>
              <a:gd name="T23" fmla="*/ 0 h 155397"/>
              <a:gd name="T24" fmla="*/ 0 w 155397"/>
              <a:gd name="T25" fmla="*/ 0 h 15539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97"/>
              <a:gd name="T40" fmla="*/ 0 h 155397"/>
              <a:gd name="T41" fmla="*/ 155397 w 155397"/>
              <a:gd name="T42" fmla="*/ 155397 h 15539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97" h="155397">
                <a:moveTo>
                  <a:pt x="155397" y="77698"/>
                </a:moveTo>
                <a:cubicBezTo>
                  <a:pt x="155397" y="33515"/>
                  <a:pt x="120357" y="0"/>
                  <a:pt x="77698" y="0"/>
                </a:cubicBezTo>
                <a:cubicBezTo>
                  <a:pt x="33515" y="0"/>
                  <a:pt x="0" y="33515"/>
                  <a:pt x="0" y="77698"/>
                </a:cubicBezTo>
                <a:cubicBezTo>
                  <a:pt x="0" y="120357"/>
                  <a:pt x="33515" y="155397"/>
                  <a:pt x="77698" y="155397"/>
                </a:cubicBezTo>
                <a:cubicBezTo>
                  <a:pt x="120357" y="155397"/>
                  <a:pt x="155397" y="120357"/>
                  <a:pt x="155397" y="77698"/>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10" name="Shape 8983">
            <a:extLst>
              <a:ext uri="{FF2B5EF4-FFF2-40B4-BE49-F238E27FC236}">
                <a16:creationId xmlns:a16="http://schemas.microsoft.com/office/drawing/2014/main" id="{00000000-0008-0000-0500-00006E000000}"/>
              </a:ext>
            </a:extLst>
          </xdr:cNvPr>
          <xdr:cNvSpPr>
            <a:spLocks/>
          </xdr:cNvSpPr>
        </xdr:nvSpPr>
        <xdr:spPr bwMode="auto">
          <a:xfrm>
            <a:off x="8638" y="700"/>
            <a:ext cx="350"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16764" y="0"/>
                </a:moveTo>
                <a:cubicBezTo>
                  <a:pt x="25895" y="0"/>
                  <a:pt x="35039" y="6096"/>
                  <a:pt x="35039" y="16751"/>
                </a:cubicBezTo>
                <a:cubicBezTo>
                  <a:pt x="35039" y="25895"/>
                  <a:pt x="25895" y="33515"/>
                  <a:pt x="16764" y="33515"/>
                </a:cubicBezTo>
                <a:cubicBezTo>
                  <a:pt x="7620" y="33515"/>
                  <a:pt x="0" y="25895"/>
                  <a:pt x="0" y="16751"/>
                </a:cubicBezTo>
                <a:cubicBezTo>
                  <a:pt x="0" y="6096"/>
                  <a:pt x="7620" y="0"/>
                  <a:pt x="16764"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11" name="Shape 8984">
            <a:extLst>
              <a:ext uri="{FF2B5EF4-FFF2-40B4-BE49-F238E27FC236}">
                <a16:creationId xmlns:a16="http://schemas.microsoft.com/office/drawing/2014/main" id="{00000000-0008-0000-0500-00006F000000}"/>
              </a:ext>
            </a:extLst>
          </xdr:cNvPr>
          <xdr:cNvSpPr>
            <a:spLocks/>
          </xdr:cNvSpPr>
        </xdr:nvSpPr>
        <xdr:spPr bwMode="auto">
          <a:xfrm>
            <a:off x="8638" y="700"/>
            <a:ext cx="350"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35039" y="16751"/>
                </a:moveTo>
                <a:cubicBezTo>
                  <a:pt x="35039" y="6096"/>
                  <a:pt x="25895" y="0"/>
                  <a:pt x="16764" y="0"/>
                </a:cubicBezTo>
                <a:cubicBezTo>
                  <a:pt x="7620" y="0"/>
                  <a:pt x="0" y="6096"/>
                  <a:pt x="0" y="16751"/>
                </a:cubicBezTo>
                <a:cubicBezTo>
                  <a:pt x="0" y="25895"/>
                  <a:pt x="7620" y="33515"/>
                  <a:pt x="16764" y="33515"/>
                </a:cubicBezTo>
                <a:cubicBezTo>
                  <a:pt x="25895" y="33515"/>
                  <a:pt x="35039" y="25895"/>
                  <a:pt x="35039" y="16751"/>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12" name="Shape 8985">
            <a:extLst>
              <a:ext uri="{FF2B5EF4-FFF2-40B4-BE49-F238E27FC236}">
                <a16:creationId xmlns:a16="http://schemas.microsoft.com/office/drawing/2014/main" id="{00000000-0008-0000-0500-000070000000}"/>
              </a:ext>
            </a:extLst>
          </xdr:cNvPr>
          <xdr:cNvSpPr>
            <a:spLocks/>
          </xdr:cNvSpPr>
        </xdr:nvSpPr>
        <xdr:spPr bwMode="auto">
          <a:xfrm>
            <a:off x="8821" y="1432"/>
            <a:ext cx="1553" cy="1538"/>
          </a:xfrm>
          <a:custGeom>
            <a:avLst/>
            <a:gdLst>
              <a:gd name="T0" fmla="*/ 0 w 155384"/>
              <a:gd name="T1" fmla="*/ 0 h 153873"/>
              <a:gd name="T2" fmla="*/ 0 w 155384"/>
              <a:gd name="T3" fmla="*/ 0 h 153873"/>
              <a:gd name="T4" fmla="*/ 0 w 155384"/>
              <a:gd name="T5" fmla="*/ 0 h 153873"/>
              <a:gd name="T6" fmla="*/ 0 w 155384"/>
              <a:gd name="T7" fmla="*/ 0 h 153873"/>
              <a:gd name="T8" fmla="*/ 0 w 155384"/>
              <a:gd name="T9" fmla="*/ 0 h 153873"/>
              <a:gd name="T10" fmla="*/ 0 w 155384"/>
              <a:gd name="T11" fmla="*/ 0 h 153873"/>
              <a:gd name="T12" fmla="*/ 0 w 155384"/>
              <a:gd name="T13" fmla="*/ 0 h 153873"/>
              <a:gd name="T14" fmla="*/ 0 w 155384"/>
              <a:gd name="T15" fmla="*/ 0 h 153873"/>
              <a:gd name="T16" fmla="*/ 0 w 155384"/>
              <a:gd name="T17" fmla="*/ 0 h 153873"/>
              <a:gd name="T18" fmla="*/ 0 w 155384"/>
              <a:gd name="T19" fmla="*/ 0 h 153873"/>
              <a:gd name="T20" fmla="*/ 0 w 155384"/>
              <a:gd name="T21" fmla="*/ 0 h 153873"/>
              <a:gd name="T22" fmla="*/ 0 w 155384"/>
              <a:gd name="T23" fmla="*/ 0 h 153873"/>
              <a:gd name="T24" fmla="*/ 0 w 155384"/>
              <a:gd name="T25" fmla="*/ 0 h 1538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84"/>
              <a:gd name="T40" fmla="*/ 0 h 153873"/>
              <a:gd name="T41" fmla="*/ 155384 w 155384"/>
              <a:gd name="T42" fmla="*/ 153873 h 1538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84" h="153873">
                <a:moveTo>
                  <a:pt x="77698" y="0"/>
                </a:moveTo>
                <a:cubicBezTo>
                  <a:pt x="120345" y="0"/>
                  <a:pt x="155384" y="33515"/>
                  <a:pt x="155384" y="76174"/>
                </a:cubicBezTo>
                <a:cubicBezTo>
                  <a:pt x="155384" y="118833"/>
                  <a:pt x="120345" y="153873"/>
                  <a:pt x="77698" y="153873"/>
                </a:cubicBezTo>
                <a:cubicBezTo>
                  <a:pt x="33515" y="153873"/>
                  <a:pt x="0" y="118833"/>
                  <a:pt x="0" y="76174"/>
                </a:cubicBezTo>
                <a:cubicBezTo>
                  <a:pt x="0" y="33515"/>
                  <a:pt x="33515" y="0"/>
                  <a:pt x="77698"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13" name="Shape 8986">
            <a:extLst>
              <a:ext uri="{FF2B5EF4-FFF2-40B4-BE49-F238E27FC236}">
                <a16:creationId xmlns:a16="http://schemas.microsoft.com/office/drawing/2014/main" id="{00000000-0008-0000-0500-000071000000}"/>
              </a:ext>
            </a:extLst>
          </xdr:cNvPr>
          <xdr:cNvSpPr>
            <a:spLocks/>
          </xdr:cNvSpPr>
        </xdr:nvSpPr>
        <xdr:spPr bwMode="auto">
          <a:xfrm>
            <a:off x="8821" y="1432"/>
            <a:ext cx="1553" cy="1538"/>
          </a:xfrm>
          <a:custGeom>
            <a:avLst/>
            <a:gdLst>
              <a:gd name="T0" fmla="*/ 0 w 155384"/>
              <a:gd name="T1" fmla="*/ 0 h 153873"/>
              <a:gd name="T2" fmla="*/ 0 w 155384"/>
              <a:gd name="T3" fmla="*/ 0 h 153873"/>
              <a:gd name="T4" fmla="*/ 0 w 155384"/>
              <a:gd name="T5" fmla="*/ 0 h 153873"/>
              <a:gd name="T6" fmla="*/ 0 w 155384"/>
              <a:gd name="T7" fmla="*/ 0 h 153873"/>
              <a:gd name="T8" fmla="*/ 0 w 155384"/>
              <a:gd name="T9" fmla="*/ 0 h 153873"/>
              <a:gd name="T10" fmla="*/ 0 w 155384"/>
              <a:gd name="T11" fmla="*/ 0 h 153873"/>
              <a:gd name="T12" fmla="*/ 0 w 155384"/>
              <a:gd name="T13" fmla="*/ 0 h 153873"/>
              <a:gd name="T14" fmla="*/ 0 w 155384"/>
              <a:gd name="T15" fmla="*/ 0 h 153873"/>
              <a:gd name="T16" fmla="*/ 0 w 155384"/>
              <a:gd name="T17" fmla="*/ 0 h 153873"/>
              <a:gd name="T18" fmla="*/ 0 w 155384"/>
              <a:gd name="T19" fmla="*/ 0 h 153873"/>
              <a:gd name="T20" fmla="*/ 0 w 155384"/>
              <a:gd name="T21" fmla="*/ 0 h 153873"/>
              <a:gd name="T22" fmla="*/ 0 w 155384"/>
              <a:gd name="T23" fmla="*/ 0 h 153873"/>
              <a:gd name="T24" fmla="*/ 0 w 155384"/>
              <a:gd name="T25" fmla="*/ 0 h 1538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5384"/>
              <a:gd name="T40" fmla="*/ 0 h 153873"/>
              <a:gd name="T41" fmla="*/ 155384 w 155384"/>
              <a:gd name="T42" fmla="*/ 153873 h 1538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5384" h="153873">
                <a:moveTo>
                  <a:pt x="155384" y="76174"/>
                </a:moveTo>
                <a:cubicBezTo>
                  <a:pt x="155384" y="33515"/>
                  <a:pt x="120345" y="0"/>
                  <a:pt x="77698" y="0"/>
                </a:cubicBezTo>
                <a:cubicBezTo>
                  <a:pt x="33515" y="0"/>
                  <a:pt x="0" y="33515"/>
                  <a:pt x="0" y="76174"/>
                </a:cubicBezTo>
                <a:cubicBezTo>
                  <a:pt x="0" y="118833"/>
                  <a:pt x="33515" y="153873"/>
                  <a:pt x="77698" y="153873"/>
                </a:cubicBezTo>
                <a:cubicBezTo>
                  <a:pt x="120345" y="153873"/>
                  <a:pt x="155384" y="118833"/>
                  <a:pt x="155384" y="76174"/>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14" name="Shape 8987">
            <a:extLst>
              <a:ext uri="{FF2B5EF4-FFF2-40B4-BE49-F238E27FC236}">
                <a16:creationId xmlns:a16="http://schemas.microsoft.com/office/drawing/2014/main" id="{00000000-0008-0000-0500-000072000000}"/>
              </a:ext>
            </a:extLst>
          </xdr:cNvPr>
          <xdr:cNvSpPr>
            <a:spLocks/>
          </xdr:cNvSpPr>
        </xdr:nvSpPr>
        <xdr:spPr bwMode="auto">
          <a:xfrm>
            <a:off x="9460" y="2041"/>
            <a:ext cx="351"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16751" y="0"/>
                </a:moveTo>
                <a:cubicBezTo>
                  <a:pt x="25895" y="0"/>
                  <a:pt x="35039" y="6096"/>
                  <a:pt x="35039" y="16764"/>
                </a:cubicBezTo>
                <a:cubicBezTo>
                  <a:pt x="35039" y="25895"/>
                  <a:pt x="25895" y="33515"/>
                  <a:pt x="16751" y="33515"/>
                </a:cubicBezTo>
                <a:cubicBezTo>
                  <a:pt x="7620" y="33515"/>
                  <a:pt x="0" y="25895"/>
                  <a:pt x="0" y="16764"/>
                </a:cubicBezTo>
                <a:cubicBezTo>
                  <a:pt x="0" y="6096"/>
                  <a:pt x="7620" y="0"/>
                  <a:pt x="16751"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15" name="Shape 8988">
            <a:extLst>
              <a:ext uri="{FF2B5EF4-FFF2-40B4-BE49-F238E27FC236}">
                <a16:creationId xmlns:a16="http://schemas.microsoft.com/office/drawing/2014/main" id="{00000000-0008-0000-0500-000073000000}"/>
              </a:ext>
            </a:extLst>
          </xdr:cNvPr>
          <xdr:cNvSpPr>
            <a:spLocks/>
          </xdr:cNvSpPr>
        </xdr:nvSpPr>
        <xdr:spPr bwMode="auto">
          <a:xfrm>
            <a:off x="9460" y="2041"/>
            <a:ext cx="351"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35039" y="16764"/>
                </a:moveTo>
                <a:cubicBezTo>
                  <a:pt x="35039" y="6096"/>
                  <a:pt x="25895" y="0"/>
                  <a:pt x="16751" y="0"/>
                </a:cubicBezTo>
                <a:cubicBezTo>
                  <a:pt x="7620" y="0"/>
                  <a:pt x="0" y="6096"/>
                  <a:pt x="0" y="16764"/>
                </a:cubicBezTo>
                <a:cubicBezTo>
                  <a:pt x="0" y="25895"/>
                  <a:pt x="7620" y="33515"/>
                  <a:pt x="16751" y="33515"/>
                </a:cubicBezTo>
                <a:cubicBezTo>
                  <a:pt x="25895" y="33515"/>
                  <a:pt x="35039" y="25895"/>
                  <a:pt x="35039" y="16764"/>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16" name="Shape 8989">
            <a:extLst>
              <a:ext uri="{FF2B5EF4-FFF2-40B4-BE49-F238E27FC236}">
                <a16:creationId xmlns:a16="http://schemas.microsoft.com/office/drawing/2014/main" id="{00000000-0008-0000-0500-000074000000}"/>
              </a:ext>
            </a:extLst>
          </xdr:cNvPr>
          <xdr:cNvSpPr>
            <a:spLocks/>
          </xdr:cNvSpPr>
        </xdr:nvSpPr>
        <xdr:spPr bwMode="auto">
          <a:xfrm>
            <a:off x="7297" y="1432"/>
            <a:ext cx="1539" cy="1538"/>
          </a:xfrm>
          <a:custGeom>
            <a:avLst/>
            <a:gdLst>
              <a:gd name="T0" fmla="*/ 0 w 153873"/>
              <a:gd name="T1" fmla="*/ 0 h 153873"/>
              <a:gd name="T2" fmla="*/ 0 w 153873"/>
              <a:gd name="T3" fmla="*/ 0 h 153873"/>
              <a:gd name="T4" fmla="*/ 0 w 153873"/>
              <a:gd name="T5" fmla="*/ 0 h 153873"/>
              <a:gd name="T6" fmla="*/ 0 w 153873"/>
              <a:gd name="T7" fmla="*/ 0 h 153873"/>
              <a:gd name="T8" fmla="*/ 0 w 153873"/>
              <a:gd name="T9" fmla="*/ 0 h 153873"/>
              <a:gd name="T10" fmla="*/ 0 w 153873"/>
              <a:gd name="T11" fmla="*/ 0 h 153873"/>
              <a:gd name="T12" fmla="*/ 0 w 153873"/>
              <a:gd name="T13" fmla="*/ 0 h 153873"/>
              <a:gd name="T14" fmla="*/ 0 w 153873"/>
              <a:gd name="T15" fmla="*/ 0 h 153873"/>
              <a:gd name="T16" fmla="*/ 0 w 153873"/>
              <a:gd name="T17" fmla="*/ 0 h 153873"/>
              <a:gd name="T18" fmla="*/ 0 w 153873"/>
              <a:gd name="T19" fmla="*/ 0 h 153873"/>
              <a:gd name="T20" fmla="*/ 0 w 153873"/>
              <a:gd name="T21" fmla="*/ 0 h 153873"/>
              <a:gd name="T22" fmla="*/ 0 w 153873"/>
              <a:gd name="T23" fmla="*/ 0 h 153873"/>
              <a:gd name="T24" fmla="*/ 0 w 153873"/>
              <a:gd name="T25" fmla="*/ 0 h 1538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3873"/>
              <a:gd name="T40" fmla="*/ 0 h 153873"/>
              <a:gd name="T41" fmla="*/ 153873 w 153873"/>
              <a:gd name="T42" fmla="*/ 153873 h 1538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3873" h="153873">
                <a:moveTo>
                  <a:pt x="76174" y="0"/>
                </a:moveTo>
                <a:cubicBezTo>
                  <a:pt x="118821" y="0"/>
                  <a:pt x="153873" y="33515"/>
                  <a:pt x="153873" y="76174"/>
                </a:cubicBezTo>
                <a:cubicBezTo>
                  <a:pt x="153873" y="118833"/>
                  <a:pt x="118821" y="153873"/>
                  <a:pt x="76174" y="153873"/>
                </a:cubicBezTo>
                <a:cubicBezTo>
                  <a:pt x="33515" y="153873"/>
                  <a:pt x="0" y="118833"/>
                  <a:pt x="0" y="76174"/>
                </a:cubicBezTo>
                <a:cubicBezTo>
                  <a:pt x="0" y="33515"/>
                  <a:pt x="33515" y="0"/>
                  <a:pt x="76174" y="0"/>
                </a:cubicBezTo>
                <a:close/>
              </a:path>
            </a:pathLst>
          </a:custGeom>
          <a:solidFill>
            <a:srgbClr val="FFFFFF"/>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17" name="Shape 8990">
            <a:extLst>
              <a:ext uri="{FF2B5EF4-FFF2-40B4-BE49-F238E27FC236}">
                <a16:creationId xmlns:a16="http://schemas.microsoft.com/office/drawing/2014/main" id="{00000000-0008-0000-0500-000075000000}"/>
              </a:ext>
            </a:extLst>
          </xdr:cNvPr>
          <xdr:cNvSpPr>
            <a:spLocks/>
          </xdr:cNvSpPr>
        </xdr:nvSpPr>
        <xdr:spPr bwMode="auto">
          <a:xfrm>
            <a:off x="7297" y="1432"/>
            <a:ext cx="1539" cy="1538"/>
          </a:xfrm>
          <a:custGeom>
            <a:avLst/>
            <a:gdLst>
              <a:gd name="T0" fmla="*/ 0 w 153873"/>
              <a:gd name="T1" fmla="*/ 0 h 153873"/>
              <a:gd name="T2" fmla="*/ 0 w 153873"/>
              <a:gd name="T3" fmla="*/ 0 h 153873"/>
              <a:gd name="T4" fmla="*/ 0 w 153873"/>
              <a:gd name="T5" fmla="*/ 0 h 153873"/>
              <a:gd name="T6" fmla="*/ 0 w 153873"/>
              <a:gd name="T7" fmla="*/ 0 h 153873"/>
              <a:gd name="T8" fmla="*/ 0 w 153873"/>
              <a:gd name="T9" fmla="*/ 0 h 153873"/>
              <a:gd name="T10" fmla="*/ 0 w 153873"/>
              <a:gd name="T11" fmla="*/ 0 h 153873"/>
              <a:gd name="T12" fmla="*/ 0 w 153873"/>
              <a:gd name="T13" fmla="*/ 0 h 153873"/>
              <a:gd name="T14" fmla="*/ 0 w 153873"/>
              <a:gd name="T15" fmla="*/ 0 h 153873"/>
              <a:gd name="T16" fmla="*/ 0 w 153873"/>
              <a:gd name="T17" fmla="*/ 0 h 153873"/>
              <a:gd name="T18" fmla="*/ 0 w 153873"/>
              <a:gd name="T19" fmla="*/ 0 h 153873"/>
              <a:gd name="T20" fmla="*/ 0 w 153873"/>
              <a:gd name="T21" fmla="*/ 0 h 153873"/>
              <a:gd name="T22" fmla="*/ 0 w 153873"/>
              <a:gd name="T23" fmla="*/ 0 h 153873"/>
              <a:gd name="T24" fmla="*/ 0 w 153873"/>
              <a:gd name="T25" fmla="*/ 0 h 1538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53873"/>
              <a:gd name="T40" fmla="*/ 0 h 153873"/>
              <a:gd name="T41" fmla="*/ 153873 w 153873"/>
              <a:gd name="T42" fmla="*/ 153873 h 1538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53873" h="153873">
                <a:moveTo>
                  <a:pt x="153873" y="76174"/>
                </a:moveTo>
                <a:cubicBezTo>
                  <a:pt x="153873" y="33515"/>
                  <a:pt x="118821" y="0"/>
                  <a:pt x="76174" y="0"/>
                </a:cubicBezTo>
                <a:cubicBezTo>
                  <a:pt x="33515" y="0"/>
                  <a:pt x="0" y="33515"/>
                  <a:pt x="0" y="76174"/>
                </a:cubicBezTo>
                <a:cubicBezTo>
                  <a:pt x="0" y="118833"/>
                  <a:pt x="33515" y="153873"/>
                  <a:pt x="76174" y="153873"/>
                </a:cubicBezTo>
                <a:cubicBezTo>
                  <a:pt x="118821" y="153873"/>
                  <a:pt x="153873" y="118833"/>
                  <a:pt x="153873" y="76174"/>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18" name="Shape 8991">
            <a:extLst>
              <a:ext uri="{FF2B5EF4-FFF2-40B4-BE49-F238E27FC236}">
                <a16:creationId xmlns:a16="http://schemas.microsoft.com/office/drawing/2014/main" id="{00000000-0008-0000-0500-000076000000}"/>
              </a:ext>
            </a:extLst>
          </xdr:cNvPr>
          <xdr:cNvSpPr>
            <a:spLocks/>
          </xdr:cNvSpPr>
        </xdr:nvSpPr>
        <xdr:spPr bwMode="auto">
          <a:xfrm>
            <a:off x="7922" y="2041"/>
            <a:ext cx="350"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16764" y="0"/>
                </a:moveTo>
                <a:cubicBezTo>
                  <a:pt x="25895" y="0"/>
                  <a:pt x="35039" y="6096"/>
                  <a:pt x="35039" y="16764"/>
                </a:cubicBezTo>
                <a:cubicBezTo>
                  <a:pt x="35039" y="25895"/>
                  <a:pt x="25895" y="33515"/>
                  <a:pt x="16764" y="33515"/>
                </a:cubicBezTo>
                <a:cubicBezTo>
                  <a:pt x="7620" y="33515"/>
                  <a:pt x="0" y="25895"/>
                  <a:pt x="0" y="16764"/>
                </a:cubicBezTo>
                <a:cubicBezTo>
                  <a:pt x="0" y="6096"/>
                  <a:pt x="7620" y="0"/>
                  <a:pt x="16764" y="0"/>
                </a:cubicBezTo>
                <a:close/>
              </a:path>
            </a:pathLst>
          </a:custGeom>
          <a:solidFill>
            <a:srgbClr val="000000"/>
          </a:solidFill>
          <a:ln>
            <a:noFill/>
          </a:ln>
          <a:extLst>
            <a:ext uri="{91240B29-F687-4F45-9708-019B960494DF}">
              <a14:hiddenLine xmlns:a14="http://schemas.microsoft.com/office/drawing/2010/main" w="0">
                <a:solidFill>
                  <a:srgbClr val="000000"/>
                </a:solidFill>
                <a:miter lim="127000"/>
                <a:headEnd/>
                <a:tailEnd/>
              </a14:hiddenLine>
            </a:ext>
          </a:extLst>
        </xdr:spPr>
        <xdr:txBody>
          <a:bodyPr rot="0" vert="horz" wrap="square" lIns="91440" tIns="45720" rIns="91440" bIns="45720" anchor="t" anchorCtr="0" upright="1">
            <a:noAutofit/>
          </a:bodyPr>
          <a:lstStyle/>
          <a:p>
            <a:endParaRPr lang="da-DK"/>
          </a:p>
        </xdr:txBody>
      </xdr:sp>
      <xdr:sp macro="" textlink="">
        <xdr:nvSpPr>
          <xdr:cNvPr id="119" name="Shape 8992">
            <a:extLst>
              <a:ext uri="{FF2B5EF4-FFF2-40B4-BE49-F238E27FC236}">
                <a16:creationId xmlns:a16="http://schemas.microsoft.com/office/drawing/2014/main" id="{00000000-0008-0000-0500-000077000000}"/>
              </a:ext>
            </a:extLst>
          </xdr:cNvPr>
          <xdr:cNvSpPr>
            <a:spLocks/>
          </xdr:cNvSpPr>
        </xdr:nvSpPr>
        <xdr:spPr bwMode="auto">
          <a:xfrm>
            <a:off x="7922" y="2041"/>
            <a:ext cx="350" cy="335"/>
          </a:xfrm>
          <a:custGeom>
            <a:avLst/>
            <a:gdLst>
              <a:gd name="T0" fmla="*/ 0 w 35039"/>
              <a:gd name="T1" fmla="*/ 0 h 33515"/>
              <a:gd name="T2" fmla="*/ 0 w 35039"/>
              <a:gd name="T3" fmla="*/ 0 h 33515"/>
              <a:gd name="T4" fmla="*/ 0 w 35039"/>
              <a:gd name="T5" fmla="*/ 0 h 33515"/>
              <a:gd name="T6" fmla="*/ 0 w 35039"/>
              <a:gd name="T7" fmla="*/ 0 h 33515"/>
              <a:gd name="T8" fmla="*/ 0 w 35039"/>
              <a:gd name="T9" fmla="*/ 0 h 33515"/>
              <a:gd name="T10" fmla="*/ 0 w 35039"/>
              <a:gd name="T11" fmla="*/ 0 h 33515"/>
              <a:gd name="T12" fmla="*/ 0 w 35039"/>
              <a:gd name="T13" fmla="*/ 0 h 33515"/>
              <a:gd name="T14" fmla="*/ 0 w 35039"/>
              <a:gd name="T15" fmla="*/ 0 h 33515"/>
              <a:gd name="T16" fmla="*/ 0 w 35039"/>
              <a:gd name="T17" fmla="*/ 0 h 33515"/>
              <a:gd name="T18" fmla="*/ 0 w 35039"/>
              <a:gd name="T19" fmla="*/ 0 h 33515"/>
              <a:gd name="T20" fmla="*/ 0 w 35039"/>
              <a:gd name="T21" fmla="*/ 0 h 33515"/>
              <a:gd name="T22" fmla="*/ 0 w 35039"/>
              <a:gd name="T23" fmla="*/ 0 h 33515"/>
              <a:gd name="T24" fmla="*/ 0 w 35039"/>
              <a:gd name="T25" fmla="*/ 0 h 335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5039"/>
              <a:gd name="T40" fmla="*/ 0 h 33515"/>
              <a:gd name="T41" fmla="*/ 35039 w 35039"/>
              <a:gd name="T42" fmla="*/ 33515 h 335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5039" h="33515">
                <a:moveTo>
                  <a:pt x="35039" y="16764"/>
                </a:moveTo>
                <a:cubicBezTo>
                  <a:pt x="35039" y="6096"/>
                  <a:pt x="25895" y="0"/>
                  <a:pt x="16764" y="0"/>
                </a:cubicBezTo>
                <a:cubicBezTo>
                  <a:pt x="7620" y="0"/>
                  <a:pt x="0" y="6096"/>
                  <a:pt x="0" y="16764"/>
                </a:cubicBezTo>
                <a:cubicBezTo>
                  <a:pt x="0" y="25895"/>
                  <a:pt x="7620" y="33515"/>
                  <a:pt x="16764" y="33515"/>
                </a:cubicBezTo>
                <a:cubicBezTo>
                  <a:pt x="25895" y="33515"/>
                  <a:pt x="35039" y="25895"/>
                  <a:pt x="35039" y="16764"/>
                </a:cubicBezTo>
                <a:close/>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20" name="Shape 8993">
            <a:extLst>
              <a:ext uri="{FF2B5EF4-FFF2-40B4-BE49-F238E27FC236}">
                <a16:creationId xmlns:a16="http://schemas.microsoft.com/office/drawing/2014/main" id="{00000000-0008-0000-0500-000078000000}"/>
              </a:ext>
            </a:extLst>
          </xdr:cNvPr>
          <xdr:cNvSpPr>
            <a:spLocks/>
          </xdr:cNvSpPr>
        </xdr:nvSpPr>
        <xdr:spPr bwMode="auto">
          <a:xfrm>
            <a:off x="6931" y="2361"/>
            <a:ext cx="0" cy="2316"/>
          </a:xfrm>
          <a:custGeom>
            <a:avLst/>
            <a:gdLst>
              <a:gd name="T0" fmla="*/ 0 h 231571"/>
              <a:gd name="T1" fmla="*/ 0 h 231571"/>
              <a:gd name="T2" fmla="*/ 0 60000 65536"/>
              <a:gd name="T3" fmla="*/ 0 60000 65536"/>
              <a:gd name="T4" fmla="*/ 0 h 231571"/>
              <a:gd name="T5" fmla="*/ 231571 h 231571"/>
            </a:gdLst>
            <a:ahLst/>
            <a:cxnLst>
              <a:cxn ang="T2">
                <a:pos x="0" y="T0"/>
              </a:cxn>
              <a:cxn ang="T3">
                <a:pos x="0" y="T1"/>
              </a:cxn>
            </a:cxnLst>
            <a:rect l="0" t="T4" r="0" b="T5"/>
            <a:pathLst>
              <a:path h="231571">
                <a:moveTo>
                  <a:pt x="0" y="0"/>
                </a:moveTo>
                <a:lnTo>
                  <a:pt x="0" y="231571"/>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21" name="Shape 8994">
            <a:extLst>
              <a:ext uri="{FF2B5EF4-FFF2-40B4-BE49-F238E27FC236}">
                <a16:creationId xmlns:a16="http://schemas.microsoft.com/office/drawing/2014/main" id="{00000000-0008-0000-0500-000079000000}"/>
              </a:ext>
            </a:extLst>
          </xdr:cNvPr>
          <xdr:cNvSpPr>
            <a:spLocks/>
          </xdr:cNvSpPr>
        </xdr:nvSpPr>
        <xdr:spPr bwMode="auto">
          <a:xfrm>
            <a:off x="3625" y="2330"/>
            <a:ext cx="0" cy="2316"/>
          </a:xfrm>
          <a:custGeom>
            <a:avLst/>
            <a:gdLst>
              <a:gd name="T0" fmla="*/ 0 h 231571"/>
              <a:gd name="T1" fmla="*/ 0 h 231571"/>
              <a:gd name="T2" fmla="*/ 0 60000 65536"/>
              <a:gd name="T3" fmla="*/ 0 60000 65536"/>
              <a:gd name="T4" fmla="*/ 0 h 231571"/>
              <a:gd name="T5" fmla="*/ 231571 h 231571"/>
            </a:gdLst>
            <a:ahLst/>
            <a:cxnLst>
              <a:cxn ang="T2">
                <a:pos x="0" y="T0"/>
              </a:cxn>
              <a:cxn ang="T3">
                <a:pos x="0" y="T1"/>
              </a:cxn>
            </a:cxnLst>
            <a:rect l="0" t="T4" r="0" b="T5"/>
            <a:pathLst>
              <a:path h="231571">
                <a:moveTo>
                  <a:pt x="0" y="0"/>
                </a:moveTo>
                <a:lnTo>
                  <a:pt x="0" y="231571"/>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22" name="Shape 8995">
            <a:extLst>
              <a:ext uri="{FF2B5EF4-FFF2-40B4-BE49-F238E27FC236}">
                <a16:creationId xmlns:a16="http://schemas.microsoft.com/office/drawing/2014/main" id="{00000000-0008-0000-0500-00007A000000}"/>
              </a:ext>
            </a:extLst>
          </xdr:cNvPr>
          <xdr:cNvSpPr>
            <a:spLocks/>
          </xdr:cNvSpPr>
        </xdr:nvSpPr>
        <xdr:spPr bwMode="auto">
          <a:xfrm>
            <a:off x="3747" y="4189"/>
            <a:ext cx="1950" cy="0"/>
          </a:xfrm>
          <a:custGeom>
            <a:avLst/>
            <a:gdLst>
              <a:gd name="T0" fmla="*/ 0 w 195008"/>
              <a:gd name="T1" fmla="*/ 0 w 195008"/>
              <a:gd name="T2" fmla="*/ 0 60000 65536"/>
              <a:gd name="T3" fmla="*/ 0 60000 65536"/>
              <a:gd name="T4" fmla="*/ 0 w 195008"/>
              <a:gd name="T5" fmla="*/ 195008 w 195008"/>
            </a:gdLst>
            <a:ahLst/>
            <a:cxnLst>
              <a:cxn ang="T2">
                <a:pos x="T0" y="0"/>
              </a:cxn>
              <a:cxn ang="T3">
                <a:pos x="T1" y="0"/>
              </a:cxn>
            </a:cxnLst>
            <a:rect l="T4" t="0" r="T5" b="0"/>
            <a:pathLst>
              <a:path w="195008">
                <a:moveTo>
                  <a:pt x="0" y="0"/>
                </a:moveTo>
                <a:lnTo>
                  <a:pt x="195008" y="0"/>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23" name="Shape 8996">
            <a:extLst>
              <a:ext uri="{FF2B5EF4-FFF2-40B4-BE49-F238E27FC236}">
                <a16:creationId xmlns:a16="http://schemas.microsoft.com/office/drawing/2014/main" id="{00000000-0008-0000-0500-00007B000000}"/>
              </a:ext>
            </a:extLst>
          </xdr:cNvPr>
          <xdr:cNvSpPr>
            <a:spLocks/>
          </xdr:cNvSpPr>
        </xdr:nvSpPr>
        <xdr:spPr bwMode="auto">
          <a:xfrm>
            <a:off x="3702" y="4037"/>
            <a:ext cx="716" cy="152"/>
          </a:xfrm>
          <a:custGeom>
            <a:avLst/>
            <a:gdLst>
              <a:gd name="T0" fmla="*/ 0 w 71603"/>
              <a:gd name="T1" fmla="*/ 0 h 15227"/>
              <a:gd name="T2" fmla="*/ 0 w 71603"/>
              <a:gd name="T3" fmla="*/ 0 h 15227"/>
              <a:gd name="T4" fmla="*/ 0 60000 65536"/>
              <a:gd name="T5" fmla="*/ 0 60000 65536"/>
              <a:gd name="T6" fmla="*/ 0 w 71603"/>
              <a:gd name="T7" fmla="*/ 0 h 15227"/>
              <a:gd name="T8" fmla="*/ 71603 w 71603"/>
              <a:gd name="T9" fmla="*/ 15227 h 15227"/>
            </a:gdLst>
            <a:ahLst/>
            <a:cxnLst>
              <a:cxn ang="T4">
                <a:pos x="T0" y="T1"/>
              </a:cxn>
              <a:cxn ang="T5">
                <a:pos x="T2" y="T3"/>
              </a:cxn>
            </a:cxnLst>
            <a:rect l="T6" t="T7" r="T8" b="T9"/>
            <a:pathLst>
              <a:path w="71603" h="15227">
                <a:moveTo>
                  <a:pt x="71603" y="0"/>
                </a:moveTo>
                <a:lnTo>
                  <a:pt x="0" y="15227"/>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24" name="Shape 8997">
            <a:extLst>
              <a:ext uri="{FF2B5EF4-FFF2-40B4-BE49-F238E27FC236}">
                <a16:creationId xmlns:a16="http://schemas.microsoft.com/office/drawing/2014/main" id="{00000000-0008-0000-0500-00007C000000}"/>
              </a:ext>
            </a:extLst>
          </xdr:cNvPr>
          <xdr:cNvSpPr>
            <a:spLocks/>
          </xdr:cNvSpPr>
        </xdr:nvSpPr>
        <xdr:spPr bwMode="auto">
          <a:xfrm>
            <a:off x="3656" y="4189"/>
            <a:ext cx="731" cy="152"/>
          </a:xfrm>
          <a:custGeom>
            <a:avLst/>
            <a:gdLst>
              <a:gd name="T0" fmla="*/ 0 w 73127"/>
              <a:gd name="T1" fmla="*/ 0 h 15240"/>
              <a:gd name="T2" fmla="*/ 0 w 73127"/>
              <a:gd name="T3" fmla="*/ 0 h 15240"/>
              <a:gd name="T4" fmla="*/ 0 60000 65536"/>
              <a:gd name="T5" fmla="*/ 0 60000 65536"/>
              <a:gd name="T6" fmla="*/ 0 w 73127"/>
              <a:gd name="T7" fmla="*/ 0 h 15240"/>
              <a:gd name="T8" fmla="*/ 73127 w 73127"/>
              <a:gd name="T9" fmla="*/ 15240 h 15240"/>
            </a:gdLst>
            <a:ahLst/>
            <a:cxnLst>
              <a:cxn ang="T4">
                <a:pos x="T0" y="T1"/>
              </a:cxn>
              <a:cxn ang="T5">
                <a:pos x="T2" y="T3"/>
              </a:cxn>
            </a:cxnLst>
            <a:rect l="T6" t="T7" r="T8" b="T9"/>
            <a:pathLst>
              <a:path w="73127" h="15240">
                <a:moveTo>
                  <a:pt x="73127" y="15240"/>
                </a:moveTo>
                <a:lnTo>
                  <a:pt x="0" y="0"/>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25" name="Shape 8998">
            <a:extLst>
              <a:ext uri="{FF2B5EF4-FFF2-40B4-BE49-F238E27FC236}">
                <a16:creationId xmlns:a16="http://schemas.microsoft.com/office/drawing/2014/main" id="{00000000-0008-0000-0500-00007D000000}"/>
              </a:ext>
            </a:extLst>
          </xdr:cNvPr>
          <xdr:cNvSpPr>
            <a:spLocks/>
          </xdr:cNvSpPr>
        </xdr:nvSpPr>
        <xdr:spPr bwMode="auto">
          <a:xfrm>
            <a:off x="4966" y="4189"/>
            <a:ext cx="1920" cy="0"/>
          </a:xfrm>
          <a:custGeom>
            <a:avLst/>
            <a:gdLst>
              <a:gd name="T0" fmla="*/ 0 w 191960"/>
              <a:gd name="T1" fmla="*/ 0 w 191960"/>
              <a:gd name="T2" fmla="*/ 0 60000 65536"/>
              <a:gd name="T3" fmla="*/ 0 60000 65536"/>
              <a:gd name="T4" fmla="*/ 0 w 191960"/>
              <a:gd name="T5" fmla="*/ 191960 w 191960"/>
            </a:gdLst>
            <a:ahLst/>
            <a:cxnLst>
              <a:cxn ang="T2">
                <a:pos x="T0" y="0"/>
              </a:cxn>
              <a:cxn ang="T3">
                <a:pos x="T1" y="0"/>
              </a:cxn>
            </a:cxnLst>
            <a:rect l="T4" t="0" r="T5" b="0"/>
            <a:pathLst>
              <a:path w="191960">
                <a:moveTo>
                  <a:pt x="191960" y="0"/>
                </a:moveTo>
                <a:lnTo>
                  <a:pt x="0" y="0"/>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26" name="Shape 8999">
            <a:extLst>
              <a:ext uri="{FF2B5EF4-FFF2-40B4-BE49-F238E27FC236}">
                <a16:creationId xmlns:a16="http://schemas.microsoft.com/office/drawing/2014/main" id="{00000000-0008-0000-0500-00007E000000}"/>
              </a:ext>
            </a:extLst>
          </xdr:cNvPr>
          <xdr:cNvSpPr>
            <a:spLocks/>
          </xdr:cNvSpPr>
        </xdr:nvSpPr>
        <xdr:spPr bwMode="auto">
          <a:xfrm>
            <a:off x="6246" y="4037"/>
            <a:ext cx="716" cy="152"/>
          </a:xfrm>
          <a:custGeom>
            <a:avLst/>
            <a:gdLst>
              <a:gd name="T0" fmla="*/ 0 w 71615"/>
              <a:gd name="T1" fmla="*/ 0 h 15227"/>
              <a:gd name="T2" fmla="*/ 0 w 71615"/>
              <a:gd name="T3" fmla="*/ 0 h 15227"/>
              <a:gd name="T4" fmla="*/ 0 60000 65536"/>
              <a:gd name="T5" fmla="*/ 0 60000 65536"/>
              <a:gd name="T6" fmla="*/ 0 w 71615"/>
              <a:gd name="T7" fmla="*/ 0 h 15227"/>
              <a:gd name="T8" fmla="*/ 71615 w 71615"/>
              <a:gd name="T9" fmla="*/ 15227 h 15227"/>
            </a:gdLst>
            <a:ahLst/>
            <a:cxnLst>
              <a:cxn ang="T4">
                <a:pos x="T0" y="T1"/>
              </a:cxn>
              <a:cxn ang="T5">
                <a:pos x="T2" y="T3"/>
              </a:cxn>
            </a:cxnLst>
            <a:rect l="T6" t="T7" r="T8" b="T9"/>
            <a:pathLst>
              <a:path w="71615" h="15227">
                <a:moveTo>
                  <a:pt x="0" y="0"/>
                </a:moveTo>
                <a:lnTo>
                  <a:pt x="71615" y="15227"/>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27" name="Shape 9000">
            <a:extLst>
              <a:ext uri="{FF2B5EF4-FFF2-40B4-BE49-F238E27FC236}">
                <a16:creationId xmlns:a16="http://schemas.microsoft.com/office/drawing/2014/main" id="{00000000-0008-0000-0500-00007F000000}"/>
              </a:ext>
            </a:extLst>
          </xdr:cNvPr>
          <xdr:cNvSpPr>
            <a:spLocks/>
          </xdr:cNvSpPr>
        </xdr:nvSpPr>
        <xdr:spPr bwMode="auto">
          <a:xfrm>
            <a:off x="6276" y="4189"/>
            <a:ext cx="701" cy="137"/>
          </a:xfrm>
          <a:custGeom>
            <a:avLst/>
            <a:gdLst>
              <a:gd name="T0" fmla="*/ 0 w 70078"/>
              <a:gd name="T1" fmla="*/ 0 h 13716"/>
              <a:gd name="T2" fmla="*/ 0 w 70078"/>
              <a:gd name="T3" fmla="*/ 0 h 13716"/>
              <a:gd name="T4" fmla="*/ 0 60000 65536"/>
              <a:gd name="T5" fmla="*/ 0 60000 65536"/>
              <a:gd name="T6" fmla="*/ 0 w 70078"/>
              <a:gd name="T7" fmla="*/ 0 h 13716"/>
              <a:gd name="T8" fmla="*/ 70078 w 70078"/>
              <a:gd name="T9" fmla="*/ 13716 h 13716"/>
            </a:gdLst>
            <a:ahLst/>
            <a:cxnLst>
              <a:cxn ang="T4">
                <a:pos x="T0" y="T1"/>
              </a:cxn>
              <a:cxn ang="T5">
                <a:pos x="T2" y="T3"/>
              </a:cxn>
            </a:cxnLst>
            <a:rect l="T6" t="T7" r="T8" b="T9"/>
            <a:pathLst>
              <a:path w="70078" h="13716">
                <a:moveTo>
                  <a:pt x="0" y="13716"/>
                </a:moveTo>
                <a:lnTo>
                  <a:pt x="70078" y="0"/>
                </a:lnTo>
              </a:path>
            </a:pathLst>
          </a:custGeom>
          <a:noFill/>
          <a:ln w="3048" cap="rnd">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da-DK"/>
          </a:p>
        </xdr:txBody>
      </xdr:sp>
      <xdr:sp macro="" textlink="">
        <xdr:nvSpPr>
          <xdr:cNvPr id="128" name="Rectangle 9006">
            <a:extLst>
              <a:ext uri="{FF2B5EF4-FFF2-40B4-BE49-F238E27FC236}">
                <a16:creationId xmlns:a16="http://schemas.microsoft.com/office/drawing/2014/main" id="{00000000-0008-0000-0500-000080000000}"/>
              </a:ext>
            </a:extLst>
          </xdr:cNvPr>
          <xdr:cNvSpPr>
            <a:spLocks noChangeArrowheads="1"/>
          </xdr:cNvSpPr>
        </xdr:nvSpPr>
        <xdr:spPr bwMode="auto">
          <a:xfrm>
            <a:off x="5027" y="3401"/>
            <a:ext cx="653" cy="6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lnSpc>
                <a:spcPct val="105000"/>
              </a:lnSpc>
              <a:spcAft>
                <a:spcPts val="800"/>
              </a:spcAft>
            </a:pPr>
            <a:r>
              <a:rPr lang="da-DK" sz="1100">
                <a:solidFill>
                  <a:srgbClr val="000000"/>
                </a:solidFill>
                <a:effectLst/>
                <a:latin typeface="Calibri" panose="020F0502020204030204" pitchFamily="34" charset="0"/>
                <a:ea typeface="Calibri" panose="020F0502020204030204" pitchFamily="34" charset="0"/>
              </a:rPr>
              <a:t> </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Ibrah/OneDrive/MSK/M7B/M7B%20-%20Installation/Installations%20Software/Installations%20ar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udregninger"/>
      <sheetName val="B.52.1"/>
      <sheetName val="B.52.2"/>
      <sheetName val="B.52.3"/>
      <sheetName val="B.52.4"/>
      <sheetName val="B.52.5"/>
      <sheetName val="B.52.6"/>
      <sheetName val="B.52.7"/>
      <sheetName val="B.52.8"/>
      <sheetName val="B.52.9"/>
      <sheetName val="B.52.10"/>
      <sheetName val="B.52.11"/>
      <sheetName val="B.52.12"/>
      <sheetName val="B.52.13"/>
      <sheetName val="B.52.14"/>
      <sheetName val="B.52.15"/>
      <sheetName val="B.52.16"/>
      <sheetName val="B.52.17"/>
      <sheetName val="B.52.19"/>
    </sheetNames>
    <sheetDataSet>
      <sheetData sheetId="0">
        <row r="2">
          <cell r="C2" t="str">
            <v>D</v>
          </cell>
        </row>
        <row r="3">
          <cell r="C3" t="str">
            <v>PVC_2_leder</v>
          </cell>
        </row>
        <row r="7">
          <cell r="C7">
            <v>25</v>
          </cell>
        </row>
        <row r="9">
          <cell r="C9">
            <v>3</v>
          </cell>
        </row>
      </sheetData>
      <sheetData sheetId="1">
        <row r="1">
          <cell r="D1" t="str">
            <v>Ref</v>
          </cell>
        </row>
        <row r="2">
          <cell r="D2" t="str">
            <v>Kt</v>
          </cell>
        </row>
        <row r="3">
          <cell r="D3" t="str">
            <v>KS</v>
          </cell>
        </row>
      </sheetData>
      <sheetData sheetId="2" refreshError="1"/>
      <sheetData sheetId="3" refreshError="1"/>
      <sheetData sheetId="4" refreshError="1"/>
      <sheetData sheetId="5">
        <row r="14">
          <cell r="E14">
            <v>1.5</v>
          </cell>
          <cell r="K14">
            <v>18</v>
          </cell>
        </row>
        <row r="15">
          <cell r="E15">
            <v>2.5</v>
          </cell>
          <cell r="K15">
            <v>24</v>
          </cell>
        </row>
        <row r="16">
          <cell r="E16">
            <v>4</v>
          </cell>
          <cell r="K16">
            <v>30</v>
          </cell>
        </row>
        <row r="17">
          <cell r="E17">
            <v>6</v>
          </cell>
          <cell r="K17">
            <v>38</v>
          </cell>
        </row>
        <row r="18">
          <cell r="E18">
            <v>10</v>
          </cell>
          <cell r="K18">
            <v>50</v>
          </cell>
        </row>
        <row r="19">
          <cell r="E19">
            <v>16</v>
          </cell>
          <cell r="K19">
            <v>64</v>
          </cell>
        </row>
        <row r="20">
          <cell r="E20">
            <v>25</v>
          </cell>
          <cell r="K20">
            <v>82</v>
          </cell>
        </row>
        <row r="21">
          <cell r="E21">
            <v>35</v>
          </cell>
          <cell r="K21">
            <v>98</v>
          </cell>
        </row>
        <row r="22">
          <cell r="E22">
            <v>50</v>
          </cell>
          <cell r="K22">
            <v>116</v>
          </cell>
        </row>
        <row r="23">
          <cell r="E23">
            <v>70</v>
          </cell>
          <cell r="K23">
            <v>143</v>
          </cell>
        </row>
        <row r="24">
          <cell r="E24">
            <v>95</v>
          </cell>
          <cell r="K24">
            <v>169</v>
          </cell>
        </row>
        <row r="25">
          <cell r="E25">
            <v>120</v>
          </cell>
          <cell r="K25">
            <v>192</v>
          </cell>
        </row>
        <row r="26">
          <cell r="E26">
            <v>150</v>
          </cell>
          <cell r="K26">
            <v>217</v>
          </cell>
        </row>
        <row r="27">
          <cell r="E27">
            <v>185</v>
          </cell>
          <cell r="K27">
            <v>243</v>
          </cell>
        </row>
        <row r="28">
          <cell r="E28">
            <v>240</v>
          </cell>
          <cell r="K28">
            <v>280</v>
          </cell>
        </row>
        <row r="29">
          <cell r="E29">
            <v>300</v>
          </cell>
          <cell r="K29">
            <v>316</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2">
          <cell r="E12">
            <v>10</v>
          </cell>
          <cell r="F12">
            <v>1.1000000000000001</v>
          </cell>
        </row>
        <row r="13">
          <cell r="E13">
            <v>15</v>
          </cell>
          <cell r="F13">
            <v>1.05</v>
          </cell>
        </row>
        <row r="14">
          <cell r="E14">
            <v>20</v>
          </cell>
          <cell r="F14">
            <v>1</v>
          </cell>
        </row>
        <row r="15">
          <cell r="E15">
            <v>25</v>
          </cell>
          <cell r="F15">
            <v>0.95</v>
          </cell>
        </row>
        <row r="16">
          <cell r="E16">
            <v>30</v>
          </cell>
          <cell r="F16">
            <v>0.89</v>
          </cell>
        </row>
        <row r="17">
          <cell r="E17">
            <v>35</v>
          </cell>
          <cell r="F17">
            <v>0.84</v>
          </cell>
        </row>
        <row r="18">
          <cell r="E18">
            <v>40</v>
          </cell>
          <cell r="F18">
            <v>0.77</v>
          </cell>
        </row>
        <row r="19">
          <cell r="E19">
            <v>45</v>
          </cell>
          <cell r="F19">
            <v>0.71</v>
          </cell>
        </row>
        <row r="20">
          <cell r="E20">
            <v>50</v>
          </cell>
          <cell r="F20">
            <v>0.63</v>
          </cell>
        </row>
        <row r="21">
          <cell r="E21">
            <v>55</v>
          </cell>
          <cell r="F21">
            <v>0.55000000000000004</v>
          </cell>
        </row>
        <row r="22">
          <cell r="E22">
            <v>60</v>
          </cell>
          <cell r="F22">
            <v>0.45</v>
          </cell>
        </row>
        <row r="23">
          <cell r="E23">
            <v>65</v>
          </cell>
          <cell r="F23" t="str">
            <v>–</v>
          </cell>
        </row>
        <row r="24">
          <cell r="E24">
            <v>70</v>
          </cell>
          <cell r="F24" t="str">
            <v>–</v>
          </cell>
        </row>
        <row r="25">
          <cell r="E25">
            <v>75</v>
          </cell>
          <cell r="F25" t="str">
            <v>–</v>
          </cell>
        </row>
        <row r="26">
          <cell r="E26">
            <v>80</v>
          </cell>
          <cell r="F26" t="str">
            <v>–</v>
          </cell>
        </row>
      </sheetData>
      <sheetData sheetId="17" refreshError="1"/>
      <sheetData sheetId="18" refreshError="1"/>
      <sheetData sheetId="19">
        <row r="12">
          <cell r="E12">
            <v>2</v>
          </cell>
          <cell r="F12">
            <v>0.85</v>
          </cell>
        </row>
        <row r="13">
          <cell r="E13">
            <v>3</v>
          </cell>
          <cell r="F13">
            <v>0.75</v>
          </cell>
        </row>
        <row r="14">
          <cell r="E14">
            <v>4</v>
          </cell>
          <cell r="F14">
            <v>0.7</v>
          </cell>
        </row>
        <row r="15">
          <cell r="E15">
            <v>5</v>
          </cell>
          <cell r="F15">
            <v>0.65</v>
          </cell>
        </row>
        <row r="16">
          <cell r="E16">
            <v>6</v>
          </cell>
          <cell r="F16">
            <v>0.6</v>
          </cell>
        </row>
        <row r="17">
          <cell r="E17">
            <v>7</v>
          </cell>
          <cell r="F17">
            <v>0.56999999999999995</v>
          </cell>
        </row>
        <row r="18">
          <cell r="E18">
            <v>8</v>
          </cell>
          <cell r="F18">
            <v>0.54</v>
          </cell>
        </row>
        <row r="19">
          <cell r="E19">
            <v>9</v>
          </cell>
          <cell r="F19">
            <v>0.52</v>
          </cell>
        </row>
        <row r="20">
          <cell r="E20">
            <v>10</v>
          </cell>
          <cell r="F20">
            <v>0.49</v>
          </cell>
        </row>
        <row r="21">
          <cell r="E21">
            <v>11</v>
          </cell>
          <cell r="F21">
            <v>0.47</v>
          </cell>
        </row>
        <row r="22">
          <cell r="E22">
            <v>12</v>
          </cell>
          <cell r="F22">
            <v>0.45</v>
          </cell>
        </row>
        <row r="23">
          <cell r="E23">
            <v>13</v>
          </cell>
          <cell r="F23">
            <v>0.44</v>
          </cell>
        </row>
        <row r="24">
          <cell r="E24">
            <v>14</v>
          </cell>
          <cell r="F24">
            <v>0.42</v>
          </cell>
        </row>
        <row r="25">
          <cell r="E25">
            <v>15</v>
          </cell>
          <cell r="F25">
            <v>0.41</v>
          </cell>
        </row>
        <row r="26">
          <cell r="E26">
            <v>16</v>
          </cell>
          <cell r="F26">
            <v>0.39</v>
          </cell>
        </row>
        <row r="27">
          <cell r="E27">
            <v>17</v>
          </cell>
          <cell r="F27">
            <v>0.38</v>
          </cell>
        </row>
        <row r="28">
          <cell r="E28">
            <v>18</v>
          </cell>
          <cell r="F28">
            <v>0.37</v>
          </cell>
        </row>
        <row r="29">
          <cell r="E29">
            <v>19</v>
          </cell>
          <cell r="F29">
            <v>0.35</v>
          </cell>
        </row>
        <row r="30">
          <cell r="E30">
            <v>20</v>
          </cell>
          <cell r="F30">
            <v>0.34</v>
          </cell>
        </row>
      </sheetData>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AG1048575"/>
  <sheetViews>
    <sheetView showGridLines="0" showRowColHeaders="0" zoomScale="55" zoomScaleNormal="55" workbookViewId="0">
      <selection activeCell="J30" sqref="J30"/>
    </sheetView>
  </sheetViews>
  <sheetFormatPr defaultColWidth="0" defaultRowHeight="15" zeroHeight="1" x14ac:dyDescent="0.25"/>
  <cols>
    <col min="1" max="1" width="8.85546875" style="27" customWidth="1"/>
    <col min="2" max="2" width="2.7109375" style="27" customWidth="1"/>
    <col min="3" max="10" width="8.85546875" style="27" customWidth="1"/>
    <col min="11" max="11" width="11" style="27" customWidth="1"/>
    <col min="12" max="12" width="12.140625" style="27" customWidth="1"/>
    <col min="13" max="20" width="8.85546875" style="27" customWidth="1"/>
    <col min="21" max="21" width="22.42578125" style="27" customWidth="1"/>
    <col min="22" max="22" width="8.85546875" style="27" customWidth="1"/>
    <col min="23" max="25" width="8.85546875" style="8" hidden="1" customWidth="1"/>
    <col min="26" max="26" width="11.28515625" style="8" hidden="1" customWidth="1"/>
    <col min="27" max="27" width="8.85546875" style="28" hidden="1" customWidth="1"/>
    <col min="28" max="28" width="8.85546875" style="34" hidden="1" customWidth="1"/>
    <col min="29" max="29" width="51.42578125" style="8" hidden="1" customWidth="1"/>
    <col min="30" max="30" width="12.28515625" style="8" hidden="1" customWidth="1"/>
    <col min="31" max="32" width="8.85546875" style="34" hidden="1" customWidth="1"/>
    <col min="33" max="33" width="8.85546875" style="8" hidden="1" customWidth="1"/>
    <col min="34" max="16384" width="8.85546875" style="27" hidden="1"/>
  </cols>
  <sheetData>
    <row r="1" spans="2:33" x14ac:dyDescent="0.25"/>
    <row r="2" spans="2:33" ht="30" customHeight="1" x14ac:dyDescent="0.25">
      <c r="B2" s="111" t="s">
        <v>84</v>
      </c>
      <c r="C2" s="111"/>
      <c r="D2" s="111"/>
      <c r="E2" s="111"/>
      <c r="F2" s="111"/>
      <c r="G2" s="111"/>
      <c r="H2" s="111"/>
      <c r="I2" s="111"/>
      <c r="J2" s="111"/>
      <c r="K2" s="111"/>
      <c r="L2" s="111"/>
      <c r="M2" s="111"/>
      <c r="N2" s="111"/>
      <c r="O2" s="111"/>
      <c r="P2" s="111"/>
      <c r="Q2" s="111"/>
      <c r="R2" s="111"/>
      <c r="S2" s="111"/>
      <c r="T2" s="111"/>
      <c r="U2" s="111"/>
    </row>
    <row r="3" spans="2:33" ht="48" customHeight="1" x14ac:dyDescent="0.25">
      <c r="B3" s="111"/>
      <c r="C3" s="111"/>
      <c r="D3" s="111"/>
      <c r="E3" s="111"/>
      <c r="F3" s="111"/>
      <c r="G3" s="111"/>
      <c r="H3" s="111"/>
      <c r="I3" s="111"/>
      <c r="J3" s="111"/>
      <c r="K3" s="111"/>
      <c r="L3" s="111"/>
      <c r="M3" s="111"/>
      <c r="N3" s="111"/>
      <c r="O3" s="111"/>
      <c r="P3" s="111"/>
      <c r="Q3" s="111"/>
      <c r="R3" s="111"/>
      <c r="S3" s="111"/>
      <c r="T3" s="111"/>
      <c r="U3" s="111"/>
      <c r="W3" s="3" t="s">
        <v>2</v>
      </c>
      <c r="X3" s="29" t="s">
        <v>12</v>
      </c>
      <c r="Y3" s="29" t="s">
        <v>16</v>
      </c>
      <c r="Z3" s="8" t="s">
        <v>18</v>
      </c>
      <c r="AA3" s="30">
        <v>10</v>
      </c>
      <c r="AB3" s="29">
        <v>1</v>
      </c>
      <c r="AC3" s="7" t="s">
        <v>65</v>
      </c>
      <c r="AD3" s="8" t="s">
        <v>123</v>
      </c>
      <c r="AE3" s="34">
        <v>1</v>
      </c>
      <c r="AF3" s="34" t="s">
        <v>260</v>
      </c>
    </row>
    <row r="4" spans="2:33" ht="15" customHeight="1" x14ac:dyDescent="0.25">
      <c r="B4" s="111"/>
      <c r="C4" s="111"/>
      <c r="D4" s="111"/>
      <c r="E4" s="111"/>
      <c r="F4" s="111"/>
      <c r="G4" s="111"/>
      <c r="H4" s="111"/>
      <c r="I4" s="111"/>
      <c r="J4" s="111"/>
      <c r="K4" s="111"/>
      <c r="L4" s="111"/>
      <c r="M4" s="111"/>
      <c r="N4" s="111"/>
      <c r="O4" s="111"/>
      <c r="P4" s="111"/>
      <c r="Q4" s="111"/>
      <c r="R4" s="111"/>
      <c r="S4" s="111"/>
      <c r="T4" s="111"/>
      <c r="U4" s="111"/>
      <c r="W4" s="3" t="s">
        <v>3</v>
      </c>
      <c r="X4" s="29" t="s">
        <v>13</v>
      </c>
      <c r="Y4" s="29" t="s">
        <v>17</v>
      </c>
      <c r="Z4" s="29" t="s">
        <v>61</v>
      </c>
      <c r="AA4" s="30">
        <v>15</v>
      </c>
      <c r="AB4" s="29">
        <v>2</v>
      </c>
      <c r="AC4" s="7" t="s">
        <v>66</v>
      </c>
      <c r="AD4" s="8" t="s">
        <v>107</v>
      </c>
      <c r="AE4" s="34">
        <v>2</v>
      </c>
      <c r="AF4" s="34" t="s">
        <v>125</v>
      </c>
    </row>
    <row r="5" spans="2:33" s="31" customFormat="1" ht="45" customHeight="1" x14ac:dyDescent="0.25">
      <c r="B5" s="10"/>
      <c r="C5" s="9"/>
      <c r="D5" s="9"/>
      <c r="E5" s="9"/>
      <c r="F5" s="9"/>
      <c r="G5" s="9"/>
      <c r="H5" s="9"/>
      <c r="I5" s="9"/>
      <c r="J5" s="9"/>
      <c r="K5" s="9"/>
      <c r="L5" s="9"/>
      <c r="M5" s="9"/>
      <c r="N5" s="9"/>
      <c r="O5" s="9"/>
      <c r="P5" s="9"/>
      <c r="Q5" s="9"/>
      <c r="R5" s="9"/>
      <c r="S5" s="9"/>
      <c r="T5" s="10"/>
      <c r="U5" s="10"/>
      <c r="W5" s="3" t="s">
        <v>4</v>
      </c>
      <c r="X5" s="29" t="s">
        <v>14</v>
      </c>
      <c r="Y5" s="29"/>
      <c r="Z5" s="29" t="s">
        <v>62</v>
      </c>
      <c r="AA5" s="30">
        <v>20</v>
      </c>
      <c r="AB5" s="29">
        <v>3</v>
      </c>
      <c r="AC5" s="7" t="s">
        <v>77</v>
      </c>
      <c r="AD5" s="8" t="s">
        <v>108</v>
      </c>
      <c r="AE5" s="34">
        <v>3</v>
      </c>
      <c r="AF5" s="29" t="s">
        <v>261</v>
      </c>
      <c r="AG5" s="32"/>
    </row>
    <row r="6" spans="2:33" s="31" customFormat="1" ht="45" customHeight="1" x14ac:dyDescent="0.25">
      <c r="B6" s="10"/>
      <c r="C6" s="113" t="s">
        <v>251</v>
      </c>
      <c r="D6" s="113"/>
      <c r="E6" s="113"/>
      <c r="F6" s="113"/>
      <c r="G6" s="113"/>
      <c r="H6" s="113"/>
      <c r="I6" s="113"/>
      <c r="J6" s="113"/>
      <c r="K6" s="9"/>
      <c r="L6" s="9"/>
      <c r="M6" s="9"/>
      <c r="N6" s="9"/>
      <c r="O6" s="9"/>
      <c r="P6" s="9"/>
      <c r="Q6" s="9"/>
      <c r="R6" s="9"/>
      <c r="S6" s="9"/>
      <c r="T6" s="10"/>
      <c r="U6" s="10"/>
      <c r="W6" s="3" t="s">
        <v>5</v>
      </c>
      <c r="X6" s="29" t="s">
        <v>15</v>
      </c>
      <c r="Y6" s="29"/>
      <c r="Z6" s="29">
        <v>1</v>
      </c>
      <c r="AA6" s="30">
        <v>25</v>
      </c>
      <c r="AB6" s="29">
        <v>4</v>
      </c>
      <c r="AC6" s="7" t="s">
        <v>67</v>
      </c>
      <c r="AD6" s="8" t="s">
        <v>109</v>
      </c>
      <c r="AE6" s="34">
        <v>4</v>
      </c>
      <c r="AF6" s="29" t="s">
        <v>262</v>
      </c>
      <c r="AG6" s="32"/>
    </row>
    <row r="7" spans="2:33" s="31" customFormat="1" ht="19.899999999999999" customHeight="1" x14ac:dyDescent="0.25">
      <c r="B7" s="10"/>
      <c r="C7" s="78"/>
      <c r="D7" s="78"/>
      <c r="E7" s="78"/>
      <c r="F7" s="78"/>
      <c r="G7" s="78"/>
      <c r="H7" s="78"/>
      <c r="I7" s="78"/>
      <c r="J7" s="78"/>
      <c r="K7" s="9"/>
      <c r="L7" s="9"/>
      <c r="M7" s="9"/>
      <c r="N7" s="9"/>
      <c r="O7" s="9"/>
      <c r="P7" s="9"/>
      <c r="Q7" s="9"/>
      <c r="R7" s="9"/>
      <c r="S7" s="9"/>
      <c r="T7" s="10"/>
      <c r="U7" s="10"/>
      <c r="W7" s="3" t="s">
        <v>6</v>
      </c>
      <c r="X7" s="29"/>
      <c r="Y7" s="29"/>
      <c r="Z7" s="29" t="s">
        <v>63</v>
      </c>
      <c r="AA7" s="30">
        <v>30</v>
      </c>
      <c r="AB7" s="29">
        <v>6</v>
      </c>
      <c r="AC7" s="7" t="s">
        <v>68</v>
      </c>
      <c r="AD7" s="8" t="s">
        <v>110</v>
      </c>
      <c r="AE7" s="34">
        <v>5</v>
      </c>
      <c r="AF7" s="29" t="s">
        <v>263</v>
      </c>
      <c r="AG7" s="32"/>
    </row>
    <row r="8" spans="2:33" ht="34.9" customHeight="1" x14ac:dyDescent="0.25">
      <c r="B8" s="10"/>
      <c r="C8" s="113" t="s">
        <v>0</v>
      </c>
      <c r="D8" s="113"/>
      <c r="E8" s="113"/>
      <c r="F8" s="113"/>
      <c r="G8" s="113"/>
      <c r="H8" s="113"/>
      <c r="I8" s="113"/>
      <c r="J8" s="78"/>
      <c r="K8" s="78"/>
      <c r="L8" s="78"/>
      <c r="M8" s="10"/>
      <c r="N8" s="10"/>
      <c r="O8" s="10"/>
      <c r="P8" s="10"/>
      <c r="Q8" s="10"/>
      <c r="R8" s="10"/>
      <c r="S8" s="10"/>
      <c r="T8" s="10"/>
      <c r="U8" s="10"/>
      <c r="W8" s="3" t="s">
        <v>7</v>
      </c>
      <c r="Y8" s="29"/>
      <c r="Z8" s="29">
        <v>2</v>
      </c>
      <c r="AA8" s="30">
        <v>35</v>
      </c>
      <c r="AB8" s="34">
        <v>7</v>
      </c>
      <c r="AC8" s="35" t="s">
        <v>103</v>
      </c>
      <c r="AE8" s="34">
        <v>6</v>
      </c>
    </row>
    <row r="9" spans="2:33" ht="19.899999999999999" customHeight="1" x14ac:dyDescent="0.35">
      <c r="B9" s="10"/>
      <c r="C9" s="79"/>
      <c r="D9" s="79"/>
      <c r="E9" s="79"/>
      <c r="F9" s="79"/>
      <c r="G9" s="80"/>
      <c r="H9" s="80"/>
      <c r="I9" s="80"/>
      <c r="J9" s="80"/>
      <c r="K9" s="80"/>
      <c r="L9" s="80"/>
      <c r="M9" s="10"/>
      <c r="N9" s="10"/>
      <c r="O9" s="10"/>
      <c r="P9" s="10"/>
      <c r="Q9" s="10"/>
      <c r="R9" s="10"/>
      <c r="S9" s="10"/>
      <c r="T9" s="10"/>
      <c r="U9" s="10"/>
      <c r="W9" s="3" t="s">
        <v>8</v>
      </c>
      <c r="X9" s="29"/>
      <c r="Y9" s="29"/>
      <c r="Z9" s="29" t="s">
        <v>64</v>
      </c>
      <c r="AA9" s="30">
        <v>40</v>
      </c>
      <c r="AB9" s="34">
        <v>8</v>
      </c>
      <c r="AC9" s="35" t="s">
        <v>102</v>
      </c>
      <c r="AE9" s="34">
        <v>7</v>
      </c>
    </row>
    <row r="10" spans="2:33" ht="34.9" customHeight="1" x14ac:dyDescent="0.35">
      <c r="B10" s="10"/>
      <c r="C10" s="113" t="s">
        <v>259</v>
      </c>
      <c r="D10" s="113"/>
      <c r="E10" s="113"/>
      <c r="F10" s="113"/>
      <c r="G10" s="113"/>
      <c r="H10" s="113"/>
      <c r="I10" s="113"/>
      <c r="J10" s="113"/>
      <c r="K10" s="113"/>
      <c r="L10" s="80"/>
      <c r="M10" s="10"/>
      <c r="N10" s="10"/>
      <c r="O10" s="10"/>
      <c r="P10" s="10"/>
      <c r="Q10" s="10"/>
      <c r="R10" s="10"/>
      <c r="S10" s="10"/>
      <c r="T10" s="10"/>
      <c r="U10" s="10"/>
      <c r="W10" s="3" t="s">
        <v>9</v>
      </c>
      <c r="X10" s="29"/>
      <c r="Y10" s="29"/>
      <c r="Z10" s="29">
        <v>3</v>
      </c>
      <c r="AA10" s="30">
        <v>45</v>
      </c>
      <c r="AB10" s="29">
        <v>9</v>
      </c>
      <c r="AC10" s="35" t="s">
        <v>104</v>
      </c>
      <c r="AE10" s="34">
        <v>8</v>
      </c>
    </row>
    <row r="11" spans="2:33" ht="19.899999999999999" customHeight="1" x14ac:dyDescent="0.35">
      <c r="B11" s="10"/>
      <c r="C11" s="79"/>
      <c r="D11" s="79"/>
      <c r="E11" s="79"/>
      <c r="F11" s="79"/>
      <c r="G11" s="80"/>
      <c r="H11" s="80"/>
      <c r="I11" s="80"/>
      <c r="J11" s="80"/>
      <c r="K11" s="80"/>
      <c r="L11" s="80"/>
      <c r="M11" s="10"/>
      <c r="N11" s="10"/>
      <c r="O11" s="10"/>
      <c r="P11" s="10"/>
      <c r="Q11" s="10"/>
      <c r="R11" s="10"/>
      <c r="S11" s="10"/>
      <c r="T11" s="10"/>
      <c r="U11" s="10"/>
      <c r="W11" s="3" t="s">
        <v>10</v>
      </c>
      <c r="X11" s="29"/>
      <c r="Y11" s="29"/>
      <c r="Z11" s="29"/>
      <c r="AA11" s="30">
        <v>50</v>
      </c>
      <c r="AB11" s="29">
        <v>12</v>
      </c>
      <c r="AC11" s="35" t="s">
        <v>106</v>
      </c>
      <c r="AE11" s="34">
        <v>9</v>
      </c>
    </row>
    <row r="12" spans="2:33" ht="34.9" customHeight="1" x14ac:dyDescent="0.25">
      <c r="B12" s="10"/>
      <c r="C12" s="112" t="s">
        <v>252</v>
      </c>
      <c r="D12" s="112"/>
      <c r="E12" s="112"/>
      <c r="F12" s="112"/>
      <c r="G12" s="112"/>
      <c r="H12" s="112"/>
      <c r="I12" s="112"/>
      <c r="J12" s="112"/>
      <c r="K12" s="112"/>
      <c r="L12" s="112"/>
      <c r="M12" s="10"/>
      <c r="N12" s="10"/>
      <c r="O12" s="10"/>
      <c r="P12" s="10"/>
      <c r="Q12" s="10"/>
      <c r="R12" s="10"/>
      <c r="S12" s="10"/>
      <c r="T12" s="10"/>
      <c r="U12" s="10"/>
      <c r="W12" s="3" t="s">
        <v>11</v>
      </c>
      <c r="X12" s="29"/>
      <c r="Y12" s="29"/>
      <c r="AA12" s="30">
        <v>55</v>
      </c>
      <c r="AB12" s="29">
        <v>16</v>
      </c>
      <c r="AC12" s="35" t="s">
        <v>105</v>
      </c>
      <c r="AE12" s="34">
        <v>10</v>
      </c>
    </row>
    <row r="13" spans="2:33" ht="19.899999999999999" customHeight="1" x14ac:dyDescent="0.35">
      <c r="B13" s="10"/>
      <c r="C13" s="79"/>
      <c r="D13" s="79"/>
      <c r="E13" s="79"/>
      <c r="F13" s="79"/>
      <c r="G13" s="80"/>
      <c r="H13" s="80"/>
      <c r="I13" s="80"/>
      <c r="J13" s="80"/>
      <c r="K13" s="80"/>
      <c r="L13" s="80"/>
      <c r="M13" s="10"/>
      <c r="N13" s="10"/>
      <c r="O13" s="10"/>
      <c r="P13" s="10"/>
      <c r="Q13" s="10"/>
      <c r="R13" s="10"/>
      <c r="S13" s="10"/>
      <c r="T13" s="10"/>
      <c r="U13" s="10"/>
      <c r="X13" s="29"/>
      <c r="Y13" s="29"/>
      <c r="AA13" s="30">
        <v>60</v>
      </c>
      <c r="AB13" s="29">
        <v>20</v>
      </c>
      <c r="AE13" s="34">
        <v>11</v>
      </c>
    </row>
    <row r="14" spans="2:33" ht="34.9" customHeight="1" x14ac:dyDescent="0.25">
      <c r="B14" s="10"/>
      <c r="C14" s="113" t="s">
        <v>253</v>
      </c>
      <c r="D14" s="113"/>
      <c r="E14" s="113"/>
      <c r="F14" s="113"/>
      <c r="G14" s="113"/>
      <c r="H14" s="113"/>
      <c r="I14" s="113"/>
      <c r="J14" s="78"/>
      <c r="K14" s="78"/>
      <c r="L14" s="78"/>
      <c r="M14" s="10"/>
      <c r="N14" s="10"/>
      <c r="O14" s="10"/>
      <c r="P14" s="10"/>
      <c r="Q14" s="10"/>
      <c r="R14" s="10"/>
      <c r="S14" s="10"/>
      <c r="T14" s="10"/>
      <c r="U14" s="10"/>
      <c r="X14" s="29"/>
      <c r="Y14" s="29"/>
      <c r="AA14" s="30">
        <v>65</v>
      </c>
      <c r="AE14" s="34">
        <v>12</v>
      </c>
    </row>
    <row r="15" spans="2:33" ht="19.899999999999999" customHeight="1" x14ac:dyDescent="0.25">
      <c r="B15" s="10"/>
      <c r="C15" s="78"/>
      <c r="D15" s="78"/>
      <c r="E15" s="78"/>
      <c r="F15" s="78"/>
      <c r="G15" s="78"/>
      <c r="H15" s="78"/>
      <c r="I15" s="78"/>
      <c r="J15" s="78"/>
      <c r="K15" s="78"/>
      <c r="L15" s="78"/>
      <c r="M15" s="10"/>
      <c r="N15" s="10"/>
      <c r="O15" s="10"/>
      <c r="P15" s="10"/>
      <c r="Q15" s="10"/>
      <c r="R15" s="10"/>
      <c r="S15" s="10"/>
      <c r="T15" s="10"/>
      <c r="U15" s="10"/>
      <c r="X15" s="29"/>
      <c r="Y15" s="29"/>
      <c r="Z15" s="29"/>
      <c r="AA15" s="30">
        <v>70</v>
      </c>
      <c r="AE15" s="34">
        <v>15</v>
      </c>
    </row>
    <row r="16" spans="2:33" ht="34.9" customHeight="1" x14ac:dyDescent="0.25">
      <c r="B16" s="10"/>
      <c r="C16" s="113" t="s">
        <v>254</v>
      </c>
      <c r="D16" s="113"/>
      <c r="E16" s="113"/>
      <c r="F16" s="113"/>
      <c r="G16" s="113"/>
      <c r="H16" s="113"/>
      <c r="I16" s="113"/>
      <c r="J16" s="78"/>
      <c r="K16" s="78"/>
      <c r="L16" s="78"/>
      <c r="M16" s="10"/>
      <c r="N16" s="10"/>
      <c r="O16" s="10"/>
      <c r="P16" s="10"/>
      <c r="Q16" s="10"/>
      <c r="R16" s="10"/>
      <c r="S16" s="10"/>
      <c r="T16" s="10"/>
      <c r="U16" s="10"/>
      <c r="X16" s="29"/>
      <c r="Y16" s="29"/>
      <c r="Z16" s="29"/>
      <c r="AA16" s="30">
        <v>75</v>
      </c>
      <c r="AE16" s="34">
        <v>16</v>
      </c>
    </row>
    <row r="17" spans="2:31" ht="19.899999999999999" customHeight="1" x14ac:dyDescent="0.35">
      <c r="B17" s="10"/>
      <c r="C17" s="80"/>
      <c r="D17" s="80"/>
      <c r="E17" s="80"/>
      <c r="F17" s="80"/>
      <c r="G17" s="80"/>
      <c r="H17" s="80"/>
      <c r="I17" s="80"/>
      <c r="J17" s="80"/>
      <c r="K17" s="80"/>
      <c r="L17" s="80"/>
      <c r="M17" s="10"/>
      <c r="N17" s="10"/>
      <c r="O17" s="10"/>
      <c r="P17" s="10"/>
      <c r="Q17" s="10"/>
      <c r="R17" s="10"/>
      <c r="S17" s="10"/>
      <c r="T17" s="10"/>
      <c r="U17" s="10"/>
      <c r="W17" s="29"/>
      <c r="X17" s="29"/>
      <c r="Y17" s="29"/>
      <c r="Z17" s="29"/>
      <c r="AA17" s="30">
        <v>80</v>
      </c>
      <c r="AC17" s="36"/>
      <c r="AE17" s="34">
        <v>20</v>
      </c>
    </row>
    <row r="18" spans="2:31" ht="34.9" customHeight="1" x14ac:dyDescent="0.25">
      <c r="B18" s="10"/>
      <c r="C18" s="113" t="s">
        <v>255</v>
      </c>
      <c r="D18" s="113"/>
      <c r="E18" s="113"/>
      <c r="F18" s="113"/>
      <c r="G18" s="113"/>
      <c r="H18" s="113"/>
      <c r="I18" s="113"/>
      <c r="J18" s="78"/>
      <c r="K18" s="78"/>
      <c r="L18" s="78"/>
      <c r="M18" s="10"/>
      <c r="N18" s="10"/>
      <c r="O18" s="10"/>
      <c r="P18" s="10"/>
      <c r="Q18" s="10"/>
      <c r="R18" s="10"/>
      <c r="S18" s="10"/>
      <c r="T18" s="10"/>
      <c r="U18" s="10"/>
      <c r="W18" s="29"/>
      <c r="X18" s="29"/>
      <c r="Y18" s="29"/>
      <c r="Z18" s="29"/>
      <c r="AA18" s="30">
        <v>85</v>
      </c>
      <c r="AB18" s="29"/>
      <c r="AC18" s="36"/>
      <c r="AE18" s="34">
        <v>21</v>
      </c>
    </row>
    <row r="19" spans="2:31" ht="19.899999999999999" customHeight="1" x14ac:dyDescent="0.35">
      <c r="B19" s="10"/>
      <c r="C19" s="80"/>
      <c r="D19" s="80"/>
      <c r="E19" s="80"/>
      <c r="F19" s="80"/>
      <c r="G19" s="80"/>
      <c r="H19" s="80"/>
      <c r="I19" s="80"/>
      <c r="J19" s="80"/>
      <c r="K19" s="80"/>
      <c r="L19" s="80"/>
      <c r="M19" s="10"/>
      <c r="N19" s="10"/>
      <c r="O19" s="10"/>
      <c r="P19" s="10"/>
      <c r="Q19" s="10"/>
      <c r="R19" s="10"/>
      <c r="S19" s="10"/>
      <c r="T19" s="10"/>
      <c r="U19" s="10"/>
      <c r="W19" s="29"/>
      <c r="X19" s="29"/>
      <c r="Y19" s="29"/>
      <c r="Z19" s="29"/>
      <c r="AA19" s="30">
        <v>90</v>
      </c>
      <c r="AB19" s="29"/>
      <c r="AC19" s="36"/>
      <c r="AE19" s="34">
        <v>22</v>
      </c>
    </row>
    <row r="20" spans="2:31" ht="34.9" customHeight="1" x14ac:dyDescent="0.25">
      <c r="B20" s="10"/>
      <c r="C20" s="113" t="s">
        <v>1</v>
      </c>
      <c r="D20" s="113"/>
      <c r="E20" s="113"/>
      <c r="F20" s="113"/>
      <c r="G20" s="113"/>
      <c r="H20" s="113"/>
      <c r="I20" s="113"/>
      <c r="J20" s="78"/>
      <c r="K20" s="78"/>
      <c r="L20" s="78"/>
      <c r="M20" s="10"/>
      <c r="N20" s="10"/>
      <c r="O20" s="10"/>
      <c r="P20" s="10"/>
      <c r="Q20" s="10"/>
      <c r="R20" s="10"/>
      <c r="S20" s="10"/>
      <c r="T20" s="10"/>
      <c r="U20" s="10"/>
      <c r="W20" s="29"/>
      <c r="X20" s="29"/>
      <c r="Y20" s="29"/>
      <c r="Z20" s="29"/>
      <c r="AA20" s="30">
        <v>95</v>
      </c>
      <c r="AB20" s="29"/>
      <c r="AE20" s="34">
        <v>23</v>
      </c>
    </row>
    <row r="21" spans="2:31" ht="19.899999999999999" customHeight="1" x14ac:dyDescent="0.25">
      <c r="B21" s="10"/>
      <c r="C21" s="78"/>
      <c r="D21" s="78"/>
      <c r="E21" s="78"/>
      <c r="F21" s="78"/>
      <c r="G21" s="78"/>
      <c r="H21" s="78"/>
      <c r="I21" s="78"/>
      <c r="J21" s="78"/>
      <c r="K21" s="78"/>
      <c r="L21" s="78"/>
      <c r="M21" s="10"/>
      <c r="N21" s="10"/>
      <c r="O21" s="10"/>
      <c r="P21" s="10"/>
      <c r="Q21" s="10"/>
      <c r="R21" s="10"/>
      <c r="S21" s="10"/>
      <c r="T21" s="10"/>
      <c r="U21" s="10"/>
      <c r="W21" s="29"/>
      <c r="X21" s="29"/>
      <c r="Y21" s="29"/>
      <c r="Z21" s="29"/>
      <c r="AB21" s="29"/>
      <c r="AE21" s="34">
        <v>30</v>
      </c>
    </row>
    <row r="22" spans="2:31" ht="34.9" customHeight="1" x14ac:dyDescent="0.25">
      <c r="B22" s="10"/>
      <c r="C22" s="113" t="s">
        <v>256</v>
      </c>
      <c r="D22" s="113"/>
      <c r="E22" s="113"/>
      <c r="F22" s="113"/>
      <c r="G22" s="113"/>
      <c r="H22" s="113"/>
      <c r="I22" s="113"/>
      <c r="J22" s="113"/>
      <c r="K22" s="78"/>
      <c r="L22" s="78"/>
      <c r="M22" s="10"/>
      <c r="N22" s="10"/>
      <c r="O22" s="10"/>
      <c r="P22" s="10"/>
      <c r="Q22" s="10"/>
      <c r="R22" s="10"/>
      <c r="S22" s="10"/>
      <c r="T22" s="10"/>
      <c r="U22" s="10"/>
      <c r="W22" s="29"/>
      <c r="X22" s="29"/>
      <c r="Y22" s="29"/>
      <c r="Z22" s="29"/>
      <c r="AB22" s="29"/>
      <c r="AE22" s="34">
        <v>31</v>
      </c>
    </row>
    <row r="23" spans="2:31" ht="19.899999999999999" customHeight="1" x14ac:dyDescent="0.25">
      <c r="B23" s="10"/>
      <c r="C23" s="78"/>
      <c r="D23" s="78"/>
      <c r="E23" s="78"/>
      <c r="F23" s="78"/>
      <c r="G23" s="78"/>
      <c r="H23" s="78"/>
      <c r="I23" s="78"/>
      <c r="J23" s="78"/>
      <c r="K23" s="78"/>
      <c r="L23" s="78"/>
      <c r="M23" s="10"/>
      <c r="N23" s="10"/>
      <c r="O23" s="10"/>
      <c r="P23" s="10"/>
      <c r="Q23" s="10"/>
      <c r="R23" s="10"/>
      <c r="S23" s="10"/>
      <c r="T23" s="10"/>
      <c r="U23" s="10"/>
      <c r="W23" s="29"/>
      <c r="X23" s="29"/>
      <c r="Y23" s="29"/>
      <c r="Z23" s="29"/>
      <c r="AA23" s="30"/>
      <c r="AB23" s="29"/>
      <c r="AE23" s="34">
        <v>32</v>
      </c>
    </row>
    <row r="24" spans="2:31" ht="34.9" customHeight="1" x14ac:dyDescent="0.25">
      <c r="B24" s="10"/>
      <c r="C24" s="113" t="s">
        <v>257</v>
      </c>
      <c r="D24" s="113"/>
      <c r="E24" s="113"/>
      <c r="F24" s="113"/>
      <c r="G24" s="113"/>
      <c r="H24" s="113"/>
      <c r="I24" s="113"/>
      <c r="J24" s="113"/>
      <c r="K24" s="113"/>
      <c r="L24" s="113"/>
      <c r="M24" s="10"/>
      <c r="N24" s="10"/>
      <c r="O24" s="10"/>
      <c r="P24" s="10"/>
      <c r="Q24" s="10"/>
      <c r="R24" s="10"/>
      <c r="S24" s="10"/>
      <c r="T24" s="10"/>
      <c r="U24" s="10"/>
      <c r="W24" s="29"/>
      <c r="X24" s="29"/>
      <c r="Y24" s="29"/>
      <c r="Z24" s="29"/>
      <c r="AA24" s="30"/>
      <c r="AB24" s="29"/>
      <c r="AE24" s="34">
        <v>33</v>
      </c>
    </row>
    <row r="25" spans="2:31" ht="19.899999999999999" customHeight="1" x14ac:dyDescent="0.25">
      <c r="B25" s="10"/>
      <c r="C25" s="78"/>
      <c r="D25" s="78"/>
      <c r="E25" s="78"/>
      <c r="F25" s="78"/>
      <c r="G25" s="78"/>
      <c r="H25" s="78"/>
      <c r="I25" s="78"/>
      <c r="J25" s="78"/>
      <c r="K25" s="78"/>
      <c r="L25" s="78"/>
      <c r="M25" s="10"/>
      <c r="N25" s="10"/>
      <c r="O25" s="10"/>
      <c r="P25" s="10"/>
      <c r="Q25" s="10"/>
      <c r="R25" s="10"/>
      <c r="S25" s="10"/>
      <c r="T25" s="10"/>
      <c r="U25" s="10"/>
      <c r="W25" s="29"/>
      <c r="X25" s="29"/>
      <c r="Y25" s="29"/>
      <c r="Z25" s="29"/>
      <c r="AB25" s="29"/>
      <c r="AE25" s="34">
        <v>34</v>
      </c>
    </row>
    <row r="26" spans="2:31" ht="34.9" customHeight="1" x14ac:dyDescent="0.25">
      <c r="B26" s="10"/>
      <c r="C26" s="113" t="s">
        <v>258</v>
      </c>
      <c r="D26" s="113"/>
      <c r="E26" s="113"/>
      <c r="F26" s="113"/>
      <c r="G26" s="113"/>
      <c r="H26" s="113"/>
      <c r="I26" s="113"/>
      <c r="J26" s="78"/>
      <c r="K26" s="78"/>
      <c r="L26" s="78"/>
      <c r="M26" s="10"/>
      <c r="N26" s="10"/>
      <c r="O26" s="10"/>
      <c r="P26" s="10"/>
      <c r="Q26" s="10"/>
      <c r="R26" s="10"/>
      <c r="S26" s="10"/>
      <c r="T26" s="10"/>
      <c r="U26" s="10"/>
      <c r="W26" s="29"/>
      <c r="X26" s="29"/>
      <c r="Y26" s="29"/>
      <c r="Z26" s="29"/>
      <c r="AB26" s="29"/>
      <c r="AE26" s="34">
        <v>35</v>
      </c>
    </row>
    <row r="27" spans="2:31" ht="19.899999999999999" customHeight="1" x14ac:dyDescent="0.35">
      <c r="B27" s="10"/>
      <c r="C27" s="80"/>
      <c r="D27" s="80"/>
      <c r="E27" s="80"/>
      <c r="F27" s="80"/>
      <c r="G27" s="80"/>
      <c r="H27" s="80"/>
      <c r="I27" s="80"/>
      <c r="J27" s="80"/>
      <c r="K27" s="80"/>
      <c r="L27" s="80"/>
      <c r="M27" s="10"/>
      <c r="N27" s="10"/>
      <c r="O27" s="10"/>
      <c r="P27" s="10"/>
      <c r="Q27" s="10"/>
      <c r="R27" s="10"/>
      <c r="S27" s="10"/>
      <c r="T27" s="10"/>
      <c r="U27" s="10"/>
      <c r="W27" s="29"/>
      <c r="X27" s="29"/>
      <c r="Y27" s="29"/>
      <c r="Z27" s="29"/>
      <c r="AB27" s="29"/>
      <c r="AE27" s="34">
        <v>36</v>
      </c>
    </row>
    <row r="28" spans="2:31" ht="34.9" customHeight="1" x14ac:dyDescent="0.25">
      <c r="B28" s="10"/>
      <c r="C28" s="113" t="s">
        <v>69</v>
      </c>
      <c r="D28" s="113"/>
      <c r="E28" s="113"/>
      <c r="F28" s="113"/>
      <c r="G28" s="113"/>
      <c r="H28" s="113"/>
      <c r="I28" s="113"/>
      <c r="J28" s="78"/>
      <c r="K28" s="78"/>
      <c r="L28" s="78"/>
      <c r="M28" s="10"/>
      <c r="N28" s="10"/>
      <c r="O28" s="10"/>
      <c r="P28" s="10"/>
      <c r="Q28" s="10"/>
      <c r="R28" s="10"/>
      <c r="S28" s="10"/>
      <c r="T28" s="10"/>
      <c r="U28" s="10"/>
      <c r="W28" s="29"/>
      <c r="X28" s="29"/>
      <c r="Y28" s="29"/>
      <c r="Z28" s="29"/>
      <c r="AB28" s="29"/>
      <c r="AE28" s="34">
        <v>40</v>
      </c>
    </row>
    <row r="29" spans="2:31" ht="19.899999999999999" customHeight="1" x14ac:dyDescent="0.25">
      <c r="B29" s="10"/>
      <c r="C29" s="11"/>
      <c r="D29" s="11"/>
      <c r="E29" s="11"/>
      <c r="F29" s="11"/>
      <c r="G29" s="11"/>
      <c r="H29" s="11"/>
      <c r="I29" s="11"/>
      <c r="J29" s="11"/>
      <c r="K29" s="11"/>
      <c r="L29" s="11"/>
      <c r="M29" s="10"/>
      <c r="N29" s="10"/>
      <c r="O29" s="10"/>
      <c r="P29" s="10"/>
      <c r="Q29" s="10"/>
      <c r="R29" s="10"/>
      <c r="S29" s="10"/>
      <c r="T29" s="10"/>
      <c r="U29" s="10"/>
      <c r="AE29" s="34">
        <v>41</v>
      </c>
    </row>
    <row r="30" spans="2:31" ht="30" customHeight="1" x14ac:dyDescent="0.3">
      <c r="B30" s="10"/>
      <c r="C30" s="12"/>
      <c r="D30" s="12"/>
      <c r="E30" s="12"/>
      <c r="F30" s="12"/>
      <c r="G30" s="12"/>
      <c r="H30" s="12"/>
      <c r="I30" s="12"/>
      <c r="J30" s="12"/>
      <c r="K30" s="12"/>
      <c r="L30" s="12"/>
      <c r="M30" s="10"/>
      <c r="N30" s="10"/>
      <c r="O30" s="10"/>
      <c r="P30" s="10"/>
      <c r="Q30" s="10"/>
      <c r="R30" s="10"/>
      <c r="S30" s="10"/>
      <c r="T30" s="10"/>
      <c r="U30" s="10"/>
      <c r="AE30" s="34">
        <v>42</v>
      </c>
    </row>
    <row r="31" spans="2:31" ht="30" customHeight="1" x14ac:dyDescent="0.3">
      <c r="B31" s="10"/>
      <c r="C31" s="12"/>
      <c r="D31" s="12"/>
      <c r="E31" s="12"/>
      <c r="F31" s="12"/>
      <c r="G31" s="12"/>
      <c r="H31" s="12"/>
      <c r="I31" s="12"/>
      <c r="J31" s="12"/>
      <c r="K31" s="12"/>
      <c r="L31" s="12"/>
      <c r="M31" s="10"/>
      <c r="N31" s="10"/>
      <c r="O31" s="10"/>
      <c r="P31" s="10"/>
      <c r="Q31" s="10"/>
      <c r="R31" s="10"/>
      <c r="S31" s="10"/>
      <c r="T31" s="10"/>
      <c r="U31" s="10"/>
      <c r="AE31" s="34">
        <v>43</v>
      </c>
    </row>
    <row r="32" spans="2:31" ht="30" customHeight="1" x14ac:dyDescent="0.3">
      <c r="B32" s="10"/>
      <c r="C32" s="12"/>
      <c r="D32" s="12"/>
      <c r="E32" s="12"/>
      <c r="F32" s="12"/>
      <c r="G32" s="12"/>
      <c r="H32" s="12"/>
      <c r="I32" s="12"/>
      <c r="J32" s="12"/>
      <c r="K32" s="12"/>
      <c r="L32" s="12"/>
      <c r="M32" s="10"/>
      <c r="N32" s="10"/>
      <c r="O32" s="10"/>
      <c r="P32" s="10"/>
      <c r="Q32" s="10"/>
      <c r="R32" s="10"/>
      <c r="S32" s="10"/>
      <c r="T32" s="10"/>
      <c r="U32" s="10"/>
      <c r="AE32" s="34">
        <v>44</v>
      </c>
    </row>
    <row r="33" spans="31:31" ht="41.45" customHeight="1" x14ac:dyDescent="0.25">
      <c r="AE33" s="34">
        <v>45</v>
      </c>
    </row>
    <row r="34" spans="31:31" ht="30" hidden="1" customHeight="1" x14ac:dyDescent="0.25">
      <c r="AE34" s="34">
        <v>46</v>
      </c>
    </row>
    <row r="35" spans="31:31" ht="30" hidden="1" customHeight="1" x14ac:dyDescent="0.25">
      <c r="AE35" s="34">
        <v>47</v>
      </c>
    </row>
    <row r="36" spans="31:31" ht="30" hidden="1" customHeight="1" x14ac:dyDescent="0.25">
      <c r="AE36" s="34">
        <v>50</v>
      </c>
    </row>
    <row r="37" spans="31:31" ht="30" hidden="1" customHeight="1" x14ac:dyDescent="0.25">
      <c r="AE37" s="34">
        <v>51</v>
      </c>
    </row>
    <row r="38" spans="31:31" ht="30" hidden="1" customHeight="1" x14ac:dyDescent="0.25">
      <c r="AE38" s="34">
        <v>52</v>
      </c>
    </row>
    <row r="39" spans="31:31" ht="30" hidden="1" customHeight="1" x14ac:dyDescent="0.25">
      <c r="AE39" s="34">
        <v>53</v>
      </c>
    </row>
    <row r="40" spans="31:31" ht="30" hidden="1" customHeight="1" x14ac:dyDescent="0.25">
      <c r="AE40" s="34">
        <v>54</v>
      </c>
    </row>
    <row r="41" spans="31:31" ht="30" hidden="1" customHeight="1" x14ac:dyDescent="0.25">
      <c r="AE41" s="34">
        <v>55</v>
      </c>
    </row>
    <row r="42" spans="31:31" ht="30" hidden="1" customHeight="1" x14ac:dyDescent="0.25">
      <c r="AE42" s="34">
        <v>56</v>
      </c>
    </row>
    <row r="43" spans="31:31" ht="30" hidden="1" customHeight="1" x14ac:dyDescent="0.25">
      <c r="AE43" s="34">
        <v>57</v>
      </c>
    </row>
    <row r="44" spans="31:31" ht="30" hidden="1" customHeight="1" x14ac:dyDescent="0.25">
      <c r="AE44" s="34">
        <v>58</v>
      </c>
    </row>
    <row r="45" spans="31:31" ht="30" hidden="1" customHeight="1" x14ac:dyDescent="0.25">
      <c r="AE45" s="34">
        <v>59</v>
      </c>
    </row>
    <row r="46" spans="31:31" ht="30" hidden="1" customHeight="1" x14ac:dyDescent="0.25">
      <c r="AE46" s="34">
        <v>60</v>
      </c>
    </row>
    <row r="47" spans="31:31" ht="30" hidden="1" customHeight="1" x14ac:dyDescent="0.25">
      <c r="AE47" s="34">
        <v>70</v>
      </c>
    </row>
    <row r="48" spans="31:31" ht="30" hidden="1" customHeight="1" x14ac:dyDescent="0.25">
      <c r="AE48" s="34">
        <v>71</v>
      </c>
    </row>
    <row r="49" spans="31:31" ht="30" hidden="1" customHeight="1" x14ac:dyDescent="0.25">
      <c r="AE49" s="34">
        <v>72</v>
      </c>
    </row>
    <row r="50" spans="31:31" ht="30" hidden="1" customHeight="1" x14ac:dyDescent="0.25">
      <c r="AE50" s="34">
        <v>73</v>
      </c>
    </row>
    <row r="51" spans="31:31" ht="30" hidden="1" customHeight="1" x14ac:dyDescent="0.25"/>
    <row r="52" spans="31:31" ht="30" hidden="1" customHeight="1" x14ac:dyDescent="0.25"/>
    <row r="53" spans="31:31" ht="30" hidden="1" customHeight="1" x14ac:dyDescent="0.25"/>
    <row r="54" spans="31:31" ht="30" hidden="1" customHeight="1" x14ac:dyDescent="0.25"/>
    <row r="55" spans="31:31" ht="30" hidden="1" customHeight="1" x14ac:dyDescent="0.25"/>
    <row r="56" spans="31:31" ht="30" hidden="1" customHeight="1" x14ac:dyDescent="0.25"/>
    <row r="57" spans="31:31" ht="30" hidden="1" customHeight="1" x14ac:dyDescent="0.25"/>
    <row r="58" spans="31:31" ht="30" hidden="1" customHeight="1" x14ac:dyDescent="0.25"/>
    <row r="59" spans="31:31" ht="30" hidden="1" customHeight="1" x14ac:dyDescent="0.25"/>
    <row r="60" spans="31:31" ht="30" hidden="1" customHeight="1" x14ac:dyDescent="0.25"/>
    <row r="61" spans="31:31" ht="30" hidden="1" customHeight="1" x14ac:dyDescent="0.25"/>
    <row r="62" spans="31:31" ht="30" hidden="1" customHeight="1" x14ac:dyDescent="0.25"/>
    <row r="63" spans="31:31" ht="30" hidden="1" customHeight="1" x14ac:dyDescent="0.25"/>
    <row r="64" spans="31:31" ht="30" hidden="1" customHeight="1" x14ac:dyDescent="0.25"/>
    <row r="65" ht="30" hidden="1" customHeight="1" x14ac:dyDescent="0.25"/>
    <row r="66" ht="30" hidden="1" customHeight="1" x14ac:dyDescent="0.25"/>
    <row r="67" ht="30" hidden="1" customHeight="1" x14ac:dyDescent="0.25"/>
    <row r="68" ht="30" hidden="1" customHeight="1" x14ac:dyDescent="0.25"/>
    <row r="69" ht="30" hidden="1" customHeight="1" x14ac:dyDescent="0.25"/>
    <row r="70" ht="30" hidden="1" customHeight="1" x14ac:dyDescent="0.25"/>
    <row r="71" ht="30" hidden="1" customHeight="1" x14ac:dyDescent="0.25"/>
    <row r="72" ht="30" hidden="1" customHeight="1" x14ac:dyDescent="0.25"/>
    <row r="73" ht="30" hidden="1" customHeight="1" x14ac:dyDescent="0.25"/>
    <row r="74" ht="30" hidden="1" customHeight="1" x14ac:dyDescent="0.25"/>
    <row r="75" ht="30" hidden="1" customHeight="1" x14ac:dyDescent="0.25"/>
    <row r="76" ht="30" hidden="1" customHeight="1" x14ac:dyDescent="0.25"/>
    <row r="1048573" ht="3.6" hidden="1" customHeight="1" x14ac:dyDescent="0.25"/>
    <row r="1048574" ht="23.45" hidden="1" customHeight="1" x14ac:dyDescent="0.25"/>
    <row r="1048575" ht="14.45" hidden="1" customHeight="1" x14ac:dyDescent="0.25"/>
  </sheetData>
  <sheetProtection algorithmName="SHA-512" hashValue="t/dxjPUmv6QcVYTTDpwxb7S/Ooa9QWLE90cXk2lpCAhkRZsZ/L7g9NEMibl2fbqHv6tN43S5HNtQ6D/G/dlRuw==" saltValue="bO1XGaEXyA4BqSj8ciOJhg==" spinCount="100000" sheet="1" selectLockedCells="1" selectUnlockedCells="1"/>
  <mergeCells count="13">
    <mergeCell ref="B2:U4"/>
    <mergeCell ref="C12:L12"/>
    <mergeCell ref="C18:I18"/>
    <mergeCell ref="C20:I20"/>
    <mergeCell ref="C28:I28"/>
    <mergeCell ref="C8:I8"/>
    <mergeCell ref="C14:I14"/>
    <mergeCell ref="C16:I16"/>
    <mergeCell ref="C26:I26"/>
    <mergeCell ref="C24:L24"/>
    <mergeCell ref="C22:J22"/>
    <mergeCell ref="C6:J6"/>
    <mergeCell ref="C10:K10"/>
  </mergeCells>
  <pageMargins left="0.7" right="0.7" top="0.75" bottom="0.75" header="0.3" footer="0.3"/>
  <pageSetup paperSize="8" orientation="portrait" r:id="rId1"/>
  <drawing r:id="rId2"/>
  <legacyDrawing r:id="rId3"/>
  <controls>
    <mc:AlternateContent xmlns:mc="http://schemas.openxmlformats.org/markup-compatibility/2006">
      <mc:Choice Requires="x14">
        <control shapeId="1057" r:id="rId4" name="Kabel">
          <controlPr defaultSize="0" autoLine="0" listFillRange="AF3:AF7" r:id="rId5">
            <anchor moveWithCells="1">
              <from>
                <xdr:col>12</xdr:col>
                <xdr:colOff>485775</xdr:colOff>
                <xdr:row>9</xdr:row>
                <xdr:rowOff>57150</xdr:rowOff>
              </from>
              <to>
                <xdr:col>20</xdr:col>
                <xdr:colOff>1323975</xdr:colOff>
                <xdr:row>9</xdr:row>
                <xdr:rowOff>400050</xdr:rowOff>
              </to>
            </anchor>
          </controlPr>
        </control>
      </mc:Choice>
      <mc:Fallback>
        <control shapeId="1057" r:id="rId4" name="Kabel"/>
      </mc:Fallback>
    </mc:AlternateContent>
    <mc:AlternateContent xmlns:mc="http://schemas.openxmlformats.org/markup-compatibility/2006">
      <mc:Choice Requires="x14">
        <control shapeId="1056" r:id="rId6" name="Installationsmetode">
          <controlPr defaultSize="0" autoLine="0" listFillRange="AE3:AE50" r:id="rId7">
            <anchor moveWithCells="1">
              <from>
                <xdr:col>12</xdr:col>
                <xdr:colOff>485775</xdr:colOff>
                <xdr:row>5</xdr:row>
                <xdr:rowOff>123825</xdr:rowOff>
              </from>
              <to>
                <xdr:col>20</xdr:col>
                <xdr:colOff>1323975</xdr:colOff>
                <xdr:row>5</xdr:row>
                <xdr:rowOff>457200</xdr:rowOff>
              </to>
            </anchor>
          </controlPr>
        </control>
      </mc:Choice>
      <mc:Fallback>
        <control shapeId="1056" r:id="rId6" name="Installationsmetode"/>
      </mc:Fallback>
    </mc:AlternateContent>
    <mc:AlternateContent xmlns:mc="http://schemas.openxmlformats.org/markup-compatibility/2006">
      <mc:Choice Requires="x14">
        <control shapeId="1054" r:id="rId8" name="Føringsvej">
          <controlPr defaultSize="0" autoLine="0" listFillRange="AC3:AC12" r:id="rId9">
            <anchor moveWithCells="1">
              <from>
                <xdr:col>12</xdr:col>
                <xdr:colOff>495300</xdr:colOff>
                <xdr:row>21</xdr:row>
                <xdr:rowOff>85725</xdr:rowOff>
              </from>
              <to>
                <xdr:col>20</xdr:col>
                <xdr:colOff>1323975</xdr:colOff>
                <xdr:row>21</xdr:row>
                <xdr:rowOff>409575</xdr:rowOff>
              </to>
            </anchor>
          </controlPr>
        </control>
      </mc:Choice>
      <mc:Fallback>
        <control shapeId="1054" r:id="rId8" name="Føringsvej"/>
      </mc:Fallback>
    </mc:AlternateContent>
    <mc:AlternateContent xmlns:mc="http://schemas.openxmlformats.org/markup-compatibility/2006">
      <mc:Choice Requires="x14">
        <control shapeId="1053" r:id="rId10" name="CMDNulstil">
          <controlPr defaultSize="0" autoLine="0" r:id="rId11">
            <anchor moveWithCells="1">
              <from>
                <xdr:col>12</xdr:col>
                <xdr:colOff>476250</xdr:colOff>
                <xdr:row>29</xdr:row>
                <xdr:rowOff>133350</xdr:rowOff>
              </from>
              <to>
                <xdr:col>14</xdr:col>
                <xdr:colOff>447675</xdr:colOff>
                <xdr:row>30</xdr:row>
                <xdr:rowOff>142875</xdr:rowOff>
              </to>
            </anchor>
          </controlPr>
        </control>
      </mc:Choice>
      <mc:Fallback>
        <control shapeId="1053" r:id="rId10" name="CMDNulstil"/>
      </mc:Fallback>
    </mc:AlternateContent>
    <mc:AlternateContent xmlns:mc="http://schemas.openxmlformats.org/markup-compatibility/2006">
      <mc:Choice Requires="x14">
        <control shapeId="1052" r:id="rId12" name="CMDBeregn">
          <controlPr defaultSize="0" autoLine="0" r:id="rId13">
            <anchor moveWithCells="1">
              <from>
                <xdr:col>20</xdr:col>
                <xdr:colOff>19050</xdr:colOff>
                <xdr:row>29</xdr:row>
                <xdr:rowOff>133350</xdr:rowOff>
              </from>
              <to>
                <xdr:col>20</xdr:col>
                <xdr:colOff>1181100</xdr:colOff>
                <xdr:row>30</xdr:row>
                <xdr:rowOff>142875</xdr:rowOff>
              </to>
            </anchor>
          </controlPr>
        </control>
      </mc:Choice>
      <mc:Fallback>
        <control shapeId="1052" r:id="rId12" name="CMDBeregn"/>
      </mc:Fallback>
    </mc:AlternateContent>
    <mc:AlternateContent xmlns:mc="http://schemas.openxmlformats.org/markup-compatibility/2006">
      <mc:Choice Requires="x14">
        <control shapeId="1046" r:id="rId14" name="Samletfremføring">
          <controlPr defaultSize="0" autoLine="0" listFillRange="AB3:AB13" r:id="rId15">
            <anchor moveWithCells="1">
              <from>
                <xdr:col>12</xdr:col>
                <xdr:colOff>495300</xdr:colOff>
                <xdr:row>19</xdr:row>
                <xdr:rowOff>28575</xdr:rowOff>
              </from>
              <to>
                <xdr:col>20</xdr:col>
                <xdr:colOff>1323975</xdr:colOff>
                <xdr:row>19</xdr:row>
                <xdr:rowOff>352425</xdr:rowOff>
              </to>
            </anchor>
          </controlPr>
        </control>
      </mc:Choice>
      <mc:Fallback>
        <control shapeId="1046" r:id="rId14" name="Samletfremføring"/>
      </mc:Fallback>
    </mc:AlternateContent>
    <mc:AlternateContent xmlns:mc="http://schemas.openxmlformats.org/markup-compatibility/2006">
      <mc:Choice Requires="x14">
        <control shapeId="1045" r:id="rId16" name="Omgivelsestemp">
          <controlPr defaultSize="0" autoLine="0" listFillRange="AA3:AA24" r:id="rId17">
            <anchor moveWithCells="1">
              <from>
                <xdr:col>12</xdr:col>
                <xdr:colOff>495300</xdr:colOff>
                <xdr:row>17</xdr:row>
                <xdr:rowOff>28575</xdr:rowOff>
              </from>
              <to>
                <xdr:col>20</xdr:col>
                <xdr:colOff>1323975</xdr:colOff>
                <xdr:row>17</xdr:row>
                <xdr:rowOff>352425</xdr:rowOff>
              </to>
            </anchor>
          </controlPr>
        </control>
      </mc:Choice>
      <mc:Fallback>
        <control shapeId="1045" r:id="rId16" name="Omgivelsestemp"/>
      </mc:Fallback>
    </mc:AlternateContent>
    <mc:AlternateContent xmlns:mc="http://schemas.openxmlformats.org/markup-compatibility/2006">
      <mc:Choice Requires="x14">
        <control shapeId="1044" r:id="rId18" name="Dimmensioneringsstrøm">
          <controlPr defaultSize="0" autoLine="0" r:id="rId19">
            <anchor moveWithCells="1">
              <from>
                <xdr:col>12</xdr:col>
                <xdr:colOff>495300</xdr:colOff>
                <xdr:row>25</xdr:row>
                <xdr:rowOff>19050</xdr:rowOff>
              </from>
              <to>
                <xdr:col>20</xdr:col>
                <xdr:colOff>1323975</xdr:colOff>
                <xdr:row>25</xdr:row>
                <xdr:rowOff>342900</xdr:rowOff>
              </to>
            </anchor>
          </controlPr>
        </control>
      </mc:Choice>
      <mc:Fallback>
        <control shapeId="1044" r:id="rId18" name="Dimmensioneringsstrøm"/>
      </mc:Fallback>
    </mc:AlternateContent>
    <mc:AlternateContent xmlns:mc="http://schemas.openxmlformats.org/markup-compatibility/2006">
      <mc:Choice Requires="x14">
        <control shapeId="1043" r:id="rId20" name="Jordmodstand">
          <controlPr defaultSize="0" autoLine="0" listFillRange="Z3:Z11" r:id="rId21">
            <anchor moveWithCells="1">
              <from>
                <xdr:col>12</xdr:col>
                <xdr:colOff>495300</xdr:colOff>
                <xdr:row>15</xdr:row>
                <xdr:rowOff>28575</xdr:rowOff>
              </from>
              <to>
                <xdr:col>20</xdr:col>
                <xdr:colOff>1323975</xdr:colOff>
                <xdr:row>15</xdr:row>
                <xdr:rowOff>352425</xdr:rowOff>
              </to>
            </anchor>
          </controlPr>
        </control>
      </mc:Choice>
      <mc:Fallback>
        <control shapeId="1043" r:id="rId20" name="Jordmodstand"/>
      </mc:Fallback>
    </mc:AlternateContent>
    <mc:AlternateContent xmlns:mc="http://schemas.openxmlformats.org/markup-compatibility/2006">
      <mc:Choice Requires="x14">
        <control shapeId="1042" r:id="rId22" name="Parallelekabler">
          <controlPr defaultSize="0" autoLine="0" r:id="rId23">
            <anchor moveWithCells="1">
              <from>
                <xdr:col>12</xdr:col>
                <xdr:colOff>495300</xdr:colOff>
                <xdr:row>27</xdr:row>
                <xdr:rowOff>19050</xdr:rowOff>
              </from>
              <to>
                <xdr:col>20</xdr:col>
                <xdr:colOff>1323975</xdr:colOff>
                <xdr:row>27</xdr:row>
                <xdr:rowOff>342900</xdr:rowOff>
              </to>
            </anchor>
          </controlPr>
        </control>
      </mc:Choice>
      <mc:Fallback>
        <control shapeId="1042" r:id="rId22" name="Parallelekabler"/>
      </mc:Fallback>
    </mc:AlternateContent>
    <mc:AlternateContent xmlns:mc="http://schemas.openxmlformats.org/markup-compatibility/2006">
      <mc:Choice Requires="x14">
        <control shapeId="1039" r:id="rId24" name="Materiale">
          <controlPr defaultSize="0" autoLine="0" listFillRange="Y3:Y4" r:id="rId25">
            <anchor moveWithCells="1">
              <from>
                <xdr:col>12</xdr:col>
                <xdr:colOff>495300</xdr:colOff>
                <xdr:row>13</xdr:row>
                <xdr:rowOff>38100</xdr:rowOff>
              </from>
              <to>
                <xdr:col>20</xdr:col>
                <xdr:colOff>1323975</xdr:colOff>
                <xdr:row>13</xdr:row>
                <xdr:rowOff>361950</xdr:rowOff>
              </to>
            </anchor>
          </controlPr>
        </control>
      </mc:Choice>
      <mc:Fallback>
        <control shapeId="1039" r:id="rId24" name="Materiale"/>
      </mc:Fallback>
    </mc:AlternateContent>
    <mc:AlternateContent xmlns:mc="http://schemas.openxmlformats.org/markup-compatibility/2006">
      <mc:Choice Requires="x14">
        <control shapeId="1038" r:id="rId26" name="Isolering">
          <controlPr defaultSize="0" autoLine="0" listFillRange="X3:X7" r:id="rId27">
            <anchor moveWithCells="1">
              <from>
                <xdr:col>12</xdr:col>
                <xdr:colOff>495300</xdr:colOff>
                <xdr:row>11</xdr:row>
                <xdr:rowOff>38100</xdr:rowOff>
              </from>
              <to>
                <xdr:col>20</xdr:col>
                <xdr:colOff>1323975</xdr:colOff>
                <xdr:row>11</xdr:row>
                <xdr:rowOff>361950</xdr:rowOff>
              </to>
            </anchor>
          </controlPr>
        </control>
      </mc:Choice>
      <mc:Fallback>
        <control shapeId="1038" r:id="rId26" name="Isolering"/>
      </mc:Fallback>
    </mc:AlternateContent>
    <mc:AlternateContent xmlns:mc="http://schemas.openxmlformats.org/markup-compatibility/2006">
      <mc:Choice Requires="x14">
        <control shapeId="1037" r:id="rId28" name="Oplægningsmetode">
          <controlPr defaultSize="0" autoLine="0" listFillRange="W3:W11" r:id="rId29">
            <anchor moveWithCells="1">
              <from>
                <xdr:col>12</xdr:col>
                <xdr:colOff>485775</xdr:colOff>
                <xdr:row>7</xdr:row>
                <xdr:rowOff>66675</xdr:rowOff>
              </from>
              <to>
                <xdr:col>20</xdr:col>
                <xdr:colOff>1323975</xdr:colOff>
                <xdr:row>7</xdr:row>
                <xdr:rowOff>400050</xdr:rowOff>
              </to>
            </anchor>
          </controlPr>
        </control>
      </mc:Choice>
      <mc:Fallback>
        <control shapeId="1037" r:id="rId28" name="Oplægningsmetode"/>
      </mc:Fallback>
    </mc:AlternateContent>
    <mc:AlternateContent xmlns:mc="http://schemas.openxmlformats.org/markup-compatibility/2006">
      <mc:Choice Requires="x14">
        <control shapeId="1055" r:id="rId30" name="THDi">
          <controlPr defaultSize="0" autoLine="0" listFillRange="AD3:AD7" r:id="rId31">
            <anchor moveWithCells="1">
              <from>
                <xdr:col>12</xdr:col>
                <xdr:colOff>495300</xdr:colOff>
                <xdr:row>23</xdr:row>
                <xdr:rowOff>57150</xdr:rowOff>
              </from>
              <to>
                <xdr:col>20</xdr:col>
                <xdr:colOff>1323975</xdr:colOff>
                <xdr:row>23</xdr:row>
                <xdr:rowOff>390525</xdr:rowOff>
              </to>
            </anchor>
          </controlPr>
        </control>
      </mc:Choice>
      <mc:Fallback>
        <control shapeId="1055" r:id="rId30" name="THDi"/>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3"/>
  <dimension ref="A1:AE1048561"/>
  <sheetViews>
    <sheetView showGridLines="0" showRowColHeaders="0" tabSelected="1" zoomScale="125" zoomScaleNormal="130" workbookViewId="0">
      <selection activeCell="Q17" sqref="Q17"/>
    </sheetView>
  </sheetViews>
  <sheetFormatPr defaultColWidth="0" defaultRowHeight="15" zeroHeight="1" x14ac:dyDescent="0.25"/>
  <cols>
    <col min="1" max="1" width="3.5703125" bestFit="1" customWidth="1"/>
    <col min="2" max="2" width="5.28515625" customWidth="1"/>
    <col min="3" max="3" width="2.7109375" style="19" customWidth="1"/>
    <col min="4" max="6" width="3.28515625" style="6" customWidth="1"/>
    <col min="7" max="7" width="2.7109375" customWidth="1"/>
    <col min="8" max="8" width="6.28515625" customWidth="1"/>
    <col min="9" max="12" width="5" style="6" customWidth="1"/>
    <col min="13" max="13" width="2" style="6" bestFit="1" customWidth="1"/>
    <col min="14" max="14" width="8.7109375" customWidth="1"/>
    <col min="15" max="16" width="2.7109375" customWidth="1"/>
    <col min="17" max="17" width="8.7109375" customWidth="1"/>
    <col min="18" max="18" width="8.7109375" hidden="1" customWidth="1"/>
    <col min="19" max="20" width="9.140625" hidden="1" customWidth="1"/>
    <col min="21" max="22" width="12.7109375" hidden="1" customWidth="1"/>
    <col min="23" max="23" width="12.42578125" hidden="1" customWidth="1"/>
    <col min="24" max="24" width="9.140625" hidden="1" customWidth="1"/>
    <col min="25" max="25" width="23.42578125" hidden="1" customWidth="1"/>
    <col min="26" max="29" width="9.140625" hidden="1" customWidth="1"/>
    <col min="30" max="30" width="8.85546875" style="1" hidden="1" customWidth="1"/>
    <col min="31" max="16384" width="9.140625" hidden="1"/>
  </cols>
  <sheetData>
    <row r="1" spans="2:30" x14ac:dyDescent="0.25"/>
    <row r="2" spans="2:30" ht="40.15" customHeight="1" x14ac:dyDescent="0.25">
      <c r="B2" s="124" t="s">
        <v>126</v>
      </c>
      <c r="C2" s="124"/>
      <c r="D2" s="124"/>
      <c r="E2" s="124"/>
      <c r="F2" s="124"/>
      <c r="G2" s="124"/>
      <c r="H2" s="124"/>
      <c r="I2" s="124"/>
      <c r="J2" s="124"/>
      <c r="K2" s="124"/>
      <c r="L2" s="124"/>
      <c r="M2" s="124"/>
      <c r="N2" s="124"/>
      <c r="O2" s="124"/>
      <c r="P2" s="124"/>
      <c r="Q2" s="124"/>
    </row>
    <row r="3" spans="2:30" x14ac:dyDescent="0.25">
      <c r="B3" s="18"/>
      <c r="C3" s="18"/>
      <c r="D3" s="18"/>
      <c r="E3" s="18"/>
      <c r="F3" s="18"/>
      <c r="G3" s="18"/>
      <c r="H3" s="18"/>
      <c r="I3" s="18"/>
      <c r="J3" s="18"/>
      <c r="K3" s="18"/>
      <c r="L3" s="18"/>
      <c r="M3" s="25"/>
      <c r="AD3" s="22"/>
    </row>
    <row r="4" spans="2:30" x14ac:dyDescent="0.25">
      <c r="B4" s="17" t="s">
        <v>60</v>
      </c>
      <c r="C4" s="17" t="s">
        <v>85</v>
      </c>
      <c r="D4" s="121">
        <v>1</v>
      </c>
      <c r="E4" s="121"/>
      <c r="F4" s="17"/>
      <c r="G4" s="125" t="s">
        <v>272</v>
      </c>
      <c r="H4" s="125"/>
      <c r="I4" s="125"/>
      <c r="J4" s="125"/>
      <c r="K4" s="121" t="s">
        <v>273</v>
      </c>
      <c r="L4" s="121"/>
      <c r="M4" s="121"/>
    </row>
    <row r="5" spans="2:30" ht="15.6" customHeight="1" x14ac:dyDescent="0.25">
      <c r="B5" s="17" t="s">
        <v>30</v>
      </c>
      <c r="C5" s="17" t="s">
        <v>85</v>
      </c>
      <c r="D5" s="121">
        <v>1</v>
      </c>
      <c r="E5" s="121"/>
      <c r="F5" s="17"/>
      <c r="G5" s="125" t="s">
        <v>271</v>
      </c>
      <c r="H5" s="125"/>
      <c r="I5" s="125"/>
      <c r="J5" s="125"/>
      <c r="K5" s="125" t="s">
        <v>268</v>
      </c>
      <c r="L5" s="125"/>
    </row>
    <row r="6" spans="2:30" x14ac:dyDescent="0.25">
      <c r="B6" s="17" t="s">
        <v>70</v>
      </c>
      <c r="C6" s="17" t="s">
        <v>85</v>
      </c>
      <c r="D6" s="121">
        <v>0.6</v>
      </c>
      <c r="E6" s="121"/>
      <c r="F6" s="17"/>
      <c r="G6" s="125" t="s">
        <v>274</v>
      </c>
      <c r="H6" s="125"/>
      <c r="I6" s="125"/>
      <c r="J6" s="125"/>
      <c r="K6" s="125"/>
      <c r="L6" s="125"/>
      <c r="M6" s="125"/>
    </row>
    <row r="7" spans="2:30" x14ac:dyDescent="0.25">
      <c r="B7" s="18" t="s">
        <v>80</v>
      </c>
      <c r="C7" s="18" t="s">
        <v>85</v>
      </c>
      <c r="D7" s="127">
        <v>0.86</v>
      </c>
      <c r="E7" s="127"/>
      <c r="F7" s="18"/>
      <c r="G7" s="125" t="s">
        <v>269</v>
      </c>
      <c r="H7" s="125"/>
      <c r="I7" s="125"/>
      <c r="J7" s="125"/>
      <c r="K7" s="25"/>
      <c r="L7" s="25"/>
    </row>
    <row r="8" spans="2:30" x14ac:dyDescent="0.25"/>
    <row r="9" spans="2:30" ht="15.75" thickBot="1" x14ac:dyDescent="0.3">
      <c r="B9" s="17"/>
      <c r="C9" s="6"/>
      <c r="E9" s="123" t="s">
        <v>82</v>
      </c>
      <c r="F9" s="123"/>
      <c r="G9" s="17"/>
      <c r="H9" s="17"/>
      <c r="J9" s="123" t="str">
        <f>Dimmensioneringstrøm &amp; " A"</f>
        <v>100 A</v>
      </c>
      <c r="K9" s="123"/>
    </row>
    <row r="10" spans="2:30" ht="15.75" thickBot="1" x14ac:dyDescent="0.3">
      <c r="B10" s="121" t="s">
        <v>111</v>
      </c>
      <c r="C10" s="121" t="str">
        <f>"="</f>
        <v>=</v>
      </c>
      <c r="D10" s="20"/>
      <c r="E10" s="123" t="s">
        <v>81</v>
      </c>
      <c r="F10" s="123"/>
      <c r="G10" s="21"/>
      <c r="H10" s="121" t="str">
        <f>"="</f>
        <v>=</v>
      </c>
      <c r="I10" s="20"/>
      <c r="J10" s="123">
        <f>Parallelekabler</f>
        <v>1</v>
      </c>
      <c r="K10" s="123"/>
      <c r="L10" s="20"/>
      <c r="M10" s="121" t="str">
        <f>"="</f>
        <v>=</v>
      </c>
      <c r="N10" s="126" t="s">
        <v>277</v>
      </c>
      <c r="O10" s="18"/>
    </row>
    <row r="11" spans="2:30" x14ac:dyDescent="0.25">
      <c r="B11" s="121"/>
      <c r="C11" s="121"/>
      <c r="D11" s="2" t="s">
        <v>86</v>
      </c>
      <c r="E11" s="17" t="s">
        <v>87</v>
      </c>
      <c r="F11" s="17" t="s">
        <v>88</v>
      </c>
      <c r="G11" s="17" t="s">
        <v>80</v>
      </c>
      <c r="H11" s="121"/>
      <c r="I11" s="6" t="str">
        <f>Kj &amp; " ·"</f>
        <v>1 ·</v>
      </c>
      <c r="J11" s="6" t="str">
        <f>Kt &amp; " ·"</f>
        <v>1 ·</v>
      </c>
      <c r="K11" s="6" t="str">
        <f>Ks &amp; " ·"</f>
        <v>0,6 ·</v>
      </c>
      <c r="L11" s="6">
        <f>Kn</f>
        <v>0.86</v>
      </c>
      <c r="M11" s="121"/>
      <c r="N11" s="126"/>
      <c r="O11" s="18"/>
    </row>
    <row r="12" spans="2:30" x14ac:dyDescent="0.25">
      <c r="B12" s="25"/>
      <c r="C12" s="25"/>
      <c r="D12" s="24"/>
      <c r="E12" s="17"/>
      <c r="F12" s="17"/>
      <c r="G12" s="17"/>
      <c r="H12" s="25"/>
      <c r="I12" s="25"/>
      <c r="J12" s="25"/>
      <c r="K12" s="25"/>
      <c r="L12" s="25"/>
      <c r="M12" s="25"/>
      <c r="N12" s="23"/>
      <c r="O12" s="18"/>
      <c r="AD12" s="22"/>
    </row>
    <row r="13" spans="2:30" x14ac:dyDescent="0.25"/>
    <row r="14" spans="2:30" x14ac:dyDescent="0.25">
      <c r="B14" s="120" t="s">
        <v>79</v>
      </c>
      <c r="C14" s="120"/>
      <c r="D14" s="120"/>
      <c r="E14" s="120"/>
      <c r="F14" s="120"/>
      <c r="G14" s="120"/>
      <c r="H14" s="120"/>
      <c r="I14" s="39"/>
      <c r="L14" s="18"/>
      <c r="M14" s="120" t="s">
        <v>270</v>
      </c>
      <c r="N14" s="120"/>
    </row>
    <row r="15" spans="2:30" x14ac:dyDescent="0.25">
      <c r="B15" s="125" t="s">
        <v>124</v>
      </c>
      <c r="C15" s="125"/>
      <c r="D15" s="125"/>
      <c r="E15" s="125"/>
      <c r="F15" s="125"/>
      <c r="G15" s="125"/>
      <c r="H15" s="125"/>
      <c r="I15" s="125"/>
      <c r="L15" s="18"/>
      <c r="M15" s="120" t="s">
        <v>278</v>
      </c>
      <c r="N15" s="120"/>
      <c r="AD15" s="26"/>
    </row>
    <row r="16" spans="2:30" x14ac:dyDescent="0.25">
      <c r="B16" s="120" t="s">
        <v>83</v>
      </c>
      <c r="C16" s="120"/>
      <c r="D16" s="120"/>
      <c r="E16" s="120"/>
      <c r="F16" s="120"/>
      <c r="G16" s="120"/>
      <c r="H16" s="120"/>
      <c r="I16" s="39"/>
      <c r="K16" s="18"/>
      <c r="L16" s="18"/>
      <c r="M16" s="120" t="s">
        <v>275</v>
      </c>
      <c r="N16" s="120"/>
      <c r="O16" s="120"/>
      <c r="P16" s="120"/>
      <c r="Q16" s="120"/>
    </row>
    <row r="17" spans="2:31" x14ac:dyDescent="0.25">
      <c r="C17" s="6"/>
    </row>
    <row r="18" spans="2:31" x14ac:dyDescent="0.25"/>
    <row r="19" spans="2:31" ht="15.75" thickBot="1" x14ac:dyDescent="0.3">
      <c r="B19" s="81" t="s">
        <v>78</v>
      </c>
      <c r="C19" s="33" t="str">
        <f>"="</f>
        <v>=</v>
      </c>
      <c r="D19" s="33"/>
      <c r="E19" s="82" t="s">
        <v>261</v>
      </c>
      <c r="F19" s="122" t="s">
        <v>279</v>
      </c>
      <c r="G19" s="122"/>
      <c r="H19" s="122"/>
      <c r="I19" s="117"/>
      <c r="J19" s="117"/>
      <c r="K19" s="117"/>
      <c r="L19" s="118" t="s">
        <v>276</v>
      </c>
      <c r="M19" s="118"/>
    </row>
    <row r="20" spans="2:31" s="89" customFormat="1" ht="15.75" thickTop="1" x14ac:dyDescent="0.25">
      <c r="B20" s="90"/>
      <c r="C20" s="91"/>
      <c r="D20" s="91"/>
      <c r="E20" s="92"/>
      <c r="F20" s="92"/>
      <c r="G20" s="92"/>
      <c r="H20" s="92"/>
      <c r="I20" s="93"/>
      <c r="J20" s="93"/>
      <c r="K20" s="93"/>
      <c r="L20" s="90"/>
      <c r="M20" s="90"/>
      <c r="AD20" s="94"/>
    </row>
    <row r="21" spans="2:31" ht="15.75" hidden="1" thickBot="1" x14ac:dyDescent="0.3">
      <c r="B21" s="86" t="s">
        <v>264</v>
      </c>
      <c r="C21" s="87" t="str">
        <f>"="</f>
        <v>=</v>
      </c>
      <c r="D21" s="88"/>
      <c r="E21" s="88"/>
      <c r="F21" s="114" t="s">
        <v>280</v>
      </c>
      <c r="G21" s="114"/>
      <c r="H21" s="114"/>
      <c r="I21" s="114"/>
      <c r="J21" s="114"/>
      <c r="K21" s="114"/>
      <c r="L21" s="88"/>
      <c r="M21" s="88"/>
    </row>
    <row r="22" spans="2:31" hidden="1" x14ac:dyDescent="0.25">
      <c r="B22" s="83"/>
      <c r="C22" s="84"/>
      <c r="D22" s="85"/>
      <c r="E22" s="85"/>
      <c r="F22" s="85"/>
      <c r="G22" s="83"/>
      <c r="H22" s="83"/>
      <c r="I22" s="85"/>
      <c r="J22" s="85"/>
      <c r="K22" s="85"/>
      <c r="L22" s="85"/>
      <c r="M22" s="85"/>
    </row>
    <row r="23" spans="2:31" hidden="1" x14ac:dyDescent="0.25">
      <c r="B23" s="83"/>
      <c r="C23" s="84"/>
      <c r="D23" s="85"/>
      <c r="E23" s="85"/>
      <c r="F23" s="85"/>
      <c r="G23" s="83"/>
      <c r="H23" s="83"/>
      <c r="I23" s="85"/>
      <c r="J23" s="85"/>
      <c r="K23" s="85"/>
      <c r="L23" s="85"/>
      <c r="M23" s="85"/>
    </row>
    <row r="24" spans="2:31" hidden="1" x14ac:dyDescent="0.25">
      <c r="B24" s="83"/>
      <c r="C24" s="84"/>
      <c r="D24" s="85"/>
      <c r="E24" s="85"/>
      <c r="F24" s="85"/>
      <c r="G24" s="83"/>
      <c r="H24" s="83"/>
      <c r="I24" s="85"/>
      <c r="J24" s="85"/>
      <c r="K24" s="85"/>
      <c r="L24" s="85"/>
      <c r="M24" s="85"/>
    </row>
    <row r="25" spans="2:31" ht="15.75" hidden="1" x14ac:dyDescent="0.25">
      <c r="B25" s="83"/>
      <c r="C25" s="84"/>
      <c r="D25" s="85"/>
      <c r="E25" s="85"/>
      <c r="F25" s="85"/>
      <c r="G25" s="83"/>
      <c r="H25" s="83"/>
      <c r="I25" s="85"/>
      <c r="J25" s="85"/>
      <c r="K25" s="85"/>
      <c r="L25" s="85"/>
      <c r="M25" s="85"/>
      <c r="U25" s="115" t="s">
        <v>0</v>
      </c>
      <c r="V25" s="115"/>
      <c r="W25" s="115"/>
      <c r="X25" s="115"/>
      <c r="Y25" s="115"/>
      <c r="Z25" s="115"/>
      <c r="AA25" s="115"/>
      <c r="AB25" s="13"/>
      <c r="AC25" s="13"/>
      <c r="AD25" s="13"/>
      <c r="AE25" s="14" t="s">
        <v>8</v>
      </c>
    </row>
    <row r="26" spans="2:31" ht="15.75" hidden="1" x14ac:dyDescent="0.25">
      <c r="B26" s="83"/>
      <c r="C26" s="84"/>
      <c r="D26" s="85"/>
      <c r="E26" s="85"/>
      <c r="F26" s="85"/>
      <c r="G26" s="83"/>
      <c r="H26" s="83"/>
      <c r="I26" s="85"/>
      <c r="J26" s="85"/>
      <c r="K26" s="85"/>
      <c r="L26" s="85"/>
      <c r="M26" s="85"/>
      <c r="U26" s="15"/>
      <c r="V26" s="15"/>
      <c r="W26" s="15"/>
      <c r="X26" s="15"/>
      <c r="Y26" s="16"/>
      <c r="Z26" s="16"/>
      <c r="AA26" s="16"/>
      <c r="AB26" s="16"/>
      <c r="AC26" s="16"/>
      <c r="AD26" s="16"/>
      <c r="AE26" s="14"/>
    </row>
    <row r="27" spans="2:31" ht="15.75" hidden="1" x14ac:dyDescent="0.25">
      <c r="B27" s="83"/>
      <c r="C27" s="84"/>
      <c r="D27" s="85"/>
      <c r="E27" s="85"/>
      <c r="F27" s="85"/>
      <c r="G27" s="83"/>
      <c r="H27" s="83"/>
      <c r="I27" s="85"/>
      <c r="J27" s="85"/>
      <c r="K27" s="85"/>
      <c r="L27" s="85"/>
      <c r="M27" s="85"/>
      <c r="U27" s="119" t="s">
        <v>71</v>
      </c>
      <c r="V27" s="119"/>
      <c r="W27" s="119"/>
      <c r="X27" s="119"/>
      <c r="Y27" s="119"/>
      <c r="Z27" s="119"/>
      <c r="AA27" s="119"/>
      <c r="AB27" s="119"/>
      <c r="AC27" s="119"/>
      <c r="AD27" s="119"/>
      <c r="AE27" s="14" t="s">
        <v>15</v>
      </c>
    </row>
    <row r="28" spans="2:31" ht="15.75" hidden="1" x14ac:dyDescent="0.25">
      <c r="B28" s="83"/>
      <c r="C28" s="84"/>
      <c r="D28" s="85"/>
      <c r="E28" s="85"/>
      <c r="F28" s="85"/>
      <c r="G28" s="83"/>
      <c r="H28" s="83"/>
      <c r="I28" s="85"/>
      <c r="J28" s="85"/>
      <c r="K28" s="85"/>
      <c r="L28" s="85"/>
      <c r="M28" s="85"/>
      <c r="U28" s="15"/>
      <c r="V28" s="15"/>
      <c r="W28" s="15"/>
      <c r="X28" s="15"/>
      <c r="Y28" s="16"/>
      <c r="Z28" s="16"/>
      <c r="AA28" s="16"/>
      <c r="AB28" s="16"/>
      <c r="AC28" s="16"/>
      <c r="AD28" s="16"/>
      <c r="AE28" s="14"/>
    </row>
    <row r="29" spans="2:31" ht="15.75" hidden="1" x14ac:dyDescent="0.25">
      <c r="B29" s="83"/>
      <c r="C29" s="84"/>
      <c r="D29" s="85"/>
      <c r="E29" s="85"/>
      <c r="F29" s="85"/>
      <c r="G29" s="83"/>
      <c r="H29" s="83"/>
      <c r="I29" s="85"/>
      <c r="J29" s="85"/>
      <c r="K29" s="85"/>
      <c r="L29" s="85"/>
      <c r="M29" s="85"/>
      <c r="U29" s="115" t="s">
        <v>72</v>
      </c>
      <c r="V29" s="115"/>
      <c r="W29" s="115"/>
      <c r="X29" s="115"/>
      <c r="Y29" s="115"/>
      <c r="Z29" s="115"/>
      <c r="AA29" s="115"/>
      <c r="AB29" s="13"/>
      <c r="AC29" s="13"/>
      <c r="AD29" s="13"/>
      <c r="AE29" s="14" t="s">
        <v>16</v>
      </c>
    </row>
    <row r="30" spans="2:31" ht="15.75" hidden="1" x14ac:dyDescent="0.25">
      <c r="B30" s="83"/>
      <c r="C30" s="84"/>
      <c r="D30" s="85"/>
      <c r="E30" s="85"/>
      <c r="F30" s="85"/>
      <c r="G30" s="83"/>
      <c r="H30" s="83"/>
      <c r="I30" s="85"/>
      <c r="J30" s="85"/>
      <c r="K30" s="85"/>
      <c r="L30" s="85"/>
      <c r="M30" s="85"/>
      <c r="T30" s="1"/>
      <c r="U30" s="13"/>
      <c r="V30" s="13"/>
      <c r="W30" s="13"/>
      <c r="X30" s="13"/>
      <c r="Y30" s="13"/>
      <c r="Z30" s="13"/>
      <c r="AA30" s="13"/>
      <c r="AB30" s="13"/>
      <c r="AC30" s="13"/>
      <c r="AD30" s="13"/>
      <c r="AE30" s="14"/>
    </row>
    <row r="31" spans="2:31" ht="15.75" hidden="1" x14ac:dyDescent="0.25">
      <c r="B31" s="83"/>
      <c r="C31" s="84"/>
      <c r="D31" s="85"/>
      <c r="E31" s="85"/>
      <c r="F31" s="85"/>
      <c r="G31" s="83"/>
      <c r="H31" s="83"/>
      <c r="I31" s="85"/>
      <c r="J31" s="85"/>
      <c r="K31" s="85"/>
      <c r="L31" s="85"/>
      <c r="M31" s="85"/>
      <c r="U31" s="115" t="s">
        <v>73</v>
      </c>
      <c r="V31" s="115"/>
      <c r="W31" s="115"/>
      <c r="X31" s="115"/>
      <c r="Y31" s="115"/>
      <c r="Z31" s="115"/>
      <c r="AA31" s="115"/>
      <c r="AB31" s="13"/>
      <c r="AC31" s="13"/>
      <c r="AD31" s="13"/>
      <c r="AE31" s="14">
        <v>2.5</v>
      </c>
    </row>
    <row r="32" spans="2:31" ht="15.75" hidden="1" x14ac:dyDescent="0.25">
      <c r="B32" s="83"/>
      <c r="C32" s="84"/>
      <c r="D32" s="85"/>
      <c r="E32" s="85"/>
      <c r="F32" s="85"/>
      <c r="G32" s="83"/>
      <c r="H32" s="83"/>
      <c r="I32" s="85"/>
      <c r="J32" s="85"/>
      <c r="K32" s="85"/>
      <c r="L32" s="85"/>
      <c r="M32" s="85"/>
      <c r="U32" s="16"/>
      <c r="V32" s="16"/>
      <c r="W32" s="16"/>
      <c r="X32" s="16"/>
      <c r="Y32" s="16"/>
      <c r="Z32" s="16"/>
      <c r="AA32" s="16"/>
      <c r="AB32" s="16"/>
      <c r="AC32" s="16"/>
      <c r="AD32" s="16"/>
      <c r="AE32" s="14"/>
    </row>
    <row r="33" spans="2:31" ht="15.75" hidden="1" x14ac:dyDescent="0.25">
      <c r="B33" s="83"/>
      <c r="C33" s="84"/>
      <c r="D33" s="85"/>
      <c r="E33" s="85"/>
      <c r="F33" s="85"/>
      <c r="G33" s="83"/>
      <c r="H33" s="83"/>
      <c r="I33" s="85"/>
      <c r="J33" s="85"/>
      <c r="K33" s="85"/>
      <c r="L33" s="85"/>
      <c r="M33" s="85"/>
      <c r="U33" s="115" t="s">
        <v>74</v>
      </c>
      <c r="V33" s="115"/>
      <c r="W33" s="115"/>
      <c r="X33" s="115"/>
      <c r="Y33" s="115"/>
      <c r="Z33" s="115"/>
      <c r="AA33" s="115"/>
      <c r="AB33" s="13"/>
      <c r="AC33" s="13"/>
      <c r="AD33" s="13"/>
      <c r="AE33" s="14">
        <v>20</v>
      </c>
    </row>
    <row r="34" spans="2:31" ht="15.75" hidden="1" x14ac:dyDescent="0.25">
      <c r="B34" s="83"/>
      <c r="C34" s="84"/>
      <c r="D34" s="85"/>
      <c r="E34" s="85"/>
      <c r="F34" s="85"/>
      <c r="G34" s="83"/>
      <c r="H34" s="83"/>
      <c r="I34" s="85"/>
      <c r="J34" s="85"/>
      <c r="K34" s="85"/>
      <c r="L34" s="85"/>
      <c r="M34" s="85"/>
      <c r="U34" s="16"/>
      <c r="V34" s="16"/>
      <c r="W34" s="16"/>
      <c r="X34" s="16"/>
      <c r="Y34" s="16"/>
      <c r="Z34" s="16"/>
      <c r="AA34" s="16"/>
      <c r="AB34" s="16"/>
      <c r="AC34" s="16"/>
      <c r="AD34" s="16"/>
      <c r="AE34" s="14"/>
    </row>
    <row r="35" spans="2:31" ht="15.75" hidden="1" x14ac:dyDescent="0.25">
      <c r="B35" s="83"/>
      <c r="C35" s="84"/>
      <c r="D35" s="85"/>
      <c r="E35" s="85"/>
      <c r="F35" s="85"/>
      <c r="G35" s="83"/>
      <c r="H35" s="83"/>
      <c r="I35" s="85"/>
      <c r="J35" s="85"/>
      <c r="K35" s="85"/>
      <c r="L35" s="85"/>
      <c r="M35" s="85"/>
      <c r="U35" s="115" t="s">
        <v>1</v>
      </c>
      <c r="V35" s="115"/>
      <c r="W35" s="115"/>
      <c r="X35" s="115"/>
      <c r="Y35" s="115"/>
      <c r="Z35" s="115"/>
      <c r="AA35" s="115"/>
      <c r="AB35" s="13"/>
      <c r="AC35" s="13"/>
      <c r="AD35" s="13"/>
      <c r="AE35" s="14">
        <v>4</v>
      </c>
    </row>
    <row r="36" spans="2:31" ht="15.75" hidden="1" x14ac:dyDescent="0.25">
      <c r="B36" s="83"/>
      <c r="C36" s="84"/>
      <c r="D36" s="85"/>
      <c r="E36" s="85"/>
      <c r="F36" s="85"/>
      <c r="G36" s="83"/>
      <c r="H36" s="83"/>
      <c r="I36" s="85"/>
      <c r="J36" s="85"/>
      <c r="K36" s="85"/>
      <c r="L36" s="85"/>
      <c r="M36" s="85"/>
      <c r="U36" s="13"/>
      <c r="V36" s="13"/>
      <c r="W36" s="13"/>
      <c r="X36" s="13"/>
      <c r="Y36" s="13"/>
      <c r="Z36" s="13"/>
      <c r="AA36" s="13"/>
      <c r="AB36" s="13"/>
      <c r="AC36" s="13"/>
      <c r="AD36" s="13"/>
      <c r="AE36" s="14"/>
    </row>
    <row r="37" spans="2:31" ht="15.75" hidden="1" x14ac:dyDescent="0.25">
      <c r="B37" s="83"/>
      <c r="C37" s="84"/>
      <c r="D37" s="85"/>
      <c r="E37" s="85"/>
      <c r="F37" s="85"/>
      <c r="G37" s="83"/>
      <c r="H37" s="83"/>
      <c r="I37" s="85"/>
      <c r="J37" s="85"/>
      <c r="K37" s="85"/>
      <c r="L37" s="85"/>
      <c r="M37" s="85"/>
      <c r="U37" s="115" t="s">
        <v>75</v>
      </c>
      <c r="V37" s="115"/>
      <c r="W37" s="115"/>
      <c r="X37" s="115"/>
      <c r="Y37" s="115"/>
      <c r="Z37" s="115"/>
      <c r="AA37" s="115"/>
      <c r="AB37" s="13"/>
      <c r="AC37" s="13"/>
      <c r="AD37" s="13"/>
      <c r="AE37" s="1">
        <v>6</v>
      </c>
    </row>
    <row r="38" spans="2:31" ht="15.75" hidden="1" x14ac:dyDescent="0.25">
      <c r="B38" s="83"/>
      <c r="C38" s="84"/>
      <c r="D38" s="85"/>
      <c r="E38" s="85"/>
      <c r="F38" s="85"/>
      <c r="G38" s="83"/>
      <c r="H38" s="83"/>
      <c r="I38" s="85"/>
      <c r="J38" s="85"/>
      <c r="K38" s="85"/>
      <c r="L38" s="85"/>
      <c r="M38" s="85"/>
      <c r="U38" s="13"/>
      <c r="V38" s="13"/>
      <c r="W38" s="13"/>
      <c r="X38" s="13"/>
      <c r="Y38" s="13"/>
      <c r="Z38" s="13"/>
      <c r="AA38" s="13"/>
      <c r="AB38" s="13"/>
      <c r="AC38" s="13"/>
      <c r="AD38" s="13"/>
      <c r="AE38" s="1"/>
    </row>
    <row r="39" spans="2:31" ht="15.75" hidden="1" x14ac:dyDescent="0.25">
      <c r="B39" s="83"/>
      <c r="C39" s="84"/>
      <c r="D39" s="85"/>
      <c r="E39" s="85"/>
      <c r="F39" s="85"/>
      <c r="G39" s="83"/>
      <c r="H39" s="83"/>
      <c r="I39" s="85"/>
      <c r="J39" s="85"/>
      <c r="K39" s="85"/>
      <c r="L39" s="85"/>
      <c r="M39" s="85"/>
      <c r="U39" s="116" t="s">
        <v>121</v>
      </c>
      <c r="V39" s="116"/>
      <c r="W39" s="116"/>
      <c r="X39" s="116"/>
      <c r="Y39" s="116"/>
      <c r="AE39" s="38" t="s">
        <v>108</v>
      </c>
    </row>
    <row r="40" spans="2:31" hidden="1" x14ac:dyDescent="0.25">
      <c r="B40" s="83"/>
      <c r="C40" s="84"/>
      <c r="D40" s="85"/>
      <c r="E40" s="85"/>
      <c r="F40" s="85"/>
      <c r="G40" s="83"/>
      <c r="H40" s="83"/>
      <c r="I40" s="85"/>
      <c r="J40" s="85"/>
      <c r="K40" s="85"/>
      <c r="L40" s="85"/>
      <c r="M40" s="85"/>
    </row>
    <row r="41" spans="2:31" ht="15.75" hidden="1" x14ac:dyDescent="0.25">
      <c r="B41" s="83"/>
      <c r="C41" s="84"/>
      <c r="D41" s="85"/>
      <c r="E41" s="85"/>
      <c r="F41" s="85"/>
      <c r="G41" s="83"/>
      <c r="H41" s="83"/>
      <c r="I41" s="85"/>
      <c r="J41" s="85"/>
      <c r="K41" s="85"/>
      <c r="L41" s="85"/>
      <c r="M41" s="85"/>
      <c r="U41" s="115" t="s">
        <v>76</v>
      </c>
      <c r="V41" s="115"/>
      <c r="W41" s="115"/>
      <c r="X41" s="115"/>
      <c r="Y41" s="115"/>
      <c r="Z41" s="115"/>
      <c r="AA41" s="115"/>
      <c r="AB41" s="13"/>
      <c r="AC41" s="13"/>
      <c r="AD41" s="13"/>
      <c r="AE41" s="14">
        <v>100</v>
      </c>
    </row>
    <row r="42" spans="2:31" ht="15.75" hidden="1" x14ac:dyDescent="0.25">
      <c r="B42" s="83"/>
      <c r="C42" s="84"/>
      <c r="D42" s="85"/>
      <c r="E42" s="85"/>
      <c r="F42" s="85"/>
      <c r="G42" s="83"/>
      <c r="H42" s="83"/>
      <c r="I42" s="85"/>
      <c r="J42" s="85"/>
      <c r="K42" s="85"/>
      <c r="L42" s="85"/>
      <c r="M42" s="85"/>
      <c r="U42" s="16"/>
      <c r="V42" s="16"/>
      <c r="W42" s="16"/>
      <c r="X42" s="16"/>
      <c r="Y42" s="16"/>
      <c r="Z42" s="16"/>
      <c r="AA42" s="16"/>
      <c r="AB42" s="16"/>
      <c r="AC42" s="16"/>
      <c r="AD42" s="16"/>
      <c r="AE42" s="14"/>
    </row>
    <row r="43" spans="2:31" ht="15.75" hidden="1" x14ac:dyDescent="0.25">
      <c r="B43" s="83"/>
      <c r="C43" s="84"/>
      <c r="D43" s="85"/>
      <c r="E43" s="85"/>
      <c r="F43" s="85"/>
      <c r="G43" s="83"/>
      <c r="H43" s="83"/>
      <c r="I43" s="85"/>
      <c r="J43" s="85"/>
      <c r="K43" s="85"/>
      <c r="L43" s="85"/>
      <c r="M43" s="85"/>
      <c r="U43" s="37" t="s">
        <v>69</v>
      </c>
      <c r="V43" s="37"/>
      <c r="W43" s="37"/>
      <c r="X43" s="37"/>
      <c r="Y43" s="37"/>
      <c r="Z43" s="37"/>
      <c r="AA43" s="37"/>
      <c r="AB43" s="37"/>
      <c r="AC43" s="37"/>
      <c r="AD43" s="37"/>
      <c r="AE43" s="14">
        <v>1</v>
      </c>
    </row>
    <row r="44" spans="2:31" hidden="1" x14ac:dyDescent="0.25">
      <c r="B44" s="83"/>
      <c r="C44" s="84"/>
      <c r="D44" s="85"/>
      <c r="E44" s="85"/>
      <c r="F44" s="85"/>
      <c r="G44" s="83"/>
      <c r="H44" s="83"/>
      <c r="I44" s="85"/>
      <c r="J44" s="85"/>
      <c r="K44" s="85"/>
      <c r="L44" s="85"/>
      <c r="M44" s="85"/>
      <c r="AD44"/>
      <c r="AE44" s="1"/>
    </row>
    <row r="45" spans="2:31" hidden="1" x14ac:dyDescent="0.25">
      <c r="B45" s="83"/>
      <c r="C45" s="84"/>
      <c r="D45" s="85"/>
      <c r="E45" s="85"/>
      <c r="F45" s="85"/>
      <c r="G45" s="83"/>
      <c r="H45" s="83"/>
      <c r="I45" s="85"/>
      <c r="J45" s="85"/>
      <c r="K45" s="85"/>
      <c r="L45" s="85"/>
      <c r="M45" s="85"/>
      <c r="AD45"/>
      <c r="AE45" s="1"/>
    </row>
    <row r="46" spans="2:31" hidden="1" x14ac:dyDescent="0.25">
      <c r="B46" s="83"/>
      <c r="C46" s="84"/>
      <c r="D46" s="85"/>
      <c r="E46" s="85"/>
      <c r="F46" s="85"/>
      <c r="G46" s="83"/>
      <c r="H46" s="83"/>
      <c r="I46" s="85"/>
      <c r="J46" s="85"/>
      <c r="K46" s="85"/>
      <c r="L46" s="85"/>
      <c r="M46" s="85"/>
      <c r="U46" s="2"/>
      <c r="AD46"/>
      <c r="AE46" s="1"/>
    </row>
    <row r="47" spans="2:31" hidden="1" x14ac:dyDescent="0.25">
      <c r="B47" s="83"/>
      <c r="C47" s="84"/>
      <c r="D47" s="85"/>
      <c r="E47" s="85"/>
      <c r="F47" s="85"/>
      <c r="G47" s="83"/>
      <c r="H47" s="83"/>
      <c r="I47" s="85"/>
      <c r="J47" s="85"/>
      <c r="K47" s="85"/>
      <c r="L47" s="85"/>
      <c r="M47" s="85"/>
      <c r="U47" s="2"/>
      <c r="AD47"/>
      <c r="AE47" s="1"/>
    </row>
    <row r="48" spans="2:31" hidden="1" x14ac:dyDescent="0.25">
      <c r="B48" s="83"/>
      <c r="C48" s="84"/>
      <c r="D48" s="85"/>
      <c r="E48" s="85"/>
      <c r="F48" s="85"/>
      <c r="G48" s="83"/>
      <c r="H48" s="83"/>
      <c r="I48" s="85"/>
      <c r="J48" s="85"/>
      <c r="K48" s="85"/>
      <c r="L48" s="85"/>
      <c r="M48" s="85"/>
      <c r="U48" s="2"/>
      <c r="X48" s="1"/>
      <c r="AD48"/>
      <c r="AE48" s="1"/>
    </row>
    <row r="49" spans="2:31" hidden="1" x14ac:dyDescent="0.25">
      <c r="B49" s="83"/>
      <c r="C49" s="84"/>
      <c r="D49" s="85"/>
      <c r="E49" s="85"/>
      <c r="F49" s="85"/>
      <c r="G49" s="83"/>
      <c r="H49" s="83"/>
      <c r="I49" s="85"/>
      <c r="J49" s="85"/>
      <c r="K49" s="85"/>
      <c r="L49" s="85"/>
      <c r="M49" s="85"/>
      <c r="U49" s="2"/>
      <c r="W49" s="2"/>
      <c r="X49" s="1"/>
      <c r="AD49"/>
      <c r="AE49" s="1"/>
    </row>
    <row r="50" spans="2:31" hidden="1" x14ac:dyDescent="0.25">
      <c r="B50" s="83"/>
      <c r="C50" s="84"/>
      <c r="D50" s="85"/>
      <c r="E50" s="85"/>
      <c r="F50" s="85"/>
      <c r="G50" s="83"/>
      <c r="H50" s="83"/>
      <c r="I50" s="85"/>
      <c r="J50" s="85"/>
      <c r="K50" s="85"/>
      <c r="L50" s="85"/>
      <c r="M50" s="85"/>
      <c r="U50" s="2"/>
      <c r="AD50"/>
      <c r="AE50" s="1"/>
    </row>
    <row r="51" spans="2:31" hidden="1" x14ac:dyDescent="0.25">
      <c r="B51" s="83"/>
      <c r="C51" s="84"/>
      <c r="D51" s="85"/>
      <c r="E51" s="85"/>
      <c r="F51" s="85"/>
      <c r="G51" s="83"/>
      <c r="H51" s="83"/>
      <c r="I51" s="85"/>
      <c r="J51" s="85"/>
      <c r="K51" s="85"/>
      <c r="L51" s="85"/>
      <c r="M51" s="85"/>
    </row>
    <row r="52" spans="2:31" hidden="1" x14ac:dyDescent="0.25">
      <c r="B52" s="83"/>
      <c r="C52" s="84"/>
      <c r="D52" s="85"/>
      <c r="E52" s="85"/>
      <c r="F52" s="85"/>
      <c r="G52" s="83"/>
      <c r="H52" s="83"/>
      <c r="I52" s="85"/>
      <c r="J52" s="85"/>
      <c r="K52" s="85"/>
      <c r="L52" s="85"/>
      <c r="M52" s="85"/>
    </row>
    <row r="53" spans="2:31" hidden="1" x14ac:dyDescent="0.25">
      <c r="B53" s="83"/>
      <c r="C53" s="84"/>
      <c r="D53" s="85"/>
      <c r="E53" s="85"/>
      <c r="F53" s="85"/>
      <c r="G53" s="83"/>
      <c r="H53" s="83"/>
      <c r="I53" s="85"/>
      <c r="J53" s="85"/>
      <c r="K53" s="85"/>
      <c r="L53" s="85"/>
      <c r="M53" s="85"/>
    </row>
    <row r="54" spans="2:31" hidden="1" x14ac:dyDescent="0.25">
      <c r="B54" s="83"/>
      <c r="C54" s="84"/>
      <c r="D54" s="85"/>
      <c r="E54" s="85"/>
      <c r="F54" s="85"/>
      <c r="G54" s="83"/>
      <c r="H54" s="83"/>
      <c r="I54" s="85"/>
      <c r="J54" s="85"/>
      <c r="K54" s="85"/>
      <c r="L54" s="85"/>
      <c r="M54" s="85"/>
    </row>
    <row r="55" spans="2:31" hidden="1" x14ac:dyDescent="0.25">
      <c r="B55" s="83"/>
      <c r="C55" s="84"/>
      <c r="D55" s="85"/>
      <c r="E55" s="85"/>
      <c r="F55" s="85"/>
      <c r="G55" s="83"/>
      <c r="H55" s="83"/>
      <c r="I55" s="85"/>
      <c r="J55" s="85"/>
      <c r="K55" s="85"/>
      <c r="L55" s="85"/>
      <c r="M55" s="85"/>
    </row>
    <row r="56" spans="2:31" hidden="1" x14ac:dyDescent="0.25">
      <c r="B56" s="83"/>
      <c r="C56" s="84"/>
      <c r="D56" s="85"/>
      <c r="E56" s="85"/>
      <c r="F56" s="85"/>
      <c r="G56" s="83"/>
      <c r="H56" s="83"/>
      <c r="I56" s="85"/>
      <c r="J56" s="85"/>
      <c r="K56" s="85"/>
      <c r="L56" s="85"/>
      <c r="M56" s="85"/>
    </row>
    <row r="57" spans="2:31" hidden="1" x14ac:dyDescent="0.25">
      <c r="B57" s="83"/>
      <c r="C57" s="84"/>
      <c r="D57" s="85"/>
      <c r="E57" s="85"/>
      <c r="F57" s="85"/>
      <c r="G57" s="83"/>
      <c r="H57" s="83"/>
      <c r="I57" s="85"/>
      <c r="J57" s="85"/>
      <c r="K57" s="85"/>
      <c r="L57" s="85"/>
      <c r="M57" s="85"/>
    </row>
    <row r="58" spans="2:31" hidden="1" x14ac:dyDescent="0.25">
      <c r="B58" s="83"/>
      <c r="C58" s="84"/>
      <c r="D58" s="85"/>
      <c r="E58" s="85"/>
      <c r="F58" s="85"/>
      <c r="G58" s="83"/>
      <c r="H58" s="83"/>
      <c r="I58" s="85"/>
      <c r="J58" s="85"/>
      <c r="K58" s="85"/>
      <c r="L58" s="85"/>
      <c r="M58" s="85"/>
    </row>
    <row r="59" spans="2:31" hidden="1" x14ac:dyDescent="0.25">
      <c r="B59" s="83"/>
      <c r="C59" s="84"/>
      <c r="D59" s="85"/>
      <c r="E59" s="85"/>
      <c r="F59" s="85"/>
      <c r="G59" s="83"/>
      <c r="H59" s="83"/>
      <c r="I59" s="85"/>
      <c r="J59" s="85"/>
      <c r="K59" s="85"/>
      <c r="L59" s="85"/>
      <c r="M59" s="85"/>
    </row>
    <row r="60" spans="2:31" hidden="1" x14ac:dyDescent="0.25">
      <c r="B60" s="83"/>
      <c r="C60" s="84"/>
      <c r="D60" s="85"/>
      <c r="E60" s="85"/>
      <c r="F60" s="85"/>
      <c r="G60" s="83"/>
      <c r="H60" s="83"/>
      <c r="I60" s="85"/>
      <c r="J60" s="85"/>
      <c r="K60" s="85"/>
      <c r="L60" s="85"/>
      <c r="M60" s="85"/>
    </row>
    <row r="61" spans="2:31" hidden="1" x14ac:dyDescent="0.25">
      <c r="B61" s="83"/>
      <c r="C61" s="84"/>
      <c r="D61" s="85"/>
      <c r="E61" s="85"/>
      <c r="F61" s="85"/>
      <c r="G61" s="83"/>
      <c r="H61" s="83"/>
      <c r="I61" s="85"/>
      <c r="J61" s="85"/>
      <c r="K61" s="85"/>
      <c r="L61" s="85"/>
      <c r="M61" s="85"/>
    </row>
    <row r="62" spans="2:31" hidden="1" x14ac:dyDescent="0.25">
      <c r="B62" s="83"/>
      <c r="C62" s="84"/>
      <c r="D62" s="85"/>
      <c r="E62" s="85"/>
      <c r="F62" s="85"/>
      <c r="G62" s="83"/>
      <c r="H62" s="83"/>
      <c r="I62" s="85"/>
      <c r="J62" s="85"/>
      <c r="K62" s="85"/>
      <c r="L62" s="85"/>
      <c r="M62" s="85"/>
    </row>
    <row r="63" spans="2:31" hidden="1" x14ac:dyDescent="0.25">
      <c r="B63" s="83"/>
      <c r="C63" s="84"/>
      <c r="D63" s="85"/>
      <c r="E63" s="85"/>
      <c r="F63" s="85"/>
      <c r="G63" s="83"/>
      <c r="H63" s="83"/>
      <c r="I63" s="85"/>
      <c r="J63" s="85"/>
      <c r="K63" s="85"/>
      <c r="L63" s="85"/>
      <c r="M63" s="85"/>
    </row>
    <row r="64" spans="2:31" x14ac:dyDescent="0.25"/>
    <row r="65" x14ac:dyDescent="0.25"/>
    <row r="1048561" x14ac:dyDescent="0.25"/>
  </sheetData>
  <sheetProtection selectLockedCells="1" selectUnlockedCells="1"/>
  <mergeCells count="40">
    <mergeCell ref="B2:Q2"/>
    <mergeCell ref="M14:N14"/>
    <mergeCell ref="M16:Q16"/>
    <mergeCell ref="B15:I15"/>
    <mergeCell ref="N10:N11"/>
    <mergeCell ref="D4:E4"/>
    <mergeCell ref="D5:E5"/>
    <mergeCell ref="D6:E6"/>
    <mergeCell ref="D7:E7"/>
    <mergeCell ref="J9:K9"/>
    <mergeCell ref="G6:M6"/>
    <mergeCell ref="K5:L5"/>
    <mergeCell ref="G4:J4"/>
    <mergeCell ref="G5:J5"/>
    <mergeCell ref="E9:F9"/>
    <mergeCell ref="G7:J7"/>
    <mergeCell ref="K4:M4"/>
    <mergeCell ref="J10:K10"/>
    <mergeCell ref="M10:M11"/>
    <mergeCell ref="E10:F10"/>
    <mergeCell ref="M15:N15"/>
    <mergeCell ref="B14:H14"/>
    <mergeCell ref="B16:H16"/>
    <mergeCell ref="B10:B11"/>
    <mergeCell ref="C10:C11"/>
    <mergeCell ref="F19:H19"/>
    <mergeCell ref="H10:H11"/>
    <mergeCell ref="I19:K19"/>
    <mergeCell ref="L19:M19"/>
    <mergeCell ref="U25:AA25"/>
    <mergeCell ref="U27:AD27"/>
    <mergeCell ref="U29:AA29"/>
    <mergeCell ref="I21:K21"/>
    <mergeCell ref="F21:H21"/>
    <mergeCell ref="U35:AA35"/>
    <mergeCell ref="U37:AA37"/>
    <mergeCell ref="U41:AA41"/>
    <mergeCell ref="U39:Y39"/>
    <mergeCell ref="U31:AA31"/>
    <mergeCell ref="U33:AA3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6"/>
  <dimension ref="A1:G29"/>
  <sheetViews>
    <sheetView showGridLines="0" showRowColHeaders="0" zoomScale="97" workbookViewId="0">
      <selection activeCell="G29" sqref="G29"/>
    </sheetView>
  </sheetViews>
  <sheetFormatPr defaultColWidth="0" defaultRowHeight="15" zeroHeight="1" x14ac:dyDescent="0.25"/>
  <cols>
    <col min="1" max="4" width="8.85546875" style="4" customWidth="1"/>
    <col min="5" max="5" width="17.42578125" style="4" customWidth="1"/>
    <col min="6" max="6" width="17.7109375" style="4" customWidth="1"/>
    <col min="7" max="7" width="8.85546875" style="4" customWidth="1"/>
    <col min="8" max="16384" width="8.85546875" style="4" hidden="1"/>
  </cols>
  <sheetData>
    <row r="1" spans="1:7" x14ac:dyDescent="0.25">
      <c r="A1" s="40"/>
      <c r="B1" s="40"/>
      <c r="C1" s="40"/>
      <c r="D1" s="40"/>
      <c r="E1" s="40"/>
      <c r="F1" s="40"/>
      <c r="G1" s="40"/>
    </row>
    <row r="2" spans="1:7" ht="17.45" customHeight="1" x14ac:dyDescent="0.25">
      <c r="A2" s="40"/>
      <c r="B2" s="128" t="s">
        <v>19</v>
      </c>
      <c r="C2" s="128"/>
      <c r="D2" s="128"/>
      <c r="E2" s="128"/>
      <c r="F2" s="128"/>
      <c r="G2" s="40"/>
    </row>
    <row r="3" spans="1:7" ht="17.45" customHeight="1" x14ac:dyDescent="0.25">
      <c r="A3" s="40"/>
      <c r="B3" s="128"/>
      <c r="C3" s="128"/>
      <c r="D3" s="128"/>
      <c r="E3" s="128"/>
      <c r="F3" s="128"/>
      <c r="G3" s="40"/>
    </row>
    <row r="4" spans="1:7" ht="15" customHeight="1" thickBot="1" x14ac:dyDescent="0.3">
      <c r="A4" s="40"/>
      <c r="B4" s="129"/>
      <c r="C4" s="129"/>
      <c r="D4" s="129"/>
      <c r="E4" s="129"/>
      <c r="F4" s="129"/>
      <c r="G4" s="40"/>
    </row>
    <row r="5" spans="1:7" ht="15.75" thickBot="1" x14ac:dyDescent="0.3">
      <c r="A5" s="40"/>
      <c r="B5" s="133" t="s">
        <v>20</v>
      </c>
      <c r="C5" s="136" t="s">
        <v>21</v>
      </c>
      <c r="D5" s="137"/>
      <c r="E5" s="137"/>
      <c r="F5" s="138"/>
      <c r="G5" s="40"/>
    </row>
    <row r="6" spans="1:7" ht="15.75" thickBot="1" x14ac:dyDescent="0.3">
      <c r="A6" s="40"/>
      <c r="B6" s="134"/>
      <c r="C6" s="133" t="s">
        <v>22</v>
      </c>
      <c r="D6" s="133" t="s">
        <v>23</v>
      </c>
      <c r="E6" s="136" t="s">
        <v>24</v>
      </c>
      <c r="F6" s="138"/>
      <c r="G6" s="40"/>
    </row>
    <row r="7" spans="1:7" ht="48" customHeight="1" x14ac:dyDescent="0.25">
      <c r="A7" s="40"/>
      <c r="B7" s="134"/>
      <c r="C7" s="134"/>
      <c r="D7" s="134"/>
      <c r="E7" s="133" t="s">
        <v>25</v>
      </c>
      <c r="F7" s="133" t="s">
        <v>26</v>
      </c>
      <c r="G7" s="40"/>
    </row>
    <row r="8" spans="1:7" x14ac:dyDescent="0.25">
      <c r="A8" s="40"/>
      <c r="B8" s="134"/>
      <c r="C8" s="134"/>
      <c r="D8" s="134"/>
      <c r="E8" s="134"/>
      <c r="F8" s="134"/>
      <c r="G8" s="40"/>
    </row>
    <row r="9" spans="1:7" ht="15.75" thickBot="1" x14ac:dyDescent="0.3">
      <c r="A9" s="40"/>
      <c r="B9" s="135"/>
      <c r="C9" s="135"/>
      <c r="D9" s="135"/>
      <c r="E9" s="135"/>
      <c r="F9" s="135"/>
      <c r="G9" s="40"/>
    </row>
    <row r="10" spans="1:7" x14ac:dyDescent="0.25">
      <c r="A10" s="40"/>
      <c r="B10" s="106">
        <v>10</v>
      </c>
      <c r="C10" s="46">
        <v>1.22</v>
      </c>
      <c r="D10" s="46">
        <v>1.1499999999999999</v>
      </c>
      <c r="E10" s="46">
        <v>1.26</v>
      </c>
      <c r="F10" s="46">
        <v>1.1399999999999999</v>
      </c>
      <c r="G10" s="40"/>
    </row>
    <row r="11" spans="1:7" x14ac:dyDescent="0.25">
      <c r="A11" s="40"/>
      <c r="B11" s="106">
        <v>15</v>
      </c>
      <c r="C11" s="46">
        <v>1.17</v>
      </c>
      <c r="D11" s="46">
        <v>1.1200000000000001</v>
      </c>
      <c r="E11" s="46">
        <v>1.2</v>
      </c>
      <c r="F11" s="46">
        <v>1.1100000000000001</v>
      </c>
      <c r="G11" s="40"/>
    </row>
    <row r="12" spans="1:7" x14ac:dyDescent="0.25">
      <c r="A12" s="40"/>
      <c r="B12" s="106">
        <v>20</v>
      </c>
      <c r="C12" s="46">
        <v>1.1200000000000001</v>
      </c>
      <c r="D12" s="46">
        <v>1.08</v>
      </c>
      <c r="E12" s="46">
        <v>1.1399999999999999</v>
      </c>
      <c r="F12" s="46">
        <v>1.07</v>
      </c>
      <c r="G12" s="40"/>
    </row>
    <row r="13" spans="1:7" x14ac:dyDescent="0.25">
      <c r="A13" s="40"/>
      <c r="B13" s="106">
        <v>25</v>
      </c>
      <c r="C13" s="46">
        <v>1.06</v>
      </c>
      <c r="D13" s="46">
        <v>1.04</v>
      </c>
      <c r="E13" s="46">
        <v>1.07</v>
      </c>
      <c r="F13" s="46">
        <v>1.04</v>
      </c>
      <c r="G13" s="40"/>
    </row>
    <row r="14" spans="1:7" x14ac:dyDescent="0.25">
      <c r="A14" s="40"/>
      <c r="B14" s="106">
        <v>30</v>
      </c>
      <c r="C14" s="46">
        <v>1</v>
      </c>
      <c r="D14" s="46">
        <v>1</v>
      </c>
      <c r="E14" s="46">
        <v>1</v>
      </c>
      <c r="F14" s="46">
        <v>1</v>
      </c>
      <c r="G14" s="40"/>
    </row>
    <row r="15" spans="1:7" x14ac:dyDescent="0.25">
      <c r="A15" s="40"/>
      <c r="B15" s="106">
        <v>35</v>
      </c>
      <c r="C15" s="46">
        <v>0.94</v>
      </c>
      <c r="D15" s="46">
        <v>0.96</v>
      </c>
      <c r="E15" s="46">
        <v>0.93</v>
      </c>
      <c r="F15" s="46">
        <v>0.96</v>
      </c>
      <c r="G15" s="40"/>
    </row>
    <row r="16" spans="1:7" x14ac:dyDescent="0.25">
      <c r="A16" s="40"/>
      <c r="B16" s="106">
        <v>40</v>
      </c>
      <c r="C16" s="46">
        <v>0.87</v>
      </c>
      <c r="D16" s="46">
        <v>0.91</v>
      </c>
      <c r="E16" s="46">
        <v>0.85</v>
      </c>
      <c r="F16" s="46">
        <v>0.92</v>
      </c>
      <c r="G16" s="40"/>
    </row>
    <row r="17" spans="1:7" x14ac:dyDescent="0.25">
      <c r="A17" s="40"/>
      <c r="B17" s="106">
        <v>45</v>
      </c>
      <c r="C17" s="46">
        <v>0.79</v>
      </c>
      <c r="D17" s="46">
        <v>0.87</v>
      </c>
      <c r="E17" s="46">
        <v>0.78</v>
      </c>
      <c r="F17" s="46">
        <v>0.88</v>
      </c>
      <c r="G17" s="40"/>
    </row>
    <row r="18" spans="1:7" x14ac:dyDescent="0.25">
      <c r="A18" s="40"/>
      <c r="B18" s="106">
        <v>50</v>
      </c>
      <c r="C18" s="46">
        <v>0.71</v>
      </c>
      <c r="D18" s="46">
        <v>0.82</v>
      </c>
      <c r="E18" s="46">
        <v>0.67</v>
      </c>
      <c r="F18" s="46">
        <v>0.84</v>
      </c>
      <c r="G18" s="40"/>
    </row>
    <row r="19" spans="1:7" x14ac:dyDescent="0.25">
      <c r="A19" s="40"/>
      <c r="B19" s="106">
        <v>55</v>
      </c>
      <c r="C19" s="46">
        <v>0.61</v>
      </c>
      <c r="D19" s="46">
        <v>0.76</v>
      </c>
      <c r="E19" s="46">
        <v>0.56999999999999995</v>
      </c>
      <c r="F19" s="46">
        <v>0.8</v>
      </c>
      <c r="G19" s="40"/>
    </row>
    <row r="20" spans="1:7" x14ac:dyDescent="0.25">
      <c r="A20" s="40"/>
      <c r="B20" s="106">
        <v>60</v>
      </c>
      <c r="C20" s="46">
        <v>0.5</v>
      </c>
      <c r="D20" s="46">
        <v>0.71</v>
      </c>
      <c r="E20" s="46">
        <v>0.45</v>
      </c>
      <c r="F20" s="46">
        <v>0.75</v>
      </c>
      <c r="G20" s="40"/>
    </row>
    <row r="21" spans="1:7" x14ac:dyDescent="0.25">
      <c r="A21" s="40"/>
      <c r="B21" s="106">
        <v>65</v>
      </c>
      <c r="C21" s="46" t="s">
        <v>27</v>
      </c>
      <c r="D21" s="46">
        <v>0.65</v>
      </c>
      <c r="E21" s="46" t="s">
        <v>27</v>
      </c>
      <c r="F21" s="46">
        <v>0.7</v>
      </c>
      <c r="G21" s="40"/>
    </row>
    <row r="22" spans="1:7" x14ac:dyDescent="0.25">
      <c r="A22" s="40"/>
      <c r="B22" s="106">
        <v>70</v>
      </c>
      <c r="C22" s="46" t="s">
        <v>27</v>
      </c>
      <c r="D22" s="46">
        <v>0.57999999999999996</v>
      </c>
      <c r="E22" s="46" t="s">
        <v>27</v>
      </c>
      <c r="F22" s="46">
        <v>0.65</v>
      </c>
      <c r="G22" s="40"/>
    </row>
    <row r="23" spans="1:7" x14ac:dyDescent="0.25">
      <c r="A23" s="40"/>
      <c r="B23" s="106">
        <v>75</v>
      </c>
      <c r="C23" s="46" t="s">
        <v>27</v>
      </c>
      <c r="D23" s="46">
        <v>0.5</v>
      </c>
      <c r="E23" s="46" t="s">
        <v>27</v>
      </c>
      <c r="F23" s="46">
        <v>0.6</v>
      </c>
      <c r="G23" s="40"/>
    </row>
    <row r="24" spans="1:7" x14ac:dyDescent="0.25">
      <c r="A24" s="40"/>
      <c r="B24" s="106">
        <v>80</v>
      </c>
      <c r="C24" s="46" t="s">
        <v>27</v>
      </c>
      <c r="D24" s="46">
        <v>0.41</v>
      </c>
      <c r="E24" s="46" t="s">
        <v>27</v>
      </c>
      <c r="F24" s="46">
        <v>0.54</v>
      </c>
      <c r="G24" s="40"/>
    </row>
    <row r="25" spans="1:7" x14ac:dyDescent="0.25">
      <c r="A25" s="40"/>
      <c r="B25" s="106">
        <v>85</v>
      </c>
      <c r="C25" s="46" t="s">
        <v>27</v>
      </c>
      <c r="D25" s="46" t="s">
        <v>27</v>
      </c>
      <c r="E25" s="46" t="s">
        <v>27</v>
      </c>
      <c r="F25" s="46">
        <v>0.47</v>
      </c>
      <c r="G25" s="40"/>
    </row>
    <row r="26" spans="1:7" x14ac:dyDescent="0.25">
      <c r="A26" s="40"/>
      <c r="B26" s="106">
        <v>90</v>
      </c>
      <c r="C26" s="46" t="s">
        <v>27</v>
      </c>
      <c r="D26" s="46" t="s">
        <v>27</v>
      </c>
      <c r="E26" s="46" t="s">
        <v>27</v>
      </c>
      <c r="F26" s="46">
        <v>0.4</v>
      </c>
      <c r="G26" s="40"/>
    </row>
    <row r="27" spans="1:7" ht="15.75" thickBot="1" x14ac:dyDescent="0.3">
      <c r="A27" s="40"/>
      <c r="B27" s="107">
        <v>95</v>
      </c>
      <c r="C27" s="43" t="s">
        <v>27</v>
      </c>
      <c r="D27" s="43" t="s">
        <v>27</v>
      </c>
      <c r="E27" s="43" t="s">
        <v>27</v>
      </c>
      <c r="F27" s="43">
        <v>0.32</v>
      </c>
      <c r="G27" s="40"/>
    </row>
    <row r="28" spans="1:7" ht="15.75" thickBot="1" x14ac:dyDescent="0.3">
      <c r="A28" s="40"/>
      <c r="B28" s="130" t="s">
        <v>28</v>
      </c>
      <c r="C28" s="131"/>
      <c r="D28" s="131"/>
      <c r="E28" s="131"/>
      <c r="F28" s="132"/>
      <c r="G28" s="40"/>
    </row>
    <row r="29" spans="1:7" x14ac:dyDescent="0.25">
      <c r="A29" s="40"/>
      <c r="B29" s="40"/>
      <c r="C29" s="40"/>
      <c r="D29" s="40"/>
      <c r="E29" s="40"/>
      <c r="F29" s="40"/>
      <c r="G29" s="40"/>
    </row>
  </sheetData>
  <sheetProtection sheet="1" objects="1" scenarios="1" formatCells="0" formatColumns="0" formatRows="0" selectLockedCells="1" selectUnlockedCells="1"/>
  <mergeCells count="9">
    <mergeCell ref="B2:F4"/>
    <mergeCell ref="B28:F28"/>
    <mergeCell ref="B5:B9"/>
    <mergeCell ref="C5:F5"/>
    <mergeCell ref="C6:C9"/>
    <mergeCell ref="D6:D9"/>
    <mergeCell ref="E6:F6"/>
    <mergeCell ref="E7:E9"/>
    <mergeCell ref="F7:F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7"/>
  <dimension ref="A1:O46"/>
  <sheetViews>
    <sheetView showGridLines="0" showRowColHeaders="0" zoomScale="106" zoomScaleNormal="81" workbookViewId="0">
      <selection activeCell="G29" sqref="G29"/>
    </sheetView>
  </sheetViews>
  <sheetFormatPr defaultColWidth="0" defaultRowHeight="15" zeroHeight="1" x14ac:dyDescent="0.25"/>
  <cols>
    <col min="1" max="1" width="8.85546875" style="4" customWidth="1"/>
    <col min="2" max="2" width="17.7109375" style="4" customWidth="1"/>
    <col min="3" max="3" width="14.28515625" style="4" customWidth="1"/>
    <col min="4" max="4" width="17.7109375" style="4" customWidth="1"/>
    <col min="5" max="5" width="8.85546875" style="4" customWidth="1"/>
    <col min="6" max="16384" width="8.85546875" style="4" hidden="1"/>
  </cols>
  <sheetData>
    <row r="1" spans="1:15" x14ac:dyDescent="0.25">
      <c r="A1" s="40"/>
      <c r="B1" s="40"/>
      <c r="C1" s="40"/>
      <c r="D1" s="40"/>
      <c r="E1" s="40"/>
      <c r="F1" s="40"/>
      <c r="G1" s="40"/>
      <c r="H1" s="40"/>
      <c r="I1" s="40"/>
      <c r="J1" s="40"/>
      <c r="K1" s="40"/>
      <c r="L1" s="40"/>
      <c r="M1" s="40"/>
      <c r="N1" s="40"/>
      <c r="O1" s="40"/>
    </row>
    <row r="2" spans="1:15" ht="18" customHeight="1" x14ac:dyDescent="0.25">
      <c r="A2" s="40"/>
      <c r="B2" s="140" t="s">
        <v>31</v>
      </c>
      <c r="C2" s="140"/>
      <c r="D2" s="140"/>
      <c r="E2" s="40"/>
      <c r="F2" s="40"/>
      <c r="G2" s="40"/>
      <c r="H2" s="40"/>
      <c r="I2" s="40"/>
      <c r="J2" s="40"/>
      <c r="K2" s="40"/>
      <c r="L2" s="40"/>
      <c r="M2" s="40"/>
      <c r="N2" s="40"/>
      <c r="O2" s="40"/>
    </row>
    <row r="3" spans="1:15" s="5" customFormat="1" ht="18.75" x14ac:dyDescent="0.3">
      <c r="A3" s="51"/>
      <c r="B3" s="140"/>
      <c r="C3" s="140"/>
      <c r="D3" s="140"/>
      <c r="E3" s="51"/>
      <c r="F3" s="51"/>
      <c r="G3" s="51"/>
      <c r="H3" s="51"/>
      <c r="I3" s="51"/>
      <c r="J3" s="51"/>
      <c r="K3" s="51"/>
      <c r="L3" s="51"/>
      <c r="M3" s="51"/>
      <c r="N3" s="51"/>
      <c r="O3" s="51"/>
    </row>
    <row r="4" spans="1:15" ht="15.75" thickBot="1" x14ac:dyDescent="0.3">
      <c r="A4" s="40"/>
      <c r="B4" s="141"/>
      <c r="C4" s="141"/>
      <c r="D4" s="141"/>
      <c r="E4" s="40"/>
      <c r="F4" s="40"/>
      <c r="G4" s="40"/>
      <c r="H4" s="40"/>
      <c r="I4" s="40"/>
      <c r="J4" s="40"/>
      <c r="K4" s="40"/>
      <c r="L4" s="40"/>
      <c r="M4" s="40"/>
      <c r="N4" s="40"/>
      <c r="O4" s="40"/>
    </row>
    <row r="5" spans="1:15" ht="15.75" thickBot="1" x14ac:dyDescent="0.3">
      <c r="A5" s="40"/>
      <c r="B5" s="133" t="s">
        <v>29</v>
      </c>
      <c r="C5" s="52"/>
      <c r="D5" s="53"/>
      <c r="E5" s="40"/>
      <c r="F5" s="40"/>
      <c r="G5" s="40"/>
      <c r="H5" s="40"/>
      <c r="I5" s="40"/>
      <c r="J5" s="40"/>
      <c r="K5" s="40"/>
      <c r="L5" s="40"/>
      <c r="M5" s="40"/>
      <c r="N5" s="40"/>
      <c r="O5" s="40"/>
    </row>
    <row r="6" spans="1:15" ht="15.75" thickBot="1" x14ac:dyDescent="0.3">
      <c r="A6" s="40"/>
      <c r="B6" s="139"/>
      <c r="C6" s="54" t="s">
        <v>22</v>
      </c>
      <c r="D6" s="43" t="s">
        <v>23</v>
      </c>
      <c r="E6" s="40"/>
      <c r="F6" s="40"/>
      <c r="G6" s="40"/>
      <c r="H6" s="40"/>
      <c r="I6" s="40"/>
      <c r="J6" s="40"/>
      <c r="K6" s="40"/>
      <c r="L6" s="40"/>
      <c r="M6" s="40"/>
      <c r="N6" s="40"/>
      <c r="O6" s="40"/>
    </row>
    <row r="7" spans="1:15" x14ac:dyDescent="0.25">
      <c r="A7" s="40"/>
      <c r="B7" s="55">
        <v>10</v>
      </c>
      <c r="C7" s="56">
        <v>1.1000000000000001</v>
      </c>
      <c r="D7" s="46">
        <v>1.07</v>
      </c>
      <c r="E7" s="40"/>
      <c r="F7" s="40"/>
      <c r="G7" s="40"/>
      <c r="H7" s="40"/>
      <c r="I7" s="40"/>
      <c r="J7" s="40"/>
      <c r="K7" s="40"/>
      <c r="L7" s="40"/>
      <c r="M7" s="40"/>
      <c r="N7" s="40"/>
      <c r="O7" s="40"/>
    </row>
    <row r="8" spans="1:15" x14ac:dyDescent="0.25">
      <c r="A8" s="40"/>
      <c r="B8" s="55">
        <v>15</v>
      </c>
      <c r="C8" s="57">
        <v>1.05</v>
      </c>
      <c r="D8" s="46">
        <v>1.04</v>
      </c>
      <c r="E8" s="40"/>
      <c r="F8" s="40"/>
      <c r="G8" s="40"/>
      <c r="H8" s="40"/>
      <c r="I8" s="40"/>
      <c r="J8" s="40"/>
      <c r="K8" s="40"/>
      <c r="L8" s="40"/>
      <c r="M8" s="40"/>
      <c r="N8" s="40"/>
      <c r="O8" s="40"/>
    </row>
    <row r="9" spans="1:15" x14ac:dyDescent="0.25">
      <c r="A9" s="40"/>
      <c r="B9" s="55">
        <v>20</v>
      </c>
      <c r="C9" s="57">
        <v>1</v>
      </c>
      <c r="D9" s="105">
        <v>1</v>
      </c>
      <c r="E9" s="40"/>
      <c r="F9" s="40"/>
      <c r="G9" s="40"/>
      <c r="H9" s="40"/>
      <c r="I9" s="40"/>
      <c r="J9" s="40"/>
      <c r="K9" s="40"/>
      <c r="L9" s="40"/>
      <c r="M9" s="40"/>
      <c r="N9" s="40"/>
      <c r="O9" s="40"/>
    </row>
    <row r="10" spans="1:15" x14ac:dyDescent="0.25">
      <c r="A10" s="40"/>
      <c r="B10" s="55">
        <v>25</v>
      </c>
      <c r="C10" s="57">
        <v>0.95</v>
      </c>
      <c r="D10" s="46">
        <v>0.96</v>
      </c>
      <c r="E10" s="40"/>
      <c r="F10" s="40"/>
      <c r="G10" s="40"/>
      <c r="H10" s="40"/>
      <c r="I10" s="40"/>
      <c r="J10" s="40"/>
      <c r="K10" s="40"/>
      <c r="L10" s="40"/>
      <c r="M10" s="40"/>
      <c r="N10" s="40"/>
      <c r="O10" s="40"/>
    </row>
    <row r="11" spans="1:15" x14ac:dyDescent="0.25">
      <c r="A11" s="40"/>
      <c r="B11" s="55">
        <v>30</v>
      </c>
      <c r="C11" s="57">
        <v>0.89</v>
      </c>
      <c r="D11" s="46">
        <v>0.93</v>
      </c>
      <c r="E11" s="40"/>
      <c r="F11" s="40"/>
      <c r="G11" s="40"/>
      <c r="H11" s="40"/>
      <c r="I11" s="40"/>
      <c r="J11" s="40"/>
      <c r="K11" s="40"/>
      <c r="L11" s="40"/>
      <c r="M11" s="40"/>
      <c r="N11" s="40"/>
      <c r="O11" s="40"/>
    </row>
    <row r="12" spans="1:15" x14ac:dyDescent="0.25">
      <c r="A12" s="40"/>
      <c r="B12" s="55">
        <v>35</v>
      </c>
      <c r="C12" s="57">
        <v>0.84</v>
      </c>
      <c r="D12" s="46">
        <v>0.89</v>
      </c>
      <c r="E12" s="40"/>
      <c r="F12" s="40"/>
      <c r="G12" s="40"/>
      <c r="H12" s="40"/>
      <c r="I12" s="40"/>
      <c r="J12" s="40"/>
      <c r="K12" s="40"/>
      <c r="L12" s="40"/>
      <c r="M12" s="40"/>
      <c r="N12" s="40"/>
      <c r="O12" s="40"/>
    </row>
    <row r="13" spans="1:15" x14ac:dyDescent="0.25">
      <c r="A13" s="40"/>
      <c r="B13" s="55">
        <v>40</v>
      </c>
      <c r="C13" s="57">
        <v>0.77</v>
      </c>
      <c r="D13" s="46">
        <v>0.85</v>
      </c>
      <c r="E13" s="40"/>
      <c r="F13" s="40"/>
      <c r="G13" s="40"/>
      <c r="H13" s="40"/>
      <c r="I13" s="40"/>
      <c r="J13" s="40"/>
      <c r="K13" s="40"/>
      <c r="L13" s="40"/>
      <c r="M13" s="40"/>
      <c r="N13" s="40"/>
      <c r="O13" s="40"/>
    </row>
    <row r="14" spans="1:15" x14ac:dyDescent="0.25">
      <c r="A14" s="40"/>
      <c r="B14" s="55">
        <v>45</v>
      </c>
      <c r="C14" s="57">
        <v>0.71</v>
      </c>
      <c r="D14" s="46">
        <v>0.8</v>
      </c>
      <c r="E14" s="40"/>
      <c r="F14" s="40"/>
      <c r="G14" s="40"/>
      <c r="H14" s="40"/>
      <c r="I14" s="40"/>
      <c r="J14" s="40"/>
      <c r="K14" s="40"/>
      <c r="L14" s="40"/>
      <c r="M14" s="40"/>
      <c r="N14" s="40"/>
      <c r="O14" s="40"/>
    </row>
    <row r="15" spans="1:15" x14ac:dyDescent="0.25">
      <c r="A15" s="40"/>
      <c r="B15" s="55">
        <v>50</v>
      </c>
      <c r="C15" s="57">
        <v>0.63</v>
      </c>
      <c r="D15" s="46">
        <v>0.76</v>
      </c>
      <c r="E15" s="40"/>
      <c r="F15" s="40"/>
      <c r="G15" s="40"/>
      <c r="H15" s="40"/>
      <c r="I15" s="40"/>
      <c r="J15" s="40"/>
      <c r="K15" s="40"/>
      <c r="L15" s="40"/>
      <c r="M15" s="40"/>
      <c r="N15" s="40"/>
      <c r="O15" s="40"/>
    </row>
    <row r="16" spans="1:15" x14ac:dyDescent="0.25">
      <c r="A16" s="40"/>
      <c r="B16" s="55">
        <v>55</v>
      </c>
      <c r="C16" s="57">
        <v>0.55000000000000004</v>
      </c>
      <c r="D16" s="46">
        <v>0.71</v>
      </c>
      <c r="E16" s="40"/>
      <c r="F16" s="40"/>
      <c r="G16" s="40"/>
      <c r="H16" s="40"/>
      <c r="I16" s="40"/>
      <c r="J16" s="40"/>
      <c r="K16" s="40"/>
      <c r="L16" s="40"/>
      <c r="M16" s="40"/>
      <c r="N16" s="40"/>
      <c r="O16" s="40"/>
    </row>
    <row r="17" spans="1:15" x14ac:dyDescent="0.25">
      <c r="A17" s="40"/>
      <c r="B17" s="55">
        <v>60</v>
      </c>
      <c r="C17" s="57">
        <v>0.45</v>
      </c>
      <c r="D17" s="46">
        <v>0.65</v>
      </c>
      <c r="E17" s="40"/>
      <c r="F17" s="40"/>
      <c r="G17" s="40"/>
      <c r="H17" s="40"/>
      <c r="I17" s="40"/>
      <c r="J17" s="40"/>
      <c r="K17" s="40"/>
      <c r="L17" s="40"/>
      <c r="M17" s="40"/>
      <c r="N17" s="40"/>
      <c r="O17" s="40"/>
    </row>
    <row r="18" spans="1:15" x14ac:dyDescent="0.25">
      <c r="A18" s="40"/>
      <c r="B18" s="55">
        <v>65</v>
      </c>
      <c r="C18" s="57" t="s">
        <v>27</v>
      </c>
      <c r="D18" s="46">
        <v>0.6</v>
      </c>
      <c r="E18" s="40"/>
      <c r="F18" s="40"/>
      <c r="G18" s="40"/>
      <c r="H18" s="40"/>
      <c r="I18" s="40"/>
      <c r="J18" s="40"/>
      <c r="K18" s="40"/>
      <c r="L18" s="40"/>
      <c r="M18" s="40"/>
      <c r="N18" s="40"/>
      <c r="O18" s="40"/>
    </row>
    <row r="19" spans="1:15" x14ac:dyDescent="0.25">
      <c r="A19" s="40"/>
      <c r="B19" s="55">
        <v>70</v>
      </c>
      <c r="C19" s="57" t="s">
        <v>27</v>
      </c>
      <c r="D19" s="46">
        <v>0.53</v>
      </c>
      <c r="E19" s="40"/>
      <c r="F19" s="40"/>
      <c r="G19" s="40"/>
      <c r="H19" s="40"/>
      <c r="I19" s="40"/>
      <c r="J19" s="40"/>
      <c r="K19" s="40"/>
      <c r="L19" s="40"/>
      <c r="M19" s="40"/>
      <c r="N19" s="40"/>
      <c r="O19" s="40"/>
    </row>
    <row r="20" spans="1:15" x14ac:dyDescent="0.25">
      <c r="A20" s="40"/>
      <c r="B20" s="55">
        <v>75</v>
      </c>
      <c r="C20" s="57" t="s">
        <v>27</v>
      </c>
      <c r="D20" s="46">
        <v>0.46</v>
      </c>
      <c r="E20" s="40"/>
      <c r="F20" s="40"/>
      <c r="G20" s="40"/>
      <c r="H20" s="40"/>
      <c r="I20" s="40"/>
      <c r="J20" s="40"/>
      <c r="K20" s="40"/>
      <c r="L20" s="40"/>
      <c r="M20" s="40"/>
      <c r="N20" s="40"/>
      <c r="O20" s="40"/>
    </row>
    <row r="21" spans="1:15" ht="15.75" thickBot="1" x14ac:dyDescent="0.3">
      <c r="A21" s="40"/>
      <c r="B21" s="108">
        <v>80</v>
      </c>
      <c r="C21" s="58" t="s">
        <v>27</v>
      </c>
      <c r="D21" s="43">
        <v>0.38</v>
      </c>
      <c r="E21" s="40"/>
      <c r="F21" s="40"/>
      <c r="G21" s="40"/>
      <c r="H21" s="40"/>
      <c r="I21" s="40"/>
      <c r="J21" s="40"/>
      <c r="K21" s="40"/>
      <c r="L21" s="40"/>
      <c r="M21" s="40"/>
      <c r="N21" s="40"/>
      <c r="O21" s="40"/>
    </row>
    <row r="22" spans="1:15" x14ac:dyDescent="0.25">
      <c r="A22" s="40"/>
      <c r="B22" s="40"/>
      <c r="C22" s="40"/>
      <c r="D22" s="40"/>
      <c r="E22" s="40"/>
      <c r="F22" s="40"/>
      <c r="G22" s="40"/>
      <c r="H22" s="40"/>
      <c r="I22" s="40"/>
      <c r="J22" s="40"/>
      <c r="K22" s="40"/>
      <c r="L22" s="40"/>
      <c r="M22" s="40"/>
      <c r="N22" s="40"/>
      <c r="O22" s="40"/>
    </row>
    <row r="23" spans="1:15" hidden="1" x14ac:dyDescent="0.25">
      <c r="A23" s="40"/>
      <c r="B23" s="40"/>
      <c r="C23" s="40"/>
      <c r="D23" s="40"/>
      <c r="E23" s="40"/>
      <c r="F23" s="40"/>
      <c r="G23" s="40"/>
      <c r="H23" s="40"/>
      <c r="I23" s="40"/>
      <c r="J23" s="40"/>
      <c r="K23" s="40"/>
      <c r="L23" s="40"/>
      <c r="M23" s="40"/>
      <c r="N23" s="40"/>
      <c r="O23" s="40"/>
    </row>
    <row r="24" spans="1:15" hidden="1" x14ac:dyDescent="0.25">
      <c r="A24" s="40"/>
      <c r="B24" s="40"/>
      <c r="C24" s="40"/>
      <c r="D24" s="40"/>
      <c r="E24" s="40"/>
      <c r="F24" s="40"/>
      <c r="G24" s="40"/>
      <c r="H24" s="40"/>
      <c r="I24" s="40"/>
      <c r="J24" s="40"/>
      <c r="K24" s="40"/>
      <c r="L24" s="40"/>
      <c r="M24" s="40"/>
      <c r="N24" s="40"/>
      <c r="O24" s="40"/>
    </row>
    <row r="25" spans="1:15" hidden="1" x14ac:dyDescent="0.25">
      <c r="A25" s="40"/>
      <c r="B25" s="40"/>
      <c r="C25" s="40"/>
      <c r="D25" s="40"/>
      <c r="E25" s="40"/>
      <c r="F25" s="40"/>
      <c r="G25" s="40"/>
      <c r="H25" s="40"/>
      <c r="I25" s="40"/>
      <c r="J25" s="40"/>
      <c r="K25" s="40"/>
      <c r="L25" s="40"/>
      <c r="M25" s="40"/>
      <c r="N25" s="40"/>
      <c r="O25" s="40"/>
    </row>
    <row r="26" spans="1:15" hidden="1" x14ac:dyDescent="0.25">
      <c r="A26" s="40"/>
      <c r="B26" s="40"/>
      <c r="C26" s="40"/>
      <c r="D26" s="40"/>
      <c r="E26" s="40"/>
      <c r="F26" s="40"/>
      <c r="G26" s="40"/>
      <c r="H26" s="40"/>
      <c r="I26" s="40"/>
      <c r="J26" s="40"/>
      <c r="K26" s="40"/>
      <c r="L26" s="40"/>
      <c r="M26" s="40"/>
      <c r="N26" s="40"/>
      <c r="O26" s="40"/>
    </row>
    <row r="27" spans="1:15" hidden="1" x14ac:dyDescent="0.25">
      <c r="A27" s="40"/>
      <c r="B27" s="40"/>
      <c r="C27" s="40"/>
      <c r="D27" s="40"/>
      <c r="E27" s="40"/>
      <c r="F27" s="40"/>
      <c r="G27" s="40"/>
      <c r="H27" s="40"/>
      <c r="I27" s="40"/>
      <c r="J27" s="40"/>
      <c r="K27" s="40"/>
      <c r="L27" s="40"/>
      <c r="M27" s="40"/>
      <c r="N27" s="40"/>
      <c r="O27" s="40"/>
    </row>
    <row r="28" spans="1:15" hidden="1" x14ac:dyDescent="0.25">
      <c r="A28" s="40"/>
      <c r="B28" s="40"/>
      <c r="C28" s="40"/>
      <c r="D28" s="40"/>
      <c r="E28" s="40"/>
      <c r="F28" s="40"/>
      <c r="G28" s="40"/>
      <c r="H28" s="40"/>
      <c r="I28" s="40"/>
      <c r="J28" s="40"/>
      <c r="K28" s="40"/>
      <c r="L28" s="40"/>
      <c r="M28" s="40"/>
      <c r="N28" s="40"/>
      <c r="O28" s="40"/>
    </row>
    <row r="29" spans="1:15" hidden="1" x14ac:dyDescent="0.25">
      <c r="A29" s="40"/>
      <c r="B29" s="40"/>
      <c r="C29" s="40"/>
      <c r="D29" s="40"/>
      <c r="E29" s="40"/>
      <c r="F29" s="40"/>
      <c r="G29" s="40"/>
      <c r="H29" s="40"/>
      <c r="I29" s="40"/>
      <c r="J29" s="40"/>
      <c r="K29" s="40"/>
      <c r="L29" s="40"/>
      <c r="M29" s="40"/>
      <c r="N29" s="40"/>
      <c r="O29" s="40"/>
    </row>
    <row r="30" spans="1:15" hidden="1" x14ac:dyDescent="0.25">
      <c r="A30" s="40"/>
      <c r="B30" s="40"/>
      <c r="C30" s="40"/>
      <c r="D30" s="40"/>
      <c r="E30" s="40"/>
      <c r="F30" s="40"/>
      <c r="G30" s="40"/>
      <c r="H30" s="40"/>
      <c r="I30" s="40"/>
      <c r="J30" s="40"/>
      <c r="K30" s="40"/>
      <c r="L30" s="40"/>
      <c r="M30" s="40"/>
      <c r="N30" s="40"/>
      <c r="O30" s="40"/>
    </row>
    <row r="31" spans="1:15" hidden="1" x14ac:dyDescent="0.25">
      <c r="A31" s="40"/>
      <c r="B31" s="40"/>
      <c r="C31" s="40"/>
      <c r="D31" s="40"/>
      <c r="E31" s="40"/>
      <c r="F31" s="40"/>
      <c r="G31" s="40"/>
      <c r="H31" s="40"/>
      <c r="I31" s="40"/>
      <c r="J31" s="40"/>
      <c r="K31" s="40"/>
      <c r="L31" s="40"/>
      <c r="M31" s="40"/>
      <c r="N31" s="40"/>
      <c r="O31" s="40"/>
    </row>
    <row r="32" spans="1:15" hidden="1" x14ac:dyDescent="0.25">
      <c r="A32" s="40"/>
      <c r="B32" s="40"/>
      <c r="C32" s="40"/>
      <c r="D32" s="40"/>
      <c r="E32" s="40"/>
      <c r="F32" s="40"/>
      <c r="G32" s="40"/>
      <c r="H32" s="40"/>
      <c r="I32" s="40"/>
      <c r="J32" s="40"/>
      <c r="K32" s="40"/>
      <c r="L32" s="40"/>
      <c r="M32" s="40"/>
      <c r="N32" s="40"/>
      <c r="O32" s="40"/>
    </row>
    <row r="33" spans="1:15" hidden="1" x14ac:dyDescent="0.25">
      <c r="A33" s="40"/>
      <c r="B33" s="40"/>
      <c r="C33" s="40"/>
      <c r="D33" s="40"/>
      <c r="E33" s="40"/>
      <c r="F33" s="40"/>
      <c r="G33" s="40"/>
      <c r="H33" s="40"/>
      <c r="I33" s="40"/>
      <c r="J33" s="40"/>
      <c r="K33" s="40"/>
      <c r="L33" s="40"/>
      <c r="M33" s="40"/>
      <c r="N33" s="40"/>
      <c r="O33" s="40"/>
    </row>
    <row r="34" spans="1:15" hidden="1" x14ac:dyDescent="0.25">
      <c r="A34" s="40"/>
      <c r="B34" s="40"/>
      <c r="C34" s="40"/>
      <c r="D34" s="40"/>
      <c r="E34" s="40"/>
      <c r="F34" s="40"/>
      <c r="G34" s="40"/>
      <c r="H34" s="40"/>
      <c r="I34" s="40"/>
      <c r="J34" s="40"/>
      <c r="K34" s="40"/>
      <c r="L34" s="40"/>
      <c r="M34" s="40"/>
      <c r="N34" s="40"/>
      <c r="O34" s="40"/>
    </row>
    <row r="35" spans="1:15" hidden="1" x14ac:dyDescent="0.25">
      <c r="A35" s="40"/>
      <c r="B35" s="40"/>
      <c r="C35" s="40"/>
      <c r="D35" s="40"/>
      <c r="E35" s="40"/>
      <c r="F35" s="40"/>
      <c r="G35" s="40"/>
      <c r="H35" s="40"/>
      <c r="I35" s="40"/>
      <c r="J35" s="40"/>
      <c r="K35" s="40"/>
      <c r="L35" s="40"/>
      <c r="M35" s="40"/>
      <c r="N35" s="40"/>
      <c r="O35" s="40"/>
    </row>
    <row r="36" spans="1:15" hidden="1" x14ac:dyDescent="0.25">
      <c r="A36" s="40"/>
      <c r="B36" s="40"/>
      <c r="C36" s="40"/>
      <c r="D36" s="40"/>
      <c r="E36" s="40"/>
      <c r="F36" s="40"/>
      <c r="G36" s="40"/>
      <c r="H36" s="40"/>
      <c r="I36" s="40"/>
      <c r="J36" s="40"/>
      <c r="K36" s="40"/>
      <c r="L36" s="40"/>
      <c r="M36" s="40"/>
      <c r="N36" s="40"/>
      <c r="O36" s="40"/>
    </row>
    <row r="37" spans="1:15" hidden="1" x14ac:dyDescent="0.25">
      <c r="A37" s="40"/>
      <c r="B37" s="40"/>
      <c r="C37" s="40"/>
      <c r="D37" s="40"/>
      <c r="E37" s="40"/>
      <c r="F37" s="40"/>
      <c r="G37" s="40"/>
      <c r="H37" s="40"/>
      <c r="I37" s="40"/>
      <c r="J37" s="40"/>
      <c r="K37" s="40"/>
      <c r="L37" s="40"/>
      <c r="M37" s="40"/>
      <c r="N37" s="40"/>
      <c r="O37" s="40"/>
    </row>
    <row r="38" spans="1:15" hidden="1" x14ac:dyDescent="0.25">
      <c r="A38" s="40"/>
      <c r="B38" s="40"/>
      <c r="C38" s="40"/>
      <c r="D38" s="40"/>
      <c r="E38" s="40"/>
      <c r="F38" s="40"/>
      <c r="G38" s="40"/>
      <c r="H38" s="40"/>
      <c r="I38" s="40"/>
      <c r="J38" s="40"/>
      <c r="K38" s="40"/>
      <c r="L38" s="40"/>
      <c r="M38" s="40"/>
      <c r="N38" s="40"/>
      <c r="O38" s="40"/>
    </row>
    <row r="39" spans="1:15" hidden="1" x14ac:dyDescent="0.25">
      <c r="A39" s="40"/>
      <c r="B39" s="40"/>
      <c r="C39" s="40"/>
      <c r="D39" s="40"/>
      <c r="E39" s="40"/>
      <c r="F39" s="40"/>
      <c r="G39" s="40"/>
      <c r="H39" s="40"/>
      <c r="I39" s="40"/>
      <c r="J39" s="40"/>
      <c r="K39" s="40"/>
      <c r="L39" s="40"/>
      <c r="M39" s="40"/>
      <c r="N39" s="40"/>
      <c r="O39" s="40"/>
    </row>
    <row r="40" spans="1:15" hidden="1" x14ac:dyDescent="0.25">
      <c r="A40" s="40"/>
      <c r="B40" s="40"/>
      <c r="C40" s="40"/>
      <c r="D40" s="40"/>
      <c r="E40" s="40"/>
      <c r="F40" s="40"/>
      <c r="G40" s="40"/>
      <c r="H40" s="40"/>
      <c r="I40" s="40"/>
      <c r="J40" s="40"/>
      <c r="K40" s="40"/>
      <c r="L40" s="40"/>
      <c r="M40" s="40"/>
      <c r="N40" s="40"/>
      <c r="O40" s="40"/>
    </row>
    <row r="41" spans="1:15" hidden="1" x14ac:dyDescent="0.25">
      <c r="A41" s="40"/>
      <c r="B41" s="40"/>
      <c r="C41" s="40"/>
      <c r="D41" s="40"/>
      <c r="E41" s="40"/>
      <c r="F41" s="40"/>
      <c r="G41" s="40"/>
      <c r="H41" s="40"/>
      <c r="I41" s="40"/>
      <c r="J41" s="40"/>
      <c r="K41" s="40"/>
      <c r="L41" s="40"/>
      <c r="M41" s="40"/>
      <c r="N41" s="40"/>
      <c r="O41" s="40"/>
    </row>
    <row r="42" spans="1:15" hidden="1" x14ac:dyDescent="0.25">
      <c r="A42" s="40"/>
      <c r="B42" s="40"/>
      <c r="C42" s="40"/>
      <c r="D42" s="40"/>
      <c r="E42" s="40"/>
      <c r="F42" s="40"/>
      <c r="G42" s="40"/>
      <c r="H42" s="40"/>
      <c r="I42" s="40"/>
      <c r="J42" s="40"/>
      <c r="K42" s="40"/>
      <c r="L42" s="40"/>
      <c r="M42" s="40"/>
      <c r="N42" s="40"/>
      <c r="O42" s="40"/>
    </row>
    <row r="43" spans="1:15" hidden="1" x14ac:dyDescent="0.25">
      <c r="A43" s="40"/>
      <c r="B43" s="40"/>
      <c r="C43" s="40"/>
      <c r="D43" s="40"/>
      <c r="E43" s="40"/>
      <c r="F43" s="40"/>
      <c r="G43" s="40"/>
      <c r="H43" s="40"/>
      <c r="I43" s="40"/>
      <c r="J43" s="40"/>
      <c r="K43" s="40"/>
      <c r="L43" s="40"/>
      <c r="M43" s="40"/>
      <c r="N43" s="40"/>
      <c r="O43" s="40"/>
    </row>
    <row r="44" spans="1:15" hidden="1" x14ac:dyDescent="0.25">
      <c r="A44" s="40"/>
      <c r="B44" s="40"/>
      <c r="C44" s="40"/>
      <c r="D44" s="40"/>
      <c r="E44" s="40"/>
      <c r="F44" s="40"/>
      <c r="G44" s="40"/>
      <c r="H44" s="40"/>
      <c r="I44" s="40"/>
      <c r="J44" s="40"/>
      <c r="K44" s="40"/>
      <c r="L44" s="40"/>
      <c r="M44" s="40"/>
      <c r="N44" s="40"/>
      <c r="O44" s="40"/>
    </row>
    <row r="45" spans="1:15" hidden="1" x14ac:dyDescent="0.25">
      <c r="A45" s="40"/>
      <c r="B45" s="40"/>
      <c r="C45" s="40"/>
      <c r="D45" s="40"/>
      <c r="E45" s="40"/>
      <c r="F45" s="40"/>
      <c r="G45" s="40"/>
      <c r="H45" s="40"/>
      <c r="I45" s="40"/>
      <c r="J45" s="40"/>
      <c r="K45" s="40"/>
      <c r="L45" s="40"/>
      <c r="M45" s="40"/>
      <c r="N45" s="40"/>
      <c r="O45" s="40"/>
    </row>
    <row r="46" spans="1:15" hidden="1" x14ac:dyDescent="0.25">
      <c r="A46" s="40"/>
      <c r="B46" s="40"/>
      <c r="C46" s="40"/>
      <c r="D46" s="40"/>
      <c r="E46" s="40"/>
      <c r="F46" s="40"/>
      <c r="G46" s="40"/>
      <c r="H46" s="40"/>
      <c r="I46" s="40"/>
      <c r="J46" s="40"/>
      <c r="K46" s="40"/>
      <c r="L46" s="40"/>
      <c r="M46" s="40"/>
      <c r="N46" s="40"/>
      <c r="O46" s="40"/>
    </row>
  </sheetData>
  <sheetProtection algorithmName="SHA-512" hashValue="GHdNiGQUQc1Fq1JuXaHTP8NhJZxuUiMh77GYcrbmoufEHbU4T1qdRNEt+nIQdJpIUtvKk7B34FUY5PHk6hs7+Q==" saltValue="NwmVDeFq6j1XCeNOidj7Vg==" spinCount="100000" sheet="1" objects="1" scenarios="1" formatCells="0" formatColumns="0" formatRows="0" selectLockedCells="1" selectUnlockedCells="1"/>
  <mergeCells count="2">
    <mergeCell ref="B5:B6"/>
    <mergeCell ref="B2:D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8"/>
  <dimension ref="A1:O46"/>
  <sheetViews>
    <sheetView showGridLines="0" showRowColHeaders="0" zoomScale="134" workbookViewId="0">
      <selection activeCell="G29" sqref="G29"/>
    </sheetView>
  </sheetViews>
  <sheetFormatPr defaultColWidth="0" defaultRowHeight="15" zeroHeight="1" x14ac:dyDescent="0.25"/>
  <cols>
    <col min="1" max="2" width="8.85546875" style="4" customWidth="1"/>
    <col min="3" max="3" width="40" style="4" customWidth="1"/>
    <col min="4" max="11" width="8.85546875" style="4" customWidth="1"/>
    <col min="12" max="13" width="0" style="4" hidden="1" customWidth="1"/>
    <col min="14" max="16384" width="8.85546875" style="4" hidden="1"/>
  </cols>
  <sheetData>
    <row r="1" spans="1:15" x14ac:dyDescent="0.25">
      <c r="A1" s="40"/>
      <c r="B1" s="40"/>
      <c r="C1" s="40"/>
      <c r="D1" s="40"/>
      <c r="E1" s="40"/>
      <c r="F1" s="40"/>
      <c r="G1" s="40"/>
      <c r="H1" s="40"/>
      <c r="I1" s="40"/>
      <c r="J1" s="40"/>
      <c r="K1" s="40"/>
      <c r="L1" s="40"/>
      <c r="M1" s="40"/>
      <c r="N1" s="40"/>
      <c r="O1" s="40"/>
    </row>
    <row r="2" spans="1:15" s="5" customFormat="1" ht="18" customHeight="1" x14ac:dyDescent="0.3">
      <c r="A2" s="51"/>
      <c r="B2" s="128" t="s">
        <v>32</v>
      </c>
      <c r="C2" s="128"/>
      <c r="D2" s="128"/>
      <c r="E2" s="128"/>
      <c r="F2" s="128"/>
      <c r="G2" s="128"/>
      <c r="H2" s="128"/>
      <c r="I2" s="128"/>
      <c r="J2" s="128"/>
      <c r="K2" s="51"/>
      <c r="L2" s="51"/>
      <c r="M2" s="51"/>
      <c r="N2" s="51"/>
      <c r="O2" s="51"/>
    </row>
    <row r="3" spans="1:15" s="5" customFormat="1" ht="18.75" x14ac:dyDescent="0.3">
      <c r="A3" s="51"/>
      <c r="B3" s="128"/>
      <c r="C3" s="128"/>
      <c r="D3" s="128"/>
      <c r="E3" s="128"/>
      <c r="F3" s="128"/>
      <c r="G3" s="128"/>
      <c r="H3" s="128"/>
      <c r="I3" s="128"/>
      <c r="J3" s="128"/>
      <c r="K3" s="51"/>
      <c r="L3" s="51"/>
      <c r="M3" s="51"/>
      <c r="N3" s="51"/>
      <c r="O3" s="51"/>
    </row>
    <row r="4" spans="1:15" ht="15" customHeight="1" thickBot="1" x14ac:dyDescent="0.3">
      <c r="A4" s="40"/>
      <c r="B4" s="148"/>
      <c r="C4" s="148"/>
      <c r="D4" s="148"/>
      <c r="E4" s="148"/>
      <c r="F4" s="148"/>
      <c r="G4" s="148"/>
      <c r="H4" s="148"/>
      <c r="I4" s="148"/>
      <c r="J4" s="148"/>
      <c r="K4" s="40"/>
      <c r="L4" s="40"/>
      <c r="M4" s="40"/>
      <c r="N4" s="40"/>
      <c r="O4" s="40"/>
    </row>
    <row r="5" spans="1:15" ht="16.149999999999999" customHeight="1" thickBot="1" x14ac:dyDescent="0.3">
      <c r="A5" s="40"/>
      <c r="B5" s="149" t="s">
        <v>33</v>
      </c>
      <c r="C5" s="150"/>
      <c r="D5" s="59">
        <v>0.5</v>
      </c>
      <c r="E5" s="59">
        <v>0.7</v>
      </c>
      <c r="F5" s="59">
        <v>1</v>
      </c>
      <c r="G5" s="59">
        <v>1.5</v>
      </c>
      <c r="H5" s="59">
        <v>2</v>
      </c>
      <c r="I5" s="59">
        <v>2.5</v>
      </c>
      <c r="J5" s="109">
        <v>3</v>
      </c>
      <c r="K5" s="40"/>
      <c r="L5" s="40"/>
      <c r="M5" s="40"/>
      <c r="N5" s="40"/>
      <c r="O5" s="40"/>
    </row>
    <row r="6" spans="1:15" ht="16.149999999999999" customHeight="1" thickBot="1" x14ac:dyDescent="0.3">
      <c r="A6" s="40"/>
      <c r="B6" s="54" t="s">
        <v>7</v>
      </c>
      <c r="C6" s="60" t="s">
        <v>34</v>
      </c>
      <c r="D6" s="43">
        <v>1.28</v>
      </c>
      <c r="E6" s="43">
        <v>1.2</v>
      </c>
      <c r="F6" s="43">
        <v>1.18</v>
      </c>
      <c r="G6" s="43">
        <v>1.1000000000000001</v>
      </c>
      <c r="H6" s="43">
        <v>1.05</v>
      </c>
      <c r="I6" s="43">
        <v>1</v>
      </c>
      <c r="J6" s="61">
        <v>0.96</v>
      </c>
      <c r="K6" s="40"/>
      <c r="L6" s="40"/>
      <c r="M6" s="40"/>
      <c r="N6" s="40"/>
      <c r="O6" s="40"/>
    </row>
    <row r="7" spans="1:15" ht="16.149999999999999" customHeight="1" thickBot="1" x14ac:dyDescent="0.3">
      <c r="A7" s="40"/>
      <c r="B7" s="54" t="s">
        <v>8</v>
      </c>
      <c r="C7" s="60" t="s">
        <v>35</v>
      </c>
      <c r="D7" s="43">
        <v>1.88</v>
      </c>
      <c r="E7" s="43">
        <v>1.62</v>
      </c>
      <c r="F7" s="43">
        <v>1.5</v>
      </c>
      <c r="G7" s="43">
        <v>1.28</v>
      </c>
      <c r="H7" s="43">
        <v>1.1200000000000001</v>
      </c>
      <c r="I7" s="190">
        <v>1</v>
      </c>
      <c r="J7" s="61">
        <v>0.9</v>
      </c>
      <c r="K7" s="40"/>
      <c r="L7" s="40"/>
      <c r="M7" s="40"/>
      <c r="N7" s="40"/>
      <c r="O7" s="40"/>
    </row>
    <row r="8" spans="1:15" ht="31.15" customHeight="1" x14ac:dyDescent="0.25">
      <c r="A8" s="40"/>
      <c r="B8" s="142" t="s">
        <v>36</v>
      </c>
      <c r="C8" s="143"/>
      <c r="D8" s="143"/>
      <c r="E8" s="143"/>
      <c r="F8" s="143"/>
      <c r="G8" s="143"/>
      <c r="H8" s="143"/>
      <c r="I8" s="143"/>
      <c r="J8" s="144"/>
      <c r="K8" s="40"/>
      <c r="L8" s="40"/>
      <c r="M8" s="40"/>
      <c r="N8" s="40"/>
      <c r="O8" s="40"/>
    </row>
    <row r="9" spans="1:15" ht="42.6" customHeight="1" x14ac:dyDescent="0.25">
      <c r="A9" s="40"/>
      <c r="B9" s="142" t="s">
        <v>37</v>
      </c>
      <c r="C9" s="143"/>
      <c r="D9" s="143"/>
      <c r="E9" s="143"/>
      <c r="F9" s="143"/>
      <c r="G9" s="143"/>
      <c r="H9" s="143"/>
      <c r="I9" s="143"/>
      <c r="J9" s="144"/>
      <c r="K9" s="40"/>
      <c r="L9" s="40"/>
      <c r="M9" s="40"/>
      <c r="N9" s="40"/>
      <c r="O9" s="40"/>
    </row>
    <row r="10" spans="1:15" ht="14.45" customHeight="1" x14ac:dyDescent="0.25">
      <c r="A10" s="40"/>
      <c r="B10" s="142" t="s">
        <v>38</v>
      </c>
      <c r="C10" s="143"/>
      <c r="D10" s="143"/>
      <c r="E10" s="143"/>
      <c r="F10" s="143"/>
      <c r="G10" s="143"/>
      <c r="H10" s="143"/>
      <c r="I10" s="143"/>
      <c r="J10" s="144"/>
      <c r="K10" s="40"/>
      <c r="L10" s="40"/>
      <c r="M10" s="40"/>
      <c r="N10" s="40"/>
      <c r="O10" s="40"/>
    </row>
    <row r="11" spans="1:15" ht="36" customHeight="1" thickBot="1" x14ac:dyDescent="0.3">
      <c r="A11" s="40"/>
      <c r="B11" s="145" t="s">
        <v>39</v>
      </c>
      <c r="C11" s="146"/>
      <c r="D11" s="146"/>
      <c r="E11" s="146"/>
      <c r="F11" s="146"/>
      <c r="G11" s="146"/>
      <c r="H11" s="146"/>
      <c r="I11" s="146"/>
      <c r="J11" s="147"/>
      <c r="K11" s="40"/>
      <c r="L11" s="40"/>
      <c r="M11" s="40"/>
      <c r="N11" s="40"/>
      <c r="O11" s="40"/>
    </row>
    <row r="12" spans="1:15" x14ac:dyDescent="0.25">
      <c r="A12" s="40"/>
      <c r="B12" s="40"/>
      <c r="C12" s="40"/>
      <c r="D12" s="40"/>
      <c r="E12" s="40"/>
      <c r="F12" s="40"/>
      <c r="G12" s="40"/>
      <c r="H12" s="40"/>
      <c r="I12" s="40"/>
      <c r="J12" s="40"/>
      <c r="K12" s="40"/>
      <c r="L12" s="40"/>
      <c r="M12" s="40"/>
      <c r="N12" s="40"/>
      <c r="O12" s="40"/>
    </row>
    <row r="13" spans="1:15" hidden="1" x14ac:dyDescent="0.25">
      <c r="A13" s="40"/>
      <c r="B13" s="40"/>
      <c r="C13" s="40"/>
      <c r="D13" s="40"/>
      <c r="E13" s="40"/>
      <c r="F13" s="40"/>
      <c r="G13" s="40"/>
      <c r="H13" s="40"/>
      <c r="I13" s="40"/>
      <c r="J13" s="40"/>
      <c r="K13" s="40"/>
      <c r="L13" s="40"/>
      <c r="M13" s="40"/>
      <c r="N13" s="40"/>
      <c r="O13" s="40"/>
    </row>
    <row r="14" spans="1:15" hidden="1" x14ac:dyDescent="0.25">
      <c r="A14" s="40"/>
      <c r="B14" s="40"/>
      <c r="C14" s="40"/>
      <c r="D14" s="40"/>
      <c r="E14" s="40"/>
      <c r="F14" s="40"/>
      <c r="G14" s="40"/>
      <c r="H14" s="40"/>
      <c r="I14" s="40"/>
      <c r="J14" s="40"/>
      <c r="K14" s="40"/>
      <c r="L14" s="40"/>
      <c r="M14" s="40"/>
      <c r="N14" s="40"/>
      <c r="O14" s="40"/>
    </row>
    <row r="15" spans="1:15" hidden="1" x14ac:dyDescent="0.25">
      <c r="A15" s="40"/>
      <c r="B15" s="40"/>
      <c r="C15" s="40"/>
      <c r="D15" s="40"/>
      <c r="E15" s="40"/>
      <c r="F15" s="40"/>
      <c r="G15" s="40"/>
      <c r="H15" s="40"/>
      <c r="I15" s="40"/>
      <c r="J15" s="40"/>
      <c r="K15" s="40"/>
      <c r="L15" s="40"/>
      <c r="M15" s="40"/>
      <c r="N15" s="40"/>
      <c r="O15" s="40"/>
    </row>
    <row r="16" spans="1:15" hidden="1" x14ac:dyDescent="0.25">
      <c r="A16" s="40"/>
      <c r="B16" s="40"/>
      <c r="C16" s="40"/>
      <c r="D16" s="40"/>
      <c r="E16" s="40"/>
      <c r="F16" s="40"/>
      <c r="G16" s="40"/>
      <c r="H16" s="40"/>
      <c r="I16" s="40"/>
      <c r="J16" s="40"/>
      <c r="K16" s="40"/>
      <c r="L16" s="40"/>
      <c r="M16" s="40"/>
      <c r="N16" s="40"/>
      <c r="O16" s="40"/>
    </row>
    <row r="17" spans="1:15" hidden="1" x14ac:dyDescent="0.25">
      <c r="A17" s="40"/>
      <c r="B17" s="40"/>
      <c r="C17" s="40"/>
      <c r="D17" s="40"/>
      <c r="E17" s="40"/>
      <c r="F17" s="40"/>
      <c r="G17" s="40"/>
      <c r="H17" s="40"/>
      <c r="I17" s="40"/>
      <c r="J17" s="40"/>
      <c r="K17" s="40"/>
      <c r="L17" s="40"/>
      <c r="M17" s="40"/>
      <c r="N17" s="40"/>
      <c r="O17" s="40"/>
    </row>
    <row r="18" spans="1:15" hidden="1" x14ac:dyDescent="0.25">
      <c r="A18" s="40"/>
      <c r="B18" s="40"/>
      <c r="C18" s="40"/>
      <c r="D18" s="40"/>
      <c r="E18" s="40"/>
      <c r="F18" s="40"/>
      <c r="G18" s="40"/>
      <c r="H18" s="40"/>
      <c r="I18" s="40"/>
      <c r="J18" s="40"/>
      <c r="K18" s="40"/>
      <c r="L18" s="40"/>
      <c r="M18" s="40"/>
      <c r="N18" s="40"/>
      <c r="O18" s="40"/>
    </row>
    <row r="19" spans="1:15" hidden="1" x14ac:dyDescent="0.25">
      <c r="A19" s="40"/>
      <c r="B19" s="40"/>
      <c r="C19" s="40"/>
      <c r="D19" s="40"/>
      <c r="E19" s="40"/>
      <c r="F19" s="40"/>
      <c r="G19" s="40"/>
      <c r="H19" s="40"/>
      <c r="I19" s="40"/>
      <c r="J19" s="40"/>
      <c r="K19" s="40"/>
      <c r="L19" s="40"/>
      <c r="M19" s="40"/>
      <c r="N19" s="40"/>
      <c r="O19" s="40"/>
    </row>
    <row r="20" spans="1:15" hidden="1" x14ac:dyDescent="0.25">
      <c r="A20" s="40"/>
      <c r="B20" s="40"/>
      <c r="C20" s="40"/>
      <c r="D20" s="40"/>
      <c r="E20" s="40"/>
      <c r="F20" s="40"/>
      <c r="G20" s="40"/>
      <c r="H20" s="40"/>
      <c r="I20" s="40"/>
      <c r="J20" s="40"/>
      <c r="K20" s="40"/>
      <c r="L20" s="40"/>
      <c r="M20" s="40"/>
      <c r="N20" s="40"/>
      <c r="O20" s="40"/>
    </row>
    <row r="21" spans="1:15" hidden="1" x14ac:dyDescent="0.25">
      <c r="A21" s="40"/>
      <c r="B21" s="40"/>
      <c r="C21" s="40"/>
      <c r="D21" s="40"/>
      <c r="E21" s="40"/>
      <c r="F21" s="40"/>
      <c r="G21" s="40"/>
      <c r="H21" s="40"/>
      <c r="I21" s="40"/>
      <c r="J21" s="40"/>
      <c r="K21" s="40"/>
      <c r="L21" s="40"/>
      <c r="M21" s="40"/>
      <c r="N21" s="40"/>
      <c r="O21" s="40"/>
    </row>
    <row r="22" spans="1:15" hidden="1" x14ac:dyDescent="0.25">
      <c r="A22" s="40"/>
      <c r="B22" s="40"/>
      <c r="C22" s="40"/>
      <c r="D22" s="40"/>
      <c r="E22" s="40"/>
      <c r="F22" s="40"/>
      <c r="G22" s="40"/>
      <c r="H22" s="40"/>
      <c r="I22" s="40"/>
      <c r="J22" s="40"/>
      <c r="K22" s="40"/>
      <c r="L22" s="40"/>
      <c r="M22" s="40"/>
      <c r="N22" s="40"/>
      <c r="O22" s="40"/>
    </row>
    <row r="23" spans="1:15" hidden="1" x14ac:dyDescent="0.25">
      <c r="A23" s="40"/>
      <c r="B23" s="40"/>
      <c r="C23" s="40"/>
      <c r="D23" s="40"/>
      <c r="E23" s="40"/>
      <c r="F23" s="40"/>
      <c r="G23" s="40"/>
      <c r="H23" s="40"/>
      <c r="I23" s="40"/>
      <c r="J23" s="40"/>
      <c r="K23" s="40"/>
      <c r="L23" s="40"/>
      <c r="M23" s="40"/>
      <c r="N23" s="40"/>
      <c r="O23" s="40"/>
    </row>
    <row r="24" spans="1:15" hidden="1" x14ac:dyDescent="0.25">
      <c r="A24" s="40"/>
      <c r="B24" s="40"/>
      <c r="C24" s="40"/>
      <c r="D24" s="40"/>
      <c r="E24" s="40"/>
      <c r="F24" s="40"/>
      <c r="G24" s="40"/>
      <c r="H24" s="40"/>
      <c r="I24" s="40"/>
      <c r="J24" s="40"/>
      <c r="K24" s="40"/>
      <c r="L24" s="40"/>
      <c r="M24" s="40"/>
      <c r="N24" s="40"/>
      <c r="O24" s="40"/>
    </row>
    <row r="25" spans="1:15" hidden="1" x14ac:dyDescent="0.25">
      <c r="A25" s="40"/>
      <c r="B25" s="40"/>
      <c r="C25" s="40"/>
      <c r="D25" s="40"/>
      <c r="E25" s="40"/>
      <c r="F25" s="40"/>
      <c r="G25" s="40"/>
      <c r="H25" s="40"/>
      <c r="I25" s="40"/>
      <c r="J25" s="40"/>
      <c r="K25" s="40"/>
      <c r="L25" s="40"/>
      <c r="M25" s="40"/>
      <c r="N25" s="40"/>
      <c r="O25" s="40"/>
    </row>
    <row r="26" spans="1:15" hidden="1" x14ac:dyDescent="0.25">
      <c r="A26" s="40"/>
      <c r="B26" s="40"/>
      <c r="C26" s="40"/>
      <c r="D26" s="40"/>
      <c r="E26" s="40"/>
      <c r="F26" s="40"/>
      <c r="G26" s="40"/>
      <c r="H26" s="40"/>
      <c r="I26" s="40"/>
      <c r="J26" s="40"/>
      <c r="K26" s="40"/>
      <c r="L26" s="40"/>
      <c r="M26" s="40"/>
      <c r="N26" s="40"/>
      <c r="O26" s="40"/>
    </row>
    <row r="27" spans="1:15" hidden="1" x14ac:dyDescent="0.25">
      <c r="A27" s="40"/>
      <c r="B27" s="40"/>
      <c r="C27" s="40"/>
      <c r="D27" s="40"/>
      <c r="E27" s="40"/>
      <c r="F27" s="40"/>
      <c r="G27" s="40"/>
      <c r="H27" s="40"/>
      <c r="I27" s="40"/>
      <c r="J27" s="40"/>
      <c r="K27" s="40"/>
      <c r="L27" s="40"/>
      <c r="M27" s="40"/>
      <c r="N27" s="40"/>
      <c r="O27" s="40"/>
    </row>
    <row r="28" spans="1:15" hidden="1" x14ac:dyDescent="0.25">
      <c r="A28" s="40"/>
      <c r="B28" s="40"/>
      <c r="C28" s="40"/>
      <c r="D28" s="40"/>
      <c r="E28" s="40"/>
      <c r="F28" s="40"/>
      <c r="G28" s="40"/>
      <c r="H28" s="40"/>
      <c r="I28" s="40"/>
      <c r="J28" s="40"/>
      <c r="K28" s="40"/>
      <c r="L28" s="40"/>
      <c r="M28" s="40"/>
      <c r="N28" s="40"/>
      <c r="O28" s="40"/>
    </row>
    <row r="29" spans="1:15" hidden="1" x14ac:dyDescent="0.25">
      <c r="A29" s="40"/>
      <c r="B29" s="40"/>
      <c r="C29" s="40"/>
      <c r="D29" s="40"/>
      <c r="E29" s="40"/>
      <c r="F29" s="40"/>
      <c r="G29" s="40"/>
      <c r="H29" s="40"/>
      <c r="I29" s="40"/>
      <c r="J29" s="40"/>
      <c r="K29" s="40"/>
      <c r="L29" s="40"/>
      <c r="M29" s="40"/>
      <c r="N29" s="40"/>
      <c r="O29" s="40"/>
    </row>
    <row r="30" spans="1:15" hidden="1" x14ac:dyDescent="0.25">
      <c r="A30" s="40"/>
      <c r="B30" s="40"/>
      <c r="C30" s="40"/>
      <c r="D30" s="40"/>
      <c r="E30" s="40"/>
      <c r="F30" s="40"/>
      <c r="G30" s="40"/>
      <c r="H30" s="40"/>
      <c r="I30" s="40"/>
      <c r="J30" s="40"/>
      <c r="K30" s="40"/>
      <c r="L30" s="40"/>
      <c r="M30" s="40"/>
      <c r="N30" s="40"/>
      <c r="O30" s="40"/>
    </row>
    <row r="31" spans="1:15" hidden="1" x14ac:dyDescent="0.25">
      <c r="A31" s="40"/>
      <c r="B31" s="40"/>
      <c r="C31" s="40"/>
      <c r="D31" s="40"/>
      <c r="E31" s="40"/>
      <c r="F31" s="40"/>
      <c r="G31" s="40"/>
      <c r="H31" s="40"/>
      <c r="I31" s="40"/>
      <c r="J31" s="40"/>
      <c r="K31" s="40"/>
      <c r="L31" s="40"/>
      <c r="M31" s="40"/>
      <c r="N31" s="40"/>
      <c r="O31" s="40"/>
    </row>
    <row r="32" spans="1:15" hidden="1" x14ac:dyDescent="0.25">
      <c r="A32" s="40"/>
      <c r="B32" s="40"/>
      <c r="C32" s="40"/>
      <c r="D32" s="40"/>
      <c r="E32" s="40"/>
      <c r="F32" s="40"/>
      <c r="G32" s="40"/>
      <c r="H32" s="40"/>
      <c r="I32" s="40"/>
      <c r="J32" s="40"/>
      <c r="K32" s="40"/>
      <c r="L32" s="40"/>
      <c r="M32" s="40"/>
      <c r="N32" s="40"/>
      <c r="O32" s="40"/>
    </row>
    <row r="33" spans="1:15" hidden="1" x14ac:dyDescent="0.25">
      <c r="A33" s="40"/>
      <c r="B33" s="40"/>
      <c r="C33" s="40"/>
      <c r="D33" s="40"/>
      <c r="E33" s="40"/>
      <c r="F33" s="40"/>
      <c r="G33" s="40"/>
      <c r="H33" s="40"/>
      <c r="I33" s="40"/>
      <c r="J33" s="40"/>
      <c r="K33" s="40"/>
      <c r="L33" s="40"/>
      <c r="M33" s="40"/>
      <c r="N33" s="40"/>
      <c r="O33" s="40"/>
    </row>
    <row r="34" spans="1:15" hidden="1" x14ac:dyDescent="0.25">
      <c r="A34" s="40"/>
      <c r="B34" s="40"/>
      <c r="C34" s="40"/>
      <c r="D34" s="40"/>
      <c r="E34" s="40"/>
      <c r="F34" s="40"/>
      <c r="G34" s="40"/>
      <c r="H34" s="40"/>
      <c r="I34" s="40"/>
      <c r="J34" s="40"/>
      <c r="K34" s="40"/>
      <c r="L34" s="40"/>
      <c r="M34" s="40"/>
      <c r="N34" s="40"/>
      <c r="O34" s="40"/>
    </row>
    <row r="35" spans="1:15" hidden="1" x14ac:dyDescent="0.25">
      <c r="A35" s="40"/>
      <c r="B35" s="40"/>
      <c r="C35" s="40"/>
      <c r="D35" s="40"/>
      <c r="E35" s="40"/>
      <c r="F35" s="40"/>
      <c r="G35" s="40"/>
      <c r="H35" s="40"/>
      <c r="I35" s="40"/>
      <c r="J35" s="40"/>
      <c r="K35" s="40"/>
      <c r="L35" s="40"/>
      <c r="M35" s="40"/>
      <c r="N35" s="40"/>
      <c r="O35" s="40"/>
    </row>
    <row r="36" spans="1:15" hidden="1" x14ac:dyDescent="0.25">
      <c r="A36" s="40"/>
      <c r="B36" s="40"/>
      <c r="C36" s="40"/>
      <c r="D36" s="40"/>
      <c r="E36" s="40"/>
      <c r="F36" s="40"/>
      <c r="G36" s="40"/>
      <c r="H36" s="40"/>
      <c r="I36" s="40"/>
      <c r="J36" s="40"/>
      <c r="K36" s="40"/>
      <c r="L36" s="40"/>
      <c r="M36" s="40"/>
      <c r="N36" s="40"/>
      <c r="O36" s="40"/>
    </row>
    <row r="37" spans="1:15" hidden="1" x14ac:dyDescent="0.25">
      <c r="A37" s="40"/>
      <c r="B37" s="40"/>
      <c r="C37" s="40"/>
      <c r="D37" s="40"/>
      <c r="E37" s="40"/>
      <c r="F37" s="40"/>
      <c r="G37" s="40"/>
      <c r="H37" s="40"/>
      <c r="I37" s="40"/>
      <c r="J37" s="40"/>
      <c r="K37" s="40"/>
      <c r="L37" s="40"/>
      <c r="M37" s="40"/>
      <c r="N37" s="40"/>
      <c r="O37" s="40"/>
    </row>
    <row r="38" spans="1:15" hidden="1" x14ac:dyDescent="0.25">
      <c r="A38" s="40"/>
      <c r="B38" s="40"/>
      <c r="C38" s="40"/>
      <c r="D38" s="40"/>
      <c r="E38" s="40"/>
      <c r="F38" s="40"/>
      <c r="G38" s="40"/>
      <c r="H38" s="40"/>
      <c r="I38" s="40"/>
      <c r="J38" s="40"/>
      <c r="K38" s="40"/>
      <c r="L38" s="40"/>
      <c r="M38" s="40"/>
      <c r="N38" s="40"/>
      <c r="O38" s="40"/>
    </row>
    <row r="39" spans="1:15" hidden="1" x14ac:dyDescent="0.25">
      <c r="A39" s="40"/>
      <c r="B39" s="40"/>
      <c r="C39" s="40"/>
      <c r="D39" s="40"/>
      <c r="E39" s="40"/>
      <c r="F39" s="40"/>
      <c r="G39" s="40"/>
      <c r="H39" s="40"/>
      <c r="I39" s="40"/>
      <c r="J39" s="40"/>
      <c r="K39" s="40"/>
      <c r="L39" s="40"/>
      <c r="M39" s="40"/>
      <c r="N39" s="40"/>
      <c r="O39" s="40"/>
    </row>
    <row r="40" spans="1:15" hidden="1" x14ac:dyDescent="0.25">
      <c r="A40" s="40"/>
      <c r="B40" s="40"/>
      <c r="C40" s="40"/>
      <c r="D40" s="40"/>
      <c r="E40" s="40"/>
      <c r="F40" s="40"/>
      <c r="G40" s="40"/>
      <c r="H40" s="40"/>
      <c r="I40" s="40"/>
      <c r="J40" s="40"/>
      <c r="K40" s="40"/>
      <c r="L40" s="40"/>
      <c r="M40" s="40"/>
      <c r="N40" s="40"/>
      <c r="O40" s="40"/>
    </row>
    <row r="41" spans="1:15" hidden="1" x14ac:dyDescent="0.25">
      <c r="A41" s="40"/>
      <c r="B41" s="40"/>
      <c r="C41" s="40"/>
      <c r="D41" s="40"/>
      <c r="E41" s="40"/>
      <c r="F41" s="40"/>
      <c r="G41" s="40"/>
      <c r="H41" s="40"/>
      <c r="I41" s="40"/>
      <c r="J41" s="40"/>
      <c r="K41" s="40"/>
      <c r="L41" s="40"/>
      <c r="M41" s="40"/>
      <c r="N41" s="40"/>
      <c r="O41" s="40"/>
    </row>
    <row r="42" spans="1:15" hidden="1" x14ac:dyDescent="0.25">
      <c r="A42" s="40"/>
      <c r="B42" s="40"/>
      <c r="C42" s="40"/>
      <c r="D42" s="40"/>
      <c r="E42" s="40"/>
      <c r="F42" s="40"/>
      <c r="G42" s="40"/>
      <c r="H42" s="40"/>
      <c r="I42" s="40"/>
      <c r="J42" s="40"/>
      <c r="K42" s="40"/>
      <c r="L42" s="40"/>
      <c r="M42" s="40"/>
      <c r="N42" s="40"/>
      <c r="O42" s="40"/>
    </row>
    <row r="43" spans="1:15" hidden="1" x14ac:dyDescent="0.25">
      <c r="A43" s="40"/>
      <c r="B43" s="40"/>
      <c r="C43" s="40"/>
      <c r="D43" s="40"/>
      <c r="E43" s="40"/>
      <c r="F43" s="40"/>
      <c r="G43" s="40"/>
      <c r="H43" s="40"/>
      <c r="I43" s="40"/>
      <c r="J43" s="40"/>
      <c r="K43" s="40"/>
      <c r="L43" s="40"/>
      <c r="M43" s="40"/>
      <c r="N43" s="40"/>
      <c r="O43" s="40"/>
    </row>
    <row r="44" spans="1:15" hidden="1" x14ac:dyDescent="0.25">
      <c r="A44" s="40"/>
      <c r="B44" s="40"/>
      <c r="C44" s="40"/>
      <c r="D44" s="40"/>
      <c r="E44" s="40"/>
      <c r="F44" s="40"/>
      <c r="G44" s="40"/>
      <c r="H44" s="40"/>
      <c r="I44" s="40"/>
      <c r="J44" s="40"/>
      <c r="K44" s="40"/>
      <c r="L44" s="40"/>
      <c r="M44" s="40"/>
      <c r="N44" s="40"/>
      <c r="O44" s="40"/>
    </row>
    <row r="45" spans="1:15" hidden="1" x14ac:dyDescent="0.25">
      <c r="A45" s="40"/>
      <c r="B45" s="40"/>
      <c r="C45" s="40"/>
      <c r="D45" s="40"/>
      <c r="E45" s="40"/>
      <c r="F45" s="40"/>
      <c r="G45" s="40"/>
      <c r="H45" s="40"/>
      <c r="I45" s="40"/>
      <c r="J45" s="40"/>
      <c r="K45" s="40"/>
      <c r="L45" s="40"/>
      <c r="M45" s="40"/>
      <c r="N45" s="40"/>
      <c r="O45" s="40"/>
    </row>
    <row r="46" spans="1:15" hidden="1" x14ac:dyDescent="0.25">
      <c r="A46" s="40"/>
      <c r="B46" s="40"/>
      <c r="C46" s="40"/>
      <c r="D46" s="40"/>
      <c r="E46" s="40"/>
      <c r="F46" s="40"/>
      <c r="G46" s="40"/>
      <c r="H46" s="40"/>
      <c r="I46" s="40"/>
      <c r="J46" s="40"/>
      <c r="K46" s="40"/>
      <c r="L46" s="40"/>
      <c r="M46" s="40"/>
      <c r="N46" s="40"/>
      <c r="O46" s="40"/>
    </row>
  </sheetData>
  <sheetProtection algorithmName="SHA-512" hashValue="vn6dtAafvWPWqv4eGICyXDm46xxu46JB9/1TWBineyK+2bylnf5qs73+WRQi1pT0Atp3aXdXAPmb3iI7oqhy/Q==" saltValue="cDHSqTSaELzSTpBZof+qPA==" spinCount="100000" sheet="1" formatCells="0" formatColumns="0" formatRows="0" selectLockedCells="1" selectUnlockedCells="1"/>
  <mergeCells count="6">
    <mergeCell ref="B10:J10"/>
    <mergeCell ref="B11:J11"/>
    <mergeCell ref="B2:J4"/>
    <mergeCell ref="B5:C5"/>
    <mergeCell ref="B8:J8"/>
    <mergeCell ref="B9:J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8FAD7-DA75-4222-A529-4A5AE3369821}">
  <sheetPr codeName="Ark20"/>
  <dimension ref="A1:O46"/>
  <sheetViews>
    <sheetView showGridLines="0" showRowColHeaders="0" zoomScale="71" zoomScaleNormal="115" workbookViewId="0">
      <selection activeCell="G29" sqref="G29"/>
    </sheetView>
  </sheetViews>
  <sheetFormatPr defaultColWidth="0" defaultRowHeight="15" zeroHeight="1" x14ac:dyDescent="0.25"/>
  <cols>
    <col min="1" max="1" width="8.85546875" style="4" customWidth="1"/>
    <col min="2" max="2" width="17.85546875" style="4" customWidth="1"/>
    <col min="3" max="3" width="23.140625" style="4" customWidth="1"/>
    <col min="4" max="4" width="17.7109375" style="4" customWidth="1"/>
    <col min="5" max="5" width="17.28515625" style="4" customWidth="1"/>
    <col min="6" max="7" width="17.7109375" style="4" customWidth="1"/>
    <col min="8" max="8" width="8.85546875" style="4" customWidth="1"/>
    <col min="9" max="16384" width="8.85546875" style="4" hidden="1"/>
  </cols>
  <sheetData>
    <row r="1" spans="1:15" x14ac:dyDescent="0.25">
      <c r="A1" s="40"/>
      <c r="B1" s="40"/>
      <c r="C1" s="40"/>
      <c r="D1" s="40"/>
      <c r="E1" s="40"/>
      <c r="F1" s="40"/>
      <c r="G1" s="40"/>
      <c r="H1" s="40"/>
      <c r="I1" s="40"/>
      <c r="J1" s="40"/>
      <c r="K1" s="40"/>
      <c r="L1" s="40"/>
      <c r="M1" s="40"/>
      <c r="N1" s="40"/>
      <c r="O1" s="40"/>
    </row>
    <row r="2" spans="1:15" s="5" customFormat="1" ht="18.75" x14ac:dyDescent="0.3">
      <c r="A2" s="51"/>
      <c r="B2" s="140" t="s">
        <v>101</v>
      </c>
      <c r="C2" s="140"/>
      <c r="D2" s="140"/>
      <c r="E2" s="140"/>
      <c r="F2" s="140"/>
      <c r="G2" s="140"/>
      <c r="H2" s="51"/>
      <c r="I2" s="51"/>
      <c r="J2" s="51"/>
      <c r="K2" s="51"/>
      <c r="L2" s="51"/>
      <c r="M2" s="51"/>
      <c r="N2" s="51"/>
      <c r="O2" s="51"/>
    </row>
    <row r="3" spans="1:15" s="5" customFormat="1" ht="18.75" x14ac:dyDescent="0.3">
      <c r="A3" s="51"/>
      <c r="B3" s="140"/>
      <c r="C3" s="140"/>
      <c r="D3" s="140"/>
      <c r="E3" s="140"/>
      <c r="F3" s="140"/>
      <c r="G3" s="140"/>
      <c r="H3" s="51"/>
      <c r="I3" s="51"/>
      <c r="J3" s="51"/>
      <c r="K3" s="51"/>
      <c r="L3" s="51"/>
      <c r="M3" s="51"/>
      <c r="N3" s="51"/>
      <c r="O3" s="51"/>
    </row>
    <row r="4" spans="1:15" ht="15.75" thickBot="1" x14ac:dyDescent="0.3">
      <c r="A4" s="40"/>
      <c r="B4" s="141"/>
      <c r="C4" s="141"/>
      <c r="D4" s="141"/>
      <c r="E4" s="141"/>
      <c r="F4" s="141"/>
      <c r="G4" s="141"/>
      <c r="H4" s="40"/>
      <c r="I4" s="40"/>
      <c r="J4" s="40"/>
      <c r="K4" s="40"/>
      <c r="L4" s="40"/>
      <c r="M4" s="40"/>
      <c r="N4" s="40"/>
      <c r="O4" s="40"/>
    </row>
    <row r="5" spans="1:15" ht="15.75" thickBot="1" x14ac:dyDescent="0.3">
      <c r="A5" s="40"/>
      <c r="B5" s="133" t="s">
        <v>100</v>
      </c>
      <c r="C5" s="136" t="s">
        <v>99</v>
      </c>
      <c r="D5" s="137"/>
      <c r="E5" s="137"/>
      <c r="F5" s="137"/>
      <c r="G5" s="138"/>
      <c r="H5" s="40"/>
      <c r="I5" s="40"/>
      <c r="J5" s="40"/>
      <c r="K5" s="40"/>
      <c r="L5" s="40"/>
      <c r="M5" s="40"/>
      <c r="N5" s="40"/>
      <c r="O5" s="40"/>
    </row>
    <row r="6" spans="1:15" ht="15.75" thickBot="1" x14ac:dyDescent="0.3">
      <c r="A6" s="40"/>
      <c r="B6" s="135"/>
      <c r="C6" s="43" t="s">
        <v>98</v>
      </c>
      <c r="D6" s="43" t="s">
        <v>97</v>
      </c>
      <c r="E6" s="43" t="s">
        <v>96</v>
      </c>
      <c r="F6" s="43" t="s">
        <v>95</v>
      </c>
      <c r="G6" s="43" t="s">
        <v>94</v>
      </c>
      <c r="H6" s="40"/>
      <c r="I6" s="40"/>
      <c r="J6" s="40"/>
      <c r="K6" s="40"/>
      <c r="L6" s="40"/>
      <c r="M6" s="40"/>
      <c r="N6" s="40"/>
      <c r="O6" s="40"/>
    </row>
    <row r="7" spans="1:15" x14ac:dyDescent="0.25">
      <c r="A7" s="40"/>
      <c r="B7" s="106">
        <v>2</v>
      </c>
      <c r="C7" s="46">
        <v>0.75</v>
      </c>
      <c r="D7" s="46">
        <v>0.8</v>
      </c>
      <c r="E7" s="46">
        <v>0.85</v>
      </c>
      <c r="F7" s="46">
        <v>0.9</v>
      </c>
      <c r="G7" s="46">
        <v>0.9</v>
      </c>
      <c r="H7" s="40"/>
      <c r="I7" s="40"/>
      <c r="J7" s="40"/>
      <c r="K7" s="40"/>
      <c r="L7" s="40"/>
      <c r="M7" s="40"/>
      <c r="N7" s="40"/>
      <c r="O7" s="40"/>
    </row>
    <row r="8" spans="1:15" x14ac:dyDescent="0.25">
      <c r="A8" s="40"/>
      <c r="B8" s="106">
        <v>3</v>
      </c>
      <c r="C8" s="46">
        <v>0.65</v>
      </c>
      <c r="D8" s="46">
        <v>0.7</v>
      </c>
      <c r="E8" s="46">
        <v>0.75</v>
      </c>
      <c r="F8" s="46">
        <v>0.8</v>
      </c>
      <c r="G8" s="46">
        <v>0.85</v>
      </c>
      <c r="H8" s="40"/>
      <c r="I8" s="40"/>
      <c r="J8" s="40"/>
      <c r="K8" s="40"/>
      <c r="L8" s="40"/>
      <c r="M8" s="40"/>
      <c r="N8" s="40"/>
      <c r="O8" s="40"/>
    </row>
    <row r="9" spans="1:15" x14ac:dyDescent="0.25">
      <c r="A9" s="40"/>
      <c r="B9" s="106">
        <v>4</v>
      </c>
      <c r="C9" s="105">
        <v>0.6</v>
      </c>
      <c r="D9" s="46">
        <v>0.6</v>
      </c>
      <c r="E9" s="46">
        <v>0.7</v>
      </c>
      <c r="F9" s="46">
        <v>0.75</v>
      </c>
      <c r="G9" s="46">
        <v>0.8</v>
      </c>
      <c r="H9" s="40"/>
      <c r="I9" s="40"/>
      <c r="J9" s="40"/>
      <c r="K9" s="40"/>
      <c r="L9" s="40"/>
      <c r="M9" s="40"/>
      <c r="N9" s="40"/>
      <c r="O9" s="40"/>
    </row>
    <row r="10" spans="1:15" x14ac:dyDescent="0.25">
      <c r="A10" s="40"/>
      <c r="B10" s="106">
        <v>5</v>
      </c>
      <c r="C10" s="46">
        <v>0.55000000000000004</v>
      </c>
      <c r="D10" s="46">
        <v>0.55000000000000004</v>
      </c>
      <c r="E10" s="46">
        <v>0.65</v>
      </c>
      <c r="F10" s="46">
        <v>0.7</v>
      </c>
      <c r="G10" s="46">
        <v>0.8</v>
      </c>
      <c r="H10" s="40"/>
      <c r="I10" s="40"/>
      <c r="J10" s="40"/>
      <c r="K10" s="40"/>
      <c r="L10" s="40"/>
      <c r="M10" s="40"/>
      <c r="N10" s="40"/>
      <c r="O10" s="40"/>
    </row>
    <row r="11" spans="1:15" x14ac:dyDescent="0.25">
      <c r="A11" s="40"/>
      <c r="B11" s="106">
        <v>6</v>
      </c>
      <c r="C11" s="46">
        <v>0.5</v>
      </c>
      <c r="D11" s="46">
        <v>0.55000000000000004</v>
      </c>
      <c r="E11" s="46">
        <v>0.6</v>
      </c>
      <c r="F11" s="46">
        <v>0.7</v>
      </c>
      <c r="G11" s="46">
        <v>0.8</v>
      </c>
      <c r="H11" s="40"/>
      <c r="I11" s="40"/>
      <c r="J11" s="40"/>
      <c r="K11" s="40"/>
      <c r="L11" s="40"/>
      <c r="M11" s="40"/>
      <c r="N11" s="40"/>
      <c r="O11" s="40"/>
    </row>
    <row r="12" spans="1:15" x14ac:dyDescent="0.25">
      <c r="A12" s="40"/>
      <c r="B12" s="106">
        <v>7</v>
      </c>
      <c r="C12" s="46">
        <v>0.45</v>
      </c>
      <c r="D12" s="46">
        <v>0.51</v>
      </c>
      <c r="E12" s="46">
        <v>0.59</v>
      </c>
      <c r="F12" s="46">
        <v>0.67</v>
      </c>
      <c r="G12" s="46">
        <v>0.76</v>
      </c>
      <c r="H12" s="40"/>
      <c r="I12" s="40"/>
      <c r="J12" s="40"/>
      <c r="K12" s="40"/>
      <c r="L12" s="40"/>
      <c r="M12" s="40"/>
      <c r="N12" s="40"/>
      <c r="O12" s="40"/>
    </row>
    <row r="13" spans="1:15" x14ac:dyDescent="0.25">
      <c r="A13" s="40"/>
      <c r="B13" s="106">
        <v>8</v>
      </c>
      <c r="C13" s="46">
        <v>0.43</v>
      </c>
      <c r="D13" s="46">
        <v>0.48</v>
      </c>
      <c r="E13" s="46">
        <v>0.56999999999999995</v>
      </c>
      <c r="F13" s="46">
        <v>0.65</v>
      </c>
      <c r="G13" s="46">
        <v>0.75</v>
      </c>
      <c r="H13" s="40"/>
      <c r="I13" s="40"/>
      <c r="J13" s="40"/>
      <c r="K13" s="40"/>
      <c r="L13" s="40"/>
      <c r="M13" s="40"/>
      <c r="N13" s="40"/>
      <c r="O13" s="40"/>
    </row>
    <row r="14" spans="1:15" x14ac:dyDescent="0.25">
      <c r="A14" s="40"/>
      <c r="B14" s="106">
        <v>9</v>
      </c>
      <c r="C14" s="46">
        <v>0.41</v>
      </c>
      <c r="D14" s="46">
        <v>0.46</v>
      </c>
      <c r="E14" s="46">
        <v>0.55000000000000004</v>
      </c>
      <c r="F14" s="46">
        <v>0.63</v>
      </c>
      <c r="G14" s="46">
        <v>0.74</v>
      </c>
      <c r="H14" s="40"/>
      <c r="I14" s="40"/>
      <c r="J14" s="40"/>
      <c r="K14" s="40"/>
      <c r="L14" s="40"/>
      <c r="M14" s="40"/>
      <c r="N14" s="40"/>
      <c r="O14" s="40"/>
    </row>
    <row r="15" spans="1:15" x14ac:dyDescent="0.25">
      <c r="A15" s="40"/>
      <c r="B15" s="106">
        <v>12</v>
      </c>
      <c r="C15" s="46">
        <v>0.36</v>
      </c>
      <c r="D15" s="46">
        <v>0.42</v>
      </c>
      <c r="E15" s="46">
        <v>0.51</v>
      </c>
      <c r="F15" s="46">
        <v>0.59</v>
      </c>
      <c r="G15" s="46">
        <v>0.71</v>
      </c>
      <c r="H15" s="40"/>
      <c r="I15" s="40"/>
      <c r="J15" s="40"/>
      <c r="K15" s="40"/>
      <c r="L15" s="40"/>
      <c r="M15" s="40"/>
      <c r="N15" s="40"/>
      <c r="O15" s="40"/>
    </row>
    <row r="16" spans="1:15" x14ac:dyDescent="0.25">
      <c r="A16" s="40"/>
      <c r="B16" s="106">
        <v>16</v>
      </c>
      <c r="C16" s="46">
        <v>0.32</v>
      </c>
      <c r="D16" s="46">
        <v>0.38</v>
      </c>
      <c r="E16" s="46">
        <v>0.47</v>
      </c>
      <c r="F16" s="46">
        <v>0.56000000000000005</v>
      </c>
      <c r="G16" s="46">
        <v>0.68</v>
      </c>
      <c r="H16" s="40"/>
      <c r="I16" s="40"/>
      <c r="J16" s="40"/>
      <c r="K16" s="40"/>
      <c r="L16" s="40"/>
      <c r="M16" s="40"/>
      <c r="N16" s="40"/>
      <c r="O16" s="40"/>
    </row>
    <row r="17" spans="1:15" ht="15.75" thickBot="1" x14ac:dyDescent="0.3">
      <c r="A17" s="40"/>
      <c r="B17" s="107">
        <v>20</v>
      </c>
      <c r="C17" s="43">
        <v>0.28999999999999998</v>
      </c>
      <c r="D17" s="43">
        <v>0.35</v>
      </c>
      <c r="E17" s="43">
        <v>0.44</v>
      </c>
      <c r="F17" s="43">
        <v>0.53</v>
      </c>
      <c r="G17" s="43">
        <v>0.66</v>
      </c>
      <c r="H17" s="40"/>
      <c r="I17" s="40"/>
      <c r="J17" s="40"/>
      <c r="K17" s="40"/>
      <c r="L17" s="40"/>
      <c r="M17" s="40"/>
      <c r="N17" s="40"/>
      <c r="O17" s="40"/>
    </row>
    <row r="18" spans="1:15" x14ac:dyDescent="0.25">
      <c r="A18" s="40"/>
      <c r="B18" s="154" t="s">
        <v>93</v>
      </c>
      <c r="C18" s="155"/>
      <c r="D18" s="155"/>
      <c r="E18" s="155"/>
      <c r="F18" s="155"/>
      <c r="G18" s="156"/>
      <c r="H18" s="40"/>
      <c r="I18" s="40"/>
      <c r="J18" s="40"/>
      <c r="K18" s="40"/>
      <c r="L18" s="40"/>
      <c r="M18" s="40"/>
      <c r="N18" s="40"/>
      <c r="O18" s="40"/>
    </row>
    <row r="19" spans="1:15" x14ac:dyDescent="0.25">
      <c r="A19" s="40"/>
      <c r="B19" s="157"/>
      <c r="C19" s="158"/>
      <c r="D19" s="158"/>
      <c r="E19" s="158"/>
      <c r="F19" s="158"/>
      <c r="G19" s="159"/>
      <c r="H19" s="40"/>
      <c r="I19" s="40"/>
      <c r="J19" s="40"/>
      <c r="K19" s="40"/>
      <c r="L19" s="40"/>
      <c r="M19" s="40"/>
      <c r="N19" s="40"/>
      <c r="O19" s="40"/>
    </row>
    <row r="20" spans="1:15" x14ac:dyDescent="0.25">
      <c r="A20" s="40"/>
      <c r="B20" s="157"/>
      <c r="C20" s="158"/>
      <c r="D20" s="158"/>
      <c r="E20" s="158"/>
      <c r="F20" s="158"/>
      <c r="G20" s="159"/>
      <c r="H20" s="40"/>
      <c r="I20" s="40"/>
      <c r="J20" s="40"/>
      <c r="K20" s="40"/>
      <c r="L20" s="40"/>
      <c r="M20" s="40"/>
      <c r="N20" s="40"/>
      <c r="O20" s="40"/>
    </row>
    <row r="21" spans="1:15" ht="59.45" customHeight="1" thickBot="1" x14ac:dyDescent="0.3">
      <c r="A21" s="40"/>
      <c r="B21" s="160"/>
      <c r="C21" s="161"/>
      <c r="D21" s="161"/>
      <c r="E21" s="161"/>
      <c r="F21" s="161"/>
      <c r="G21" s="162"/>
      <c r="H21" s="40"/>
      <c r="I21" s="40"/>
      <c r="J21" s="40"/>
      <c r="K21" s="40"/>
      <c r="L21" s="40"/>
      <c r="M21" s="40"/>
      <c r="N21" s="40"/>
      <c r="O21" s="40"/>
    </row>
    <row r="22" spans="1:15" x14ac:dyDescent="0.25">
      <c r="A22" s="40"/>
      <c r="B22" s="154" t="s">
        <v>92</v>
      </c>
      <c r="C22" s="155"/>
      <c r="D22" s="155"/>
      <c r="E22" s="155"/>
      <c r="F22" s="155"/>
      <c r="G22" s="156"/>
      <c r="H22" s="40"/>
      <c r="I22" s="40"/>
      <c r="J22" s="40"/>
      <c r="K22" s="40"/>
      <c r="L22" s="40"/>
      <c r="M22" s="40"/>
      <c r="N22" s="40"/>
      <c r="O22" s="40"/>
    </row>
    <row r="23" spans="1:15" x14ac:dyDescent="0.25">
      <c r="A23" s="40"/>
      <c r="B23" s="157"/>
      <c r="C23" s="158"/>
      <c r="D23" s="158"/>
      <c r="E23" s="158"/>
      <c r="F23" s="158"/>
      <c r="G23" s="159"/>
      <c r="H23" s="40"/>
      <c r="I23" s="40"/>
      <c r="J23" s="40"/>
      <c r="K23" s="40"/>
      <c r="L23" s="40"/>
      <c r="M23" s="40"/>
      <c r="N23" s="40"/>
      <c r="O23" s="40"/>
    </row>
    <row r="24" spans="1:15" x14ac:dyDescent="0.25">
      <c r="A24" s="40"/>
      <c r="B24" s="157"/>
      <c r="C24" s="158"/>
      <c r="D24" s="158"/>
      <c r="E24" s="158"/>
      <c r="F24" s="158"/>
      <c r="G24" s="159"/>
      <c r="H24" s="40"/>
      <c r="I24" s="40"/>
      <c r="J24" s="40"/>
      <c r="K24" s="40"/>
      <c r="L24" s="40"/>
      <c r="M24" s="40"/>
      <c r="N24" s="40"/>
      <c r="O24" s="40"/>
    </row>
    <row r="25" spans="1:15" ht="63.6" customHeight="1" thickBot="1" x14ac:dyDescent="0.3">
      <c r="A25" s="40"/>
      <c r="B25" s="160"/>
      <c r="C25" s="161"/>
      <c r="D25" s="161"/>
      <c r="E25" s="161"/>
      <c r="F25" s="161"/>
      <c r="G25" s="162"/>
      <c r="H25" s="40"/>
      <c r="I25" s="40"/>
      <c r="J25" s="40"/>
      <c r="K25" s="40"/>
      <c r="L25" s="40"/>
      <c r="M25" s="40"/>
      <c r="N25" s="40"/>
      <c r="O25" s="40"/>
    </row>
    <row r="26" spans="1:15" ht="72" customHeight="1" x14ac:dyDescent="0.25">
      <c r="A26" s="40"/>
      <c r="B26" s="163" t="s">
        <v>91</v>
      </c>
      <c r="C26" s="164"/>
      <c r="D26" s="164"/>
      <c r="E26" s="164"/>
      <c r="F26" s="164"/>
      <c r="G26" s="165"/>
      <c r="H26" s="40"/>
      <c r="I26" s="40"/>
      <c r="J26" s="40"/>
      <c r="K26" s="40"/>
      <c r="L26" s="40"/>
      <c r="M26" s="40"/>
      <c r="N26" s="40"/>
      <c r="O26" s="40"/>
    </row>
    <row r="27" spans="1:15" ht="36" customHeight="1" x14ac:dyDescent="0.25">
      <c r="A27" s="40"/>
      <c r="B27" s="166" t="s">
        <v>90</v>
      </c>
      <c r="C27" s="167"/>
      <c r="D27" s="167"/>
      <c r="E27" s="167"/>
      <c r="F27" s="167"/>
      <c r="G27" s="168"/>
      <c r="H27" s="40"/>
      <c r="I27" s="40"/>
      <c r="J27" s="40"/>
      <c r="K27" s="40"/>
      <c r="L27" s="40"/>
      <c r="M27" s="40"/>
      <c r="N27" s="40"/>
      <c r="O27" s="40"/>
    </row>
    <row r="28" spans="1:15" ht="24" customHeight="1" thickBot="1" x14ac:dyDescent="0.3">
      <c r="A28" s="40"/>
      <c r="B28" s="151" t="s">
        <v>89</v>
      </c>
      <c r="C28" s="152"/>
      <c r="D28" s="152"/>
      <c r="E28" s="152"/>
      <c r="F28" s="152"/>
      <c r="G28" s="153"/>
      <c r="H28" s="40"/>
      <c r="I28" s="40"/>
      <c r="J28" s="40"/>
      <c r="K28" s="40"/>
      <c r="L28" s="40"/>
      <c r="M28" s="40"/>
      <c r="N28" s="40"/>
      <c r="O28" s="40"/>
    </row>
    <row r="29" spans="1:15" x14ac:dyDescent="0.25">
      <c r="A29" s="40"/>
      <c r="B29" s="40"/>
      <c r="C29" s="40"/>
      <c r="D29" s="40"/>
      <c r="E29" s="40"/>
      <c r="F29" s="40"/>
      <c r="G29" s="40"/>
      <c r="H29" s="40"/>
      <c r="I29" s="40"/>
      <c r="J29" s="40"/>
      <c r="K29" s="40"/>
      <c r="L29" s="40"/>
      <c r="M29" s="40"/>
      <c r="N29" s="40"/>
      <c r="O29" s="40"/>
    </row>
    <row r="30" spans="1:15" x14ac:dyDescent="0.25">
      <c r="A30" s="40"/>
      <c r="B30" s="40"/>
      <c r="C30" s="40"/>
      <c r="D30" s="40"/>
      <c r="E30" s="40"/>
      <c r="F30" s="40"/>
      <c r="G30" s="40"/>
      <c r="H30" s="40"/>
      <c r="I30" s="40"/>
      <c r="J30" s="40"/>
      <c r="K30" s="40"/>
      <c r="L30" s="40"/>
      <c r="M30" s="40"/>
      <c r="N30" s="40"/>
      <c r="O30" s="40"/>
    </row>
    <row r="31" spans="1:15" hidden="1" x14ac:dyDescent="0.25">
      <c r="A31" s="40"/>
      <c r="B31" s="40"/>
      <c r="C31" s="40"/>
      <c r="D31" s="40"/>
      <c r="E31" s="40"/>
      <c r="F31" s="40"/>
      <c r="G31" s="40"/>
      <c r="H31" s="40"/>
      <c r="I31" s="40"/>
      <c r="J31" s="40"/>
      <c r="K31" s="40"/>
      <c r="L31" s="40"/>
      <c r="M31" s="40"/>
      <c r="N31" s="40"/>
      <c r="O31" s="40"/>
    </row>
    <row r="32" spans="1:15" hidden="1" x14ac:dyDescent="0.25">
      <c r="A32" s="40"/>
      <c r="B32" s="40"/>
      <c r="C32" s="40"/>
      <c r="D32" s="40"/>
      <c r="E32" s="40"/>
      <c r="F32" s="40"/>
      <c r="G32" s="40"/>
      <c r="H32" s="40"/>
      <c r="I32" s="40"/>
      <c r="J32" s="40"/>
      <c r="K32" s="40"/>
      <c r="L32" s="40"/>
      <c r="M32" s="40"/>
      <c r="N32" s="40"/>
      <c r="O32" s="40"/>
    </row>
    <row r="33" spans="1:15" hidden="1" x14ac:dyDescent="0.25">
      <c r="A33" s="40"/>
      <c r="B33" s="40"/>
      <c r="C33" s="40"/>
      <c r="D33" s="40"/>
      <c r="E33" s="40"/>
      <c r="F33" s="40"/>
      <c r="G33" s="40"/>
      <c r="H33" s="40"/>
      <c r="I33" s="40"/>
      <c r="J33" s="40"/>
      <c r="K33" s="40"/>
      <c r="L33" s="40"/>
      <c r="M33" s="40"/>
      <c r="N33" s="40"/>
      <c r="O33" s="40"/>
    </row>
    <row r="34" spans="1:15" hidden="1" x14ac:dyDescent="0.25">
      <c r="A34" s="40"/>
      <c r="B34" s="40"/>
      <c r="C34" s="40"/>
      <c r="D34" s="40"/>
      <c r="E34" s="40"/>
      <c r="F34" s="40"/>
      <c r="G34" s="40"/>
      <c r="H34" s="40"/>
      <c r="I34" s="40"/>
      <c r="J34" s="40"/>
      <c r="K34" s="40"/>
      <c r="L34" s="40"/>
      <c r="M34" s="40"/>
      <c r="N34" s="40"/>
      <c r="O34" s="40"/>
    </row>
    <row r="35" spans="1:15" hidden="1" x14ac:dyDescent="0.25">
      <c r="A35" s="40"/>
      <c r="B35" s="40"/>
      <c r="C35" s="40"/>
      <c r="D35" s="40"/>
      <c r="E35" s="40"/>
      <c r="F35" s="40"/>
      <c r="G35" s="40"/>
      <c r="H35" s="40"/>
      <c r="I35" s="40"/>
      <c r="J35" s="40"/>
      <c r="K35" s="40"/>
      <c r="L35" s="40"/>
      <c r="M35" s="40"/>
      <c r="N35" s="40"/>
      <c r="O35" s="40"/>
    </row>
    <row r="36" spans="1:15" hidden="1" x14ac:dyDescent="0.25">
      <c r="A36" s="40"/>
      <c r="B36" s="40"/>
      <c r="C36" s="40"/>
      <c r="D36" s="40"/>
      <c r="E36" s="40"/>
      <c r="F36" s="40"/>
      <c r="G36" s="40"/>
      <c r="H36" s="40"/>
      <c r="I36" s="40"/>
      <c r="J36" s="40"/>
      <c r="K36" s="40"/>
      <c r="L36" s="40"/>
      <c r="M36" s="40"/>
      <c r="N36" s="40"/>
      <c r="O36" s="40"/>
    </row>
    <row r="37" spans="1:15" hidden="1" x14ac:dyDescent="0.25">
      <c r="A37" s="40"/>
      <c r="B37" s="40"/>
      <c r="C37" s="40"/>
      <c r="D37" s="40"/>
      <c r="E37" s="40"/>
      <c r="F37" s="40"/>
      <c r="G37" s="40"/>
      <c r="H37" s="40"/>
      <c r="I37" s="40"/>
      <c r="J37" s="40"/>
      <c r="K37" s="40"/>
      <c r="L37" s="40"/>
      <c r="M37" s="40"/>
      <c r="N37" s="40"/>
      <c r="O37" s="40"/>
    </row>
    <row r="38" spans="1:15" hidden="1" x14ac:dyDescent="0.25">
      <c r="A38" s="40"/>
      <c r="B38" s="40"/>
      <c r="C38" s="40"/>
      <c r="D38" s="40"/>
      <c r="E38" s="40"/>
      <c r="F38" s="40"/>
      <c r="G38" s="40"/>
      <c r="H38" s="40"/>
      <c r="I38" s="40"/>
      <c r="J38" s="40"/>
      <c r="K38" s="40"/>
      <c r="L38" s="40"/>
      <c r="M38" s="40"/>
      <c r="N38" s="40"/>
      <c r="O38" s="40"/>
    </row>
    <row r="39" spans="1:15" hidden="1" x14ac:dyDescent="0.25">
      <c r="A39" s="40"/>
      <c r="B39" s="40"/>
      <c r="C39" s="40"/>
      <c r="D39" s="40"/>
      <c r="E39" s="40"/>
      <c r="F39" s="40"/>
      <c r="G39" s="40"/>
      <c r="H39" s="40"/>
      <c r="I39" s="40"/>
      <c r="J39" s="40"/>
      <c r="K39" s="40"/>
      <c r="L39" s="40"/>
      <c r="M39" s="40"/>
      <c r="N39" s="40"/>
      <c r="O39" s="40"/>
    </row>
    <row r="40" spans="1:15" hidden="1" x14ac:dyDescent="0.25">
      <c r="A40" s="40"/>
      <c r="B40" s="40"/>
      <c r="C40" s="40"/>
      <c r="D40" s="40"/>
      <c r="E40" s="40"/>
      <c r="F40" s="40"/>
      <c r="G40" s="40"/>
      <c r="H40" s="40"/>
      <c r="I40" s="40"/>
      <c r="J40" s="40"/>
      <c r="K40" s="40"/>
      <c r="L40" s="40"/>
      <c r="M40" s="40"/>
      <c r="N40" s="40"/>
      <c r="O40" s="40"/>
    </row>
    <row r="41" spans="1:15" hidden="1" x14ac:dyDescent="0.25">
      <c r="A41" s="40"/>
      <c r="B41" s="40"/>
      <c r="C41" s="40"/>
      <c r="D41" s="40"/>
      <c r="E41" s="40"/>
      <c r="F41" s="40"/>
      <c r="G41" s="40"/>
      <c r="H41" s="40"/>
      <c r="I41" s="40"/>
      <c r="J41" s="40"/>
      <c r="K41" s="40"/>
      <c r="L41" s="40"/>
      <c r="M41" s="40"/>
      <c r="N41" s="40"/>
      <c r="O41" s="40"/>
    </row>
    <row r="42" spans="1:15" hidden="1" x14ac:dyDescent="0.25">
      <c r="A42" s="40"/>
      <c r="B42" s="40"/>
      <c r="C42" s="40"/>
      <c r="D42" s="40"/>
      <c r="E42" s="40"/>
      <c r="F42" s="40"/>
      <c r="G42" s="40"/>
      <c r="H42" s="40"/>
      <c r="I42" s="40"/>
      <c r="J42" s="40"/>
      <c r="K42" s="40"/>
      <c r="L42" s="40"/>
      <c r="M42" s="40"/>
      <c r="N42" s="40"/>
      <c r="O42" s="40"/>
    </row>
    <row r="43" spans="1:15" hidden="1" x14ac:dyDescent="0.25">
      <c r="A43" s="40"/>
      <c r="B43" s="40"/>
      <c r="C43" s="40"/>
      <c r="D43" s="40"/>
      <c r="E43" s="40"/>
      <c r="F43" s="40"/>
      <c r="G43" s="40"/>
      <c r="H43" s="40"/>
      <c r="I43" s="40"/>
      <c r="J43" s="40"/>
      <c r="K43" s="40"/>
      <c r="L43" s="40"/>
      <c r="M43" s="40"/>
      <c r="N43" s="40"/>
      <c r="O43" s="40"/>
    </row>
    <row r="44" spans="1:15" hidden="1" x14ac:dyDescent="0.25">
      <c r="A44" s="40"/>
      <c r="B44" s="40"/>
      <c r="C44" s="40"/>
      <c r="D44" s="40"/>
      <c r="E44" s="40"/>
      <c r="F44" s="40"/>
      <c r="G44" s="40"/>
      <c r="H44" s="40"/>
      <c r="I44" s="40"/>
      <c r="J44" s="40"/>
      <c r="K44" s="40"/>
      <c r="L44" s="40"/>
      <c r="M44" s="40"/>
      <c r="N44" s="40"/>
      <c r="O44" s="40"/>
    </row>
    <row r="45" spans="1:15" hidden="1" x14ac:dyDescent="0.25">
      <c r="A45" s="40"/>
      <c r="B45" s="40"/>
      <c r="C45" s="40"/>
      <c r="D45" s="40"/>
      <c r="E45" s="40"/>
      <c r="F45" s="40"/>
      <c r="G45" s="40"/>
      <c r="H45" s="40"/>
      <c r="I45" s="40"/>
      <c r="J45" s="40"/>
      <c r="K45" s="40"/>
      <c r="L45" s="40"/>
      <c r="M45" s="40"/>
      <c r="N45" s="40"/>
      <c r="O45" s="40"/>
    </row>
    <row r="46" spans="1:15" hidden="1" x14ac:dyDescent="0.25">
      <c r="A46" s="40"/>
      <c r="B46" s="40"/>
      <c r="C46" s="40"/>
      <c r="D46" s="40"/>
      <c r="E46" s="40"/>
      <c r="F46" s="40"/>
      <c r="G46" s="40"/>
      <c r="H46" s="40"/>
      <c r="I46" s="40"/>
      <c r="J46" s="40"/>
      <c r="K46" s="40"/>
      <c r="L46" s="40"/>
      <c r="M46" s="40"/>
      <c r="N46" s="40"/>
      <c r="O46" s="40"/>
    </row>
  </sheetData>
  <sheetProtection algorithmName="SHA-512" hashValue="PxJmGHZFIJdQSc6quFByEsxiGxon5BJ5WQxMFIXyNV/QzEPyjbINIMDM0yeYjbE+w0tEZmnUSyJr8PwZF1v7LQ==" saltValue="qkkVZVE7NJfnJGlTHIg/hw==" spinCount="100000" sheet="1" objects="1" scenarios="1" formatCells="0" formatColumns="0" formatRows="0" selectLockedCells="1" selectUnlockedCells="1"/>
  <mergeCells count="8">
    <mergeCell ref="B2:G4"/>
    <mergeCell ref="B28:G28"/>
    <mergeCell ref="B5:B6"/>
    <mergeCell ref="C5:G5"/>
    <mergeCell ref="B18:G21"/>
    <mergeCell ref="B22:G25"/>
    <mergeCell ref="B26:G26"/>
    <mergeCell ref="B27:G27"/>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2"/>
  <dimension ref="A1:O46"/>
  <sheetViews>
    <sheetView showGridLines="0" showRowColHeaders="0" zoomScale="75" zoomScaleNormal="100" workbookViewId="0">
      <selection activeCell="G29" sqref="G29"/>
    </sheetView>
  </sheetViews>
  <sheetFormatPr defaultColWidth="0" defaultRowHeight="15" zeroHeight="1" x14ac:dyDescent="0.25"/>
  <cols>
    <col min="1" max="1" width="8.85546875" customWidth="1"/>
    <col min="2" max="2" width="10.28515625" bestFit="1" customWidth="1"/>
    <col min="3" max="8" width="8.85546875" customWidth="1"/>
    <col min="9" max="9" width="9.42578125" customWidth="1"/>
    <col min="10" max="15" width="8.85546875" customWidth="1"/>
    <col min="16" max="16384" width="8.85546875" hidden="1"/>
  </cols>
  <sheetData>
    <row r="1" spans="1:15" x14ac:dyDescent="0.25">
      <c r="A1" s="40"/>
      <c r="B1" s="40"/>
      <c r="C1" s="40"/>
      <c r="D1" s="40"/>
      <c r="E1" s="40"/>
      <c r="F1" s="40"/>
      <c r="G1" s="40"/>
      <c r="H1" s="40"/>
      <c r="I1" s="40"/>
      <c r="J1" s="40"/>
      <c r="K1" s="40"/>
      <c r="L1" s="40"/>
      <c r="M1" s="40"/>
      <c r="N1" s="40"/>
      <c r="O1" s="40"/>
    </row>
    <row r="2" spans="1:15" x14ac:dyDescent="0.25">
      <c r="A2" s="40"/>
      <c r="B2" s="172" t="s">
        <v>45</v>
      </c>
      <c r="C2" s="172"/>
      <c r="D2" s="172"/>
      <c r="E2" s="172"/>
      <c r="F2" s="172"/>
      <c r="G2" s="172"/>
      <c r="H2" s="172"/>
      <c r="I2" s="172"/>
      <c r="J2" s="172"/>
      <c r="K2" s="172"/>
      <c r="L2" s="172"/>
      <c r="M2" s="172"/>
      <c r="N2" s="172"/>
      <c r="O2" s="40"/>
    </row>
    <row r="3" spans="1:15" ht="15.75" thickBot="1" x14ac:dyDescent="0.3">
      <c r="A3" s="40"/>
      <c r="B3" s="173"/>
      <c r="C3" s="173"/>
      <c r="D3" s="173"/>
      <c r="E3" s="173"/>
      <c r="F3" s="173"/>
      <c r="G3" s="173"/>
      <c r="H3" s="173"/>
      <c r="I3" s="173"/>
      <c r="J3" s="173"/>
      <c r="K3" s="173"/>
      <c r="L3" s="173"/>
      <c r="M3" s="173"/>
      <c r="N3" s="173"/>
      <c r="O3" s="40"/>
    </row>
    <row r="4" spans="1:15" ht="48.75" thickBot="1" x14ac:dyDescent="0.3">
      <c r="A4" s="40"/>
      <c r="B4" s="41" t="s">
        <v>40</v>
      </c>
      <c r="C4" s="136" t="s">
        <v>41</v>
      </c>
      <c r="D4" s="137"/>
      <c r="E4" s="137"/>
      <c r="F4" s="137"/>
      <c r="G4" s="137"/>
      <c r="H4" s="137"/>
      <c r="I4" s="137"/>
      <c r="J4" s="137"/>
      <c r="K4" s="137"/>
      <c r="L4" s="137"/>
      <c r="M4" s="137"/>
      <c r="N4" s="138"/>
      <c r="O4" s="40"/>
    </row>
    <row r="5" spans="1:15" ht="15.75" thickBot="1" x14ac:dyDescent="0.3">
      <c r="A5" s="40"/>
      <c r="B5" s="107" t="s">
        <v>2</v>
      </c>
      <c r="C5" s="42"/>
      <c r="D5" s="43" t="s">
        <v>13</v>
      </c>
      <c r="E5" s="43" t="s">
        <v>12</v>
      </c>
      <c r="F5" s="42"/>
      <c r="G5" s="43" t="s">
        <v>15</v>
      </c>
      <c r="H5" s="43" t="s">
        <v>14</v>
      </c>
      <c r="I5" s="42"/>
      <c r="J5" s="42"/>
      <c r="K5" s="42"/>
      <c r="L5" s="42"/>
      <c r="M5" s="42"/>
      <c r="N5" s="42"/>
      <c r="O5" s="40"/>
    </row>
    <row r="6" spans="1:15" ht="15.75" thickBot="1" x14ac:dyDescent="0.3">
      <c r="A6" s="40"/>
      <c r="B6" s="107" t="s">
        <v>3</v>
      </c>
      <c r="C6" s="43" t="s">
        <v>13</v>
      </c>
      <c r="D6" s="43" t="s">
        <v>12</v>
      </c>
      <c r="E6" s="42"/>
      <c r="F6" s="43" t="s">
        <v>15</v>
      </c>
      <c r="G6" s="43" t="s">
        <v>14</v>
      </c>
      <c r="H6" s="42"/>
      <c r="I6" s="42"/>
      <c r="J6" s="42"/>
      <c r="K6" s="42"/>
      <c r="L6" s="42"/>
      <c r="M6" s="42"/>
      <c r="N6" s="42"/>
      <c r="O6" s="40"/>
    </row>
    <row r="7" spans="1:15" ht="15.75" thickBot="1" x14ac:dyDescent="0.3">
      <c r="A7" s="40"/>
      <c r="B7" s="107" t="s">
        <v>4</v>
      </c>
      <c r="C7" s="42"/>
      <c r="D7" s="42"/>
      <c r="E7" s="42"/>
      <c r="F7" s="43" t="s">
        <v>13</v>
      </c>
      <c r="G7" s="43" t="s">
        <v>12</v>
      </c>
      <c r="H7" s="42"/>
      <c r="I7" s="43" t="s">
        <v>15</v>
      </c>
      <c r="J7" s="42"/>
      <c r="K7" s="43" t="s">
        <v>14</v>
      </c>
      <c r="L7" s="42"/>
      <c r="M7" s="42"/>
      <c r="N7" s="42"/>
      <c r="O7" s="40"/>
    </row>
    <row r="8" spans="1:15" ht="15.75" thickBot="1" x14ac:dyDescent="0.3">
      <c r="A8" s="40"/>
      <c r="B8" s="107" t="s">
        <v>5</v>
      </c>
      <c r="C8" s="42"/>
      <c r="D8" s="42"/>
      <c r="E8" s="43" t="s">
        <v>13</v>
      </c>
      <c r="F8" s="43" t="s">
        <v>12</v>
      </c>
      <c r="G8" s="42"/>
      <c r="H8" s="43" t="s">
        <v>15</v>
      </c>
      <c r="I8" s="43" t="s">
        <v>14</v>
      </c>
      <c r="J8" s="42"/>
      <c r="K8" s="42"/>
      <c r="L8" s="42"/>
      <c r="M8" s="42"/>
      <c r="N8" s="42"/>
      <c r="O8" s="40"/>
    </row>
    <row r="9" spans="1:15" ht="15.75" thickBot="1" x14ac:dyDescent="0.3">
      <c r="A9" s="40"/>
      <c r="B9" s="107" t="s">
        <v>6</v>
      </c>
      <c r="C9" s="42"/>
      <c r="D9" s="42"/>
      <c r="E9" s="42"/>
      <c r="F9" s="42"/>
      <c r="G9" s="43" t="s">
        <v>13</v>
      </c>
      <c r="H9" s="42"/>
      <c r="I9" s="43" t="s">
        <v>12</v>
      </c>
      <c r="J9" s="43" t="s">
        <v>15</v>
      </c>
      <c r="K9" s="42"/>
      <c r="L9" s="43" t="s">
        <v>14</v>
      </c>
      <c r="M9" s="42"/>
      <c r="N9" s="42"/>
      <c r="O9" s="40"/>
    </row>
    <row r="10" spans="1:15" ht="15.75" thickBot="1" x14ac:dyDescent="0.3">
      <c r="A10" s="40"/>
      <c r="B10" s="107" t="s">
        <v>9</v>
      </c>
      <c r="C10" s="42"/>
      <c r="D10" s="42"/>
      <c r="E10" s="42"/>
      <c r="F10" s="42"/>
      <c r="G10" s="42"/>
      <c r="H10" s="43" t="s">
        <v>13</v>
      </c>
      <c r="I10" s="42"/>
      <c r="J10" s="43" t="s">
        <v>12</v>
      </c>
      <c r="K10" s="43" t="s">
        <v>15</v>
      </c>
      <c r="L10" s="42"/>
      <c r="M10" s="43" t="s">
        <v>14</v>
      </c>
      <c r="N10" s="42"/>
      <c r="O10" s="40"/>
    </row>
    <row r="11" spans="1:15" ht="15.75" thickBot="1" x14ac:dyDescent="0.3">
      <c r="A11" s="40"/>
      <c r="B11" s="107" t="s">
        <v>10</v>
      </c>
      <c r="C11" s="42"/>
      <c r="D11" s="42"/>
      <c r="E11" s="42"/>
      <c r="F11" s="42"/>
      <c r="G11" s="42"/>
      <c r="H11" s="42"/>
      <c r="I11" s="43" t="s">
        <v>13</v>
      </c>
      <c r="J11" s="42"/>
      <c r="K11" s="43" t="s">
        <v>12</v>
      </c>
      <c r="L11" s="43" t="s">
        <v>15</v>
      </c>
      <c r="M11" s="42"/>
      <c r="N11" s="43" t="s">
        <v>14</v>
      </c>
      <c r="O11" s="40"/>
    </row>
    <row r="12" spans="1:15" ht="15.75" thickBot="1" x14ac:dyDescent="0.3">
      <c r="A12" s="40"/>
      <c r="B12" s="44">
        <v>1</v>
      </c>
      <c r="C12" s="45">
        <v>2</v>
      </c>
      <c r="D12" s="45">
        <v>3</v>
      </c>
      <c r="E12" s="45">
        <v>4</v>
      </c>
      <c r="F12" s="45">
        <v>5</v>
      </c>
      <c r="G12" s="45">
        <v>6</v>
      </c>
      <c r="H12" s="45">
        <v>7</v>
      </c>
      <c r="I12" s="45">
        <v>8</v>
      </c>
      <c r="J12" s="45">
        <v>9</v>
      </c>
      <c r="K12" s="45">
        <v>10</v>
      </c>
      <c r="L12" s="45">
        <v>11</v>
      </c>
      <c r="M12" s="45">
        <v>12</v>
      </c>
      <c r="N12" s="45">
        <v>13</v>
      </c>
      <c r="O12" s="40"/>
    </row>
    <row r="13" spans="1:15" ht="37.5" x14ac:dyDescent="0.25">
      <c r="A13" s="40"/>
      <c r="B13" s="106" t="s">
        <v>42</v>
      </c>
      <c r="C13" s="46"/>
      <c r="D13" s="46"/>
      <c r="E13" s="46"/>
      <c r="F13" s="46"/>
      <c r="G13" s="46"/>
      <c r="H13" s="46"/>
      <c r="I13" s="46"/>
      <c r="J13" s="46"/>
      <c r="K13" s="46"/>
      <c r="L13" s="46"/>
      <c r="M13" s="46"/>
      <c r="N13" s="46"/>
      <c r="O13" s="40"/>
    </row>
    <row r="14" spans="1:15" x14ac:dyDescent="0.25">
      <c r="A14" s="40"/>
      <c r="B14" s="106">
        <v>1.5</v>
      </c>
      <c r="C14" s="46">
        <v>13</v>
      </c>
      <c r="D14" s="46">
        <v>13.5</v>
      </c>
      <c r="E14" s="46">
        <v>14.5</v>
      </c>
      <c r="F14" s="46">
        <v>15.5</v>
      </c>
      <c r="G14" s="46">
        <v>17</v>
      </c>
      <c r="H14" s="46">
        <v>18.5</v>
      </c>
      <c r="I14" s="77">
        <v>19.5</v>
      </c>
      <c r="J14" s="46">
        <v>22</v>
      </c>
      <c r="K14" s="46">
        <v>23</v>
      </c>
      <c r="L14" s="46">
        <v>24</v>
      </c>
      <c r="M14" s="46">
        <v>26</v>
      </c>
      <c r="N14" s="46"/>
      <c r="O14" s="40"/>
    </row>
    <row r="15" spans="1:15" x14ac:dyDescent="0.25">
      <c r="A15" s="40"/>
      <c r="B15" s="106">
        <v>2.5</v>
      </c>
      <c r="C15" s="46">
        <v>17.5</v>
      </c>
      <c r="D15" s="46">
        <v>18</v>
      </c>
      <c r="E15" s="46">
        <v>19.5</v>
      </c>
      <c r="F15" s="46">
        <v>21</v>
      </c>
      <c r="G15" s="46">
        <v>23</v>
      </c>
      <c r="H15" s="46">
        <v>25</v>
      </c>
      <c r="I15" s="47">
        <v>27</v>
      </c>
      <c r="J15" s="46">
        <v>30</v>
      </c>
      <c r="K15" s="46">
        <v>31</v>
      </c>
      <c r="L15" s="46">
        <v>33</v>
      </c>
      <c r="M15" s="46">
        <v>36</v>
      </c>
      <c r="N15" s="46"/>
      <c r="O15" s="40"/>
    </row>
    <row r="16" spans="1:15" x14ac:dyDescent="0.25">
      <c r="A16" s="40"/>
      <c r="B16" s="106">
        <v>4</v>
      </c>
      <c r="C16" s="46">
        <v>23</v>
      </c>
      <c r="D16" s="46">
        <v>24</v>
      </c>
      <c r="E16" s="46">
        <v>26</v>
      </c>
      <c r="F16" s="46">
        <v>28</v>
      </c>
      <c r="G16" s="46">
        <v>31</v>
      </c>
      <c r="H16" s="46">
        <v>34</v>
      </c>
      <c r="I16" s="47">
        <v>36</v>
      </c>
      <c r="J16" s="46">
        <v>40</v>
      </c>
      <c r="K16" s="46">
        <v>42</v>
      </c>
      <c r="L16" s="46">
        <v>45</v>
      </c>
      <c r="M16" s="46">
        <v>49</v>
      </c>
      <c r="N16" s="46"/>
      <c r="O16" s="40"/>
    </row>
    <row r="17" spans="1:15" x14ac:dyDescent="0.25">
      <c r="A17" s="40"/>
      <c r="B17" s="106">
        <v>6</v>
      </c>
      <c r="C17" s="46">
        <v>29</v>
      </c>
      <c r="D17" s="46">
        <v>31</v>
      </c>
      <c r="E17" s="46">
        <v>34</v>
      </c>
      <c r="F17" s="46">
        <v>36</v>
      </c>
      <c r="G17" s="46">
        <v>40</v>
      </c>
      <c r="H17" s="46">
        <v>43</v>
      </c>
      <c r="I17" s="47">
        <v>46</v>
      </c>
      <c r="J17" s="46">
        <v>51</v>
      </c>
      <c r="K17" s="46">
        <v>54</v>
      </c>
      <c r="L17" s="46">
        <v>58</v>
      </c>
      <c r="M17" s="46">
        <v>63</v>
      </c>
      <c r="N17" s="46"/>
      <c r="O17" s="40"/>
    </row>
    <row r="18" spans="1:15" x14ac:dyDescent="0.25">
      <c r="A18" s="40"/>
      <c r="B18" s="106">
        <v>10</v>
      </c>
      <c r="C18" s="46">
        <v>39</v>
      </c>
      <c r="D18" s="46">
        <v>42</v>
      </c>
      <c r="E18" s="46">
        <v>46</v>
      </c>
      <c r="F18" s="46">
        <v>50</v>
      </c>
      <c r="G18" s="46">
        <v>54</v>
      </c>
      <c r="H18" s="46">
        <v>60</v>
      </c>
      <c r="I18" s="47">
        <v>63</v>
      </c>
      <c r="J18" s="46">
        <v>70</v>
      </c>
      <c r="K18" s="46">
        <v>75</v>
      </c>
      <c r="L18" s="46">
        <v>80</v>
      </c>
      <c r="M18" s="46">
        <v>86</v>
      </c>
      <c r="N18" s="46"/>
      <c r="O18" s="40"/>
    </row>
    <row r="19" spans="1:15" x14ac:dyDescent="0.25">
      <c r="A19" s="40"/>
      <c r="B19" s="106">
        <v>16</v>
      </c>
      <c r="C19" s="46">
        <v>52</v>
      </c>
      <c r="D19" s="46">
        <v>56</v>
      </c>
      <c r="E19" s="46">
        <v>61</v>
      </c>
      <c r="F19" s="46">
        <v>68</v>
      </c>
      <c r="G19" s="46">
        <v>73</v>
      </c>
      <c r="H19" s="46">
        <v>80</v>
      </c>
      <c r="I19" s="47">
        <v>85</v>
      </c>
      <c r="J19" s="46">
        <v>94</v>
      </c>
      <c r="K19" s="46">
        <v>100</v>
      </c>
      <c r="L19" s="46">
        <v>107</v>
      </c>
      <c r="M19" s="46">
        <v>115</v>
      </c>
      <c r="N19" s="46"/>
      <c r="O19" s="40"/>
    </row>
    <row r="20" spans="1:15" x14ac:dyDescent="0.25">
      <c r="A20" s="40"/>
      <c r="B20" s="106">
        <v>25</v>
      </c>
      <c r="C20" s="46">
        <v>68</v>
      </c>
      <c r="D20" s="46">
        <v>73</v>
      </c>
      <c r="E20" s="46">
        <v>80</v>
      </c>
      <c r="F20" s="46">
        <v>89</v>
      </c>
      <c r="G20" s="46">
        <v>95</v>
      </c>
      <c r="H20" s="46">
        <v>101</v>
      </c>
      <c r="I20" s="47">
        <v>110</v>
      </c>
      <c r="J20" s="46">
        <v>119</v>
      </c>
      <c r="K20" s="46">
        <v>127</v>
      </c>
      <c r="L20" s="46">
        <v>135</v>
      </c>
      <c r="M20" s="46">
        <v>149</v>
      </c>
      <c r="N20" s="46">
        <v>161</v>
      </c>
      <c r="O20" s="40"/>
    </row>
    <row r="21" spans="1:15" x14ac:dyDescent="0.25">
      <c r="A21" s="40"/>
      <c r="B21" s="106">
        <v>35</v>
      </c>
      <c r="C21" s="46"/>
      <c r="D21" s="46"/>
      <c r="E21" s="47"/>
      <c r="F21" s="46">
        <v>110</v>
      </c>
      <c r="G21" s="46">
        <v>117</v>
      </c>
      <c r="H21" s="46">
        <v>126</v>
      </c>
      <c r="I21" s="47">
        <v>137</v>
      </c>
      <c r="J21" s="46">
        <v>147</v>
      </c>
      <c r="K21" s="46">
        <v>158</v>
      </c>
      <c r="L21" s="46">
        <v>169</v>
      </c>
      <c r="M21" s="46">
        <v>185</v>
      </c>
      <c r="N21" s="46">
        <v>200</v>
      </c>
      <c r="O21" s="40"/>
    </row>
    <row r="22" spans="1:15" x14ac:dyDescent="0.25">
      <c r="A22" s="40"/>
      <c r="B22" s="106">
        <v>50</v>
      </c>
      <c r="C22" s="46"/>
      <c r="D22" s="46"/>
      <c r="E22" s="46"/>
      <c r="F22" s="46">
        <v>134</v>
      </c>
      <c r="G22" s="46">
        <v>141</v>
      </c>
      <c r="H22" s="46">
        <v>153</v>
      </c>
      <c r="I22" s="47">
        <v>167</v>
      </c>
      <c r="J22" s="46">
        <v>179</v>
      </c>
      <c r="K22" s="46">
        <v>192</v>
      </c>
      <c r="L22" s="46">
        <v>207</v>
      </c>
      <c r="M22" s="46">
        <v>225</v>
      </c>
      <c r="N22" s="46">
        <v>242</v>
      </c>
      <c r="O22" s="40"/>
    </row>
    <row r="23" spans="1:15" x14ac:dyDescent="0.25">
      <c r="A23" s="40"/>
      <c r="B23" s="106">
        <v>70</v>
      </c>
      <c r="C23" s="46"/>
      <c r="D23" s="46"/>
      <c r="E23" s="46"/>
      <c r="F23" s="46">
        <v>171</v>
      </c>
      <c r="G23" s="46">
        <v>179</v>
      </c>
      <c r="H23" s="46">
        <v>196</v>
      </c>
      <c r="I23" s="47">
        <v>213</v>
      </c>
      <c r="J23" s="46">
        <v>229</v>
      </c>
      <c r="K23" s="46">
        <v>246</v>
      </c>
      <c r="L23" s="46">
        <v>268</v>
      </c>
      <c r="M23" s="46">
        <v>289</v>
      </c>
      <c r="N23" s="46">
        <v>310</v>
      </c>
      <c r="O23" s="40"/>
    </row>
    <row r="24" spans="1:15" x14ac:dyDescent="0.25">
      <c r="A24" s="40"/>
      <c r="B24" s="106">
        <v>95</v>
      </c>
      <c r="C24" s="46"/>
      <c r="D24" s="46"/>
      <c r="E24" s="46"/>
      <c r="F24" s="46">
        <v>207</v>
      </c>
      <c r="G24" s="46">
        <v>216</v>
      </c>
      <c r="H24" s="46">
        <v>238</v>
      </c>
      <c r="I24" s="47">
        <v>258</v>
      </c>
      <c r="J24" s="46">
        <v>278</v>
      </c>
      <c r="K24" s="46">
        <v>298</v>
      </c>
      <c r="L24" s="46">
        <v>328</v>
      </c>
      <c r="M24" s="46">
        <v>352</v>
      </c>
      <c r="N24" s="46">
        <v>377</v>
      </c>
      <c r="O24" s="40"/>
    </row>
    <row r="25" spans="1:15" x14ac:dyDescent="0.25">
      <c r="A25" s="40"/>
      <c r="B25" s="106">
        <v>120</v>
      </c>
      <c r="C25" s="46"/>
      <c r="D25" s="46"/>
      <c r="E25" s="46"/>
      <c r="F25" s="46">
        <v>239</v>
      </c>
      <c r="G25" s="46">
        <v>249</v>
      </c>
      <c r="H25" s="46">
        <v>276</v>
      </c>
      <c r="I25" s="47">
        <v>299</v>
      </c>
      <c r="J25" s="46">
        <v>322</v>
      </c>
      <c r="K25" s="46">
        <v>346</v>
      </c>
      <c r="L25" s="46">
        <v>382</v>
      </c>
      <c r="M25" s="46">
        <v>410</v>
      </c>
      <c r="N25" s="46">
        <v>437</v>
      </c>
      <c r="O25" s="40"/>
    </row>
    <row r="26" spans="1:15" x14ac:dyDescent="0.25">
      <c r="A26" s="40"/>
      <c r="B26" s="106">
        <v>150</v>
      </c>
      <c r="C26" s="46"/>
      <c r="D26" s="46"/>
      <c r="E26" s="46"/>
      <c r="F26" s="46"/>
      <c r="G26" s="46">
        <v>285</v>
      </c>
      <c r="H26" s="46">
        <v>318</v>
      </c>
      <c r="I26" s="47">
        <v>344</v>
      </c>
      <c r="J26" s="46">
        <v>371</v>
      </c>
      <c r="K26" s="46">
        <v>395</v>
      </c>
      <c r="L26" s="46">
        <v>441</v>
      </c>
      <c r="M26" s="46">
        <v>473</v>
      </c>
      <c r="N26" s="46">
        <v>504</v>
      </c>
      <c r="O26" s="40"/>
    </row>
    <row r="27" spans="1:15" x14ac:dyDescent="0.25">
      <c r="A27" s="40"/>
      <c r="B27" s="106">
        <v>185</v>
      </c>
      <c r="C27" s="46"/>
      <c r="D27" s="48"/>
      <c r="E27" s="46"/>
      <c r="F27" s="46"/>
      <c r="G27" s="46">
        <v>324</v>
      </c>
      <c r="H27" s="46">
        <v>362</v>
      </c>
      <c r="I27" s="47">
        <v>392</v>
      </c>
      <c r="J27" s="46">
        <v>424</v>
      </c>
      <c r="K27" s="46">
        <v>450</v>
      </c>
      <c r="L27" s="46">
        <v>506</v>
      </c>
      <c r="M27" s="46">
        <v>542</v>
      </c>
      <c r="N27" s="46">
        <v>575</v>
      </c>
      <c r="O27" s="40"/>
    </row>
    <row r="28" spans="1:15" ht="15.75" thickBot="1" x14ac:dyDescent="0.3">
      <c r="A28" s="40"/>
      <c r="B28" s="107">
        <v>240</v>
      </c>
      <c r="C28" s="49"/>
      <c r="D28" s="49"/>
      <c r="E28" s="49"/>
      <c r="F28" s="49"/>
      <c r="G28" s="49">
        <v>380</v>
      </c>
      <c r="H28" s="49">
        <v>424</v>
      </c>
      <c r="I28" s="50">
        <v>461</v>
      </c>
      <c r="J28" s="49">
        <v>500</v>
      </c>
      <c r="K28" s="49">
        <v>538</v>
      </c>
      <c r="L28" s="49">
        <v>599</v>
      </c>
      <c r="M28" s="49">
        <v>641</v>
      </c>
      <c r="N28" s="49">
        <v>679</v>
      </c>
      <c r="O28" s="40"/>
    </row>
    <row r="29" spans="1:15" x14ac:dyDescent="0.25">
      <c r="A29" s="40"/>
      <c r="B29" s="106" t="s">
        <v>43</v>
      </c>
      <c r="C29" s="46"/>
      <c r="D29" s="46"/>
      <c r="E29" s="46"/>
      <c r="F29" s="46"/>
      <c r="G29" s="46"/>
      <c r="H29" s="46"/>
      <c r="I29" s="46"/>
      <c r="J29" s="46"/>
      <c r="K29" s="46"/>
      <c r="L29" s="46"/>
      <c r="M29" s="46"/>
      <c r="N29" s="46"/>
      <c r="O29" s="40"/>
    </row>
    <row r="30" spans="1:15" x14ac:dyDescent="0.25">
      <c r="A30" s="40"/>
      <c r="B30" s="106">
        <v>1.5</v>
      </c>
      <c r="C30" s="46">
        <v>13.5</v>
      </c>
      <c r="D30" s="46">
        <v>14</v>
      </c>
      <c r="E30" s="46">
        <v>15</v>
      </c>
      <c r="F30" s="46">
        <v>16.5</v>
      </c>
      <c r="G30" s="46">
        <v>18.5</v>
      </c>
      <c r="H30" s="46">
        <v>19.5</v>
      </c>
      <c r="I30" s="46">
        <v>21</v>
      </c>
      <c r="J30" s="46">
        <v>23</v>
      </c>
      <c r="K30" s="46">
        <v>24</v>
      </c>
      <c r="L30" s="46">
        <v>26</v>
      </c>
      <c r="M30" s="46">
        <v>28</v>
      </c>
      <c r="N30" s="46"/>
      <c r="O30" s="40"/>
    </row>
    <row r="31" spans="1:15" x14ac:dyDescent="0.25">
      <c r="A31" s="40"/>
      <c r="B31" s="106">
        <v>2.5</v>
      </c>
      <c r="C31" s="46">
        <v>17.5</v>
      </c>
      <c r="D31" s="46">
        <v>18.5</v>
      </c>
      <c r="E31" s="46">
        <v>20</v>
      </c>
      <c r="F31" s="46">
        <v>22</v>
      </c>
      <c r="G31" s="46">
        <v>25</v>
      </c>
      <c r="H31" s="46">
        <v>26</v>
      </c>
      <c r="I31" s="46">
        <v>28</v>
      </c>
      <c r="J31" s="46">
        <v>31</v>
      </c>
      <c r="K31" s="46">
        <v>32</v>
      </c>
      <c r="L31" s="46">
        <v>35</v>
      </c>
      <c r="M31" s="46">
        <v>38</v>
      </c>
      <c r="N31" s="46"/>
      <c r="O31" s="40"/>
    </row>
    <row r="32" spans="1:15" x14ac:dyDescent="0.25">
      <c r="A32" s="40"/>
      <c r="B32" s="106">
        <v>4</v>
      </c>
      <c r="C32" s="46">
        <v>17.5</v>
      </c>
      <c r="D32" s="46">
        <v>18.5</v>
      </c>
      <c r="E32" s="46">
        <v>20</v>
      </c>
      <c r="F32" s="46">
        <v>22</v>
      </c>
      <c r="G32" s="46">
        <v>25</v>
      </c>
      <c r="H32" s="46">
        <v>26</v>
      </c>
      <c r="I32" s="46">
        <v>28</v>
      </c>
      <c r="J32" s="46">
        <v>31</v>
      </c>
      <c r="K32" s="46">
        <v>32</v>
      </c>
      <c r="L32" s="46">
        <v>35</v>
      </c>
      <c r="M32" s="46">
        <v>38</v>
      </c>
      <c r="N32" s="46"/>
      <c r="O32" s="40"/>
    </row>
    <row r="33" spans="1:15" x14ac:dyDescent="0.25">
      <c r="A33" s="40"/>
      <c r="B33" s="106">
        <v>6</v>
      </c>
      <c r="C33" s="46">
        <v>23</v>
      </c>
      <c r="D33" s="46">
        <v>24</v>
      </c>
      <c r="E33" s="46">
        <v>26</v>
      </c>
      <c r="F33" s="46">
        <v>28</v>
      </c>
      <c r="G33" s="46">
        <v>32</v>
      </c>
      <c r="H33" s="46">
        <v>33</v>
      </c>
      <c r="I33" s="46">
        <v>36</v>
      </c>
      <c r="J33" s="46">
        <v>39</v>
      </c>
      <c r="K33" s="46">
        <v>42</v>
      </c>
      <c r="L33" s="46">
        <v>45</v>
      </c>
      <c r="M33" s="46">
        <v>49</v>
      </c>
      <c r="N33" s="46"/>
      <c r="O33" s="40"/>
    </row>
    <row r="34" spans="1:15" x14ac:dyDescent="0.25">
      <c r="A34" s="40"/>
      <c r="B34" s="106">
        <v>10</v>
      </c>
      <c r="C34" s="46">
        <v>31</v>
      </c>
      <c r="D34" s="46">
        <v>32</v>
      </c>
      <c r="E34" s="46">
        <v>36</v>
      </c>
      <c r="F34" s="46">
        <v>39</v>
      </c>
      <c r="G34" s="46">
        <v>44</v>
      </c>
      <c r="H34" s="46">
        <v>46</v>
      </c>
      <c r="I34" s="46">
        <v>49</v>
      </c>
      <c r="J34" s="46">
        <v>54</v>
      </c>
      <c r="K34" s="46">
        <v>58</v>
      </c>
      <c r="L34" s="46">
        <v>62</v>
      </c>
      <c r="M34" s="46">
        <v>67</v>
      </c>
      <c r="N34" s="46"/>
      <c r="O34" s="40"/>
    </row>
    <row r="35" spans="1:15" x14ac:dyDescent="0.25">
      <c r="A35" s="40"/>
      <c r="B35" s="106">
        <v>16</v>
      </c>
      <c r="C35" s="46">
        <v>41</v>
      </c>
      <c r="D35" s="46">
        <v>43</v>
      </c>
      <c r="E35" s="46">
        <v>48</v>
      </c>
      <c r="F35" s="46">
        <v>53</v>
      </c>
      <c r="G35" s="46">
        <v>58</v>
      </c>
      <c r="H35" s="46">
        <v>61</v>
      </c>
      <c r="I35" s="46">
        <v>66</v>
      </c>
      <c r="J35" s="46">
        <v>73</v>
      </c>
      <c r="K35" s="46">
        <v>77</v>
      </c>
      <c r="L35" s="46">
        <v>84</v>
      </c>
      <c r="M35" s="46">
        <v>91</v>
      </c>
      <c r="N35" s="46"/>
      <c r="O35" s="40"/>
    </row>
    <row r="36" spans="1:15" x14ac:dyDescent="0.25">
      <c r="A36" s="40"/>
      <c r="B36" s="106">
        <v>25</v>
      </c>
      <c r="C36" s="46">
        <v>53</v>
      </c>
      <c r="D36" s="46">
        <v>57</v>
      </c>
      <c r="E36" s="46">
        <v>63</v>
      </c>
      <c r="F36" s="46">
        <v>70</v>
      </c>
      <c r="G36" s="46">
        <v>73</v>
      </c>
      <c r="H36" s="46">
        <v>78</v>
      </c>
      <c r="I36" s="46">
        <v>83</v>
      </c>
      <c r="J36" s="46">
        <v>90</v>
      </c>
      <c r="K36" s="46">
        <v>97</v>
      </c>
      <c r="L36" s="46">
        <v>101</v>
      </c>
      <c r="M36" s="46">
        <v>108</v>
      </c>
      <c r="N36" s="46">
        <v>121</v>
      </c>
      <c r="O36" s="40"/>
    </row>
    <row r="37" spans="1:15" x14ac:dyDescent="0.25">
      <c r="A37" s="40"/>
      <c r="B37" s="106">
        <v>35</v>
      </c>
      <c r="C37" s="46"/>
      <c r="D37" s="46"/>
      <c r="E37" s="46"/>
      <c r="F37" s="46">
        <v>86</v>
      </c>
      <c r="G37" s="46">
        <v>90</v>
      </c>
      <c r="H37" s="46">
        <v>96</v>
      </c>
      <c r="I37" s="46">
        <v>103</v>
      </c>
      <c r="J37" s="46">
        <v>112</v>
      </c>
      <c r="K37" s="46">
        <v>120</v>
      </c>
      <c r="L37" s="46">
        <v>126</v>
      </c>
      <c r="M37" s="46">
        <v>135</v>
      </c>
      <c r="N37" s="46">
        <v>150</v>
      </c>
      <c r="O37" s="40"/>
    </row>
    <row r="38" spans="1:15" x14ac:dyDescent="0.25">
      <c r="A38" s="40"/>
      <c r="B38" s="106">
        <v>50</v>
      </c>
      <c r="C38" s="46"/>
      <c r="D38" s="46"/>
      <c r="E38" s="46"/>
      <c r="F38" s="46">
        <v>104</v>
      </c>
      <c r="G38" s="46">
        <v>110</v>
      </c>
      <c r="H38" s="46">
        <v>117</v>
      </c>
      <c r="I38" s="46">
        <v>125</v>
      </c>
      <c r="J38" s="46">
        <v>136</v>
      </c>
      <c r="K38" s="46">
        <v>146</v>
      </c>
      <c r="L38" s="46">
        <v>154</v>
      </c>
      <c r="M38" s="46">
        <v>164</v>
      </c>
      <c r="N38" s="46">
        <v>184</v>
      </c>
      <c r="O38" s="40"/>
    </row>
    <row r="39" spans="1:15" x14ac:dyDescent="0.25">
      <c r="A39" s="40"/>
      <c r="B39" s="106">
        <v>70</v>
      </c>
      <c r="C39" s="46"/>
      <c r="D39" s="46"/>
      <c r="E39" s="46"/>
      <c r="F39" s="46">
        <v>133</v>
      </c>
      <c r="G39" s="46">
        <v>140</v>
      </c>
      <c r="H39" s="46">
        <v>150</v>
      </c>
      <c r="I39" s="46">
        <v>160</v>
      </c>
      <c r="J39" s="46">
        <v>174</v>
      </c>
      <c r="K39" s="46">
        <v>187</v>
      </c>
      <c r="L39" s="46">
        <v>198</v>
      </c>
      <c r="M39" s="46">
        <v>211</v>
      </c>
      <c r="N39" s="46">
        <v>237</v>
      </c>
      <c r="O39" s="40"/>
    </row>
    <row r="40" spans="1:15" x14ac:dyDescent="0.25">
      <c r="A40" s="40"/>
      <c r="B40" s="106">
        <v>95</v>
      </c>
      <c r="C40" s="46"/>
      <c r="D40" s="46"/>
      <c r="E40" s="46"/>
      <c r="F40" s="46">
        <v>161</v>
      </c>
      <c r="G40" s="46">
        <v>170</v>
      </c>
      <c r="H40" s="46">
        <v>183</v>
      </c>
      <c r="I40" s="46">
        <v>195</v>
      </c>
      <c r="J40" s="46">
        <v>211</v>
      </c>
      <c r="K40" s="46">
        <v>227</v>
      </c>
      <c r="L40" s="46">
        <v>241</v>
      </c>
      <c r="M40" s="46">
        <v>257</v>
      </c>
      <c r="N40" s="46">
        <v>289</v>
      </c>
      <c r="O40" s="40"/>
    </row>
    <row r="41" spans="1:15" x14ac:dyDescent="0.25">
      <c r="A41" s="40"/>
      <c r="B41" s="106">
        <v>120</v>
      </c>
      <c r="C41" s="46"/>
      <c r="D41" s="46"/>
      <c r="E41" s="46"/>
      <c r="F41" s="46">
        <v>186</v>
      </c>
      <c r="G41" s="46">
        <v>197</v>
      </c>
      <c r="H41" s="46">
        <v>212</v>
      </c>
      <c r="I41" s="46">
        <v>226</v>
      </c>
      <c r="J41" s="46">
        <v>245</v>
      </c>
      <c r="K41" s="46">
        <v>263</v>
      </c>
      <c r="L41" s="46">
        <v>280</v>
      </c>
      <c r="M41" s="46">
        <v>300</v>
      </c>
      <c r="N41" s="46">
        <v>337</v>
      </c>
      <c r="O41" s="40"/>
    </row>
    <row r="42" spans="1:15" x14ac:dyDescent="0.25">
      <c r="A42" s="40"/>
      <c r="B42" s="106">
        <v>150</v>
      </c>
      <c r="C42" s="46"/>
      <c r="D42" s="46"/>
      <c r="E42" s="46"/>
      <c r="F42" s="46"/>
      <c r="G42" s="46">
        <v>226</v>
      </c>
      <c r="H42" s="46">
        <v>245</v>
      </c>
      <c r="I42" s="46">
        <v>261</v>
      </c>
      <c r="J42" s="46">
        <v>283</v>
      </c>
      <c r="K42" s="46">
        <v>304</v>
      </c>
      <c r="L42" s="46">
        <v>324</v>
      </c>
      <c r="M42" s="46">
        <v>346</v>
      </c>
      <c r="N42" s="46">
        <v>389</v>
      </c>
      <c r="O42" s="40"/>
    </row>
    <row r="43" spans="1:15" x14ac:dyDescent="0.25">
      <c r="A43" s="40"/>
      <c r="B43" s="106">
        <v>185</v>
      </c>
      <c r="C43" s="46"/>
      <c r="D43" s="46"/>
      <c r="E43" s="48"/>
      <c r="F43" s="46"/>
      <c r="G43" s="46">
        <v>256</v>
      </c>
      <c r="H43" s="46">
        <v>280</v>
      </c>
      <c r="I43" s="46">
        <v>298</v>
      </c>
      <c r="J43" s="46">
        <v>323</v>
      </c>
      <c r="K43" s="46">
        <v>347</v>
      </c>
      <c r="L43" s="46">
        <v>371</v>
      </c>
      <c r="M43" s="46">
        <v>397</v>
      </c>
      <c r="N43" s="46">
        <v>447</v>
      </c>
      <c r="O43" s="40"/>
    </row>
    <row r="44" spans="1:15" ht="15.75" thickBot="1" x14ac:dyDescent="0.3">
      <c r="A44" s="40"/>
      <c r="B44" s="107">
        <v>240</v>
      </c>
      <c r="C44" s="49"/>
      <c r="D44" s="49"/>
      <c r="E44" s="49"/>
      <c r="F44" s="49"/>
      <c r="G44" s="49">
        <v>300</v>
      </c>
      <c r="H44" s="49">
        <v>330</v>
      </c>
      <c r="I44" s="49">
        <v>352</v>
      </c>
      <c r="J44" s="49">
        <v>382</v>
      </c>
      <c r="K44" s="49">
        <v>409</v>
      </c>
      <c r="L44" s="49">
        <v>439</v>
      </c>
      <c r="M44" s="49">
        <v>470</v>
      </c>
      <c r="N44" s="48">
        <v>530</v>
      </c>
      <c r="O44" s="40"/>
    </row>
    <row r="45" spans="1:15" ht="30" customHeight="1" thickBot="1" x14ac:dyDescent="0.3">
      <c r="A45" s="40"/>
      <c r="B45" s="169" t="s">
        <v>44</v>
      </c>
      <c r="C45" s="170"/>
      <c r="D45" s="170"/>
      <c r="E45" s="170"/>
      <c r="F45" s="170"/>
      <c r="G45" s="170"/>
      <c r="H45" s="170"/>
      <c r="I45" s="170"/>
      <c r="J45" s="170"/>
      <c r="K45" s="170"/>
      <c r="L45" s="170"/>
      <c r="M45" s="170"/>
      <c r="N45" s="171"/>
      <c r="O45" s="40"/>
    </row>
    <row r="46" spans="1:15" x14ac:dyDescent="0.25">
      <c r="A46" s="40"/>
      <c r="B46" s="40"/>
      <c r="C46" s="40"/>
      <c r="D46" s="40"/>
      <c r="E46" s="40"/>
      <c r="F46" s="40"/>
      <c r="G46" s="40"/>
      <c r="H46" s="40"/>
      <c r="I46" s="40"/>
      <c r="J46" s="40"/>
      <c r="K46" s="40"/>
      <c r="L46" s="40"/>
      <c r="M46" s="40"/>
      <c r="N46" s="40"/>
      <c r="O46" s="40"/>
    </row>
  </sheetData>
  <sheetProtection algorithmName="SHA-512" hashValue="53HqrVON0hpbqjLEWY1duUbADYXlVS00upQg+hMaD/dzuqTPhh25KPExlzrK41OOet+eiAlxt7MdoUTFP8ZSIQ==" saltValue="pv56SmwR2h/yfB+ALpj67w==" spinCount="100000" sheet="1" objects="1" scenarios="1" formatCells="0" formatColumns="0" formatRows="0" selectLockedCells="1" selectUnlockedCells="1"/>
  <mergeCells count="3">
    <mergeCell ref="C4:N4"/>
    <mergeCell ref="B45:N45"/>
    <mergeCell ref="B2:N3"/>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4"/>
  <dimension ref="A1:H39"/>
  <sheetViews>
    <sheetView showGridLines="0" showRowColHeaders="0" zoomScale="102" zoomScaleNormal="145" workbookViewId="0">
      <selection activeCell="G29" sqref="G29"/>
    </sheetView>
  </sheetViews>
  <sheetFormatPr defaultColWidth="0" defaultRowHeight="15" zeroHeight="1" x14ac:dyDescent="0.25"/>
  <cols>
    <col min="1" max="8" width="8.85546875" customWidth="1"/>
    <col min="9" max="16384" width="8.85546875" hidden="1"/>
  </cols>
  <sheetData>
    <row r="1" spans="1:8" x14ac:dyDescent="0.25">
      <c r="A1" s="40"/>
      <c r="B1" s="40"/>
      <c r="C1" s="40"/>
      <c r="D1" s="40"/>
      <c r="E1" s="40"/>
      <c r="F1" s="40"/>
      <c r="G1" s="40"/>
      <c r="H1" s="40"/>
    </row>
    <row r="2" spans="1:8" x14ac:dyDescent="0.25">
      <c r="A2" s="40"/>
      <c r="B2" s="174" t="s">
        <v>50</v>
      </c>
      <c r="C2" s="174"/>
      <c r="D2" s="174"/>
      <c r="E2" s="174"/>
      <c r="F2" s="174"/>
      <c r="G2" s="174"/>
      <c r="H2" s="40"/>
    </row>
    <row r="3" spans="1:8" ht="15.75" thickBot="1" x14ac:dyDescent="0.3">
      <c r="A3" s="40"/>
      <c r="B3" s="175"/>
      <c r="C3" s="175"/>
      <c r="D3" s="175"/>
      <c r="E3" s="175"/>
      <c r="F3" s="175"/>
      <c r="G3" s="175"/>
      <c r="H3" s="40"/>
    </row>
    <row r="4" spans="1:8" ht="24" customHeight="1" thickBot="1" x14ac:dyDescent="0.3">
      <c r="A4" s="40"/>
      <c r="B4" s="133" t="s">
        <v>46</v>
      </c>
      <c r="C4" s="133" t="s">
        <v>47</v>
      </c>
      <c r="D4" s="136" t="s">
        <v>41</v>
      </c>
      <c r="E4" s="137"/>
      <c r="F4" s="137"/>
      <c r="G4" s="138"/>
      <c r="H4" s="40"/>
    </row>
    <row r="5" spans="1:8" ht="15.75" thickBot="1" x14ac:dyDescent="0.3">
      <c r="A5" s="40"/>
      <c r="B5" s="135"/>
      <c r="C5" s="135"/>
      <c r="D5" s="43" t="s">
        <v>12</v>
      </c>
      <c r="E5" s="43" t="s">
        <v>13</v>
      </c>
      <c r="F5" s="43" t="s">
        <v>14</v>
      </c>
      <c r="G5" s="43" t="s">
        <v>15</v>
      </c>
      <c r="H5" s="40"/>
    </row>
    <row r="6" spans="1:8" x14ac:dyDescent="0.25">
      <c r="A6" s="40"/>
      <c r="B6" s="133" t="s">
        <v>48</v>
      </c>
      <c r="C6" s="46" t="s">
        <v>49</v>
      </c>
      <c r="D6" s="46"/>
      <c r="E6" s="46"/>
      <c r="F6" s="46"/>
      <c r="G6" s="46"/>
      <c r="H6" s="40"/>
    </row>
    <row r="7" spans="1:8" x14ac:dyDescent="0.25">
      <c r="A7" s="40"/>
      <c r="B7" s="134"/>
      <c r="C7" s="46">
        <v>1.5</v>
      </c>
      <c r="D7" s="46">
        <v>22</v>
      </c>
      <c r="E7" s="46">
        <v>18</v>
      </c>
      <c r="F7" s="46">
        <v>26</v>
      </c>
      <c r="G7" s="46">
        <v>22</v>
      </c>
      <c r="H7" s="40"/>
    </row>
    <row r="8" spans="1:8" x14ac:dyDescent="0.25">
      <c r="A8" s="40"/>
      <c r="B8" s="134"/>
      <c r="C8" s="46">
        <v>2.5</v>
      </c>
      <c r="D8" s="46">
        <v>29</v>
      </c>
      <c r="E8" s="46">
        <v>24</v>
      </c>
      <c r="F8" s="46">
        <v>34</v>
      </c>
      <c r="G8" s="46">
        <v>29</v>
      </c>
      <c r="H8" s="40"/>
    </row>
    <row r="9" spans="1:8" x14ac:dyDescent="0.25">
      <c r="A9" s="40"/>
      <c r="B9" s="134"/>
      <c r="C9" s="46">
        <v>4</v>
      </c>
      <c r="D9" s="46">
        <v>38</v>
      </c>
      <c r="E9" s="46">
        <v>31</v>
      </c>
      <c r="F9" s="46">
        <v>44</v>
      </c>
      <c r="G9" s="46">
        <v>37</v>
      </c>
      <c r="H9" s="40"/>
    </row>
    <row r="10" spans="1:8" x14ac:dyDescent="0.25">
      <c r="A10" s="40"/>
      <c r="B10" s="134"/>
      <c r="C10" s="46">
        <v>6</v>
      </c>
      <c r="D10" s="46">
        <v>47</v>
      </c>
      <c r="E10" s="46">
        <v>39</v>
      </c>
      <c r="F10" s="46">
        <v>56</v>
      </c>
      <c r="G10" s="46">
        <v>46</v>
      </c>
      <c r="H10" s="40"/>
    </row>
    <row r="11" spans="1:8" x14ac:dyDescent="0.25">
      <c r="A11" s="40"/>
      <c r="B11" s="134"/>
      <c r="C11" s="46">
        <v>10</v>
      </c>
      <c r="D11" s="46">
        <v>63</v>
      </c>
      <c r="E11" s="46">
        <v>52</v>
      </c>
      <c r="F11" s="46">
        <v>73</v>
      </c>
      <c r="G11" s="46">
        <v>61</v>
      </c>
      <c r="H11" s="40"/>
    </row>
    <row r="12" spans="1:8" x14ac:dyDescent="0.25">
      <c r="A12" s="40"/>
      <c r="B12" s="134"/>
      <c r="C12" s="46">
        <v>16</v>
      </c>
      <c r="D12" s="46">
        <v>81</v>
      </c>
      <c r="E12" s="46">
        <v>67</v>
      </c>
      <c r="F12" s="46">
        <v>95</v>
      </c>
      <c r="G12" s="46">
        <v>79</v>
      </c>
      <c r="H12" s="40"/>
    </row>
    <row r="13" spans="1:8" x14ac:dyDescent="0.25">
      <c r="A13" s="40"/>
      <c r="B13" s="134"/>
      <c r="C13" s="46">
        <v>25</v>
      </c>
      <c r="D13" s="46">
        <v>104</v>
      </c>
      <c r="E13" s="46">
        <v>86</v>
      </c>
      <c r="F13" s="46">
        <v>121</v>
      </c>
      <c r="G13" s="46">
        <v>101</v>
      </c>
      <c r="H13" s="40"/>
    </row>
    <row r="14" spans="1:8" x14ac:dyDescent="0.25">
      <c r="A14" s="40"/>
      <c r="B14" s="134"/>
      <c r="C14" s="46">
        <v>35</v>
      </c>
      <c r="D14" s="46">
        <v>125</v>
      </c>
      <c r="E14" s="46">
        <v>103</v>
      </c>
      <c r="F14" s="46">
        <v>146</v>
      </c>
      <c r="G14" s="46">
        <v>122</v>
      </c>
      <c r="H14" s="40"/>
    </row>
    <row r="15" spans="1:8" x14ac:dyDescent="0.25">
      <c r="A15" s="40"/>
      <c r="B15" s="134"/>
      <c r="C15" s="46">
        <v>50</v>
      </c>
      <c r="D15" s="46">
        <v>148</v>
      </c>
      <c r="E15" s="46">
        <v>122</v>
      </c>
      <c r="F15" s="46">
        <v>173</v>
      </c>
      <c r="G15" s="46">
        <v>144</v>
      </c>
      <c r="H15" s="40"/>
    </row>
    <row r="16" spans="1:8" x14ac:dyDescent="0.25">
      <c r="A16" s="40"/>
      <c r="B16" s="134"/>
      <c r="C16" s="46">
        <v>70</v>
      </c>
      <c r="D16" s="46">
        <v>183</v>
      </c>
      <c r="E16" s="46">
        <v>151</v>
      </c>
      <c r="F16" s="46">
        <v>213</v>
      </c>
      <c r="G16" s="46">
        <v>178</v>
      </c>
      <c r="H16" s="40"/>
    </row>
    <row r="17" spans="1:8" x14ac:dyDescent="0.25">
      <c r="A17" s="40"/>
      <c r="B17" s="134"/>
      <c r="C17" s="46">
        <v>95</v>
      </c>
      <c r="D17" s="46">
        <v>216</v>
      </c>
      <c r="E17" s="46">
        <v>179</v>
      </c>
      <c r="F17" s="46">
        <v>252</v>
      </c>
      <c r="G17" s="105">
        <v>211</v>
      </c>
      <c r="H17" s="40"/>
    </row>
    <row r="18" spans="1:8" x14ac:dyDescent="0.25">
      <c r="A18" s="40"/>
      <c r="B18" s="134"/>
      <c r="C18" s="46">
        <v>120</v>
      </c>
      <c r="D18" s="46">
        <v>246</v>
      </c>
      <c r="E18" s="46">
        <v>203</v>
      </c>
      <c r="F18" s="46">
        <v>287</v>
      </c>
      <c r="G18" s="46">
        <v>240</v>
      </c>
      <c r="H18" s="40"/>
    </row>
    <row r="19" spans="1:8" x14ac:dyDescent="0.25">
      <c r="A19" s="40"/>
      <c r="B19" s="134"/>
      <c r="C19" s="46">
        <v>150</v>
      </c>
      <c r="D19" s="46">
        <v>278</v>
      </c>
      <c r="E19" s="46">
        <v>230</v>
      </c>
      <c r="F19" s="46">
        <v>324</v>
      </c>
      <c r="G19" s="46">
        <v>271</v>
      </c>
      <c r="H19" s="40"/>
    </row>
    <row r="20" spans="1:8" x14ac:dyDescent="0.25">
      <c r="A20" s="40"/>
      <c r="B20" s="134"/>
      <c r="C20" s="46">
        <v>185</v>
      </c>
      <c r="D20" s="46">
        <v>312</v>
      </c>
      <c r="E20" s="46">
        <v>258</v>
      </c>
      <c r="F20" s="48">
        <v>363</v>
      </c>
      <c r="G20" s="46">
        <v>304</v>
      </c>
      <c r="H20" s="40"/>
    </row>
    <row r="21" spans="1:8" x14ac:dyDescent="0.25">
      <c r="A21" s="40"/>
      <c r="B21" s="134"/>
      <c r="C21" s="46">
        <v>240</v>
      </c>
      <c r="D21" s="48">
        <v>361</v>
      </c>
      <c r="E21" s="48">
        <v>297</v>
      </c>
      <c r="F21" s="48">
        <v>419</v>
      </c>
      <c r="G21" s="48">
        <v>351</v>
      </c>
      <c r="H21" s="40"/>
    </row>
    <row r="22" spans="1:8" ht="15.75" thickBot="1" x14ac:dyDescent="0.3">
      <c r="A22" s="40"/>
      <c r="B22" s="135"/>
      <c r="C22" s="43">
        <v>300</v>
      </c>
      <c r="D22" s="49">
        <v>408</v>
      </c>
      <c r="E22" s="49">
        <v>336</v>
      </c>
      <c r="F22" s="49">
        <v>474</v>
      </c>
      <c r="G22" s="49">
        <v>396</v>
      </c>
      <c r="H22" s="40"/>
    </row>
    <row r="23" spans="1:8" x14ac:dyDescent="0.25">
      <c r="A23" s="40"/>
      <c r="B23" s="133" t="s">
        <v>48</v>
      </c>
      <c r="C23" s="46" t="s">
        <v>43</v>
      </c>
      <c r="D23" s="46"/>
      <c r="E23" s="46"/>
      <c r="F23" s="46"/>
      <c r="G23" s="46"/>
      <c r="H23" s="40"/>
    </row>
    <row r="24" spans="1:8" x14ac:dyDescent="0.25">
      <c r="A24" s="40"/>
      <c r="B24" s="134"/>
      <c r="C24" s="46">
        <v>2.5</v>
      </c>
      <c r="D24" s="46">
        <v>22</v>
      </c>
      <c r="E24" s="46">
        <v>18.5</v>
      </c>
      <c r="F24" s="46">
        <v>26</v>
      </c>
      <c r="G24" s="46">
        <v>22</v>
      </c>
      <c r="H24" s="40"/>
    </row>
    <row r="25" spans="1:8" x14ac:dyDescent="0.25">
      <c r="A25" s="40"/>
      <c r="B25" s="134"/>
      <c r="C25" s="46">
        <v>4</v>
      </c>
      <c r="D25" s="46">
        <v>29</v>
      </c>
      <c r="E25" s="46">
        <v>24</v>
      </c>
      <c r="F25" s="46">
        <v>34</v>
      </c>
      <c r="G25" s="46">
        <v>29</v>
      </c>
      <c r="H25" s="40"/>
    </row>
    <row r="26" spans="1:8" x14ac:dyDescent="0.25">
      <c r="A26" s="40"/>
      <c r="B26" s="134"/>
      <c r="C26" s="46">
        <v>6</v>
      </c>
      <c r="D26" s="46">
        <v>36</v>
      </c>
      <c r="E26" s="46">
        <v>30</v>
      </c>
      <c r="F26" s="46">
        <v>42</v>
      </c>
      <c r="G26" s="46">
        <v>36</v>
      </c>
      <c r="H26" s="40"/>
    </row>
    <row r="27" spans="1:8" x14ac:dyDescent="0.25">
      <c r="A27" s="40"/>
      <c r="B27" s="134"/>
      <c r="C27" s="46">
        <v>10</v>
      </c>
      <c r="D27" s="46">
        <v>48</v>
      </c>
      <c r="E27" s="46">
        <v>40</v>
      </c>
      <c r="F27" s="46">
        <v>56</v>
      </c>
      <c r="G27" s="46">
        <v>47</v>
      </c>
      <c r="H27" s="40"/>
    </row>
    <row r="28" spans="1:8" x14ac:dyDescent="0.25">
      <c r="A28" s="40"/>
      <c r="B28" s="134"/>
      <c r="C28" s="46">
        <v>16</v>
      </c>
      <c r="D28" s="46">
        <v>62</v>
      </c>
      <c r="E28" s="46">
        <v>52</v>
      </c>
      <c r="F28" s="46">
        <v>73</v>
      </c>
      <c r="G28" s="46">
        <v>61</v>
      </c>
      <c r="H28" s="40"/>
    </row>
    <row r="29" spans="1:8" x14ac:dyDescent="0.25">
      <c r="A29" s="40"/>
      <c r="B29" s="134"/>
      <c r="C29" s="46">
        <v>25</v>
      </c>
      <c r="D29" s="46">
        <v>80</v>
      </c>
      <c r="E29" s="46">
        <v>66</v>
      </c>
      <c r="F29" s="46">
        <v>93</v>
      </c>
      <c r="G29" s="46">
        <v>78</v>
      </c>
      <c r="H29" s="40"/>
    </row>
    <row r="30" spans="1:8" x14ac:dyDescent="0.25">
      <c r="A30" s="40"/>
      <c r="B30" s="134"/>
      <c r="C30" s="46">
        <v>35</v>
      </c>
      <c r="D30" s="46">
        <v>96</v>
      </c>
      <c r="E30" s="46">
        <v>80</v>
      </c>
      <c r="F30" s="46">
        <v>112</v>
      </c>
      <c r="G30" s="46">
        <v>94</v>
      </c>
      <c r="H30" s="40"/>
    </row>
    <row r="31" spans="1:8" x14ac:dyDescent="0.25">
      <c r="A31" s="40"/>
      <c r="B31" s="134"/>
      <c r="C31" s="46">
        <v>50</v>
      </c>
      <c r="D31" s="46">
        <v>113</v>
      </c>
      <c r="E31" s="46">
        <v>94</v>
      </c>
      <c r="F31" s="46">
        <v>132</v>
      </c>
      <c r="G31" s="46">
        <v>112</v>
      </c>
      <c r="H31" s="40"/>
    </row>
    <row r="32" spans="1:8" x14ac:dyDescent="0.25">
      <c r="A32" s="40"/>
      <c r="B32" s="134"/>
      <c r="C32" s="46">
        <v>70</v>
      </c>
      <c r="D32" s="46">
        <v>140</v>
      </c>
      <c r="E32" s="46">
        <v>117</v>
      </c>
      <c r="F32" s="46">
        <v>163</v>
      </c>
      <c r="G32" s="46">
        <v>138</v>
      </c>
      <c r="H32" s="40"/>
    </row>
    <row r="33" spans="1:8" x14ac:dyDescent="0.25">
      <c r="A33" s="40"/>
      <c r="B33" s="134"/>
      <c r="C33" s="46">
        <v>95</v>
      </c>
      <c r="D33" s="46">
        <v>166</v>
      </c>
      <c r="E33" s="46">
        <v>138</v>
      </c>
      <c r="F33" s="46">
        <v>193</v>
      </c>
      <c r="G33" s="46">
        <v>164</v>
      </c>
      <c r="H33" s="40"/>
    </row>
    <row r="34" spans="1:8" x14ac:dyDescent="0.25">
      <c r="A34" s="40"/>
      <c r="B34" s="134"/>
      <c r="C34" s="46">
        <v>120</v>
      </c>
      <c r="D34" s="46">
        <v>189</v>
      </c>
      <c r="E34" s="46">
        <v>157</v>
      </c>
      <c r="F34" s="46">
        <v>220</v>
      </c>
      <c r="G34" s="46">
        <v>186</v>
      </c>
      <c r="H34" s="40"/>
    </row>
    <row r="35" spans="1:8" x14ac:dyDescent="0.25">
      <c r="A35" s="40"/>
      <c r="B35" s="134"/>
      <c r="C35" s="46">
        <v>150</v>
      </c>
      <c r="D35" s="46">
        <v>213</v>
      </c>
      <c r="E35" s="46">
        <v>178</v>
      </c>
      <c r="F35" s="46">
        <v>249</v>
      </c>
      <c r="G35" s="46">
        <v>210</v>
      </c>
      <c r="H35" s="40"/>
    </row>
    <row r="36" spans="1:8" x14ac:dyDescent="0.25">
      <c r="A36" s="40"/>
      <c r="B36" s="134"/>
      <c r="C36" s="46">
        <v>185</v>
      </c>
      <c r="D36" s="46">
        <v>240</v>
      </c>
      <c r="E36" s="46">
        <v>200</v>
      </c>
      <c r="F36" s="46">
        <v>279</v>
      </c>
      <c r="G36" s="46">
        <v>236</v>
      </c>
      <c r="H36" s="40"/>
    </row>
    <row r="37" spans="1:8" x14ac:dyDescent="0.25">
      <c r="A37" s="40"/>
      <c r="B37" s="134"/>
      <c r="C37" s="46">
        <v>240</v>
      </c>
      <c r="D37" s="46">
        <v>277</v>
      </c>
      <c r="E37" s="46">
        <v>230</v>
      </c>
      <c r="F37" s="46">
        <v>322</v>
      </c>
      <c r="G37" s="46">
        <v>272</v>
      </c>
      <c r="H37" s="40"/>
    </row>
    <row r="38" spans="1:8" ht="15.75" thickBot="1" x14ac:dyDescent="0.3">
      <c r="A38" s="40"/>
      <c r="B38" s="135"/>
      <c r="C38" s="43">
        <v>300</v>
      </c>
      <c r="D38" s="49">
        <v>313</v>
      </c>
      <c r="E38" s="43">
        <v>260</v>
      </c>
      <c r="F38" s="49">
        <v>364</v>
      </c>
      <c r="G38" s="43">
        <v>308</v>
      </c>
      <c r="H38" s="40"/>
    </row>
    <row r="39" spans="1:8" x14ac:dyDescent="0.25">
      <c r="A39" s="40"/>
      <c r="B39" s="40"/>
      <c r="C39" s="40"/>
      <c r="D39" s="40"/>
      <c r="E39" s="40"/>
      <c r="F39" s="40"/>
      <c r="G39" s="40"/>
      <c r="H39" s="40"/>
    </row>
  </sheetData>
  <sheetProtection algorithmName="SHA-512" hashValue="CKgXjOEBFiwAKDTq0imF/XBLe1aEQxfW+3j3E3sOwA04rdNHJl6O3cnrO+D8CBq+KAxI0VVQHAy2TegWEf2VOQ==" saltValue="dvPwW5zjY7MOYHCQXm3hmA==" spinCount="100000" sheet="1" objects="1" scenarios="1" formatCells="0" formatColumns="0" selectLockedCells="1" selectUnlockedCells="1"/>
  <mergeCells count="6">
    <mergeCell ref="B23:B38"/>
    <mergeCell ref="B2:G3"/>
    <mergeCell ref="B4:B5"/>
    <mergeCell ref="C4:C5"/>
    <mergeCell ref="B6:B22"/>
    <mergeCell ref="D4:G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5"/>
  <dimension ref="A1:O46"/>
  <sheetViews>
    <sheetView showGridLines="0" showRowColHeaders="0" zoomScale="128" workbookViewId="0">
      <selection activeCell="G29" sqref="G29"/>
    </sheetView>
  </sheetViews>
  <sheetFormatPr defaultColWidth="0" defaultRowHeight="15" zeroHeight="1" x14ac:dyDescent="0.25"/>
  <cols>
    <col min="1" max="2" width="8.85546875" customWidth="1"/>
    <col min="3" max="3" width="31.28515625" customWidth="1"/>
    <col min="4" max="13" width="8.85546875" customWidth="1"/>
    <col min="14" max="16384" width="8.85546875" hidden="1"/>
  </cols>
  <sheetData>
    <row r="1" spans="1:15" x14ac:dyDescent="0.25">
      <c r="A1" s="40"/>
      <c r="B1" s="40"/>
      <c r="C1" s="40"/>
      <c r="D1" s="40"/>
      <c r="E1" s="40"/>
      <c r="F1" s="40"/>
      <c r="G1" s="40"/>
      <c r="H1" s="40"/>
      <c r="I1" s="40"/>
      <c r="J1" s="40"/>
      <c r="K1" s="40"/>
      <c r="L1" s="40"/>
      <c r="M1" s="40"/>
      <c r="N1" s="40"/>
      <c r="O1" s="40"/>
    </row>
    <row r="2" spans="1:15" x14ac:dyDescent="0.25">
      <c r="A2" s="40"/>
      <c r="B2" s="176" t="s">
        <v>59</v>
      </c>
      <c r="C2" s="176"/>
      <c r="D2" s="176"/>
      <c r="E2" s="176"/>
      <c r="F2" s="176"/>
      <c r="G2" s="176"/>
      <c r="H2" s="176"/>
      <c r="I2" s="176"/>
      <c r="J2" s="176"/>
      <c r="K2" s="176"/>
      <c r="L2" s="176"/>
      <c r="M2" s="40"/>
      <c r="N2" s="40"/>
      <c r="O2" s="40"/>
    </row>
    <row r="3" spans="1:15" x14ac:dyDescent="0.25">
      <c r="A3" s="40"/>
      <c r="B3" s="176"/>
      <c r="C3" s="176"/>
      <c r="D3" s="176"/>
      <c r="E3" s="176"/>
      <c r="F3" s="176"/>
      <c r="G3" s="176"/>
      <c r="H3" s="176"/>
      <c r="I3" s="176"/>
      <c r="J3" s="176"/>
      <c r="K3" s="176"/>
      <c r="L3" s="176"/>
      <c r="M3" s="40"/>
      <c r="N3" s="40"/>
      <c r="O3" s="40"/>
    </row>
    <row r="4" spans="1:15" ht="15.75" thickBot="1" x14ac:dyDescent="0.3">
      <c r="A4" s="40"/>
      <c r="B4" s="177"/>
      <c r="C4" s="177"/>
      <c r="D4" s="177"/>
      <c r="E4" s="177"/>
      <c r="F4" s="177"/>
      <c r="G4" s="177"/>
      <c r="H4" s="177"/>
      <c r="I4" s="177"/>
      <c r="J4" s="177"/>
      <c r="K4" s="177"/>
      <c r="L4" s="177"/>
      <c r="M4" s="40"/>
      <c r="N4" s="40"/>
      <c r="O4" s="40"/>
    </row>
    <row r="5" spans="1:15" ht="15.75" thickBot="1" x14ac:dyDescent="0.3">
      <c r="A5" s="40"/>
      <c r="B5" s="133" t="s">
        <v>51</v>
      </c>
      <c r="C5" s="133" t="s">
        <v>52</v>
      </c>
      <c r="D5" s="62"/>
      <c r="E5" s="62"/>
      <c r="F5" s="137" t="s">
        <v>53</v>
      </c>
      <c r="G5" s="137"/>
      <c r="H5" s="137"/>
      <c r="I5" s="137"/>
      <c r="J5" s="137"/>
      <c r="K5" s="62"/>
      <c r="L5" s="63"/>
      <c r="M5" s="40"/>
      <c r="N5" s="40"/>
      <c r="O5" s="40"/>
    </row>
    <row r="6" spans="1:15" ht="15.75" thickBot="1" x14ac:dyDescent="0.3">
      <c r="A6" s="40"/>
      <c r="B6" s="135"/>
      <c r="C6" s="135"/>
      <c r="D6" s="43">
        <v>1</v>
      </c>
      <c r="E6" s="43">
        <v>2</v>
      </c>
      <c r="F6" s="43">
        <v>3</v>
      </c>
      <c r="G6" s="43">
        <v>4</v>
      </c>
      <c r="H6" s="43">
        <v>6</v>
      </c>
      <c r="I6" s="43">
        <v>9</v>
      </c>
      <c r="J6" s="43">
        <v>12</v>
      </c>
      <c r="K6" s="43">
        <v>16</v>
      </c>
      <c r="L6" s="43">
        <v>20</v>
      </c>
      <c r="M6" s="40"/>
      <c r="N6" s="40"/>
      <c r="O6" s="40"/>
    </row>
    <row r="7" spans="1:15" ht="33" customHeight="1" x14ac:dyDescent="0.25">
      <c r="A7" s="40"/>
      <c r="B7" s="64">
        <v>1</v>
      </c>
      <c r="C7" s="65" t="s">
        <v>54</v>
      </c>
      <c r="D7" s="46">
        <v>1</v>
      </c>
      <c r="E7" s="46">
        <v>0.8</v>
      </c>
      <c r="F7" s="46">
        <v>0.7</v>
      </c>
      <c r="G7" s="46">
        <v>0.65</v>
      </c>
      <c r="H7" s="46">
        <v>0.55000000000000004</v>
      </c>
      <c r="I7" s="46">
        <v>0.5</v>
      </c>
      <c r="J7" s="46">
        <v>0.45</v>
      </c>
      <c r="K7" s="46">
        <v>0.4</v>
      </c>
      <c r="L7" s="46">
        <v>0.4</v>
      </c>
      <c r="M7" s="40"/>
      <c r="N7" s="40"/>
      <c r="O7" s="40"/>
    </row>
    <row r="8" spans="1:15" ht="33" customHeight="1" x14ac:dyDescent="0.25">
      <c r="A8" s="40"/>
      <c r="B8" s="66">
        <v>2</v>
      </c>
      <c r="C8" s="67" t="s">
        <v>55</v>
      </c>
      <c r="D8" s="46">
        <v>1</v>
      </c>
      <c r="E8" s="46">
        <v>0.85</v>
      </c>
      <c r="F8" s="46">
        <v>0.8</v>
      </c>
      <c r="G8" s="46">
        <v>0.75</v>
      </c>
      <c r="H8" s="46">
        <v>0.7</v>
      </c>
      <c r="I8" s="46">
        <v>0.7</v>
      </c>
      <c r="J8" s="46" t="s">
        <v>27</v>
      </c>
      <c r="K8" s="46" t="s">
        <v>27</v>
      </c>
      <c r="L8" s="46" t="s">
        <v>27</v>
      </c>
      <c r="M8" s="40"/>
      <c r="N8" s="40"/>
      <c r="O8" s="40"/>
    </row>
    <row r="9" spans="1:15" ht="33" customHeight="1" x14ac:dyDescent="0.25">
      <c r="A9" s="40"/>
      <c r="B9" s="66">
        <v>3</v>
      </c>
      <c r="C9" s="67" t="s">
        <v>56</v>
      </c>
      <c r="D9" s="46">
        <v>0.95</v>
      </c>
      <c r="E9" s="46">
        <v>0.8</v>
      </c>
      <c r="F9" s="46">
        <v>0.7</v>
      </c>
      <c r="G9" s="46">
        <v>0.7</v>
      </c>
      <c r="H9" s="46">
        <v>0.65</v>
      </c>
      <c r="I9" s="46">
        <v>0.6</v>
      </c>
      <c r="J9" s="46" t="s">
        <v>27</v>
      </c>
      <c r="K9" s="46" t="s">
        <v>27</v>
      </c>
      <c r="L9" s="46" t="s">
        <v>27</v>
      </c>
      <c r="M9" s="40"/>
      <c r="N9" s="40"/>
      <c r="O9" s="40"/>
    </row>
    <row r="10" spans="1:15" ht="33" customHeight="1" x14ac:dyDescent="0.25">
      <c r="A10" s="40"/>
      <c r="B10" s="66">
        <v>4</v>
      </c>
      <c r="C10" s="67" t="s">
        <v>57</v>
      </c>
      <c r="D10" s="46">
        <v>1</v>
      </c>
      <c r="E10" s="46">
        <v>0.9</v>
      </c>
      <c r="F10" s="46">
        <v>0.8</v>
      </c>
      <c r="G10" s="46">
        <v>0.75</v>
      </c>
      <c r="H10" s="46">
        <v>0.75</v>
      </c>
      <c r="I10" s="46">
        <v>0.7</v>
      </c>
      <c r="J10" s="46" t="s">
        <v>27</v>
      </c>
      <c r="K10" s="46" t="s">
        <v>27</v>
      </c>
      <c r="L10" s="46" t="s">
        <v>27</v>
      </c>
      <c r="M10" s="40"/>
      <c r="N10" s="40"/>
      <c r="O10" s="40"/>
    </row>
    <row r="11" spans="1:15" ht="33" customHeight="1" thickBot="1" x14ac:dyDescent="0.3">
      <c r="A11" s="40"/>
      <c r="B11" s="107">
        <v>5</v>
      </c>
      <c r="C11" s="68" t="s">
        <v>58</v>
      </c>
      <c r="D11" s="43">
        <v>1</v>
      </c>
      <c r="E11" s="43">
        <v>0.85</v>
      </c>
      <c r="F11" s="43">
        <v>0.8</v>
      </c>
      <c r="G11" s="43">
        <v>0.8</v>
      </c>
      <c r="H11" s="43">
        <v>0.8</v>
      </c>
      <c r="I11" s="43">
        <v>0.8</v>
      </c>
      <c r="J11" s="43" t="s">
        <v>27</v>
      </c>
      <c r="K11" s="43" t="s">
        <v>27</v>
      </c>
      <c r="L11" s="43" t="s">
        <v>27</v>
      </c>
      <c r="M11" s="40"/>
      <c r="N11" s="40"/>
      <c r="O11" s="40"/>
    </row>
    <row r="12" spans="1:15" x14ac:dyDescent="0.25">
      <c r="A12" s="40"/>
      <c r="B12" s="40"/>
      <c r="C12" s="40"/>
      <c r="D12" s="40"/>
      <c r="E12" s="40"/>
      <c r="F12" s="40"/>
      <c r="G12" s="40"/>
      <c r="H12" s="40"/>
      <c r="I12" s="40"/>
      <c r="J12" s="40"/>
      <c r="K12" s="40"/>
      <c r="L12" s="40"/>
      <c r="M12" s="40"/>
      <c r="N12" s="40"/>
      <c r="O12" s="40"/>
    </row>
    <row r="13" spans="1:15" hidden="1" x14ac:dyDescent="0.25">
      <c r="A13" s="40"/>
      <c r="B13" s="40"/>
      <c r="C13" s="40"/>
      <c r="D13" s="40"/>
      <c r="E13" s="40"/>
      <c r="F13" s="40"/>
      <c r="G13" s="40"/>
      <c r="H13" s="40"/>
      <c r="I13" s="40"/>
      <c r="J13" s="40"/>
      <c r="K13" s="40"/>
      <c r="L13" s="40"/>
      <c r="M13" s="40"/>
      <c r="N13" s="40"/>
      <c r="O13" s="40"/>
    </row>
    <row r="14" spans="1:15" hidden="1" x14ac:dyDescent="0.25">
      <c r="A14" s="40"/>
      <c r="B14" s="40"/>
      <c r="C14" s="40"/>
      <c r="D14" s="40"/>
      <c r="E14" s="40"/>
      <c r="F14" s="40"/>
      <c r="G14" s="40"/>
      <c r="H14" s="40"/>
      <c r="I14" s="40"/>
      <c r="J14" s="40"/>
      <c r="K14" s="40"/>
      <c r="L14" s="40"/>
      <c r="M14" s="40"/>
      <c r="N14" s="40"/>
      <c r="O14" s="40"/>
    </row>
    <row r="15" spans="1:15" hidden="1" x14ac:dyDescent="0.25">
      <c r="A15" s="40"/>
      <c r="B15" s="40"/>
      <c r="C15" s="40"/>
      <c r="D15" s="40"/>
      <c r="E15" s="40"/>
      <c r="F15" s="40"/>
      <c r="G15" s="40"/>
      <c r="H15" s="40"/>
      <c r="I15" s="40"/>
      <c r="J15" s="40"/>
      <c r="K15" s="40"/>
      <c r="L15" s="40"/>
      <c r="M15" s="40"/>
      <c r="N15" s="40"/>
      <c r="O15" s="40"/>
    </row>
    <row r="16" spans="1:15" hidden="1" x14ac:dyDescent="0.25">
      <c r="A16" s="40"/>
      <c r="B16" s="40"/>
      <c r="C16" s="40"/>
      <c r="D16" s="40"/>
      <c r="E16" s="40"/>
      <c r="F16" s="40"/>
      <c r="G16" s="40"/>
      <c r="H16" s="40"/>
      <c r="I16" s="40"/>
      <c r="J16" s="40"/>
      <c r="K16" s="40"/>
      <c r="L16" s="40"/>
      <c r="M16" s="40"/>
      <c r="N16" s="40"/>
      <c r="O16" s="40"/>
    </row>
    <row r="17" spans="1:15" hidden="1" x14ac:dyDescent="0.25">
      <c r="A17" s="40"/>
      <c r="B17" s="40"/>
      <c r="C17" s="40"/>
      <c r="D17" s="40"/>
      <c r="E17" s="40"/>
      <c r="F17" s="40"/>
      <c r="G17" s="40"/>
      <c r="H17" s="40"/>
      <c r="I17" s="40"/>
      <c r="J17" s="40"/>
      <c r="K17" s="40"/>
      <c r="L17" s="40"/>
      <c r="M17" s="40"/>
      <c r="N17" s="40"/>
      <c r="O17" s="40"/>
    </row>
    <row r="18" spans="1:15" hidden="1" x14ac:dyDescent="0.25">
      <c r="A18" s="40"/>
      <c r="B18" s="40"/>
      <c r="C18" s="40"/>
      <c r="D18" s="40"/>
      <c r="E18" s="40"/>
      <c r="F18" s="40"/>
      <c r="G18" s="40"/>
      <c r="H18" s="40"/>
      <c r="I18" s="40"/>
      <c r="J18" s="40"/>
      <c r="K18" s="40"/>
      <c r="L18" s="40"/>
      <c r="M18" s="40"/>
      <c r="N18" s="40"/>
      <c r="O18" s="40"/>
    </row>
    <row r="19" spans="1:15" hidden="1" x14ac:dyDescent="0.25">
      <c r="A19" s="40"/>
      <c r="B19" s="40"/>
      <c r="C19" s="40"/>
      <c r="D19" s="40"/>
      <c r="E19" s="40"/>
      <c r="F19" s="40"/>
      <c r="G19" s="40"/>
      <c r="H19" s="40"/>
      <c r="I19" s="40"/>
      <c r="J19" s="40"/>
      <c r="K19" s="40"/>
      <c r="L19" s="40"/>
      <c r="M19" s="40"/>
      <c r="N19" s="40"/>
      <c r="O19" s="40"/>
    </row>
    <row r="20" spans="1:15" hidden="1" x14ac:dyDescent="0.25">
      <c r="A20" s="40"/>
      <c r="B20" s="40"/>
      <c r="C20" s="40"/>
      <c r="D20" s="40"/>
      <c r="E20" s="40"/>
      <c r="F20" s="40"/>
      <c r="G20" s="40"/>
      <c r="H20" s="40"/>
      <c r="I20" s="40"/>
      <c r="J20" s="40"/>
      <c r="K20" s="40"/>
      <c r="L20" s="40"/>
      <c r="M20" s="40"/>
      <c r="N20" s="40"/>
      <c r="O20" s="40"/>
    </row>
    <row r="21" spans="1:15" hidden="1" x14ac:dyDescent="0.25">
      <c r="A21" s="40"/>
      <c r="B21" s="40"/>
      <c r="C21" s="40"/>
      <c r="D21" s="40"/>
      <c r="E21" s="40"/>
      <c r="F21" s="40"/>
      <c r="G21" s="40"/>
      <c r="H21" s="40"/>
      <c r="I21" s="40"/>
      <c r="J21" s="40"/>
      <c r="K21" s="40"/>
      <c r="L21" s="40"/>
      <c r="M21" s="40"/>
      <c r="N21" s="40"/>
      <c r="O21" s="40"/>
    </row>
    <row r="22" spans="1:15" hidden="1" x14ac:dyDescent="0.25">
      <c r="A22" s="40"/>
      <c r="B22" s="40"/>
      <c r="C22" s="40"/>
      <c r="D22" s="40"/>
      <c r="E22" s="40"/>
      <c r="F22" s="40"/>
      <c r="G22" s="40"/>
      <c r="H22" s="40"/>
      <c r="I22" s="40"/>
      <c r="J22" s="40"/>
      <c r="K22" s="40"/>
      <c r="L22" s="40"/>
      <c r="M22" s="40"/>
      <c r="N22" s="40"/>
      <c r="O22" s="40"/>
    </row>
    <row r="23" spans="1:15" hidden="1" x14ac:dyDescent="0.25">
      <c r="A23" s="40"/>
      <c r="B23" s="40"/>
      <c r="C23" s="40"/>
      <c r="D23" s="40"/>
      <c r="E23" s="40"/>
      <c r="F23" s="40"/>
      <c r="G23" s="40"/>
      <c r="H23" s="40"/>
      <c r="I23" s="40"/>
      <c r="J23" s="40"/>
      <c r="K23" s="40"/>
      <c r="L23" s="40"/>
      <c r="M23" s="40"/>
      <c r="N23" s="40"/>
      <c r="O23" s="40"/>
    </row>
    <row r="24" spans="1:15" hidden="1" x14ac:dyDescent="0.25">
      <c r="A24" s="40"/>
      <c r="B24" s="40"/>
      <c r="C24" s="40"/>
      <c r="D24" s="40"/>
      <c r="E24" s="40"/>
      <c r="F24" s="40"/>
      <c r="G24" s="40"/>
      <c r="H24" s="40"/>
      <c r="I24" s="40"/>
      <c r="J24" s="40"/>
      <c r="K24" s="40"/>
      <c r="L24" s="40"/>
      <c r="M24" s="40"/>
      <c r="N24" s="40"/>
      <c r="O24" s="40"/>
    </row>
    <row r="25" spans="1:15" hidden="1" x14ac:dyDescent="0.25">
      <c r="A25" s="40"/>
      <c r="B25" s="40"/>
      <c r="C25" s="40"/>
      <c r="D25" s="40"/>
      <c r="E25" s="40"/>
      <c r="F25" s="40"/>
      <c r="G25" s="40"/>
      <c r="H25" s="40"/>
      <c r="I25" s="40"/>
      <c r="J25" s="40"/>
      <c r="K25" s="40"/>
      <c r="L25" s="40"/>
      <c r="M25" s="40"/>
      <c r="N25" s="40"/>
      <c r="O25" s="40"/>
    </row>
    <row r="26" spans="1:15" hidden="1" x14ac:dyDescent="0.25">
      <c r="A26" s="40"/>
      <c r="B26" s="40"/>
      <c r="C26" s="40"/>
      <c r="D26" s="40"/>
      <c r="E26" s="40"/>
      <c r="F26" s="40"/>
      <c r="G26" s="40"/>
      <c r="H26" s="40"/>
      <c r="I26" s="40"/>
      <c r="J26" s="40"/>
      <c r="K26" s="40"/>
      <c r="L26" s="40"/>
      <c r="M26" s="40"/>
      <c r="N26" s="40"/>
      <c r="O26" s="40"/>
    </row>
    <row r="27" spans="1:15" hidden="1" x14ac:dyDescent="0.25">
      <c r="A27" s="40"/>
      <c r="B27" s="40"/>
      <c r="C27" s="40"/>
      <c r="D27" s="40"/>
      <c r="E27" s="40"/>
      <c r="F27" s="40"/>
      <c r="G27" s="40"/>
      <c r="H27" s="40"/>
      <c r="I27" s="40"/>
      <c r="J27" s="40"/>
      <c r="K27" s="40"/>
      <c r="L27" s="40"/>
      <c r="M27" s="40"/>
      <c r="N27" s="40"/>
      <c r="O27" s="40"/>
    </row>
    <row r="28" spans="1:15" hidden="1" x14ac:dyDescent="0.25">
      <c r="A28" s="40"/>
      <c r="B28" s="40"/>
      <c r="C28" s="40"/>
      <c r="D28" s="40"/>
      <c r="E28" s="40"/>
      <c r="F28" s="40"/>
      <c r="G28" s="40"/>
      <c r="H28" s="40"/>
      <c r="I28" s="40"/>
      <c r="J28" s="40"/>
      <c r="K28" s="40"/>
      <c r="L28" s="40"/>
      <c r="M28" s="40"/>
      <c r="N28" s="40"/>
      <c r="O28" s="40"/>
    </row>
    <row r="29" spans="1:15" hidden="1" x14ac:dyDescent="0.25">
      <c r="A29" s="40"/>
      <c r="B29" s="40"/>
      <c r="C29" s="40"/>
      <c r="D29" s="40"/>
      <c r="E29" s="40"/>
      <c r="F29" s="40"/>
      <c r="G29" s="40"/>
      <c r="H29" s="40"/>
      <c r="I29" s="40"/>
      <c r="J29" s="40"/>
      <c r="K29" s="40"/>
      <c r="L29" s="40"/>
      <c r="M29" s="40"/>
      <c r="N29" s="40"/>
      <c r="O29" s="40"/>
    </row>
    <row r="30" spans="1:15" hidden="1" x14ac:dyDescent="0.25">
      <c r="A30" s="40"/>
      <c r="B30" s="40"/>
      <c r="C30" s="40"/>
      <c r="D30" s="40"/>
      <c r="E30" s="40"/>
      <c r="F30" s="40"/>
      <c r="G30" s="40"/>
      <c r="H30" s="40"/>
      <c r="I30" s="40"/>
      <c r="J30" s="40"/>
      <c r="K30" s="40"/>
      <c r="L30" s="40"/>
      <c r="M30" s="40"/>
      <c r="N30" s="40"/>
      <c r="O30" s="40"/>
    </row>
    <row r="31" spans="1:15" hidden="1" x14ac:dyDescent="0.25">
      <c r="A31" s="40"/>
      <c r="B31" s="40"/>
      <c r="C31" s="40"/>
      <c r="D31" s="40"/>
      <c r="E31" s="40"/>
      <c r="F31" s="40"/>
      <c r="G31" s="40"/>
      <c r="H31" s="40"/>
      <c r="I31" s="40"/>
      <c r="J31" s="40"/>
      <c r="K31" s="40"/>
      <c r="L31" s="40"/>
      <c r="M31" s="40"/>
      <c r="N31" s="40"/>
      <c r="O31" s="40"/>
    </row>
    <row r="32" spans="1:15" hidden="1" x14ac:dyDescent="0.25">
      <c r="A32" s="40"/>
      <c r="B32" s="40"/>
      <c r="C32" s="40"/>
      <c r="D32" s="40"/>
      <c r="E32" s="40"/>
      <c r="F32" s="40"/>
      <c r="G32" s="40"/>
      <c r="H32" s="40"/>
      <c r="I32" s="40"/>
      <c r="J32" s="40"/>
      <c r="K32" s="40"/>
      <c r="L32" s="40"/>
      <c r="M32" s="40"/>
      <c r="N32" s="40"/>
      <c r="O32" s="40"/>
    </row>
    <row r="33" spans="1:15" hidden="1" x14ac:dyDescent="0.25">
      <c r="A33" s="40"/>
      <c r="B33" s="40"/>
      <c r="C33" s="40"/>
      <c r="D33" s="40"/>
      <c r="E33" s="40"/>
      <c r="F33" s="40"/>
      <c r="G33" s="40"/>
      <c r="H33" s="40"/>
      <c r="I33" s="40"/>
      <c r="J33" s="40"/>
      <c r="K33" s="40"/>
      <c r="L33" s="40"/>
      <c r="M33" s="40"/>
      <c r="N33" s="40"/>
      <c r="O33" s="40"/>
    </row>
    <row r="34" spans="1:15" hidden="1" x14ac:dyDescent="0.25">
      <c r="A34" s="40"/>
      <c r="B34" s="40"/>
      <c r="C34" s="40"/>
      <c r="D34" s="40"/>
      <c r="E34" s="40"/>
      <c r="F34" s="40"/>
      <c r="G34" s="40"/>
      <c r="H34" s="40"/>
      <c r="I34" s="40"/>
      <c r="J34" s="40"/>
      <c r="K34" s="40"/>
      <c r="L34" s="40"/>
      <c r="M34" s="40"/>
      <c r="N34" s="40"/>
      <c r="O34" s="40"/>
    </row>
    <row r="35" spans="1:15" hidden="1" x14ac:dyDescent="0.25">
      <c r="A35" s="40"/>
      <c r="B35" s="40"/>
      <c r="C35" s="40"/>
      <c r="D35" s="40"/>
      <c r="E35" s="40"/>
      <c r="F35" s="40"/>
      <c r="G35" s="40"/>
      <c r="H35" s="40"/>
      <c r="I35" s="40"/>
      <c r="J35" s="40"/>
      <c r="K35" s="40"/>
      <c r="L35" s="40"/>
      <c r="M35" s="40"/>
      <c r="N35" s="40"/>
      <c r="O35" s="40"/>
    </row>
    <row r="36" spans="1:15" hidden="1" x14ac:dyDescent="0.25">
      <c r="A36" s="40"/>
      <c r="B36" s="40"/>
      <c r="C36" s="40"/>
      <c r="D36" s="40"/>
      <c r="E36" s="40"/>
      <c r="F36" s="40"/>
      <c r="G36" s="40"/>
      <c r="H36" s="40"/>
      <c r="I36" s="40"/>
      <c r="J36" s="40"/>
      <c r="K36" s="40"/>
      <c r="L36" s="40"/>
      <c r="M36" s="40"/>
      <c r="N36" s="40"/>
      <c r="O36" s="40"/>
    </row>
    <row r="37" spans="1:15" hidden="1" x14ac:dyDescent="0.25">
      <c r="A37" s="40"/>
      <c r="B37" s="40"/>
      <c r="C37" s="40"/>
      <c r="D37" s="40"/>
      <c r="E37" s="40"/>
      <c r="F37" s="40"/>
      <c r="G37" s="40"/>
      <c r="H37" s="40"/>
      <c r="I37" s="40"/>
      <c r="J37" s="40"/>
      <c r="K37" s="40"/>
      <c r="L37" s="40"/>
      <c r="M37" s="40"/>
      <c r="N37" s="40"/>
      <c r="O37" s="40"/>
    </row>
    <row r="38" spans="1:15" hidden="1" x14ac:dyDescent="0.25">
      <c r="A38" s="40"/>
      <c r="B38" s="40"/>
      <c r="C38" s="40"/>
      <c r="D38" s="40"/>
      <c r="E38" s="40"/>
      <c r="F38" s="40"/>
      <c r="G38" s="40"/>
      <c r="H38" s="40"/>
      <c r="I38" s="40"/>
      <c r="J38" s="40"/>
      <c r="K38" s="40"/>
      <c r="L38" s="40"/>
      <c r="M38" s="40"/>
      <c r="N38" s="40"/>
      <c r="O38" s="40"/>
    </row>
    <row r="39" spans="1:15" hidden="1" x14ac:dyDescent="0.25">
      <c r="A39" s="40"/>
      <c r="B39" s="40"/>
      <c r="C39" s="40"/>
      <c r="D39" s="40"/>
      <c r="E39" s="40"/>
      <c r="F39" s="40"/>
      <c r="G39" s="40"/>
      <c r="H39" s="40"/>
      <c r="I39" s="40"/>
      <c r="J39" s="40"/>
      <c r="K39" s="40"/>
      <c r="L39" s="40"/>
      <c r="M39" s="40"/>
      <c r="N39" s="40"/>
      <c r="O39" s="40"/>
    </row>
    <row r="40" spans="1:15" hidden="1" x14ac:dyDescent="0.25">
      <c r="A40" s="40"/>
      <c r="B40" s="40"/>
      <c r="C40" s="40"/>
      <c r="D40" s="40"/>
      <c r="E40" s="40"/>
      <c r="F40" s="40"/>
      <c r="G40" s="40"/>
      <c r="H40" s="40"/>
      <c r="I40" s="40"/>
      <c r="J40" s="40"/>
      <c r="K40" s="40"/>
      <c r="L40" s="40"/>
      <c r="M40" s="40"/>
      <c r="N40" s="40"/>
      <c r="O40" s="40"/>
    </row>
    <row r="41" spans="1:15" hidden="1" x14ac:dyDescent="0.25">
      <c r="A41" s="40"/>
      <c r="B41" s="40"/>
      <c r="C41" s="40"/>
      <c r="D41" s="40"/>
      <c r="E41" s="40"/>
      <c r="F41" s="40"/>
      <c r="G41" s="40"/>
      <c r="H41" s="40"/>
      <c r="I41" s="40"/>
      <c r="J41" s="40"/>
      <c r="K41" s="40"/>
      <c r="L41" s="40"/>
      <c r="M41" s="40"/>
      <c r="N41" s="40"/>
      <c r="O41" s="40"/>
    </row>
    <row r="42" spans="1:15" hidden="1" x14ac:dyDescent="0.25">
      <c r="A42" s="40"/>
      <c r="B42" s="40"/>
      <c r="C42" s="40"/>
      <c r="D42" s="40"/>
      <c r="E42" s="40"/>
      <c r="F42" s="40"/>
      <c r="G42" s="40"/>
      <c r="H42" s="40"/>
      <c r="I42" s="40"/>
      <c r="J42" s="40"/>
      <c r="K42" s="40"/>
      <c r="L42" s="40"/>
      <c r="M42" s="40"/>
      <c r="N42" s="40"/>
      <c r="O42" s="40"/>
    </row>
    <row r="43" spans="1:15" hidden="1" x14ac:dyDescent="0.25">
      <c r="A43" s="40"/>
      <c r="B43" s="40"/>
      <c r="C43" s="40"/>
      <c r="D43" s="40"/>
      <c r="E43" s="40"/>
      <c r="F43" s="40"/>
      <c r="G43" s="40"/>
      <c r="H43" s="40"/>
      <c r="I43" s="40"/>
      <c r="J43" s="40"/>
      <c r="K43" s="40"/>
      <c r="L43" s="40"/>
      <c r="M43" s="40"/>
      <c r="N43" s="40"/>
      <c r="O43" s="40"/>
    </row>
    <row r="44" spans="1:15" hidden="1" x14ac:dyDescent="0.25">
      <c r="A44" s="40"/>
      <c r="B44" s="40"/>
      <c r="C44" s="40"/>
      <c r="D44" s="40"/>
      <c r="E44" s="40"/>
      <c r="F44" s="40"/>
      <c r="G44" s="40"/>
      <c r="H44" s="40"/>
      <c r="I44" s="40"/>
      <c r="J44" s="40"/>
      <c r="K44" s="40"/>
      <c r="L44" s="40"/>
      <c r="M44" s="40"/>
      <c r="N44" s="40"/>
      <c r="O44" s="40"/>
    </row>
    <row r="45" spans="1:15" hidden="1" x14ac:dyDescent="0.25">
      <c r="A45" s="40"/>
      <c r="B45" s="40"/>
      <c r="C45" s="40"/>
      <c r="D45" s="40"/>
      <c r="E45" s="40"/>
      <c r="F45" s="40"/>
      <c r="G45" s="40"/>
      <c r="H45" s="40"/>
      <c r="I45" s="40"/>
      <c r="J45" s="40"/>
      <c r="K45" s="40"/>
      <c r="L45" s="40"/>
      <c r="M45" s="40"/>
      <c r="N45" s="40"/>
      <c r="O45" s="40"/>
    </row>
    <row r="46" spans="1:15" hidden="1" x14ac:dyDescent="0.25">
      <c r="A46" s="40"/>
      <c r="B46" s="40"/>
      <c r="C46" s="40"/>
      <c r="D46" s="40"/>
      <c r="E46" s="40"/>
      <c r="F46" s="40"/>
      <c r="G46" s="40"/>
      <c r="H46" s="40"/>
      <c r="I46" s="40"/>
      <c r="J46" s="40"/>
      <c r="K46" s="40"/>
      <c r="L46" s="40"/>
      <c r="M46" s="40"/>
      <c r="N46" s="40"/>
      <c r="O46" s="40"/>
    </row>
  </sheetData>
  <sheetProtection algorithmName="SHA-512" hashValue="6F6vPL1lRpK+708W+XZY9QJn4FcOh6TqSH/XekgrKkCkHoXH1sKmm8g27NoJ95N9Q1RGDgeS6y9iVBqG3yGdWw==" saltValue="OsPxJbkBdAb5+4fl1fh+Rg==" spinCount="100000" sheet="1" objects="1" scenarios="1" formatCells="0" formatColumns="0" formatRows="0" selectLockedCells="1" selectUnlockedCells="1"/>
  <mergeCells count="4">
    <mergeCell ref="B5:B6"/>
    <mergeCell ref="C5:C6"/>
    <mergeCell ref="F5:J5"/>
    <mergeCell ref="B2:L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06FE9-F3CD-4DDE-94BA-54EE6F419935}">
  <sheetPr codeName="Ark7"/>
  <dimension ref="A1:O46"/>
  <sheetViews>
    <sheetView showGridLines="0" showRowColHeaders="0" zoomScale="118" workbookViewId="0">
      <selection activeCell="G29" sqref="G29"/>
    </sheetView>
  </sheetViews>
  <sheetFormatPr defaultColWidth="0" defaultRowHeight="15" zeroHeight="1" x14ac:dyDescent="0.25"/>
  <cols>
    <col min="1" max="1" width="8.85546875" customWidth="1"/>
    <col min="2" max="2" width="15.7109375" customWidth="1"/>
    <col min="3" max="3" width="19.85546875" customWidth="1"/>
    <col min="4" max="4" width="26.42578125" customWidth="1"/>
    <col min="5" max="5" width="26.7109375" customWidth="1"/>
    <col min="6" max="6" width="8.85546875" customWidth="1"/>
    <col min="7" max="16384" width="8.85546875" hidden="1"/>
  </cols>
  <sheetData>
    <row r="1" spans="1:15" x14ac:dyDescent="0.25">
      <c r="A1" s="40"/>
      <c r="B1" s="40"/>
      <c r="C1" s="40"/>
      <c r="D1" s="40"/>
      <c r="E1" s="40"/>
      <c r="F1" s="40"/>
      <c r="G1" s="40"/>
      <c r="H1" s="40"/>
      <c r="I1" s="40"/>
      <c r="J1" s="40"/>
      <c r="K1" s="40"/>
      <c r="L1" s="40"/>
      <c r="M1" s="40"/>
      <c r="N1" s="40"/>
      <c r="O1" s="40"/>
    </row>
    <row r="2" spans="1:15" ht="14.45" customHeight="1" x14ac:dyDescent="0.25">
      <c r="A2" s="40"/>
      <c r="B2" s="176" t="s">
        <v>120</v>
      </c>
      <c r="C2" s="176"/>
      <c r="D2" s="176"/>
      <c r="E2" s="176"/>
      <c r="F2" s="40"/>
      <c r="G2" s="40"/>
      <c r="H2" s="40"/>
      <c r="I2" s="40"/>
      <c r="J2" s="40"/>
      <c r="K2" s="40"/>
      <c r="L2" s="40"/>
      <c r="M2" s="40"/>
      <c r="N2" s="40"/>
      <c r="O2" s="40"/>
    </row>
    <row r="3" spans="1:15" ht="27" customHeight="1" thickBot="1" x14ac:dyDescent="0.3">
      <c r="A3" s="40"/>
      <c r="B3" s="184"/>
      <c r="C3" s="184"/>
      <c r="D3" s="184"/>
      <c r="E3" s="184"/>
      <c r="F3" s="40"/>
      <c r="G3" s="40"/>
      <c r="H3" s="40"/>
      <c r="I3" s="40"/>
      <c r="J3" s="40"/>
      <c r="K3" s="40"/>
      <c r="L3" s="40"/>
      <c r="M3" s="40"/>
      <c r="N3" s="40"/>
      <c r="O3" s="40"/>
    </row>
    <row r="4" spans="1:15" ht="24" customHeight="1" thickBot="1" x14ac:dyDescent="0.3">
      <c r="A4" s="40"/>
      <c r="B4" s="178" t="s">
        <v>119</v>
      </c>
      <c r="C4" s="179"/>
      <c r="D4" s="182" t="s">
        <v>112</v>
      </c>
      <c r="E4" s="183"/>
      <c r="F4" s="40"/>
      <c r="G4" s="40"/>
      <c r="H4" s="40"/>
      <c r="I4" s="40"/>
      <c r="J4" s="40"/>
      <c r="K4" s="40"/>
      <c r="L4" s="40"/>
      <c r="M4" s="40"/>
      <c r="N4" s="40"/>
      <c r="O4" s="40"/>
    </row>
    <row r="5" spans="1:15" ht="24.75" thickBot="1" x14ac:dyDescent="0.3">
      <c r="A5" s="40"/>
      <c r="B5" s="180"/>
      <c r="C5" s="181"/>
      <c r="D5" s="69" t="s">
        <v>113</v>
      </c>
      <c r="E5" s="61" t="s">
        <v>114</v>
      </c>
      <c r="F5" s="40"/>
      <c r="G5" s="40"/>
      <c r="H5" s="40"/>
      <c r="I5" s="40"/>
      <c r="J5" s="40"/>
      <c r="K5" s="40"/>
      <c r="L5" s="40"/>
      <c r="M5" s="40"/>
      <c r="N5" s="40"/>
      <c r="O5" s="40"/>
    </row>
    <row r="6" spans="1:15" x14ac:dyDescent="0.25">
      <c r="A6" s="40"/>
      <c r="B6" s="70" t="s">
        <v>115</v>
      </c>
      <c r="C6" s="71" t="s">
        <v>107</v>
      </c>
      <c r="D6" s="46">
        <v>1</v>
      </c>
      <c r="E6" s="72"/>
      <c r="F6" s="40"/>
      <c r="G6" s="40"/>
      <c r="H6" s="40"/>
      <c r="I6" s="40"/>
      <c r="J6" s="40"/>
      <c r="K6" s="40"/>
      <c r="L6" s="40"/>
      <c r="M6" s="40"/>
      <c r="N6" s="40"/>
      <c r="O6" s="40"/>
    </row>
    <row r="7" spans="1:15" x14ac:dyDescent="0.25">
      <c r="A7" s="40"/>
      <c r="B7" s="70" t="s">
        <v>118</v>
      </c>
      <c r="C7" s="71" t="s">
        <v>108</v>
      </c>
      <c r="D7" s="105">
        <v>0.86</v>
      </c>
      <c r="E7" s="72"/>
      <c r="F7" s="40"/>
      <c r="G7" s="40"/>
      <c r="H7" s="40"/>
      <c r="I7" s="40"/>
      <c r="J7" s="40"/>
      <c r="K7" s="40"/>
      <c r="L7" s="40"/>
      <c r="M7" s="40"/>
      <c r="N7" s="40"/>
      <c r="O7" s="40"/>
    </row>
    <row r="8" spans="1:15" x14ac:dyDescent="0.25">
      <c r="A8" s="40"/>
      <c r="B8" s="70" t="s">
        <v>117</v>
      </c>
      <c r="C8" s="71" t="s">
        <v>109</v>
      </c>
      <c r="D8" s="46"/>
      <c r="E8" s="72">
        <v>0.86</v>
      </c>
      <c r="F8" s="40"/>
      <c r="G8" s="40"/>
      <c r="H8" s="40"/>
      <c r="I8" s="40"/>
      <c r="J8" s="40"/>
      <c r="K8" s="40"/>
      <c r="L8" s="40"/>
      <c r="M8" s="40"/>
      <c r="N8" s="40"/>
      <c r="O8" s="40"/>
    </row>
    <row r="9" spans="1:15" ht="15.75" thickBot="1" x14ac:dyDescent="0.3">
      <c r="A9" s="40"/>
      <c r="B9" s="73" t="s">
        <v>116</v>
      </c>
      <c r="C9" s="74" t="s">
        <v>122</v>
      </c>
      <c r="D9" s="75"/>
      <c r="E9" s="76">
        <v>1</v>
      </c>
      <c r="F9" s="40"/>
      <c r="G9" s="40"/>
      <c r="H9" s="40"/>
      <c r="I9" s="40"/>
      <c r="J9" s="40"/>
      <c r="K9" s="40"/>
      <c r="L9" s="40"/>
      <c r="M9" s="40"/>
      <c r="N9" s="40"/>
      <c r="O9" s="40"/>
    </row>
    <row r="10" spans="1:15" x14ac:dyDescent="0.25">
      <c r="A10" s="40"/>
      <c r="B10" s="40"/>
      <c r="C10" s="40"/>
      <c r="D10" s="40"/>
      <c r="E10" s="40"/>
      <c r="F10" s="40"/>
      <c r="G10" s="40"/>
      <c r="H10" s="40"/>
      <c r="I10" s="40"/>
      <c r="J10" s="40"/>
      <c r="K10" s="40"/>
      <c r="L10" s="40"/>
      <c r="M10" s="40"/>
      <c r="N10" s="40"/>
      <c r="O10" s="40"/>
    </row>
    <row r="11" spans="1:15" hidden="1" x14ac:dyDescent="0.25">
      <c r="A11" s="40"/>
      <c r="B11" s="40"/>
      <c r="C11" s="40"/>
      <c r="D11" s="40"/>
      <c r="E11" s="40"/>
      <c r="F11" s="40"/>
      <c r="G11" s="40"/>
      <c r="H11" s="40"/>
      <c r="I11" s="40"/>
      <c r="J11" s="40"/>
      <c r="K11" s="40"/>
      <c r="L11" s="40"/>
      <c r="M11" s="40"/>
      <c r="N11" s="40"/>
      <c r="O11" s="40"/>
    </row>
    <row r="12" spans="1:15" hidden="1" x14ac:dyDescent="0.25">
      <c r="A12" s="40"/>
      <c r="B12" s="40"/>
      <c r="C12" s="40"/>
      <c r="D12" s="40"/>
      <c r="E12" s="40"/>
      <c r="F12" s="40"/>
      <c r="G12" s="40"/>
      <c r="H12" s="40"/>
      <c r="I12" s="40"/>
      <c r="J12" s="40"/>
      <c r="K12" s="40"/>
      <c r="L12" s="40"/>
      <c r="M12" s="40"/>
      <c r="N12" s="40"/>
      <c r="O12" s="40"/>
    </row>
    <row r="13" spans="1:15" hidden="1" x14ac:dyDescent="0.25">
      <c r="A13" s="40"/>
      <c r="B13" s="40"/>
      <c r="C13" s="40"/>
      <c r="D13" s="40"/>
      <c r="E13" s="40"/>
      <c r="F13" s="40"/>
      <c r="G13" s="40"/>
      <c r="H13" s="40"/>
      <c r="I13" s="40"/>
      <c r="J13" s="40"/>
      <c r="K13" s="40"/>
      <c r="L13" s="40"/>
      <c r="M13" s="40"/>
      <c r="N13" s="40"/>
      <c r="O13" s="40"/>
    </row>
    <row r="14" spans="1:15" hidden="1" x14ac:dyDescent="0.25">
      <c r="A14" s="40"/>
      <c r="B14" s="40"/>
      <c r="C14" s="40"/>
      <c r="D14" s="40"/>
      <c r="E14" s="40"/>
      <c r="F14" s="40"/>
      <c r="G14" s="40"/>
      <c r="H14" s="40"/>
      <c r="I14" s="40"/>
      <c r="J14" s="40"/>
      <c r="K14" s="40"/>
      <c r="L14" s="40"/>
      <c r="M14" s="40"/>
      <c r="N14" s="40"/>
      <c r="O14" s="40"/>
    </row>
    <row r="15" spans="1:15" hidden="1" x14ac:dyDescent="0.25">
      <c r="A15" s="40"/>
      <c r="B15" s="40"/>
      <c r="C15" s="40"/>
      <c r="D15" s="40"/>
      <c r="E15" s="40"/>
      <c r="F15" s="40"/>
      <c r="G15" s="40"/>
      <c r="H15" s="40"/>
      <c r="I15" s="40"/>
      <c r="J15" s="40"/>
      <c r="K15" s="40"/>
      <c r="L15" s="40"/>
      <c r="M15" s="40"/>
      <c r="N15" s="40"/>
      <c r="O15" s="40"/>
    </row>
    <row r="16" spans="1:15" hidden="1" x14ac:dyDescent="0.25">
      <c r="A16" s="40"/>
      <c r="B16" s="40"/>
      <c r="C16" s="40"/>
      <c r="D16" s="40"/>
      <c r="E16" s="40"/>
      <c r="F16" s="40"/>
      <c r="G16" s="40"/>
      <c r="H16" s="40"/>
      <c r="I16" s="40"/>
      <c r="J16" s="40"/>
      <c r="K16" s="40"/>
      <c r="L16" s="40"/>
      <c r="M16" s="40"/>
      <c r="N16" s="40"/>
      <c r="O16" s="40"/>
    </row>
    <row r="17" spans="1:15" hidden="1" x14ac:dyDescent="0.25">
      <c r="A17" s="40"/>
      <c r="B17" s="40"/>
      <c r="C17" s="40"/>
      <c r="D17" s="40"/>
      <c r="E17" s="40"/>
      <c r="F17" s="40"/>
      <c r="G17" s="40"/>
      <c r="H17" s="40"/>
      <c r="I17" s="40"/>
      <c r="J17" s="40"/>
      <c r="K17" s="40"/>
      <c r="L17" s="40"/>
      <c r="M17" s="40"/>
      <c r="N17" s="40"/>
      <c r="O17" s="40"/>
    </row>
    <row r="18" spans="1:15" hidden="1" x14ac:dyDescent="0.25">
      <c r="A18" s="40"/>
      <c r="B18" s="40"/>
      <c r="C18" s="40"/>
      <c r="D18" s="40"/>
      <c r="E18" s="40"/>
      <c r="F18" s="40"/>
      <c r="G18" s="40"/>
      <c r="H18" s="40"/>
      <c r="I18" s="40"/>
      <c r="J18" s="40"/>
      <c r="K18" s="40"/>
      <c r="L18" s="40"/>
      <c r="M18" s="40"/>
      <c r="N18" s="40"/>
      <c r="O18" s="40"/>
    </row>
    <row r="19" spans="1:15" hidden="1" x14ac:dyDescent="0.25">
      <c r="A19" s="40"/>
      <c r="B19" s="40"/>
      <c r="C19" s="40"/>
      <c r="D19" s="40"/>
      <c r="E19" s="40"/>
      <c r="F19" s="40"/>
      <c r="G19" s="40"/>
      <c r="H19" s="40"/>
      <c r="I19" s="40"/>
      <c r="J19" s="40"/>
      <c r="K19" s="40"/>
      <c r="L19" s="40"/>
      <c r="M19" s="40"/>
      <c r="N19" s="40"/>
      <c r="O19" s="40"/>
    </row>
    <row r="20" spans="1:15" hidden="1" x14ac:dyDescent="0.25">
      <c r="A20" s="40"/>
      <c r="B20" s="40"/>
      <c r="C20" s="40"/>
      <c r="D20" s="40"/>
      <c r="E20" s="40"/>
      <c r="F20" s="40"/>
      <c r="G20" s="40"/>
      <c r="H20" s="40"/>
      <c r="I20" s="40"/>
      <c r="J20" s="40"/>
      <c r="K20" s="40"/>
      <c r="L20" s="40"/>
      <c r="M20" s="40"/>
      <c r="N20" s="40"/>
      <c r="O20" s="40"/>
    </row>
    <row r="21" spans="1:15" hidden="1" x14ac:dyDescent="0.25">
      <c r="A21" s="40"/>
      <c r="B21" s="40"/>
      <c r="C21" s="40"/>
      <c r="D21" s="40"/>
      <c r="E21" s="40"/>
      <c r="F21" s="40"/>
      <c r="G21" s="40"/>
      <c r="H21" s="40"/>
      <c r="I21" s="40"/>
      <c r="J21" s="40"/>
      <c r="K21" s="40"/>
      <c r="L21" s="40"/>
      <c r="M21" s="40"/>
      <c r="N21" s="40"/>
      <c r="O21" s="40"/>
    </row>
    <row r="22" spans="1:15" hidden="1" x14ac:dyDescent="0.25">
      <c r="A22" s="40"/>
      <c r="B22" s="40"/>
      <c r="C22" s="40"/>
      <c r="D22" s="40"/>
      <c r="E22" s="40"/>
      <c r="F22" s="40"/>
      <c r="G22" s="40"/>
      <c r="H22" s="40"/>
      <c r="I22" s="40"/>
      <c r="J22" s="40"/>
      <c r="K22" s="40"/>
      <c r="L22" s="40"/>
      <c r="M22" s="40"/>
      <c r="N22" s="40"/>
      <c r="O22" s="40"/>
    </row>
    <row r="23" spans="1:15" hidden="1" x14ac:dyDescent="0.25">
      <c r="A23" s="40"/>
      <c r="B23" s="40"/>
      <c r="C23" s="40"/>
      <c r="D23" s="40"/>
      <c r="E23" s="40"/>
      <c r="F23" s="40"/>
      <c r="G23" s="40"/>
      <c r="H23" s="40"/>
      <c r="I23" s="40"/>
      <c r="J23" s="40"/>
      <c r="K23" s="40"/>
      <c r="L23" s="40"/>
      <c r="M23" s="40"/>
      <c r="N23" s="40"/>
      <c r="O23" s="40"/>
    </row>
    <row r="24" spans="1:15" hidden="1" x14ac:dyDescent="0.25">
      <c r="A24" s="40"/>
      <c r="B24" s="40"/>
      <c r="C24" s="40"/>
      <c r="D24" s="40"/>
      <c r="E24" s="40"/>
      <c r="F24" s="40"/>
      <c r="G24" s="40"/>
      <c r="H24" s="40"/>
      <c r="I24" s="40"/>
      <c r="J24" s="40"/>
      <c r="K24" s="40"/>
      <c r="L24" s="40"/>
      <c r="M24" s="40"/>
      <c r="N24" s="40"/>
      <c r="O24" s="40"/>
    </row>
    <row r="25" spans="1:15" hidden="1" x14ac:dyDescent="0.25">
      <c r="A25" s="40"/>
      <c r="B25" s="40"/>
      <c r="C25" s="40"/>
      <c r="D25" s="40"/>
      <c r="E25" s="40"/>
      <c r="F25" s="40"/>
      <c r="G25" s="40"/>
      <c r="H25" s="40"/>
      <c r="I25" s="40"/>
      <c r="J25" s="40"/>
      <c r="K25" s="40"/>
      <c r="L25" s="40"/>
      <c r="M25" s="40"/>
      <c r="N25" s="40"/>
      <c r="O25" s="40"/>
    </row>
    <row r="26" spans="1:15" hidden="1" x14ac:dyDescent="0.25">
      <c r="A26" s="40"/>
      <c r="B26" s="40"/>
      <c r="C26" s="40"/>
      <c r="D26" s="40"/>
      <c r="E26" s="40"/>
      <c r="F26" s="40"/>
      <c r="G26" s="40"/>
      <c r="H26" s="40"/>
      <c r="I26" s="40"/>
      <c r="J26" s="40"/>
      <c r="K26" s="40"/>
      <c r="L26" s="40"/>
      <c r="M26" s="40"/>
      <c r="N26" s="40"/>
      <c r="O26" s="40"/>
    </row>
    <row r="27" spans="1:15" hidden="1" x14ac:dyDescent="0.25">
      <c r="A27" s="40"/>
      <c r="B27" s="40"/>
      <c r="C27" s="40"/>
      <c r="D27" s="40"/>
      <c r="E27" s="40"/>
      <c r="F27" s="40"/>
      <c r="G27" s="40"/>
      <c r="H27" s="40"/>
      <c r="I27" s="40"/>
      <c r="J27" s="40"/>
      <c r="K27" s="40"/>
      <c r="L27" s="40"/>
      <c r="M27" s="40"/>
      <c r="N27" s="40"/>
      <c r="O27" s="40"/>
    </row>
    <row r="28" spans="1:15" hidden="1" x14ac:dyDescent="0.25">
      <c r="A28" s="40"/>
      <c r="B28" s="40"/>
      <c r="C28" s="40"/>
      <c r="D28" s="40"/>
      <c r="E28" s="40"/>
      <c r="F28" s="40"/>
      <c r="G28" s="40"/>
      <c r="H28" s="40"/>
      <c r="I28" s="40"/>
      <c r="J28" s="40"/>
      <c r="K28" s="40"/>
      <c r="L28" s="40"/>
      <c r="M28" s="40"/>
      <c r="N28" s="40"/>
      <c r="O28" s="40"/>
    </row>
    <row r="29" spans="1:15" hidden="1" x14ac:dyDescent="0.25">
      <c r="A29" s="40"/>
      <c r="B29" s="40"/>
      <c r="C29" s="40"/>
      <c r="D29" s="40"/>
      <c r="E29" s="40"/>
      <c r="F29" s="40"/>
      <c r="G29" s="40"/>
      <c r="H29" s="40"/>
      <c r="I29" s="40"/>
      <c r="J29" s="40"/>
      <c r="K29" s="40"/>
      <c r="L29" s="40"/>
      <c r="M29" s="40"/>
      <c r="N29" s="40"/>
      <c r="O29" s="40"/>
    </row>
    <row r="30" spans="1:15" hidden="1" x14ac:dyDescent="0.25">
      <c r="A30" s="40"/>
      <c r="B30" s="40"/>
      <c r="C30" s="40"/>
      <c r="D30" s="40"/>
      <c r="E30" s="40"/>
      <c r="F30" s="40"/>
      <c r="G30" s="40"/>
      <c r="H30" s="40"/>
      <c r="I30" s="40"/>
      <c r="J30" s="40"/>
      <c r="K30" s="40"/>
      <c r="L30" s="40"/>
      <c r="M30" s="40"/>
      <c r="N30" s="40"/>
      <c r="O30" s="40"/>
    </row>
    <row r="31" spans="1:15" hidden="1" x14ac:dyDescent="0.25">
      <c r="A31" s="40"/>
      <c r="B31" s="40"/>
      <c r="C31" s="40"/>
      <c r="D31" s="40"/>
      <c r="E31" s="40"/>
      <c r="F31" s="40"/>
      <c r="G31" s="40"/>
      <c r="H31" s="40"/>
      <c r="I31" s="40"/>
      <c r="J31" s="40"/>
      <c r="K31" s="40"/>
      <c r="L31" s="40"/>
      <c r="M31" s="40"/>
      <c r="N31" s="40"/>
      <c r="O31" s="40"/>
    </row>
    <row r="32" spans="1:15" hidden="1" x14ac:dyDescent="0.25">
      <c r="A32" s="40"/>
      <c r="B32" s="40"/>
      <c r="C32" s="40"/>
      <c r="D32" s="40"/>
      <c r="E32" s="40"/>
      <c r="F32" s="40"/>
      <c r="G32" s="40"/>
      <c r="H32" s="40"/>
      <c r="I32" s="40"/>
      <c r="J32" s="40"/>
      <c r="K32" s="40"/>
      <c r="L32" s="40"/>
      <c r="M32" s="40"/>
      <c r="N32" s="40"/>
      <c r="O32" s="40"/>
    </row>
    <row r="33" spans="1:15" hidden="1" x14ac:dyDescent="0.25">
      <c r="A33" s="40"/>
      <c r="B33" s="40"/>
      <c r="C33" s="40"/>
      <c r="D33" s="40"/>
      <c r="E33" s="40"/>
      <c r="F33" s="40"/>
      <c r="G33" s="40"/>
      <c r="H33" s="40"/>
      <c r="I33" s="40"/>
      <c r="J33" s="40"/>
      <c r="K33" s="40"/>
      <c r="L33" s="40"/>
      <c r="M33" s="40"/>
      <c r="N33" s="40"/>
      <c r="O33" s="40"/>
    </row>
    <row r="34" spans="1:15" hidden="1" x14ac:dyDescent="0.25">
      <c r="A34" s="40"/>
      <c r="B34" s="40"/>
      <c r="C34" s="40"/>
      <c r="D34" s="40"/>
      <c r="E34" s="40"/>
      <c r="F34" s="40"/>
      <c r="G34" s="40"/>
      <c r="H34" s="40"/>
      <c r="I34" s="40"/>
      <c r="J34" s="40"/>
      <c r="K34" s="40"/>
      <c r="L34" s="40"/>
      <c r="M34" s="40"/>
      <c r="N34" s="40"/>
      <c r="O34" s="40"/>
    </row>
    <row r="35" spans="1:15" hidden="1" x14ac:dyDescent="0.25">
      <c r="A35" s="40"/>
      <c r="B35" s="40"/>
      <c r="C35" s="40"/>
      <c r="D35" s="40"/>
      <c r="E35" s="40"/>
      <c r="F35" s="40"/>
      <c r="G35" s="40"/>
      <c r="H35" s="40"/>
      <c r="I35" s="40"/>
      <c r="J35" s="40"/>
      <c r="K35" s="40"/>
      <c r="L35" s="40"/>
      <c r="M35" s="40"/>
      <c r="N35" s="40"/>
      <c r="O35" s="40"/>
    </row>
    <row r="36" spans="1:15" hidden="1" x14ac:dyDescent="0.25">
      <c r="A36" s="40"/>
      <c r="B36" s="40"/>
      <c r="C36" s="40"/>
      <c r="D36" s="40"/>
      <c r="E36" s="40"/>
      <c r="F36" s="40"/>
      <c r="G36" s="40"/>
      <c r="H36" s="40"/>
      <c r="I36" s="40"/>
      <c r="J36" s="40"/>
      <c r="K36" s="40"/>
      <c r="L36" s="40"/>
      <c r="M36" s="40"/>
      <c r="N36" s="40"/>
      <c r="O36" s="40"/>
    </row>
    <row r="37" spans="1:15" hidden="1" x14ac:dyDescent="0.25">
      <c r="A37" s="40"/>
      <c r="B37" s="40"/>
      <c r="C37" s="40"/>
      <c r="D37" s="40"/>
      <c r="E37" s="40"/>
      <c r="F37" s="40"/>
      <c r="G37" s="40"/>
      <c r="H37" s="40"/>
      <c r="I37" s="40"/>
      <c r="J37" s="40"/>
      <c r="K37" s="40"/>
      <c r="L37" s="40"/>
      <c r="M37" s="40"/>
      <c r="N37" s="40"/>
      <c r="O37" s="40"/>
    </row>
    <row r="38" spans="1:15" hidden="1" x14ac:dyDescent="0.25">
      <c r="A38" s="40"/>
      <c r="B38" s="40"/>
      <c r="C38" s="40"/>
      <c r="D38" s="40"/>
      <c r="E38" s="40"/>
      <c r="F38" s="40"/>
      <c r="G38" s="40"/>
      <c r="H38" s="40"/>
      <c r="I38" s="40"/>
      <c r="J38" s="40"/>
      <c r="K38" s="40"/>
      <c r="L38" s="40"/>
      <c r="M38" s="40"/>
      <c r="N38" s="40"/>
      <c r="O38" s="40"/>
    </row>
    <row r="39" spans="1:15" hidden="1" x14ac:dyDescent="0.25">
      <c r="A39" s="40"/>
      <c r="B39" s="40"/>
      <c r="C39" s="40"/>
      <c r="D39" s="40"/>
      <c r="E39" s="40"/>
      <c r="F39" s="40"/>
      <c r="G39" s="40"/>
      <c r="H39" s="40"/>
      <c r="I39" s="40"/>
      <c r="J39" s="40"/>
      <c r="K39" s="40"/>
      <c r="L39" s="40"/>
      <c r="M39" s="40"/>
      <c r="N39" s="40"/>
      <c r="O39" s="40"/>
    </row>
    <row r="40" spans="1:15" hidden="1" x14ac:dyDescent="0.25">
      <c r="A40" s="40"/>
      <c r="B40" s="40"/>
      <c r="C40" s="40"/>
      <c r="D40" s="40"/>
      <c r="E40" s="40"/>
      <c r="F40" s="40"/>
      <c r="G40" s="40"/>
      <c r="H40" s="40"/>
      <c r="I40" s="40"/>
      <c r="J40" s="40"/>
      <c r="K40" s="40"/>
      <c r="L40" s="40"/>
      <c r="M40" s="40"/>
      <c r="N40" s="40"/>
      <c r="O40" s="40"/>
    </row>
    <row r="41" spans="1:15" hidden="1" x14ac:dyDescent="0.25">
      <c r="A41" s="40"/>
      <c r="B41" s="40"/>
      <c r="C41" s="40"/>
      <c r="D41" s="40"/>
      <c r="E41" s="40"/>
      <c r="F41" s="40"/>
      <c r="G41" s="40"/>
      <c r="H41" s="40"/>
      <c r="I41" s="40"/>
      <c r="J41" s="40"/>
      <c r="K41" s="40"/>
      <c r="L41" s="40"/>
      <c r="M41" s="40"/>
      <c r="N41" s="40"/>
      <c r="O41" s="40"/>
    </row>
    <row r="42" spans="1:15" hidden="1" x14ac:dyDescent="0.25">
      <c r="A42" s="40"/>
      <c r="B42" s="40"/>
      <c r="C42" s="40"/>
      <c r="D42" s="40"/>
      <c r="E42" s="40"/>
      <c r="F42" s="40"/>
      <c r="G42" s="40"/>
      <c r="H42" s="40"/>
      <c r="I42" s="40"/>
      <c r="J42" s="40"/>
      <c r="K42" s="40"/>
      <c r="L42" s="40"/>
      <c r="M42" s="40"/>
      <c r="N42" s="40"/>
      <c r="O42" s="40"/>
    </row>
    <row r="43" spans="1:15" hidden="1" x14ac:dyDescent="0.25">
      <c r="A43" s="40"/>
      <c r="B43" s="40"/>
      <c r="C43" s="40"/>
      <c r="D43" s="40"/>
      <c r="E43" s="40"/>
      <c r="F43" s="40"/>
      <c r="G43" s="40"/>
      <c r="H43" s="40"/>
      <c r="I43" s="40"/>
      <c r="J43" s="40"/>
      <c r="K43" s="40"/>
      <c r="L43" s="40"/>
      <c r="M43" s="40"/>
      <c r="N43" s="40"/>
      <c r="O43" s="40"/>
    </row>
    <row r="44" spans="1:15" hidden="1" x14ac:dyDescent="0.25">
      <c r="A44" s="40"/>
      <c r="B44" s="40"/>
      <c r="C44" s="40"/>
      <c r="D44" s="40"/>
      <c r="E44" s="40"/>
      <c r="F44" s="40"/>
      <c r="G44" s="40"/>
      <c r="H44" s="40"/>
      <c r="I44" s="40"/>
      <c r="J44" s="40"/>
      <c r="K44" s="40"/>
      <c r="L44" s="40"/>
      <c r="M44" s="40"/>
      <c r="N44" s="40"/>
      <c r="O44" s="40"/>
    </row>
    <row r="45" spans="1:15" hidden="1" x14ac:dyDescent="0.25">
      <c r="A45" s="40"/>
      <c r="B45" s="40"/>
      <c r="C45" s="40"/>
      <c r="D45" s="40"/>
      <c r="E45" s="40"/>
      <c r="F45" s="40"/>
      <c r="G45" s="40"/>
      <c r="H45" s="40"/>
      <c r="I45" s="40"/>
      <c r="J45" s="40"/>
      <c r="K45" s="40"/>
      <c r="L45" s="40"/>
      <c r="M45" s="40"/>
      <c r="N45" s="40"/>
      <c r="O45" s="40"/>
    </row>
    <row r="46" spans="1:15" hidden="1" x14ac:dyDescent="0.25">
      <c r="A46" s="40"/>
      <c r="B46" s="40"/>
      <c r="C46" s="40"/>
      <c r="D46" s="40"/>
      <c r="E46" s="40"/>
      <c r="F46" s="40"/>
      <c r="G46" s="40"/>
      <c r="H46" s="40"/>
      <c r="I46" s="40"/>
      <c r="J46" s="40"/>
      <c r="K46" s="40"/>
      <c r="L46" s="40"/>
      <c r="M46" s="40"/>
      <c r="N46" s="40"/>
      <c r="O46" s="40"/>
    </row>
  </sheetData>
  <sheetProtection algorithmName="SHA-512" hashValue="A72UeSpxg73MEBPm1AMhPk1hyZVc/7xlikADdO+gfhSvho069t3rSfCpRNw5HhKF+hkQViGfveaMj+OPzGWt7A==" saltValue="DjXJ/dENfezHU6jVuElNBA==" spinCount="100000" sheet="1" objects="1" scenarios="1" formatCells="0" formatColumns="0" formatRows="0" selectLockedCells="1" selectUnlockedCells="1"/>
  <mergeCells count="3">
    <mergeCell ref="B4:C5"/>
    <mergeCell ref="D4:E4"/>
    <mergeCell ref="B2: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46548-6D02-4B48-8A60-C44B13619141}">
  <sheetPr codeName="Ark6"/>
  <dimension ref="A1:M81"/>
  <sheetViews>
    <sheetView showGridLines="0" zoomScale="101" workbookViewId="0">
      <selection activeCell="F26" sqref="F26"/>
    </sheetView>
  </sheetViews>
  <sheetFormatPr defaultColWidth="0" defaultRowHeight="15" zeroHeight="1" x14ac:dyDescent="0.25"/>
  <cols>
    <col min="1" max="1" width="8.85546875" customWidth="1"/>
    <col min="2" max="2" width="11.85546875" customWidth="1"/>
    <col min="3" max="3" width="18" bestFit="1" customWidth="1"/>
    <col min="4" max="4" width="11.28515625" bestFit="1" customWidth="1"/>
    <col min="5" max="5" width="13.7109375" bestFit="1" customWidth="1"/>
    <col min="6" max="6" width="15.140625" bestFit="1" customWidth="1"/>
    <col min="7" max="7" width="16" bestFit="1" customWidth="1"/>
    <col min="8" max="8" width="11" bestFit="1" customWidth="1"/>
    <col min="9" max="9" width="8.85546875" customWidth="1"/>
    <col min="10" max="13" width="0" hidden="1" customWidth="1"/>
    <col min="14" max="16384" width="8.85546875" hidden="1"/>
  </cols>
  <sheetData>
    <row r="1" spans="1:13" x14ac:dyDescent="0.25">
      <c r="A1" s="40"/>
      <c r="B1" s="40"/>
      <c r="C1" s="40"/>
      <c r="D1" s="40"/>
      <c r="E1" s="40"/>
      <c r="F1" s="40"/>
      <c r="G1" s="40"/>
      <c r="H1" s="40"/>
      <c r="I1" s="40"/>
      <c r="J1" s="40"/>
      <c r="K1" s="40"/>
      <c r="L1" s="40"/>
      <c r="M1" s="40"/>
    </row>
    <row r="2" spans="1:13" ht="21" x14ac:dyDescent="0.25">
      <c r="A2" s="40"/>
      <c r="B2" s="185" t="s">
        <v>181</v>
      </c>
      <c r="C2" s="185"/>
      <c r="D2" s="185"/>
      <c r="E2" s="185"/>
      <c r="F2" s="185"/>
      <c r="G2" s="185"/>
      <c r="H2" s="185"/>
      <c r="I2" s="40"/>
      <c r="J2" s="40"/>
      <c r="K2" s="40"/>
      <c r="L2" s="40"/>
      <c r="M2" s="40"/>
    </row>
    <row r="3" spans="1:13" ht="15.75" thickBot="1" x14ac:dyDescent="0.3">
      <c r="A3" s="40"/>
      <c r="B3" s="40"/>
      <c r="C3" s="40"/>
      <c r="D3" s="40"/>
      <c r="E3" s="40"/>
      <c r="F3" s="40"/>
      <c r="G3" s="40"/>
      <c r="H3" s="40"/>
      <c r="I3" s="40"/>
      <c r="J3" s="40"/>
      <c r="K3" s="40"/>
      <c r="L3" s="40"/>
      <c r="M3" s="40"/>
    </row>
    <row r="4" spans="1:13" ht="15.75" x14ac:dyDescent="0.25">
      <c r="A4" s="40"/>
      <c r="B4" s="95" t="s">
        <v>127</v>
      </c>
      <c r="C4" s="186" t="s">
        <v>129</v>
      </c>
      <c r="D4" s="186" t="s">
        <v>130</v>
      </c>
      <c r="E4" s="186" t="s">
        <v>131</v>
      </c>
      <c r="F4" s="186" t="s">
        <v>132</v>
      </c>
      <c r="G4" s="186" t="s">
        <v>133</v>
      </c>
      <c r="H4" s="186" t="s">
        <v>134</v>
      </c>
      <c r="I4" s="40"/>
      <c r="J4" s="40"/>
      <c r="K4" s="40"/>
      <c r="L4" s="40"/>
      <c r="M4" s="40"/>
    </row>
    <row r="5" spans="1:13" ht="16.5" thickBot="1" x14ac:dyDescent="0.3">
      <c r="A5" s="40"/>
      <c r="B5" s="110" t="s">
        <v>128</v>
      </c>
      <c r="C5" s="187"/>
      <c r="D5" s="187"/>
      <c r="E5" s="187"/>
      <c r="F5" s="187"/>
      <c r="G5" s="187"/>
      <c r="H5" s="187"/>
      <c r="I5" s="40"/>
      <c r="J5" s="40"/>
      <c r="K5" s="40"/>
      <c r="L5" s="40"/>
      <c r="M5" s="40"/>
    </row>
    <row r="6" spans="1:13" ht="15" customHeight="1" thickBot="1" x14ac:dyDescent="0.3">
      <c r="A6" s="40"/>
      <c r="B6" s="96" t="s">
        <v>135</v>
      </c>
      <c r="C6" s="101" t="s">
        <v>230</v>
      </c>
      <c r="D6" s="102"/>
      <c r="E6" s="102"/>
      <c r="F6" s="102"/>
      <c r="G6" s="102"/>
      <c r="H6" s="103"/>
      <c r="I6" s="40"/>
      <c r="J6" s="40"/>
      <c r="K6" s="40"/>
      <c r="L6" s="40"/>
      <c r="M6" s="40"/>
    </row>
    <row r="7" spans="1:13" ht="15" customHeight="1" thickBot="1" x14ac:dyDescent="0.3">
      <c r="A7" s="40"/>
      <c r="B7" s="96"/>
      <c r="C7" s="101"/>
      <c r="D7" s="102"/>
      <c r="E7" s="102"/>
      <c r="F7" s="102"/>
      <c r="G7" s="102"/>
      <c r="H7" s="103"/>
      <c r="I7" s="40"/>
      <c r="J7" s="40"/>
      <c r="K7" s="40"/>
      <c r="L7" s="40"/>
      <c r="M7" s="40"/>
    </row>
    <row r="8" spans="1:13" ht="15" customHeight="1" thickBot="1" x14ac:dyDescent="0.3">
      <c r="A8" s="40"/>
      <c r="B8" s="96" t="s">
        <v>136</v>
      </c>
      <c r="C8" s="101"/>
      <c r="D8" s="101"/>
      <c r="E8" s="101"/>
      <c r="F8" s="101"/>
      <c r="G8" s="101"/>
      <c r="H8" s="104" t="s">
        <v>230</v>
      </c>
      <c r="I8" s="40"/>
      <c r="J8" s="40"/>
      <c r="K8" s="40"/>
      <c r="L8" s="40"/>
      <c r="M8" s="40"/>
    </row>
    <row r="9" spans="1:13" ht="15" customHeight="1" thickBot="1" x14ac:dyDescent="0.3">
      <c r="A9" s="40"/>
      <c r="B9" s="96" t="s">
        <v>137</v>
      </c>
      <c r="C9" s="101" t="s">
        <v>230</v>
      </c>
      <c r="D9" s="101" t="s">
        <v>230</v>
      </c>
      <c r="E9" s="101" t="s">
        <v>230</v>
      </c>
      <c r="F9" s="101"/>
      <c r="G9" s="101" t="s">
        <v>230</v>
      </c>
      <c r="H9" s="104"/>
      <c r="I9" s="40"/>
      <c r="J9" s="40"/>
      <c r="K9" s="40"/>
      <c r="L9" s="40"/>
      <c r="M9" s="40"/>
    </row>
    <row r="10" spans="1:13" ht="15" customHeight="1" thickBot="1" x14ac:dyDescent="0.3">
      <c r="A10" s="40"/>
      <c r="B10" s="96" t="s">
        <v>138</v>
      </c>
      <c r="C10" s="101"/>
      <c r="D10" s="101"/>
      <c r="E10" s="101"/>
      <c r="F10" s="101"/>
      <c r="G10" s="101"/>
      <c r="H10" s="104"/>
      <c r="I10" s="40"/>
      <c r="J10" s="40"/>
      <c r="K10" s="40"/>
      <c r="L10" s="40"/>
      <c r="M10" s="40"/>
    </row>
    <row r="11" spans="1:13" ht="15" customHeight="1" thickBot="1" x14ac:dyDescent="0.3">
      <c r="A11" s="40"/>
      <c r="B11" s="96" t="s">
        <v>139</v>
      </c>
      <c r="C11" s="101" t="s">
        <v>230</v>
      </c>
      <c r="D11" s="101"/>
      <c r="E11" s="101" t="s">
        <v>230</v>
      </c>
      <c r="F11" s="101" t="s">
        <v>230</v>
      </c>
      <c r="G11" s="101" t="s">
        <v>230</v>
      </c>
      <c r="H11" s="104"/>
      <c r="I11" s="40"/>
      <c r="J11" s="40"/>
      <c r="K11" s="40"/>
      <c r="L11" s="40"/>
      <c r="M11" s="40"/>
    </row>
    <row r="12" spans="1:13" ht="15" customHeight="1" thickBot="1" x14ac:dyDescent="0.3">
      <c r="A12" s="40"/>
      <c r="B12" s="96"/>
      <c r="C12" s="101"/>
      <c r="D12" s="101"/>
      <c r="E12" s="101"/>
      <c r="F12" s="101"/>
      <c r="G12" s="101"/>
      <c r="H12" s="104"/>
      <c r="I12" s="40"/>
      <c r="J12" s="40"/>
      <c r="K12" s="40"/>
      <c r="L12" s="40"/>
      <c r="M12" s="40"/>
    </row>
    <row r="13" spans="1:13" ht="15" customHeight="1" thickBot="1" x14ac:dyDescent="0.3">
      <c r="A13" s="40"/>
      <c r="B13" s="96" t="s">
        <v>140</v>
      </c>
      <c r="C13" s="101"/>
      <c r="D13" s="101"/>
      <c r="E13" s="101"/>
      <c r="F13" s="101"/>
      <c r="G13" s="101"/>
      <c r="H13" s="104" t="s">
        <v>230</v>
      </c>
      <c r="I13" s="40"/>
      <c r="J13" s="40"/>
      <c r="K13" s="40"/>
      <c r="L13" s="40"/>
      <c r="M13" s="40"/>
    </row>
    <row r="14" spans="1:13" ht="15" customHeight="1" thickBot="1" x14ac:dyDescent="0.3">
      <c r="A14" s="40"/>
      <c r="B14" s="96" t="s">
        <v>141</v>
      </c>
      <c r="C14" s="101"/>
      <c r="D14" s="101"/>
      <c r="E14" s="101"/>
      <c r="F14" s="101"/>
      <c r="G14" s="101"/>
      <c r="H14" s="104" t="s">
        <v>230</v>
      </c>
      <c r="I14" s="40"/>
      <c r="J14" s="40"/>
      <c r="K14" s="40"/>
      <c r="L14" s="40"/>
      <c r="M14" s="40"/>
    </row>
    <row r="15" spans="1:13" ht="15" customHeight="1" thickBot="1" x14ac:dyDescent="0.3">
      <c r="A15" s="40"/>
      <c r="B15" s="96" t="s">
        <v>142</v>
      </c>
      <c r="C15" s="101"/>
      <c r="D15" s="101" t="s">
        <v>230</v>
      </c>
      <c r="E15" s="101" t="s">
        <v>230</v>
      </c>
      <c r="F15" s="101" t="s">
        <v>230</v>
      </c>
      <c r="G15" s="101" t="s">
        <v>230</v>
      </c>
      <c r="H15" s="104"/>
      <c r="I15" s="40"/>
      <c r="J15" s="40"/>
      <c r="K15" s="40"/>
      <c r="L15" s="40"/>
      <c r="M15" s="40"/>
    </row>
    <row r="16" spans="1:13" ht="15" customHeight="1" thickBot="1" x14ac:dyDescent="0.3">
      <c r="A16" s="40"/>
      <c r="B16" s="96" t="s">
        <v>143</v>
      </c>
      <c r="C16" s="101"/>
      <c r="D16" s="101"/>
      <c r="E16" s="101" t="s">
        <v>230</v>
      </c>
      <c r="F16" s="101" t="s">
        <v>230</v>
      </c>
      <c r="G16" s="101" t="s">
        <v>230</v>
      </c>
      <c r="H16" s="104"/>
      <c r="I16" s="40"/>
      <c r="J16" s="40"/>
      <c r="K16" s="40"/>
      <c r="L16" s="40"/>
      <c r="M16" s="40"/>
    </row>
    <row r="17" spans="1:13" ht="15" customHeight="1" thickBot="1" x14ac:dyDescent="0.3">
      <c r="A17" s="40"/>
      <c r="B17" s="96"/>
      <c r="C17" s="101"/>
      <c r="D17" s="101"/>
      <c r="E17" s="101"/>
      <c r="F17" s="101"/>
      <c r="G17" s="101"/>
      <c r="H17" s="104"/>
      <c r="I17" s="40"/>
      <c r="J17" s="40"/>
      <c r="K17" s="40"/>
      <c r="L17" s="40"/>
      <c r="M17" s="40"/>
    </row>
    <row r="18" spans="1:13" ht="15" customHeight="1" thickBot="1" x14ac:dyDescent="0.3">
      <c r="A18" s="40"/>
      <c r="B18" s="96" t="s">
        <v>144</v>
      </c>
      <c r="C18" s="101"/>
      <c r="D18" s="101"/>
      <c r="E18" s="101"/>
      <c r="F18" s="101"/>
      <c r="G18" s="101"/>
      <c r="H18" s="101" t="s">
        <v>230</v>
      </c>
      <c r="I18" s="40"/>
      <c r="J18" s="40"/>
      <c r="K18" s="40"/>
      <c r="L18" s="40"/>
      <c r="M18" s="40"/>
    </row>
    <row r="19" spans="1:13" ht="15" customHeight="1" thickBot="1" x14ac:dyDescent="0.3">
      <c r="A19" s="40"/>
      <c r="B19" s="96" t="s">
        <v>145</v>
      </c>
      <c r="C19" s="101"/>
      <c r="D19" s="101" t="s">
        <v>230</v>
      </c>
      <c r="E19" s="101" t="s">
        <v>230</v>
      </c>
      <c r="F19" s="101" t="s">
        <v>230</v>
      </c>
      <c r="G19" s="101" t="s">
        <v>230</v>
      </c>
      <c r="H19" s="101"/>
      <c r="I19" s="40"/>
      <c r="J19" s="40"/>
      <c r="K19" s="40"/>
      <c r="L19" s="40"/>
      <c r="M19" s="40"/>
    </row>
    <row r="20" spans="1:13" ht="15" customHeight="1" thickBot="1" x14ac:dyDescent="0.3">
      <c r="A20" s="40"/>
      <c r="B20" s="96" t="s">
        <v>146</v>
      </c>
      <c r="C20" s="101"/>
      <c r="D20" s="101"/>
      <c r="E20" s="101"/>
      <c r="F20" s="101"/>
      <c r="G20" s="101" t="s">
        <v>230</v>
      </c>
      <c r="H20" s="101"/>
      <c r="I20" s="40"/>
      <c r="J20" s="40"/>
      <c r="K20" s="40"/>
      <c r="L20" s="40"/>
      <c r="M20" s="40"/>
    </row>
    <row r="21" spans="1:13" ht="15" customHeight="1" thickBot="1" x14ac:dyDescent="0.3">
      <c r="A21" s="40"/>
      <c r="B21" s="96" t="s">
        <v>147</v>
      </c>
      <c r="C21" s="101"/>
      <c r="D21" s="101"/>
      <c r="E21" s="101" t="s">
        <v>230</v>
      </c>
      <c r="F21" s="101" t="s">
        <v>230</v>
      </c>
      <c r="G21" s="101" t="s">
        <v>230</v>
      </c>
      <c r="H21" s="101"/>
      <c r="I21" s="40"/>
      <c r="J21" s="40"/>
      <c r="K21" s="40"/>
      <c r="L21" s="40"/>
      <c r="M21" s="40"/>
    </row>
    <row r="22" spans="1:13" ht="15" customHeight="1" thickBot="1" x14ac:dyDescent="0.3">
      <c r="A22" s="40"/>
      <c r="B22" s="96"/>
      <c r="C22" s="101"/>
      <c r="D22" s="101"/>
      <c r="E22" s="101"/>
      <c r="F22" s="101"/>
      <c r="G22" s="101"/>
      <c r="H22" s="101"/>
      <c r="I22" s="40"/>
      <c r="J22" s="40"/>
      <c r="K22" s="40"/>
      <c r="L22" s="40"/>
      <c r="M22" s="40"/>
    </row>
    <row r="23" spans="1:13" ht="15" customHeight="1" thickBot="1" x14ac:dyDescent="0.3">
      <c r="A23" s="40"/>
      <c r="B23" s="96" t="s">
        <v>239</v>
      </c>
      <c r="C23" s="101"/>
      <c r="D23" s="101"/>
      <c r="E23" s="101"/>
      <c r="F23" s="101"/>
      <c r="G23" s="101" t="s">
        <v>230</v>
      </c>
      <c r="H23" s="101"/>
      <c r="I23" s="40"/>
      <c r="J23" s="40"/>
      <c r="K23" s="40"/>
      <c r="L23" s="40"/>
      <c r="M23" s="40"/>
    </row>
    <row r="24" spans="1:13" ht="15" customHeight="1" thickBot="1" x14ac:dyDescent="0.3">
      <c r="A24" s="40"/>
      <c r="B24" s="96" t="s">
        <v>148</v>
      </c>
      <c r="C24" s="101"/>
      <c r="D24" s="101"/>
      <c r="E24" s="101"/>
      <c r="F24" s="101"/>
      <c r="G24" s="101"/>
      <c r="H24" s="101" t="s">
        <v>230</v>
      </c>
      <c r="I24" s="40"/>
      <c r="J24" s="40"/>
      <c r="K24" s="40"/>
      <c r="L24" s="40"/>
      <c r="M24" s="40"/>
    </row>
    <row r="25" spans="1:13" ht="15" customHeight="1" thickBot="1" x14ac:dyDescent="0.3">
      <c r="A25" s="40"/>
      <c r="B25" s="96" t="s">
        <v>149</v>
      </c>
      <c r="C25" s="101"/>
      <c r="D25" s="101"/>
      <c r="E25" s="101"/>
      <c r="F25" s="101" t="s">
        <v>150</v>
      </c>
      <c r="G25" s="101" t="s">
        <v>230</v>
      </c>
      <c r="H25" s="101"/>
      <c r="I25" s="40"/>
      <c r="J25" s="40"/>
      <c r="K25" s="40"/>
      <c r="L25" s="40"/>
      <c r="M25" s="40"/>
    </row>
    <row r="26" spans="1:13" ht="15" customHeight="1" thickBot="1" x14ac:dyDescent="0.3">
      <c r="A26" s="40"/>
      <c r="B26" s="96" t="s">
        <v>151</v>
      </c>
      <c r="C26" s="101"/>
      <c r="D26" s="101"/>
      <c r="E26" s="101"/>
      <c r="F26" s="101"/>
      <c r="G26" s="101" t="s">
        <v>230</v>
      </c>
      <c r="H26" s="101"/>
      <c r="I26" s="40"/>
      <c r="J26" s="40"/>
      <c r="K26" s="40"/>
      <c r="L26" s="40"/>
      <c r="M26" s="40"/>
    </row>
    <row r="27" spans="1:13" ht="15" customHeight="1" thickBot="1" x14ac:dyDescent="0.3">
      <c r="A27" s="40"/>
      <c r="B27" s="96" t="s">
        <v>152</v>
      </c>
      <c r="C27" s="101"/>
      <c r="D27" s="101"/>
      <c r="E27" s="101"/>
      <c r="F27" s="101"/>
      <c r="G27" s="101" t="s">
        <v>230</v>
      </c>
      <c r="H27" s="101"/>
      <c r="I27" s="40"/>
      <c r="J27" s="40"/>
      <c r="K27" s="40"/>
      <c r="L27" s="40"/>
      <c r="M27" s="40"/>
    </row>
    <row r="28" spans="1:13" ht="15" customHeight="1" thickBot="1" x14ac:dyDescent="0.3">
      <c r="A28" s="40"/>
      <c r="B28" s="96"/>
      <c r="C28" s="101"/>
      <c r="D28" s="101"/>
      <c r="E28" s="101"/>
      <c r="F28" s="101"/>
      <c r="G28" s="101"/>
      <c r="H28" s="101"/>
      <c r="I28" s="40"/>
      <c r="J28" s="40"/>
      <c r="K28" s="40"/>
      <c r="L28" s="40"/>
      <c r="M28" s="40"/>
    </row>
    <row r="29" spans="1:13" ht="15" customHeight="1" thickBot="1" x14ac:dyDescent="0.3">
      <c r="A29" s="40"/>
      <c r="B29" s="96" t="s">
        <v>153</v>
      </c>
      <c r="C29" s="101"/>
      <c r="D29" s="101"/>
      <c r="E29" s="101"/>
      <c r="F29" s="101"/>
      <c r="G29" s="101" t="s">
        <v>230</v>
      </c>
      <c r="H29" s="101"/>
      <c r="I29" s="40"/>
      <c r="J29" s="40"/>
      <c r="K29" s="40"/>
      <c r="L29" s="40"/>
      <c r="M29" s="40"/>
    </row>
    <row r="30" spans="1:13" ht="15" customHeight="1" thickBot="1" x14ac:dyDescent="0.3">
      <c r="A30" s="40"/>
      <c r="B30" s="96" t="s">
        <v>154</v>
      </c>
      <c r="C30" s="101"/>
      <c r="D30" s="101"/>
      <c r="E30" s="101"/>
      <c r="F30" s="101"/>
      <c r="G30" s="101" t="s">
        <v>230</v>
      </c>
      <c r="H30" s="101"/>
      <c r="I30" s="40"/>
      <c r="J30" s="40"/>
      <c r="K30" s="40"/>
      <c r="L30" s="40"/>
      <c r="M30" s="40"/>
    </row>
    <row r="31" spans="1:13" ht="15" customHeight="1" thickBot="1" x14ac:dyDescent="0.3">
      <c r="A31" s="40"/>
      <c r="B31" s="96" t="s">
        <v>155</v>
      </c>
      <c r="C31" s="101"/>
      <c r="D31" s="101"/>
      <c r="E31" s="101"/>
      <c r="F31" s="101"/>
      <c r="G31" s="101" t="s">
        <v>230</v>
      </c>
      <c r="H31" s="101"/>
      <c r="I31" s="40"/>
      <c r="J31" s="40"/>
      <c r="K31" s="40"/>
      <c r="L31" s="40"/>
      <c r="M31" s="40"/>
    </row>
    <row r="32" spans="1:13" ht="15" customHeight="1" thickBot="1" x14ac:dyDescent="0.3">
      <c r="A32" s="40"/>
      <c r="B32" s="96"/>
      <c r="C32" s="101"/>
      <c r="D32" s="101"/>
      <c r="E32" s="101"/>
      <c r="F32" s="101"/>
      <c r="G32" s="101"/>
      <c r="H32" s="101"/>
      <c r="I32" s="40"/>
      <c r="J32" s="40"/>
      <c r="K32" s="40"/>
      <c r="L32" s="40"/>
      <c r="M32" s="40"/>
    </row>
    <row r="33" spans="1:13" ht="15" customHeight="1" thickBot="1" x14ac:dyDescent="0.3">
      <c r="A33" s="40"/>
      <c r="B33" s="96" t="s">
        <v>156</v>
      </c>
      <c r="C33" s="101"/>
      <c r="D33" s="101"/>
      <c r="E33" s="101"/>
      <c r="F33" s="101"/>
      <c r="G33" s="101" t="s">
        <v>230</v>
      </c>
      <c r="H33" s="101"/>
      <c r="I33" s="40"/>
      <c r="J33" s="40"/>
      <c r="K33" s="40"/>
      <c r="L33" s="40"/>
      <c r="M33" s="40"/>
    </row>
    <row r="34" spans="1:13" ht="15" customHeight="1" thickBot="1" x14ac:dyDescent="0.3">
      <c r="A34" s="40"/>
      <c r="B34" s="96" t="s">
        <v>157</v>
      </c>
      <c r="C34" s="101"/>
      <c r="D34" s="101"/>
      <c r="E34" s="101"/>
      <c r="F34" s="101"/>
      <c r="G34" s="101"/>
      <c r="H34" s="101" t="s">
        <v>230</v>
      </c>
      <c r="I34" s="40"/>
      <c r="J34" s="40"/>
      <c r="K34" s="40"/>
      <c r="L34" s="40"/>
      <c r="M34" s="40"/>
    </row>
    <row r="35" spans="1:13" ht="15" customHeight="1" thickBot="1" x14ac:dyDescent="0.3">
      <c r="A35" s="40"/>
      <c r="B35" s="96" t="s">
        <v>158</v>
      </c>
      <c r="C35" s="101"/>
      <c r="D35" s="101"/>
      <c r="E35" s="101"/>
      <c r="F35" s="101"/>
      <c r="G35" s="101" t="s">
        <v>230</v>
      </c>
      <c r="H35" s="101"/>
      <c r="I35" s="40"/>
      <c r="J35" s="40"/>
      <c r="K35" s="40"/>
      <c r="L35" s="40"/>
      <c r="M35" s="40"/>
    </row>
    <row r="36" spans="1:13" ht="15" customHeight="1" thickBot="1" x14ac:dyDescent="0.3">
      <c r="A36" s="40"/>
      <c r="B36" s="96"/>
      <c r="C36" s="101"/>
      <c r="D36" s="101"/>
      <c r="E36" s="101"/>
      <c r="F36" s="101"/>
      <c r="G36" s="101"/>
      <c r="H36" s="101"/>
      <c r="I36" s="40"/>
      <c r="J36" s="40"/>
      <c r="K36" s="40"/>
      <c r="L36" s="40"/>
      <c r="M36" s="40"/>
    </row>
    <row r="37" spans="1:13" ht="15" customHeight="1" thickBot="1" x14ac:dyDescent="0.3">
      <c r="A37" s="40"/>
      <c r="B37" s="96" t="s">
        <v>159</v>
      </c>
      <c r="C37" s="101"/>
      <c r="D37" s="101"/>
      <c r="E37" s="101"/>
      <c r="F37" s="101"/>
      <c r="G37" s="101" t="s">
        <v>230</v>
      </c>
      <c r="H37" s="101"/>
      <c r="I37" s="40"/>
      <c r="J37" s="40"/>
      <c r="K37" s="40"/>
      <c r="L37" s="40"/>
      <c r="M37" s="40"/>
    </row>
    <row r="38" spans="1:13" ht="15" customHeight="1" thickBot="1" x14ac:dyDescent="0.3">
      <c r="A38" s="40"/>
      <c r="B38" s="96" t="s">
        <v>160</v>
      </c>
      <c r="C38" s="101"/>
      <c r="D38" s="101"/>
      <c r="E38" s="101"/>
      <c r="F38" s="101"/>
      <c r="G38" s="101"/>
      <c r="H38" s="101" t="s">
        <v>230</v>
      </c>
      <c r="I38" s="40"/>
      <c r="J38" s="40"/>
      <c r="K38" s="40"/>
      <c r="L38" s="40"/>
      <c r="M38" s="40"/>
    </row>
    <row r="39" spans="1:13" ht="15" customHeight="1" thickBot="1" x14ac:dyDescent="0.3">
      <c r="A39" s="40"/>
      <c r="B39" s="96" t="s">
        <v>161</v>
      </c>
      <c r="C39" s="101"/>
      <c r="D39" s="101"/>
      <c r="E39" s="101"/>
      <c r="F39" s="101"/>
      <c r="G39" s="101"/>
      <c r="H39" s="101" t="s">
        <v>230</v>
      </c>
      <c r="I39" s="40"/>
      <c r="J39" s="40"/>
      <c r="K39" s="40"/>
      <c r="L39" s="40"/>
      <c r="M39" s="40"/>
    </row>
    <row r="40" spans="1:13" ht="15" customHeight="1" thickBot="1" x14ac:dyDescent="0.3">
      <c r="A40" s="40"/>
      <c r="B40" s="96" t="s">
        <v>162</v>
      </c>
      <c r="C40" s="101"/>
      <c r="D40" s="101"/>
      <c r="E40" s="101"/>
      <c r="F40" s="101"/>
      <c r="G40" s="101" t="s">
        <v>230</v>
      </c>
      <c r="H40" s="101"/>
      <c r="I40" s="40"/>
      <c r="J40" s="40"/>
      <c r="K40" s="40"/>
      <c r="L40" s="40"/>
      <c r="M40" s="40"/>
    </row>
    <row r="41" spans="1:13" ht="15" customHeight="1" thickBot="1" x14ac:dyDescent="0.3">
      <c r="A41" s="40"/>
      <c r="B41" s="96"/>
      <c r="C41" s="101"/>
      <c r="D41" s="101"/>
      <c r="E41" s="101"/>
      <c r="F41" s="101"/>
      <c r="G41" s="101"/>
      <c r="H41" s="101"/>
      <c r="I41" s="40"/>
      <c r="J41" s="40"/>
      <c r="K41" s="40"/>
      <c r="L41" s="40"/>
      <c r="M41" s="40"/>
    </row>
    <row r="42" spans="1:13" ht="15" customHeight="1" thickBot="1" x14ac:dyDescent="0.3">
      <c r="A42" s="40"/>
      <c r="B42" s="96" t="s">
        <v>163</v>
      </c>
      <c r="C42" s="101"/>
      <c r="D42" s="101"/>
      <c r="E42" s="101"/>
      <c r="F42" s="101"/>
      <c r="G42" s="101" t="s">
        <v>230</v>
      </c>
      <c r="H42" s="101"/>
      <c r="I42" s="40"/>
      <c r="J42" s="40"/>
      <c r="K42" s="40"/>
      <c r="L42" s="40"/>
      <c r="M42" s="40"/>
    </row>
    <row r="43" spans="1:13" ht="15" customHeight="1" thickBot="1" x14ac:dyDescent="0.3">
      <c r="A43" s="40"/>
      <c r="B43" s="96" t="s">
        <v>164</v>
      </c>
      <c r="C43" s="101"/>
      <c r="D43" s="101"/>
      <c r="E43" s="101"/>
      <c r="F43" s="101"/>
      <c r="G43" s="101" t="s">
        <v>230</v>
      </c>
      <c r="H43" s="101"/>
      <c r="I43" s="40"/>
      <c r="J43" s="40"/>
      <c r="K43" s="40"/>
      <c r="L43" s="40"/>
      <c r="M43" s="40"/>
    </row>
    <row r="44" spans="1:13" ht="15" customHeight="1" thickBot="1" x14ac:dyDescent="0.3">
      <c r="A44" s="40"/>
      <c r="B44" s="96" t="s">
        <v>165</v>
      </c>
      <c r="C44" s="101"/>
      <c r="D44" s="101"/>
      <c r="E44" s="101"/>
      <c r="F44" s="101"/>
      <c r="G44" s="101"/>
      <c r="H44" s="101" t="s">
        <v>230</v>
      </c>
      <c r="I44" s="40"/>
      <c r="J44" s="40"/>
      <c r="K44" s="40"/>
      <c r="L44" s="40"/>
      <c r="M44" s="40"/>
    </row>
    <row r="45" spans="1:13" ht="15" customHeight="1" thickBot="1" x14ac:dyDescent="0.3">
      <c r="A45" s="40"/>
      <c r="B45" s="96" t="s">
        <v>166</v>
      </c>
      <c r="C45" s="101"/>
      <c r="D45" s="101"/>
      <c r="E45" s="101"/>
      <c r="F45" s="101"/>
      <c r="G45" s="101"/>
      <c r="H45" s="101" t="s">
        <v>230</v>
      </c>
      <c r="I45" s="40"/>
      <c r="J45" s="40"/>
      <c r="K45" s="40"/>
      <c r="L45" s="40"/>
      <c r="M45" s="40"/>
    </row>
    <row r="46" spans="1:13" ht="15" customHeight="1" thickBot="1" x14ac:dyDescent="0.3">
      <c r="A46" s="40"/>
      <c r="B46" s="96" t="s">
        <v>167</v>
      </c>
      <c r="C46" s="101"/>
      <c r="D46" s="101"/>
      <c r="E46" s="101"/>
      <c r="F46" s="101"/>
      <c r="G46" s="101" t="s">
        <v>230</v>
      </c>
      <c r="H46" s="101"/>
      <c r="I46" s="40"/>
      <c r="J46" s="40"/>
      <c r="K46" s="40"/>
      <c r="L46" s="40"/>
      <c r="M46" s="40"/>
    </row>
    <row r="47" spans="1:13" ht="15" customHeight="1" thickBot="1" x14ac:dyDescent="0.3">
      <c r="A47" s="40"/>
      <c r="B47" s="96"/>
      <c r="C47" s="101"/>
      <c r="D47" s="101"/>
      <c r="E47" s="101"/>
      <c r="F47" s="101"/>
      <c r="G47" s="101"/>
      <c r="H47" s="101"/>
      <c r="I47" s="40"/>
      <c r="J47" s="40"/>
      <c r="K47" s="40"/>
      <c r="L47" s="40"/>
      <c r="M47" s="40"/>
    </row>
    <row r="48" spans="1:13" ht="15" customHeight="1" thickBot="1" x14ac:dyDescent="0.3">
      <c r="A48" s="40"/>
      <c r="B48" s="96" t="s">
        <v>168</v>
      </c>
      <c r="C48" s="101"/>
      <c r="D48" s="101"/>
      <c r="E48" s="101"/>
      <c r="F48" s="101"/>
      <c r="G48" s="101" t="s">
        <v>230</v>
      </c>
      <c r="H48" s="101"/>
      <c r="I48" s="40"/>
      <c r="J48" s="40"/>
      <c r="K48" s="40"/>
      <c r="L48" s="40"/>
      <c r="M48" s="40"/>
    </row>
    <row r="49" spans="1:13" ht="15" customHeight="1" thickBot="1" x14ac:dyDescent="0.3">
      <c r="A49" s="40"/>
      <c r="B49" s="96" t="s">
        <v>169</v>
      </c>
      <c r="C49" s="101"/>
      <c r="D49" s="101"/>
      <c r="E49" s="101"/>
      <c r="F49" s="101"/>
      <c r="G49" s="101" t="s">
        <v>230</v>
      </c>
      <c r="H49" s="101"/>
      <c r="I49" s="40"/>
      <c r="J49" s="40"/>
      <c r="K49" s="40"/>
      <c r="L49" s="40"/>
      <c r="M49" s="40"/>
    </row>
    <row r="50" spans="1:13" ht="15" customHeight="1" thickBot="1" x14ac:dyDescent="0.3">
      <c r="A50" s="40"/>
      <c r="B50" s="96" t="s">
        <v>170</v>
      </c>
      <c r="C50" s="101"/>
      <c r="D50" s="101"/>
      <c r="E50" s="101"/>
      <c r="F50" s="101"/>
      <c r="G50" s="101"/>
      <c r="H50" s="101" t="s">
        <v>230</v>
      </c>
      <c r="I50" s="40"/>
      <c r="J50" s="40"/>
      <c r="K50" s="40"/>
      <c r="L50" s="40"/>
      <c r="M50" s="40"/>
    </row>
    <row r="51" spans="1:13" ht="15" customHeight="1" thickBot="1" x14ac:dyDescent="0.3">
      <c r="A51" s="40"/>
      <c r="B51" s="96" t="s">
        <v>171</v>
      </c>
      <c r="C51" s="101"/>
      <c r="D51" s="101"/>
      <c r="E51" s="101"/>
      <c r="F51" s="101"/>
      <c r="G51" s="101" t="s">
        <v>230</v>
      </c>
      <c r="H51" s="101"/>
      <c r="I51" s="40"/>
      <c r="J51" s="40"/>
      <c r="K51" s="40"/>
      <c r="L51" s="40"/>
      <c r="M51" s="40"/>
    </row>
    <row r="52" spans="1:13" ht="15" customHeight="1" thickBot="1" x14ac:dyDescent="0.3">
      <c r="A52" s="40"/>
      <c r="B52" s="96"/>
      <c r="C52" s="101"/>
      <c r="D52" s="101"/>
      <c r="E52" s="101"/>
      <c r="F52" s="101"/>
      <c r="G52" s="101"/>
      <c r="H52" s="101"/>
      <c r="I52" s="40"/>
      <c r="J52" s="40"/>
      <c r="K52" s="40"/>
      <c r="L52" s="40"/>
      <c r="M52" s="40"/>
    </row>
    <row r="53" spans="1:13" ht="15" customHeight="1" thickBot="1" x14ac:dyDescent="0.3">
      <c r="A53" s="40"/>
      <c r="B53" s="96" t="s">
        <v>172</v>
      </c>
      <c r="C53" s="101"/>
      <c r="D53" s="101"/>
      <c r="E53" s="101"/>
      <c r="F53" s="101"/>
      <c r="G53" s="101" t="s">
        <v>230</v>
      </c>
      <c r="H53" s="101"/>
      <c r="I53" s="40"/>
      <c r="J53" s="40"/>
      <c r="K53" s="40"/>
      <c r="L53" s="40"/>
      <c r="M53" s="40"/>
    </row>
    <row r="54" spans="1:13" ht="15" customHeight="1" thickBot="1" x14ac:dyDescent="0.3">
      <c r="A54" s="40"/>
      <c r="B54" s="96" t="s">
        <v>173</v>
      </c>
      <c r="C54" s="101"/>
      <c r="D54" s="101"/>
      <c r="E54" s="101"/>
      <c r="F54" s="101"/>
      <c r="G54" s="101" t="s">
        <v>230</v>
      </c>
      <c r="H54" s="101"/>
      <c r="I54" s="40"/>
      <c r="J54" s="40"/>
      <c r="K54" s="40"/>
      <c r="L54" s="40"/>
      <c r="M54" s="40"/>
    </row>
    <row r="55" spans="1:13" ht="15" customHeight="1" thickBot="1" x14ac:dyDescent="0.3">
      <c r="A55" s="40"/>
      <c r="B55" s="96" t="s">
        <v>174</v>
      </c>
      <c r="C55" s="101"/>
      <c r="D55" s="101"/>
      <c r="E55" s="101"/>
      <c r="F55" s="101"/>
      <c r="G55" s="101"/>
      <c r="H55" s="101" t="s">
        <v>230</v>
      </c>
      <c r="I55" s="40"/>
      <c r="J55" s="40"/>
      <c r="K55" s="40"/>
      <c r="L55" s="40"/>
      <c r="M55" s="40"/>
    </row>
    <row r="56" spans="1:13" ht="15" customHeight="1" thickBot="1" x14ac:dyDescent="0.3">
      <c r="A56" s="40"/>
      <c r="B56" s="96" t="s">
        <v>175</v>
      </c>
      <c r="C56" s="101"/>
      <c r="D56" s="101"/>
      <c r="E56" s="101"/>
      <c r="F56" s="101"/>
      <c r="G56" s="101" t="s">
        <v>230</v>
      </c>
      <c r="H56" s="101"/>
      <c r="I56" s="40"/>
      <c r="J56" s="40"/>
      <c r="K56" s="40"/>
      <c r="L56" s="40"/>
      <c r="M56" s="40"/>
    </row>
    <row r="57" spans="1:13" ht="15" customHeight="1" thickBot="1" x14ac:dyDescent="0.3">
      <c r="A57" s="40"/>
      <c r="B57" s="96"/>
      <c r="C57" s="101"/>
      <c r="D57" s="101"/>
      <c r="E57" s="101"/>
      <c r="F57" s="101"/>
      <c r="G57" s="101"/>
      <c r="H57" s="101"/>
      <c r="I57" s="40"/>
      <c r="J57" s="40"/>
      <c r="K57" s="40"/>
      <c r="L57" s="40"/>
      <c r="M57" s="40"/>
    </row>
    <row r="58" spans="1:13" ht="15" customHeight="1" thickBot="1" x14ac:dyDescent="0.3">
      <c r="A58" s="40"/>
      <c r="B58" s="96" t="s">
        <v>176</v>
      </c>
      <c r="C58" s="101"/>
      <c r="D58" s="101"/>
      <c r="E58" s="101"/>
      <c r="F58" s="101"/>
      <c r="G58" s="101" t="s">
        <v>230</v>
      </c>
      <c r="H58" s="101"/>
      <c r="I58" s="40"/>
      <c r="J58" s="40"/>
      <c r="K58" s="40"/>
      <c r="L58" s="40"/>
      <c r="M58" s="40"/>
    </row>
    <row r="59" spans="1:13" ht="15" customHeight="1" thickBot="1" x14ac:dyDescent="0.3">
      <c r="A59" s="40"/>
      <c r="B59" s="96" t="s">
        <v>177</v>
      </c>
      <c r="C59" s="101"/>
      <c r="D59" s="101"/>
      <c r="E59" s="101"/>
      <c r="F59" s="101"/>
      <c r="G59" s="101"/>
      <c r="H59" s="101" t="s">
        <v>230</v>
      </c>
      <c r="I59" s="40"/>
      <c r="J59" s="40"/>
      <c r="K59" s="40"/>
      <c r="L59" s="40"/>
      <c r="M59" s="40"/>
    </row>
    <row r="60" spans="1:13" ht="15" customHeight="1" thickBot="1" x14ac:dyDescent="0.3">
      <c r="A60" s="40"/>
      <c r="B60" s="96"/>
      <c r="C60" s="101"/>
      <c r="D60" s="101"/>
      <c r="E60" s="101"/>
      <c r="F60" s="101"/>
      <c r="G60" s="101"/>
      <c r="H60" s="101"/>
      <c r="I60" s="40"/>
      <c r="J60" s="40"/>
      <c r="K60" s="40"/>
      <c r="L60" s="40"/>
      <c r="M60" s="40"/>
    </row>
    <row r="61" spans="1:13" ht="15" customHeight="1" thickBot="1" x14ac:dyDescent="0.3">
      <c r="A61" s="40"/>
      <c r="B61" s="96" t="s">
        <v>178</v>
      </c>
      <c r="C61" s="101"/>
      <c r="D61" s="101"/>
      <c r="E61" s="101"/>
      <c r="F61" s="101"/>
      <c r="G61" s="101"/>
      <c r="H61" s="101"/>
      <c r="I61" s="40"/>
      <c r="J61" s="40"/>
      <c r="K61" s="40"/>
      <c r="L61" s="40"/>
      <c r="M61" s="40"/>
    </row>
    <row r="62" spans="1:13" ht="15" customHeight="1" thickBot="1" x14ac:dyDescent="0.3">
      <c r="A62" s="40"/>
      <c r="B62" s="96" t="s">
        <v>179</v>
      </c>
      <c r="C62" s="101"/>
      <c r="D62" s="101"/>
      <c r="E62" s="101"/>
      <c r="F62" s="101"/>
      <c r="G62" s="101" t="s">
        <v>230</v>
      </c>
      <c r="H62" s="101"/>
      <c r="I62" s="40"/>
      <c r="J62" s="40"/>
      <c r="K62" s="40"/>
      <c r="L62" s="40"/>
      <c r="M62" s="40"/>
    </row>
    <row r="63" spans="1:13" ht="15" customHeight="1" thickBot="1" x14ac:dyDescent="0.3">
      <c r="A63" s="40"/>
      <c r="B63" s="96" t="s">
        <v>180</v>
      </c>
      <c r="C63" s="101"/>
      <c r="D63" s="101"/>
      <c r="E63" s="101"/>
      <c r="F63" s="101"/>
      <c r="G63" s="101"/>
      <c r="H63" s="101" t="s">
        <v>230</v>
      </c>
      <c r="I63" s="40"/>
      <c r="J63" s="40"/>
      <c r="K63" s="40"/>
      <c r="L63" s="40"/>
      <c r="M63" s="40"/>
    </row>
    <row r="64" spans="1:13" x14ac:dyDescent="0.25">
      <c r="A64" s="40"/>
      <c r="B64" s="40"/>
      <c r="C64" s="40"/>
      <c r="D64" s="40"/>
      <c r="E64" s="40"/>
      <c r="F64" s="40"/>
      <c r="G64" s="40"/>
      <c r="H64" s="40"/>
      <c r="I64" s="40"/>
      <c r="J64" s="40"/>
      <c r="K64" s="40"/>
      <c r="L64" s="40"/>
      <c r="M64" s="40"/>
    </row>
    <row r="65" spans="1:13" hidden="1" x14ac:dyDescent="0.25">
      <c r="A65" s="40"/>
      <c r="B65" s="40"/>
      <c r="C65" s="40"/>
      <c r="D65" s="40"/>
      <c r="E65" s="40"/>
      <c r="F65" s="40"/>
      <c r="G65" s="40"/>
      <c r="H65" s="40"/>
      <c r="I65" s="40"/>
      <c r="J65" s="40"/>
      <c r="K65" s="40"/>
      <c r="L65" s="40"/>
      <c r="M65" s="40"/>
    </row>
    <row r="66" spans="1:13" hidden="1" x14ac:dyDescent="0.25">
      <c r="A66" s="40"/>
      <c r="B66" s="40"/>
      <c r="C66" s="40"/>
      <c r="D66" s="40"/>
      <c r="E66" s="40"/>
      <c r="F66" s="40"/>
      <c r="G66" s="40"/>
      <c r="H66" s="40"/>
      <c r="I66" s="40"/>
      <c r="J66" s="40"/>
      <c r="K66" s="40"/>
      <c r="L66" s="40"/>
      <c r="M66" s="40"/>
    </row>
    <row r="67" spans="1:13" hidden="1" x14ac:dyDescent="0.25">
      <c r="A67" s="40"/>
      <c r="B67" s="40"/>
      <c r="C67" s="40"/>
      <c r="D67" s="40"/>
      <c r="E67" s="40"/>
      <c r="F67" s="40"/>
      <c r="G67" s="40"/>
      <c r="H67" s="40"/>
      <c r="I67" s="40"/>
      <c r="J67" s="40"/>
      <c r="K67" s="40"/>
      <c r="L67" s="40"/>
      <c r="M67" s="40"/>
    </row>
    <row r="68" spans="1:13" hidden="1" x14ac:dyDescent="0.25">
      <c r="A68" s="40"/>
      <c r="B68" s="40"/>
      <c r="C68" s="40"/>
      <c r="D68" s="40"/>
      <c r="E68" s="40"/>
      <c r="F68" s="40"/>
      <c r="G68" s="40"/>
      <c r="H68" s="40"/>
      <c r="I68" s="40"/>
      <c r="J68" s="40"/>
      <c r="K68" s="40"/>
      <c r="L68" s="40"/>
      <c r="M68" s="40"/>
    </row>
    <row r="69" spans="1:13" hidden="1" x14ac:dyDescent="0.25">
      <c r="A69" s="40"/>
      <c r="B69" s="40"/>
      <c r="C69" s="40"/>
      <c r="D69" s="40"/>
      <c r="E69" s="40"/>
      <c r="F69" s="40"/>
      <c r="G69" s="40"/>
      <c r="H69" s="40"/>
      <c r="I69" s="40"/>
      <c r="J69" s="40"/>
      <c r="K69" s="40"/>
      <c r="L69" s="40"/>
      <c r="M69" s="40"/>
    </row>
    <row r="70" spans="1:13" hidden="1" x14ac:dyDescent="0.25">
      <c r="A70" s="40"/>
      <c r="B70" s="40"/>
      <c r="C70" s="40"/>
      <c r="D70" s="40"/>
      <c r="E70" s="40"/>
      <c r="F70" s="40"/>
      <c r="G70" s="40"/>
      <c r="H70" s="40"/>
      <c r="I70" s="40"/>
      <c r="J70" s="40"/>
      <c r="K70" s="40"/>
      <c r="L70" s="40"/>
      <c r="M70" s="40"/>
    </row>
    <row r="71" spans="1:13" hidden="1" x14ac:dyDescent="0.25">
      <c r="A71" s="40"/>
      <c r="B71" s="40"/>
      <c r="C71" s="40"/>
      <c r="D71" s="40"/>
      <c r="E71" s="40"/>
      <c r="F71" s="40"/>
      <c r="G71" s="40"/>
      <c r="H71" s="40"/>
      <c r="I71" s="40"/>
      <c r="J71" s="40"/>
      <c r="K71" s="40"/>
      <c r="L71" s="40"/>
      <c r="M71" s="40"/>
    </row>
    <row r="72" spans="1:13" hidden="1" x14ac:dyDescent="0.25">
      <c r="A72" s="40"/>
      <c r="B72" s="40"/>
      <c r="C72" s="40"/>
      <c r="D72" s="40"/>
      <c r="E72" s="40"/>
      <c r="F72" s="40"/>
      <c r="G72" s="40"/>
      <c r="H72" s="40"/>
      <c r="I72" s="40"/>
      <c r="J72" s="40"/>
      <c r="K72" s="40"/>
      <c r="L72" s="40"/>
      <c r="M72" s="40"/>
    </row>
    <row r="73" spans="1:13" hidden="1" x14ac:dyDescent="0.25">
      <c r="A73" s="40"/>
      <c r="B73" s="40"/>
      <c r="C73" s="40"/>
      <c r="D73" s="40"/>
      <c r="E73" s="40"/>
      <c r="F73" s="40"/>
      <c r="G73" s="40"/>
      <c r="H73" s="40"/>
      <c r="I73" s="40"/>
      <c r="J73" s="40"/>
      <c r="K73" s="40"/>
      <c r="L73" s="40"/>
      <c r="M73" s="40"/>
    </row>
    <row r="74" spans="1:13" hidden="1" x14ac:dyDescent="0.25">
      <c r="A74" s="40"/>
      <c r="B74" s="40"/>
      <c r="C74" s="40"/>
      <c r="D74" s="40"/>
      <c r="E74" s="40"/>
      <c r="F74" s="40"/>
      <c r="G74" s="40"/>
      <c r="H74" s="40"/>
      <c r="I74" s="40"/>
      <c r="J74" s="40"/>
      <c r="K74" s="40"/>
      <c r="L74" s="40"/>
      <c r="M74" s="40"/>
    </row>
    <row r="75" spans="1:13" hidden="1" x14ac:dyDescent="0.25">
      <c r="A75" s="40"/>
      <c r="B75" s="40"/>
      <c r="C75" s="40"/>
      <c r="D75" s="40"/>
      <c r="E75" s="40"/>
      <c r="F75" s="40"/>
      <c r="G75" s="40"/>
      <c r="H75" s="40"/>
      <c r="I75" s="40"/>
      <c r="J75" s="40"/>
      <c r="K75" s="40"/>
      <c r="L75" s="40"/>
      <c r="M75" s="40"/>
    </row>
    <row r="76" spans="1:13" hidden="1" x14ac:dyDescent="0.25">
      <c r="A76" s="40"/>
      <c r="B76" s="40"/>
      <c r="C76" s="40"/>
      <c r="D76" s="40"/>
      <c r="E76" s="40"/>
      <c r="F76" s="40"/>
      <c r="G76" s="40"/>
      <c r="H76" s="40"/>
      <c r="I76" s="40"/>
      <c r="J76" s="40"/>
      <c r="K76" s="40"/>
      <c r="L76" s="40"/>
      <c r="M76" s="40"/>
    </row>
    <row r="77" spans="1:13" hidden="1" x14ac:dyDescent="0.25">
      <c r="A77" s="40"/>
      <c r="B77" s="40"/>
      <c r="C77" s="40"/>
      <c r="D77" s="40"/>
      <c r="E77" s="40"/>
      <c r="F77" s="40"/>
      <c r="G77" s="40"/>
      <c r="H77" s="40"/>
      <c r="I77" s="40"/>
      <c r="J77" s="40"/>
      <c r="K77" s="40"/>
      <c r="L77" s="40"/>
      <c r="M77" s="40"/>
    </row>
    <row r="78" spans="1:13" hidden="1" x14ac:dyDescent="0.25">
      <c r="A78" s="40"/>
      <c r="B78" s="40"/>
      <c r="C78" s="40"/>
      <c r="D78" s="40"/>
      <c r="E78" s="40"/>
      <c r="F78" s="40"/>
      <c r="G78" s="40"/>
      <c r="H78" s="40"/>
      <c r="I78" s="40"/>
      <c r="J78" s="40"/>
      <c r="K78" s="40"/>
      <c r="L78" s="40"/>
      <c r="M78" s="40"/>
    </row>
    <row r="79" spans="1:13" hidden="1" x14ac:dyDescent="0.25">
      <c r="A79" s="40"/>
      <c r="B79" s="40"/>
      <c r="C79" s="40"/>
      <c r="D79" s="40"/>
      <c r="E79" s="40"/>
      <c r="F79" s="40"/>
      <c r="G79" s="40"/>
      <c r="H79" s="40"/>
      <c r="I79" s="40"/>
      <c r="J79" s="40"/>
      <c r="K79" s="40"/>
      <c r="L79" s="40"/>
      <c r="M79" s="40"/>
    </row>
    <row r="80" spans="1:13" hidden="1" x14ac:dyDescent="0.25">
      <c r="A80" s="40"/>
      <c r="B80" s="40"/>
      <c r="C80" s="40"/>
      <c r="D80" s="40"/>
      <c r="E80" s="40"/>
      <c r="F80" s="40"/>
      <c r="G80" s="40"/>
      <c r="H80" s="40"/>
      <c r="I80" s="40"/>
      <c r="J80" s="40"/>
      <c r="K80" s="40"/>
      <c r="L80" s="40"/>
      <c r="M80" s="40"/>
    </row>
    <row r="81" spans="1:13" hidden="1" x14ac:dyDescent="0.25">
      <c r="A81" s="40"/>
      <c r="B81" s="40"/>
      <c r="C81" s="40"/>
      <c r="D81" s="40"/>
      <c r="E81" s="40"/>
      <c r="F81" s="40"/>
      <c r="G81" s="40"/>
      <c r="H81" s="40"/>
      <c r="I81" s="40"/>
      <c r="J81" s="40"/>
      <c r="K81" s="40"/>
      <c r="L81" s="40"/>
      <c r="M81" s="40"/>
    </row>
  </sheetData>
  <sheetProtection algorithmName="SHA-512" hashValue="jwydemtToVihbou2YC8KXLitf2EzyoCheg98qh0+NqLyDHiV1UivgJm8DeyX/oRSOnrqtFvDjPs2WWaMLUxx9g==" saltValue="upA1EwGCs5ZAiOmqmyy+/g==" spinCount="100000" sheet="1" objects="1" scenarios="1" formatCells="0" formatColumns="0" formatRows="0" selectLockedCells="1" selectUnlockedCells="1"/>
  <mergeCells count="7">
    <mergeCell ref="B2:H2"/>
    <mergeCell ref="C4:C5"/>
    <mergeCell ref="D4:D5"/>
    <mergeCell ref="E4:E5"/>
    <mergeCell ref="F4:F5"/>
    <mergeCell ref="G4:G5"/>
    <mergeCell ref="H4:H5"/>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FEB43-A470-4321-BDA0-6B0243A06E1F}">
  <sheetPr codeName="Ark8"/>
  <dimension ref="A1:M100"/>
  <sheetViews>
    <sheetView showGridLines="0" showRowColHeaders="0" zoomScale="135" zoomScaleNormal="90" workbookViewId="0">
      <selection activeCell="G14" sqref="G14"/>
    </sheetView>
  </sheetViews>
  <sheetFormatPr defaultColWidth="0" defaultRowHeight="15" zeroHeight="1" x14ac:dyDescent="0.25"/>
  <cols>
    <col min="1" max="1" width="8.85546875" customWidth="1"/>
    <col min="2" max="2" width="10.28515625" customWidth="1"/>
    <col min="3" max="4" width="11.28515625" customWidth="1"/>
    <col min="5" max="5" width="14.85546875" customWidth="1"/>
    <col min="6" max="6" width="6.7109375" customWidth="1"/>
    <col min="7" max="7" width="8.85546875" customWidth="1"/>
    <col min="8" max="13" width="0" hidden="1" customWidth="1"/>
    <col min="14" max="16384" width="8.85546875" hidden="1"/>
  </cols>
  <sheetData>
    <row r="1" spans="1:13" x14ac:dyDescent="0.25">
      <c r="A1" s="40"/>
      <c r="B1" s="185" t="s">
        <v>205</v>
      </c>
      <c r="C1" s="185"/>
      <c r="D1" s="185"/>
      <c r="E1" s="185"/>
      <c r="F1" s="185"/>
      <c r="G1" s="40"/>
      <c r="H1" s="40"/>
      <c r="I1" s="40"/>
      <c r="J1" s="40"/>
      <c r="K1" s="40"/>
      <c r="L1" s="40"/>
      <c r="M1" s="40"/>
    </row>
    <row r="2" spans="1:13" x14ac:dyDescent="0.25">
      <c r="A2" s="40"/>
      <c r="B2" s="185"/>
      <c r="C2" s="185"/>
      <c r="D2" s="185"/>
      <c r="E2" s="185"/>
      <c r="F2" s="185"/>
      <c r="G2" s="40"/>
      <c r="H2" s="40"/>
      <c r="I2" s="40"/>
      <c r="J2" s="40"/>
      <c r="K2" s="40"/>
      <c r="L2" s="40"/>
      <c r="M2" s="40"/>
    </row>
    <row r="3" spans="1:13" ht="15.75" thickBot="1" x14ac:dyDescent="0.3">
      <c r="A3" s="40"/>
      <c r="B3" s="40"/>
      <c r="C3" s="40"/>
      <c r="D3" s="40"/>
      <c r="E3" s="40"/>
      <c r="F3" s="40"/>
      <c r="G3" s="40"/>
      <c r="H3" s="40"/>
      <c r="I3" s="40"/>
      <c r="J3" s="40"/>
      <c r="K3" s="40"/>
      <c r="L3" s="40"/>
      <c r="M3" s="40"/>
    </row>
    <row r="4" spans="1:13" ht="15.75" x14ac:dyDescent="0.25">
      <c r="A4" s="40"/>
      <c r="B4" s="95" t="s">
        <v>182</v>
      </c>
      <c r="C4" s="188" t="s">
        <v>183</v>
      </c>
      <c r="D4" s="188" t="s">
        <v>184</v>
      </c>
      <c r="E4" s="188" t="s">
        <v>185</v>
      </c>
      <c r="F4" s="188" t="s">
        <v>186</v>
      </c>
      <c r="G4" s="40"/>
      <c r="H4" s="40"/>
      <c r="I4" s="40"/>
      <c r="J4" s="40"/>
      <c r="K4" s="40"/>
      <c r="L4" s="40"/>
      <c r="M4" s="40"/>
    </row>
    <row r="5" spans="1:13" ht="16.5" thickBot="1" x14ac:dyDescent="0.3">
      <c r="A5" s="40"/>
      <c r="B5" s="110" t="s">
        <v>128</v>
      </c>
      <c r="C5" s="189"/>
      <c r="D5" s="189"/>
      <c r="E5" s="189"/>
      <c r="F5" s="189"/>
      <c r="G5" s="40"/>
      <c r="H5" s="40"/>
      <c r="I5" s="40"/>
      <c r="J5" s="40"/>
      <c r="K5" s="40"/>
      <c r="L5" s="40"/>
      <c r="M5" s="40"/>
    </row>
    <row r="6" spans="1:13" ht="15" customHeight="1" thickBot="1" x14ac:dyDescent="0.3">
      <c r="A6" s="40"/>
      <c r="B6" s="96" t="s">
        <v>187</v>
      </c>
      <c r="C6" s="98" t="s">
        <v>230</v>
      </c>
      <c r="D6" s="98"/>
      <c r="E6" s="98" t="s">
        <v>230</v>
      </c>
      <c r="F6" s="98"/>
      <c r="G6" s="40"/>
      <c r="H6" s="40"/>
      <c r="I6" s="40"/>
      <c r="J6" s="40"/>
      <c r="K6" s="40"/>
      <c r="L6" s="40"/>
      <c r="M6" s="40"/>
    </row>
    <row r="7" spans="1:13" ht="15" customHeight="1" thickBot="1" x14ac:dyDescent="0.3">
      <c r="A7" s="40"/>
      <c r="B7" s="96" t="s">
        <v>188</v>
      </c>
      <c r="C7" s="97" t="s">
        <v>230</v>
      </c>
      <c r="D7" s="98"/>
      <c r="E7" s="98" t="s">
        <v>230</v>
      </c>
      <c r="F7" s="98"/>
      <c r="G7" s="40"/>
      <c r="H7" s="40"/>
      <c r="I7" s="40"/>
      <c r="J7" s="40"/>
      <c r="K7" s="40"/>
      <c r="L7" s="40"/>
      <c r="M7" s="40"/>
    </row>
    <row r="8" spans="1:13" ht="15" customHeight="1" thickBot="1" x14ac:dyDescent="0.3">
      <c r="A8" s="40"/>
      <c r="B8" s="96" t="s">
        <v>189</v>
      </c>
      <c r="C8" s="97" t="s">
        <v>230</v>
      </c>
      <c r="D8" s="98"/>
      <c r="E8" s="98" t="s">
        <v>230</v>
      </c>
      <c r="F8" s="98"/>
      <c r="G8" s="40"/>
      <c r="H8" s="40"/>
      <c r="I8" s="40"/>
      <c r="J8" s="40"/>
      <c r="K8" s="40"/>
      <c r="L8" s="40"/>
      <c r="M8" s="40"/>
    </row>
    <row r="9" spans="1:13" ht="15" customHeight="1" thickBot="1" x14ac:dyDescent="0.3">
      <c r="A9" s="40"/>
      <c r="B9" s="96" t="s">
        <v>190</v>
      </c>
      <c r="C9" s="97" t="s">
        <v>230</v>
      </c>
      <c r="D9" s="98"/>
      <c r="E9" s="98"/>
      <c r="F9" s="98"/>
      <c r="G9" s="40"/>
      <c r="H9" s="40"/>
      <c r="I9" s="40"/>
      <c r="J9" s="40"/>
      <c r="K9" s="40"/>
      <c r="L9" s="40"/>
      <c r="M9" s="40"/>
    </row>
    <row r="10" spans="1:13" ht="15" customHeight="1" thickBot="1" x14ac:dyDescent="0.3">
      <c r="A10" s="40"/>
      <c r="B10" s="96" t="s">
        <v>191</v>
      </c>
      <c r="C10" s="97" t="s">
        <v>230</v>
      </c>
      <c r="D10" s="98"/>
      <c r="E10" s="98" t="s">
        <v>230</v>
      </c>
      <c r="F10" s="98"/>
      <c r="G10" s="40"/>
      <c r="H10" s="40"/>
      <c r="I10" s="40"/>
      <c r="J10" s="40"/>
      <c r="K10" s="40"/>
      <c r="L10" s="40"/>
      <c r="M10" s="40"/>
    </row>
    <row r="11" spans="1:13" ht="15" customHeight="1" thickBot="1" x14ac:dyDescent="0.3">
      <c r="A11" s="40"/>
      <c r="B11" s="96" t="s">
        <v>192</v>
      </c>
      <c r="C11" s="97" t="s">
        <v>230</v>
      </c>
      <c r="D11" s="98"/>
      <c r="E11" s="98"/>
      <c r="F11" s="98"/>
      <c r="G11" s="40"/>
      <c r="H11" s="40"/>
      <c r="I11" s="40"/>
      <c r="J11" s="40"/>
      <c r="K11" s="40"/>
      <c r="L11" s="40"/>
      <c r="M11" s="40"/>
    </row>
    <row r="12" spans="1:13" ht="15" customHeight="1" thickBot="1" x14ac:dyDescent="0.3">
      <c r="A12" s="40"/>
      <c r="B12" s="96" t="s">
        <v>193</v>
      </c>
      <c r="C12" s="97" t="s">
        <v>230</v>
      </c>
      <c r="D12" s="98"/>
      <c r="E12" s="98"/>
      <c r="F12" s="98"/>
      <c r="G12" s="40"/>
      <c r="H12" s="40"/>
      <c r="I12" s="40"/>
      <c r="J12" s="40"/>
      <c r="K12" s="40"/>
      <c r="L12" s="40"/>
      <c r="M12" s="40"/>
    </row>
    <row r="13" spans="1:13" ht="15" customHeight="1" thickBot="1" x14ac:dyDescent="0.3">
      <c r="A13" s="40"/>
      <c r="B13" s="96" t="s">
        <v>194</v>
      </c>
      <c r="C13" s="97" t="s">
        <v>230</v>
      </c>
      <c r="D13" s="98"/>
      <c r="E13" s="98"/>
      <c r="F13" s="98"/>
      <c r="G13" s="40"/>
      <c r="H13" s="40"/>
      <c r="I13" s="40"/>
      <c r="J13" s="40"/>
      <c r="K13" s="40"/>
      <c r="L13" s="40"/>
      <c r="M13" s="40"/>
    </row>
    <row r="14" spans="1:13" ht="15" customHeight="1" thickBot="1" x14ac:dyDescent="0.3">
      <c r="A14" s="40"/>
      <c r="B14" s="96"/>
      <c r="C14" s="97"/>
      <c r="D14" s="98"/>
      <c r="E14" s="98"/>
      <c r="F14" s="98"/>
      <c r="G14" s="40"/>
      <c r="H14" s="40"/>
      <c r="I14" s="40"/>
      <c r="J14" s="40"/>
      <c r="K14" s="40"/>
      <c r="L14" s="40"/>
      <c r="M14" s="40"/>
    </row>
    <row r="15" spans="1:13" ht="15" customHeight="1" thickBot="1" x14ac:dyDescent="0.3">
      <c r="A15" s="40"/>
      <c r="B15" s="96" t="s">
        <v>195</v>
      </c>
      <c r="C15" s="97" t="s">
        <v>230</v>
      </c>
      <c r="D15" s="98"/>
      <c r="E15" s="98"/>
      <c r="F15" s="98"/>
      <c r="G15" s="40"/>
      <c r="H15" s="40"/>
      <c r="I15" s="40"/>
      <c r="J15" s="40"/>
      <c r="K15" s="40"/>
      <c r="L15" s="40"/>
      <c r="M15" s="40"/>
    </row>
    <row r="16" spans="1:13" ht="15" customHeight="1" thickBot="1" x14ac:dyDescent="0.3">
      <c r="A16" s="40"/>
      <c r="B16" s="96" t="s">
        <v>196</v>
      </c>
      <c r="C16" s="97"/>
      <c r="D16" s="98"/>
      <c r="E16" s="98"/>
      <c r="F16" s="98" t="s">
        <v>230</v>
      </c>
      <c r="G16" s="40"/>
      <c r="H16" s="40"/>
      <c r="I16" s="40"/>
      <c r="J16" s="40"/>
      <c r="K16" s="40"/>
      <c r="L16" s="40"/>
      <c r="M16" s="40"/>
    </row>
    <row r="17" spans="1:13" ht="15" customHeight="1" thickBot="1" x14ac:dyDescent="0.3">
      <c r="A17" s="40"/>
      <c r="B17" s="96" t="s">
        <v>197</v>
      </c>
      <c r="C17" s="98" t="s">
        <v>230</v>
      </c>
      <c r="D17" s="98"/>
      <c r="E17" s="98" t="s">
        <v>230</v>
      </c>
      <c r="F17" s="98"/>
      <c r="G17" s="40"/>
      <c r="H17" s="40"/>
      <c r="I17" s="40"/>
      <c r="J17" s="40"/>
      <c r="K17" s="40"/>
      <c r="L17" s="40"/>
      <c r="M17" s="40"/>
    </row>
    <row r="18" spans="1:13" ht="15" customHeight="1" thickBot="1" x14ac:dyDescent="0.3">
      <c r="A18" s="40"/>
      <c r="B18" s="96" t="s">
        <v>135</v>
      </c>
      <c r="C18" s="97" t="s">
        <v>230</v>
      </c>
      <c r="D18" s="98"/>
      <c r="E18" s="98" t="s">
        <v>230</v>
      </c>
      <c r="F18" s="98"/>
      <c r="G18" s="40"/>
      <c r="H18" s="40"/>
      <c r="I18" s="40"/>
      <c r="J18" s="40"/>
      <c r="K18" s="40"/>
      <c r="L18" s="40"/>
      <c r="M18" s="40"/>
    </row>
    <row r="19" spans="1:13" ht="15" customHeight="1" thickBot="1" x14ac:dyDescent="0.3">
      <c r="A19" s="40"/>
      <c r="B19" s="96" t="s">
        <v>198</v>
      </c>
      <c r="C19" s="97" t="s">
        <v>230</v>
      </c>
      <c r="D19" s="98"/>
      <c r="E19" s="98"/>
      <c r="F19" s="98"/>
      <c r="G19" s="40"/>
      <c r="H19" s="40"/>
      <c r="I19" s="40"/>
      <c r="J19" s="40"/>
      <c r="K19" s="40"/>
      <c r="L19" s="40"/>
      <c r="M19" s="40"/>
    </row>
    <row r="20" spans="1:13" ht="15" customHeight="1" thickBot="1" x14ac:dyDescent="0.3">
      <c r="A20" s="40"/>
      <c r="B20" s="110"/>
      <c r="C20" s="98"/>
      <c r="D20" s="98"/>
      <c r="E20" s="98"/>
      <c r="F20" s="98"/>
      <c r="G20" s="40"/>
      <c r="H20" s="40"/>
      <c r="I20" s="40"/>
      <c r="J20" s="40"/>
      <c r="K20" s="40"/>
      <c r="L20" s="40"/>
      <c r="M20" s="40"/>
    </row>
    <row r="21" spans="1:13" ht="15" customHeight="1" thickBot="1" x14ac:dyDescent="0.3">
      <c r="A21" s="40"/>
      <c r="B21" s="96" t="s">
        <v>199</v>
      </c>
      <c r="C21" s="97" t="s">
        <v>230</v>
      </c>
      <c r="D21" s="97"/>
      <c r="E21" s="97"/>
      <c r="F21" s="97"/>
      <c r="G21" s="40"/>
      <c r="H21" s="40"/>
      <c r="I21" s="40"/>
      <c r="J21" s="40"/>
      <c r="K21" s="40"/>
      <c r="L21" s="40"/>
      <c r="M21" s="40"/>
    </row>
    <row r="22" spans="1:13" ht="15" customHeight="1" thickBot="1" x14ac:dyDescent="0.3">
      <c r="A22" s="40"/>
      <c r="B22" s="96"/>
      <c r="C22" s="97"/>
      <c r="D22" s="97"/>
      <c r="E22" s="97"/>
      <c r="F22" s="97"/>
      <c r="G22" s="40"/>
      <c r="H22" s="40"/>
      <c r="I22" s="40"/>
      <c r="J22" s="40"/>
      <c r="K22" s="40"/>
      <c r="L22" s="40"/>
      <c r="M22" s="40"/>
    </row>
    <row r="23" spans="1:13" ht="15" customHeight="1" thickBot="1" x14ac:dyDescent="0.3">
      <c r="A23" s="40"/>
      <c r="B23" s="96" t="s">
        <v>200</v>
      </c>
      <c r="C23" s="97"/>
      <c r="D23" s="97"/>
      <c r="E23" s="97"/>
      <c r="F23" s="97" t="s">
        <v>230</v>
      </c>
      <c r="G23" s="40"/>
      <c r="H23" s="40"/>
      <c r="I23" s="40"/>
      <c r="J23" s="40"/>
      <c r="K23" s="40"/>
      <c r="L23" s="40"/>
      <c r="M23" s="40"/>
    </row>
    <row r="24" spans="1:13" ht="15" customHeight="1" thickBot="1" x14ac:dyDescent="0.3">
      <c r="A24" s="40"/>
      <c r="B24" s="96" t="s">
        <v>138</v>
      </c>
      <c r="C24" s="97" t="s">
        <v>230</v>
      </c>
      <c r="D24" s="97"/>
      <c r="E24" s="97"/>
      <c r="F24" s="97"/>
      <c r="G24" s="40"/>
      <c r="H24" s="40"/>
      <c r="I24" s="40"/>
      <c r="J24" s="40"/>
      <c r="K24" s="40"/>
      <c r="L24" s="40"/>
      <c r="M24" s="40"/>
    </row>
    <row r="25" spans="1:13" ht="15" customHeight="1" thickBot="1" x14ac:dyDescent="0.3">
      <c r="A25" s="40"/>
      <c r="B25" s="96" t="s">
        <v>139</v>
      </c>
      <c r="C25" s="97" t="s">
        <v>230</v>
      </c>
      <c r="D25" s="97"/>
      <c r="E25" s="97"/>
      <c r="F25" s="97"/>
      <c r="G25" s="40"/>
      <c r="H25" s="40"/>
      <c r="I25" s="40"/>
      <c r="J25" s="40"/>
      <c r="K25" s="40"/>
      <c r="L25" s="40"/>
      <c r="M25" s="40"/>
    </row>
    <row r="26" spans="1:13" ht="15" customHeight="1" thickBot="1" x14ac:dyDescent="0.3">
      <c r="A26" s="40"/>
      <c r="B26" s="96"/>
      <c r="C26" s="97"/>
      <c r="D26" s="97"/>
      <c r="E26" s="97"/>
      <c r="F26" s="97"/>
      <c r="G26" s="40"/>
      <c r="H26" s="40"/>
      <c r="I26" s="40"/>
      <c r="J26" s="40"/>
      <c r="K26" s="40"/>
      <c r="L26" s="40"/>
      <c r="M26" s="40"/>
    </row>
    <row r="27" spans="1:13" ht="15" customHeight="1" thickBot="1" x14ac:dyDescent="0.3">
      <c r="A27" s="40"/>
      <c r="B27" s="96" t="s">
        <v>201</v>
      </c>
      <c r="C27" s="97"/>
      <c r="D27" s="97"/>
      <c r="E27" s="97"/>
      <c r="F27" s="97" t="s">
        <v>230</v>
      </c>
      <c r="G27" s="40"/>
      <c r="H27" s="40"/>
      <c r="I27" s="40"/>
      <c r="J27" s="40"/>
      <c r="K27" s="40"/>
      <c r="L27" s="40"/>
      <c r="M27" s="40"/>
    </row>
    <row r="28" spans="1:13" ht="15" customHeight="1" thickBot="1" x14ac:dyDescent="0.3">
      <c r="A28" s="40"/>
      <c r="B28" s="96" t="s">
        <v>202</v>
      </c>
      <c r="C28" s="97" t="s">
        <v>230</v>
      </c>
      <c r="D28" s="97"/>
      <c r="E28" s="97" t="s">
        <v>230</v>
      </c>
      <c r="F28" s="97"/>
      <c r="G28" s="40"/>
      <c r="H28" s="40"/>
      <c r="I28" s="40"/>
      <c r="J28" s="40"/>
      <c r="K28" s="40"/>
      <c r="L28" s="40"/>
      <c r="M28" s="40"/>
    </row>
    <row r="29" spans="1:13" ht="15" customHeight="1" thickBot="1" x14ac:dyDescent="0.3">
      <c r="A29" s="40"/>
      <c r="B29" s="96" t="s">
        <v>143</v>
      </c>
      <c r="C29" s="97"/>
      <c r="D29" s="97"/>
      <c r="E29" s="97" t="s">
        <v>230</v>
      </c>
      <c r="F29" s="97"/>
      <c r="G29" s="40"/>
      <c r="H29" s="40"/>
      <c r="I29" s="40"/>
      <c r="J29" s="40"/>
      <c r="K29" s="40"/>
      <c r="L29" s="40"/>
      <c r="M29" s="40"/>
    </row>
    <row r="30" spans="1:13" ht="15" customHeight="1" thickBot="1" x14ac:dyDescent="0.3">
      <c r="A30" s="40"/>
      <c r="B30" s="96"/>
      <c r="C30" s="97"/>
      <c r="D30" s="97"/>
      <c r="E30" s="97"/>
      <c r="F30" s="97"/>
      <c r="G30" s="40"/>
      <c r="H30" s="40"/>
      <c r="I30" s="40"/>
      <c r="J30" s="40"/>
      <c r="K30" s="40"/>
      <c r="L30" s="40"/>
      <c r="M30" s="40"/>
    </row>
    <row r="31" spans="1:13" ht="15" customHeight="1" thickBot="1" x14ac:dyDescent="0.3">
      <c r="A31" s="40"/>
      <c r="B31" s="96" t="s">
        <v>203</v>
      </c>
      <c r="C31" s="97"/>
      <c r="D31" s="97"/>
      <c r="E31" s="97"/>
      <c r="F31" s="97" t="s">
        <v>230</v>
      </c>
      <c r="G31" s="40"/>
      <c r="H31" s="40"/>
      <c r="I31" s="40"/>
      <c r="J31" s="40"/>
      <c r="K31" s="40"/>
      <c r="L31" s="40"/>
      <c r="M31" s="40"/>
    </row>
    <row r="32" spans="1:13" ht="15" customHeight="1" thickBot="1" x14ac:dyDescent="0.3">
      <c r="A32" s="40"/>
      <c r="B32" s="96" t="s">
        <v>147</v>
      </c>
      <c r="C32" s="97"/>
      <c r="D32" s="97"/>
      <c r="E32" s="97" t="s">
        <v>230</v>
      </c>
      <c r="F32" s="97"/>
      <c r="G32" s="40"/>
      <c r="H32" s="40"/>
      <c r="I32" s="40"/>
      <c r="J32" s="40"/>
      <c r="K32" s="40"/>
      <c r="L32" s="40"/>
      <c r="M32" s="40"/>
    </row>
    <row r="33" spans="1:13" ht="15" customHeight="1" thickBot="1" x14ac:dyDescent="0.3">
      <c r="A33" s="40"/>
      <c r="B33" s="96"/>
      <c r="C33" s="97"/>
      <c r="D33" s="97"/>
      <c r="E33" s="97"/>
      <c r="F33" s="97"/>
      <c r="G33" s="40"/>
      <c r="H33" s="40"/>
      <c r="I33" s="40"/>
      <c r="J33" s="40"/>
      <c r="K33" s="40"/>
      <c r="L33" s="40"/>
      <c r="M33" s="40"/>
    </row>
    <row r="34" spans="1:13" ht="15" customHeight="1" thickBot="1" x14ac:dyDescent="0.3">
      <c r="A34" s="40"/>
      <c r="B34" s="96" t="s">
        <v>152</v>
      </c>
      <c r="C34" s="97"/>
      <c r="D34" s="97" t="s">
        <v>230</v>
      </c>
      <c r="E34" s="97"/>
      <c r="F34" s="97"/>
      <c r="G34" s="40"/>
      <c r="H34" s="40"/>
      <c r="I34" s="40"/>
      <c r="J34" s="40"/>
      <c r="K34" s="40"/>
      <c r="L34" s="40"/>
      <c r="M34" s="40"/>
    </row>
    <row r="35" spans="1:13" ht="15" customHeight="1" thickBot="1" x14ac:dyDescent="0.3">
      <c r="A35" s="40"/>
      <c r="B35" s="96"/>
      <c r="C35" s="97"/>
      <c r="D35" s="97"/>
      <c r="E35" s="97"/>
      <c r="F35" s="97"/>
      <c r="G35" s="40"/>
      <c r="H35" s="40"/>
      <c r="I35" s="40"/>
      <c r="J35" s="40"/>
      <c r="K35" s="40"/>
      <c r="L35" s="40"/>
      <c r="M35" s="40"/>
    </row>
    <row r="36" spans="1:13" ht="15" customHeight="1" thickBot="1" x14ac:dyDescent="0.3">
      <c r="A36" s="40"/>
      <c r="B36" s="96" t="s">
        <v>204</v>
      </c>
      <c r="C36" s="97"/>
      <c r="D36" s="97"/>
      <c r="E36" s="97"/>
      <c r="F36" s="97" t="s">
        <v>230</v>
      </c>
      <c r="G36" s="40"/>
      <c r="H36" s="40"/>
      <c r="I36" s="40"/>
      <c r="J36" s="40"/>
      <c r="K36" s="40"/>
      <c r="L36" s="40"/>
      <c r="M36" s="40"/>
    </row>
    <row r="37" spans="1:13" ht="15" customHeight="1" thickBot="1" x14ac:dyDescent="0.3">
      <c r="A37" s="40"/>
      <c r="B37" s="96" t="s">
        <v>153</v>
      </c>
      <c r="C37" s="97"/>
      <c r="D37" s="97" t="s">
        <v>230</v>
      </c>
      <c r="E37" s="97"/>
      <c r="F37" s="97"/>
      <c r="G37" s="40"/>
      <c r="H37" s="40"/>
      <c r="I37" s="40"/>
      <c r="J37" s="40"/>
      <c r="K37" s="40"/>
      <c r="L37" s="40"/>
      <c r="M37" s="40"/>
    </row>
    <row r="38" spans="1:13" ht="15" customHeight="1" thickBot="1" x14ac:dyDescent="0.3">
      <c r="A38" s="40"/>
      <c r="B38" s="96" t="s">
        <v>155</v>
      </c>
      <c r="C38" s="97"/>
      <c r="D38" s="97" t="s">
        <v>230</v>
      </c>
      <c r="E38" s="97"/>
      <c r="F38" s="97"/>
      <c r="G38" s="40"/>
      <c r="H38" s="40"/>
      <c r="I38" s="40"/>
      <c r="J38" s="40"/>
      <c r="K38" s="40"/>
      <c r="L38" s="40"/>
      <c r="M38" s="40"/>
    </row>
    <row r="39" spans="1:13" ht="15" customHeight="1" x14ac:dyDescent="0.25">
      <c r="A39" s="40"/>
      <c r="B39" s="40"/>
      <c r="C39" s="40"/>
      <c r="D39" s="40"/>
      <c r="E39" s="40"/>
      <c r="F39" s="40"/>
      <c r="G39" s="40"/>
      <c r="H39" s="40"/>
      <c r="I39" s="40"/>
      <c r="J39" s="40"/>
      <c r="K39" s="40"/>
      <c r="L39" s="40"/>
      <c r="M39" s="40"/>
    </row>
    <row r="40" spans="1:13" ht="15" hidden="1" customHeight="1" x14ac:dyDescent="0.25">
      <c r="A40" s="40"/>
      <c r="B40" s="40"/>
      <c r="C40" s="40"/>
      <c r="D40" s="40"/>
      <c r="E40" s="40"/>
      <c r="F40" s="40"/>
      <c r="G40" s="40"/>
      <c r="H40" s="40"/>
      <c r="I40" s="40"/>
      <c r="J40" s="40"/>
      <c r="K40" s="40"/>
      <c r="L40" s="40"/>
      <c r="M40" s="40"/>
    </row>
    <row r="41" spans="1:13" ht="15" hidden="1" customHeight="1" x14ac:dyDescent="0.25">
      <c r="A41" s="40"/>
      <c r="B41" s="40"/>
      <c r="C41" s="40"/>
      <c r="D41" s="40"/>
      <c r="E41" s="40"/>
      <c r="F41" s="40"/>
      <c r="G41" s="40"/>
      <c r="H41" s="40"/>
      <c r="I41" s="40"/>
      <c r="J41" s="40"/>
      <c r="K41" s="40"/>
      <c r="L41" s="40"/>
      <c r="M41" s="40"/>
    </row>
    <row r="42" spans="1:13" ht="15" hidden="1" customHeight="1" x14ac:dyDescent="0.25">
      <c r="A42" s="40"/>
      <c r="B42" s="40"/>
      <c r="C42" s="40"/>
      <c r="D42" s="40"/>
      <c r="E42" s="40"/>
      <c r="F42" s="40"/>
      <c r="G42" s="40"/>
      <c r="H42" s="40"/>
      <c r="I42" s="40"/>
      <c r="J42" s="40"/>
      <c r="K42" s="40"/>
      <c r="L42" s="40"/>
      <c r="M42" s="40"/>
    </row>
    <row r="43" spans="1:13" ht="15" hidden="1" customHeight="1" x14ac:dyDescent="0.25">
      <c r="A43" s="40"/>
      <c r="B43" s="40"/>
      <c r="C43" s="40"/>
      <c r="D43" s="40"/>
      <c r="E43" s="40"/>
      <c r="F43" s="40"/>
      <c r="G43" s="40"/>
      <c r="H43" s="40"/>
      <c r="I43" s="40"/>
      <c r="J43" s="40"/>
      <c r="K43" s="40"/>
      <c r="L43" s="40"/>
      <c r="M43" s="40"/>
    </row>
    <row r="44" spans="1:13" ht="15" hidden="1" customHeight="1" x14ac:dyDescent="0.25">
      <c r="A44" s="40"/>
      <c r="B44" s="40"/>
      <c r="C44" s="40"/>
      <c r="D44" s="40"/>
      <c r="E44" s="40"/>
      <c r="F44" s="40"/>
      <c r="G44" s="40"/>
      <c r="H44" s="40"/>
      <c r="I44" s="40"/>
      <c r="J44" s="40"/>
      <c r="K44" s="40"/>
      <c r="L44" s="40"/>
      <c r="M44" s="40"/>
    </row>
    <row r="45" spans="1:13" ht="15" hidden="1" customHeight="1" x14ac:dyDescent="0.25">
      <c r="A45" s="40"/>
      <c r="B45" s="40"/>
      <c r="C45" s="40"/>
      <c r="D45" s="40"/>
      <c r="E45" s="40"/>
      <c r="F45" s="40"/>
      <c r="G45" s="40"/>
      <c r="H45" s="40"/>
      <c r="I45" s="40"/>
      <c r="J45" s="40"/>
      <c r="K45" s="40"/>
      <c r="L45" s="40"/>
      <c r="M45" s="40"/>
    </row>
    <row r="46" spans="1:13" ht="15" hidden="1" customHeight="1" x14ac:dyDescent="0.25">
      <c r="A46" s="40"/>
      <c r="B46" s="40"/>
      <c r="C46" s="40"/>
      <c r="D46" s="40"/>
      <c r="E46" s="40"/>
      <c r="F46" s="40"/>
      <c r="G46" s="40"/>
      <c r="H46" s="40"/>
      <c r="I46" s="40"/>
      <c r="J46" s="40"/>
      <c r="K46" s="40"/>
      <c r="L46" s="40"/>
      <c r="M46" s="40"/>
    </row>
    <row r="47" spans="1:13" ht="15" hidden="1" customHeight="1" x14ac:dyDescent="0.25">
      <c r="A47" s="40"/>
      <c r="B47" s="40"/>
      <c r="C47" s="40"/>
      <c r="D47" s="40"/>
      <c r="E47" s="40"/>
      <c r="F47" s="40"/>
      <c r="G47" s="40"/>
      <c r="H47" s="40"/>
      <c r="I47" s="40"/>
      <c r="J47" s="40"/>
      <c r="K47" s="40"/>
      <c r="L47" s="40"/>
      <c r="M47" s="40"/>
    </row>
    <row r="48" spans="1:13" ht="15" hidden="1" customHeight="1" x14ac:dyDescent="0.25">
      <c r="A48" s="40"/>
      <c r="B48" s="40"/>
      <c r="C48" s="40"/>
      <c r="D48" s="40"/>
      <c r="E48" s="40"/>
      <c r="F48" s="40"/>
      <c r="G48" s="40"/>
      <c r="H48" s="40"/>
      <c r="I48" s="40"/>
      <c r="J48" s="40"/>
      <c r="K48" s="40"/>
      <c r="L48" s="40"/>
      <c r="M48" s="40"/>
    </row>
    <row r="49" spans="1:13" ht="15" hidden="1" customHeight="1" x14ac:dyDescent="0.25">
      <c r="A49" s="40"/>
      <c r="B49" s="40"/>
      <c r="C49" s="40"/>
      <c r="D49" s="40"/>
      <c r="E49" s="40"/>
      <c r="F49" s="40"/>
      <c r="G49" s="40"/>
      <c r="H49" s="40"/>
      <c r="I49" s="40"/>
      <c r="J49" s="40"/>
      <c r="K49" s="40"/>
      <c r="L49" s="40"/>
      <c r="M49" s="40"/>
    </row>
    <row r="50" spans="1:13" ht="15" hidden="1" customHeight="1" x14ac:dyDescent="0.25">
      <c r="A50" s="40"/>
      <c r="B50" s="40"/>
      <c r="C50" s="40"/>
      <c r="D50" s="40"/>
      <c r="E50" s="40"/>
      <c r="F50" s="40"/>
      <c r="G50" s="40"/>
      <c r="H50" s="40"/>
      <c r="I50" s="40"/>
      <c r="J50" s="40"/>
      <c r="K50" s="40"/>
      <c r="L50" s="40"/>
      <c r="M50" s="40"/>
    </row>
    <row r="51" spans="1:13" ht="15" hidden="1" customHeight="1" x14ac:dyDescent="0.25">
      <c r="A51" s="40"/>
      <c r="B51" s="40"/>
      <c r="C51" s="40"/>
      <c r="D51" s="40"/>
      <c r="E51" s="40"/>
      <c r="F51" s="40"/>
      <c r="G51" s="40"/>
      <c r="H51" s="40"/>
      <c r="I51" s="40"/>
      <c r="J51" s="40"/>
      <c r="K51" s="40"/>
      <c r="L51" s="40"/>
      <c r="M51" s="40"/>
    </row>
    <row r="52" spans="1:13" ht="15" hidden="1" customHeight="1" x14ac:dyDescent="0.25">
      <c r="A52" s="40"/>
      <c r="B52" s="40"/>
      <c r="C52" s="40"/>
      <c r="D52" s="40"/>
      <c r="E52" s="40"/>
      <c r="F52" s="40"/>
      <c r="G52" s="40"/>
      <c r="H52" s="40"/>
      <c r="I52" s="40"/>
      <c r="J52" s="40"/>
      <c r="K52" s="40"/>
      <c r="L52" s="40"/>
      <c r="M52" s="40"/>
    </row>
    <row r="53" spans="1:13" ht="15" hidden="1" customHeight="1" x14ac:dyDescent="0.25">
      <c r="A53" s="40"/>
      <c r="B53" s="40"/>
      <c r="C53" s="40"/>
      <c r="D53" s="40"/>
      <c r="E53" s="40"/>
      <c r="F53" s="40"/>
      <c r="G53" s="40"/>
      <c r="H53" s="40"/>
      <c r="I53" s="40"/>
      <c r="J53" s="40"/>
      <c r="K53" s="40"/>
      <c r="L53" s="40"/>
      <c r="M53" s="40"/>
    </row>
    <row r="54" spans="1:13" ht="15" hidden="1" customHeight="1" x14ac:dyDescent="0.25">
      <c r="A54" s="40"/>
      <c r="B54" s="40"/>
      <c r="C54" s="40"/>
      <c r="D54" s="40"/>
      <c r="E54" s="40"/>
      <c r="F54" s="40"/>
      <c r="G54" s="40"/>
      <c r="H54" s="40"/>
      <c r="I54" s="40"/>
      <c r="J54" s="40"/>
      <c r="K54" s="40"/>
      <c r="L54" s="40"/>
      <c r="M54" s="40"/>
    </row>
    <row r="55" spans="1:13" ht="15" hidden="1" customHeight="1" x14ac:dyDescent="0.25">
      <c r="A55" s="40"/>
      <c r="B55" s="40"/>
      <c r="C55" s="40"/>
      <c r="D55" s="40"/>
      <c r="E55" s="40"/>
      <c r="F55" s="40"/>
      <c r="G55" s="40"/>
      <c r="H55" s="40"/>
      <c r="I55" s="40"/>
      <c r="J55" s="40"/>
      <c r="K55" s="40"/>
      <c r="L55" s="40"/>
      <c r="M55" s="40"/>
    </row>
    <row r="56" spans="1:13" ht="15" hidden="1" customHeight="1" x14ac:dyDescent="0.25">
      <c r="A56" s="40"/>
      <c r="B56" s="40"/>
      <c r="C56" s="40"/>
      <c r="D56" s="40"/>
      <c r="E56" s="40"/>
      <c r="F56" s="40"/>
      <c r="G56" s="40"/>
      <c r="H56" s="40"/>
      <c r="I56" s="40"/>
      <c r="J56" s="40"/>
      <c r="K56" s="40"/>
      <c r="L56" s="40"/>
      <c r="M56" s="40"/>
    </row>
    <row r="57" spans="1:13" ht="15" hidden="1" customHeight="1" x14ac:dyDescent="0.25">
      <c r="A57" s="40"/>
      <c r="B57" s="40"/>
      <c r="C57" s="40"/>
      <c r="D57" s="40"/>
      <c r="E57" s="40"/>
      <c r="F57" s="40"/>
      <c r="G57" s="40"/>
      <c r="H57" s="40"/>
      <c r="I57" s="40"/>
      <c r="J57" s="40"/>
      <c r="K57" s="40"/>
      <c r="L57" s="40"/>
      <c r="M57" s="40"/>
    </row>
    <row r="58" spans="1:13" ht="15" hidden="1" customHeight="1" x14ac:dyDescent="0.25">
      <c r="A58" s="40"/>
      <c r="B58" s="40"/>
      <c r="C58" s="40"/>
      <c r="D58" s="40"/>
      <c r="E58" s="40"/>
      <c r="F58" s="40"/>
      <c r="G58" s="40"/>
      <c r="H58" s="40"/>
      <c r="I58" s="40"/>
      <c r="J58" s="40"/>
      <c r="K58" s="40"/>
      <c r="L58" s="40"/>
      <c r="M58" s="40"/>
    </row>
    <row r="59" spans="1:13" ht="15" hidden="1" customHeight="1" x14ac:dyDescent="0.25">
      <c r="A59" s="40"/>
      <c r="B59" s="40"/>
      <c r="C59" s="40"/>
      <c r="D59" s="40"/>
      <c r="E59" s="40"/>
      <c r="F59" s="40"/>
      <c r="G59" s="40"/>
      <c r="H59" s="40"/>
      <c r="I59" s="40"/>
      <c r="J59" s="40"/>
      <c r="K59" s="40"/>
      <c r="L59" s="40"/>
      <c r="M59" s="40"/>
    </row>
    <row r="60" spans="1:13" ht="15" hidden="1" customHeight="1" x14ac:dyDescent="0.25">
      <c r="A60" s="40"/>
      <c r="B60" s="40"/>
      <c r="C60" s="40"/>
      <c r="D60" s="40"/>
      <c r="E60" s="40"/>
      <c r="F60" s="40"/>
      <c r="G60" s="40"/>
      <c r="H60" s="40"/>
      <c r="I60" s="40"/>
      <c r="J60" s="40"/>
      <c r="K60" s="40"/>
      <c r="L60" s="40"/>
      <c r="M60" s="40"/>
    </row>
    <row r="61" spans="1:13" ht="15" hidden="1" customHeight="1" x14ac:dyDescent="0.25">
      <c r="A61" s="40"/>
      <c r="B61" s="40"/>
      <c r="C61" s="40"/>
      <c r="D61" s="40"/>
      <c r="E61" s="40"/>
      <c r="F61" s="40"/>
      <c r="G61" s="40"/>
      <c r="H61" s="40"/>
      <c r="I61" s="40"/>
      <c r="J61" s="40"/>
      <c r="K61" s="40"/>
      <c r="L61" s="40"/>
      <c r="M61" s="40"/>
    </row>
    <row r="62" spans="1:13" ht="15" hidden="1" customHeight="1" x14ac:dyDescent="0.25">
      <c r="A62" s="40"/>
      <c r="B62" s="40"/>
      <c r="C62" s="40"/>
      <c r="D62" s="40"/>
      <c r="E62" s="40"/>
      <c r="F62" s="40"/>
      <c r="G62" s="40"/>
      <c r="H62" s="40"/>
      <c r="I62" s="40"/>
      <c r="J62" s="40"/>
      <c r="K62" s="40"/>
      <c r="L62" s="40"/>
      <c r="M62" s="40"/>
    </row>
    <row r="63" spans="1:13" ht="15" hidden="1" customHeight="1" x14ac:dyDescent="0.25">
      <c r="A63" s="40"/>
      <c r="B63" s="40"/>
      <c r="C63" s="40"/>
      <c r="D63" s="40"/>
      <c r="E63" s="40"/>
      <c r="F63" s="40"/>
      <c r="G63" s="40"/>
      <c r="H63" s="40"/>
      <c r="I63" s="40"/>
      <c r="J63" s="40"/>
      <c r="K63" s="40"/>
      <c r="L63" s="40"/>
      <c r="M63" s="40"/>
    </row>
    <row r="64" spans="1:13" ht="15" hidden="1" customHeight="1" x14ac:dyDescent="0.25">
      <c r="A64" s="40"/>
      <c r="B64" s="40"/>
      <c r="C64" s="40"/>
      <c r="D64" s="40"/>
      <c r="E64" s="40"/>
      <c r="F64" s="40"/>
      <c r="G64" s="40"/>
      <c r="H64" s="40"/>
      <c r="I64" s="40"/>
      <c r="J64" s="40"/>
      <c r="K64" s="40"/>
      <c r="L64" s="40"/>
      <c r="M64" s="40"/>
    </row>
    <row r="65" spans="1:13" ht="15" hidden="1" customHeight="1" x14ac:dyDescent="0.25">
      <c r="A65" s="40"/>
      <c r="B65" s="40"/>
      <c r="C65" s="40"/>
      <c r="D65" s="40"/>
      <c r="E65" s="40"/>
      <c r="F65" s="40"/>
      <c r="G65" s="40"/>
      <c r="H65" s="40"/>
      <c r="I65" s="40"/>
      <c r="J65" s="40"/>
      <c r="K65" s="40"/>
      <c r="L65" s="40"/>
      <c r="M65" s="40"/>
    </row>
    <row r="66" spans="1:13" ht="15" hidden="1" customHeight="1" x14ac:dyDescent="0.25">
      <c r="A66" s="40"/>
      <c r="B66" s="40"/>
      <c r="C66" s="40"/>
      <c r="D66" s="40"/>
      <c r="E66" s="40"/>
      <c r="F66" s="40"/>
      <c r="G66" s="40"/>
      <c r="H66" s="40"/>
      <c r="I66" s="40"/>
      <c r="J66" s="40"/>
      <c r="K66" s="40"/>
      <c r="L66" s="40"/>
      <c r="M66" s="40"/>
    </row>
    <row r="67" spans="1:13" ht="15" hidden="1" customHeight="1" x14ac:dyDescent="0.25">
      <c r="A67" s="40"/>
      <c r="B67" s="40"/>
      <c r="C67" s="40"/>
      <c r="D67" s="40"/>
      <c r="E67" s="40"/>
      <c r="F67" s="40"/>
      <c r="G67" s="40"/>
      <c r="H67" s="40"/>
      <c r="I67" s="40"/>
      <c r="J67" s="40"/>
      <c r="K67" s="40"/>
      <c r="L67" s="40"/>
      <c r="M67" s="40"/>
    </row>
    <row r="68" spans="1:13" ht="15" hidden="1" customHeight="1" x14ac:dyDescent="0.25">
      <c r="A68" s="40"/>
      <c r="B68" s="40"/>
      <c r="C68" s="40"/>
      <c r="D68" s="40"/>
      <c r="E68" s="40"/>
      <c r="F68" s="40"/>
      <c r="G68" s="40"/>
      <c r="H68" s="40"/>
      <c r="I68" s="40"/>
      <c r="J68" s="40"/>
      <c r="K68" s="40"/>
      <c r="L68" s="40"/>
      <c r="M68" s="40"/>
    </row>
    <row r="69" spans="1:13" ht="15" hidden="1" customHeight="1" x14ac:dyDescent="0.25">
      <c r="A69" s="40"/>
      <c r="B69" s="40"/>
      <c r="C69" s="40"/>
      <c r="D69" s="40"/>
      <c r="E69" s="40"/>
      <c r="F69" s="40"/>
      <c r="G69" s="40"/>
      <c r="H69" s="40"/>
      <c r="I69" s="40"/>
      <c r="J69" s="40"/>
      <c r="K69" s="40"/>
      <c r="L69" s="40"/>
      <c r="M69" s="40"/>
    </row>
    <row r="70" spans="1:13" ht="15" hidden="1" customHeight="1" x14ac:dyDescent="0.25">
      <c r="A70" s="40"/>
      <c r="B70" s="40"/>
      <c r="C70" s="40"/>
      <c r="D70" s="40"/>
      <c r="E70" s="40"/>
      <c r="F70" s="40"/>
      <c r="G70" s="40"/>
      <c r="H70" s="40"/>
      <c r="I70" s="40"/>
      <c r="J70" s="40"/>
      <c r="K70" s="40"/>
      <c r="L70" s="40"/>
      <c r="M70" s="40"/>
    </row>
    <row r="71" spans="1:13" ht="15" hidden="1" customHeight="1" x14ac:dyDescent="0.25">
      <c r="A71" s="40"/>
      <c r="B71" s="40"/>
      <c r="C71" s="40"/>
      <c r="D71" s="40"/>
      <c r="E71" s="40"/>
      <c r="F71" s="40"/>
      <c r="G71" s="40"/>
      <c r="H71" s="40"/>
      <c r="I71" s="40"/>
      <c r="J71" s="40"/>
      <c r="K71" s="40"/>
      <c r="L71" s="40"/>
      <c r="M71" s="40"/>
    </row>
    <row r="72" spans="1:13" ht="15" hidden="1" customHeight="1" x14ac:dyDescent="0.25">
      <c r="A72" s="40"/>
      <c r="B72" s="40"/>
      <c r="C72" s="40"/>
      <c r="D72" s="40"/>
      <c r="E72" s="40"/>
      <c r="F72" s="40"/>
      <c r="G72" s="40"/>
      <c r="H72" s="40"/>
      <c r="I72" s="40"/>
      <c r="J72" s="40"/>
      <c r="K72" s="40"/>
      <c r="L72" s="40"/>
      <c r="M72" s="40"/>
    </row>
    <row r="73" spans="1:13" ht="15" hidden="1" customHeight="1" x14ac:dyDescent="0.25">
      <c r="A73" s="40"/>
      <c r="B73" s="40"/>
      <c r="C73" s="40"/>
      <c r="D73" s="40"/>
      <c r="E73" s="40"/>
      <c r="F73" s="40"/>
      <c r="G73" s="40"/>
      <c r="H73" s="40"/>
      <c r="I73" s="40"/>
      <c r="J73" s="40"/>
      <c r="K73" s="40"/>
      <c r="L73" s="40"/>
      <c r="M73" s="40"/>
    </row>
    <row r="74" spans="1:13" ht="15" hidden="1" customHeight="1" x14ac:dyDescent="0.25">
      <c r="A74" s="40"/>
      <c r="B74" s="40"/>
      <c r="C74" s="40"/>
      <c r="D74" s="40"/>
      <c r="E74" s="40"/>
      <c r="F74" s="40"/>
      <c r="G74" s="40"/>
      <c r="H74" s="40"/>
      <c r="I74" s="40"/>
      <c r="J74" s="40"/>
      <c r="K74" s="40"/>
      <c r="L74" s="40"/>
      <c r="M74" s="40"/>
    </row>
    <row r="75" spans="1:13" ht="15" hidden="1" customHeight="1" x14ac:dyDescent="0.25">
      <c r="A75" s="40"/>
      <c r="B75" s="40"/>
      <c r="C75" s="40"/>
      <c r="D75" s="40"/>
      <c r="E75" s="40"/>
      <c r="F75" s="40"/>
      <c r="G75" s="40"/>
      <c r="H75" s="40"/>
      <c r="I75" s="40"/>
      <c r="J75" s="40"/>
      <c r="K75" s="40"/>
      <c r="L75" s="40"/>
      <c r="M75" s="40"/>
    </row>
    <row r="76" spans="1:13" ht="15" hidden="1" customHeight="1" x14ac:dyDescent="0.25">
      <c r="A76" s="40"/>
      <c r="B76" s="40"/>
      <c r="C76" s="40"/>
      <c r="D76" s="40"/>
      <c r="E76" s="40"/>
      <c r="F76" s="40"/>
      <c r="G76" s="40"/>
      <c r="H76" s="40"/>
      <c r="I76" s="40"/>
      <c r="J76" s="40"/>
      <c r="K76" s="40"/>
      <c r="L76" s="40"/>
      <c r="M76" s="40"/>
    </row>
    <row r="77" spans="1:13" ht="15" hidden="1" customHeight="1" x14ac:dyDescent="0.25">
      <c r="A77" s="40"/>
      <c r="B77" s="40"/>
      <c r="C77" s="40"/>
      <c r="D77" s="40"/>
      <c r="E77" s="40"/>
      <c r="F77" s="40"/>
      <c r="G77" s="40"/>
      <c r="H77" s="40"/>
      <c r="I77" s="40"/>
      <c r="J77" s="40"/>
      <c r="K77" s="40"/>
      <c r="L77" s="40"/>
      <c r="M77" s="40"/>
    </row>
    <row r="78" spans="1:13" ht="15" hidden="1" customHeight="1" x14ac:dyDescent="0.25">
      <c r="A78" s="40"/>
      <c r="B78" s="40"/>
      <c r="C78" s="40"/>
      <c r="D78" s="40"/>
      <c r="E78" s="40"/>
      <c r="F78" s="40"/>
      <c r="G78" s="40"/>
      <c r="H78" s="40"/>
      <c r="I78" s="40"/>
      <c r="J78" s="40"/>
      <c r="K78" s="40"/>
      <c r="L78" s="40"/>
      <c r="M78" s="40"/>
    </row>
    <row r="79" spans="1:13" ht="15" hidden="1" customHeight="1" x14ac:dyDescent="0.25">
      <c r="A79" s="40"/>
      <c r="B79" s="40"/>
      <c r="C79" s="40"/>
      <c r="D79" s="40"/>
      <c r="E79" s="40"/>
      <c r="F79" s="40"/>
      <c r="G79" s="40"/>
      <c r="H79" s="40"/>
      <c r="I79" s="40"/>
      <c r="J79" s="40"/>
      <c r="K79" s="40"/>
      <c r="L79" s="40"/>
      <c r="M79" s="40"/>
    </row>
    <row r="80" spans="1:13" ht="15" hidden="1" customHeight="1" x14ac:dyDescent="0.25">
      <c r="A80" s="40"/>
      <c r="B80" s="40"/>
      <c r="C80" s="40"/>
      <c r="D80" s="40"/>
      <c r="E80" s="40"/>
      <c r="F80" s="40"/>
      <c r="G80" s="40"/>
      <c r="H80" s="40"/>
      <c r="I80" s="40"/>
      <c r="J80" s="40"/>
      <c r="K80" s="40"/>
      <c r="L80" s="40"/>
      <c r="M80" s="40"/>
    </row>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sheetData>
  <sheetProtection algorithmName="SHA-512" hashValue="yJ+5z2FA0Al6COcDomOsTpyU8Bf3Kpv1StjJLGYb7zUIhKpgW6bTlFdSECLBwlFhTSgfLjtwxhoZ0TmtJAinNw==" saltValue="g976XpiCM2LybkHavhkDrQ==" spinCount="100000" sheet="1" objects="1" scenarios="1" formatCells="0" formatColumns="0" formatRows="0" selectLockedCells="1" selectUnlockedCells="1"/>
  <mergeCells count="5">
    <mergeCell ref="C4:C5"/>
    <mergeCell ref="D4:D5"/>
    <mergeCell ref="E4:E5"/>
    <mergeCell ref="F4:F5"/>
    <mergeCell ref="B1:F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11BFA-5EA1-400F-A01C-38FA97D6F00A}">
  <sheetPr codeName="Ark9"/>
  <dimension ref="A1:M82"/>
  <sheetViews>
    <sheetView showGridLines="0" showRowColHeaders="0" zoomScale="92" workbookViewId="0">
      <selection activeCell="F7" sqref="F7"/>
    </sheetView>
  </sheetViews>
  <sheetFormatPr defaultColWidth="0" defaultRowHeight="15" customHeight="1" zeroHeight="1" x14ac:dyDescent="0.25"/>
  <cols>
    <col min="1" max="1" width="8.85546875" customWidth="1"/>
    <col min="2" max="2" width="10.85546875" customWidth="1"/>
    <col min="3" max="4" width="15.42578125" bestFit="1" customWidth="1"/>
    <col min="5" max="5" width="14.7109375" bestFit="1" customWidth="1"/>
    <col min="6" max="6" width="10.140625" bestFit="1" customWidth="1"/>
    <col min="7" max="7" width="12.7109375" bestFit="1" customWidth="1"/>
    <col min="8" max="10" width="8.85546875" customWidth="1"/>
    <col min="11" max="13" width="0" hidden="1" customWidth="1"/>
    <col min="14" max="16384" width="8.85546875" hidden="1"/>
  </cols>
  <sheetData>
    <row r="1" spans="1:13" x14ac:dyDescent="0.25">
      <c r="A1" s="40"/>
      <c r="B1" s="40"/>
      <c r="C1" s="40"/>
      <c r="D1" s="40"/>
      <c r="E1" s="40"/>
      <c r="F1" s="40"/>
      <c r="G1" s="40"/>
      <c r="H1" s="40"/>
      <c r="I1" s="40"/>
      <c r="J1" s="40"/>
      <c r="K1" s="40"/>
      <c r="L1" s="40"/>
      <c r="M1" s="40"/>
    </row>
    <row r="2" spans="1:13" ht="21" x14ac:dyDescent="0.25">
      <c r="A2" s="40"/>
      <c r="B2" s="185" t="s">
        <v>223</v>
      </c>
      <c r="C2" s="185"/>
      <c r="D2" s="185"/>
      <c r="E2" s="185"/>
      <c r="F2" s="185"/>
      <c r="G2" s="185"/>
      <c r="H2" s="185"/>
      <c r="I2" s="185"/>
      <c r="J2" s="40"/>
      <c r="K2" s="40"/>
      <c r="L2" s="40"/>
      <c r="M2" s="40"/>
    </row>
    <row r="3" spans="1:13" ht="15.75" thickBot="1" x14ac:dyDescent="0.3">
      <c r="A3" s="40"/>
      <c r="B3" s="40"/>
      <c r="C3" s="40"/>
      <c r="D3" s="40"/>
      <c r="E3" s="40"/>
      <c r="F3" s="40"/>
      <c r="G3" s="40"/>
      <c r="H3" s="40"/>
      <c r="I3" s="40"/>
      <c r="J3" s="40"/>
      <c r="K3" s="40"/>
      <c r="L3" s="40"/>
      <c r="M3" s="40"/>
    </row>
    <row r="4" spans="1:13" ht="19.899999999999999" customHeight="1" x14ac:dyDescent="0.25">
      <c r="A4" s="40"/>
      <c r="B4" s="95" t="s">
        <v>127</v>
      </c>
      <c r="C4" s="186" t="s">
        <v>207</v>
      </c>
      <c r="D4" s="186" t="s">
        <v>208</v>
      </c>
      <c r="E4" s="186" t="s">
        <v>209</v>
      </c>
      <c r="F4" s="186" t="s">
        <v>210</v>
      </c>
      <c r="G4" s="186" t="s">
        <v>211</v>
      </c>
      <c r="H4" s="186"/>
      <c r="I4" s="186"/>
      <c r="J4" s="40"/>
      <c r="K4" s="40"/>
      <c r="L4" s="40"/>
      <c r="M4" s="40"/>
    </row>
    <row r="5" spans="1:13" ht="16.5" thickBot="1" x14ac:dyDescent="0.3">
      <c r="A5" s="40"/>
      <c r="B5" s="110" t="s">
        <v>206</v>
      </c>
      <c r="C5" s="187"/>
      <c r="D5" s="187"/>
      <c r="E5" s="187"/>
      <c r="F5" s="187"/>
      <c r="G5" s="187"/>
      <c r="H5" s="187"/>
      <c r="I5" s="187"/>
      <c r="J5" s="40"/>
      <c r="K5" s="40"/>
      <c r="L5" s="40"/>
      <c r="M5" s="40"/>
    </row>
    <row r="6" spans="1:13" ht="15" customHeight="1" thickBot="1" x14ac:dyDescent="0.3">
      <c r="A6" s="40"/>
      <c r="B6" s="96" t="s">
        <v>145</v>
      </c>
      <c r="C6" s="97" t="s">
        <v>230</v>
      </c>
      <c r="D6" s="97" t="s">
        <v>230</v>
      </c>
      <c r="E6" s="99"/>
      <c r="F6" s="99"/>
      <c r="G6" s="99"/>
      <c r="H6" s="99"/>
      <c r="I6" s="99"/>
      <c r="J6" s="40"/>
      <c r="K6" s="40"/>
      <c r="L6" s="40"/>
      <c r="M6" s="40"/>
    </row>
    <row r="7" spans="1:13" ht="15" customHeight="1" thickBot="1" x14ac:dyDescent="0.3">
      <c r="A7" s="40"/>
      <c r="B7" s="96" t="s">
        <v>147</v>
      </c>
      <c r="C7" s="97" t="s">
        <v>230</v>
      </c>
      <c r="D7" s="97" t="s">
        <v>230</v>
      </c>
      <c r="E7" s="99"/>
      <c r="F7" s="99"/>
      <c r="G7" s="99"/>
      <c r="H7" s="99"/>
      <c r="I7" s="99"/>
      <c r="J7" s="40"/>
      <c r="K7" s="40"/>
      <c r="L7" s="40"/>
      <c r="M7" s="40"/>
    </row>
    <row r="8" spans="1:13" ht="15" customHeight="1" thickBot="1" x14ac:dyDescent="0.3">
      <c r="A8" s="40"/>
      <c r="B8" s="96" t="s">
        <v>239</v>
      </c>
      <c r="C8" s="97"/>
      <c r="D8" s="97"/>
      <c r="E8" s="99"/>
      <c r="F8" s="99"/>
      <c r="G8" s="97" t="s">
        <v>230</v>
      </c>
      <c r="H8" s="99"/>
      <c r="I8" s="99"/>
      <c r="J8" s="40"/>
      <c r="K8" s="40"/>
      <c r="L8" s="40"/>
      <c r="M8" s="40"/>
    </row>
    <row r="9" spans="1:13" ht="15" customHeight="1" thickBot="1" x14ac:dyDescent="0.3">
      <c r="A9" s="40"/>
      <c r="B9" s="96" t="s">
        <v>149</v>
      </c>
      <c r="C9" s="97" t="s">
        <v>230</v>
      </c>
      <c r="D9" s="97" t="s">
        <v>230</v>
      </c>
      <c r="E9" s="99"/>
      <c r="F9" s="99"/>
      <c r="G9" s="99"/>
      <c r="H9" s="99"/>
      <c r="I9" s="99"/>
      <c r="J9" s="40"/>
      <c r="K9" s="40"/>
      <c r="L9" s="40"/>
      <c r="M9" s="40"/>
    </row>
    <row r="10" spans="1:13" ht="15" customHeight="1" thickBot="1" x14ac:dyDescent="0.3">
      <c r="A10" s="40"/>
      <c r="B10" s="96" t="s">
        <v>240</v>
      </c>
      <c r="C10" s="97"/>
      <c r="D10" s="97"/>
      <c r="E10" s="99"/>
      <c r="F10" s="99"/>
      <c r="G10" s="97" t="s">
        <v>230</v>
      </c>
      <c r="H10" s="99"/>
      <c r="I10" s="99"/>
      <c r="J10" s="40"/>
      <c r="K10" s="40"/>
      <c r="L10" s="40"/>
      <c r="M10" s="40"/>
    </row>
    <row r="11" spans="1:13" ht="15" customHeight="1" thickBot="1" x14ac:dyDescent="0.3">
      <c r="A11" s="40"/>
      <c r="B11" s="96" t="s">
        <v>152</v>
      </c>
      <c r="C11" s="97" t="s">
        <v>230</v>
      </c>
      <c r="D11" s="97" t="s">
        <v>230</v>
      </c>
      <c r="E11" s="99"/>
      <c r="F11" s="99"/>
      <c r="G11" s="99"/>
      <c r="H11" s="99"/>
      <c r="I11" s="99"/>
      <c r="J11" s="40"/>
      <c r="K11" s="40"/>
      <c r="L11" s="40"/>
      <c r="M11" s="40"/>
    </row>
    <row r="12" spans="1:13" ht="15" customHeight="1" thickBot="1" x14ac:dyDescent="0.3">
      <c r="A12" s="40"/>
      <c r="B12" s="96" t="s">
        <v>156</v>
      </c>
      <c r="C12" s="99"/>
      <c r="D12" s="99"/>
      <c r="E12" s="99"/>
      <c r="F12" s="99"/>
      <c r="G12" s="97" t="s">
        <v>230</v>
      </c>
      <c r="H12" s="99"/>
      <c r="I12" s="99"/>
      <c r="J12" s="40"/>
      <c r="K12" s="40"/>
      <c r="L12" s="40"/>
      <c r="M12" s="40"/>
    </row>
    <row r="13" spans="1:13" ht="15" customHeight="1" thickBot="1" x14ac:dyDescent="0.3">
      <c r="A13" s="40"/>
      <c r="B13" s="96" t="s">
        <v>158</v>
      </c>
      <c r="C13" s="97"/>
      <c r="D13" s="97" t="s">
        <v>230</v>
      </c>
      <c r="E13" s="97" t="s">
        <v>230</v>
      </c>
      <c r="F13" s="99"/>
      <c r="G13" s="99"/>
      <c r="H13" s="99"/>
      <c r="I13" s="99"/>
      <c r="J13" s="40"/>
      <c r="K13" s="40"/>
      <c r="L13" s="40"/>
      <c r="M13" s="40"/>
    </row>
    <row r="14" spans="1:13" ht="15" customHeight="1" thickBot="1" x14ac:dyDescent="0.3">
      <c r="A14" s="40"/>
      <c r="B14" s="96" t="s">
        <v>159</v>
      </c>
      <c r="C14" s="99"/>
      <c r="D14" s="99"/>
      <c r="E14" s="99"/>
      <c r="F14" s="99"/>
      <c r="G14" s="97" t="s">
        <v>230</v>
      </c>
      <c r="H14" s="99"/>
      <c r="I14" s="99"/>
      <c r="J14" s="40"/>
      <c r="K14" s="40"/>
      <c r="L14" s="40"/>
      <c r="M14" s="40"/>
    </row>
    <row r="15" spans="1:13" ht="15" customHeight="1" thickBot="1" x14ac:dyDescent="0.3">
      <c r="A15" s="40"/>
      <c r="B15" s="96" t="s">
        <v>162</v>
      </c>
      <c r="C15" s="99"/>
      <c r="D15" s="99"/>
      <c r="E15" s="97" t="s">
        <v>230</v>
      </c>
      <c r="F15" s="99"/>
      <c r="G15" s="99"/>
      <c r="H15" s="99"/>
      <c r="I15" s="99"/>
      <c r="J15" s="40"/>
      <c r="K15" s="40"/>
      <c r="L15" s="40"/>
      <c r="M15" s="40"/>
    </row>
    <row r="16" spans="1:13" ht="15" customHeight="1" thickBot="1" x14ac:dyDescent="0.3">
      <c r="A16" s="40"/>
      <c r="B16" s="96" t="s">
        <v>163</v>
      </c>
      <c r="C16" s="99"/>
      <c r="D16" s="99"/>
      <c r="E16" s="99"/>
      <c r="F16" s="99"/>
      <c r="G16" s="97" t="s">
        <v>230</v>
      </c>
      <c r="H16" s="99"/>
      <c r="I16" s="99"/>
      <c r="J16" s="40"/>
      <c r="K16" s="40"/>
      <c r="L16" s="40"/>
      <c r="M16" s="40"/>
    </row>
    <row r="17" spans="1:13" ht="15" customHeight="1" thickBot="1" x14ac:dyDescent="0.3">
      <c r="A17" s="40"/>
      <c r="B17" s="96" t="s">
        <v>167</v>
      </c>
      <c r="C17" s="97"/>
      <c r="D17" s="97" t="s">
        <v>230</v>
      </c>
      <c r="E17" s="97" t="s">
        <v>230</v>
      </c>
      <c r="F17" s="99"/>
      <c r="G17" s="99"/>
      <c r="H17" s="99"/>
      <c r="I17" s="99"/>
      <c r="J17" s="40"/>
      <c r="K17" s="40"/>
      <c r="L17" s="40"/>
      <c r="M17" s="40"/>
    </row>
    <row r="18" spans="1:13" ht="15" customHeight="1" thickBot="1" x14ac:dyDescent="0.3">
      <c r="A18" s="40"/>
      <c r="B18" s="96" t="s">
        <v>169</v>
      </c>
      <c r="C18" s="99"/>
      <c r="D18" s="99"/>
      <c r="E18" s="99"/>
      <c r="F18" s="99"/>
      <c r="G18" s="97" t="s">
        <v>230</v>
      </c>
      <c r="H18" s="99"/>
      <c r="I18" s="99"/>
      <c r="J18" s="40"/>
      <c r="K18" s="40"/>
      <c r="L18" s="40"/>
      <c r="M18" s="40"/>
    </row>
    <row r="19" spans="1:13" ht="15" customHeight="1" thickBot="1" x14ac:dyDescent="0.3">
      <c r="A19" s="40"/>
      <c r="B19" s="96" t="s">
        <v>171</v>
      </c>
      <c r="C19" s="99"/>
      <c r="D19" s="99"/>
      <c r="E19" s="97" t="s">
        <v>230</v>
      </c>
      <c r="F19" s="99"/>
      <c r="G19" s="99"/>
      <c r="H19" s="99"/>
      <c r="I19" s="99"/>
      <c r="J19" s="40"/>
      <c r="K19" s="40"/>
      <c r="L19" s="40"/>
      <c r="M19" s="40"/>
    </row>
    <row r="20" spans="1:13" ht="15" customHeight="1" thickBot="1" x14ac:dyDescent="0.3">
      <c r="A20" s="40"/>
      <c r="B20" s="96" t="s">
        <v>175</v>
      </c>
      <c r="C20" s="99"/>
      <c r="D20" s="97" t="s">
        <v>230</v>
      </c>
      <c r="E20" s="97" t="s">
        <v>230</v>
      </c>
      <c r="F20" s="99"/>
      <c r="G20" s="99"/>
      <c r="H20" s="99"/>
      <c r="I20" s="99"/>
      <c r="J20" s="40"/>
      <c r="K20" s="40"/>
      <c r="L20" s="40"/>
      <c r="M20" s="40"/>
    </row>
    <row r="21" spans="1:13" ht="15" customHeight="1" thickBot="1" x14ac:dyDescent="0.3">
      <c r="A21" s="40"/>
      <c r="B21" s="96" t="s">
        <v>212</v>
      </c>
      <c r="C21" s="99"/>
      <c r="D21" s="99"/>
      <c r="E21" s="97" t="s">
        <v>230</v>
      </c>
      <c r="F21" s="99"/>
      <c r="G21" s="99"/>
      <c r="H21" s="99"/>
      <c r="I21" s="99"/>
      <c r="J21" s="40"/>
      <c r="K21" s="40"/>
      <c r="L21" s="40"/>
      <c r="M21" s="40"/>
    </row>
    <row r="22" spans="1:13" ht="15" customHeight="1" thickBot="1" x14ac:dyDescent="0.3">
      <c r="A22" s="40"/>
      <c r="B22" s="96" t="s">
        <v>179</v>
      </c>
      <c r="C22" s="99"/>
      <c r="D22" s="99"/>
      <c r="E22" s="99"/>
      <c r="F22" s="99"/>
      <c r="G22" s="97" t="s">
        <v>230</v>
      </c>
      <c r="H22" s="99"/>
      <c r="I22" s="99"/>
      <c r="J22" s="40"/>
      <c r="K22" s="40"/>
      <c r="L22" s="40"/>
      <c r="M22" s="40"/>
    </row>
    <row r="23" spans="1:13" ht="15" customHeight="1" thickBot="1" x14ac:dyDescent="0.3">
      <c r="A23" s="40"/>
      <c r="B23" s="96" t="s">
        <v>213</v>
      </c>
      <c r="C23" s="99"/>
      <c r="D23" s="97" t="s">
        <v>230</v>
      </c>
      <c r="E23" s="97" t="s">
        <v>230</v>
      </c>
      <c r="F23" s="99"/>
      <c r="G23" s="99"/>
      <c r="H23" s="99"/>
      <c r="I23" s="99"/>
      <c r="J23" s="40"/>
      <c r="K23" s="40"/>
      <c r="L23" s="40"/>
      <c r="M23" s="40"/>
    </row>
    <row r="24" spans="1:13" ht="15" customHeight="1" thickBot="1" x14ac:dyDescent="0.3">
      <c r="A24" s="40"/>
      <c r="B24" s="96" t="s">
        <v>214</v>
      </c>
      <c r="C24" s="100"/>
      <c r="D24" s="100"/>
      <c r="E24" s="100"/>
      <c r="F24" s="98" t="s">
        <v>230</v>
      </c>
      <c r="G24" s="100"/>
      <c r="H24" s="99"/>
      <c r="I24" s="99"/>
      <c r="J24" s="40"/>
      <c r="K24" s="40"/>
      <c r="L24" s="40"/>
      <c r="M24" s="40"/>
    </row>
    <row r="25" spans="1:13" ht="15" customHeight="1" thickBot="1" x14ac:dyDescent="0.3">
      <c r="A25" s="40"/>
      <c r="B25" s="96" t="s">
        <v>215</v>
      </c>
      <c r="C25" s="100"/>
      <c r="D25" s="100"/>
      <c r="E25" s="100"/>
      <c r="F25" s="98" t="s">
        <v>230</v>
      </c>
      <c r="G25" s="100"/>
      <c r="H25" s="99"/>
      <c r="I25" s="99"/>
      <c r="J25" s="40"/>
      <c r="K25" s="40"/>
      <c r="L25" s="40"/>
      <c r="M25" s="40"/>
    </row>
    <row r="26" spans="1:13" ht="15" customHeight="1" thickBot="1" x14ac:dyDescent="0.3">
      <c r="A26" s="40"/>
      <c r="B26" s="96" t="s">
        <v>216</v>
      </c>
      <c r="C26" s="100"/>
      <c r="D26" s="100"/>
      <c r="E26" s="100"/>
      <c r="F26" s="98" t="s">
        <v>230</v>
      </c>
      <c r="G26" s="100"/>
      <c r="H26" s="99"/>
      <c r="I26" s="99"/>
      <c r="J26" s="40"/>
      <c r="K26" s="40"/>
      <c r="L26" s="40"/>
      <c r="M26" s="40"/>
    </row>
    <row r="27" spans="1:13" ht="15" customHeight="1" thickBot="1" x14ac:dyDescent="0.3">
      <c r="A27" s="40"/>
      <c r="B27" s="96" t="s">
        <v>217</v>
      </c>
      <c r="C27" s="100"/>
      <c r="D27" s="100"/>
      <c r="E27" s="100"/>
      <c r="F27" s="98" t="s">
        <v>230</v>
      </c>
      <c r="G27" s="100"/>
      <c r="H27" s="99"/>
      <c r="I27" s="99"/>
      <c r="J27" s="40"/>
      <c r="K27" s="40"/>
      <c r="L27" s="40"/>
      <c r="M27" s="40"/>
    </row>
    <row r="28" spans="1:13" ht="15" customHeight="1" thickBot="1" x14ac:dyDescent="0.3">
      <c r="A28" s="40"/>
      <c r="B28" s="96" t="s">
        <v>218</v>
      </c>
      <c r="C28" s="100"/>
      <c r="D28" s="100"/>
      <c r="E28" s="100"/>
      <c r="F28" s="98" t="s">
        <v>230</v>
      </c>
      <c r="G28" s="100"/>
      <c r="H28" s="99"/>
      <c r="I28" s="99"/>
      <c r="J28" s="40"/>
      <c r="K28" s="40"/>
      <c r="L28" s="40"/>
      <c r="M28" s="40"/>
    </row>
    <row r="29" spans="1:13" ht="15" customHeight="1" thickBot="1" x14ac:dyDescent="0.3">
      <c r="A29" s="40"/>
      <c r="B29" s="96" t="s">
        <v>219</v>
      </c>
      <c r="C29" s="100"/>
      <c r="D29" s="100"/>
      <c r="E29" s="100"/>
      <c r="F29" s="98" t="s">
        <v>230</v>
      </c>
      <c r="G29" s="100"/>
      <c r="H29" s="99"/>
      <c r="I29" s="99"/>
      <c r="J29" s="40"/>
      <c r="K29" s="40"/>
      <c r="L29" s="40"/>
      <c r="M29" s="40"/>
    </row>
    <row r="30" spans="1:13" ht="15" customHeight="1" thickBot="1" x14ac:dyDescent="0.3">
      <c r="A30" s="40"/>
      <c r="B30" s="96" t="s">
        <v>220</v>
      </c>
      <c r="C30" s="100"/>
      <c r="D30" s="100"/>
      <c r="E30" s="100"/>
      <c r="F30" s="98" t="s">
        <v>230</v>
      </c>
      <c r="G30" s="100"/>
      <c r="H30" s="99"/>
      <c r="I30" s="99"/>
      <c r="J30" s="40"/>
      <c r="K30" s="40"/>
      <c r="L30" s="40"/>
      <c r="M30" s="40"/>
    </row>
    <row r="31" spans="1:13" ht="15" customHeight="1" thickBot="1" x14ac:dyDescent="0.3">
      <c r="A31" s="40"/>
      <c r="B31" s="96" t="s">
        <v>221</v>
      </c>
      <c r="C31" s="100"/>
      <c r="D31" s="100"/>
      <c r="E31" s="100"/>
      <c r="F31" s="98" t="s">
        <v>230</v>
      </c>
      <c r="G31" s="100"/>
      <c r="H31" s="99"/>
      <c r="I31" s="99"/>
      <c r="J31" s="40"/>
      <c r="K31" s="40"/>
      <c r="L31" s="40"/>
      <c r="M31" s="40"/>
    </row>
    <row r="32" spans="1:13" ht="15" customHeight="1" thickBot="1" x14ac:dyDescent="0.3">
      <c r="A32" s="40"/>
      <c r="B32" s="96" t="s">
        <v>222</v>
      </c>
      <c r="C32" s="100"/>
      <c r="D32" s="100"/>
      <c r="E32" s="98" t="s">
        <v>230</v>
      </c>
      <c r="F32" s="100"/>
      <c r="G32" s="100"/>
      <c r="H32" s="99"/>
      <c r="I32" s="99"/>
      <c r="J32" s="40"/>
      <c r="K32" s="40"/>
      <c r="L32" s="40"/>
      <c r="M32" s="40"/>
    </row>
    <row r="33" spans="1:13" ht="15" customHeight="1" x14ac:dyDescent="0.25">
      <c r="A33" s="40"/>
      <c r="B33" s="40"/>
      <c r="C33" s="40"/>
      <c r="D33" s="40"/>
      <c r="E33" s="40"/>
      <c r="F33" s="40"/>
      <c r="G33" s="40"/>
      <c r="H33" s="40"/>
      <c r="I33" s="40"/>
      <c r="J33" s="40"/>
      <c r="K33" s="40"/>
      <c r="L33" s="40"/>
      <c r="M33" s="40"/>
    </row>
    <row r="34" spans="1:13" ht="15" hidden="1" customHeight="1" x14ac:dyDescent="0.25">
      <c r="A34" s="40"/>
      <c r="B34" s="40"/>
      <c r="C34" s="40"/>
      <c r="D34" s="40"/>
      <c r="E34" s="40"/>
      <c r="F34" s="40"/>
      <c r="G34" s="40"/>
      <c r="H34" s="40"/>
      <c r="I34" s="40"/>
      <c r="J34" s="40"/>
      <c r="K34" s="40"/>
      <c r="L34" s="40"/>
      <c r="M34" s="40"/>
    </row>
    <row r="35" spans="1:13" ht="15" hidden="1" customHeight="1" x14ac:dyDescent="0.25">
      <c r="A35" s="40"/>
      <c r="B35" s="40"/>
      <c r="C35" s="40"/>
      <c r="D35" s="40"/>
      <c r="E35" s="40"/>
      <c r="F35" s="40"/>
      <c r="G35" s="40"/>
      <c r="H35" s="40"/>
      <c r="I35" s="40"/>
      <c r="J35" s="40"/>
      <c r="K35" s="40"/>
      <c r="L35" s="40"/>
      <c r="M35" s="40"/>
    </row>
    <row r="36" spans="1:13" ht="15" hidden="1" customHeight="1" x14ac:dyDescent="0.25">
      <c r="A36" s="40"/>
      <c r="B36" s="40"/>
      <c r="C36" s="40"/>
      <c r="D36" s="40"/>
      <c r="E36" s="40"/>
      <c r="F36" s="40"/>
      <c r="G36" s="40"/>
      <c r="H36" s="40"/>
      <c r="I36" s="40"/>
      <c r="J36" s="40"/>
      <c r="K36" s="40"/>
      <c r="L36" s="40"/>
      <c r="M36" s="40"/>
    </row>
    <row r="37" spans="1:13" ht="15" hidden="1" customHeight="1" x14ac:dyDescent="0.25">
      <c r="A37" s="40"/>
      <c r="B37" s="40"/>
      <c r="C37" s="40"/>
      <c r="D37" s="40"/>
      <c r="E37" s="40"/>
      <c r="F37" s="40"/>
      <c r="G37" s="40"/>
      <c r="H37" s="40"/>
      <c r="I37" s="40"/>
      <c r="J37" s="40"/>
      <c r="K37" s="40"/>
      <c r="L37" s="40"/>
      <c r="M37" s="40"/>
    </row>
    <row r="38" spans="1:13" ht="15" hidden="1" customHeight="1" x14ac:dyDescent="0.25">
      <c r="A38" s="40"/>
      <c r="B38" s="40"/>
      <c r="C38" s="40"/>
      <c r="D38" s="40"/>
      <c r="E38" s="40"/>
      <c r="F38" s="40"/>
      <c r="G38" s="40"/>
      <c r="H38" s="40"/>
      <c r="I38" s="40"/>
      <c r="J38" s="40"/>
      <c r="K38" s="40"/>
      <c r="L38" s="40"/>
      <c r="M38" s="40"/>
    </row>
    <row r="39" spans="1:13" ht="15" hidden="1" customHeight="1" x14ac:dyDescent="0.25">
      <c r="A39" s="40"/>
      <c r="B39" s="40"/>
      <c r="C39" s="40"/>
      <c r="D39" s="40"/>
      <c r="E39" s="40"/>
      <c r="F39" s="40"/>
      <c r="G39" s="40"/>
      <c r="H39" s="40"/>
      <c r="I39" s="40"/>
      <c r="J39" s="40"/>
      <c r="K39" s="40"/>
      <c r="L39" s="40"/>
      <c r="M39" s="40"/>
    </row>
    <row r="40" spans="1:13" ht="15" hidden="1" customHeight="1" x14ac:dyDescent="0.25">
      <c r="A40" s="40"/>
      <c r="B40" s="40"/>
      <c r="C40" s="40"/>
      <c r="D40" s="40"/>
      <c r="E40" s="40"/>
      <c r="F40" s="40"/>
      <c r="G40" s="40"/>
      <c r="H40" s="40"/>
      <c r="I40" s="40"/>
      <c r="J40" s="40"/>
      <c r="K40" s="40"/>
      <c r="L40" s="40"/>
      <c r="M40" s="40"/>
    </row>
    <row r="41" spans="1:13" ht="15" hidden="1" customHeight="1" x14ac:dyDescent="0.25">
      <c r="A41" s="40"/>
      <c r="B41" s="40"/>
      <c r="C41" s="40"/>
      <c r="D41" s="40"/>
      <c r="E41" s="40"/>
      <c r="F41" s="40"/>
      <c r="G41" s="40"/>
      <c r="H41" s="40"/>
      <c r="I41" s="40"/>
      <c r="J41" s="40"/>
      <c r="K41" s="40"/>
      <c r="L41" s="40"/>
      <c r="M41" s="40"/>
    </row>
    <row r="42" spans="1:13" ht="15" hidden="1" customHeight="1" x14ac:dyDescent="0.25">
      <c r="A42" s="40"/>
      <c r="B42" s="40"/>
      <c r="C42" s="40"/>
      <c r="D42" s="40"/>
      <c r="E42" s="40"/>
      <c r="F42" s="40"/>
      <c r="G42" s="40"/>
      <c r="H42" s="40"/>
      <c r="I42" s="40"/>
      <c r="J42" s="40"/>
      <c r="K42" s="40"/>
      <c r="L42" s="40"/>
      <c r="M42" s="40"/>
    </row>
    <row r="43" spans="1:13" ht="15" hidden="1" customHeight="1" x14ac:dyDescent="0.25">
      <c r="A43" s="40"/>
      <c r="B43" s="40"/>
      <c r="C43" s="40"/>
      <c r="D43" s="40"/>
      <c r="E43" s="40"/>
      <c r="F43" s="40"/>
      <c r="G43" s="40"/>
      <c r="H43" s="40"/>
      <c r="I43" s="40"/>
      <c r="J43" s="40"/>
      <c r="K43" s="40"/>
      <c r="L43" s="40"/>
      <c r="M43" s="40"/>
    </row>
    <row r="44" spans="1:13" ht="15" hidden="1" customHeight="1" x14ac:dyDescent="0.25">
      <c r="A44" s="40"/>
      <c r="B44" s="40"/>
      <c r="C44" s="40"/>
      <c r="D44" s="40"/>
      <c r="E44" s="40"/>
      <c r="F44" s="40"/>
      <c r="G44" s="40"/>
      <c r="H44" s="40"/>
      <c r="I44" s="40"/>
      <c r="J44" s="40"/>
      <c r="K44" s="40"/>
      <c r="L44" s="40"/>
      <c r="M44" s="40"/>
    </row>
    <row r="45" spans="1:13" ht="15" hidden="1" customHeight="1" x14ac:dyDescent="0.25">
      <c r="A45" s="40"/>
      <c r="B45" s="40"/>
      <c r="C45" s="40"/>
      <c r="D45" s="40"/>
      <c r="E45" s="40"/>
      <c r="F45" s="40"/>
      <c r="G45" s="40"/>
      <c r="H45" s="40"/>
      <c r="I45" s="40"/>
      <c r="J45" s="40"/>
      <c r="K45" s="40"/>
      <c r="L45" s="40"/>
      <c r="M45" s="40"/>
    </row>
    <row r="46" spans="1:13" ht="15" hidden="1" customHeight="1" x14ac:dyDescent="0.25">
      <c r="A46" s="40"/>
      <c r="B46" s="40"/>
      <c r="C46" s="40"/>
      <c r="D46" s="40"/>
      <c r="E46" s="40"/>
      <c r="F46" s="40"/>
      <c r="G46" s="40"/>
      <c r="H46" s="40"/>
      <c r="I46" s="40"/>
      <c r="J46" s="40"/>
      <c r="K46" s="40"/>
      <c r="L46" s="40"/>
      <c r="M46" s="40"/>
    </row>
    <row r="47" spans="1:13" ht="15" hidden="1" customHeight="1" x14ac:dyDescent="0.25">
      <c r="A47" s="40"/>
      <c r="B47" s="40"/>
      <c r="C47" s="40"/>
      <c r="D47" s="40"/>
      <c r="E47" s="40"/>
      <c r="F47" s="40"/>
      <c r="G47" s="40"/>
      <c r="H47" s="40"/>
      <c r="I47" s="40"/>
      <c r="J47" s="40"/>
      <c r="K47" s="40"/>
      <c r="L47" s="40"/>
      <c r="M47" s="40"/>
    </row>
    <row r="48" spans="1:13" ht="15" hidden="1" customHeight="1" x14ac:dyDescent="0.25">
      <c r="A48" s="40"/>
      <c r="B48" s="40"/>
      <c r="C48" s="40"/>
      <c r="D48" s="40"/>
      <c r="E48" s="40"/>
      <c r="F48" s="40"/>
      <c r="G48" s="40"/>
      <c r="H48" s="40"/>
      <c r="I48" s="40"/>
      <c r="J48" s="40"/>
      <c r="K48" s="40"/>
      <c r="L48" s="40"/>
      <c r="M48" s="40"/>
    </row>
    <row r="49" spans="1:13" ht="15" hidden="1" customHeight="1" x14ac:dyDescent="0.25">
      <c r="A49" s="40"/>
      <c r="B49" s="40"/>
      <c r="C49" s="40"/>
      <c r="D49" s="40"/>
      <c r="E49" s="40"/>
      <c r="F49" s="40"/>
      <c r="G49" s="40"/>
      <c r="H49" s="40"/>
      <c r="I49" s="40"/>
      <c r="J49" s="40"/>
      <c r="K49" s="40"/>
      <c r="L49" s="40"/>
      <c r="M49" s="40"/>
    </row>
    <row r="50" spans="1:13" ht="15" hidden="1" customHeight="1" x14ac:dyDescent="0.25">
      <c r="A50" s="40"/>
      <c r="B50" s="40"/>
      <c r="C50" s="40"/>
      <c r="D50" s="40"/>
      <c r="E50" s="40"/>
      <c r="F50" s="40"/>
      <c r="G50" s="40"/>
      <c r="H50" s="40"/>
      <c r="I50" s="40"/>
      <c r="J50" s="40"/>
      <c r="K50" s="40"/>
      <c r="L50" s="40"/>
      <c r="M50" s="40"/>
    </row>
    <row r="51" spans="1:13" ht="15" hidden="1" customHeight="1" x14ac:dyDescent="0.25">
      <c r="A51" s="40"/>
      <c r="B51" s="40"/>
      <c r="C51" s="40"/>
      <c r="D51" s="40"/>
      <c r="E51" s="40"/>
      <c r="F51" s="40"/>
      <c r="G51" s="40"/>
      <c r="H51" s="40"/>
      <c r="I51" s="40"/>
      <c r="J51" s="40"/>
      <c r="K51" s="40"/>
      <c r="L51" s="40"/>
      <c r="M51" s="40"/>
    </row>
    <row r="52" spans="1:13" ht="15" hidden="1" customHeight="1" x14ac:dyDescent="0.25">
      <c r="A52" s="40"/>
      <c r="B52" s="40"/>
      <c r="C52" s="40"/>
      <c r="D52" s="40"/>
      <c r="E52" s="40"/>
      <c r="F52" s="40"/>
      <c r="G52" s="40"/>
      <c r="H52" s="40"/>
      <c r="I52" s="40"/>
      <c r="J52" s="40"/>
      <c r="K52" s="40"/>
      <c r="L52" s="40"/>
      <c r="M52" s="40"/>
    </row>
    <row r="53" spans="1:13" ht="15" hidden="1" customHeight="1" x14ac:dyDescent="0.25">
      <c r="A53" s="40"/>
      <c r="B53" s="40"/>
      <c r="C53" s="40"/>
      <c r="D53" s="40"/>
      <c r="E53" s="40"/>
      <c r="F53" s="40"/>
      <c r="G53" s="40"/>
      <c r="H53" s="40"/>
      <c r="I53" s="40"/>
      <c r="J53" s="40"/>
      <c r="K53" s="40"/>
      <c r="L53" s="40"/>
      <c r="M53" s="40"/>
    </row>
    <row r="54" spans="1:13" ht="15" hidden="1" customHeight="1" x14ac:dyDescent="0.25">
      <c r="A54" s="40"/>
      <c r="B54" s="40"/>
      <c r="C54" s="40"/>
      <c r="D54" s="40"/>
      <c r="E54" s="40"/>
      <c r="F54" s="40"/>
      <c r="G54" s="40"/>
      <c r="H54" s="40"/>
      <c r="I54" s="40"/>
      <c r="J54" s="40"/>
      <c r="K54" s="40"/>
      <c r="L54" s="40"/>
      <c r="M54" s="40"/>
    </row>
    <row r="55" spans="1:13" ht="15" hidden="1" customHeight="1" x14ac:dyDescent="0.25">
      <c r="A55" s="40"/>
      <c r="B55" s="40"/>
      <c r="C55" s="40"/>
      <c r="D55" s="40"/>
      <c r="E55" s="40"/>
      <c r="F55" s="40"/>
      <c r="G55" s="40"/>
      <c r="H55" s="40"/>
      <c r="I55" s="40"/>
      <c r="J55" s="40"/>
      <c r="K55" s="40"/>
      <c r="L55" s="40"/>
      <c r="M55" s="40"/>
    </row>
    <row r="56" spans="1:13" ht="15" hidden="1" customHeight="1" x14ac:dyDescent="0.25">
      <c r="A56" s="40"/>
      <c r="B56" s="40"/>
      <c r="C56" s="40"/>
      <c r="D56" s="40"/>
      <c r="E56" s="40"/>
      <c r="F56" s="40"/>
      <c r="G56" s="40"/>
      <c r="H56" s="40"/>
      <c r="I56" s="40"/>
      <c r="J56" s="40"/>
      <c r="K56" s="40"/>
      <c r="L56" s="40"/>
      <c r="M56" s="40"/>
    </row>
    <row r="57" spans="1:13" ht="15" hidden="1" customHeight="1" x14ac:dyDescent="0.25">
      <c r="A57" s="40"/>
      <c r="B57" s="40"/>
      <c r="C57" s="40"/>
      <c r="D57" s="40"/>
      <c r="E57" s="40"/>
      <c r="F57" s="40"/>
      <c r="G57" s="40"/>
      <c r="H57" s="40"/>
      <c r="I57" s="40"/>
      <c r="J57" s="40"/>
      <c r="K57" s="40"/>
      <c r="L57" s="40"/>
      <c r="M57" s="40"/>
    </row>
    <row r="58" spans="1:13" ht="15" hidden="1" customHeight="1" x14ac:dyDescent="0.25">
      <c r="A58" s="40"/>
      <c r="B58" s="40"/>
      <c r="C58" s="40"/>
      <c r="D58" s="40"/>
      <c r="E58" s="40"/>
      <c r="F58" s="40"/>
      <c r="G58" s="40"/>
      <c r="H58" s="40"/>
      <c r="I58" s="40"/>
      <c r="J58" s="40"/>
      <c r="K58" s="40"/>
      <c r="L58" s="40"/>
      <c r="M58" s="40"/>
    </row>
    <row r="59" spans="1:13" ht="15" hidden="1" customHeight="1" x14ac:dyDescent="0.25">
      <c r="A59" s="40"/>
      <c r="B59" s="40"/>
      <c r="C59" s="40"/>
      <c r="D59" s="40"/>
      <c r="E59" s="40"/>
      <c r="F59" s="40"/>
      <c r="G59" s="40"/>
      <c r="H59" s="40"/>
      <c r="I59" s="40"/>
      <c r="J59" s="40"/>
      <c r="K59" s="40"/>
      <c r="L59" s="40"/>
      <c r="M59" s="40"/>
    </row>
    <row r="60" spans="1:13" ht="15" hidden="1" customHeight="1" x14ac:dyDescent="0.25">
      <c r="A60" s="40"/>
      <c r="B60" s="40"/>
      <c r="C60" s="40"/>
      <c r="D60" s="40"/>
      <c r="E60" s="40"/>
      <c r="F60" s="40"/>
      <c r="G60" s="40"/>
      <c r="H60" s="40"/>
      <c r="I60" s="40"/>
      <c r="J60" s="40"/>
      <c r="K60" s="40"/>
      <c r="L60" s="40"/>
      <c r="M60" s="40"/>
    </row>
    <row r="61" spans="1:13" ht="15" hidden="1" customHeight="1" x14ac:dyDescent="0.25">
      <c r="A61" s="40"/>
      <c r="B61" s="40"/>
      <c r="C61" s="40"/>
      <c r="D61" s="40"/>
      <c r="E61" s="40"/>
      <c r="F61" s="40"/>
      <c r="G61" s="40"/>
      <c r="H61" s="40"/>
      <c r="I61" s="40"/>
      <c r="J61" s="40"/>
      <c r="K61" s="40"/>
      <c r="L61" s="40"/>
      <c r="M61" s="40"/>
    </row>
    <row r="62" spans="1:13" ht="15" hidden="1" customHeight="1" x14ac:dyDescent="0.25">
      <c r="A62" s="40"/>
      <c r="B62" s="40"/>
      <c r="C62" s="40"/>
      <c r="D62" s="40"/>
      <c r="E62" s="40"/>
      <c r="F62" s="40"/>
      <c r="G62" s="40"/>
      <c r="H62" s="40"/>
      <c r="I62" s="40"/>
      <c r="J62" s="40"/>
      <c r="K62" s="40"/>
      <c r="L62" s="40"/>
      <c r="M62" s="40"/>
    </row>
    <row r="63" spans="1:13" ht="15" hidden="1" customHeight="1" x14ac:dyDescent="0.25">
      <c r="A63" s="40"/>
      <c r="B63" s="40"/>
      <c r="C63" s="40"/>
      <c r="D63" s="40"/>
      <c r="E63" s="40"/>
      <c r="F63" s="40"/>
      <c r="G63" s="40"/>
      <c r="H63" s="40"/>
      <c r="I63" s="40"/>
      <c r="J63" s="40"/>
      <c r="K63" s="40"/>
      <c r="L63" s="40"/>
      <c r="M63" s="40"/>
    </row>
    <row r="64" spans="1:13" ht="15" hidden="1" customHeight="1" x14ac:dyDescent="0.25">
      <c r="A64" s="40"/>
      <c r="B64" s="40"/>
      <c r="C64" s="40"/>
      <c r="D64" s="40"/>
      <c r="E64" s="40"/>
      <c r="F64" s="40"/>
      <c r="G64" s="40"/>
      <c r="H64" s="40"/>
      <c r="I64" s="40"/>
      <c r="J64" s="40"/>
      <c r="K64" s="40"/>
      <c r="L64" s="40"/>
      <c r="M64" s="40"/>
    </row>
    <row r="65" spans="1:13" ht="15" hidden="1" customHeight="1" x14ac:dyDescent="0.25">
      <c r="A65" s="40"/>
      <c r="B65" s="40"/>
      <c r="C65" s="40"/>
      <c r="D65" s="40"/>
      <c r="E65" s="40"/>
      <c r="F65" s="40"/>
      <c r="G65" s="40"/>
      <c r="H65" s="40"/>
      <c r="I65" s="40"/>
      <c r="J65" s="40"/>
      <c r="K65" s="40"/>
      <c r="L65" s="40"/>
      <c r="M65" s="40"/>
    </row>
    <row r="66" spans="1:13" ht="15" hidden="1" customHeight="1" x14ac:dyDescent="0.25">
      <c r="A66" s="40"/>
      <c r="B66" s="40"/>
      <c r="C66" s="40"/>
      <c r="D66" s="40"/>
      <c r="E66" s="40"/>
      <c r="F66" s="40"/>
      <c r="G66" s="40"/>
      <c r="H66" s="40"/>
      <c r="I66" s="40"/>
      <c r="J66" s="40"/>
      <c r="K66" s="40"/>
      <c r="L66" s="40"/>
      <c r="M66" s="40"/>
    </row>
    <row r="67" spans="1:13" ht="15" hidden="1" customHeight="1" x14ac:dyDescent="0.25">
      <c r="A67" s="40"/>
      <c r="B67" s="40"/>
      <c r="C67" s="40"/>
      <c r="D67" s="40"/>
      <c r="E67" s="40"/>
      <c r="F67" s="40"/>
      <c r="G67" s="40"/>
      <c r="H67" s="40"/>
      <c r="I67" s="40"/>
      <c r="J67" s="40"/>
      <c r="K67" s="40"/>
      <c r="L67" s="40"/>
      <c r="M67" s="40"/>
    </row>
    <row r="68" spans="1:13" ht="15" hidden="1" customHeight="1" x14ac:dyDescent="0.25">
      <c r="A68" s="40"/>
      <c r="B68" s="40"/>
      <c r="C68" s="40"/>
      <c r="D68" s="40"/>
      <c r="E68" s="40"/>
      <c r="F68" s="40"/>
      <c r="G68" s="40"/>
      <c r="H68" s="40"/>
      <c r="I68" s="40"/>
      <c r="J68" s="40"/>
      <c r="K68" s="40"/>
      <c r="L68" s="40"/>
      <c r="M68" s="40"/>
    </row>
    <row r="69" spans="1:13" ht="15" hidden="1" customHeight="1" x14ac:dyDescent="0.25">
      <c r="A69" s="40"/>
      <c r="B69" s="40"/>
      <c r="C69" s="40"/>
      <c r="D69" s="40"/>
      <c r="E69" s="40"/>
      <c r="F69" s="40"/>
      <c r="G69" s="40"/>
      <c r="H69" s="40"/>
      <c r="I69" s="40"/>
      <c r="J69" s="40"/>
      <c r="K69" s="40"/>
      <c r="L69" s="40"/>
      <c r="M69" s="40"/>
    </row>
    <row r="70" spans="1:13" ht="15" hidden="1" customHeight="1" x14ac:dyDescent="0.25">
      <c r="A70" s="40"/>
      <c r="B70" s="40"/>
      <c r="C70" s="40"/>
      <c r="D70" s="40"/>
      <c r="E70" s="40"/>
      <c r="F70" s="40"/>
      <c r="G70" s="40"/>
      <c r="H70" s="40"/>
      <c r="I70" s="40"/>
      <c r="J70" s="40"/>
      <c r="K70" s="40"/>
      <c r="L70" s="40"/>
      <c r="M70" s="40"/>
    </row>
    <row r="71" spans="1:13" ht="15" hidden="1" customHeight="1" x14ac:dyDescent="0.25">
      <c r="A71" s="40"/>
      <c r="B71" s="40"/>
      <c r="C71" s="40"/>
      <c r="D71" s="40"/>
      <c r="E71" s="40"/>
      <c r="F71" s="40"/>
      <c r="G71" s="40"/>
      <c r="H71" s="40"/>
      <c r="I71" s="40"/>
      <c r="J71" s="40"/>
      <c r="K71" s="40"/>
      <c r="L71" s="40"/>
      <c r="M71" s="40"/>
    </row>
    <row r="72" spans="1:13" ht="15" hidden="1" customHeight="1" x14ac:dyDescent="0.25">
      <c r="A72" s="40"/>
      <c r="B72" s="40"/>
      <c r="C72" s="40"/>
      <c r="D72" s="40"/>
      <c r="E72" s="40"/>
      <c r="F72" s="40"/>
      <c r="G72" s="40"/>
      <c r="H72" s="40"/>
      <c r="I72" s="40"/>
      <c r="J72" s="40"/>
      <c r="K72" s="40"/>
      <c r="L72" s="40"/>
      <c r="M72" s="40"/>
    </row>
    <row r="73" spans="1:13" ht="15" hidden="1" customHeight="1" x14ac:dyDescent="0.25">
      <c r="A73" s="40"/>
      <c r="B73" s="40"/>
      <c r="C73" s="40"/>
      <c r="D73" s="40"/>
      <c r="E73" s="40"/>
      <c r="F73" s="40"/>
      <c r="G73" s="40"/>
      <c r="H73" s="40"/>
      <c r="I73" s="40"/>
      <c r="J73" s="40"/>
      <c r="K73" s="40"/>
      <c r="L73" s="40"/>
      <c r="M73" s="40"/>
    </row>
    <row r="74" spans="1:13" ht="15" hidden="1" customHeight="1" x14ac:dyDescent="0.25">
      <c r="A74" s="40"/>
      <c r="B74" s="40"/>
      <c r="C74" s="40"/>
      <c r="D74" s="40"/>
      <c r="E74" s="40"/>
      <c r="F74" s="40"/>
      <c r="G74" s="40"/>
      <c r="H74" s="40"/>
      <c r="I74" s="40"/>
      <c r="J74" s="40"/>
      <c r="K74" s="40"/>
      <c r="L74" s="40"/>
      <c r="M74" s="40"/>
    </row>
    <row r="75" spans="1:13" ht="15" hidden="1" customHeight="1" x14ac:dyDescent="0.25">
      <c r="A75" s="40"/>
      <c r="B75" s="40"/>
      <c r="C75" s="40"/>
      <c r="D75" s="40"/>
      <c r="E75" s="40"/>
      <c r="F75" s="40"/>
      <c r="G75" s="40"/>
      <c r="H75" s="40"/>
      <c r="I75" s="40"/>
      <c r="J75" s="40"/>
      <c r="K75" s="40"/>
      <c r="L75" s="40"/>
      <c r="M75" s="40"/>
    </row>
    <row r="76" spans="1:13" ht="15" hidden="1" customHeight="1" x14ac:dyDescent="0.25">
      <c r="A76" s="40"/>
      <c r="B76" s="40"/>
      <c r="C76" s="40"/>
      <c r="D76" s="40"/>
      <c r="E76" s="40"/>
      <c r="F76" s="40"/>
      <c r="G76" s="40"/>
      <c r="H76" s="40"/>
      <c r="I76" s="40"/>
      <c r="J76" s="40"/>
      <c r="K76" s="40"/>
      <c r="L76" s="40"/>
      <c r="M76" s="40"/>
    </row>
    <row r="77" spans="1:13" ht="15" hidden="1" customHeight="1" x14ac:dyDescent="0.25">
      <c r="A77" s="40"/>
      <c r="B77" s="40"/>
      <c r="C77" s="40"/>
      <c r="D77" s="40"/>
      <c r="E77" s="40"/>
      <c r="F77" s="40"/>
      <c r="G77" s="40"/>
      <c r="H77" s="40"/>
      <c r="I77" s="40"/>
      <c r="J77" s="40"/>
      <c r="K77" s="40"/>
      <c r="L77" s="40"/>
      <c r="M77" s="40"/>
    </row>
    <row r="78" spans="1:13" ht="15" hidden="1" customHeight="1" x14ac:dyDescent="0.25">
      <c r="A78" s="40"/>
      <c r="B78" s="40"/>
      <c r="C78" s="40"/>
      <c r="D78" s="40"/>
      <c r="E78" s="40"/>
      <c r="F78" s="40"/>
      <c r="G78" s="40"/>
      <c r="H78" s="40"/>
      <c r="I78" s="40"/>
      <c r="J78" s="40"/>
      <c r="K78" s="40"/>
      <c r="L78" s="40"/>
      <c r="M78" s="40"/>
    </row>
    <row r="79" spans="1:13" ht="15" hidden="1" customHeight="1" x14ac:dyDescent="0.25">
      <c r="A79" s="40"/>
      <c r="B79" s="40"/>
      <c r="C79" s="40"/>
      <c r="D79" s="40"/>
      <c r="E79" s="40"/>
      <c r="F79" s="40"/>
      <c r="G79" s="40"/>
      <c r="H79" s="40"/>
      <c r="I79" s="40"/>
      <c r="J79" s="40"/>
      <c r="K79" s="40"/>
      <c r="L79" s="40"/>
      <c r="M79" s="40"/>
    </row>
    <row r="80" spans="1:13" ht="15" hidden="1" customHeight="1" x14ac:dyDescent="0.25">
      <c r="A80" s="40"/>
      <c r="B80" s="40"/>
      <c r="C80" s="40"/>
      <c r="D80" s="40"/>
      <c r="E80" s="40"/>
      <c r="F80" s="40"/>
      <c r="G80" s="40"/>
      <c r="H80" s="40"/>
      <c r="I80" s="40"/>
      <c r="J80" s="40"/>
      <c r="K80" s="40"/>
      <c r="L80" s="40"/>
      <c r="M80" s="40"/>
    </row>
    <row r="81" spans="1:13" ht="15" hidden="1" customHeight="1" x14ac:dyDescent="0.25">
      <c r="A81" s="40"/>
      <c r="B81" s="40"/>
      <c r="C81" s="40"/>
      <c r="D81" s="40"/>
      <c r="E81" s="40"/>
      <c r="F81" s="40"/>
      <c r="G81" s="40"/>
      <c r="H81" s="40"/>
      <c r="I81" s="40"/>
      <c r="J81" s="40"/>
      <c r="K81" s="40"/>
      <c r="L81" s="40"/>
      <c r="M81" s="40"/>
    </row>
    <row r="82" spans="1:13" ht="15" hidden="1" customHeight="1" x14ac:dyDescent="0.25">
      <c r="A82" s="40"/>
      <c r="B82" s="40"/>
      <c r="C82" s="40"/>
      <c r="D82" s="40"/>
      <c r="E82" s="40"/>
      <c r="F82" s="40"/>
      <c r="G82" s="40"/>
      <c r="H82" s="40"/>
      <c r="I82" s="40"/>
      <c r="J82" s="40"/>
      <c r="K82" s="40"/>
      <c r="L82" s="40"/>
      <c r="M82" s="40"/>
    </row>
  </sheetData>
  <sheetProtection algorithmName="SHA-512" hashValue="2Pp8RtDHhjND2PNNQ8ZmgiXvMjbKJUzu7bk8mFIWd2UR69Lb2vCnRHn0uLHkP6Ja7V1TJ6TWm3nFeFxkV+BRcg==" saltValue="MBoC7pdvg+uNWz/8idG8bw==" spinCount="100000" sheet="1" objects="1" scenarios="1" formatCells="0" formatColumns="0" formatRows="0" selectLockedCells="1" selectUnlockedCells="1"/>
  <mergeCells count="8">
    <mergeCell ref="I4:I5"/>
    <mergeCell ref="B2:I2"/>
    <mergeCell ref="C4:C5"/>
    <mergeCell ref="D4:D5"/>
    <mergeCell ref="E4:E5"/>
    <mergeCell ref="F4:F5"/>
    <mergeCell ref="G4:G5"/>
    <mergeCell ref="H4:H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C2A57-C4D4-40F4-8E90-D7A3E3CBFF89}">
  <sheetPr codeName="Ark10"/>
  <dimension ref="A1:N80"/>
  <sheetViews>
    <sheetView showGridLines="0" showRowColHeaders="0" zoomScale="81" zoomScaleNormal="90" workbookViewId="0">
      <selection activeCell="E70" sqref="E70"/>
    </sheetView>
  </sheetViews>
  <sheetFormatPr defaultColWidth="0" defaultRowHeight="0" customHeight="1" zeroHeight="1" x14ac:dyDescent="0.25"/>
  <cols>
    <col min="1" max="1" width="8.85546875" customWidth="1"/>
    <col min="2" max="2" width="11.7109375" customWidth="1"/>
    <col min="3" max="4" width="13.28515625" customWidth="1"/>
    <col min="5" max="5" width="17.85546875" customWidth="1"/>
    <col min="6" max="6" width="8.85546875" customWidth="1"/>
    <col min="7" max="7" width="23.140625" customWidth="1"/>
    <col min="8" max="8" width="8.85546875" customWidth="1"/>
    <col min="9" max="14" width="0" hidden="1" customWidth="1"/>
    <col min="15" max="16384" width="8.85546875" hidden="1"/>
  </cols>
  <sheetData>
    <row r="1" spans="1:14" ht="15" x14ac:dyDescent="0.25">
      <c r="A1" s="40"/>
      <c r="B1" s="40"/>
      <c r="C1" s="40"/>
      <c r="D1" s="40"/>
      <c r="E1" s="40"/>
      <c r="F1" s="40"/>
      <c r="G1" s="40"/>
      <c r="H1" s="40"/>
      <c r="I1" s="40"/>
      <c r="J1" s="40"/>
      <c r="K1" s="40"/>
      <c r="L1" s="40"/>
      <c r="M1" s="40"/>
      <c r="N1" s="40"/>
    </row>
    <row r="2" spans="1:14" ht="21" x14ac:dyDescent="0.25">
      <c r="A2" s="40"/>
      <c r="B2" s="185" t="s">
        <v>249</v>
      </c>
      <c r="C2" s="185"/>
      <c r="D2" s="185"/>
      <c r="E2" s="185"/>
      <c r="F2" s="185"/>
      <c r="G2" s="185"/>
      <c r="H2" s="40"/>
      <c r="I2" s="40"/>
      <c r="J2" s="40"/>
      <c r="K2" s="40"/>
      <c r="L2" s="40"/>
      <c r="M2" s="40"/>
      <c r="N2" s="40"/>
    </row>
    <row r="3" spans="1:14" ht="15.75" thickBot="1" x14ac:dyDescent="0.3">
      <c r="A3" s="40"/>
      <c r="B3" s="40"/>
      <c r="C3" s="40"/>
      <c r="D3" s="40"/>
      <c r="E3" s="40"/>
      <c r="F3" s="40"/>
      <c r="G3" s="40"/>
      <c r="H3" s="40"/>
      <c r="I3" s="40"/>
      <c r="J3" s="40"/>
      <c r="K3" s="40"/>
      <c r="L3" s="40"/>
      <c r="M3" s="40"/>
      <c r="N3" s="40"/>
    </row>
    <row r="4" spans="1:14" ht="30.6" customHeight="1" x14ac:dyDescent="0.25">
      <c r="A4" s="40"/>
      <c r="B4" s="95" t="s">
        <v>127</v>
      </c>
      <c r="C4" s="186" t="s">
        <v>225</v>
      </c>
      <c r="D4" s="186" t="s">
        <v>265</v>
      </c>
      <c r="E4" s="186" t="s">
        <v>226</v>
      </c>
      <c r="F4" s="186" t="s">
        <v>227</v>
      </c>
      <c r="G4" s="186" t="s">
        <v>228</v>
      </c>
      <c r="H4" s="40"/>
      <c r="I4" s="40"/>
      <c r="J4" s="40"/>
      <c r="K4" s="40"/>
      <c r="L4" s="40"/>
      <c r="M4" s="40"/>
      <c r="N4" s="40"/>
    </row>
    <row r="5" spans="1:14" ht="16.5" thickBot="1" x14ac:dyDescent="0.3">
      <c r="A5" s="40"/>
      <c r="B5" s="110" t="s">
        <v>224</v>
      </c>
      <c r="C5" s="187"/>
      <c r="D5" s="187"/>
      <c r="E5" s="187"/>
      <c r="F5" s="187"/>
      <c r="G5" s="187"/>
      <c r="H5" s="40"/>
      <c r="I5" s="40"/>
      <c r="J5" s="40"/>
      <c r="K5" s="40"/>
      <c r="L5" s="40"/>
      <c r="M5" s="40"/>
      <c r="N5" s="40"/>
    </row>
    <row r="6" spans="1:14" ht="15" customHeight="1" thickBot="1" x14ac:dyDescent="0.3">
      <c r="A6" s="40"/>
      <c r="B6" s="96" t="s">
        <v>229</v>
      </c>
      <c r="C6" s="98"/>
      <c r="D6" s="98"/>
      <c r="E6" s="98"/>
      <c r="F6" s="98" t="s">
        <v>230</v>
      </c>
      <c r="G6" s="98"/>
      <c r="H6" s="40"/>
      <c r="I6" s="40"/>
      <c r="J6" s="40"/>
      <c r="K6" s="40"/>
      <c r="L6" s="40"/>
      <c r="M6" s="40"/>
      <c r="N6" s="40"/>
    </row>
    <row r="7" spans="1:14" ht="15" customHeight="1" thickBot="1" x14ac:dyDescent="0.3">
      <c r="A7" s="40"/>
      <c r="B7" s="96" t="s">
        <v>187</v>
      </c>
      <c r="C7" s="98"/>
      <c r="D7" s="98" t="s">
        <v>230</v>
      </c>
      <c r="E7" s="98"/>
      <c r="F7" s="98"/>
      <c r="G7" s="98" t="s">
        <v>230</v>
      </c>
      <c r="H7" s="40"/>
      <c r="I7" s="40"/>
      <c r="J7" s="40"/>
      <c r="K7" s="40"/>
      <c r="L7" s="40"/>
      <c r="M7" s="40"/>
      <c r="N7" s="40"/>
    </row>
    <row r="8" spans="1:14" ht="15" customHeight="1" thickBot="1" x14ac:dyDescent="0.3">
      <c r="A8" s="40"/>
      <c r="B8" s="96" t="s">
        <v>188</v>
      </c>
      <c r="C8" s="97"/>
      <c r="D8" s="97" t="s">
        <v>230</v>
      </c>
      <c r="E8" s="98"/>
      <c r="F8" s="98"/>
      <c r="G8" s="98" t="s">
        <v>230</v>
      </c>
      <c r="H8" s="40"/>
      <c r="I8" s="40"/>
      <c r="J8" s="40"/>
      <c r="K8" s="40"/>
      <c r="L8" s="40"/>
      <c r="M8" s="40"/>
      <c r="N8" s="40"/>
    </row>
    <row r="9" spans="1:14" ht="15" customHeight="1" thickBot="1" x14ac:dyDescent="0.3">
      <c r="A9" s="40"/>
      <c r="B9" s="96" t="s">
        <v>189</v>
      </c>
      <c r="C9" s="97"/>
      <c r="D9" s="97" t="s">
        <v>230</v>
      </c>
      <c r="E9" s="98"/>
      <c r="F9" s="98"/>
      <c r="G9" s="98" t="s">
        <v>230</v>
      </c>
      <c r="H9" s="40"/>
      <c r="I9" s="40"/>
      <c r="J9" s="40"/>
      <c r="K9" s="40"/>
      <c r="L9" s="40"/>
      <c r="M9" s="40"/>
      <c r="N9" s="40"/>
    </row>
    <row r="10" spans="1:14" ht="15" customHeight="1" thickBot="1" x14ac:dyDescent="0.3">
      <c r="A10" s="40"/>
      <c r="B10" s="96"/>
      <c r="C10" s="97"/>
      <c r="D10" s="97"/>
      <c r="E10" s="98"/>
      <c r="F10" s="98"/>
      <c r="G10" s="98"/>
      <c r="H10" s="40"/>
      <c r="I10" s="40"/>
      <c r="J10" s="40"/>
      <c r="K10" s="40"/>
      <c r="L10" s="40"/>
      <c r="M10" s="40"/>
      <c r="N10" s="40"/>
    </row>
    <row r="11" spans="1:14" ht="15" customHeight="1" thickBot="1" x14ac:dyDescent="0.3">
      <c r="A11" s="40"/>
      <c r="B11" s="96" t="s">
        <v>196</v>
      </c>
      <c r="C11" s="97"/>
      <c r="D11" s="97"/>
      <c r="E11" s="98"/>
      <c r="F11" s="98" t="s">
        <v>230</v>
      </c>
      <c r="G11" s="98"/>
      <c r="H11" s="40"/>
      <c r="I11" s="40"/>
      <c r="J11" s="40"/>
      <c r="K11" s="40"/>
      <c r="L11" s="40"/>
      <c r="M11" s="40"/>
      <c r="N11" s="40"/>
    </row>
    <row r="12" spans="1:14" ht="15" customHeight="1" thickBot="1" x14ac:dyDescent="0.3">
      <c r="A12" s="40"/>
      <c r="B12" s="96" t="s">
        <v>197</v>
      </c>
      <c r="C12" s="97"/>
      <c r="D12" s="97" t="s">
        <v>230</v>
      </c>
      <c r="E12" s="98"/>
      <c r="F12" s="98"/>
      <c r="G12" s="98" t="s">
        <v>230</v>
      </c>
      <c r="H12" s="40"/>
      <c r="I12" s="40"/>
      <c r="J12" s="40"/>
      <c r="K12" s="40"/>
      <c r="L12" s="40"/>
      <c r="M12" s="40"/>
      <c r="N12" s="40"/>
    </row>
    <row r="13" spans="1:14" ht="15" customHeight="1" thickBot="1" x14ac:dyDescent="0.3">
      <c r="A13" s="40"/>
      <c r="B13" s="96" t="s">
        <v>231</v>
      </c>
      <c r="C13" s="97"/>
      <c r="D13" s="97" t="s">
        <v>230</v>
      </c>
      <c r="E13" s="98"/>
      <c r="F13" s="98"/>
      <c r="G13" s="98" t="s">
        <v>230</v>
      </c>
      <c r="H13" s="40"/>
      <c r="I13" s="40"/>
      <c r="J13" s="40"/>
      <c r="K13" s="40"/>
      <c r="L13" s="40"/>
      <c r="M13" s="40"/>
      <c r="N13" s="40"/>
    </row>
    <row r="14" spans="1:14" ht="15" customHeight="1" thickBot="1" x14ac:dyDescent="0.3">
      <c r="A14" s="40"/>
      <c r="B14" s="96" t="s">
        <v>135</v>
      </c>
      <c r="C14" s="97"/>
      <c r="D14" s="97" t="s">
        <v>230</v>
      </c>
      <c r="E14" s="98"/>
      <c r="F14" s="98"/>
      <c r="G14" s="98" t="s">
        <v>230</v>
      </c>
      <c r="H14" s="40"/>
      <c r="I14" s="40"/>
      <c r="J14" s="40"/>
      <c r="K14" s="40"/>
      <c r="L14" s="40"/>
      <c r="M14" s="40"/>
      <c r="N14" s="40"/>
    </row>
    <row r="15" spans="1:14" ht="15" customHeight="1" thickBot="1" x14ac:dyDescent="0.3">
      <c r="A15" s="40"/>
      <c r="B15" s="96"/>
      <c r="C15" s="97"/>
      <c r="D15" s="97"/>
      <c r="E15" s="98"/>
      <c r="F15" s="98"/>
      <c r="G15" s="98"/>
      <c r="H15" s="40"/>
      <c r="I15" s="40"/>
      <c r="J15" s="40"/>
      <c r="K15" s="40"/>
      <c r="L15" s="40"/>
      <c r="M15" s="40"/>
      <c r="N15" s="40"/>
    </row>
    <row r="16" spans="1:14" ht="15" customHeight="1" thickBot="1" x14ac:dyDescent="0.3">
      <c r="A16" s="40"/>
      <c r="B16" s="96" t="s">
        <v>266</v>
      </c>
      <c r="C16" s="97"/>
      <c r="D16" s="97" t="s">
        <v>230</v>
      </c>
      <c r="E16" s="98"/>
      <c r="F16" s="98"/>
      <c r="G16" s="98"/>
      <c r="H16" s="40"/>
      <c r="I16" s="40"/>
      <c r="J16" s="40"/>
      <c r="K16" s="40"/>
      <c r="L16" s="40"/>
      <c r="M16" s="40"/>
      <c r="N16" s="40"/>
    </row>
    <row r="17" spans="1:14" ht="15" customHeight="1" thickBot="1" x14ac:dyDescent="0.3">
      <c r="A17" s="40"/>
      <c r="B17" s="96" t="s">
        <v>232</v>
      </c>
      <c r="C17" s="97"/>
      <c r="D17" s="97" t="s">
        <v>230</v>
      </c>
      <c r="E17" s="98"/>
      <c r="F17" s="97" t="s">
        <v>230</v>
      </c>
      <c r="G17" s="98"/>
      <c r="H17" s="40"/>
      <c r="I17" s="40"/>
      <c r="J17" s="40"/>
      <c r="K17" s="40"/>
      <c r="L17" s="40"/>
      <c r="M17" s="40"/>
      <c r="N17" s="40"/>
    </row>
    <row r="18" spans="1:14" ht="15" customHeight="1" thickBot="1" x14ac:dyDescent="0.3">
      <c r="A18" s="40"/>
      <c r="B18" s="96" t="s">
        <v>233</v>
      </c>
      <c r="C18" s="97"/>
      <c r="D18" s="97"/>
      <c r="E18" s="98"/>
      <c r="F18" s="97" t="s">
        <v>230</v>
      </c>
      <c r="G18" s="98"/>
      <c r="H18" s="40"/>
      <c r="I18" s="40"/>
      <c r="J18" s="40"/>
      <c r="K18" s="40"/>
      <c r="L18" s="40"/>
      <c r="M18" s="40"/>
      <c r="N18" s="40"/>
    </row>
    <row r="19" spans="1:14" ht="15" customHeight="1" thickBot="1" x14ac:dyDescent="0.3">
      <c r="A19" s="40"/>
      <c r="B19" s="96" t="s">
        <v>199</v>
      </c>
      <c r="C19" s="97"/>
      <c r="D19" s="97" t="s">
        <v>230</v>
      </c>
      <c r="E19" s="98"/>
      <c r="F19" s="97"/>
      <c r="G19" s="98"/>
      <c r="H19" s="40"/>
      <c r="I19" s="40"/>
      <c r="J19" s="40"/>
      <c r="K19" s="40"/>
      <c r="L19" s="40"/>
      <c r="M19" s="40"/>
      <c r="N19" s="40"/>
    </row>
    <row r="20" spans="1:14" ht="15" customHeight="1" thickBot="1" x14ac:dyDescent="0.3">
      <c r="A20" s="40"/>
      <c r="B20" s="96"/>
      <c r="C20" s="97"/>
      <c r="D20" s="97"/>
      <c r="E20" s="98"/>
      <c r="F20" s="98"/>
      <c r="G20" s="98"/>
      <c r="H20" s="40"/>
      <c r="I20" s="40"/>
      <c r="J20" s="40"/>
      <c r="K20" s="40"/>
      <c r="L20" s="40"/>
      <c r="M20" s="40"/>
      <c r="N20" s="40"/>
    </row>
    <row r="21" spans="1:14" ht="15" customHeight="1" thickBot="1" x14ac:dyDescent="0.3">
      <c r="A21" s="40"/>
      <c r="B21" s="96" t="s">
        <v>234</v>
      </c>
      <c r="C21" s="97" t="s">
        <v>230</v>
      </c>
      <c r="D21" s="97" t="s">
        <v>230</v>
      </c>
      <c r="E21" s="98"/>
      <c r="F21" s="98"/>
      <c r="G21" s="98"/>
      <c r="H21" s="40"/>
      <c r="I21" s="40"/>
      <c r="J21" s="40"/>
      <c r="K21" s="40"/>
      <c r="L21" s="40"/>
      <c r="M21" s="40"/>
      <c r="N21" s="40"/>
    </row>
    <row r="22" spans="1:14" ht="15" customHeight="1" thickBot="1" x14ac:dyDescent="0.3">
      <c r="A22" s="40"/>
      <c r="B22" s="96" t="s">
        <v>136</v>
      </c>
      <c r="C22" s="97"/>
      <c r="D22" s="97"/>
      <c r="E22" s="97" t="s">
        <v>230</v>
      </c>
      <c r="F22" s="98"/>
      <c r="G22" s="98"/>
      <c r="H22" s="40"/>
      <c r="I22" s="40"/>
      <c r="J22" s="40"/>
      <c r="K22" s="40"/>
      <c r="L22" s="40"/>
      <c r="M22" s="40"/>
      <c r="N22" s="40"/>
    </row>
    <row r="23" spans="1:14" ht="15" customHeight="1" thickBot="1" x14ac:dyDescent="0.3">
      <c r="A23" s="40"/>
      <c r="B23" s="96" t="s">
        <v>267</v>
      </c>
      <c r="C23" s="97"/>
      <c r="D23" s="97" t="s">
        <v>230</v>
      </c>
      <c r="E23" s="97"/>
      <c r="F23" s="98"/>
      <c r="G23" s="98"/>
      <c r="H23" s="40"/>
      <c r="I23" s="40"/>
      <c r="J23" s="40"/>
      <c r="K23" s="40"/>
      <c r="L23" s="40"/>
      <c r="M23" s="40"/>
      <c r="N23" s="40"/>
    </row>
    <row r="24" spans="1:14" ht="15" customHeight="1" thickBot="1" x14ac:dyDescent="0.3">
      <c r="A24" s="40"/>
      <c r="B24" s="96" t="s">
        <v>137</v>
      </c>
      <c r="C24" s="97"/>
      <c r="D24" s="97" t="s">
        <v>230</v>
      </c>
      <c r="E24" s="98"/>
      <c r="F24" s="97" t="s">
        <v>230</v>
      </c>
      <c r="G24" s="98"/>
      <c r="H24" s="40"/>
      <c r="I24" s="40"/>
      <c r="J24" s="40"/>
      <c r="K24" s="40"/>
      <c r="L24" s="40"/>
      <c r="M24" s="40"/>
      <c r="N24" s="40"/>
    </row>
    <row r="25" spans="1:14" ht="15" customHeight="1" thickBot="1" x14ac:dyDescent="0.3">
      <c r="A25" s="40"/>
      <c r="B25" s="96" t="s">
        <v>138</v>
      </c>
      <c r="C25" s="97"/>
      <c r="D25" s="97" t="s">
        <v>230</v>
      </c>
      <c r="E25" s="98"/>
      <c r="F25" s="97" t="s">
        <v>230</v>
      </c>
      <c r="G25" s="98"/>
      <c r="H25" s="40"/>
      <c r="I25" s="40"/>
      <c r="J25" s="40"/>
      <c r="K25" s="40"/>
      <c r="L25" s="40"/>
      <c r="M25" s="40"/>
      <c r="N25" s="40"/>
    </row>
    <row r="26" spans="1:14" ht="15" customHeight="1" thickBot="1" x14ac:dyDescent="0.3">
      <c r="A26" s="40"/>
      <c r="B26" s="96" t="s">
        <v>139</v>
      </c>
      <c r="C26" s="97"/>
      <c r="D26" s="97" t="s">
        <v>230</v>
      </c>
      <c r="E26" s="98"/>
      <c r="F26" s="97"/>
      <c r="G26" s="98"/>
      <c r="H26" s="40"/>
      <c r="I26" s="40"/>
      <c r="J26" s="40"/>
      <c r="K26" s="40"/>
      <c r="L26" s="40"/>
      <c r="M26" s="40"/>
      <c r="N26" s="40"/>
    </row>
    <row r="27" spans="1:14" ht="15" customHeight="1" thickBot="1" x14ac:dyDescent="0.3">
      <c r="A27" s="40"/>
      <c r="B27" s="96"/>
      <c r="C27" s="97"/>
      <c r="D27" s="97"/>
      <c r="E27" s="98"/>
      <c r="F27" s="98"/>
      <c r="G27" s="98"/>
      <c r="H27" s="40"/>
      <c r="I27" s="40"/>
      <c r="J27" s="40"/>
      <c r="K27" s="40"/>
      <c r="L27" s="40"/>
      <c r="M27" s="40"/>
      <c r="N27" s="40"/>
    </row>
    <row r="28" spans="1:14" ht="15" customHeight="1" thickBot="1" x14ac:dyDescent="0.3">
      <c r="A28" s="40"/>
      <c r="B28" s="96" t="s">
        <v>235</v>
      </c>
      <c r="C28" s="97" t="s">
        <v>230</v>
      </c>
      <c r="D28" s="97" t="s">
        <v>230</v>
      </c>
      <c r="E28" s="97" t="s">
        <v>230</v>
      </c>
      <c r="F28" s="98"/>
      <c r="G28" s="98"/>
      <c r="H28" s="40"/>
      <c r="I28" s="40"/>
      <c r="J28" s="40"/>
      <c r="K28" s="40"/>
      <c r="L28" s="40"/>
      <c r="M28" s="40"/>
      <c r="N28" s="40"/>
    </row>
    <row r="29" spans="1:14" ht="15" customHeight="1" thickBot="1" x14ac:dyDescent="0.3">
      <c r="A29" s="40"/>
      <c r="B29" s="96" t="s">
        <v>236</v>
      </c>
      <c r="C29" s="97"/>
      <c r="D29" s="97"/>
      <c r="E29" s="97" t="s">
        <v>230</v>
      </c>
      <c r="F29" s="98"/>
      <c r="G29" s="98"/>
      <c r="H29" s="40"/>
      <c r="I29" s="40"/>
      <c r="J29" s="40"/>
      <c r="K29" s="40"/>
      <c r="L29" s="40"/>
      <c r="M29" s="40"/>
      <c r="N29" s="40"/>
    </row>
    <row r="30" spans="1:14" ht="15" customHeight="1" thickBot="1" x14ac:dyDescent="0.3">
      <c r="A30" s="40"/>
      <c r="B30" s="96" t="s">
        <v>142</v>
      </c>
      <c r="C30" s="97"/>
      <c r="D30" s="97" t="s">
        <v>230</v>
      </c>
      <c r="E30" s="97"/>
      <c r="F30" s="98"/>
      <c r="G30" s="98"/>
      <c r="H30" s="40"/>
      <c r="I30" s="40"/>
      <c r="J30" s="40"/>
      <c r="K30" s="40"/>
      <c r="L30" s="40"/>
      <c r="M30" s="40"/>
      <c r="N30" s="40"/>
    </row>
    <row r="31" spans="1:14" ht="15" customHeight="1" thickBot="1" x14ac:dyDescent="0.3">
      <c r="A31" s="40"/>
      <c r="B31" s="96" t="s">
        <v>202</v>
      </c>
      <c r="C31" s="97"/>
      <c r="D31" s="97" t="s">
        <v>230</v>
      </c>
      <c r="E31" s="97"/>
      <c r="F31" s="98"/>
      <c r="G31" s="98"/>
      <c r="H31" s="40"/>
      <c r="I31" s="40"/>
      <c r="J31" s="40"/>
      <c r="K31" s="40"/>
      <c r="L31" s="40"/>
      <c r="M31" s="40"/>
      <c r="N31" s="40"/>
    </row>
    <row r="32" spans="1:14" ht="15" customHeight="1" thickBot="1" x14ac:dyDescent="0.3">
      <c r="A32" s="40"/>
      <c r="B32" s="96" t="s">
        <v>143</v>
      </c>
      <c r="C32" s="97"/>
      <c r="D32" s="97" t="s">
        <v>230</v>
      </c>
      <c r="E32" s="97"/>
      <c r="F32" s="98"/>
      <c r="G32" s="98"/>
      <c r="H32" s="40"/>
      <c r="I32" s="40"/>
      <c r="J32" s="40"/>
      <c r="K32" s="40"/>
      <c r="L32" s="40"/>
      <c r="M32" s="40"/>
      <c r="N32" s="40"/>
    </row>
    <row r="33" spans="1:14" ht="15" customHeight="1" thickBot="1" x14ac:dyDescent="0.3">
      <c r="A33" s="40"/>
      <c r="B33" s="96"/>
      <c r="C33" s="97"/>
      <c r="D33" s="97"/>
      <c r="E33" s="97"/>
      <c r="F33" s="97"/>
      <c r="G33" s="98"/>
      <c r="H33" s="40"/>
      <c r="I33" s="40"/>
      <c r="J33" s="40"/>
      <c r="K33" s="40"/>
      <c r="L33" s="40"/>
      <c r="M33" s="40"/>
      <c r="N33" s="40"/>
    </row>
    <row r="34" spans="1:14" ht="15" customHeight="1" thickBot="1" x14ac:dyDescent="0.3">
      <c r="A34" s="40"/>
      <c r="B34" s="96" t="s">
        <v>203</v>
      </c>
      <c r="C34" s="97"/>
      <c r="D34" s="97"/>
      <c r="E34" s="97"/>
      <c r="F34" s="97" t="s">
        <v>230</v>
      </c>
      <c r="G34" s="98"/>
      <c r="H34" s="40"/>
      <c r="I34" s="40"/>
      <c r="J34" s="40"/>
      <c r="K34" s="40"/>
      <c r="L34" s="40"/>
      <c r="M34" s="40"/>
      <c r="N34" s="40"/>
    </row>
    <row r="35" spans="1:14" ht="15" customHeight="1" thickBot="1" x14ac:dyDescent="0.3">
      <c r="A35" s="40"/>
      <c r="B35" s="96" t="s">
        <v>237</v>
      </c>
      <c r="C35" s="97"/>
      <c r="D35" s="97" t="s">
        <v>230</v>
      </c>
      <c r="E35" s="97"/>
      <c r="F35" s="97" t="s">
        <v>230</v>
      </c>
      <c r="G35" s="98"/>
      <c r="H35" s="40"/>
      <c r="I35" s="40"/>
      <c r="J35" s="40"/>
      <c r="K35" s="40"/>
      <c r="L35" s="40"/>
      <c r="M35" s="40"/>
      <c r="N35" s="40"/>
    </row>
    <row r="36" spans="1:14" ht="15" customHeight="1" thickBot="1" x14ac:dyDescent="0.3">
      <c r="A36" s="40"/>
      <c r="B36" s="96" t="s">
        <v>146</v>
      </c>
      <c r="C36" s="97"/>
      <c r="D36" s="97" t="s">
        <v>230</v>
      </c>
      <c r="E36" s="97"/>
      <c r="F36" s="97"/>
      <c r="G36" s="98"/>
      <c r="H36" s="40"/>
      <c r="I36" s="40"/>
      <c r="J36" s="40"/>
      <c r="K36" s="40"/>
      <c r="L36" s="40"/>
      <c r="M36" s="40"/>
      <c r="N36" s="40"/>
    </row>
    <row r="37" spans="1:14" ht="15" customHeight="1" thickBot="1" x14ac:dyDescent="0.3">
      <c r="A37" s="40"/>
      <c r="B37" s="96" t="s">
        <v>145</v>
      </c>
      <c r="C37" s="97" t="s">
        <v>230</v>
      </c>
      <c r="D37" s="97" t="s">
        <v>230</v>
      </c>
      <c r="E37" s="97" t="s">
        <v>230</v>
      </c>
      <c r="F37" s="97"/>
      <c r="G37" s="98"/>
      <c r="H37" s="40"/>
      <c r="I37" s="40"/>
      <c r="J37" s="40"/>
      <c r="K37" s="40"/>
      <c r="L37" s="40"/>
      <c r="M37" s="40"/>
      <c r="N37" s="40"/>
    </row>
    <row r="38" spans="1:14" ht="15" customHeight="1" thickBot="1" x14ac:dyDescent="0.3">
      <c r="A38" s="40"/>
      <c r="B38" s="96" t="s">
        <v>147</v>
      </c>
      <c r="C38" s="97"/>
      <c r="D38" s="97" t="s">
        <v>230</v>
      </c>
      <c r="E38" s="97" t="s">
        <v>230</v>
      </c>
      <c r="F38" s="97"/>
      <c r="G38" s="98"/>
      <c r="H38" s="40"/>
      <c r="I38" s="40"/>
      <c r="J38" s="40"/>
      <c r="K38" s="40"/>
      <c r="L38" s="40"/>
      <c r="M38" s="40"/>
      <c r="N38" s="40"/>
    </row>
    <row r="39" spans="1:14" ht="15" customHeight="1" thickBot="1" x14ac:dyDescent="0.3">
      <c r="A39" s="40"/>
      <c r="B39" s="96"/>
      <c r="C39" s="97"/>
      <c r="D39" s="97"/>
      <c r="E39" s="97"/>
      <c r="F39" s="97"/>
      <c r="G39" s="98"/>
      <c r="H39" s="40"/>
      <c r="I39" s="40"/>
      <c r="J39" s="40"/>
      <c r="K39" s="40"/>
      <c r="L39" s="40"/>
      <c r="M39" s="40"/>
      <c r="N39" s="40"/>
    </row>
    <row r="40" spans="1:14" ht="15" customHeight="1" thickBot="1" x14ac:dyDescent="0.3">
      <c r="A40" s="40"/>
      <c r="B40" s="96" t="s">
        <v>238</v>
      </c>
      <c r="C40" s="97"/>
      <c r="D40" s="97"/>
      <c r="E40" s="97"/>
      <c r="F40" s="97" t="s">
        <v>230</v>
      </c>
      <c r="G40" s="98"/>
      <c r="H40" s="40"/>
      <c r="I40" s="40"/>
      <c r="J40" s="40"/>
      <c r="K40" s="40"/>
      <c r="L40" s="40"/>
      <c r="M40" s="40"/>
      <c r="N40" s="40"/>
    </row>
    <row r="41" spans="1:14" ht="15" customHeight="1" thickBot="1" x14ac:dyDescent="0.3">
      <c r="A41" s="40"/>
      <c r="B41" s="96" t="s">
        <v>239</v>
      </c>
      <c r="C41" s="97"/>
      <c r="D41" s="97" t="s">
        <v>230</v>
      </c>
      <c r="E41" s="97"/>
      <c r="F41" s="97" t="s">
        <v>230</v>
      </c>
      <c r="G41" s="98"/>
      <c r="H41" s="40"/>
      <c r="I41" s="40"/>
      <c r="J41" s="40"/>
      <c r="K41" s="40"/>
      <c r="L41" s="40"/>
      <c r="M41" s="40"/>
      <c r="N41" s="40"/>
    </row>
    <row r="42" spans="1:14" ht="15" customHeight="1" thickBot="1" x14ac:dyDescent="0.3">
      <c r="A42" s="40"/>
      <c r="B42" s="96" t="s">
        <v>149</v>
      </c>
      <c r="C42" s="97"/>
      <c r="D42" s="97"/>
      <c r="E42" s="97" t="s">
        <v>230</v>
      </c>
      <c r="F42" s="97"/>
      <c r="G42" s="97"/>
      <c r="H42" s="40"/>
      <c r="I42" s="40"/>
      <c r="J42" s="40"/>
      <c r="K42" s="40"/>
      <c r="L42" s="40"/>
      <c r="M42" s="40"/>
      <c r="N42" s="40"/>
    </row>
    <row r="43" spans="1:14" ht="15" customHeight="1" thickBot="1" x14ac:dyDescent="0.3">
      <c r="A43" s="40"/>
      <c r="B43" s="96" t="s">
        <v>151</v>
      </c>
      <c r="C43" s="97"/>
      <c r="D43" s="97"/>
      <c r="E43" s="97" t="s">
        <v>230</v>
      </c>
      <c r="F43" s="97"/>
      <c r="G43" s="97"/>
      <c r="H43" s="40"/>
      <c r="I43" s="40"/>
      <c r="J43" s="40"/>
      <c r="K43" s="40"/>
      <c r="L43" s="40"/>
      <c r="M43" s="40"/>
      <c r="N43" s="40"/>
    </row>
    <row r="44" spans="1:14" ht="15" customHeight="1" thickBot="1" x14ac:dyDescent="0.3">
      <c r="A44" s="40"/>
      <c r="B44" s="96"/>
      <c r="C44" s="97"/>
      <c r="D44" s="97"/>
      <c r="E44" s="97"/>
      <c r="F44" s="97"/>
      <c r="G44" s="97"/>
      <c r="H44" s="40"/>
      <c r="I44" s="40"/>
      <c r="J44" s="40"/>
      <c r="K44" s="40"/>
      <c r="L44" s="40"/>
      <c r="M44" s="40"/>
      <c r="N44" s="40"/>
    </row>
    <row r="45" spans="1:14" ht="15" customHeight="1" thickBot="1" x14ac:dyDescent="0.3">
      <c r="A45" s="40"/>
      <c r="B45" s="96" t="s">
        <v>204</v>
      </c>
      <c r="C45" s="97"/>
      <c r="D45" s="97"/>
      <c r="E45" s="97"/>
      <c r="F45" s="97" t="s">
        <v>230</v>
      </c>
      <c r="G45" s="97"/>
      <c r="H45" s="40"/>
      <c r="I45" s="40"/>
      <c r="J45" s="40"/>
      <c r="K45" s="40"/>
      <c r="L45" s="40"/>
      <c r="M45" s="40"/>
      <c r="N45" s="40"/>
    </row>
    <row r="46" spans="1:14" ht="15" customHeight="1" thickBot="1" x14ac:dyDescent="0.3">
      <c r="A46" s="40"/>
      <c r="B46" s="96" t="s">
        <v>240</v>
      </c>
      <c r="C46" s="97"/>
      <c r="D46" s="97" t="s">
        <v>230</v>
      </c>
      <c r="E46" s="97"/>
      <c r="F46" s="97" t="s">
        <v>230</v>
      </c>
      <c r="G46" s="97"/>
      <c r="H46" s="40"/>
      <c r="I46" s="40"/>
      <c r="J46" s="40"/>
      <c r="K46" s="40"/>
      <c r="L46" s="40"/>
      <c r="M46" s="40"/>
      <c r="N46" s="40"/>
    </row>
    <row r="47" spans="1:14" ht="15" customHeight="1" thickBot="1" x14ac:dyDescent="0.3">
      <c r="A47" s="40"/>
      <c r="B47" s="96" t="s">
        <v>153</v>
      </c>
      <c r="C47" s="97"/>
      <c r="D47" s="97"/>
      <c r="E47" s="97" t="s">
        <v>230</v>
      </c>
      <c r="F47" s="97"/>
      <c r="G47" s="97"/>
      <c r="H47" s="40"/>
      <c r="I47" s="40"/>
      <c r="J47" s="40"/>
      <c r="K47" s="40"/>
      <c r="L47" s="40"/>
      <c r="M47" s="40"/>
      <c r="N47" s="40"/>
    </row>
    <row r="48" spans="1:14" ht="15" customHeight="1" thickBot="1" x14ac:dyDescent="0.3">
      <c r="A48" s="40"/>
      <c r="B48" s="96"/>
      <c r="C48" s="97"/>
      <c r="D48" s="97"/>
      <c r="E48" s="97"/>
      <c r="F48" s="97"/>
      <c r="G48" s="97"/>
      <c r="H48" s="40"/>
      <c r="I48" s="40"/>
      <c r="J48" s="40"/>
      <c r="K48" s="40"/>
      <c r="L48" s="40"/>
      <c r="M48" s="40"/>
      <c r="N48" s="40"/>
    </row>
    <row r="49" spans="1:14" ht="15" customHeight="1" thickBot="1" x14ac:dyDescent="0.3">
      <c r="A49" s="40"/>
      <c r="B49" s="96" t="s">
        <v>241</v>
      </c>
      <c r="C49" s="97"/>
      <c r="D49" s="97"/>
      <c r="E49" s="97"/>
      <c r="F49" s="97" t="s">
        <v>230</v>
      </c>
      <c r="G49" s="97"/>
      <c r="H49" s="40"/>
      <c r="I49" s="40"/>
      <c r="J49" s="40"/>
      <c r="K49" s="40"/>
      <c r="L49" s="40"/>
      <c r="M49" s="40"/>
      <c r="N49" s="40"/>
    </row>
    <row r="50" spans="1:14" ht="15" customHeight="1" thickBot="1" x14ac:dyDescent="0.3">
      <c r="A50" s="40"/>
      <c r="B50" s="96" t="s">
        <v>156</v>
      </c>
      <c r="C50" s="98"/>
      <c r="D50" s="98" t="s">
        <v>230</v>
      </c>
      <c r="E50" s="98" t="s">
        <v>230</v>
      </c>
      <c r="F50" s="97"/>
      <c r="G50" s="97"/>
      <c r="H50" s="40"/>
      <c r="I50" s="40"/>
      <c r="J50" s="40"/>
      <c r="K50" s="40"/>
      <c r="L50" s="40"/>
      <c r="M50" s="40"/>
      <c r="N50" s="40"/>
    </row>
    <row r="51" spans="1:14" ht="15" customHeight="1" thickBot="1" x14ac:dyDescent="0.3">
      <c r="A51" s="40"/>
      <c r="B51" s="96"/>
      <c r="C51" s="98"/>
      <c r="D51" s="98"/>
      <c r="E51" s="98"/>
      <c r="F51" s="97" t="s">
        <v>230</v>
      </c>
      <c r="G51" s="97"/>
      <c r="H51" s="40"/>
      <c r="I51" s="40"/>
      <c r="J51" s="40"/>
      <c r="K51" s="40"/>
      <c r="L51" s="40"/>
      <c r="M51" s="40"/>
      <c r="N51" s="40"/>
    </row>
    <row r="52" spans="1:14" ht="15" customHeight="1" thickBot="1" x14ac:dyDescent="0.3">
      <c r="A52" s="40"/>
      <c r="B52" s="96" t="s">
        <v>159</v>
      </c>
      <c r="C52" s="98"/>
      <c r="D52" s="98"/>
      <c r="E52" s="98" t="s">
        <v>230</v>
      </c>
      <c r="F52" s="97"/>
      <c r="G52" s="98"/>
      <c r="H52" s="40"/>
      <c r="I52" s="40"/>
      <c r="J52" s="40"/>
      <c r="K52" s="40"/>
      <c r="L52" s="40"/>
      <c r="M52" s="40"/>
      <c r="N52" s="40"/>
    </row>
    <row r="53" spans="1:14" ht="15" customHeight="1" thickBot="1" x14ac:dyDescent="0.3">
      <c r="A53" s="40"/>
      <c r="B53" s="96" t="s">
        <v>162</v>
      </c>
      <c r="C53" s="97"/>
      <c r="D53" s="97"/>
      <c r="E53" s="97" t="s">
        <v>230</v>
      </c>
      <c r="F53" s="97"/>
      <c r="G53" s="97"/>
      <c r="H53" s="40"/>
      <c r="I53" s="40"/>
      <c r="J53" s="40"/>
      <c r="K53" s="40"/>
      <c r="L53" s="40"/>
      <c r="M53" s="40"/>
      <c r="N53" s="40"/>
    </row>
    <row r="54" spans="1:14" ht="15" customHeight="1" thickBot="1" x14ac:dyDescent="0.3">
      <c r="A54" s="40"/>
      <c r="B54" s="96"/>
      <c r="C54" s="97"/>
      <c r="D54" s="97"/>
      <c r="E54" s="97"/>
      <c r="F54" s="97"/>
      <c r="G54" s="97"/>
      <c r="H54" s="40"/>
      <c r="I54" s="40"/>
      <c r="J54" s="40"/>
      <c r="K54" s="40"/>
      <c r="L54" s="40"/>
      <c r="M54" s="40"/>
      <c r="N54" s="40"/>
    </row>
    <row r="55" spans="1:14" ht="15" customHeight="1" thickBot="1" x14ac:dyDescent="0.3">
      <c r="A55" s="40"/>
      <c r="B55" s="96" t="s">
        <v>163</v>
      </c>
      <c r="C55" s="98"/>
      <c r="D55" s="98"/>
      <c r="E55" s="98" t="s">
        <v>230</v>
      </c>
      <c r="F55" s="98" t="s">
        <v>230</v>
      </c>
      <c r="G55" s="97"/>
      <c r="H55" s="40"/>
      <c r="I55" s="40"/>
      <c r="J55" s="40"/>
      <c r="K55" s="40"/>
      <c r="L55" s="40"/>
      <c r="M55" s="40"/>
      <c r="N55" s="40"/>
    </row>
    <row r="56" spans="1:14" ht="15" customHeight="1" thickBot="1" x14ac:dyDescent="0.3">
      <c r="A56" s="40"/>
      <c r="B56" s="96" t="s">
        <v>164</v>
      </c>
      <c r="C56" s="98"/>
      <c r="D56" s="98"/>
      <c r="E56" s="98" t="s">
        <v>230</v>
      </c>
      <c r="F56" s="98"/>
      <c r="G56" s="97"/>
      <c r="H56" s="40"/>
      <c r="I56" s="40"/>
      <c r="J56" s="40"/>
      <c r="K56" s="40"/>
      <c r="L56" s="40"/>
      <c r="M56" s="40"/>
      <c r="N56" s="40"/>
    </row>
    <row r="57" spans="1:14" ht="15" customHeight="1" thickBot="1" x14ac:dyDescent="0.3">
      <c r="A57" s="40"/>
      <c r="B57" s="96"/>
      <c r="C57" s="98"/>
      <c r="D57" s="98"/>
      <c r="E57" s="98"/>
      <c r="F57" s="98"/>
      <c r="G57" s="97"/>
      <c r="H57" s="40"/>
      <c r="I57" s="40"/>
      <c r="J57" s="40"/>
      <c r="K57" s="40"/>
      <c r="L57" s="40"/>
      <c r="M57" s="40"/>
      <c r="N57" s="40"/>
    </row>
    <row r="58" spans="1:14" ht="15" customHeight="1" thickBot="1" x14ac:dyDescent="0.3">
      <c r="A58" s="40"/>
      <c r="B58" s="96" t="s">
        <v>168</v>
      </c>
      <c r="C58" s="97"/>
      <c r="D58" s="97"/>
      <c r="E58" s="97"/>
      <c r="F58" s="97" t="s">
        <v>230</v>
      </c>
      <c r="G58" s="97"/>
      <c r="H58" s="40"/>
      <c r="I58" s="40"/>
      <c r="J58" s="40"/>
      <c r="K58" s="40"/>
      <c r="L58" s="40"/>
      <c r="M58" s="40"/>
      <c r="N58" s="40"/>
    </row>
    <row r="59" spans="1:14" ht="15" customHeight="1" thickBot="1" x14ac:dyDescent="0.3">
      <c r="A59" s="40"/>
      <c r="B59" s="96" t="s">
        <v>169</v>
      </c>
      <c r="C59" s="98"/>
      <c r="D59" s="98"/>
      <c r="E59" s="98" t="s">
        <v>230</v>
      </c>
      <c r="F59" s="97"/>
      <c r="G59" s="98"/>
      <c r="H59" s="40"/>
      <c r="I59" s="40"/>
      <c r="J59" s="40"/>
      <c r="K59" s="40"/>
      <c r="L59" s="40"/>
      <c r="M59" s="40"/>
      <c r="N59" s="40"/>
    </row>
    <row r="60" spans="1:14" ht="15" customHeight="1" thickBot="1" x14ac:dyDescent="0.3">
      <c r="A60" s="40"/>
      <c r="B60" s="96" t="s">
        <v>171</v>
      </c>
      <c r="C60" s="97"/>
      <c r="D60" s="97"/>
      <c r="E60" s="97" t="s">
        <v>230</v>
      </c>
      <c r="F60" s="97"/>
      <c r="G60" s="97"/>
      <c r="H60" s="40"/>
      <c r="I60" s="40"/>
      <c r="J60" s="40"/>
      <c r="K60" s="40"/>
      <c r="L60" s="40"/>
      <c r="M60" s="40"/>
      <c r="N60" s="40"/>
    </row>
    <row r="61" spans="1:14" ht="15" customHeight="1" thickBot="1" x14ac:dyDescent="0.3">
      <c r="A61" s="40"/>
      <c r="B61" s="96"/>
      <c r="C61" s="97"/>
      <c r="D61" s="97"/>
      <c r="E61" s="97"/>
      <c r="F61" s="97"/>
      <c r="G61" s="97"/>
      <c r="H61" s="40"/>
      <c r="I61" s="40"/>
      <c r="J61" s="40"/>
      <c r="K61" s="40"/>
      <c r="L61" s="40"/>
      <c r="M61" s="40"/>
      <c r="N61" s="40"/>
    </row>
    <row r="62" spans="1:14" ht="15" customHeight="1" thickBot="1" x14ac:dyDescent="0.3">
      <c r="A62" s="40"/>
      <c r="B62" s="96" t="s">
        <v>172</v>
      </c>
      <c r="C62" s="97"/>
      <c r="D62" s="97"/>
      <c r="E62" s="97"/>
      <c r="F62" s="97" t="s">
        <v>230</v>
      </c>
      <c r="G62" s="97"/>
      <c r="H62" s="40"/>
      <c r="I62" s="40"/>
      <c r="J62" s="40"/>
      <c r="K62" s="40"/>
      <c r="L62" s="40"/>
      <c r="M62" s="40"/>
      <c r="N62" s="40"/>
    </row>
    <row r="63" spans="1:14" ht="15" customHeight="1" thickBot="1" x14ac:dyDescent="0.3">
      <c r="A63" s="40"/>
      <c r="B63" s="96" t="s">
        <v>173</v>
      </c>
      <c r="C63" s="98"/>
      <c r="D63" s="98"/>
      <c r="E63" s="98" t="s">
        <v>230</v>
      </c>
      <c r="F63" s="97"/>
      <c r="G63" s="98"/>
      <c r="H63" s="40"/>
      <c r="I63" s="40"/>
      <c r="J63" s="40"/>
      <c r="K63" s="40"/>
      <c r="L63" s="40"/>
      <c r="M63" s="40"/>
      <c r="N63" s="40"/>
    </row>
    <row r="64" spans="1:14" ht="15" customHeight="1" thickBot="1" x14ac:dyDescent="0.3">
      <c r="A64" s="40"/>
      <c r="B64" s="96" t="s">
        <v>175</v>
      </c>
      <c r="C64" s="97"/>
      <c r="D64" s="97"/>
      <c r="E64" s="97" t="s">
        <v>230</v>
      </c>
      <c r="F64" s="97"/>
      <c r="G64" s="97"/>
      <c r="H64" s="40"/>
      <c r="I64" s="40"/>
      <c r="J64" s="40"/>
      <c r="K64" s="40"/>
      <c r="L64" s="40"/>
      <c r="M64" s="40"/>
      <c r="N64" s="40"/>
    </row>
    <row r="65" spans="1:14" ht="15" customHeight="1" thickBot="1" x14ac:dyDescent="0.3">
      <c r="A65" s="40"/>
      <c r="B65" s="96"/>
      <c r="C65" s="97"/>
      <c r="D65" s="97"/>
      <c r="E65" s="97"/>
      <c r="F65" s="97"/>
      <c r="G65" s="97"/>
      <c r="H65" s="40"/>
      <c r="I65" s="40"/>
      <c r="J65" s="40"/>
      <c r="K65" s="40"/>
      <c r="L65" s="40"/>
      <c r="M65" s="40"/>
      <c r="N65" s="40"/>
    </row>
    <row r="66" spans="1:14" ht="15" customHeight="1" thickBot="1" x14ac:dyDescent="0.3">
      <c r="A66" s="40"/>
      <c r="B66" s="96" t="s">
        <v>176</v>
      </c>
      <c r="C66" s="98"/>
      <c r="D66" s="98"/>
      <c r="E66" s="98" t="s">
        <v>230</v>
      </c>
      <c r="F66" s="97"/>
      <c r="G66" s="98"/>
      <c r="H66" s="40"/>
      <c r="I66" s="40"/>
      <c r="J66" s="40"/>
      <c r="K66" s="40"/>
      <c r="L66" s="40"/>
      <c r="M66" s="40"/>
      <c r="N66" s="40"/>
    </row>
    <row r="67" spans="1:14" ht="15" customHeight="1" thickBot="1" x14ac:dyDescent="0.3">
      <c r="A67" s="40"/>
      <c r="B67" s="96" t="s">
        <v>178</v>
      </c>
      <c r="C67" s="98"/>
      <c r="D67" s="98"/>
      <c r="E67" s="98" t="s">
        <v>230</v>
      </c>
      <c r="F67" s="97"/>
      <c r="G67" s="97"/>
      <c r="H67" s="40"/>
      <c r="I67" s="40"/>
      <c r="J67" s="40"/>
      <c r="K67" s="40"/>
      <c r="L67" s="40"/>
      <c r="M67" s="40"/>
      <c r="N67" s="40"/>
    </row>
    <row r="68" spans="1:14" ht="15" customHeight="1" thickBot="1" x14ac:dyDescent="0.3">
      <c r="A68" s="40"/>
      <c r="B68" s="96" t="s">
        <v>179</v>
      </c>
      <c r="C68" s="98"/>
      <c r="D68" s="98"/>
      <c r="E68" s="98" t="s">
        <v>230</v>
      </c>
      <c r="F68" s="97"/>
      <c r="G68" s="97"/>
      <c r="H68" s="40"/>
      <c r="I68" s="40"/>
      <c r="J68" s="40"/>
      <c r="K68" s="40"/>
      <c r="L68" s="40"/>
      <c r="M68" s="40"/>
      <c r="N68" s="40"/>
    </row>
    <row r="69" spans="1:14" ht="15" customHeight="1" thickBot="1" x14ac:dyDescent="0.3">
      <c r="A69" s="40"/>
      <c r="B69" s="96" t="s">
        <v>213</v>
      </c>
      <c r="C69" s="97"/>
      <c r="D69" s="97"/>
      <c r="E69" s="97" t="s">
        <v>230</v>
      </c>
      <c r="F69" s="97"/>
      <c r="G69" s="97"/>
      <c r="H69" s="40"/>
      <c r="I69" s="40"/>
      <c r="J69" s="40"/>
      <c r="K69" s="40"/>
      <c r="L69" s="40"/>
      <c r="M69" s="40"/>
      <c r="N69" s="40"/>
    </row>
    <row r="70" spans="1:14" ht="15" customHeight="1" thickBot="1" x14ac:dyDescent="0.3">
      <c r="A70" s="40"/>
      <c r="B70" s="96"/>
      <c r="C70" s="97"/>
      <c r="D70" s="97"/>
      <c r="E70" s="97"/>
      <c r="F70" s="97"/>
      <c r="G70" s="97"/>
      <c r="H70" s="40"/>
      <c r="I70" s="40"/>
      <c r="J70" s="40"/>
      <c r="K70" s="40"/>
      <c r="L70" s="40"/>
      <c r="M70" s="40"/>
      <c r="N70" s="40"/>
    </row>
    <row r="71" spans="1:14" ht="15" customHeight="1" thickBot="1" x14ac:dyDescent="0.3">
      <c r="A71" s="40"/>
      <c r="B71" s="96" t="s">
        <v>242</v>
      </c>
      <c r="C71" s="98"/>
      <c r="D71" s="98"/>
      <c r="E71" s="98" t="s">
        <v>230</v>
      </c>
      <c r="F71" s="98"/>
      <c r="G71" s="97"/>
      <c r="H71" s="40"/>
      <c r="I71" s="40"/>
      <c r="J71" s="40"/>
      <c r="K71" s="40"/>
      <c r="L71" s="40"/>
      <c r="M71" s="40"/>
      <c r="N71" s="40"/>
    </row>
    <row r="72" spans="1:14" ht="15" customHeight="1" thickBot="1" x14ac:dyDescent="0.3">
      <c r="A72" s="40"/>
      <c r="B72" s="96"/>
      <c r="C72" s="97"/>
      <c r="D72" s="97"/>
      <c r="E72" s="97"/>
      <c r="F72" s="97"/>
      <c r="G72" s="97"/>
      <c r="H72" s="40"/>
      <c r="I72" s="40"/>
      <c r="J72" s="40"/>
      <c r="K72" s="40"/>
      <c r="L72" s="40"/>
      <c r="M72" s="40"/>
      <c r="N72" s="40"/>
    </row>
    <row r="73" spans="1:14" ht="15" customHeight="1" x14ac:dyDescent="0.25">
      <c r="A73" s="40"/>
      <c r="B73" s="40"/>
      <c r="C73" s="40"/>
      <c r="D73" s="40"/>
      <c r="E73" s="40"/>
      <c r="F73" s="40"/>
      <c r="G73" s="40"/>
      <c r="H73" s="40"/>
      <c r="I73" s="40"/>
      <c r="J73" s="40"/>
      <c r="K73" s="40"/>
      <c r="L73" s="40"/>
      <c r="M73" s="40"/>
      <c r="N73" s="40"/>
    </row>
    <row r="74" spans="1:14" ht="15" hidden="1" customHeight="1" x14ac:dyDescent="0.25">
      <c r="A74" s="40"/>
      <c r="B74" s="40"/>
      <c r="C74" s="40"/>
      <c r="D74" s="40"/>
      <c r="E74" s="40"/>
      <c r="F74" s="40"/>
      <c r="G74" s="40"/>
      <c r="H74" s="40"/>
      <c r="I74" s="40"/>
      <c r="J74" s="40"/>
      <c r="K74" s="40"/>
      <c r="L74" s="40"/>
      <c r="M74" s="40"/>
      <c r="N74" s="40"/>
    </row>
    <row r="75" spans="1:14" ht="15" hidden="1" customHeight="1" x14ac:dyDescent="0.25">
      <c r="A75" s="40"/>
      <c r="B75" s="40"/>
      <c r="C75" s="40"/>
      <c r="D75" s="40"/>
      <c r="E75" s="40"/>
      <c r="F75" s="40"/>
      <c r="G75" s="40"/>
      <c r="H75" s="40"/>
      <c r="I75" s="40"/>
      <c r="J75" s="40"/>
      <c r="K75" s="40"/>
      <c r="L75" s="40"/>
      <c r="M75" s="40"/>
      <c r="N75" s="40"/>
    </row>
    <row r="76" spans="1:14" ht="15" hidden="1" customHeight="1" x14ac:dyDescent="0.25">
      <c r="A76" s="40"/>
      <c r="B76" s="40"/>
      <c r="C76" s="40"/>
      <c r="D76" s="40"/>
      <c r="E76" s="40"/>
      <c r="F76" s="40"/>
      <c r="G76" s="40"/>
      <c r="H76" s="40"/>
      <c r="I76" s="40"/>
      <c r="J76" s="40"/>
      <c r="K76" s="40"/>
      <c r="L76" s="40"/>
      <c r="M76" s="40"/>
      <c r="N76" s="40"/>
    </row>
    <row r="77" spans="1:14" ht="15" hidden="1" customHeight="1" x14ac:dyDescent="0.25">
      <c r="A77" s="40"/>
      <c r="B77" s="40"/>
      <c r="C77" s="40"/>
      <c r="D77" s="40"/>
      <c r="E77" s="40"/>
      <c r="F77" s="40"/>
      <c r="G77" s="40"/>
      <c r="H77" s="40"/>
      <c r="I77" s="40"/>
      <c r="J77" s="40"/>
      <c r="K77" s="40"/>
      <c r="L77" s="40"/>
      <c r="M77" s="40"/>
      <c r="N77" s="40"/>
    </row>
    <row r="78" spans="1:14" ht="15" hidden="1" customHeight="1" x14ac:dyDescent="0.25">
      <c r="A78" s="40"/>
      <c r="B78" s="40"/>
      <c r="C78" s="40"/>
      <c r="D78" s="40"/>
      <c r="E78" s="40"/>
      <c r="F78" s="40"/>
      <c r="G78" s="40"/>
      <c r="H78" s="40"/>
      <c r="I78" s="40"/>
      <c r="J78" s="40"/>
      <c r="K78" s="40"/>
      <c r="L78" s="40"/>
      <c r="M78" s="40"/>
      <c r="N78" s="40"/>
    </row>
    <row r="79" spans="1:14" ht="0" hidden="1" customHeight="1" x14ac:dyDescent="0.25">
      <c r="A79" s="40"/>
      <c r="B79" s="40"/>
      <c r="C79" s="40"/>
      <c r="D79" s="40"/>
      <c r="E79" s="40"/>
      <c r="F79" s="40"/>
      <c r="G79" s="40"/>
      <c r="H79" s="40"/>
      <c r="I79" s="40"/>
      <c r="J79" s="40"/>
      <c r="K79" s="40"/>
      <c r="L79" s="40"/>
      <c r="M79" s="40"/>
    </row>
    <row r="80" spans="1:14" ht="0" hidden="1" customHeight="1" x14ac:dyDescent="0.25">
      <c r="A80" s="40"/>
      <c r="B80" s="40"/>
      <c r="C80" s="40"/>
      <c r="D80" s="40"/>
      <c r="E80" s="40"/>
      <c r="F80" s="40"/>
      <c r="G80" s="40"/>
      <c r="H80" s="40"/>
      <c r="I80" s="40"/>
      <c r="J80" s="40"/>
      <c r="K80" s="40"/>
      <c r="L80" s="40"/>
      <c r="M80" s="40"/>
    </row>
  </sheetData>
  <sheetProtection algorithmName="SHA-512" hashValue="7Qv78T2ZmZwM3/a+8pcxVSe1zO4V1cFEAlo+6zWsVdIXIkUcjvANdYtXXLRClxpTsc7geo/zyTFJHoWYLlAf/w==" saltValue="5Tt11Y9t0qQgenEwKpm0wA==" spinCount="100000" sheet="1" objects="1" scenarios="1" formatCells="0" formatColumns="0" formatRows="0" selectLockedCells="1" selectUnlockedCells="1"/>
  <mergeCells count="6">
    <mergeCell ref="C4:C5"/>
    <mergeCell ref="E4:E5"/>
    <mergeCell ref="F4:F5"/>
    <mergeCell ref="G4:G5"/>
    <mergeCell ref="B2:G2"/>
    <mergeCell ref="D4:D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60BD4-A332-4FDA-A356-39376687BBFF}">
  <sheetPr codeName="Ark11"/>
  <dimension ref="A1:M80"/>
  <sheetViews>
    <sheetView showGridLines="0" showRowColHeaders="0" zoomScale="133" workbookViewId="0">
      <selection activeCell="G12" sqref="G12"/>
    </sheetView>
  </sheetViews>
  <sheetFormatPr defaultColWidth="0" defaultRowHeight="15" customHeight="1" zeroHeight="1" x14ac:dyDescent="0.25"/>
  <cols>
    <col min="1" max="1" width="8.85546875" customWidth="1"/>
    <col min="2" max="2" width="10.7109375" customWidth="1"/>
    <col min="3" max="3" width="16.85546875" customWidth="1"/>
    <col min="4" max="4" width="13.42578125" customWidth="1"/>
    <col min="5" max="5" width="13.28515625" customWidth="1"/>
    <col min="6" max="6" width="15.7109375" customWidth="1"/>
    <col min="7" max="7" width="8.85546875" customWidth="1"/>
    <col min="8" max="13" width="0" hidden="1" customWidth="1"/>
    <col min="14" max="16384" width="8.85546875" hidden="1"/>
  </cols>
  <sheetData>
    <row r="1" spans="1:13" x14ac:dyDescent="0.25">
      <c r="A1" s="40"/>
      <c r="B1" s="40"/>
      <c r="C1" s="40"/>
      <c r="D1" s="40"/>
      <c r="E1" s="40"/>
      <c r="F1" s="40"/>
      <c r="G1" s="40"/>
      <c r="H1" s="40"/>
      <c r="I1" s="40"/>
      <c r="J1" s="40"/>
      <c r="K1" s="40"/>
      <c r="L1" s="40"/>
      <c r="M1" s="40"/>
    </row>
    <row r="2" spans="1:13" ht="21" x14ac:dyDescent="0.25">
      <c r="A2" s="40"/>
      <c r="B2" s="185" t="s">
        <v>250</v>
      </c>
      <c r="C2" s="185"/>
      <c r="D2" s="185"/>
      <c r="E2" s="185"/>
      <c r="F2" s="185"/>
      <c r="G2" s="40"/>
      <c r="H2" s="40"/>
      <c r="I2" s="40"/>
      <c r="J2" s="40"/>
      <c r="K2" s="40"/>
      <c r="L2" s="40"/>
      <c r="M2" s="40"/>
    </row>
    <row r="3" spans="1:13" ht="15.75" thickBot="1" x14ac:dyDescent="0.3">
      <c r="A3" s="40"/>
      <c r="B3" s="40"/>
      <c r="C3" s="40"/>
      <c r="D3" s="40"/>
      <c r="E3" s="40"/>
      <c r="F3" s="40"/>
      <c r="G3" s="40"/>
      <c r="H3" s="40"/>
      <c r="I3" s="40"/>
      <c r="J3" s="40"/>
      <c r="K3" s="40"/>
      <c r="L3" s="40"/>
      <c r="M3" s="40"/>
    </row>
    <row r="4" spans="1:13" ht="30.6" customHeight="1" x14ac:dyDescent="0.25">
      <c r="A4" s="40"/>
      <c r="B4" s="95" t="s">
        <v>127</v>
      </c>
      <c r="C4" s="186" t="s">
        <v>244</v>
      </c>
      <c r="D4" s="186" t="s">
        <v>245</v>
      </c>
      <c r="E4" s="186" t="s">
        <v>246</v>
      </c>
      <c r="F4" s="186" t="s">
        <v>247</v>
      </c>
      <c r="G4" s="40"/>
      <c r="H4" s="40"/>
      <c r="I4" s="40"/>
      <c r="J4" s="40"/>
      <c r="K4" s="40"/>
      <c r="L4" s="40"/>
      <c r="M4" s="40"/>
    </row>
    <row r="5" spans="1:13" ht="16.5" thickBot="1" x14ac:dyDescent="0.3">
      <c r="A5" s="40"/>
      <c r="B5" s="110" t="s">
        <v>243</v>
      </c>
      <c r="C5" s="187"/>
      <c r="D5" s="187"/>
      <c r="E5" s="187"/>
      <c r="F5" s="187"/>
      <c r="G5" s="40"/>
      <c r="H5" s="40"/>
      <c r="I5" s="40"/>
      <c r="J5" s="40"/>
      <c r="K5" s="40"/>
      <c r="L5" s="40"/>
      <c r="M5" s="40"/>
    </row>
    <row r="6" spans="1:13" ht="15" customHeight="1" thickBot="1" x14ac:dyDescent="0.3">
      <c r="A6" s="40"/>
      <c r="B6" s="96" t="s">
        <v>145</v>
      </c>
      <c r="C6" s="97" t="s">
        <v>230</v>
      </c>
      <c r="D6" s="97"/>
      <c r="E6" s="97"/>
      <c r="F6" s="97"/>
      <c r="G6" s="40"/>
      <c r="H6" s="40"/>
      <c r="I6" s="40"/>
      <c r="J6" s="40"/>
      <c r="K6" s="40"/>
      <c r="L6" s="40"/>
      <c r="M6" s="40"/>
    </row>
    <row r="7" spans="1:13" ht="15" customHeight="1" thickBot="1" x14ac:dyDescent="0.3">
      <c r="A7" s="40"/>
      <c r="B7" s="96" t="s">
        <v>248</v>
      </c>
      <c r="C7" s="97" t="s">
        <v>230</v>
      </c>
      <c r="D7" s="97"/>
      <c r="E7" s="97"/>
      <c r="F7" s="97"/>
      <c r="G7" s="40"/>
      <c r="H7" s="40"/>
      <c r="I7" s="40"/>
      <c r="J7" s="40"/>
      <c r="K7" s="40"/>
      <c r="L7" s="40"/>
      <c r="M7" s="40"/>
    </row>
    <row r="8" spans="1:13" ht="15" customHeight="1" thickBot="1" x14ac:dyDescent="0.3">
      <c r="A8" s="40"/>
      <c r="B8" s="96"/>
      <c r="C8" s="97"/>
      <c r="D8" s="97"/>
      <c r="E8" s="97"/>
      <c r="F8" s="97"/>
      <c r="G8" s="40"/>
      <c r="H8" s="40"/>
      <c r="I8" s="40"/>
      <c r="J8" s="40"/>
      <c r="K8" s="40"/>
      <c r="L8" s="40"/>
      <c r="M8" s="40"/>
    </row>
    <row r="9" spans="1:13" ht="15" customHeight="1" thickBot="1" x14ac:dyDescent="0.3">
      <c r="A9" s="40"/>
      <c r="B9" s="96" t="s">
        <v>149</v>
      </c>
      <c r="C9" s="97" t="s">
        <v>230</v>
      </c>
      <c r="D9" s="97" t="s">
        <v>230</v>
      </c>
      <c r="E9" s="97"/>
      <c r="F9" s="97"/>
      <c r="G9" s="40"/>
      <c r="H9" s="40"/>
      <c r="I9" s="40"/>
      <c r="J9" s="40"/>
      <c r="K9" s="40"/>
      <c r="L9" s="40"/>
      <c r="M9" s="40"/>
    </row>
    <row r="10" spans="1:13" ht="15" customHeight="1" thickBot="1" x14ac:dyDescent="0.3">
      <c r="A10" s="40"/>
      <c r="B10" s="96" t="s">
        <v>152</v>
      </c>
      <c r="C10" s="97" t="s">
        <v>230</v>
      </c>
      <c r="D10" s="97"/>
      <c r="E10" s="97"/>
      <c r="F10" s="97"/>
      <c r="G10" s="40"/>
      <c r="H10" s="40"/>
      <c r="I10" s="40"/>
      <c r="J10" s="40"/>
      <c r="K10" s="40"/>
      <c r="L10" s="40"/>
      <c r="M10" s="40"/>
    </row>
    <row r="11" spans="1:13" ht="15" customHeight="1" thickBot="1" x14ac:dyDescent="0.3">
      <c r="A11" s="40"/>
      <c r="B11" s="96"/>
      <c r="C11" s="97"/>
      <c r="D11" s="97"/>
      <c r="E11" s="97"/>
      <c r="F11" s="97"/>
      <c r="G11" s="40"/>
      <c r="H11" s="40"/>
      <c r="I11" s="40"/>
      <c r="J11" s="40"/>
      <c r="K11" s="40"/>
      <c r="L11" s="40"/>
      <c r="M11" s="40"/>
    </row>
    <row r="12" spans="1:13" ht="15" customHeight="1" thickBot="1" x14ac:dyDescent="0.3">
      <c r="A12" s="40"/>
      <c r="B12" s="96"/>
      <c r="C12" s="97"/>
      <c r="D12" s="97"/>
      <c r="E12" s="97"/>
      <c r="F12" s="97"/>
      <c r="G12" s="40"/>
      <c r="H12" s="40"/>
      <c r="I12" s="40"/>
      <c r="J12" s="40"/>
      <c r="K12" s="40"/>
      <c r="L12" s="40"/>
      <c r="M12" s="40"/>
    </row>
    <row r="13" spans="1:13" ht="15" customHeight="1" thickBot="1" x14ac:dyDescent="0.3">
      <c r="A13" s="40"/>
      <c r="B13" s="96" t="s">
        <v>156</v>
      </c>
      <c r="C13" s="97"/>
      <c r="D13" s="97"/>
      <c r="E13" s="97"/>
      <c r="F13" s="97" t="s">
        <v>230</v>
      </c>
      <c r="G13" s="40"/>
      <c r="H13" s="40"/>
      <c r="I13" s="40"/>
      <c r="J13" s="40"/>
      <c r="K13" s="40"/>
      <c r="L13" s="40"/>
      <c r="M13" s="40"/>
    </row>
    <row r="14" spans="1:13" ht="15" customHeight="1" thickBot="1" x14ac:dyDescent="0.3">
      <c r="A14" s="40"/>
      <c r="B14" s="96" t="s">
        <v>158</v>
      </c>
      <c r="C14" s="97" t="s">
        <v>230</v>
      </c>
      <c r="D14" s="97" t="s">
        <v>230</v>
      </c>
      <c r="E14" s="97" t="s">
        <v>230</v>
      </c>
      <c r="F14" s="97"/>
      <c r="G14" s="40"/>
      <c r="H14" s="40"/>
      <c r="I14" s="40"/>
      <c r="J14" s="40"/>
      <c r="K14" s="40"/>
      <c r="L14" s="40"/>
      <c r="M14" s="40"/>
    </row>
    <row r="15" spans="1:13" ht="15" customHeight="1" thickBot="1" x14ac:dyDescent="0.3">
      <c r="A15" s="40"/>
      <c r="B15" s="96"/>
      <c r="C15" s="97"/>
      <c r="D15" s="97"/>
      <c r="E15" s="97"/>
      <c r="F15" s="97"/>
      <c r="G15" s="40"/>
      <c r="H15" s="40"/>
      <c r="I15" s="40"/>
      <c r="J15" s="40"/>
      <c r="K15" s="40"/>
      <c r="L15" s="40"/>
      <c r="M15" s="40"/>
    </row>
    <row r="16" spans="1:13" ht="15" customHeight="1" thickBot="1" x14ac:dyDescent="0.3">
      <c r="A16" s="40"/>
      <c r="B16" s="96" t="s">
        <v>159</v>
      </c>
      <c r="C16" s="97"/>
      <c r="D16" s="97"/>
      <c r="E16" s="97"/>
      <c r="F16" s="97" t="s">
        <v>230</v>
      </c>
      <c r="G16" s="40"/>
      <c r="H16" s="40"/>
      <c r="I16" s="40"/>
      <c r="J16" s="40"/>
      <c r="K16" s="40"/>
      <c r="L16" s="40"/>
      <c r="M16" s="40"/>
    </row>
    <row r="17" spans="1:13" ht="15" customHeight="1" thickBot="1" x14ac:dyDescent="0.3">
      <c r="A17" s="40"/>
      <c r="B17" s="96" t="s">
        <v>162</v>
      </c>
      <c r="C17" s="97"/>
      <c r="D17" s="97"/>
      <c r="E17" s="97" t="s">
        <v>230</v>
      </c>
      <c r="F17" s="97"/>
      <c r="G17" s="40"/>
      <c r="H17" s="40"/>
      <c r="I17" s="40"/>
      <c r="J17" s="40"/>
      <c r="K17" s="40"/>
      <c r="L17" s="40"/>
      <c r="M17" s="40"/>
    </row>
    <row r="18" spans="1:13" ht="15" customHeight="1" thickBot="1" x14ac:dyDescent="0.3">
      <c r="A18" s="40"/>
      <c r="B18" s="96"/>
      <c r="C18" s="97"/>
      <c r="D18" s="97"/>
      <c r="E18" s="97"/>
      <c r="F18" s="97"/>
      <c r="G18" s="40"/>
      <c r="H18" s="40"/>
      <c r="I18" s="40"/>
      <c r="J18" s="40"/>
      <c r="K18" s="40"/>
      <c r="L18" s="40"/>
      <c r="M18" s="40"/>
    </row>
    <row r="19" spans="1:13" ht="15" customHeight="1" thickBot="1" x14ac:dyDescent="0.3">
      <c r="A19" s="40"/>
      <c r="B19" s="96" t="s">
        <v>163</v>
      </c>
      <c r="C19" s="97"/>
      <c r="D19" s="97"/>
      <c r="E19" s="97"/>
      <c r="F19" s="97" t="s">
        <v>230</v>
      </c>
      <c r="G19" s="40"/>
      <c r="H19" s="40"/>
      <c r="I19" s="40"/>
      <c r="J19" s="40"/>
      <c r="K19" s="40"/>
      <c r="L19" s="40"/>
      <c r="M19" s="40"/>
    </row>
    <row r="20" spans="1:13" ht="15" customHeight="1" thickBot="1" x14ac:dyDescent="0.3">
      <c r="A20" s="40"/>
      <c r="B20" s="96" t="s">
        <v>167</v>
      </c>
      <c r="C20" s="97" t="s">
        <v>230</v>
      </c>
      <c r="D20" s="97" t="s">
        <v>230</v>
      </c>
      <c r="E20" s="97" t="s">
        <v>230</v>
      </c>
      <c r="F20" s="97"/>
      <c r="G20" s="40"/>
      <c r="H20" s="40"/>
      <c r="I20" s="40"/>
      <c r="J20" s="40"/>
      <c r="K20" s="40"/>
      <c r="L20" s="40"/>
      <c r="M20" s="40"/>
    </row>
    <row r="21" spans="1:13" ht="15" customHeight="1" thickBot="1" x14ac:dyDescent="0.3">
      <c r="A21" s="40"/>
      <c r="B21" s="96"/>
      <c r="C21" s="97"/>
      <c r="D21" s="97"/>
      <c r="E21" s="97"/>
      <c r="F21" s="97"/>
      <c r="G21" s="40"/>
      <c r="H21" s="40"/>
      <c r="I21" s="40"/>
      <c r="J21" s="40"/>
      <c r="K21" s="40"/>
      <c r="L21" s="40"/>
      <c r="M21" s="40"/>
    </row>
    <row r="22" spans="1:13" ht="15" customHeight="1" thickBot="1" x14ac:dyDescent="0.3">
      <c r="A22" s="40"/>
      <c r="B22" s="96" t="s">
        <v>168</v>
      </c>
      <c r="C22" s="97"/>
      <c r="D22" s="97"/>
      <c r="E22" s="97"/>
      <c r="F22" s="97" t="s">
        <v>230</v>
      </c>
      <c r="G22" s="40"/>
      <c r="H22" s="40"/>
      <c r="I22" s="40"/>
      <c r="J22" s="40"/>
      <c r="K22" s="40"/>
      <c r="L22" s="40"/>
      <c r="M22" s="40"/>
    </row>
    <row r="23" spans="1:13" ht="15" customHeight="1" thickBot="1" x14ac:dyDescent="0.3">
      <c r="A23" s="40"/>
      <c r="B23" s="96" t="s">
        <v>171</v>
      </c>
      <c r="C23" s="97"/>
      <c r="D23" s="97"/>
      <c r="E23" s="97" t="s">
        <v>230</v>
      </c>
      <c r="F23" s="97"/>
      <c r="G23" s="40"/>
      <c r="H23" s="40"/>
      <c r="I23" s="40"/>
      <c r="J23" s="40"/>
      <c r="K23" s="40"/>
      <c r="L23" s="40"/>
      <c r="M23" s="40"/>
    </row>
    <row r="24" spans="1:13" ht="15" customHeight="1" thickBot="1" x14ac:dyDescent="0.3">
      <c r="A24" s="40"/>
      <c r="B24" s="96"/>
      <c r="C24" s="97"/>
      <c r="D24" s="97"/>
      <c r="E24" s="97"/>
      <c r="F24" s="97"/>
      <c r="G24" s="40"/>
      <c r="H24" s="40"/>
      <c r="I24" s="40"/>
      <c r="J24" s="40"/>
      <c r="K24" s="40"/>
      <c r="L24" s="40"/>
      <c r="M24" s="40"/>
    </row>
    <row r="25" spans="1:13" ht="15" customHeight="1" thickBot="1" x14ac:dyDescent="0.3">
      <c r="A25" s="40"/>
      <c r="B25" s="96" t="s">
        <v>172</v>
      </c>
      <c r="C25" s="97"/>
      <c r="D25" s="97"/>
      <c r="E25" s="97"/>
      <c r="F25" s="97" t="s">
        <v>230</v>
      </c>
      <c r="G25" s="40"/>
      <c r="H25" s="40"/>
      <c r="I25" s="40"/>
      <c r="J25" s="40"/>
      <c r="K25" s="40"/>
      <c r="L25" s="40"/>
      <c r="M25" s="40"/>
    </row>
    <row r="26" spans="1:13" ht="15" customHeight="1" thickBot="1" x14ac:dyDescent="0.3">
      <c r="A26" s="40"/>
      <c r="B26" s="96" t="s">
        <v>175</v>
      </c>
      <c r="C26" s="97" t="s">
        <v>230</v>
      </c>
      <c r="D26" s="97" t="s">
        <v>230</v>
      </c>
      <c r="E26" s="97" t="s">
        <v>230</v>
      </c>
      <c r="F26" s="97"/>
      <c r="G26" s="40"/>
      <c r="H26" s="40"/>
      <c r="I26" s="40"/>
      <c r="J26" s="40"/>
      <c r="K26" s="40"/>
      <c r="L26" s="40"/>
      <c r="M26" s="40"/>
    </row>
    <row r="27" spans="1:13" ht="15" customHeight="1" thickBot="1" x14ac:dyDescent="0.3">
      <c r="A27" s="40"/>
      <c r="B27" s="96"/>
      <c r="C27" s="97"/>
      <c r="D27" s="97"/>
      <c r="E27" s="97"/>
      <c r="F27" s="97"/>
      <c r="G27" s="40"/>
      <c r="H27" s="40"/>
      <c r="I27" s="40"/>
      <c r="J27" s="40"/>
      <c r="K27" s="40"/>
      <c r="L27" s="40"/>
      <c r="M27" s="40"/>
    </row>
    <row r="28" spans="1:13" ht="15" customHeight="1" thickBot="1" x14ac:dyDescent="0.3">
      <c r="A28" s="40"/>
      <c r="B28" s="96" t="s">
        <v>212</v>
      </c>
      <c r="C28" s="97"/>
      <c r="D28" s="97"/>
      <c r="E28" s="97" t="s">
        <v>230</v>
      </c>
      <c r="F28" s="97"/>
      <c r="G28" s="40"/>
      <c r="H28" s="40"/>
      <c r="I28" s="40"/>
      <c r="J28" s="40"/>
      <c r="K28" s="40"/>
      <c r="L28" s="40"/>
      <c r="M28" s="40"/>
    </row>
    <row r="29" spans="1:13" ht="15" customHeight="1" thickBot="1" x14ac:dyDescent="0.3">
      <c r="A29" s="40"/>
      <c r="B29" s="96"/>
      <c r="C29" s="97"/>
      <c r="D29" s="97"/>
      <c r="E29" s="97"/>
      <c r="F29" s="97"/>
      <c r="G29" s="40"/>
      <c r="H29" s="40"/>
      <c r="I29" s="40"/>
      <c r="J29" s="40"/>
      <c r="K29" s="40"/>
      <c r="L29" s="40"/>
      <c r="M29" s="40"/>
    </row>
    <row r="30" spans="1:13" ht="15" customHeight="1" thickBot="1" x14ac:dyDescent="0.3">
      <c r="A30" s="40"/>
      <c r="B30" s="96" t="s">
        <v>178</v>
      </c>
      <c r="C30" s="97"/>
      <c r="D30" s="97"/>
      <c r="E30" s="97"/>
      <c r="F30" s="97" t="s">
        <v>230</v>
      </c>
      <c r="G30" s="40"/>
      <c r="H30" s="40"/>
      <c r="I30" s="40"/>
      <c r="J30" s="40"/>
      <c r="K30" s="40"/>
      <c r="L30" s="40"/>
      <c r="M30" s="40"/>
    </row>
    <row r="31" spans="1:13" ht="15" customHeight="1" thickBot="1" x14ac:dyDescent="0.3">
      <c r="A31" s="40"/>
      <c r="B31" s="96" t="s">
        <v>213</v>
      </c>
      <c r="C31" s="97" t="s">
        <v>230</v>
      </c>
      <c r="D31" s="97" t="s">
        <v>230</v>
      </c>
      <c r="E31" s="97" t="s">
        <v>230</v>
      </c>
      <c r="F31" s="97"/>
      <c r="G31" s="40"/>
      <c r="H31" s="40"/>
      <c r="I31" s="40"/>
      <c r="J31" s="40"/>
      <c r="K31" s="40"/>
      <c r="L31" s="40"/>
      <c r="M31" s="40"/>
    </row>
    <row r="32" spans="1:13" ht="15" customHeight="1" thickBot="1" x14ac:dyDescent="0.3">
      <c r="A32" s="40"/>
      <c r="B32" s="96"/>
      <c r="C32" s="97"/>
      <c r="D32" s="97"/>
      <c r="E32" s="97"/>
      <c r="F32" s="97"/>
      <c r="G32" s="40"/>
      <c r="H32" s="40"/>
      <c r="I32" s="40"/>
      <c r="J32" s="40"/>
      <c r="K32" s="40"/>
      <c r="L32" s="40"/>
      <c r="M32" s="40"/>
    </row>
    <row r="33" spans="1:13" ht="15" customHeight="1" thickBot="1" x14ac:dyDescent="0.3">
      <c r="A33" s="40"/>
      <c r="B33" s="96" t="s">
        <v>222</v>
      </c>
      <c r="C33" s="97"/>
      <c r="D33" s="97"/>
      <c r="E33" s="97" t="s">
        <v>230</v>
      </c>
      <c r="F33" s="97"/>
      <c r="G33" s="40"/>
      <c r="H33" s="40"/>
      <c r="I33" s="40"/>
      <c r="J33" s="40"/>
      <c r="K33" s="40"/>
      <c r="L33" s="40"/>
      <c r="M33" s="40"/>
    </row>
    <row r="34" spans="1:13" ht="15" customHeight="1" x14ac:dyDescent="0.25">
      <c r="A34" s="40"/>
      <c r="B34" s="40"/>
      <c r="C34" s="40"/>
      <c r="D34" s="40"/>
      <c r="E34" s="40"/>
      <c r="F34" s="40"/>
      <c r="G34" s="40"/>
      <c r="H34" s="40"/>
      <c r="I34" s="40"/>
      <c r="J34" s="40"/>
      <c r="K34" s="40"/>
      <c r="L34" s="40"/>
      <c r="M34" s="40"/>
    </row>
    <row r="35" spans="1:13" ht="15" hidden="1" customHeight="1" x14ac:dyDescent="0.25">
      <c r="A35" s="40"/>
      <c r="B35" s="40"/>
      <c r="C35" s="40"/>
      <c r="D35" s="40"/>
      <c r="E35" s="40"/>
      <c r="F35" s="40"/>
      <c r="G35" s="40"/>
      <c r="H35" s="40"/>
      <c r="I35" s="40"/>
      <c r="J35" s="40"/>
      <c r="K35" s="40"/>
      <c r="L35" s="40"/>
      <c r="M35" s="40"/>
    </row>
    <row r="36" spans="1:13" ht="15" hidden="1" customHeight="1" x14ac:dyDescent="0.25">
      <c r="A36" s="40"/>
      <c r="B36" s="40"/>
      <c r="C36" s="40"/>
      <c r="D36" s="40"/>
      <c r="E36" s="40"/>
      <c r="F36" s="40"/>
      <c r="G36" s="40"/>
      <c r="H36" s="40"/>
      <c r="I36" s="40"/>
      <c r="J36" s="40"/>
      <c r="K36" s="40"/>
      <c r="L36" s="40"/>
      <c r="M36" s="40"/>
    </row>
    <row r="37" spans="1:13" ht="15" hidden="1" customHeight="1" x14ac:dyDescent="0.25">
      <c r="A37" s="40"/>
      <c r="B37" s="40"/>
      <c r="C37" s="40"/>
      <c r="D37" s="40"/>
      <c r="E37" s="40"/>
      <c r="F37" s="40"/>
      <c r="G37" s="40"/>
      <c r="H37" s="40"/>
      <c r="I37" s="40"/>
      <c r="J37" s="40"/>
      <c r="K37" s="40"/>
      <c r="L37" s="40"/>
      <c r="M37" s="40"/>
    </row>
    <row r="38" spans="1:13" ht="15" hidden="1" customHeight="1" x14ac:dyDescent="0.25">
      <c r="A38" s="40"/>
      <c r="B38" s="40"/>
      <c r="C38" s="40"/>
      <c r="D38" s="40"/>
      <c r="E38" s="40"/>
      <c r="F38" s="40"/>
      <c r="G38" s="40"/>
      <c r="H38" s="40"/>
      <c r="I38" s="40"/>
      <c r="J38" s="40"/>
      <c r="K38" s="40"/>
      <c r="L38" s="40"/>
      <c r="M38" s="40"/>
    </row>
    <row r="39" spans="1:13" ht="15" hidden="1" customHeight="1" x14ac:dyDescent="0.25">
      <c r="A39" s="40"/>
      <c r="B39" s="40"/>
      <c r="C39" s="40"/>
      <c r="D39" s="40"/>
      <c r="E39" s="40"/>
      <c r="F39" s="40"/>
      <c r="G39" s="40"/>
      <c r="H39" s="40"/>
      <c r="I39" s="40"/>
      <c r="J39" s="40"/>
      <c r="K39" s="40"/>
      <c r="L39" s="40"/>
      <c r="M39" s="40"/>
    </row>
    <row r="40" spans="1:13" ht="15" hidden="1" customHeight="1" x14ac:dyDescent="0.25">
      <c r="A40" s="40"/>
      <c r="B40" s="40"/>
      <c r="C40" s="40"/>
      <c r="D40" s="40"/>
      <c r="E40" s="40"/>
      <c r="F40" s="40"/>
      <c r="G40" s="40"/>
      <c r="H40" s="40"/>
      <c r="I40" s="40"/>
      <c r="J40" s="40"/>
      <c r="K40" s="40"/>
      <c r="L40" s="40"/>
      <c r="M40" s="40"/>
    </row>
    <row r="41" spans="1:13" ht="15" hidden="1" customHeight="1" x14ac:dyDescent="0.25">
      <c r="A41" s="40"/>
      <c r="B41" s="40"/>
      <c r="C41" s="40"/>
      <c r="D41" s="40"/>
      <c r="E41" s="40"/>
      <c r="F41" s="40"/>
      <c r="G41" s="40"/>
      <c r="H41" s="40"/>
      <c r="I41" s="40"/>
      <c r="J41" s="40"/>
      <c r="K41" s="40"/>
      <c r="L41" s="40"/>
      <c r="M41" s="40"/>
    </row>
    <row r="42" spans="1:13" ht="15" hidden="1" customHeight="1" x14ac:dyDescent="0.25">
      <c r="A42" s="40"/>
      <c r="B42" s="40"/>
      <c r="C42" s="40"/>
      <c r="D42" s="40"/>
      <c r="E42" s="40"/>
      <c r="F42" s="40"/>
      <c r="G42" s="40"/>
      <c r="H42" s="40"/>
      <c r="I42" s="40"/>
      <c r="J42" s="40"/>
      <c r="K42" s="40"/>
      <c r="L42" s="40"/>
      <c r="M42" s="40"/>
    </row>
    <row r="43" spans="1:13" ht="15" hidden="1" customHeight="1" x14ac:dyDescent="0.25">
      <c r="A43" s="40"/>
      <c r="B43" s="40"/>
      <c r="C43" s="40"/>
      <c r="D43" s="40"/>
      <c r="E43" s="40"/>
      <c r="F43" s="40"/>
      <c r="G43" s="40"/>
      <c r="H43" s="40"/>
      <c r="I43" s="40"/>
      <c r="J43" s="40"/>
      <c r="K43" s="40"/>
      <c r="L43" s="40"/>
      <c r="M43" s="40"/>
    </row>
    <row r="44" spans="1:13" ht="15" hidden="1" customHeight="1" x14ac:dyDescent="0.25">
      <c r="A44" s="40"/>
      <c r="B44" s="40"/>
      <c r="C44" s="40"/>
      <c r="D44" s="40"/>
      <c r="E44" s="40"/>
      <c r="F44" s="40"/>
      <c r="G44" s="40"/>
      <c r="H44" s="40"/>
      <c r="I44" s="40"/>
      <c r="J44" s="40"/>
      <c r="K44" s="40"/>
      <c r="L44" s="40"/>
      <c r="M44" s="40"/>
    </row>
    <row r="45" spans="1:13" ht="15" hidden="1" customHeight="1" x14ac:dyDescent="0.25">
      <c r="A45" s="40"/>
      <c r="B45" s="40"/>
      <c r="C45" s="40"/>
      <c r="D45" s="40"/>
      <c r="E45" s="40"/>
      <c r="F45" s="40"/>
      <c r="G45" s="40"/>
      <c r="H45" s="40"/>
      <c r="I45" s="40"/>
      <c r="J45" s="40"/>
      <c r="K45" s="40"/>
      <c r="L45" s="40"/>
      <c r="M45" s="40"/>
    </row>
    <row r="46" spans="1:13" ht="15" hidden="1" customHeight="1" x14ac:dyDescent="0.25">
      <c r="A46" s="40"/>
      <c r="B46" s="40"/>
      <c r="C46" s="40"/>
      <c r="D46" s="40"/>
      <c r="E46" s="40"/>
      <c r="F46" s="40"/>
      <c r="G46" s="40"/>
      <c r="H46" s="40"/>
      <c r="I46" s="40"/>
      <c r="J46" s="40"/>
      <c r="K46" s="40"/>
      <c r="L46" s="40"/>
      <c r="M46" s="40"/>
    </row>
    <row r="47" spans="1:13" ht="15" hidden="1" customHeight="1" x14ac:dyDescent="0.25">
      <c r="A47" s="40"/>
      <c r="B47" s="40"/>
      <c r="C47" s="40"/>
      <c r="D47" s="40"/>
      <c r="E47" s="40"/>
      <c r="F47" s="40"/>
      <c r="G47" s="40"/>
      <c r="H47" s="40"/>
      <c r="I47" s="40"/>
      <c r="J47" s="40"/>
      <c r="K47" s="40"/>
      <c r="L47" s="40"/>
      <c r="M47" s="40"/>
    </row>
    <row r="48" spans="1:13" ht="15" hidden="1" customHeight="1" x14ac:dyDescent="0.25">
      <c r="A48" s="40"/>
      <c r="B48" s="40"/>
      <c r="C48" s="40"/>
      <c r="D48" s="40"/>
      <c r="E48" s="40"/>
      <c r="F48" s="40"/>
      <c r="G48" s="40"/>
      <c r="H48" s="40"/>
      <c r="I48" s="40"/>
      <c r="J48" s="40"/>
      <c r="K48" s="40"/>
      <c r="L48" s="40"/>
      <c r="M48" s="40"/>
    </row>
    <row r="49" spans="1:13" ht="15" hidden="1" customHeight="1" x14ac:dyDescent="0.25">
      <c r="A49" s="40"/>
      <c r="B49" s="40"/>
      <c r="C49" s="40"/>
      <c r="D49" s="40"/>
      <c r="E49" s="40"/>
      <c r="F49" s="40"/>
      <c r="G49" s="40"/>
      <c r="H49" s="40"/>
      <c r="I49" s="40"/>
      <c r="J49" s="40"/>
      <c r="K49" s="40"/>
      <c r="L49" s="40"/>
      <c r="M49" s="40"/>
    </row>
    <row r="50" spans="1:13" ht="15" hidden="1" customHeight="1" x14ac:dyDescent="0.25">
      <c r="A50" s="40"/>
      <c r="B50" s="40"/>
      <c r="C50" s="40"/>
      <c r="D50" s="40"/>
      <c r="E50" s="40"/>
      <c r="F50" s="40"/>
      <c r="G50" s="40"/>
      <c r="H50" s="40"/>
      <c r="I50" s="40"/>
      <c r="J50" s="40"/>
      <c r="K50" s="40"/>
      <c r="L50" s="40"/>
      <c r="M50" s="40"/>
    </row>
    <row r="51" spans="1:13" ht="15" hidden="1" customHeight="1" x14ac:dyDescent="0.25">
      <c r="A51" s="40"/>
      <c r="B51" s="40"/>
      <c r="C51" s="40"/>
      <c r="D51" s="40"/>
      <c r="E51" s="40"/>
      <c r="F51" s="40"/>
      <c r="G51" s="40"/>
      <c r="H51" s="40"/>
      <c r="I51" s="40"/>
      <c r="J51" s="40"/>
      <c r="K51" s="40"/>
      <c r="L51" s="40"/>
      <c r="M51" s="40"/>
    </row>
    <row r="52" spans="1:13" ht="15" hidden="1" customHeight="1" x14ac:dyDescent="0.25">
      <c r="A52" s="40"/>
      <c r="B52" s="40"/>
      <c r="C52" s="40"/>
      <c r="D52" s="40"/>
      <c r="E52" s="40"/>
      <c r="F52" s="40"/>
      <c r="G52" s="40"/>
      <c r="H52" s="40"/>
      <c r="I52" s="40"/>
      <c r="J52" s="40"/>
      <c r="K52" s="40"/>
      <c r="L52" s="40"/>
      <c r="M52" s="40"/>
    </row>
    <row r="53" spans="1:13" ht="15" hidden="1" customHeight="1" x14ac:dyDescent="0.25">
      <c r="A53" s="40"/>
      <c r="B53" s="40"/>
      <c r="C53" s="40"/>
      <c r="D53" s="40"/>
      <c r="E53" s="40"/>
      <c r="F53" s="40"/>
      <c r="G53" s="40"/>
      <c r="H53" s="40"/>
      <c r="I53" s="40"/>
      <c r="J53" s="40"/>
      <c r="K53" s="40"/>
      <c r="L53" s="40"/>
      <c r="M53" s="40"/>
    </row>
    <row r="54" spans="1:13" ht="15" hidden="1" customHeight="1" x14ac:dyDescent="0.25">
      <c r="A54" s="40"/>
      <c r="B54" s="40"/>
      <c r="C54" s="40"/>
      <c r="D54" s="40"/>
      <c r="E54" s="40"/>
      <c r="F54" s="40"/>
      <c r="G54" s="40"/>
      <c r="H54" s="40"/>
      <c r="I54" s="40"/>
      <c r="J54" s="40"/>
      <c r="K54" s="40"/>
      <c r="L54" s="40"/>
      <c r="M54" s="40"/>
    </row>
    <row r="55" spans="1:13" ht="15" hidden="1" customHeight="1" x14ac:dyDescent="0.25">
      <c r="A55" s="40"/>
      <c r="B55" s="40"/>
      <c r="C55" s="40"/>
      <c r="D55" s="40"/>
      <c r="E55" s="40"/>
      <c r="F55" s="40"/>
      <c r="G55" s="40"/>
      <c r="H55" s="40"/>
      <c r="I55" s="40"/>
      <c r="J55" s="40"/>
      <c r="K55" s="40"/>
      <c r="L55" s="40"/>
      <c r="M55" s="40"/>
    </row>
    <row r="56" spans="1:13" ht="15" hidden="1" customHeight="1" x14ac:dyDescent="0.25">
      <c r="A56" s="40"/>
      <c r="B56" s="40"/>
      <c r="C56" s="40"/>
      <c r="D56" s="40"/>
      <c r="E56" s="40"/>
      <c r="F56" s="40"/>
      <c r="G56" s="40"/>
      <c r="H56" s="40"/>
      <c r="I56" s="40"/>
      <c r="J56" s="40"/>
      <c r="K56" s="40"/>
      <c r="L56" s="40"/>
      <c r="M56" s="40"/>
    </row>
    <row r="57" spans="1:13" ht="15" hidden="1" customHeight="1" x14ac:dyDescent="0.25">
      <c r="A57" s="40"/>
      <c r="B57" s="40"/>
      <c r="C57" s="40"/>
      <c r="D57" s="40"/>
      <c r="E57" s="40"/>
      <c r="F57" s="40"/>
      <c r="G57" s="40"/>
      <c r="H57" s="40"/>
      <c r="I57" s="40"/>
      <c r="J57" s="40"/>
      <c r="K57" s="40"/>
      <c r="L57" s="40"/>
      <c r="M57" s="40"/>
    </row>
    <row r="58" spans="1:13" ht="15" hidden="1" customHeight="1" x14ac:dyDescent="0.25">
      <c r="A58" s="40"/>
      <c r="B58" s="40"/>
      <c r="C58" s="40"/>
      <c r="D58" s="40"/>
      <c r="E58" s="40"/>
      <c r="F58" s="40"/>
      <c r="G58" s="40"/>
      <c r="H58" s="40"/>
      <c r="I58" s="40"/>
      <c r="J58" s="40"/>
      <c r="K58" s="40"/>
      <c r="L58" s="40"/>
      <c r="M58" s="40"/>
    </row>
    <row r="59" spans="1:13" ht="15" hidden="1" customHeight="1" x14ac:dyDescent="0.25">
      <c r="A59" s="40"/>
      <c r="B59" s="40"/>
      <c r="C59" s="40"/>
      <c r="D59" s="40"/>
      <c r="E59" s="40"/>
      <c r="F59" s="40"/>
      <c r="G59" s="40"/>
      <c r="H59" s="40"/>
      <c r="I59" s="40"/>
      <c r="J59" s="40"/>
      <c r="K59" s="40"/>
      <c r="L59" s="40"/>
      <c r="M59" s="40"/>
    </row>
    <row r="60" spans="1:13" ht="15" hidden="1" customHeight="1" x14ac:dyDescent="0.25">
      <c r="A60" s="40"/>
      <c r="B60" s="40"/>
      <c r="C60" s="40"/>
      <c r="D60" s="40"/>
      <c r="E60" s="40"/>
      <c r="F60" s="40"/>
      <c r="G60" s="40"/>
      <c r="H60" s="40"/>
      <c r="I60" s="40"/>
      <c r="J60" s="40"/>
      <c r="K60" s="40"/>
      <c r="L60" s="40"/>
      <c r="M60" s="40"/>
    </row>
    <row r="61" spans="1:13" ht="15" hidden="1" customHeight="1" x14ac:dyDescent="0.25">
      <c r="A61" s="40"/>
      <c r="B61" s="40"/>
      <c r="C61" s="40"/>
      <c r="D61" s="40"/>
      <c r="E61" s="40"/>
      <c r="F61" s="40"/>
      <c r="G61" s="40"/>
      <c r="H61" s="40"/>
      <c r="I61" s="40"/>
      <c r="J61" s="40"/>
      <c r="K61" s="40"/>
      <c r="L61" s="40"/>
      <c r="M61" s="40"/>
    </row>
    <row r="62" spans="1:13" ht="15" hidden="1" customHeight="1" x14ac:dyDescent="0.25">
      <c r="A62" s="40"/>
      <c r="B62" s="40"/>
      <c r="C62" s="40"/>
      <c r="D62" s="40"/>
      <c r="E62" s="40"/>
      <c r="F62" s="40"/>
      <c r="G62" s="40"/>
      <c r="H62" s="40"/>
      <c r="I62" s="40"/>
      <c r="J62" s="40"/>
      <c r="K62" s="40"/>
      <c r="L62" s="40"/>
      <c r="M62" s="40"/>
    </row>
    <row r="63" spans="1:13" ht="15" hidden="1" customHeight="1" x14ac:dyDescent="0.25">
      <c r="A63" s="40"/>
      <c r="B63" s="40"/>
      <c r="C63" s="40"/>
      <c r="D63" s="40"/>
      <c r="E63" s="40"/>
      <c r="F63" s="40"/>
      <c r="G63" s="40"/>
      <c r="H63" s="40"/>
      <c r="I63" s="40"/>
      <c r="J63" s="40"/>
      <c r="K63" s="40"/>
      <c r="L63" s="40"/>
      <c r="M63" s="40"/>
    </row>
    <row r="64" spans="1:13" ht="15" hidden="1" customHeight="1" x14ac:dyDescent="0.25">
      <c r="A64" s="40"/>
      <c r="B64" s="40"/>
      <c r="C64" s="40"/>
      <c r="D64" s="40"/>
      <c r="E64" s="40"/>
      <c r="F64" s="40"/>
      <c r="G64" s="40"/>
      <c r="H64" s="40"/>
      <c r="I64" s="40"/>
      <c r="J64" s="40"/>
      <c r="K64" s="40"/>
      <c r="L64" s="40"/>
      <c r="M64" s="40"/>
    </row>
    <row r="65" spans="1:13" ht="15" hidden="1" customHeight="1" x14ac:dyDescent="0.25">
      <c r="A65" s="40"/>
      <c r="B65" s="40"/>
      <c r="C65" s="40"/>
      <c r="D65" s="40"/>
      <c r="E65" s="40"/>
      <c r="F65" s="40"/>
      <c r="G65" s="40"/>
      <c r="H65" s="40"/>
      <c r="I65" s="40"/>
      <c r="J65" s="40"/>
      <c r="K65" s="40"/>
      <c r="L65" s="40"/>
      <c r="M65" s="40"/>
    </row>
    <row r="66" spans="1:13" ht="15" hidden="1" customHeight="1" x14ac:dyDescent="0.25">
      <c r="A66" s="40"/>
      <c r="B66" s="40"/>
      <c r="C66" s="40"/>
      <c r="D66" s="40"/>
      <c r="E66" s="40"/>
      <c r="F66" s="40"/>
      <c r="G66" s="40"/>
      <c r="H66" s="40"/>
      <c r="I66" s="40"/>
      <c r="J66" s="40"/>
      <c r="K66" s="40"/>
      <c r="L66" s="40"/>
      <c r="M66" s="40"/>
    </row>
    <row r="67" spans="1:13" ht="15" hidden="1" customHeight="1" x14ac:dyDescent="0.25">
      <c r="A67" s="40"/>
      <c r="B67" s="40"/>
      <c r="C67" s="40"/>
      <c r="D67" s="40"/>
      <c r="E67" s="40"/>
      <c r="F67" s="40"/>
      <c r="G67" s="40"/>
      <c r="H67" s="40"/>
      <c r="I67" s="40"/>
      <c r="J67" s="40"/>
      <c r="K67" s="40"/>
      <c r="L67" s="40"/>
      <c r="M67" s="40"/>
    </row>
    <row r="68" spans="1:13" ht="15" hidden="1" customHeight="1" x14ac:dyDescent="0.25">
      <c r="A68" s="40"/>
      <c r="B68" s="40"/>
      <c r="C68" s="40"/>
      <c r="D68" s="40"/>
      <c r="E68" s="40"/>
      <c r="F68" s="40"/>
      <c r="G68" s="40"/>
      <c r="H68" s="40"/>
      <c r="I68" s="40"/>
      <c r="J68" s="40"/>
      <c r="K68" s="40"/>
      <c r="L68" s="40"/>
      <c r="M68" s="40"/>
    </row>
    <row r="69" spans="1:13" ht="15" hidden="1" customHeight="1" x14ac:dyDescent="0.25">
      <c r="A69" s="40"/>
      <c r="B69" s="40"/>
      <c r="C69" s="40"/>
      <c r="D69" s="40"/>
      <c r="E69" s="40"/>
      <c r="F69" s="40"/>
      <c r="G69" s="40"/>
      <c r="H69" s="40"/>
      <c r="I69" s="40"/>
      <c r="J69" s="40"/>
      <c r="K69" s="40"/>
      <c r="L69" s="40"/>
      <c r="M69" s="40"/>
    </row>
    <row r="70" spans="1:13" ht="15" hidden="1" customHeight="1" x14ac:dyDescent="0.25">
      <c r="A70" s="40"/>
      <c r="B70" s="40"/>
      <c r="C70" s="40"/>
      <c r="D70" s="40"/>
      <c r="E70" s="40"/>
      <c r="F70" s="40"/>
      <c r="G70" s="40"/>
      <c r="H70" s="40"/>
      <c r="I70" s="40"/>
      <c r="J70" s="40"/>
      <c r="K70" s="40"/>
      <c r="L70" s="40"/>
      <c r="M70" s="40"/>
    </row>
    <row r="71" spans="1:13" ht="15" hidden="1" customHeight="1" x14ac:dyDescent="0.25">
      <c r="A71" s="40"/>
      <c r="B71" s="40"/>
      <c r="C71" s="40"/>
      <c r="D71" s="40"/>
      <c r="E71" s="40"/>
      <c r="F71" s="40"/>
      <c r="G71" s="40"/>
      <c r="H71" s="40"/>
      <c r="I71" s="40"/>
      <c r="J71" s="40"/>
      <c r="K71" s="40"/>
      <c r="L71" s="40"/>
      <c r="M71" s="40"/>
    </row>
    <row r="72" spans="1:13" ht="15" hidden="1" customHeight="1" x14ac:dyDescent="0.25">
      <c r="A72" s="40"/>
      <c r="B72" s="40"/>
      <c r="C72" s="40"/>
      <c r="D72" s="40"/>
      <c r="E72" s="40"/>
      <c r="F72" s="40"/>
      <c r="G72" s="40"/>
      <c r="H72" s="40"/>
      <c r="I72" s="40"/>
      <c r="J72" s="40"/>
      <c r="K72" s="40"/>
      <c r="L72" s="40"/>
      <c r="M72" s="40"/>
    </row>
    <row r="73" spans="1:13" ht="15" hidden="1" customHeight="1" x14ac:dyDescent="0.25">
      <c r="A73" s="40"/>
      <c r="B73" s="40"/>
      <c r="C73" s="40"/>
      <c r="D73" s="40"/>
      <c r="E73" s="40"/>
      <c r="F73" s="40"/>
      <c r="G73" s="40"/>
      <c r="H73" s="40"/>
      <c r="I73" s="40"/>
      <c r="J73" s="40"/>
      <c r="K73" s="40"/>
      <c r="L73" s="40"/>
      <c r="M73" s="40"/>
    </row>
    <row r="74" spans="1:13" ht="15" hidden="1" customHeight="1" x14ac:dyDescent="0.25">
      <c r="A74" s="40"/>
      <c r="B74" s="40"/>
      <c r="C74" s="40"/>
      <c r="D74" s="40"/>
      <c r="E74" s="40"/>
      <c r="F74" s="40"/>
      <c r="G74" s="40"/>
      <c r="H74" s="40"/>
      <c r="I74" s="40"/>
      <c r="J74" s="40"/>
      <c r="K74" s="40"/>
      <c r="L74" s="40"/>
      <c r="M74" s="40"/>
    </row>
    <row r="75" spans="1:13" ht="15" hidden="1" customHeight="1" x14ac:dyDescent="0.25">
      <c r="A75" s="40"/>
      <c r="B75" s="40"/>
      <c r="C75" s="40"/>
      <c r="D75" s="40"/>
      <c r="E75" s="40"/>
      <c r="F75" s="40"/>
      <c r="G75" s="40"/>
      <c r="H75" s="40"/>
      <c r="I75" s="40"/>
      <c r="J75" s="40"/>
      <c r="K75" s="40"/>
      <c r="L75" s="40"/>
      <c r="M75" s="40"/>
    </row>
    <row r="76" spans="1:13" ht="15" hidden="1" customHeight="1" x14ac:dyDescent="0.25">
      <c r="A76" s="40"/>
      <c r="B76" s="40"/>
      <c r="C76" s="40"/>
      <c r="D76" s="40"/>
      <c r="E76" s="40"/>
      <c r="F76" s="40"/>
      <c r="G76" s="40"/>
      <c r="H76" s="40"/>
      <c r="I76" s="40"/>
      <c r="J76" s="40"/>
      <c r="K76" s="40"/>
      <c r="L76" s="40"/>
      <c r="M76" s="40"/>
    </row>
    <row r="77" spans="1:13" ht="15" hidden="1" customHeight="1" x14ac:dyDescent="0.25">
      <c r="A77" s="40"/>
      <c r="B77" s="40"/>
      <c r="C77" s="40"/>
      <c r="D77" s="40"/>
      <c r="E77" s="40"/>
      <c r="F77" s="40"/>
      <c r="G77" s="40"/>
      <c r="H77" s="40"/>
      <c r="I77" s="40"/>
      <c r="J77" s="40"/>
      <c r="K77" s="40"/>
      <c r="L77" s="40"/>
      <c r="M77" s="40"/>
    </row>
    <row r="78" spans="1:13" ht="15" hidden="1" customHeight="1" x14ac:dyDescent="0.25">
      <c r="A78" s="40"/>
      <c r="B78" s="40"/>
      <c r="C78" s="40"/>
      <c r="D78" s="40"/>
      <c r="E78" s="40"/>
      <c r="F78" s="40"/>
      <c r="G78" s="40"/>
      <c r="H78" s="40"/>
      <c r="I78" s="40"/>
      <c r="J78" s="40"/>
      <c r="K78" s="40"/>
      <c r="L78" s="40"/>
      <c r="M78" s="40"/>
    </row>
    <row r="79" spans="1:13" ht="15" hidden="1" customHeight="1" x14ac:dyDescent="0.25">
      <c r="A79" s="40"/>
      <c r="B79" s="40"/>
      <c r="C79" s="40"/>
      <c r="D79" s="40"/>
      <c r="E79" s="40"/>
      <c r="F79" s="40"/>
      <c r="G79" s="40"/>
      <c r="H79" s="40"/>
      <c r="I79" s="40"/>
      <c r="J79" s="40"/>
      <c r="K79" s="40"/>
      <c r="L79" s="40"/>
      <c r="M79" s="40"/>
    </row>
    <row r="80" spans="1:13" ht="15" hidden="1" customHeight="1" x14ac:dyDescent="0.25">
      <c r="A80" s="40"/>
      <c r="B80" s="40"/>
      <c r="C80" s="40"/>
      <c r="D80" s="40"/>
      <c r="E80" s="40"/>
      <c r="F80" s="40"/>
      <c r="G80" s="40"/>
      <c r="H80" s="40"/>
      <c r="I80" s="40"/>
      <c r="J80" s="40"/>
      <c r="K80" s="40"/>
      <c r="L80" s="40"/>
      <c r="M80" s="40"/>
    </row>
  </sheetData>
  <sheetProtection algorithmName="SHA-512" hashValue="fVvhhfiiCRWsy2axebUrCPGnVG9BgyX7Icu4Oa+QwN1xth1mE2H+FPMp3uLq7TKyP4vDtQD37Iih0CGJ3wJQxw==" saltValue="7LgN4q9JUQjSiKOTNRtawA==" spinCount="100000" sheet="1" objects="1" scenarios="1" formatCells="0" formatColumns="0" formatRows="0" selectLockedCells="1" selectUnlockedCells="1"/>
  <mergeCells count="5">
    <mergeCell ref="C4:C5"/>
    <mergeCell ref="D4:D5"/>
    <mergeCell ref="E4:E5"/>
    <mergeCell ref="F4:F5"/>
    <mergeCell ref="B2:F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15</vt:i4>
      </vt:variant>
      <vt:variant>
        <vt:lpstr>Navngivne områder</vt:lpstr>
      </vt:variant>
      <vt:variant>
        <vt:i4>74</vt:i4>
      </vt:variant>
    </vt:vector>
  </HeadingPairs>
  <TitlesOfParts>
    <vt:vector size="89" baseType="lpstr">
      <vt:lpstr>Data Input</vt:lpstr>
      <vt:lpstr>Ark2</vt:lpstr>
      <vt:lpstr>B.52.14</vt:lpstr>
      <vt:lpstr>B.52.15</vt:lpstr>
      <vt:lpstr>B.52.16</vt:lpstr>
      <vt:lpstr>B.52.18</vt:lpstr>
      <vt:lpstr>C.52.1</vt:lpstr>
      <vt:lpstr>C.52.2</vt:lpstr>
      <vt:lpstr>C.52.3</vt:lpstr>
      <vt:lpstr>E.52.1</vt:lpstr>
      <vt:lpstr>Cu - 70°C</vt:lpstr>
      <vt:lpstr>Armerede - Cu - 70°C</vt:lpstr>
      <vt:lpstr>Al - 70°C</vt:lpstr>
      <vt:lpstr>Cu - 90°C</vt:lpstr>
      <vt:lpstr>Al - 90°C</vt:lpstr>
      <vt:lpstr>B.52.14</vt:lpstr>
      <vt:lpstr>B.52.14_PVC</vt:lpstr>
      <vt:lpstr>B.52.14_XLPE</vt:lpstr>
      <vt:lpstr>B.52.15</vt:lpstr>
      <vt:lpstr>B.52.15_PVC</vt:lpstr>
      <vt:lpstr>B.52.15_XLPE</vt:lpstr>
      <vt:lpstr>B.52.16</vt:lpstr>
      <vt:lpstr>B.52.16.0.7</vt:lpstr>
      <vt:lpstr>B.52.16.05</vt:lpstr>
      <vt:lpstr>B.52.16.1</vt:lpstr>
      <vt:lpstr>B.52.16.1.5</vt:lpstr>
      <vt:lpstr>B.52.16.2</vt:lpstr>
      <vt:lpstr>B.52.16.2.5</vt:lpstr>
      <vt:lpstr>B.52.16.3</vt:lpstr>
      <vt:lpstr>B.52.16_D</vt:lpstr>
      <vt:lpstr>B.52.16_D2</vt:lpstr>
      <vt:lpstr>B.52.18</vt:lpstr>
      <vt:lpstr>B.52.18_10</vt:lpstr>
      <vt:lpstr>B.52.18_6</vt:lpstr>
      <vt:lpstr>B.52.18_7</vt:lpstr>
      <vt:lpstr>B.52.18_8</vt:lpstr>
      <vt:lpstr>B.52.18_9</vt:lpstr>
      <vt:lpstr>C.52.1</vt:lpstr>
      <vt:lpstr>C.52.1_A1</vt:lpstr>
      <vt:lpstr>C.52.1_A2</vt:lpstr>
      <vt:lpstr>C.52.1_B1</vt:lpstr>
      <vt:lpstr>C.52.1_B2</vt:lpstr>
      <vt:lpstr>C.52.1_C</vt:lpstr>
      <vt:lpstr>C.52.1_E</vt:lpstr>
      <vt:lpstr>C.52.1_F</vt:lpstr>
      <vt:lpstr>C.52.1_Iso</vt:lpstr>
      <vt:lpstr>C.52.1_Kol</vt:lpstr>
      <vt:lpstr>C.52.2</vt:lpstr>
      <vt:lpstr>C.52.3</vt:lpstr>
      <vt:lpstr>C.52.3_1</vt:lpstr>
      <vt:lpstr>C.52.3_2</vt:lpstr>
      <vt:lpstr>C.52.3_3</vt:lpstr>
      <vt:lpstr>C.52.3_4</vt:lpstr>
      <vt:lpstr>C.52.3_5</vt:lpstr>
      <vt:lpstr>Dimmensioneringstrøm</vt:lpstr>
      <vt:lpstr>E.52.1</vt:lpstr>
      <vt:lpstr>E.52.1_1</vt:lpstr>
      <vt:lpstr>E.52.1_2</vt:lpstr>
      <vt:lpstr>Føringsvej</vt:lpstr>
      <vt:lpstr>Installationsmetode</vt:lpstr>
      <vt:lpstr>Isolering</vt:lpstr>
      <vt:lpstr>Iz</vt:lpstr>
      <vt:lpstr>Iz_Kabel</vt:lpstr>
      <vt:lpstr>Jordmodstand</vt:lpstr>
      <vt:lpstr>Kabel</vt:lpstr>
      <vt:lpstr>Kabel_J</vt:lpstr>
      <vt:lpstr>Kabel_Type</vt:lpstr>
      <vt:lpstr>Kabel_Type_J</vt:lpstr>
      <vt:lpstr>Kj</vt:lpstr>
      <vt:lpstr>Kj_ohm</vt:lpstr>
      <vt:lpstr>Kj_Opslag</vt:lpstr>
      <vt:lpstr>Kn</vt:lpstr>
      <vt:lpstr>Kn_Opslag</vt:lpstr>
      <vt:lpstr>Ks</vt:lpstr>
      <vt:lpstr>Ks_Opslag</vt:lpstr>
      <vt:lpstr>Kt</vt:lpstr>
      <vt:lpstr>Kt_Opslag</vt:lpstr>
      <vt:lpstr>Kt_temp</vt:lpstr>
      <vt:lpstr>Materiale</vt:lpstr>
      <vt:lpstr>Np</vt:lpstr>
      <vt:lpstr>Omgivelsestemperatur</vt:lpstr>
      <vt:lpstr>Oplæg.metode_opslag</vt:lpstr>
      <vt:lpstr>Oplægningsmetode</vt:lpstr>
      <vt:lpstr>Parallelekabler</vt:lpstr>
      <vt:lpstr>S</vt:lpstr>
      <vt:lpstr>S_J</vt:lpstr>
      <vt:lpstr>S_Opslag</vt:lpstr>
      <vt:lpstr>Samletfremføring</vt:lpstr>
      <vt:lpstr>THDi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Ibrahim Ahmed</dc:creator>
  <cp:lastModifiedBy>Muntadhar Al jabiri</cp:lastModifiedBy>
  <dcterms:created xsi:type="dcterms:W3CDTF">2019-04-10T10:20:47Z</dcterms:created>
  <dcterms:modified xsi:type="dcterms:W3CDTF">2022-11-01T08:53:15Z</dcterms:modified>
</cp:coreProperties>
</file>