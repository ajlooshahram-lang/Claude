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504" codeName="{00000000-0000-0000-0000-000000000000}"/>
  <workbookPr codeName="Denne_projektmappe" defaultThemeVersion="124226"/>
  <mc:AlternateContent xmlns:mc="http://schemas.openxmlformats.org/markup-compatibility/2006">
    <mc:Choice Requires="x15">
      <x15ac:absPath xmlns:x15ac="http://schemas.microsoft.com/office/spreadsheetml/2010/11/ac" url="C:\Users\jesh1\OneDrive\Uddanelse\MSk\M5\Installationsteknik\Formler\"/>
    </mc:Choice>
  </mc:AlternateContent>
  <xr:revisionPtr revIDLastSave="35" documentId="11_A21C6C836B744DF3F16140875644416C6723D35A" xr6:coauthVersionLast="47" xr6:coauthVersionMax="47" xr10:uidLastSave="{8655ADB6-B48B-4C72-8AEC-89FA315B0A52}"/>
  <bookViews>
    <workbookView xWindow="0" yWindow="460" windowWidth="25600" windowHeight="14460" activeTab="2" xr2:uid="{00000000-000D-0000-FFFF-FFFF00000000}"/>
  </bookViews>
  <sheets>
    <sheet name="Ark1" sheetId="1" r:id="rId1"/>
    <sheet name="Ark2" sheetId="2" r:id="rId2"/>
    <sheet name="Ark3" sheetId="3" r:id="rId3"/>
  </sheets>
  <calcPr calcId="191028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14" i="1" l="1"/>
  <c r="M19" i="1"/>
  <c r="I20" i="1"/>
  <c r="N4" i="1"/>
  <c r="N60" i="1"/>
  <c r="N62" i="1"/>
  <c r="R64" i="1"/>
  <c r="N5" i="1"/>
  <c r="N70" i="1"/>
  <c r="N72" i="1"/>
  <c r="N6" i="1"/>
  <c r="N80" i="1"/>
  <c r="N82" i="1"/>
  <c r="U84" i="1"/>
  <c r="N7" i="1"/>
  <c r="N90" i="1"/>
  <c r="N92" i="1"/>
  <c r="N8" i="1"/>
  <c r="N100" i="1"/>
  <c r="N102" i="1"/>
  <c r="N104" i="1"/>
  <c r="N9" i="1"/>
  <c r="N110" i="1"/>
  <c r="N112" i="1"/>
  <c r="N10" i="1"/>
  <c r="N120" i="1"/>
  <c r="N122" i="1"/>
  <c r="L124" i="1"/>
  <c r="O10" i="1"/>
  <c r="N11" i="1"/>
  <c r="N130" i="1"/>
  <c r="N132" i="1"/>
  <c r="N12" i="1"/>
  <c r="N160" i="1"/>
  <c r="Q160" i="1"/>
  <c r="N14" i="1"/>
  <c r="N162" i="1"/>
  <c r="L164" i="1"/>
  <c r="O14" i="1"/>
  <c r="T170" i="1"/>
  <c r="N170" i="1"/>
  <c r="Q170" i="1"/>
  <c r="N15" i="1"/>
  <c r="N16" i="1"/>
  <c r="N18" i="1"/>
  <c r="P4" i="1"/>
  <c r="N64" i="1"/>
  <c r="Q4" i="1"/>
  <c r="P5" i="1"/>
  <c r="P6" i="1"/>
  <c r="P7" i="1"/>
  <c r="P8" i="1"/>
  <c r="Q8" i="1"/>
  <c r="P9" i="1"/>
  <c r="P10" i="1"/>
  <c r="P11" i="1"/>
  <c r="P12" i="1"/>
  <c r="P14" i="1"/>
  <c r="N164" i="1"/>
  <c r="Q14" i="1"/>
  <c r="P15" i="1"/>
  <c r="P16" i="1"/>
  <c r="P18" i="1"/>
  <c r="R4" i="1"/>
  <c r="R5" i="1"/>
  <c r="R6" i="1"/>
  <c r="R7" i="1"/>
  <c r="R8" i="1"/>
  <c r="R9" i="1"/>
  <c r="R10" i="1"/>
  <c r="R11" i="1"/>
  <c r="R12" i="1"/>
  <c r="R14" i="1"/>
  <c r="O164" i="1"/>
  <c r="S14" i="1"/>
  <c r="R15" i="1"/>
  <c r="R16" i="1"/>
  <c r="R18" i="1"/>
  <c r="O41" i="1"/>
  <c r="O38" i="1"/>
  <c r="O44" i="1"/>
  <c r="O47" i="1"/>
  <c r="O50" i="1"/>
  <c r="O53" i="1"/>
  <c r="M33" i="1"/>
  <c r="O45" i="1"/>
  <c r="O37" i="1"/>
  <c r="O39" i="1"/>
  <c r="O43" i="1"/>
  <c r="O49" i="1"/>
  <c r="O48" i="1"/>
  <c r="O46" i="1"/>
  <c r="O42" i="1"/>
  <c r="O40" i="1"/>
  <c r="O36" i="1"/>
  <c r="T200" i="1"/>
  <c r="S200" i="1"/>
  <c r="R200" i="1"/>
  <c r="N200" i="1"/>
  <c r="O200" i="1"/>
  <c r="T190" i="1"/>
  <c r="P17" i="1"/>
  <c r="S190" i="1"/>
  <c r="R190" i="1"/>
  <c r="N190" i="1"/>
  <c r="Q190" i="1"/>
  <c r="T180" i="1"/>
  <c r="S180" i="1"/>
  <c r="R180" i="1"/>
  <c r="N180" i="1"/>
  <c r="Q180" i="1"/>
  <c r="S170" i="1"/>
  <c r="R170" i="1"/>
  <c r="N172" i="1"/>
  <c r="U174" i="1"/>
  <c r="T160" i="1"/>
  <c r="S160" i="1"/>
  <c r="R160" i="1"/>
  <c r="O160" i="1"/>
  <c r="T150" i="1"/>
  <c r="S150" i="1"/>
  <c r="R150" i="1"/>
  <c r="N150" i="1"/>
  <c r="O150" i="1"/>
  <c r="T140" i="1"/>
  <c r="S140" i="1"/>
  <c r="R140" i="1"/>
  <c r="N140" i="1"/>
  <c r="N142" i="1"/>
  <c r="L144" i="1"/>
  <c r="O12" i="1"/>
  <c r="T130" i="1"/>
  <c r="S130" i="1"/>
  <c r="R130" i="1"/>
  <c r="N131" i="1"/>
  <c r="W130" i="1"/>
  <c r="T120" i="1"/>
  <c r="S120" i="1"/>
  <c r="R120" i="1"/>
  <c r="T110" i="1"/>
  <c r="S110" i="1"/>
  <c r="R110" i="1"/>
  <c r="T100" i="1"/>
  <c r="S100" i="1"/>
  <c r="R100" i="1"/>
  <c r="T90" i="1"/>
  <c r="S90" i="1"/>
  <c r="R90" i="1"/>
  <c r="T80" i="1"/>
  <c r="S80" i="1"/>
  <c r="R80" i="1"/>
  <c r="T70" i="1"/>
  <c r="S70" i="1"/>
  <c r="R70" i="1"/>
  <c r="T60" i="1"/>
  <c r="S60" i="1"/>
  <c r="R60" i="1"/>
  <c r="C61" i="1"/>
  <c r="C60" i="1"/>
  <c r="Q60" i="1"/>
  <c r="O180" i="1"/>
  <c r="N171" i="1"/>
  <c r="W170" i="1"/>
  <c r="O130" i="1"/>
  <c r="G6" i="1"/>
  <c r="G7" i="1"/>
  <c r="G8" i="1"/>
  <c r="G9" i="1"/>
  <c r="G10" i="1"/>
  <c r="G11" i="1"/>
  <c r="G12" i="1"/>
  <c r="G13" i="1"/>
  <c r="G16" i="1"/>
  <c r="G17" i="1"/>
  <c r="G18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N121" i="1"/>
  <c r="V120" i="1"/>
  <c r="Q100" i="1"/>
  <c r="G5" i="1"/>
  <c r="D4" i="1"/>
  <c r="D5" i="1"/>
  <c r="P104" i="1"/>
  <c r="T104" i="1"/>
  <c r="P70" i="1"/>
  <c r="O70" i="1"/>
  <c r="Q70" i="1"/>
  <c r="G4" i="1"/>
  <c r="O60" i="1"/>
  <c r="U64" i="1"/>
  <c r="Q64" i="1"/>
  <c r="N61" i="1"/>
  <c r="V60" i="1"/>
  <c r="N17" i="1"/>
  <c r="R17" i="1"/>
  <c r="N167" i="1"/>
  <c r="O104" i="1"/>
  <c r="S8" i="1"/>
  <c r="T64" i="1"/>
  <c r="P60" i="1"/>
  <c r="Q144" i="1"/>
  <c r="N165" i="1"/>
  <c r="N192" i="1"/>
  <c r="Q194" i="1"/>
  <c r="N191" i="1"/>
  <c r="R104" i="1"/>
  <c r="Q80" i="1"/>
  <c r="O190" i="1"/>
  <c r="P200" i="1"/>
  <c r="P180" i="1"/>
  <c r="N166" i="1"/>
  <c r="O64" i="1"/>
  <c r="S4" i="1"/>
  <c r="N67" i="1"/>
  <c r="Q150" i="1"/>
  <c r="N145" i="1"/>
  <c r="N101" i="1"/>
  <c r="U100" i="1"/>
  <c r="Q104" i="1"/>
  <c r="O100" i="1"/>
  <c r="N144" i="1"/>
  <c r="Q12" i="1"/>
  <c r="N146" i="1"/>
  <c r="N141" i="1"/>
  <c r="T144" i="1"/>
  <c r="O140" i="1"/>
  <c r="P140" i="1"/>
  <c r="P124" i="1"/>
  <c r="W120" i="1"/>
  <c r="O124" i="1"/>
  <c r="S10" i="1"/>
  <c r="N127" i="1"/>
  <c r="N125" i="1"/>
  <c r="L114" i="1"/>
  <c r="O9" i="1"/>
  <c r="U114" i="1"/>
  <c r="R114" i="1"/>
  <c r="N111" i="1"/>
  <c r="W110" i="1"/>
  <c r="Q110" i="1"/>
  <c r="P110" i="1"/>
  <c r="O110" i="1"/>
  <c r="N106" i="1"/>
  <c r="Q90" i="1"/>
  <c r="L174" i="1"/>
  <c r="O15" i="1"/>
  <c r="N175" i="1"/>
  <c r="P134" i="1"/>
  <c r="U134" i="1"/>
  <c r="R134" i="1"/>
  <c r="Q134" i="1"/>
  <c r="L134" i="1"/>
  <c r="O11" i="1"/>
  <c r="S134" i="1"/>
  <c r="O134" i="1"/>
  <c r="S11" i="1"/>
  <c r="N137" i="1"/>
  <c r="T134" i="1"/>
  <c r="N134" i="1"/>
  <c r="Q11" i="1"/>
  <c r="N136" i="1"/>
  <c r="U124" i="1"/>
  <c r="S114" i="1"/>
  <c r="P120" i="1"/>
  <c r="Q120" i="1"/>
  <c r="O52" i="1"/>
  <c r="J33" i="1"/>
  <c r="N114" i="1"/>
  <c r="Q9" i="1"/>
  <c r="N116" i="1"/>
  <c r="N135" i="1"/>
  <c r="N174" i="1"/>
  <c r="Q15" i="1"/>
  <c r="Q174" i="1"/>
  <c r="P130" i="1"/>
  <c r="Q124" i="1"/>
  <c r="P114" i="1"/>
  <c r="S144" i="1"/>
  <c r="R174" i="1"/>
  <c r="Q114" i="1"/>
  <c r="T114" i="1"/>
  <c r="N176" i="1"/>
  <c r="N115" i="1"/>
  <c r="T124" i="1"/>
  <c r="P90" i="1"/>
  <c r="U144" i="1"/>
  <c r="S174" i="1"/>
  <c r="U130" i="1"/>
  <c r="O170" i="1"/>
  <c r="N33" i="1"/>
  <c r="U120" i="1"/>
  <c r="S124" i="1"/>
  <c r="U140" i="1"/>
  <c r="O90" i="1"/>
  <c r="O144" i="1"/>
  <c r="S12" i="1"/>
  <c r="N147" i="1"/>
  <c r="T174" i="1"/>
  <c r="R194" i="1"/>
  <c r="R124" i="1"/>
  <c r="O120" i="1"/>
  <c r="Q130" i="1"/>
  <c r="Q140" i="1"/>
  <c r="N182" i="1"/>
  <c r="P170" i="1"/>
  <c r="O114" i="1"/>
  <c r="S9" i="1"/>
  <c r="N117" i="1"/>
  <c r="N107" i="1"/>
  <c r="R84" i="1"/>
  <c r="N81" i="1"/>
  <c r="N74" i="1"/>
  <c r="Q5" i="1"/>
  <c r="N76" i="1"/>
  <c r="U74" i="1"/>
  <c r="P74" i="1"/>
  <c r="R74" i="1"/>
  <c r="S74" i="1"/>
  <c r="Q74" i="1"/>
  <c r="L74" i="1"/>
  <c r="O5" i="1"/>
  <c r="N75" i="1"/>
  <c r="N66" i="1"/>
  <c r="N94" i="1"/>
  <c r="Q7" i="1"/>
  <c r="N96" i="1"/>
  <c r="T94" i="1"/>
  <c r="U94" i="1"/>
  <c r="L94" i="1"/>
  <c r="O7" i="1"/>
  <c r="N95" i="1"/>
  <c r="R94" i="1"/>
  <c r="O94" i="1"/>
  <c r="S7" i="1"/>
  <c r="N97" i="1"/>
  <c r="Q94" i="1"/>
  <c r="P94" i="1"/>
  <c r="N91" i="1"/>
  <c r="U90" i="1"/>
  <c r="S94" i="1"/>
  <c r="O80" i="1"/>
  <c r="T74" i="1"/>
  <c r="N71" i="1"/>
  <c r="O74" i="1"/>
  <c r="S5" i="1"/>
  <c r="N77" i="1"/>
  <c r="L84" i="1"/>
  <c r="O6" i="1"/>
  <c r="N85" i="1"/>
  <c r="S84" i="1"/>
  <c r="T84" i="1"/>
  <c r="Q84" i="1"/>
  <c r="U170" i="1"/>
  <c r="U194" i="1"/>
  <c r="L194" i="1"/>
  <c r="O17" i="1"/>
  <c r="N195" i="1"/>
  <c r="P194" i="1"/>
  <c r="P144" i="1"/>
  <c r="R144" i="1"/>
  <c r="O174" i="1"/>
  <c r="S15" i="1"/>
  <c r="N177" i="1"/>
  <c r="P174" i="1"/>
  <c r="N124" i="1"/>
  <c r="Q10" i="1"/>
  <c r="N126" i="1"/>
  <c r="N84" i="1"/>
  <c r="Q6" i="1"/>
  <c r="N86" i="1"/>
  <c r="L64" i="1"/>
  <c r="O4" i="1"/>
  <c r="N65" i="1"/>
  <c r="S64" i="1"/>
  <c r="P64" i="1"/>
  <c r="U60" i="1"/>
  <c r="W60" i="1"/>
  <c r="P84" i="1"/>
  <c r="V170" i="1"/>
  <c r="Q200" i="1"/>
  <c r="N202" i="1"/>
  <c r="N201" i="1"/>
  <c r="W200" i="1"/>
  <c r="O84" i="1"/>
  <c r="S6" i="1"/>
  <c r="N87" i="1"/>
  <c r="V130" i="1"/>
  <c r="N161" i="1"/>
  <c r="N152" i="1"/>
  <c r="N151" i="1"/>
  <c r="V150" i="1"/>
  <c r="P150" i="1"/>
  <c r="P160" i="1"/>
  <c r="O51" i="1"/>
  <c r="L104" i="1"/>
  <c r="O8" i="1"/>
  <c r="N105" i="1"/>
  <c r="U104" i="1"/>
  <c r="S104" i="1"/>
  <c r="P100" i="1"/>
  <c r="P80" i="1"/>
  <c r="P190" i="1"/>
  <c r="S194" i="1"/>
  <c r="N194" i="1"/>
  <c r="Q17" i="1"/>
  <c r="N196" i="1"/>
  <c r="O194" i="1"/>
  <c r="S17" i="1"/>
  <c r="N197" i="1"/>
  <c r="T194" i="1"/>
  <c r="U190" i="1"/>
  <c r="W190" i="1"/>
  <c r="V190" i="1"/>
  <c r="V160" i="1"/>
  <c r="W160" i="1"/>
  <c r="U184" i="1"/>
  <c r="N181" i="1"/>
  <c r="N184" i="1"/>
  <c r="Q16" i="1"/>
  <c r="N186" i="1"/>
  <c r="V200" i="1"/>
  <c r="U160" i="1"/>
  <c r="U200" i="1"/>
  <c r="N13" i="1"/>
  <c r="P13" i="1"/>
  <c r="R13" i="1"/>
  <c r="K33" i="1"/>
  <c r="W100" i="1"/>
  <c r="V100" i="1"/>
  <c r="U150" i="1"/>
  <c r="W150" i="1"/>
  <c r="W140" i="1"/>
  <c r="V140" i="1"/>
  <c r="V110" i="1"/>
  <c r="U110" i="1"/>
  <c r="L184" i="1"/>
  <c r="O16" i="1"/>
  <c r="N185" i="1"/>
  <c r="O184" i="1"/>
  <c r="S16" i="1"/>
  <c r="N187" i="1"/>
  <c r="T184" i="1"/>
  <c r="S184" i="1"/>
  <c r="R184" i="1"/>
  <c r="Q184" i="1"/>
  <c r="P184" i="1"/>
  <c r="W80" i="1"/>
  <c r="U80" i="1"/>
  <c r="V80" i="1"/>
  <c r="V90" i="1"/>
  <c r="W90" i="1"/>
  <c r="W70" i="1"/>
  <c r="U70" i="1"/>
  <c r="V70" i="1"/>
  <c r="H33" i="1"/>
  <c r="I33" i="1"/>
  <c r="N154" i="1"/>
  <c r="Q13" i="1"/>
  <c r="O154" i="1"/>
  <c r="S13" i="1"/>
  <c r="U154" i="1"/>
  <c r="T154" i="1"/>
  <c r="S154" i="1"/>
  <c r="R154" i="1"/>
  <c r="Q154" i="1"/>
  <c r="P154" i="1"/>
  <c r="L154" i="1"/>
  <c r="O13" i="1"/>
  <c r="Q164" i="1"/>
  <c r="R164" i="1"/>
  <c r="S164" i="1"/>
  <c r="P164" i="1"/>
  <c r="U164" i="1"/>
  <c r="T164" i="1"/>
  <c r="Q204" i="1"/>
  <c r="S204" i="1"/>
  <c r="P204" i="1"/>
  <c r="R204" i="1"/>
  <c r="L204" i="1"/>
  <c r="O18" i="1"/>
  <c r="N205" i="1"/>
  <c r="O204" i="1"/>
  <c r="S18" i="1"/>
  <c r="N207" i="1"/>
  <c r="U204" i="1"/>
  <c r="N204" i="1"/>
  <c r="Q18" i="1"/>
  <c r="N206" i="1"/>
  <c r="T204" i="1"/>
  <c r="U180" i="1"/>
  <c r="W180" i="1"/>
  <c r="V180" i="1"/>
  <c r="N157" i="1"/>
  <c r="N57" i="1"/>
  <c r="R19" i="1"/>
  <c r="R20" i="1"/>
  <c r="R21" i="1"/>
  <c r="R22" i="1"/>
  <c r="R23" i="1"/>
  <c r="N156" i="1"/>
  <c r="N56" i="1"/>
  <c r="P19" i="1"/>
  <c r="P20" i="1"/>
  <c r="P21" i="1"/>
  <c r="P22" i="1"/>
  <c r="P23" i="1"/>
  <c r="N155" i="1"/>
  <c r="N55" i="1"/>
  <c r="O19" i="1"/>
  <c r="O20" i="1"/>
  <c r="O21" i="1"/>
  <c r="O22" i="1"/>
  <c r="O23" i="1"/>
  <c r="Q19" i="1"/>
  <c r="Q20" i="1"/>
  <c r="Q21" i="1"/>
  <c r="Q22" i="1"/>
  <c r="Q23" i="1"/>
  <c r="S19" i="1"/>
  <c r="S20" i="1"/>
  <c r="S21" i="1"/>
  <c r="S22" i="1"/>
  <c r="S23" i="1"/>
  <c r="N19" i="1"/>
  <c r="N20" i="1"/>
  <c r="N21" i="1"/>
  <c r="N22" i="1"/>
  <c r="N23" i="1"/>
  <c r="M20" i="1"/>
  <c r="M21" i="1"/>
  <c r="M22" i="1"/>
  <c r="M23" i="1"/>
  <c r="I21" i="1"/>
</calcChain>
</file>

<file path=xl/sharedStrings.xml><?xml version="1.0" encoding="utf-8"?>
<sst xmlns="http://schemas.openxmlformats.org/spreadsheetml/2006/main" count="510" uniqueCount="86">
  <si>
    <t>Ib/P/S/Q</t>
  </si>
  <si>
    <t>skriv her</t>
  </si>
  <si>
    <t>Cos/&lt;</t>
  </si>
  <si>
    <t>Fase</t>
  </si>
  <si>
    <t>&lt;</t>
  </si>
  <si>
    <t>Ib</t>
  </si>
  <si>
    <t>P</t>
  </si>
  <si>
    <t>S</t>
  </si>
  <si>
    <t>Q</t>
  </si>
  <si>
    <t>Cos</t>
  </si>
  <si>
    <t>L1-N</t>
  </si>
  <si>
    <t>L2-N</t>
  </si>
  <si>
    <t>L3-N</t>
  </si>
  <si>
    <t>L1-L2</t>
  </si>
  <si>
    <t>L1-L3</t>
  </si>
  <si>
    <t>L2-L3</t>
  </si>
  <si>
    <t>3F</t>
  </si>
  <si>
    <t>230/400V</t>
  </si>
  <si>
    <t xml:space="preserve">S 230V </t>
  </si>
  <si>
    <t xml:space="preserve">P 230V </t>
  </si>
  <si>
    <t>vinkel</t>
  </si>
  <si>
    <t>Sin</t>
  </si>
  <si>
    <t>Q 230V</t>
  </si>
  <si>
    <t>Q 400V</t>
  </si>
  <si>
    <t>L1</t>
  </si>
  <si>
    <t>L2</t>
  </si>
  <si>
    <t>L3</t>
  </si>
  <si>
    <t>L1-</t>
  </si>
  <si>
    <t>L2-</t>
  </si>
  <si>
    <t>P 400V 2F</t>
  </si>
  <si>
    <t xml:space="preserve">P 400V 3F </t>
  </si>
  <si>
    <t>S 400V 2F</t>
  </si>
  <si>
    <t>S 400V 3F</t>
  </si>
  <si>
    <t>Q 400V 2F</t>
  </si>
  <si>
    <t>Vælg</t>
  </si>
  <si>
    <t>IMAG L1</t>
  </si>
  <si>
    <t>IMAG L2</t>
  </si>
  <si>
    <t>IMAG L3</t>
  </si>
  <si>
    <t>ISUM L1</t>
  </si>
  <si>
    <t>ISUM L2</t>
  </si>
  <si>
    <t>ISUM L3</t>
  </si>
  <si>
    <t>I alt</t>
  </si>
  <si>
    <t>SF</t>
  </si>
  <si>
    <t>Udv.</t>
  </si>
  <si>
    <t>V</t>
  </si>
  <si>
    <t>IMAG</t>
  </si>
  <si>
    <t>Beskrivelse</t>
  </si>
  <si>
    <t>Beskrivelse:</t>
  </si>
  <si>
    <t>IMAG L1 Strøm 1</t>
  </si>
  <si>
    <t>IMAG L1 Strøm 2</t>
  </si>
  <si>
    <t>IMAG L2 Strøm 1</t>
  </si>
  <si>
    <t>IMAG L2 Strøm 2</t>
  </si>
  <si>
    <t>IMAG L3 Strøm 1</t>
  </si>
  <si>
    <t>IMAG L3 Strøm 2</t>
  </si>
  <si>
    <t>IMAG L1 Strøm 3</t>
  </si>
  <si>
    <t>IMAG L2 Strøm 3</t>
  </si>
  <si>
    <t>IMAG L3 Strøm 3</t>
  </si>
  <si>
    <t>IMAG L1 Strøm 4</t>
  </si>
  <si>
    <t>IMAG L2 Strøm 4</t>
  </si>
  <si>
    <t>IMAG L3 Strøm 4</t>
  </si>
  <si>
    <t>IMAG L1 Strøm 5</t>
  </si>
  <si>
    <t>IMAG L2 Strøm 5</t>
  </si>
  <si>
    <t>IMAG L3 Strøm 5</t>
  </si>
  <si>
    <r>
      <rPr>
        <sz val="11"/>
        <color theme="1"/>
        <rFont val="Calibri"/>
        <family val="2"/>
      </rPr>
      <t>∑</t>
    </r>
    <r>
      <rPr>
        <sz val="11"/>
        <color theme="1"/>
        <rFont val="Calibri"/>
        <family val="2"/>
        <scheme val="minor"/>
      </rPr>
      <t>IMAG</t>
    </r>
  </si>
  <si>
    <t>3rd. Har</t>
  </si>
  <si>
    <t>Ko%</t>
  </si>
  <si>
    <t>Ko</t>
  </si>
  <si>
    <t>Nul</t>
  </si>
  <si>
    <t>3rdmed SF</t>
  </si>
  <si>
    <t>En faset</t>
  </si>
  <si>
    <r>
      <t>A</t>
    </r>
    <r>
      <rPr>
        <sz val="11"/>
        <color theme="1"/>
        <rFont val="Cambria Math"/>
        <family val="1"/>
      </rPr>
      <t>∠</t>
    </r>
    <r>
      <rPr>
        <sz val="11"/>
        <color theme="1"/>
        <rFont val="Calibri"/>
        <family val="2"/>
        <scheme val="minor"/>
      </rPr>
      <t>-°</t>
    </r>
  </si>
  <si>
    <t>To faset</t>
  </si>
  <si>
    <t>Tre Fase</t>
  </si>
  <si>
    <t>(W) P formler</t>
  </si>
  <si>
    <t>(VA) S Formler</t>
  </si>
  <si>
    <t>(Var) Q Formler</t>
  </si>
  <si>
    <r>
      <t>??A</t>
    </r>
    <r>
      <rPr>
        <sz val="11"/>
        <color theme="1"/>
        <rFont val="Cambria Math"/>
        <family val="1"/>
      </rPr>
      <t>∠</t>
    </r>
    <r>
      <rPr>
        <sz val="11"/>
        <color theme="1"/>
        <rFont val="Calibri"/>
        <family val="2"/>
        <scheme val="minor"/>
      </rPr>
      <t>-??°</t>
    </r>
  </si>
  <si>
    <t>A10</t>
  </si>
  <si>
    <t>Lys 1</t>
  </si>
  <si>
    <t>Lys 2</t>
  </si>
  <si>
    <t>Lys 3</t>
  </si>
  <si>
    <t>W</t>
  </si>
  <si>
    <t>Vm, TT, Opv</t>
  </si>
  <si>
    <t>Ovn, komfur</t>
  </si>
  <si>
    <t>Ventilation, teknik</t>
  </si>
  <si>
    <t>Udv. Lys, garage/carport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</si>
</sst>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Tahoma"/>
      <family val="2"/>
    </font>
    <font>
      <sz val="11"/>
      <color theme="1"/>
      <name val="Calibri"/>
      <family val="2"/>
    </font>
    <font>
      <b/>
      <u/>
      <sz val="14"/>
      <color theme="1"/>
      <name val="Calibri"/>
      <family val="2"/>
      <scheme val="minor"/>
    </font>
    <font>
      <sz val="11"/>
      <color theme="1"/>
      <name val="Cambria Math"/>
      <family val="1"/>
    </font>
  </fonts>
  <fills count="3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2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2" fontId="0" fillId="0" borderId="0" xfId="0" applyNumberFormat="1" applyBorder="1"/>
    <xf numFmtId="0" fontId="0" fillId="0" borderId="4" xfId="0" applyFill="1" applyBorder="1"/>
    <xf numFmtId="0" fontId="0" fillId="0" borderId="0" xfId="0" applyBorder="1" applyAlignment="1">
      <alignment horizontal="right"/>
    </xf>
    <xf numFmtId="2" fontId="0" fillId="0" borderId="7" xfId="0" applyNumberFormat="1" applyBorder="1"/>
    <xf numFmtId="0" fontId="0" fillId="0" borderId="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3" xfId="0" applyBorder="1" applyAlignment="1">
      <alignment horizontal="center"/>
    </xf>
    <xf numFmtId="2" fontId="0" fillId="0" borderId="5" xfId="0" applyNumberFormat="1" applyBorder="1"/>
    <xf numFmtId="2" fontId="0" fillId="0" borderId="4" xfId="0" applyNumberFormat="1" applyBorder="1"/>
    <xf numFmtId="0" fontId="2" fillId="0" borderId="0" xfId="0" applyFont="1" applyBorder="1"/>
    <xf numFmtId="0" fontId="1" fillId="0" borderId="4" xfId="0" applyFont="1" applyBorder="1" applyAlignment="1">
      <alignment horizontal="center"/>
    </xf>
    <xf numFmtId="0" fontId="2" fillId="0" borderId="2" xfId="0" applyFont="1" applyBorder="1"/>
    <xf numFmtId="2" fontId="0" fillId="0" borderId="2" xfId="0" applyNumberFormat="1" applyBorder="1"/>
    <xf numFmtId="0" fontId="2" fillId="0" borderId="7" xfId="0" applyFont="1" applyBorder="1"/>
    <xf numFmtId="0" fontId="0" fillId="2" borderId="0" xfId="0" applyFill="1" applyBorder="1"/>
    <xf numFmtId="0" fontId="1" fillId="0" borderId="9" xfId="0" applyFont="1" applyBorder="1" applyAlignment="1">
      <alignment horizontal="center"/>
    </xf>
    <xf numFmtId="0" fontId="0" fillId="0" borderId="11" xfId="0" applyBorder="1"/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0" fillId="0" borderId="9" xfId="0" applyBorder="1"/>
    <xf numFmtId="2" fontId="1" fillId="0" borderId="9" xfId="0" applyNumberFormat="1" applyFont="1" applyBorder="1"/>
    <xf numFmtId="2" fontId="1" fillId="0" borderId="10" xfId="0" applyNumberFormat="1" applyFont="1" applyBorder="1"/>
    <xf numFmtId="2" fontId="1" fillId="0" borderId="11" xfId="0" applyNumberFormat="1" applyFont="1" applyBorder="1"/>
    <xf numFmtId="0" fontId="0" fillId="0" borderId="0" xfId="0" applyAlignment="1">
      <alignment horizontal="center"/>
    </xf>
    <xf numFmtId="2" fontId="1" fillId="0" borderId="0" xfId="0" applyNumberFormat="1" applyFont="1" applyBorder="1"/>
    <xf numFmtId="0" fontId="0" fillId="0" borderId="0" xfId="0" applyBorder="1" applyAlignment="1"/>
    <xf numFmtId="0" fontId="1" fillId="0" borderId="6" xfId="0" applyFont="1" applyBorder="1" applyAlignment="1">
      <alignment horizontal="center"/>
    </xf>
    <xf numFmtId="0" fontId="0" fillId="0" borderId="0" xfId="0" applyFill="1" applyBorder="1"/>
    <xf numFmtId="2" fontId="1" fillId="0" borderId="0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0" xfId="0" applyFont="1"/>
    <xf numFmtId="0" fontId="1" fillId="0" borderId="7" xfId="0" applyFont="1" applyBorder="1"/>
    <xf numFmtId="0" fontId="1" fillId="0" borderId="11" xfId="0" applyFont="1" applyBorder="1"/>
    <xf numFmtId="2" fontId="1" fillId="0" borderId="10" xfId="0" applyNumberFormat="1" applyFont="1" applyBorder="1" applyAlignment="1">
      <alignment horizontal="center"/>
    </xf>
    <xf numFmtId="0" fontId="1" fillId="0" borderId="11" xfId="0" applyFont="1" applyBorder="1" applyAlignment="1">
      <alignment horizontal="left"/>
    </xf>
    <xf numFmtId="0" fontId="0" fillId="2" borderId="0" xfId="0" applyFill="1" applyBorder="1" applyAlignment="1">
      <alignment horizontal="right"/>
    </xf>
    <xf numFmtId="2" fontId="1" fillId="0" borderId="2" xfId="0" applyNumberFormat="1" applyFont="1" applyBorder="1"/>
    <xf numFmtId="2" fontId="0" fillId="0" borderId="1" xfId="0" applyNumberFormat="1" applyBorder="1"/>
    <xf numFmtId="2" fontId="0" fillId="0" borderId="6" xfId="0" applyNumberFormat="1" applyBorder="1"/>
    <xf numFmtId="2" fontId="0" fillId="0" borderId="3" xfId="0" applyNumberFormat="1" applyFont="1" applyBorder="1"/>
    <xf numFmtId="2" fontId="0" fillId="0" borderId="5" xfId="0" applyNumberFormat="1" applyFont="1" applyBorder="1"/>
    <xf numFmtId="2" fontId="0" fillId="0" borderId="8" xfId="0" applyNumberFormat="1" applyFont="1" applyBorder="1"/>
    <xf numFmtId="2" fontId="0" fillId="0" borderId="10" xfId="0" applyNumberFormat="1" applyFont="1" applyBorder="1"/>
    <xf numFmtId="2" fontId="0" fillId="0" borderId="3" xfId="0" applyNumberFormat="1" applyBorder="1"/>
    <xf numFmtId="2" fontId="0" fillId="0" borderId="0" xfId="0" applyNumberFormat="1" applyFont="1" applyBorder="1"/>
    <xf numFmtId="0" fontId="0" fillId="0" borderId="0" xfId="0" applyFont="1" applyBorder="1" applyAlignment="1">
      <alignment horizontal="center"/>
    </xf>
    <xf numFmtId="0" fontId="0" fillId="0" borderId="0" xfId="0" applyFont="1" applyBorder="1"/>
    <xf numFmtId="2" fontId="0" fillId="0" borderId="9" xfId="0" applyNumberFormat="1" applyBorder="1"/>
    <xf numFmtId="2" fontId="0" fillId="0" borderId="10" xfId="0" applyNumberFormat="1" applyBorder="1"/>
    <xf numFmtId="2" fontId="0" fillId="0" borderId="8" xfId="0" applyNumberFormat="1" applyBorder="1"/>
    <xf numFmtId="0" fontId="0" fillId="0" borderId="1" xfId="0" applyFont="1" applyBorder="1" applyAlignment="1">
      <alignment horizontal="left"/>
    </xf>
    <xf numFmtId="0" fontId="0" fillId="0" borderId="2" xfId="0" applyFont="1" applyBorder="1"/>
    <xf numFmtId="2" fontId="0" fillId="0" borderId="2" xfId="0" applyNumberFormat="1" applyFont="1" applyBorder="1"/>
    <xf numFmtId="0" fontId="0" fillId="0" borderId="4" xfId="0" applyFont="1" applyBorder="1" applyAlignment="1">
      <alignment horizontal="left"/>
    </xf>
    <xf numFmtId="0" fontId="0" fillId="0" borderId="6" xfId="0" applyFont="1" applyBorder="1" applyAlignment="1">
      <alignment horizontal="left"/>
    </xf>
    <xf numFmtId="0" fontId="0" fillId="0" borderId="7" xfId="0" applyFont="1" applyBorder="1"/>
    <xf numFmtId="2" fontId="0" fillId="0" borderId="7" xfId="0" applyNumberFormat="1" applyFont="1" applyBorder="1"/>
    <xf numFmtId="2" fontId="1" fillId="0" borderId="7" xfId="0" applyNumberFormat="1" applyFont="1" applyBorder="1"/>
    <xf numFmtId="0" fontId="0" fillId="0" borderId="0" xfId="0" applyFill="1"/>
    <xf numFmtId="0" fontId="0" fillId="0" borderId="1" xfId="0" applyFill="1" applyBorder="1"/>
    <xf numFmtId="0" fontId="1" fillId="0" borderId="9" xfId="0" applyFont="1" applyFill="1" applyBorder="1" applyAlignment="1">
      <alignment horizontal="center"/>
    </xf>
    <xf numFmtId="2" fontId="0" fillId="0" borderId="1" xfId="0" applyNumberFormat="1" applyFill="1" applyBorder="1"/>
    <xf numFmtId="2" fontId="0" fillId="0" borderId="4" xfId="0" applyNumberFormat="1" applyFill="1" applyBorder="1"/>
    <xf numFmtId="2" fontId="0" fillId="0" borderId="9" xfId="0" applyNumberFormat="1" applyFill="1" applyBorder="1"/>
    <xf numFmtId="0" fontId="0" fillId="0" borderId="0" xfId="0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1" fillId="0" borderId="9" xfId="0" applyFont="1" applyFill="1" applyBorder="1" applyAlignment="1">
      <alignment horizontal="center"/>
    </xf>
    <xf numFmtId="0" fontId="1" fillId="0" borderId="11" xfId="0" applyFont="1" applyFill="1" applyBorder="1" applyAlignment="1">
      <alignment horizontal="center"/>
    </xf>
    <xf numFmtId="0" fontId="1" fillId="0" borderId="10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1" fillId="0" borderId="12" xfId="0" applyFont="1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2" fontId="0" fillId="0" borderId="12" xfId="0" applyNumberFormat="1" applyBorder="1" applyAlignment="1">
      <alignment horizontal="center"/>
    </xf>
    <xf numFmtId="0" fontId="1" fillId="0" borderId="9" xfId="0" applyFont="1" applyBorder="1" applyAlignment="1">
      <alignment horizontal="right"/>
    </xf>
    <xf numFmtId="0" fontId="1" fillId="0" borderId="11" xfId="0" applyFont="1" applyBorder="1" applyAlignment="1">
      <alignment horizontal="right"/>
    </xf>
    <xf numFmtId="0" fontId="1" fillId="0" borderId="10" xfId="0" applyFont="1" applyBorder="1" applyAlignment="1">
      <alignment horizontal="right"/>
    </xf>
    <xf numFmtId="0" fontId="0" fillId="0" borderId="9" xfId="0" applyFont="1" applyBorder="1" applyAlignment="1">
      <alignment horizontal="center"/>
    </xf>
    <xf numFmtId="0" fontId="0" fillId="0" borderId="10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2" fontId="0" fillId="0" borderId="2" xfId="0" applyNumberFormat="1" applyBorder="1" applyAlignment="1">
      <alignment horizontal="right"/>
    </xf>
    <xf numFmtId="2" fontId="0" fillId="0" borderId="3" xfId="0" applyNumberFormat="1" applyBorder="1" applyAlignment="1">
      <alignment horizontal="right"/>
    </xf>
    <xf numFmtId="2" fontId="0" fillId="0" borderId="0" xfId="0" applyNumberFormat="1" applyBorder="1" applyAlignment="1">
      <alignment horizontal="right"/>
    </xf>
    <xf numFmtId="2" fontId="0" fillId="0" borderId="5" xfId="0" applyNumberFormat="1" applyBorder="1" applyAlignment="1">
      <alignment horizontal="right"/>
    </xf>
    <xf numFmtId="2" fontId="0" fillId="0" borderId="7" xfId="0" applyNumberFormat="1" applyBorder="1" applyAlignment="1">
      <alignment horizontal="right"/>
    </xf>
    <xf numFmtId="2" fontId="0" fillId="0" borderId="8" xfId="0" applyNumberFormat="1" applyBorder="1" applyAlignment="1">
      <alignment horizontal="right"/>
    </xf>
  </cellXfs>
  <cellStyles count="1">
    <cellStyle name="Normal" xfId="0" builtinId="0"/>
  </cellStyles>
  <dxfs count="2"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9.png"/><Relationship Id="rId5" Type="http://schemas.openxmlformats.org/officeDocument/2006/relationships/image" Target="../media/image8.png"/><Relationship Id="rId4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wmf"/><Relationship Id="rId2" Type="http://schemas.openxmlformats.org/officeDocument/2006/relationships/image" Target="../media/image2.wmf"/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1</xdr:col>
          <xdr:colOff>673100</xdr:colOff>
          <xdr:row>2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0F0F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1</xdr:col>
          <xdr:colOff>596900</xdr:colOff>
          <xdr:row>28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0F0F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Slet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1</xdr:col>
          <xdr:colOff>596900</xdr:colOff>
          <xdr:row>29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0F0F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Slet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1</xdr:col>
          <xdr:colOff>596900</xdr:colOff>
          <xdr:row>30</xdr:row>
          <xdr:rowOff>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0F0F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Slet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30</xdr:row>
          <xdr:rowOff>0</xdr:rowOff>
        </xdr:from>
        <xdr:to>
          <xdr:col>1</xdr:col>
          <xdr:colOff>596900</xdr:colOff>
          <xdr:row>31</xdr:row>
          <xdr:rowOff>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0F0F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Slet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1</xdr:col>
          <xdr:colOff>596900</xdr:colOff>
          <xdr:row>32</xdr:row>
          <xdr:rowOff>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0F0F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Slet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0</xdr:row>
          <xdr:rowOff>12700</xdr:rowOff>
        </xdr:from>
        <xdr:to>
          <xdr:col>0</xdr:col>
          <xdr:colOff>596900</xdr:colOff>
          <xdr:row>1</xdr:row>
          <xdr:rowOff>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0F0F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0</xdr:rowOff>
        </xdr:from>
        <xdr:to>
          <xdr:col>3</xdr:col>
          <xdr:colOff>127000</xdr:colOff>
          <xdr:row>28</xdr:row>
          <xdr:rowOff>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0F0F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GemStrøm1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26</xdr:row>
          <xdr:rowOff>0</xdr:rowOff>
        </xdr:from>
        <xdr:to>
          <xdr:col>3</xdr:col>
          <xdr:colOff>114300</xdr:colOff>
          <xdr:row>27</xdr:row>
          <xdr:rowOff>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0F0F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Slet Alle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28</xdr:row>
          <xdr:rowOff>0</xdr:rowOff>
        </xdr:from>
        <xdr:to>
          <xdr:col>3</xdr:col>
          <xdr:colOff>127000</xdr:colOff>
          <xdr:row>29</xdr:row>
          <xdr:rowOff>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0F0F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GemStrøm2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29</xdr:row>
          <xdr:rowOff>0</xdr:rowOff>
        </xdr:from>
        <xdr:to>
          <xdr:col>3</xdr:col>
          <xdr:colOff>127000</xdr:colOff>
          <xdr:row>30</xdr:row>
          <xdr:rowOff>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0F0F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GemStrøm3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30</xdr:row>
          <xdr:rowOff>0</xdr:rowOff>
        </xdr:from>
        <xdr:to>
          <xdr:col>3</xdr:col>
          <xdr:colOff>127000</xdr:colOff>
          <xdr:row>31</xdr:row>
          <xdr:rowOff>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0F0F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GemStrøm4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31</xdr:row>
          <xdr:rowOff>0</xdr:rowOff>
        </xdr:from>
        <xdr:to>
          <xdr:col>3</xdr:col>
          <xdr:colOff>127000</xdr:colOff>
          <xdr:row>32</xdr:row>
          <xdr:rowOff>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0F0F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GemStrøm5</a:t>
              </a:r>
            </a:p>
          </xdr:txBody>
        </xdr:sp>
        <xdr:clientData fPrintsWithSheet="0"/>
      </xdr:twoCellAnchor>
    </mc:Choice>
    <mc:Fallback/>
  </mc:AlternateContent>
  <xdr:twoCellAnchor>
    <xdr:from>
      <xdr:col>15</xdr:col>
      <xdr:colOff>0</xdr:colOff>
      <xdr:row>26</xdr:row>
      <xdr:rowOff>0</xdr:rowOff>
    </xdr:from>
    <xdr:to>
      <xdr:col>17</xdr:col>
      <xdr:colOff>800100</xdr:colOff>
      <xdr:row>28</xdr:row>
      <xdr:rowOff>9525</xdr:rowOff>
    </xdr:to>
    <xdr:pic>
      <xdr:nvPicPr>
        <xdr:cNvPr id="15" name="Billed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81900" y="4953000"/>
          <a:ext cx="2019300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15</xdr:col>
      <xdr:colOff>0</xdr:colOff>
      <xdr:row>30</xdr:row>
      <xdr:rowOff>0</xdr:rowOff>
    </xdr:from>
    <xdr:to>
      <xdr:col>17</xdr:col>
      <xdr:colOff>790575</xdr:colOff>
      <xdr:row>31</xdr:row>
      <xdr:rowOff>161925</xdr:rowOff>
    </xdr:to>
    <xdr:pic>
      <xdr:nvPicPr>
        <xdr:cNvPr id="18" name="Billed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81900" y="5715000"/>
          <a:ext cx="2009775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19</xdr:col>
      <xdr:colOff>0</xdr:colOff>
      <xdr:row>26</xdr:row>
      <xdr:rowOff>0</xdr:rowOff>
    </xdr:from>
    <xdr:to>
      <xdr:col>21</xdr:col>
      <xdr:colOff>257175</xdr:colOff>
      <xdr:row>28</xdr:row>
      <xdr:rowOff>9525</xdr:rowOff>
    </xdr:to>
    <xdr:pic>
      <xdr:nvPicPr>
        <xdr:cNvPr id="22" name="Billed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91800" y="4953000"/>
          <a:ext cx="14763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19</xdr:col>
      <xdr:colOff>0</xdr:colOff>
      <xdr:row>30</xdr:row>
      <xdr:rowOff>0</xdr:rowOff>
    </xdr:from>
    <xdr:to>
      <xdr:col>21</xdr:col>
      <xdr:colOff>247650</xdr:colOff>
      <xdr:row>31</xdr:row>
      <xdr:rowOff>161925</xdr:rowOff>
    </xdr:to>
    <xdr:pic>
      <xdr:nvPicPr>
        <xdr:cNvPr id="25" name="Billed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91800" y="5715000"/>
          <a:ext cx="1466850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23</xdr:col>
      <xdr:colOff>0</xdr:colOff>
      <xdr:row>26</xdr:row>
      <xdr:rowOff>0</xdr:rowOff>
    </xdr:from>
    <xdr:to>
      <xdr:col>26</xdr:col>
      <xdr:colOff>152400</xdr:colOff>
      <xdr:row>28</xdr:row>
      <xdr:rowOff>9525</xdr:rowOff>
    </xdr:to>
    <xdr:pic>
      <xdr:nvPicPr>
        <xdr:cNvPr id="31" name="Billed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030200" y="4953000"/>
          <a:ext cx="1981200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23</xdr:col>
      <xdr:colOff>0</xdr:colOff>
      <xdr:row>30</xdr:row>
      <xdr:rowOff>0</xdr:rowOff>
    </xdr:from>
    <xdr:to>
      <xdr:col>26</xdr:col>
      <xdr:colOff>142875</xdr:colOff>
      <xdr:row>31</xdr:row>
      <xdr:rowOff>171450</xdr:rowOff>
    </xdr:to>
    <xdr:pic>
      <xdr:nvPicPr>
        <xdr:cNvPr id="34" name="Billede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030200" y="5715000"/>
          <a:ext cx="1971675" cy="361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63500</xdr:colOff>
          <xdr:row>33</xdr:row>
          <xdr:rowOff>165100</xdr:rowOff>
        </xdr:from>
        <xdr:to>
          <xdr:col>26</xdr:col>
          <xdr:colOff>127000</xdr:colOff>
          <xdr:row>57</xdr:row>
          <xdr:rowOff>114300</xdr:rowOff>
        </xdr:to>
        <xdr:sp macro="" textlink="">
          <xdr:nvSpPr>
            <xdr:cNvPr id="1064" name="Object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33</xdr:row>
          <xdr:rowOff>152400</xdr:rowOff>
        </xdr:from>
        <xdr:to>
          <xdr:col>18</xdr:col>
          <xdr:colOff>114300</xdr:colOff>
          <xdr:row>57</xdr:row>
          <xdr:rowOff>177800</xdr:rowOff>
        </xdr:to>
        <xdr:sp macro="" textlink="">
          <xdr:nvSpPr>
            <xdr:cNvPr id="1066" name="Object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25400</xdr:colOff>
          <xdr:row>33</xdr:row>
          <xdr:rowOff>177800</xdr:rowOff>
        </xdr:from>
        <xdr:to>
          <xdr:col>21</xdr:col>
          <xdr:colOff>241300</xdr:colOff>
          <xdr:row>57</xdr:row>
          <xdr:rowOff>139700</xdr:rowOff>
        </xdr:to>
        <xdr:sp macro="" textlink="">
          <xdr:nvSpPr>
            <xdr:cNvPr id="1067" name="Object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3.bin"/><Relationship Id="rId13" Type="http://schemas.openxmlformats.org/officeDocument/2006/relationships/ctrlProp" Target="../ctrlProps/ctrlProp4.xml"/><Relationship Id="rId18" Type="http://schemas.openxmlformats.org/officeDocument/2006/relationships/ctrlProp" Target="../ctrlProps/ctrlProp9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2.xml"/><Relationship Id="rId7" Type="http://schemas.openxmlformats.org/officeDocument/2006/relationships/image" Target="../media/image2.wmf"/><Relationship Id="rId12" Type="http://schemas.openxmlformats.org/officeDocument/2006/relationships/ctrlProp" Target="../ctrlProps/ctrlProp3.xml"/><Relationship Id="rId17" Type="http://schemas.openxmlformats.org/officeDocument/2006/relationships/ctrlProp" Target="../ctrlProps/ctrlProp8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7.xml"/><Relationship Id="rId20" Type="http://schemas.openxmlformats.org/officeDocument/2006/relationships/ctrlProp" Target="../ctrlProps/ctrlProp11.xml"/><Relationship Id="rId1" Type="http://schemas.openxmlformats.org/officeDocument/2006/relationships/printerSettings" Target="../printerSettings/printerSettings1.bin"/><Relationship Id="rId6" Type="http://schemas.openxmlformats.org/officeDocument/2006/relationships/oleObject" Target="../embeddings/oleObject2.bin"/><Relationship Id="rId11" Type="http://schemas.openxmlformats.org/officeDocument/2006/relationships/ctrlProp" Target="../ctrlProps/ctrlProp2.xml"/><Relationship Id="rId5" Type="http://schemas.openxmlformats.org/officeDocument/2006/relationships/image" Target="../media/image1.wmf"/><Relationship Id="rId15" Type="http://schemas.openxmlformats.org/officeDocument/2006/relationships/ctrlProp" Target="../ctrlProps/ctrlProp6.xml"/><Relationship Id="rId10" Type="http://schemas.openxmlformats.org/officeDocument/2006/relationships/ctrlProp" Target="../ctrlProps/ctrlProp1.xml"/><Relationship Id="rId19" Type="http://schemas.openxmlformats.org/officeDocument/2006/relationships/ctrlProp" Target="../ctrlProps/ctrlProp10.xml"/><Relationship Id="rId4" Type="http://schemas.openxmlformats.org/officeDocument/2006/relationships/oleObject" Target="../embeddings/oleObject1.bin"/><Relationship Id="rId9" Type="http://schemas.openxmlformats.org/officeDocument/2006/relationships/image" Target="../media/image3.wmf"/><Relationship Id="rId14" Type="http://schemas.openxmlformats.org/officeDocument/2006/relationships/ctrlProp" Target="../ctrlProps/ctrlProp5.xml"/><Relationship Id="rId22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1"/>
  <dimension ref="A2:X208"/>
  <sheetViews>
    <sheetView topLeftCell="B1" zoomScale="93" zoomScaleNormal="90" workbookViewId="0">
      <selection activeCell="J7" sqref="J7"/>
    </sheetView>
  </sheetViews>
  <sheetFormatPr defaultColWidth="8.875" defaultRowHeight="15" customHeight="1" outlineLevelRow="1" x14ac:dyDescent="0.2"/>
  <cols>
    <col min="2" max="3" width="9.01171875" bestFit="1" customWidth="1"/>
    <col min="4" max="4" width="2.15234375" customWidth="1"/>
    <col min="6" max="6" width="9.01171875" bestFit="1" customWidth="1"/>
    <col min="7" max="7" width="4.4375" customWidth="1"/>
    <col min="8" max="8" width="9.01171875" bestFit="1" customWidth="1"/>
    <col min="9" max="9" width="9.14453125" customWidth="1"/>
    <col min="10" max="10" width="9.01171875" bestFit="1" customWidth="1"/>
    <col min="11" max="12" width="4.4375" customWidth="1"/>
    <col min="13" max="13" width="9.14453125" customWidth="1"/>
    <col min="14" max="14" width="23.9453125" customWidth="1"/>
    <col min="15" max="17" width="9.01171875" bestFit="1" customWidth="1"/>
    <col min="18" max="18" width="13.44921875" customWidth="1"/>
    <col min="19" max="19" width="9.4140625" bestFit="1" customWidth="1"/>
    <col min="20" max="20" width="14.125" bestFit="1" customWidth="1"/>
    <col min="21" max="21" width="12.77734375" bestFit="1" customWidth="1"/>
    <col min="22" max="23" width="11.1640625" bestFit="1" customWidth="1"/>
  </cols>
  <sheetData>
    <row r="2" spans="2:22" ht="15" customHeight="1" x14ac:dyDescent="0.2">
      <c r="B2" s="98" t="s">
        <v>47</v>
      </c>
      <c r="C2" s="99"/>
      <c r="D2" s="100"/>
      <c r="E2" s="101" t="s">
        <v>77</v>
      </c>
      <c r="F2" s="102"/>
      <c r="G2" s="41"/>
      <c r="H2" s="41"/>
      <c r="I2" s="41"/>
      <c r="J2" s="41"/>
      <c r="K2" s="41"/>
    </row>
    <row r="3" spans="2:22" ht="15" customHeight="1" x14ac:dyDescent="0.2">
      <c r="B3" s="37"/>
      <c r="C3" s="42" t="s">
        <v>17</v>
      </c>
      <c r="D3" s="42"/>
      <c r="E3" s="43" t="s">
        <v>0</v>
      </c>
      <c r="F3" s="43" t="s">
        <v>1</v>
      </c>
      <c r="G3" s="43"/>
      <c r="H3" s="43" t="s">
        <v>2</v>
      </c>
      <c r="I3" s="43" t="s">
        <v>1</v>
      </c>
      <c r="J3" s="43" t="s">
        <v>3</v>
      </c>
      <c r="K3" s="43" t="s">
        <v>43</v>
      </c>
      <c r="L3" s="45" t="s">
        <v>42</v>
      </c>
      <c r="M3" s="45" t="s">
        <v>64</v>
      </c>
      <c r="N3" s="26" t="s">
        <v>24</v>
      </c>
      <c r="O3" s="28" t="s">
        <v>4</v>
      </c>
      <c r="P3" s="29" t="s">
        <v>25</v>
      </c>
      <c r="Q3" s="29" t="s">
        <v>4</v>
      </c>
      <c r="R3" s="26" t="s">
        <v>26</v>
      </c>
      <c r="S3" s="29" t="s">
        <v>4</v>
      </c>
      <c r="T3" s="103" t="s">
        <v>46</v>
      </c>
      <c r="U3" s="88"/>
      <c r="V3" s="36"/>
    </row>
    <row r="4" spans="2:22" ht="15" customHeight="1" x14ac:dyDescent="0.2">
      <c r="B4" s="21">
        <v>1</v>
      </c>
      <c r="C4" s="5">
        <v>230</v>
      </c>
      <c r="D4" s="5" t="str">
        <f>IF(C4=400,"V",IF(C4=230,"V",""))</f>
        <v>V</v>
      </c>
      <c r="E4" s="14" t="s">
        <v>5</v>
      </c>
      <c r="F4" s="25">
        <v>10</v>
      </c>
      <c r="G4" s="5" t="str">
        <f>IF(E4="Ib","A",IF(E4="P","W",IF(E4="S","VA",IF(E4="Q","VAr",""))))</f>
        <v>A</v>
      </c>
      <c r="H4" s="14" t="s">
        <v>9</v>
      </c>
      <c r="I4" s="25">
        <v>1</v>
      </c>
      <c r="J4" s="14" t="s">
        <v>10</v>
      </c>
      <c r="K4" s="46">
        <v>1</v>
      </c>
      <c r="L4" s="25">
        <v>1</v>
      </c>
      <c r="M4" s="38"/>
      <c r="N4" s="19">
        <f>(IF(AND(E4="Ib",OR(J4="L1-N",J4="L1-L2",J4="L1-L3",J4="3F")),F4,IF(AND(E4="P",J4="L1-N",C4=230),O60,IF(AND(E4="P",OR(J4="L1-L2",J4="L1-L3"),C4=400),P60,IF(AND(E4="P",J4="3F",C4=400),Q60,IF(AND(E4="S",J4="L1-N",C4=230),R60,IF(AND(E4="S",OR(J4="L1-L2",J4="L1-L3"),C4=400),S60,IF(AND(E4="S",J4="3F",C4=400),T60,IF(AND(E4="Q",J4="L1-N",C4=230),U60,IF(AND(E4="Q",OR(J4="L1-L2",J4="L1-L3"),C4=400),V60,IF(AND(E4="Q",J4="3F",C4=400),W60,0))))))))))*K4*L4)</f>
        <v>10</v>
      </c>
      <c r="O4" s="18">
        <f>IF(J4="L1-N",L64,IF(J4="L1-L2",P64,IF(J4="L1-L3",R64,IF(J4="3F",L64,0))))</f>
        <v>0</v>
      </c>
      <c r="P4" s="10">
        <f>(IF(AND(E4="Ib",OR(J4="L2-N",J4="L1-L2",J4="L2-L3",J4="3F")),F4,IF(AND(E4="P",J4="L2-N",C4=230),O60,IF(AND(E4="P",OR(J4="L1-L2",J4="L2-L3"),C4=400),P60,IF(AND(E4="P",J4="3F",C4=400),Q60,IF(AND(E4="S",J4="L2-N",C4=230),R60,IF(AND(E4="S",OR(J4="L1-L2",J4="L2-L3"),C4=400),S60,IF(AND(E4="S",J4="3F",C4=400),T60,IF(AND(E4="Q",J4="L2-N",C4=230),U60,IF(AND(E4="Q",OR(J4="L1-L2",J4="L2-L3"),C4=400),V60,IF(AND(E4="Q",J4="3F",C4=400),W60,0))))))))))*K4*L4)</f>
        <v>0</v>
      </c>
      <c r="Q4" s="10">
        <f>IF(J4="L2-N",N64,IF(J4="L1-L2",Q64,IF(J4="L2-L3",T64,IF(J4="3F",N64,0))))</f>
        <v>0</v>
      </c>
      <c r="R4" s="19">
        <f>(IF(AND(E4="Ib",OR(J4="L3-N",J4="L1-L3",J4="L2-L3",J4="3F")),F4,IF(AND(E4="P",J4="L3-N",C4=230),O60,IF(AND(E4="P",OR(J4="L1-L3",J4="L2-L3"),C4=400),P60,IF(AND(E4="P",J4="3F",C4=400),Q60,IF(AND(E4="S",J4="L3-N",C4=230),R60,IF(AND(E4="S",OR(J4="L1-L3",J4="L2-L3"),C4=400),S60,IF(AND(E4="S",J4="3F",C4=400),T60,IF(AND(E4="Q",J4="L3-N",C4=230),U60,IF(AND(E4="Q",OR(J4="L1-L3",J4="L2-L3"),C4=400),V60,IF(AND(E4="Q",J4="3F",C4=400),W60,0))))))))))*K4*L4)</f>
        <v>0</v>
      </c>
      <c r="S4" s="18">
        <f>IF(J4="L3-N",O64,IF(J4="L1-L3",S64,IF(J4="L2-L3",U64,IF(J4="3F",O64,0))))</f>
        <v>0</v>
      </c>
      <c r="T4" s="104" t="s">
        <v>78</v>
      </c>
      <c r="U4" s="105"/>
    </row>
    <row r="5" spans="2:22" ht="15" customHeight="1" x14ac:dyDescent="0.2">
      <c r="B5" s="21">
        <v>2</v>
      </c>
      <c r="C5" s="5">
        <v>230</v>
      </c>
      <c r="D5" s="5" t="str">
        <f>IF(C5=400,"V",IF(C5=230,"V",""))</f>
        <v>V</v>
      </c>
      <c r="E5" s="14" t="s">
        <v>5</v>
      </c>
      <c r="F5" s="25">
        <v>10</v>
      </c>
      <c r="G5" s="5" t="str">
        <f>IF(E5="Ib","A",IF(E5="P","W",IF(E5="S","VA",IF(E5="Q","VAr",""))))</f>
        <v>A</v>
      </c>
      <c r="H5" s="14" t="s">
        <v>9</v>
      </c>
      <c r="I5" s="25">
        <v>1</v>
      </c>
      <c r="J5" s="14" t="s">
        <v>11</v>
      </c>
      <c r="K5" s="46">
        <v>1</v>
      </c>
      <c r="L5" s="25">
        <v>1</v>
      </c>
      <c r="M5" s="38"/>
      <c r="N5" s="19">
        <f>(IF(AND(E5="Ib",OR(J5="L1-N",J5="L1-L2",J5="L1-L3",J5="3F")),F5,IF(AND(E5="P",J5="L1-N",C5=230),O70,IF(AND(E5="P",OR(J5="L1-L2",J5="L1-L3"),C5=400),P70,IF(AND(E5="P",J5="3F",C5=400),Q70,IF(AND(E5="S",J5="L1-N",C5=230),R70,IF(AND(E5="S",OR(J5="L1-L2",J5="L1-L3"),C5=400),S70,IF(AND(E5="S",J5="3F",C5=400),T70,IF(AND(E5="Q",J5="L1-N",C5=230),U70,IF(AND(E5="Q",OR(J5="L1-L2",J5="L1-L3"),C5=400),V70,IF(AND(E5="Q",J5="3F",C5=400),W70,0))))))))))*K5*L5)</f>
        <v>0</v>
      </c>
      <c r="O5" s="18">
        <f>IF(J5="L1-N",L74,IF(J5="L1-L2",P74,IF(J5="L1-L3",R74,IF(J5="3F",L74,0))))</f>
        <v>0</v>
      </c>
      <c r="P5" s="10">
        <f>(IF(AND(E5="Ib",OR(J5="L2-N",J5="L1-L2",J5="L2-L3",J5="3F")),F5,IF(AND(E5="P",J5="L2-N",C5=230),O70,IF(AND(E5="P",OR(J5="L1-L2",J5="L2-L3"),C5=400),P70,IF(AND(E5="P",J5="3F",C5=400),Q70,IF(AND(E5="S",J5="L2-N",C5=230),R70,IF(AND(E5="S",OR(J5="L1-L2",J5="L2-L3"),C5=400),S70,IF(AND(E5="S",J5="3F",C5=400),T70,IF(AND(E5="Q",J5="L2-N",C5=230),U70,IF(AND(E5="Q",OR(J5="L1-L2",J5="L2-L3"),C5=400),V70,IF(AND(E5="Q",J5="3F",C5=400),W70,0))))))))))*K5*L5)</f>
        <v>10</v>
      </c>
      <c r="Q5" s="10">
        <f>IF(J5="L2-N",N74,IF(J5="L1-L2",Q74,IF(J5="L2-L3",T74,IF(J5="3F",N74,0))))</f>
        <v>-120</v>
      </c>
      <c r="R5" s="19">
        <f>(IF(AND(E5="Ib",OR(J5="L3-N",J5="L1-L3",J5="L2-L3",J5="3F")),F5,IF(AND(E5="P",J5="L3-N",C5=230),O70,IF(AND(E5="P",OR(J5="L1-L3",J5="L2-L3"),C5=400),P70,IF(AND(E5="P",J5="3F",C5=400),Q70,IF(AND(E5="S",J5="L3-N",C5=230),R70,IF(AND(E5="S",OR(J5="L1-L3",J5="L2-L3"),C5=400),S70,IF(AND(E5="S",J5="3F",C5=400),T70,IF(AND(E5="Q",J5="L3-N",C5=230),U70,IF(AND(E5="Q",OR(J5="L1-L3",J5="L2-L3"),C5=400),V70,IF(AND(E5="Q",J5="3F",C5=400),W70,0))))))))))*K5*L5)</f>
        <v>0</v>
      </c>
      <c r="S5" s="18">
        <f>IF(J5="L3-N",O74,IF(J5="L1-L3",S74,IF(J5="L2-L3",U74,IF(J5="3F",O74,0))))</f>
        <v>0</v>
      </c>
      <c r="T5" s="83" t="s">
        <v>79</v>
      </c>
      <c r="U5" s="84"/>
    </row>
    <row r="6" spans="2:22" ht="15" customHeight="1" x14ac:dyDescent="0.2">
      <c r="B6" s="21">
        <v>3</v>
      </c>
      <c r="C6" s="5">
        <v>230</v>
      </c>
      <c r="D6" s="5" t="str">
        <f t="shared" ref="D6:D18" si="0">IF(C6=400,"V",IF(C6=230,"V",""))</f>
        <v>V</v>
      </c>
      <c r="E6" s="14" t="s">
        <v>5</v>
      </c>
      <c r="F6" s="25">
        <v>10</v>
      </c>
      <c r="G6" s="5" t="str">
        <f t="shared" ref="G6:G18" si="1">IF(E6="Ib","A",IF(E6="P","W",IF(E6="S","VA",IF(E6="Q","VAr",""))))</f>
        <v>A</v>
      </c>
      <c r="H6" s="14" t="s">
        <v>9</v>
      </c>
      <c r="I6" s="25">
        <v>1</v>
      </c>
      <c r="J6" s="14" t="s">
        <v>12</v>
      </c>
      <c r="K6" s="46">
        <v>1</v>
      </c>
      <c r="L6" s="25">
        <v>1</v>
      </c>
      <c r="M6" s="38"/>
      <c r="N6" s="19">
        <f>(IF(AND(E6="Ib",OR(J6="L1-N",J6="L1-L2",J6="L1-L3",J6="3F")),F6,IF(AND(E6="P",J6="L1-N",C6=230),O80,IF(AND(E6="P",OR(J6="L1-L2",J6="L1-L3"),C6=400),P80,IF(AND(E6="P",J6="3F",C6=400),Q80,IF(AND(E6="S",J6="L1-N",C6=230),R80,IF(AND(E6="S",OR(J6="L1-L2",J6="L1-L3"),C6=400),S80,IF(AND(E6="S",J6="3F",C6=400),T80,IF(AND(E6="Q",J6="L1-N",C6=230),U80,IF(AND(E6="Q",OR(J6="L1-L2",J6="L1-L3"),C6=400),V80,IF(AND(E6="Q",J6="3F",C6=400),W80,0))))))))))*K6*L6)</f>
        <v>0</v>
      </c>
      <c r="O6" s="18">
        <f>IF(J6="L1-N",L84,IF(J6="L1-L2",P84,IF(J6="L1-L3",R84,IF(J6="3F",L84,0))))</f>
        <v>0</v>
      </c>
      <c r="P6" s="10">
        <f>(IF(AND(E6="Ib",OR(J6="L2-N",J6="L1-L2",J6="L2-L3",J6="3F")),F6,IF(AND(E6="P",J6="L2-N",C6=230),O80,IF(AND(E6="P",OR(J6="L1-L2",J6="L2-L3"),C6=400),P80,IF(AND(E6="P",J6="3F",C6=400),Q80,IF(AND(E6="S",J6="L2-N",C6=230),R80,IF(AND(E6="S",OR(J6="L1-L2",J6="L2-L3"),C6=400),S80,IF(AND(E6="S",J6="3F",C6=400),T80,IF(AND(E6="Q",J6="L2-N",C6=230),U80,IF(AND(E6="Q",OR(J6="L1-L2",J6="L2-L3"),C6=400),V80,IF(AND(E6="Q",J6="3F",C6=400),W80,0))))))))))*K6*L6)</f>
        <v>0</v>
      </c>
      <c r="Q6" s="10">
        <f>IF(J6="L2-N",N84,IF(J6="L1-L2",Q84,IF(J6="L2-L3",T84,IF(J6="3F",N84,0))))</f>
        <v>0</v>
      </c>
      <c r="R6" s="19">
        <f>IF(AND(E6="Ib",OR(J6="L3-N",J6="L1-L3",J6="L2-L3",J6="3F")),F6,IF(AND(E6="P",J6="L3-N",C6=230),O80,IF(AND(E6="P",OR(J6="L1-L3",J6="L2-L3"),C6=400),P80,IF(AND(E6="P",J6="3F",C6=400),Q80,IF(AND(E6="S",J6="L3-N",C6=230),R80,IF(AND(E6="S",OR(J6="L1-L3",J6="L2-L3"),C6=400),S80,IF(AND(E6="S",J6="3F",C6=400),T80,IF(AND(E6="Q",J6="L3-N",C6=230),U80,IF(AND(E6="Q",OR(J6="L1-L3",J6="L2-L3"),C6=400),V80,IF(AND(E6="Q",J6="3F",C6=400),W80,0))))))))))*K6*L6</f>
        <v>10</v>
      </c>
      <c r="S6" s="18">
        <f>IF(J6="L3-N",O84,IF(J6="L1-L3",S84,IF(J6="L2-L3",U84,IF(J6="3F",O84,0))))</f>
        <v>-240</v>
      </c>
      <c r="T6" s="83" t="s">
        <v>80</v>
      </c>
      <c r="U6" s="84"/>
    </row>
    <row r="7" spans="2:22" ht="15" customHeight="1" x14ac:dyDescent="0.2">
      <c r="B7" s="21">
        <v>4</v>
      </c>
      <c r="C7" s="5">
        <v>400</v>
      </c>
      <c r="D7" s="5" t="str">
        <f t="shared" si="0"/>
        <v>V</v>
      </c>
      <c r="E7" s="14" t="s">
        <v>5</v>
      </c>
      <c r="F7" s="25">
        <v>10</v>
      </c>
      <c r="G7" s="5" t="str">
        <f t="shared" si="1"/>
        <v>A</v>
      </c>
      <c r="H7" s="14" t="s">
        <v>9</v>
      </c>
      <c r="I7" s="25">
        <v>1</v>
      </c>
      <c r="J7" s="14" t="s">
        <v>16</v>
      </c>
      <c r="K7" s="46">
        <v>1</v>
      </c>
      <c r="L7" s="25">
        <v>1</v>
      </c>
      <c r="M7" s="38"/>
      <c r="N7" s="19">
        <f>IF(AND(E7="Ib",OR(J7="L1-N",J7="L1-L2",J7="L1-L3",J7="3F")),F7,IF(AND(E7="P",J7="L1-N",C7=230),O90,IF(AND(E7="P",OR(J7="L1-L2",J7="L1-L3"),C7=400),P90,IF(AND(E7="P",J7="3F",C7=400),Q90,IF(AND(E7="S",J7="L1-N",C7=230),R90,IF(AND(E7="S",OR(J7="L1-L2",J7="L1-L3"),C7=400),S90,IF(AND(E7="S",J7="3F",C7=400),T90,IF(AND(E7="Q",J7="L1-N",C7=230),U90,IF(AND(E7="Q",OR(J7="L1-L2",J7="L1-L3"),C7=400),V90,IF(AND(E7="Q",J7="3F",C7=400),W90,0))))))))))*K7*L7</f>
        <v>10</v>
      </c>
      <c r="O7" s="18">
        <f>IF(J7="L1-N",L94,IF(J7="L1-L2",P94,IF(J7="L1-L3",R94,IF(J7="3F",L94,0))))</f>
        <v>0</v>
      </c>
      <c r="P7" s="10">
        <f>IF(AND(E7="Ib",OR(J7="L2-N",J7="L1-L2",J7="L2-L3",J7="3F")),F7,IF(AND(E7="P",J7="L2-N",C7=230),O90,IF(AND(E7="P",OR(J7="L1-L2",J7="L2-L3"),C7=400),P90,IF(AND(E7="P",J7="3F",C7=400),Q90,IF(AND(E7="S",J7="L2-N",C7=230),R90,IF(AND(E7="S",OR(J7="L1-L2",J7="L2-L3"),C7=400),S90,IF(AND(E7="S",J7="3F",C7=400),T90,IF(AND(E7="Q",J7="L2-N",C7=230),U90,IF(AND(E7="Q",OR(J7="L1-L2",J7="L2-L3"),C7=400),V90,IF(AND(E7="Q",J7="3F",C7=400),W90,0))))))))))*K7*L7</f>
        <v>10</v>
      </c>
      <c r="Q7" s="10">
        <f>IF(J7="L2-N",N94,IF(J7="L1-L2",Q94,IF(J7="L2-L3",T94,IF(J7="3F",N94,0))))</f>
        <v>-120</v>
      </c>
      <c r="R7" s="19">
        <f>(IF(AND(E7="Ib",OR(J7="L3-N",J7="L1-L3",J7="L2-L3",J7="3F")),F7,IF(AND(E7="P",J7="L3-N",C7=230),O90,IF(AND(E7="P",OR(J7="L1-L3",J7="L2-L3"),C7=400),P90,IF(AND(E7="P",J7="3F",C7=400),Q90,IF(AND(E7="S",J7="L3-N",C7=230),R90,IF(AND(E7="S",OR(J7="L1-L3",J7="L2-L3"),C7=400),S90,IF(AND(E7="S",J7="3F",C7=400),T90,IF(AND(E7="Q",J7="L3-N",C7=230),U90,IF(AND(E7="Q",OR(J7="L1-L3",J7="L2-L3"),C7=400),V90,IF(AND(E7="Q",J7="3F",C7=400),W90,0))))))))))*K7*L7)</f>
        <v>10</v>
      </c>
      <c r="S7" s="18">
        <f>IF(J7="L3-N",O94,IF(J7="L1-L3",S94,IF(J7="L2-L3",U94,IF(J7="3F",O94,0))))</f>
        <v>-240</v>
      </c>
      <c r="T7" s="83" t="s">
        <v>82</v>
      </c>
      <c r="U7" s="84"/>
    </row>
    <row r="8" spans="2:22" ht="15" customHeight="1" x14ac:dyDescent="0.2">
      <c r="B8" s="21">
        <v>5</v>
      </c>
      <c r="C8" s="5">
        <v>230</v>
      </c>
      <c r="D8" s="5" t="str">
        <f t="shared" si="0"/>
        <v>V</v>
      </c>
      <c r="E8" s="14" t="s">
        <v>5</v>
      </c>
      <c r="F8" s="25">
        <v>10</v>
      </c>
      <c r="G8" s="5" t="str">
        <f t="shared" si="1"/>
        <v>A</v>
      </c>
      <c r="H8" s="14" t="s">
        <v>9</v>
      </c>
      <c r="I8" s="25">
        <v>1</v>
      </c>
      <c r="J8" s="14" t="s">
        <v>11</v>
      </c>
      <c r="K8" s="46">
        <v>1</v>
      </c>
      <c r="L8" s="25">
        <v>1</v>
      </c>
      <c r="M8" s="38"/>
      <c r="N8" s="19">
        <f>IF(AND(E8="Ib",OR(J8="L1-N",J8="L1-L2",J8="L1-L3",J8="3F")),F8,IF(AND(E8="P",J8="L1-N",C8=230),O100,IF(AND(E8="P",OR(J8="L1-L2",J8="L1-L3"),C8=400),P100,IF(AND(E8="P",J8="3F",C8=400),Q100,IF(AND(E8="S",J8="L1-N",C8=230),R100,IF(AND(E8="S",OR(J8="L1-L2",J8="L1-L3"),C8=400),S100,IF(AND(E8="S",J8="3F",C8=400),T100,IF(AND(E8="Q",J8="L1-N",C8=230),U100,IF(AND(E8="Q",OR(J8="L1-L2",J8="L1-L3"),C8=400),V100,IF(AND(E8="Q",J8="3F",C8=400),W100,0))))))))))*K8*L8</f>
        <v>0</v>
      </c>
      <c r="O8" s="18">
        <f>IF(J8="L1-N",L104,IF(J8="L1-L2",P104,IF(J8="L1-L3",R104,IF(J8="3F",L104,0))))</f>
        <v>0</v>
      </c>
      <c r="P8" s="10">
        <f>IF(AND(E8="Ib",OR(J8="L2-N",J8="L1-L2",J8="L2-L3",J8="3F")),F8,IF(AND(E8="P",J8="L2-N",C8=230),O100,IF(AND(E8="P",OR(J8="L1-L2",J8="L2-L3"),C8=400),P100,IF(AND(E8="P",J8="3F",C8=400),Q100,IF(AND(E8="S",J8="L2-N",C8=230),R100,IF(AND(E8="S",OR(J8="L1-L2",J8="L2-L3"),C8=400),S100,IF(AND(E8="S",J8="3F",C8=400),T100,IF(AND(E8="Q",J8="L2-N",C8=230),U100,IF(AND(E8="Q",OR(J8="L1-L2",J8="L2-L3"),C8=400),V100,IF(AND(E8="Q",J8="3F",C8=400),W100,0))))))))))*K8*L8</f>
        <v>10</v>
      </c>
      <c r="Q8" s="10">
        <f>IF(J8="L2-N",N104,IF(J8="L1-L2",Q104,IF(J8="L2-L3",T104,IF(J8="3F",N104,0))))</f>
        <v>-120</v>
      </c>
      <c r="R8" s="19">
        <f>IF(AND(E8="Ib",OR(J8="L3-N",J8="L1-L3",J8="L2-L3",J8="3F")),F8,IF(AND(E8="P",J8="L3-N",C8=230),O100,IF(AND(E8="P",OR(J8="L1-L3",J8="L2-L3"),C8=400),P100,IF(AND(E8="P",J8="3F",C8=400),Q100,IF(AND(E8="S",J8="L3-N",C8=230),R100,IF(AND(E8="S",OR(J8="L1-L3",J8="L2-L3"),C8=400),S100,IF(AND(E8="S",J8="3F",C8=400),T100,IF(AND(E8="Q",J8="L3-N",C8=230),U100,IF(AND(E8="Q",OR(J8="L1-L3",J8="L2-L3"),C8=400),V100,IF(AND(E8="Q",J8="3F",C8=400),W100,0))))))))))*K8*L8</f>
        <v>0</v>
      </c>
      <c r="S8" s="18">
        <f>IF(J8="L3-N",O104,IF(J8="L1-L3",S104,IF(J8="L2-L3",U104,IF(J8="3F",O104,0))))</f>
        <v>0</v>
      </c>
      <c r="T8" s="83" t="s">
        <v>84</v>
      </c>
      <c r="U8" s="84"/>
    </row>
    <row r="9" spans="2:22" ht="15" customHeight="1" x14ac:dyDescent="0.2">
      <c r="B9" s="21">
        <v>6</v>
      </c>
      <c r="C9" s="5">
        <v>230</v>
      </c>
      <c r="D9" s="5" t="str">
        <f t="shared" si="0"/>
        <v>V</v>
      </c>
      <c r="E9" s="14" t="s">
        <v>5</v>
      </c>
      <c r="F9" s="25">
        <v>10</v>
      </c>
      <c r="G9" s="5" t="str">
        <f t="shared" si="1"/>
        <v>A</v>
      </c>
      <c r="H9" s="14" t="s">
        <v>9</v>
      </c>
      <c r="I9" s="25">
        <v>1</v>
      </c>
      <c r="J9" s="14" t="s">
        <v>12</v>
      </c>
      <c r="K9" s="46">
        <v>1</v>
      </c>
      <c r="L9" s="25">
        <v>1</v>
      </c>
      <c r="M9" s="38"/>
      <c r="N9" s="19">
        <f>IF(AND(E9="Ib",OR(J9="L1-N",J9="L1-L2",J9="L1-L3",J9="3F")),F9,IF(AND(E9="P",J9="L1-N",C9=230),O110,IF(AND(E9="P",OR(J9="L1-L2",J9="L1-L3"),C9=400),P110,IF(AND(E9="P",J9="3F",C9=400),Q110,IF(AND(E9="S",J9="L1-N",C9=230),R110,IF(AND(E9="S",OR(J9="L1-L2",J9="L1-L3"),C9=400),S110,IF(AND(E9="S",J9="3F",C9=400),T110,IF(AND(E9="Q",J9="L1-N",C9=230),U110,IF(AND(E9="Q",OR(J9="L1-L2",J9="L1-L3"),C9=400),V110,IF(AND(E9="Q",J9="3F",C9=400),W110,0))))))))))*K9*L9</f>
        <v>0</v>
      </c>
      <c r="O9" s="18">
        <f>IF(J9="L1-N",L114,IF(J9="L1-L2",P114,IF(J9="L1-L3",R114,IF(J9="3F",L114,0))))</f>
        <v>0</v>
      </c>
      <c r="P9" s="10">
        <f>IF(AND(E9="Ib",OR(J9="L2-N",J9="L1-L2",J9="L2-L3",J9="3F")),F9,IF(AND(E9="P",J9="L2-N",C9=230),O110,IF(AND(E9="P",OR(J9="L1-L2",J9="L2-L3"),C9=400),P110,IF(AND(E9="P",J9="3F",C9=400),Q110,IF(AND(E9="S",J9="L2-N",C9=230),R110,IF(AND(E9="S",OR(J9="L1-L2",J9="L2-L3"),C9=400),S110,IF(AND(E9="S",J9="3F",C9=400),T110,IF(AND(E9="Q",J9="L2-N",C9=230),U110,IF(AND(E9="Q",OR(J9="L1-L2",J9="L2-L3"),C9=400),V110,IF(AND(E9="Q",J9="3F",C9=400),W110,0))))))))))*K9*L9</f>
        <v>0</v>
      </c>
      <c r="Q9" s="10">
        <f>IF(J9="L2-N",N114,IF(J9="L1-L2",Q114,IF(J9="L2-L3",T114,IF(J9="3F",N114,0))))</f>
        <v>0</v>
      </c>
      <c r="R9" s="19">
        <f>IF(AND(E9="Ib",OR(J9="L3-N",J9="L1-L3",J9="L2-L3",J9="3F")),F9,IF(AND(E9="P",J9="L3-N",C9=230),O110,IF(AND(E9="P",OR(J9="L1-L3",J9="L2-L3"),C9=400),P110,IF(AND(E9="P",J9="3F",C9=400),Q110,IF(AND(E9="S",J9="L3-N",C9=230),R110,IF(AND(E9="S",OR(J9="L1-L3",J9="L2-L3"),C9=400),S110,IF(AND(E9="S",J9="3F",C9=400),T110,IF(AND(E9="Q",J9="L3-N",C9=230),U110,IF(AND(E9="Q",OR(J9="L1-L3",J9="L2-L3"),C9=400),V110,IF(AND(E9="Q",J9="3F",C9=400),W110,0))))))))))*K9*L9</f>
        <v>10</v>
      </c>
      <c r="S9" s="18">
        <f>IF(J9="L3-N",O114,IF(J9="L1-L3",S114,IF(J9="L2-L3",U114,IF(J9="3F",O114,0))))</f>
        <v>-240</v>
      </c>
      <c r="T9" s="83" t="s">
        <v>85</v>
      </c>
      <c r="U9" s="84"/>
    </row>
    <row r="10" spans="2:22" ht="15" customHeight="1" x14ac:dyDescent="0.2">
      <c r="B10" s="21">
        <v>7</v>
      </c>
      <c r="C10" s="5">
        <v>400</v>
      </c>
      <c r="D10" s="5" t="str">
        <f t="shared" si="0"/>
        <v>V</v>
      </c>
      <c r="E10" s="14" t="s">
        <v>5</v>
      </c>
      <c r="F10" s="25">
        <v>16</v>
      </c>
      <c r="G10" s="5" t="str">
        <f t="shared" si="1"/>
        <v>A</v>
      </c>
      <c r="H10" s="14" t="s">
        <v>9</v>
      </c>
      <c r="I10" s="25">
        <v>1</v>
      </c>
      <c r="J10" s="14" t="s">
        <v>16</v>
      </c>
      <c r="K10" s="46">
        <v>1</v>
      </c>
      <c r="L10" s="25">
        <v>1</v>
      </c>
      <c r="M10" s="38"/>
      <c r="N10" s="19">
        <f>IF(AND(E10="Ib",OR(J10="L1-N",J10="L1-L2",J10="L1-L3",J10="3F")),F10,IF(AND(E10="P",J10="L1-N",C10=230),O120,IF(AND(E10="P",OR(J10="L1-L2",J10="L1-L3"),C10=400),P120,IF(AND(E10="P",J10="3F",C10=400),Q120,IF(AND(E10="S",J10="L1-N",C10=230),R120,IF(AND(E10="S",OR(J10="L1-L2",J10="L1-L3"),C10=400),S120,IF(AND(E10="S",J10="3F",C10=400),T120,IF(AND(E10="Q",J10="L1-N",C10=230),U120,IF(AND(E10="Q",OR(J10="L1-L2",J10="L1-L3"),C10=400),V120,IF(AND(E10="Q",J10="3F",C10=400),W120,0))))))))))*K10*L10</f>
        <v>16</v>
      </c>
      <c r="O10" s="18">
        <f>IF(J10="L1-N",L124,IF(J10="L1-L2",P124,IF(J10="L1-L3",R124,IF(J10="3F",L124,0))))</f>
        <v>0</v>
      </c>
      <c r="P10" s="10">
        <f>IF(AND(E10="Ib",OR(J10="L2-N",J10="L1-L2",J10="L2-L3",J10="3F")),F10,IF(AND(E10="P",J10="L2-N",C10=230),O120,IF(AND(E10="P",OR(J10="L1-L2",J10="L2-L3"),C10=400),P120,IF(AND(E10="P",J10="3F",C10=400),Q120,IF(AND(E10="S",J10="L2-N",C10=230),R120,IF(AND(E10="S",OR(J10="L1-L2",J10="L2-L3"),C10=400),S120,IF(AND(E10="S",J10="3F",C10=400),T120,IF(AND(E10="Q",J10="L2-N",C10=230),U120,IF(AND(E10="Q",OR(J10="L1-L2",J10="L2-L3"),C10=400),V120,IF(AND(E10="Q",J10="3F",C10=400),W120,0))))))))))*K10*L10</f>
        <v>16</v>
      </c>
      <c r="Q10" s="10">
        <f>IF(J10="L2-N",N124,IF(J10="L1-L2",Q124,IF(J10="L2-L3",T124,IF(J10="3F",N124,0))))</f>
        <v>-120</v>
      </c>
      <c r="R10" s="19">
        <f>IF(AND(E10="Ib",OR(J10="L3-N",J10="L1-L3",J10="L2-L3",J10="3F")),F10,IF(AND(E10="P",J10="L3-N",C10=230),O120,IF(AND(E10="P",OR(J10="L1-L3",J10="L2-L3"),C10=400),P120,IF(AND(E10="P",J10="3F",C10=400),Q120,IF(AND(E10="S",J10="L3-N",C10=230),R120,IF(AND(E10="S",OR(J10="L1-L3",J10="L2-L3"),C10=400),S120,IF(AND(E10="S",J10="3F",C10=400),T120,IF(AND(E10="Q",J10="L3-N",C10=230),U120,IF(AND(E10="Q",OR(J10="L1-L3",J10="L2-L3"),C10=400),V120,IF(AND(E10="Q",J10="3F",C10=400),W120,0))))))))))*K10*L10</f>
        <v>16</v>
      </c>
      <c r="S10" s="18">
        <f>IF(J10="L3-N",O124,IF(J10="L1-L3",S124,IF(J10="L2-L3",U124,IF(J10="3F",O124,0))))</f>
        <v>-240</v>
      </c>
      <c r="T10" s="83" t="s">
        <v>83</v>
      </c>
      <c r="U10" s="84"/>
    </row>
    <row r="11" spans="2:22" ht="15" customHeight="1" x14ac:dyDescent="0.2">
      <c r="B11" s="21">
        <v>8</v>
      </c>
      <c r="C11" s="5">
        <v>230</v>
      </c>
      <c r="D11" s="5" t="str">
        <f t="shared" si="0"/>
        <v>V</v>
      </c>
      <c r="E11" s="14" t="s">
        <v>5</v>
      </c>
      <c r="F11" s="25">
        <v>0</v>
      </c>
      <c r="G11" s="5" t="str">
        <f t="shared" si="1"/>
        <v>A</v>
      </c>
      <c r="H11" s="14" t="s">
        <v>9</v>
      </c>
      <c r="I11" s="25">
        <v>1</v>
      </c>
      <c r="J11" s="14" t="s">
        <v>11</v>
      </c>
      <c r="K11" s="46">
        <v>1</v>
      </c>
      <c r="L11" s="25">
        <v>1</v>
      </c>
      <c r="M11" s="38"/>
      <c r="N11" s="19">
        <f>IF(AND(E11="Ib",OR(J11="L1-N",J11="L1-L2",J11="L1-L3",J11="3F")),F11,IF(AND(E11="P",J11="L1-N",C11=230),O130,IF(AND(E11="P",OR(J11="L1-L2",J11="L1-L3"),C11=400),P130,IF(AND(E11="P",J11="3F",C11=400),Q130,IF(AND(E11="S",J11="L1-N",C11=230),R130,IF(AND(E11="S",OR(J11="L1-L2",J11="L1-L3"),C11=400),S130,IF(AND(E11="S",J11="3F",C11=400),T130,IF(AND(E11="Q",J11="L1-N",C11=230),U130,IF(AND(E11="Q",OR(J11="L1-L2",J11="L1-L3"),C11=400),V130,IF(AND(E11="Q",J11="3F",C11=400),W130,0))))))))))*K11*L11</f>
        <v>0</v>
      </c>
      <c r="O11" s="18">
        <f>IF(J11="L1-N",L134,IF(J11="L1-L2",P134,IF(J11="L1-L3",R134,IF(J11="3F",L134,0))))</f>
        <v>0</v>
      </c>
      <c r="P11" s="10">
        <f>IF(AND(E11="Ib",OR(J11="L2-N",J11="L1-L2",J11="L2-L3",J11="3F")),F11,IF(AND(E11="P",J11="L2-N",C11=230),O130,IF(AND(E11="P",OR(J11="L1-L2",J11="L2-L3"),C11=400),P130,IF(AND(E11="P",J11="3F",C11=400),Q130,IF(AND(E11="S",J11="L2-N",C11=230),R130,IF(AND(E11="S",OR(J11="L1-L2",J11="L2-L3"),C11=400),S130,IF(AND(E11="S",J11="3F",C11=400),T130,IF(AND(E11="Q",J11="L2-N",C11=230),U130,IF(AND(E11="Q",OR(J11="L1-L2",J11="L2-L3"),C11=400),V130,IF(AND(E11="Q",J11="3F",C11=400),W130,0))))))))))*K11*L11</f>
        <v>0</v>
      </c>
      <c r="Q11" s="10">
        <f>IF(J11="L2-N",N134,IF(J11="L1-L2",Q134,IF(J11="L2-L3",T134,IF(J11="3F",N134,0))))</f>
        <v>-120</v>
      </c>
      <c r="R11" s="19">
        <f>IF(AND(E11="Ib",OR(J11="L3-N",J11="L1-L3",J11="L2-L3",J11="3F")),F11,IF(AND(E11="P",J11="L3-N",C11=230),O130,IF(AND(E11="P",OR(J11="L1-L3",J11="L2-L3"),C11=400),P130,IF(AND(E11="P",J11="3F",C11=400),Q130,IF(AND(E11="S",J11="L3-N",C11=230),R130,IF(AND(E11="S",OR(J11="L1-L3",J11="L2-L3"),C11=400),S130,IF(AND(E11="S",J11="3F",C11=400),T130,IF(AND(E11="Q",J11="L3-N",C11=230),U130,IF(AND(E11="Q",OR(J11="L1-L3",J11="L2-L3"),C11=400),V130,IF(AND(E11="Q",J11="3F",C11=400),W130,0))))))))))*K11*L11</f>
        <v>0</v>
      </c>
      <c r="S11" s="18">
        <f>IF(J11="L3-N",O134,IF(J11="L1-L3",S134,IF(J11="L2-L3",U134,IF(J11="3F",O134,0))))</f>
        <v>0</v>
      </c>
      <c r="T11" s="83"/>
      <c r="U11" s="84"/>
    </row>
    <row r="12" spans="2:22" ht="15" customHeight="1" x14ac:dyDescent="0.2">
      <c r="B12" s="21">
        <v>9</v>
      </c>
      <c r="C12" s="5">
        <v>230</v>
      </c>
      <c r="D12" s="5" t="str">
        <f t="shared" si="0"/>
        <v>V</v>
      </c>
      <c r="E12" s="14" t="s">
        <v>5</v>
      </c>
      <c r="F12" s="25">
        <v>0</v>
      </c>
      <c r="G12" s="5" t="str">
        <f t="shared" si="1"/>
        <v>A</v>
      </c>
      <c r="H12" s="14" t="s">
        <v>9</v>
      </c>
      <c r="I12" s="25">
        <v>1</v>
      </c>
      <c r="J12" s="14" t="s">
        <v>16</v>
      </c>
      <c r="K12" s="46">
        <v>1</v>
      </c>
      <c r="L12" s="25">
        <v>1</v>
      </c>
      <c r="M12" s="38"/>
      <c r="N12" s="19">
        <f>IF(AND(E12="Ib",OR(J12="L1-N",J12="L1-L2",J12="L1-L3",J12="3F")),F12,IF(AND(E12="P",J12="L1-N",C12=230),O140,IF(AND(E12="P",OR(J12="L1-L2",J12="L1-L3"),C12=400),P140,IF(AND(E12="P",J12="3F",C12=400),Q140,IF(AND(E12="S",J12="L1-N",C12=230),R140,IF(AND(E12="S",OR(J12="L1-L2",J12="L1-L3"),C12=400),S140,IF(AND(E12="S",J12="3F",C12=400),T140,IF(AND(E12="Q",J12="L1-N",C12=230),U140,IF(AND(E12="Q",OR(J12="L1-L2",J12="L1-L3"),C12=400),V140,IF(AND(E12="Q",J12="3F",C12=400),W140,0))))))))))*K12*L12</f>
        <v>0</v>
      </c>
      <c r="O12" s="18">
        <f>IF(J12="L1-N",L144,IF(J12="L1-L2",P144,IF(J12="L1-L3",R144,IF(J12="3F",L144,0))))</f>
        <v>0</v>
      </c>
      <c r="P12" s="10">
        <f>IF(AND(E12="Ib",OR(J12="L2-N",J12="L1-L2",J12="L2-L3",J12="3F")),F12,IF(AND(E12="P",J12="L2-N",C12=230),O140,IF(AND(E12="P",OR(J12="L1-L2",J12="L2-L3"),C12=400),P140,IF(AND(E12="P",J12="3F",C12=400),Q140,IF(AND(E12="S",J12="L2-N",C12=230),R140,IF(AND(E12="S",OR(J12="L1-L2",J12="L2-L3"),C12=400),S140,IF(AND(E12="S",J12="3F",C12=400),T140,IF(AND(E12="Q",J12="L2-N",C12=230),U140,IF(AND(E12="Q",OR(J12="L1-L2",J12="L2-L3"),C12=400),V140,IF(AND(E12="Q",J12="3F",C12=400),W140,0))))))))))*K12*L12</f>
        <v>0</v>
      </c>
      <c r="Q12" s="10">
        <f>IF(J12="L2-N",N144,IF(J12="L1-L2",Q144,IF(J12="L2-L3",T144,IF(J12="3F",N144,0))))</f>
        <v>-120</v>
      </c>
      <c r="R12" s="19">
        <f>IF(AND(E12="Ib",OR(J12="L3-N",J12="L1-L3",J12="L2-L3",J12="3F")),F12,IF(AND(E12="P",J12="L3-N",C12=230),O140,IF(AND(E12="P",OR(J12="L1-L3",J12="L2-L3"),C12=400),P140,IF(AND(E12="P",J12="3F",C12=400),Q140,IF(AND(E12="S",J12="L3-N",C12=230),R140,IF(AND(E12="S",OR(J12="L1-L3",J12="L2-L3"),C12=400),S140,IF(AND(E12="S",J12="3F",C12=400),T140,IF(AND(E12="Q",J12="L3-N",C12=230),U140,IF(AND(E12="Q",OR(J12="L1-L3",J12="L2-L3"),C12=400),V140,IF(AND(E12="Q",J12="3F",C12=400),W140,0))))))))))*K12*L12</f>
        <v>0</v>
      </c>
      <c r="S12" s="18">
        <f>IF(J12="L3-N",O144,IF(J12="L1-L3",S144,IF(J12="L2-L3",U144,IF(J12="3F",O144,0))))</f>
        <v>-240</v>
      </c>
      <c r="T12" s="83"/>
      <c r="U12" s="84"/>
    </row>
    <row r="13" spans="2:22" ht="15" customHeight="1" x14ac:dyDescent="0.2">
      <c r="B13" s="21">
        <v>10</v>
      </c>
      <c r="C13" s="5">
        <v>400</v>
      </c>
      <c r="D13" s="5" t="str">
        <f t="shared" si="0"/>
        <v>V</v>
      </c>
      <c r="E13" s="14" t="s">
        <v>5</v>
      </c>
      <c r="F13" s="25">
        <v>0</v>
      </c>
      <c r="G13" s="5" t="str">
        <f t="shared" si="1"/>
        <v>A</v>
      </c>
      <c r="H13" s="14" t="s">
        <v>9</v>
      </c>
      <c r="I13" s="25">
        <v>1</v>
      </c>
      <c r="J13" s="14" t="s">
        <v>16</v>
      </c>
      <c r="K13" s="46">
        <v>1</v>
      </c>
      <c r="L13" s="25">
        <v>1</v>
      </c>
      <c r="M13" s="38"/>
      <c r="N13" s="19">
        <f>IF(AND(E13="Ib",OR(J13="L1-N",J13="L1-L2",J13="L1-L3",J13="3F")),F13,IF(AND(E13="P",J13="L1-N",C13=230),O150,IF(AND(E13="P",OR(J13="L1-L2",J13="L1-L3"),C13=400),P150,IF(AND(E13="P",J13="3F",C13=400),Q150,IF(AND(E13="S",J13="L1-N",C13=230),R150,IF(AND(E13="S",OR(J13="L1-L2",J13="L1-L3"),C13=400),S150,IF(AND(E13="S",J13="3F",C13=400),T150,IF(AND(E13="Q",J13="L1-N",C13=230),U150,IF(AND(E13="Q",OR(J13="L1-L2",J13="L1-L3"),C13=400),V150,IF(AND(E13="Q",J13="3F",C13=400),W150,0))))))))))*K13*L13</f>
        <v>0</v>
      </c>
      <c r="O13" s="18">
        <f>IF(J13="L1-N",L154,IF(J13="L1-L2",P154,IF(J13="L1-L3",R154,IF(J13="3F",L154,0))))</f>
        <v>0</v>
      </c>
      <c r="P13" s="10">
        <f>IF(AND(E13="Ib",OR(J13="L2-N",J13="L1-L2",J13="L2-L3",J13="3F")),F13,IF(AND(E13="P",J13="L2-N",C13=230),O150,IF(AND(E13="P",OR(J13="L1-L2",J13="L2-L3"),C13=400),P150,IF(AND(E13="P",J13="3F",C13=400),Q150,IF(AND(E13="S",J13="L2-N",C13=230),R150,IF(AND(E13="S",OR(J13="L1-L2",J13="L2-L3"),C13=400),S150,IF(AND(E13="S",J13="3F",C13=400),T150,IF(AND(E13="Q",J13="L2-N",C13=230),U150,IF(AND(E13="Q",OR(J13="L1-L2",J13="L2-L3"),C13=400),V150,IF(AND(E13="Q",J13="3F",C13=400),W150,0))))))))))*K13*L13</f>
        <v>0</v>
      </c>
      <c r="Q13" s="10">
        <f>IF(J13="L2-N",N154,IF(J13="L1-L2",Q154,IF(J13="L2-L3",T154,IF(J13="3F",N154,0))))</f>
        <v>-120</v>
      </c>
      <c r="R13" s="19">
        <f>IF(AND(E13="Ib",OR(J13="L3-N",J13="L1-L3",J13="L2-L3",J13="3F")),F13,IF(AND(E13="P",J13="L3-N",C13=230),O150,IF(AND(E13="P",OR(J13="L1-L3",J13="L2-L3"),C13=400),P150,IF(AND(E13="P",J13="3F",C13=400),Q150,IF(AND(E13="S",J13="L3-N",C13=230),R150,IF(AND(E13="S",OR(J13="L1-L3",J13="L2-L3"),C13=400),S150,IF(AND(E13="S",J13="3F",C13=400),T150,IF(AND(E13="Q",J13="L3-N",C13=230),U150,IF(AND(E13="Q",OR(J13="L1-L3",J13="L2-L3"),C13=400),V150,IF(AND(E13="Q",J13="3F",C13=400),W150,0))))))))))*K13*L13</f>
        <v>0</v>
      </c>
      <c r="S13" s="18">
        <f>IF(J13="L3-N",O154,IF(J13="L1-L3",S154,IF(J13="L2-L3",U154,IF(J13="3F",O154,0))))</f>
        <v>-240</v>
      </c>
      <c r="T13" s="83"/>
      <c r="U13" s="84"/>
    </row>
    <row r="14" spans="2:22" ht="15" customHeight="1" x14ac:dyDescent="0.2">
      <c r="B14" s="21">
        <v>11</v>
      </c>
      <c r="C14" s="5">
        <v>400</v>
      </c>
      <c r="D14" s="5" t="str">
        <f t="shared" si="0"/>
        <v>V</v>
      </c>
      <c r="E14" s="14" t="s">
        <v>6</v>
      </c>
      <c r="F14" s="25">
        <v>0</v>
      </c>
      <c r="G14" s="5" t="str">
        <f t="shared" si="1"/>
        <v>W</v>
      </c>
      <c r="H14" s="14" t="s">
        <v>9</v>
      </c>
      <c r="I14" s="25">
        <v>1</v>
      </c>
      <c r="J14" s="14" t="s">
        <v>16</v>
      </c>
      <c r="K14" s="46">
        <v>1</v>
      </c>
      <c r="L14" s="25">
        <v>1</v>
      </c>
      <c r="M14" s="38"/>
      <c r="N14" s="19">
        <f>IF(AND(E14="Ib",OR(J14="L1-N",J14="L1-L2",J14="L1-L3",J14="3F")),F14,IF(AND(E14="P",J14="L1-N",C14=230),O160,IF(AND(E14="P",OR(J14="L1-L2",J14="L1-L3"),C14=400),P160,IF(AND(E14="P",J14="3F",C14=400),Q160,IF(AND(E14="S",J14="L1-N",C14=230),R160,IF(AND(E14="S",OR(J14="L1-L2",J14="L1-L3"),C14=400),S160,IF(AND(E14="S",J14="3F",C14=400),T160,IF(AND(E14="Q",J14="L1-N",C14=230),U160,IF(AND(E14="Q",OR(J14="L1-L2",J14="L1-L3"),C14=400),V160,IF(AND(E14="Q",J14="3F",C14=400),W160,0))))))))))*K14*L14</f>
        <v>0</v>
      </c>
      <c r="O14" s="18">
        <f>IF(J14="L1-N",L164,IF(J14="L1-L2",P164,IF(J14="L1-L3",R164,IF(J14="3F",L164,0))))</f>
        <v>0</v>
      </c>
      <c r="P14" s="10">
        <f>IF(AND(E14="Ib",OR(J14="L2-N",J14="L1-L2",J14="L2-L3",J14="3F")),F14,IF(AND(E14="P",J14="L2-N",C14=230),O160,IF(AND(E14="P",OR(J14="L1-L2",J14="L2-L3"),C14=400),P160,IF(AND(E14="P",J14="3F",C14=400),Q160,IF(AND(E14="S",J14="L2-N",C14=230),R160,IF(AND(E14="S",OR(J14="L1-L2",J14="L2-L3"),C14=400),S160,IF(AND(E14="S",J14="3F",C14=400),T160,IF(AND(E14="Q",J14="L2-N",C14=230),U160,IF(AND(E14="Q",OR(J14="L1-L2",J14="L2-L3"),C14=400),V160,IF(AND(E14="Q",J14="3F",C14=400),W160,0))))))))))*K14*L14</f>
        <v>0</v>
      </c>
      <c r="Q14" s="10">
        <f>IF(J14="L2-N",N164,IF(J14="L1-L2",Q164,IF(J14="L2-L3",T164,IF(J14="3F",N164,0))))</f>
        <v>-120</v>
      </c>
      <c r="R14" s="19">
        <f>IF(AND(E14="Ib",OR(J14="L3-N",J14="L1-L3",J14="L2-L3",J14="3F")),F14,IF(AND(E14="P",J14="L3-N",C14=230),O160,IF(AND(E14="P",OR(J14="L1-L3",J14="L2-L3"),C14=400),P160,IF(AND(E14="P",J14="3F",C14=400),Q160,IF(AND(E14="S",J14="L3-N",C14=230),R160,IF(AND(E14="S",OR(J14="L1-L3",J14="L2-L3"),C14=400),S160,IF(AND(E14="S",J14="3F",C14=400),T160,IF(AND(E14="Q",J14="L3-N",C14=230),U160,IF(AND(E14="Q",OR(J14="L1-L3",J14="L2-L3"),C14=400),V160,IF(AND(E14="Q",J14="3F",C14=400),W160,0))))))))))*K14*L14</f>
        <v>0</v>
      </c>
      <c r="S14" s="18">
        <f>IF(J14="L3-N",O164,IF(J14="L1-L3",S164,IF(J14="L2-L3",U164,IF(J14="3F",O164,0))))</f>
        <v>-240</v>
      </c>
      <c r="T14" s="83"/>
      <c r="U14" s="84"/>
    </row>
    <row r="15" spans="2:22" ht="15" customHeight="1" x14ac:dyDescent="0.2">
      <c r="B15" s="21">
        <v>12</v>
      </c>
      <c r="C15" s="5">
        <v>400</v>
      </c>
      <c r="D15" s="5" t="str">
        <f t="shared" si="0"/>
        <v>V</v>
      </c>
      <c r="E15" s="14" t="s">
        <v>6</v>
      </c>
      <c r="F15" s="25">
        <v>0</v>
      </c>
      <c r="G15" s="5" t="s">
        <v>81</v>
      </c>
      <c r="H15" s="14" t="s">
        <v>9</v>
      </c>
      <c r="I15" s="25">
        <v>1</v>
      </c>
      <c r="J15" s="14" t="s">
        <v>16</v>
      </c>
      <c r="K15" s="46">
        <v>1</v>
      </c>
      <c r="L15" s="25">
        <v>1</v>
      </c>
      <c r="M15" s="38"/>
      <c r="N15" s="19">
        <f>IF(AND(E15="Ib",OR(J15="L1-N",J15="L1-L2",J15="L1-L3",J15="3F")),F15,IF(AND(E15="P",J15="L1-N",C15=230),O170,IF(AND(E15="P",OR(J15="L1-L2",J15="L1-L3"),C15=400),P170,IF(AND(E15="P",J15="3F",C15=400),Q170,IF(AND(E15="S",J15="L1-N",C15=230),R170,IF(AND(E15="S",OR(J15="L1-L2",J15="L1-L3"),C15=400),S170,IF(AND(E15="S",J15="3F",C15=400),T170,IF(AND(E15="Q",J15="L1-N",C15=230),U170,IF(AND(E15="Q",OR(J15="L1-L2",J15="L1-L3"),C15=400),V170,IF(AND(E15="Q",J15="3F",C15=400),W170,0))))))))))*K15*L15</f>
        <v>0</v>
      </c>
      <c r="O15" s="18">
        <f>IF(J15="L1-N",L174,IF(J15="L1-L2",P174,IF(J15="L1-L3",R174,IF(J15="3F",L174,0))))</f>
        <v>0</v>
      </c>
      <c r="P15" s="10">
        <f>IF(AND(E15="Ib",OR(J15="L2-N",J15="L1-L2",J15="L2-L3",J15="3F")),F15,IF(AND(E15="P",J15="L2-N",C15=230),O170,IF(AND(E15="P",OR(J15="L1-L2",J15="L2-L3"),C15=400),P170,IF(AND(E15="P",J15="3F",C15=400),Q170,IF(AND(E15="S",J15="L2-N",C15=230),R170,IF(AND(E15="S",OR(J15="L1-L2",J15="L2-L3"),C15=400),S170,IF(AND(E15="S",J15="3F",C15=400),T170,IF(AND(E15="Q",J15="L2-N",C15=230),U170,IF(AND(E15="Q",OR(J15="L1-L2",J15="L2-L3"),C15=400),V170,IF(AND(E15="Q",J15="3F",C15=400),W170,0))))))))))*K15*L15</f>
        <v>0</v>
      </c>
      <c r="Q15" s="10">
        <f>IF(J15="L2-N",N174,IF(J15="L1-L2",Q174,IF(J15="L2-L3",T174,IF(J15="3F",N174,0))))</f>
        <v>-120</v>
      </c>
      <c r="R15" s="19">
        <f>IF(AND(E15="Ib",OR(J15="L3-N",J15="L1-L3",J15="L2-L3",J15="3F")),F15,IF(AND(E15="P",J15="L3-N",C15=230),O170,IF(AND(E15="P",OR(J15="L1-L3",J15="L2-L3"),C15=400),P170,IF(AND(E15="P",J15="3F",C15=400),Q170,IF(AND(E15="S",J15="L3-N",C15=230),R170,IF(AND(E15="S",OR(J15="L1-L3",J15="L2-L3"),C15=400),S170,IF(AND(E15="S",J15="3F",C15=400),T170,IF(AND(E15="Q",J15="L3-N",C15=230),U170,IF(AND(E15="Q",OR(J15="L1-L3",J15="L2-L3"),C15=400),V170,IF(AND(E15="Q",J15="3F",C15=400),W170,0))))))))))*K15*L15</f>
        <v>0</v>
      </c>
      <c r="S15" s="18">
        <f>IF(J15="L3-N",O174,IF(J15="L1-L3",S174,IF(J15="L2-L3",U174,IF(J15="3F",O174,0))))</f>
        <v>-240</v>
      </c>
      <c r="T15" s="83"/>
      <c r="U15" s="84"/>
    </row>
    <row r="16" spans="2:22" ht="15" customHeight="1" x14ac:dyDescent="0.2">
      <c r="B16" s="21">
        <v>13</v>
      </c>
      <c r="C16" s="5">
        <v>400</v>
      </c>
      <c r="D16" s="5" t="str">
        <f t="shared" si="0"/>
        <v>V</v>
      </c>
      <c r="E16" s="14" t="s">
        <v>5</v>
      </c>
      <c r="F16" s="25">
        <v>0</v>
      </c>
      <c r="G16" s="5" t="str">
        <f t="shared" si="1"/>
        <v>A</v>
      </c>
      <c r="H16" s="14" t="s">
        <v>9</v>
      </c>
      <c r="I16" s="25">
        <v>1</v>
      </c>
      <c r="J16" s="14" t="s">
        <v>16</v>
      </c>
      <c r="K16" s="46">
        <v>1</v>
      </c>
      <c r="L16" s="25">
        <v>1</v>
      </c>
      <c r="M16" s="38"/>
      <c r="N16" s="19">
        <f>IF(AND(E16="Ib",OR(J16="L1-N",J16="L1-L2",J16="L1-L3",J16="3F")),F16,IF(AND(E16="P",J16="L1-N",C16=230),O180,IF(AND(E16="P",OR(J16="L1-L2",J16="L1-L3"),C16=400),P180,IF(AND(E16="P",J16="3F",C16=400),Q180,IF(AND(E16="S",J16="L1-N",C16=230),R180,IF(AND(E16="S",OR(J16="L1-L2",J16="L1-L3"),C16=400),S180,IF(AND(E16="S",J16="3F",C16=400),T180,IF(AND(E16="Q",J16="L1-N",C16=230),U180,IF(AND(E16="Q",OR(J16="L1-L2",J16="L1-L3"),C16=400),V180,IF(AND(E16="Q",J16="3F",C16=400),W180,0))))))))))*K16*L16</f>
        <v>0</v>
      </c>
      <c r="O16" s="18">
        <f>IF(J16="L1-N",L184,IF(J16="L1-L2",P184,IF(J16="L1-L3",R184,IF(J16="3F",L184,0))))</f>
        <v>0</v>
      </c>
      <c r="P16" s="10">
        <f>IF(AND(E16="Ib",OR(J16="L2-N",J16="L1-L2",J16="L2-L3",J16="3F")),F16,IF(AND(E16="P",J16="L2-N",C16=230),O180,IF(AND(E16="P",OR(J16="L1-L2",J16="L2-L3"),C16=400),P180,IF(AND(E16="P",J16="3F",C16=400),Q180,IF(AND(E16="S",J16="L2-N",C16=230),R180,IF(AND(E16="S",OR(J16="L1-L2",J16="L2-L3"),C16=400),S180,IF(AND(E16="S",J16="3F",C16=400),T180,IF(AND(E16="Q",J16="L2-N",C16=230),U180,IF(AND(E16="Q",OR(J16="L1-L2",J16="L2-L3"),C16=400),V180,IF(AND(E16="Q",J16="3F",C16=400),W180,0))))))))))*K16*L16</f>
        <v>0</v>
      </c>
      <c r="Q16" s="10">
        <f>IF(J16="L2-N",N184,IF(J16="L1-L2",Q184,IF(J16="L2-L3",T184,IF(J16="3F",N184,0))))</f>
        <v>-120</v>
      </c>
      <c r="R16" s="19">
        <f>IF(AND(E16="Ib",OR(J16="L3-N",J16="L1-L3",J16="L2-L3",J16="3F")),F16,IF(AND(E16="P",J16="L3-N",C16=230),O180,IF(AND(E16="P",OR(J16="L1-L3",J16="L2-L3"),C16=400),P180,IF(AND(E16="P",J16="3F",C16=400),Q180,IF(AND(E16="S",J16="L3-N",C16=230),R180,IF(AND(E16="S",OR(J16="L1-L3",J16="L2-L3"),C16=400),S180,IF(AND(E16="S",J16="3F",C16=400),T180,IF(AND(E16="Q",J16="L3-N",C16=230),U180,IF(AND(E16="Q",OR(J16="L1-L3",J16="L2-L3"),C16=400),V180,IF(AND(E16="Q",J16="3F",C16=400),W180,0))))))))))*K16*L16</f>
        <v>0</v>
      </c>
      <c r="S16" s="18">
        <f>IF(J16="L3-N",O184,IF(J16="L1-L3",S184,IF(J16="L2-L3",U184,IF(J16="3F",O184,0))))</f>
        <v>-240</v>
      </c>
      <c r="T16" s="83"/>
      <c r="U16" s="84"/>
    </row>
    <row r="17" spans="1:24" ht="15" hidden="1" customHeight="1" x14ac:dyDescent="0.2">
      <c r="B17" s="21">
        <v>14</v>
      </c>
      <c r="C17" s="5" t="s">
        <v>34</v>
      </c>
      <c r="D17" s="5" t="str">
        <f t="shared" si="0"/>
        <v/>
      </c>
      <c r="E17" s="14" t="s">
        <v>34</v>
      </c>
      <c r="F17" s="25">
        <v>0</v>
      </c>
      <c r="G17" s="5" t="str">
        <f t="shared" si="1"/>
        <v/>
      </c>
      <c r="H17" s="14" t="s">
        <v>9</v>
      </c>
      <c r="I17" s="25">
        <v>1</v>
      </c>
      <c r="J17" s="14" t="s">
        <v>34</v>
      </c>
      <c r="K17" s="46">
        <v>1</v>
      </c>
      <c r="L17" s="25">
        <v>0</v>
      </c>
      <c r="M17" s="38"/>
      <c r="N17" s="19">
        <f>IF(AND(E17="Ib",OR(J17="L1-N",J17="L1-L2",J17="L1-L3",J17="3F")),F17,IF(AND(E17="P",J17="L1-N",C17=230),O190,IF(AND(E17="P",OR(J17="L1-L2",J17="L1-L3"),C17=400),P190,IF(AND(E17="P",J17="3F",C17=400),Q190,IF(AND(E17="S",J17="L1-N",C17=230),R190,IF(AND(E17="S",OR(J17="L1-L2",J17="L1-L3"),C17=400),S190,IF(AND(E17="S",J17="3F",C17=400),T190,IF(AND(E17="Q",J17="L1-N",C17=230),U190,IF(AND(E17="Q",OR(J17="L1-L2",J17="L1-L3"),C17=400),V190,IF(AND(E17="Q",J17="3F",C17=400),W190,0))))))))))*K17*L17</f>
        <v>0</v>
      </c>
      <c r="O17" s="18">
        <f>IF(J17="L1-N",L194,IF(J17="L1-L2",P194,IF(J17="L1-L3",R194,IF(J17="3F",L194,0))))</f>
        <v>0</v>
      </c>
      <c r="P17" s="10">
        <f>IF(AND(E17="Ib",OR(J17="L2-N",J17="L1-L2",J17="L2-L3",J17="3F")),F17,IF(AND(E17="P",J17="L2-N",C17=230),O190,IF(AND(E17="P",OR(J17="L1-L2",J17="L2-L3"),C17=400),P190,IF(AND(E17="P",J17="3F",C17=400),Q190,IF(AND(E17="S",J17="L2-N",C17=230),R190,IF(AND(E17="S",OR(J17="L1-L2",J17="L2-L3"),C17=400),S190,IF(AND(E17="S",J17="3F",C17=400),T190,IF(AND(E17="Q",J17="L2-N",C17=230),U190,IF(AND(E17="Q",OR(J17="L1-L2",J17="L2-L3"),C17=400),V190,IF(AND(E17="Q",J17="3F",C17=400),W190,0))))))))))*K17*L17</f>
        <v>0</v>
      </c>
      <c r="Q17" s="10">
        <f>IF(J17="L2-N",N194,IF(J17="L1-L2",Q194,IF(J17="L2-L3",T194,IF(J17="3F",N194,0))))</f>
        <v>0</v>
      </c>
      <c r="R17" s="19">
        <f>IF(AND(E17="Ib",OR(J17="L3-N",J17="L1-L3",J17="L2-L3",J17="3F")),F17,IF(AND(E17="P",J17="L3-N",C17=230),O190,IF(AND(E17="P",OR(J17="L1-L3",J17="L2-L3"),C17=400),P190,IF(AND(E17="P",J17="3F",C17=400),Q190,IF(AND(E17="S",J17="L3-N",C17=230),R190,IF(AND(E17="S",OR(J17="L1-L3",J17="L2-L3"),C17=400),S190,IF(AND(E17="S",J17="3F",C17=400),T190,IF(AND(E17="Q",J17="L3-N",C17=230),U190,IF(AND(E17="Q",OR(J17="L1-L3",J17="L2-L3"),C17=400),V190,IF(AND(E17="Q",J17="3F",C17=400),W190,0))))))))))*K17*L17</f>
        <v>0</v>
      </c>
      <c r="S17" s="18">
        <f>IF(J17="L3-N",O194,IF(J17="L1-L3",S194,IF(J17="L2-L3",U194,IF(J17="3F",O194,0))))</f>
        <v>0</v>
      </c>
      <c r="T17" s="83"/>
      <c r="U17" s="84"/>
    </row>
    <row r="18" spans="1:24" ht="15" hidden="1" customHeight="1" x14ac:dyDescent="0.2">
      <c r="B18" s="21">
        <v>15</v>
      </c>
      <c r="C18" s="5" t="s">
        <v>34</v>
      </c>
      <c r="D18" s="5" t="str">
        <f t="shared" si="0"/>
        <v/>
      </c>
      <c r="E18" s="14" t="s">
        <v>34</v>
      </c>
      <c r="F18" s="25">
        <v>0</v>
      </c>
      <c r="G18" s="5" t="str">
        <f t="shared" si="1"/>
        <v/>
      </c>
      <c r="H18" s="14" t="s">
        <v>9</v>
      </c>
      <c r="I18" s="25">
        <v>1</v>
      </c>
      <c r="J18" s="14" t="s">
        <v>34</v>
      </c>
      <c r="K18" s="46">
        <v>1</v>
      </c>
      <c r="L18" s="25">
        <v>1</v>
      </c>
      <c r="M18" s="38"/>
      <c r="N18" s="19">
        <f>IF(AND(E18="Ib",OR(J18="L1-N",J18="L1-L2",J18="L1-L3",J18="3F")),F18,IF(AND(E18="P",J18="L1-N",C18=230),O200,IF(AND(E18="P",OR(J18="L1-L2",J18="L1-L3"),C18=400),P200,IF(AND(E18="P",J18="3F",C18=400),Q200,IF(AND(E18="S",J18="L1-N",C18=230),R200,IF(AND(E18="S",OR(J18="L1-L2",J18="L1-L3"),C18=400),S200,IF(AND(E18="S",J18="3F",C18=400),T200,IF(AND(E18="Q",J18="L1-N",C18=230),U200,IF(AND(E18="Q",OR(J18="L1-L2",J18="L1-L3"),C18=400),V200,IF(AND(E18="Q",J18="3F",C18=400),W200,0))))))))))*K18*L18</f>
        <v>0</v>
      </c>
      <c r="O18" s="18">
        <f>IF(J18="L1-N",L204,IF(J18="L1-L2",P204,IF(J18="L1-L3",R204,IF(J18="3F",L204,0))))</f>
        <v>0</v>
      </c>
      <c r="P18" s="10">
        <f>IF(AND(E18="Ib",OR(J18="L2-N",J18="L1-L2",J18="L2-L3",J18="3F")),F18,IF(AND(E18="P",J18="L2-N",C18=230),O200,IF(AND(E18="P",OR(J18="L1-L2",J18="L2-L3"),C18=400),P200,IF(AND(E18="P",J18="3F",C18=400),Q200,IF(AND(E18="S",J18="L2-N",C18=230),R200,IF(AND(E18="S",OR(J18="L1-L2",J18="L2-L3"),C18=400),S200,IF(AND(E18="S",J18="3F",C18=400),T200,IF(AND(E18="Q",J18="L2-N",C18=230),U200,IF(AND(E18="Q",OR(J18="L1-L2",J18="L2-L3"),C18=400),V200,IF(AND(E18="Q",J18="3F",C18=400),W200,0))))))))))*K18*L18</f>
        <v>0</v>
      </c>
      <c r="Q18" s="10">
        <f>IF(J18="L2-N",N204,IF(J18="L1-L2",Q204,IF(J18="L2-L3",T204,IF(J18="3F",N204,0))))</f>
        <v>0</v>
      </c>
      <c r="R18" s="19">
        <f>IF(AND(E18="Ib",OR(J18="L3-N",J18="L1-L3",J18="L2-L3",J18="3F")),F18,IF(AND(E18="P",J18="L3-N",C18=230),O200,IF(AND(E18="P",OR(J18="L1-L3",J18="L2-L3"),C18=400),P200,IF(AND(E18="P",J18="3F",C18=400),Q200,IF(AND(E18="S",J18="L3-N",C18=230),R200,IF(AND(E18="S",OR(J18="L1-L3",J18="L2-L3"),C18=400),S200,IF(AND(E18="S",J18="3F",C18=400),T200,IF(AND(E18="Q",J18="L3-N",C18=230),U200,IF(AND(E18="Q",OR(J18="L1-L3",J18="L2-L3"),C18=400),V200,IF(AND(E18="Q",J18="3F",C18=400),W200,0))))))))))*K18*L18</f>
        <v>0</v>
      </c>
      <c r="S18" s="18">
        <f>IF(J18="L3-N",O204,IF(J18="L1-L3",S204,IF(J18="L2-L3",U204,IF(J18="3F",O204,0))))</f>
        <v>0</v>
      </c>
      <c r="T18" s="85"/>
      <c r="U18" s="86"/>
    </row>
    <row r="19" spans="1:24" ht="15" customHeight="1" x14ac:dyDescent="0.2">
      <c r="B19" s="26" t="s">
        <v>41</v>
      </c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>
        <f>SUM(M4:M18)</f>
        <v>0</v>
      </c>
      <c r="N19" s="31">
        <f>IMABS(N55)</f>
        <v>36</v>
      </c>
      <c r="O19" s="32">
        <f>(IMARGUMENT(N55))*(180/PI())</f>
        <v>0</v>
      </c>
      <c r="P19" s="33">
        <f>IMABS(N56)</f>
        <v>46.000000000000028</v>
      </c>
      <c r="Q19" s="33">
        <f>(IMARGUMENT(N56))*(180/PI())</f>
        <v>-119.99999999999997</v>
      </c>
      <c r="R19" s="31">
        <f>IMABS(N57)</f>
        <v>45.999999999999936</v>
      </c>
      <c r="S19" s="32">
        <f>(IMARGUMENT(N57))*(180/PI())</f>
        <v>120.00000000000004</v>
      </c>
      <c r="T19" s="1"/>
      <c r="U19" s="3"/>
    </row>
    <row r="20" spans="1:24" ht="15" customHeight="1" x14ac:dyDescent="0.2">
      <c r="B20" s="21" t="s">
        <v>42</v>
      </c>
      <c r="C20" s="25">
        <v>0.6</v>
      </c>
      <c r="D20" s="5"/>
      <c r="E20" s="5"/>
      <c r="F20" s="5"/>
      <c r="G20" s="5"/>
      <c r="H20" s="77" t="s">
        <v>68</v>
      </c>
      <c r="I20" s="10">
        <f>M19*C20</f>
        <v>0</v>
      </c>
      <c r="J20" s="77"/>
      <c r="K20" s="5"/>
      <c r="L20" s="5"/>
      <c r="M20" s="10">
        <f>MAX(N20,P20,R20)</f>
        <v>27.600000000000016</v>
      </c>
      <c r="N20" s="19">
        <f>(N19*C20)</f>
        <v>21.599999999999998</v>
      </c>
      <c r="O20" s="18">
        <f>O19</f>
        <v>0</v>
      </c>
      <c r="P20" s="10">
        <f>(P19*C20)</f>
        <v>27.600000000000016</v>
      </c>
      <c r="Q20" s="10">
        <f>(Q19)</f>
        <v>-119.99999999999997</v>
      </c>
      <c r="R20" s="19">
        <f>(R19*C20)</f>
        <v>27.599999999999962</v>
      </c>
      <c r="S20" s="18">
        <f>(S19)</f>
        <v>120.00000000000004</v>
      </c>
      <c r="T20" s="4"/>
      <c r="U20" s="6"/>
    </row>
    <row r="21" spans="1:24" ht="15" customHeight="1" x14ac:dyDescent="0.2">
      <c r="B21" s="21" t="s">
        <v>43</v>
      </c>
      <c r="C21" s="25">
        <v>1.2</v>
      </c>
      <c r="D21" s="5"/>
      <c r="E21" s="5"/>
      <c r="F21" s="5"/>
      <c r="G21" s="5"/>
      <c r="H21" s="77" t="s">
        <v>67</v>
      </c>
      <c r="I21" s="5">
        <f>IF(M23="NUL",(N20+P20+R20)*((100-M21)/100),0)</f>
        <v>0</v>
      </c>
      <c r="J21" s="5"/>
      <c r="K21" s="5"/>
      <c r="L21" s="5" t="s">
        <v>65</v>
      </c>
      <c r="M21" s="10">
        <f>((M19*C20)/M20)*100</f>
        <v>0</v>
      </c>
      <c r="N21" s="19">
        <f>(N20*C21)</f>
        <v>25.919999999999998</v>
      </c>
      <c r="O21" s="18">
        <f>(O20)</f>
        <v>0</v>
      </c>
      <c r="P21" s="10">
        <f>(P20*C21)</f>
        <v>33.120000000000019</v>
      </c>
      <c r="Q21" s="10">
        <f>(Q20)</f>
        <v>-119.99999999999997</v>
      </c>
      <c r="R21" s="19">
        <f>(R20*C21)</f>
        <v>33.119999999999955</v>
      </c>
      <c r="S21" s="18">
        <f>(S20)</f>
        <v>120.00000000000004</v>
      </c>
      <c r="T21" s="4"/>
      <c r="U21" s="6"/>
    </row>
    <row r="22" spans="1:24" ht="15" customHeight="1" x14ac:dyDescent="0.2">
      <c r="B22" s="30">
        <v>400</v>
      </c>
      <c r="C22" s="27">
        <v>230</v>
      </c>
      <c r="D22" s="27" t="s">
        <v>44</v>
      </c>
      <c r="E22" s="27"/>
      <c r="F22" s="27"/>
      <c r="G22" s="27"/>
      <c r="H22" s="27"/>
      <c r="I22" s="27"/>
      <c r="J22" s="27"/>
      <c r="K22" s="27"/>
      <c r="L22" s="27" t="s">
        <v>66</v>
      </c>
      <c r="M22" s="27">
        <f>IF(AND(M21&gt;=15,M21&lt;=45),0.86,1)</f>
        <v>1</v>
      </c>
      <c r="N22" s="31">
        <f>(N21)</f>
        <v>25.919999999999998</v>
      </c>
      <c r="O22" s="32">
        <f>(O21)</f>
        <v>0</v>
      </c>
      <c r="P22" s="33">
        <f>(P21)</f>
        <v>33.120000000000019</v>
      </c>
      <c r="Q22" s="33">
        <f>(Q21)</f>
        <v>-119.99999999999997</v>
      </c>
      <c r="R22" s="31">
        <f>(R21)</f>
        <v>33.119999999999955</v>
      </c>
      <c r="S22" s="32">
        <f>(S21)</f>
        <v>120.00000000000004</v>
      </c>
      <c r="T22" s="7"/>
      <c r="U22" s="9"/>
    </row>
    <row r="23" spans="1:24" ht="15" customHeight="1" x14ac:dyDescent="0.2">
      <c r="B23" s="30">
        <v>400</v>
      </c>
      <c r="C23" s="27">
        <v>230</v>
      </c>
      <c r="D23" s="27" t="s">
        <v>44</v>
      </c>
      <c r="E23" s="27"/>
      <c r="F23" s="27"/>
      <c r="G23" s="27"/>
      <c r="H23" s="27"/>
      <c r="I23" s="27"/>
      <c r="J23" s="27"/>
      <c r="K23" s="27"/>
      <c r="L23" s="27"/>
      <c r="M23" s="27" t="str">
        <f>IF(M21&gt;=33,"NUL","FASE")</f>
        <v>FASE</v>
      </c>
      <c r="N23" s="31">
        <f>(N22)</f>
        <v>25.919999999999998</v>
      </c>
      <c r="O23" s="32">
        <f>(O22)</f>
        <v>0</v>
      </c>
      <c r="P23" s="33">
        <f>(P22)</f>
        <v>33.120000000000019</v>
      </c>
      <c r="Q23" s="33">
        <f>(Q22)+120</f>
        <v>0</v>
      </c>
      <c r="R23" s="31">
        <f>(R22)</f>
        <v>33.119999999999955</v>
      </c>
      <c r="S23" s="32">
        <f>(S22)-120</f>
        <v>0</v>
      </c>
      <c r="T23" s="7"/>
      <c r="U23" s="9"/>
    </row>
    <row r="24" spans="1:24" ht="15" customHeight="1" x14ac:dyDescent="0.2"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35"/>
      <c r="O24" s="35"/>
      <c r="P24" s="35"/>
      <c r="Q24" s="35"/>
      <c r="R24" s="35"/>
      <c r="S24" s="35"/>
    </row>
    <row r="25" spans="1:24" ht="15" customHeight="1" x14ac:dyDescent="0.2"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35"/>
      <c r="O25" s="35"/>
      <c r="P25" s="35" t="s">
        <v>73</v>
      </c>
      <c r="Q25" s="35"/>
      <c r="R25" s="35"/>
      <c r="S25" s="35"/>
      <c r="T25" t="s">
        <v>74</v>
      </c>
      <c r="X25" t="s">
        <v>75</v>
      </c>
    </row>
    <row r="26" spans="1:24" ht="15" customHeight="1" x14ac:dyDescent="0.2">
      <c r="A26" s="69"/>
      <c r="B26" s="38"/>
      <c r="C26" s="38"/>
      <c r="D26" s="38"/>
      <c r="E26" s="38"/>
      <c r="F26" s="38"/>
      <c r="G26" s="38"/>
      <c r="H26" s="38"/>
      <c r="I26" s="5"/>
      <c r="J26" s="5"/>
      <c r="K26" s="5"/>
      <c r="L26" s="5"/>
      <c r="M26" s="5"/>
      <c r="N26" s="35"/>
      <c r="O26" s="35"/>
      <c r="P26" s="78" t="s">
        <v>69</v>
      </c>
      <c r="Q26" s="35"/>
      <c r="R26" s="35"/>
      <c r="S26" s="35"/>
      <c r="T26" s="78" t="s">
        <v>69</v>
      </c>
      <c r="X26" s="78" t="s">
        <v>69</v>
      </c>
    </row>
    <row r="27" spans="1:24" ht="15" customHeight="1" x14ac:dyDescent="0.2">
      <c r="A27" s="69"/>
      <c r="B27" s="70"/>
      <c r="C27" s="90"/>
      <c r="D27" s="91"/>
      <c r="E27" s="92" t="s">
        <v>46</v>
      </c>
      <c r="F27" s="92"/>
      <c r="G27" s="92"/>
      <c r="H27" s="71" t="s">
        <v>24</v>
      </c>
      <c r="I27" s="28" t="s">
        <v>4</v>
      </c>
      <c r="J27" s="26" t="s">
        <v>25</v>
      </c>
      <c r="K27" s="87" t="s">
        <v>4</v>
      </c>
      <c r="L27" s="88"/>
      <c r="M27" s="29" t="s">
        <v>26</v>
      </c>
      <c r="N27" s="44" t="s">
        <v>4</v>
      </c>
      <c r="O27" s="39"/>
      <c r="P27" s="79"/>
      <c r="Q27" s="35"/>
      <c r="R27" s="35"/>
      <c r="S27" s="35"/>
      <c r="T27" s="79"/>
      <c r="X27" s="79"/>
    </row>
    <row r="28" spans="1:24" ht="15" customHeight="1" x14ac:dyDescent="0.2">
      <c r="A28" s="69"/>
      <c r="B28" s="11"/>
      <c r="C28" s="94"/>
      <c r="D28" s="95"/>
      <c r="E28" s="89"/>
      <c r="F28" s="90"/>
      <c r="G28" s="91"/>
      <c r="H28" s="72"/>
      <c r="I28" s="54"/>
      <c r="J28" s="48"/>
      <c r="K28" s="106"/>
      <c r="L28" s="107"/>
      <c r="M28" s="48"/>
      <c r="N28" s="50"/>
      <c r="O28" s="35"/>
      <c r="P28" s="79"/>
      <c r="Q28" s="35"/>
      <c r="R28" s="35"/>
      <c r="S28" s="35"/>
      <c r="T28" s="79"/>
      <c r="X28" s="79"/>
    </row>
    <row r="29" spans="1:24" ht="15" customHeight="1" x14ac:dyDescent="0.2">
      <c r="A29" s="69"/>
      <c r="B29" s="11"/>
      <c r="C29" s="94"/>
      <c r="D29" s="95"/>
      <c r="E29" s="93"/>
      <c r="F29" s="94"/>
      <c r="G29" s="95"/>
      <c r="H29" s="73"/>
      <c r="I29" s="18"/>
      <c r="J29" s="19"/>
      <c r="K29" s="108"/>
      <c r="L29" s="109"/>
      <c r="M29" s="19"/>
      <c r="N29" s="51"/>
      <c r="O29" s="35"/>
      <c r="P29" s="79" t="s">
        <v>70</v>
      </c>
      <c r="Q29" s="35"/>
      <c r="R29" s="35"/>
      <c r="S29" s="35"/>
      <c r="T29" s="79" t="s">
        <v>70</v>
      </c>
      <c r="X29" s="79" t="s">
        <v>70</v>
      </c>
    </row>
    <row r="30" spans="1:24" ht="15" customHeight="1" x14ac:dyDescent="0.2">
      <c r="A30" s="69"/>
      <c r="B30" s="11"/>
      <c r="C30" s="94"/>
      <c r="D30" s="95"/>
      <c r="E30" s="93"/>
      <c r="F30" s="94"/>
      <c r="G30" s="95"/>
      <c r="H30" s="73"/>
      <c r="I30" s="18"/>
      <c r="J30" s="19"/>
      <c r="K30" s="108"/>
      <c r="L30" s="109"/>
      <c r="M30" s="19"/>
      <c r="N30" s="51"/>
      <c r="O30" s="35"/>
      <c r="P30" s="78" t="s">
        <v>71</v>
      </c>
      <c r="Q30" s="35"/>
      <c r="R30" s="35"/>
      <c r="S30" s="35"/>
      <c r="T30" s="78" t="s">
        <v>71</v>
      </c>
      <c r="X30" s="78" t="s">
        <v>71</v>
      </c>
    </row>
    <row r="31" spans="1:24" ht="15" customHeight="1" x14ac:dyDescent="0.2">
      <c r="A31" s="69"/>
      <c r="B31" s="11"/>
      <c r="C31" s="94"/>
      <c r="D31" s="95"/>
      <c r="E31" s="93"/>
      <c r="F31" s="94"/>
      <c r="G31" s="95"/>
      <c r="H31" s="73"/>
      <c r="I31" s="18"/>
      <c r="J31" s="19"/>
      <c r="K31" s="108"/>
      <c r="L31" s="109"/>
      <c r="M31" s="19"/>
      <c r="N31" s="51"/>
      <c r="O31" s="35"/>
      <c r="P31" s="79"/>
      <c r="Q31" s="35"/>
      <c r="R31" s="35"/>
      <c r="S31" s="35"/>
      <c r="T31" s="79"/>
      <c r="X31" s="79"/>
    </row>
    <row r="32" spans="1:24" ht="15" customHeight="1" x14ac:dyDescent="0.2">
      <c r="A32" s="69"/>
      <c r="B32" s="11"/>
      <c r="C32" s="94"/>
      <c r="D32" s="95"/>
      <c r="E32" s="93"/>
      <c r="F32" s="94"/>
      <c r="G32" s="95"/>
      <c r="H32" s="73"/>
      <c r="I32" s="60"/>
      <c r="J32" s="49"/>
      <c r="K32" s="110"/>
      <c r="L32" s="111"/>
      <c r="M32" s="49"/>
      <c r="N32" s="52"/>
      <c r="O32" s="35"/>
      <c r="P32" s="79"/>
      <c r="Q32" s="35"/>
      <c r="R32" s="35"/>
      <c r="S32" s="35"/>
      <c r="T32" s="79"/>
      <c r="X32" s="79"/>
    </row>
    <row r="33" spans="1:24" ht="15" customHeight="1" x14ac:dyDescent="0.2">
      <c r="A33" s="69"/>
      <c r="B33" s="80" t="s">
        <v>41</v>
      </c>
      <c r="C33" s="81"/>
      <c r="D33" s="82"/>
      <c r="E33" s="92"/>
      <c r="F33" s="92"/>
      <c r="G33" s="92"/>
      <c r="H33" s="74">
        <f>IMABS(O51)</f>
        <v>0</v>
      </c>
      <c r="I33" s="59" t="e">
        <f>(IMARGUMENT(O51))*(180/PI())</f>
        <v>#DIV/0!</v>
      </c>
      <c r="J33" s="58">
        <f>IMABS(O52)</f>
        <v>0</v>
      </c>
      <c r="K33" s="96" t="e">
        <f>(IMARGUMENT(O52))*(180/PI())</f>
        <v>#DIV/0!</v>
      </c>
      <c r="L33" s="97"/>
      <c r="M33" s="58">
        <f>IMABS(O53)</f>
        <v>0</v>
      </c>
      <c r="N33" s="53" t="e">
        <f>(IMARGUMENT(O53))*(180/PI())</f>
        <v>#DIV/0!</v>
      </c>
      <c r="O33" s="35"/>
      <c r="P33" s="79" t="s">
        <v>70</v>
      </c>
      <c r="Q33" s="35"/>
      <c r="R33" s="35"/>
      <c r="S33" s="35"/>
      <c r="T33" s="79" t="s">
        <v>70</v>
      </c>
      <c r="X33" s="79" t="s">
        <v>70</v>
      </c>
    </row>
    <row r="34" spans="1:24" ht="15" customHeight="1" x14ac:dyDescent="0.2">
      <c r="A34" s="69"/>
      <c r="B34" s="38"/>
      <c r="C34" s="75"/>
      <c r="D34" s="75"/>
      <c r="E34" s="76"/>
      <c r="F34" s="76"/>
      <c r="G34" s="76"/>
      <c r="H34" s="38"/>
      <c r="I34" s="5"/>
      <c r="J34" s="5"/>
      <c r="K34" s="14"/>
      <c r="L34" s="14"/>
      <c r="M34" s="5"/>
      <c r="N34" s="55"/>
      <c r="O34" s="35"/>
      <c r="P34" s="78" t="s">
        <v>72</v>
      </c>
      <c r="Q34" s="35"/>
      <c r="R34" s="35"/>
      <c r="S34" s="35"/>
      <c r="T34" s="78" t="s">
        <v>72</v>
      </c>
      <c r="X34" s="78" t="s">
        <v>72</v>
      </c>
    </row>
    <row r="35" spans="1:24" ht="15" customHeight="1" x14ac:dyDescent="0.2">
      <c r="A35" s="69"/>
      <c r="B35" s="38"/>
      <c r="C35" s="75"/>
      <c r="D35" s="75"/>
      <c r="E35" s="76"/>
      <c r="F35" s="76"/>
      <c r="G35" s="76"/>
      <c r="H35" s="38"/>
      <c r="I35" s="5"/>
      <c r="J35" s="5"/>
      <c r="K35" s="56"/>
      <c r="L35" s="56"/>
      <c r="M35" s="57"/>
      <c r="N35" s="55"/>
      <c r="O35" s="55"/>
      <c r="P35" s="55"/>
      <c r="Q35" s="55"/>
      <c r="R35" s="55"/>
      <c r="S35" s="35"/>
      <c r="X35" s="79"/>
    </row>
    <row r="36" spans="1:24" ht="15" hidden="1" customHeight="1" outlineLevel="1" x14ac:dyDescent="0.2">
      <c r="B36" s="5"/>
      <c r="C36" s="14"/>
      <c r="D36" s="14"/>
      <c r="E36" s="40"/>
      <c r="F36" s="40"/>
      <c r="G36" s="40"/>
      <c r="H36" s="5"/>
      <c r="I36" s="5"/>
      <c r="J36" s="5"/>
      <c r="K36" s="56"/>
      <c r="L36" s="61" t="s">
        <v>48</v>
      </c>
      <c r="M36" s="62"/>
      <c r="N36" s="63"/>
      <c r="O36" s="63" t="str">
        <f>COMPLEX(((H28*COS(I28*PI()/180))),((H28*SIN(I28*PI()/180))))</f>
        <v>0</v>
      </c>
      <c r="P36" s="63"/>
      <c r="Q36" s="63"/>
      <c r="R36" s="63"/>
      <c r="S36" s="47"/>
      <c r="T36" s="79"/>
      <c r="U36" s="2"/>
      <c r="V36" s="2"/>
      <c r="W36" s="3"/>
      <c r="X36" s="79"/>
    </row>
    <row r="37" spans="1:24" ht="15" hidden="1" customHeight="1" outlineLevel="1" x14ac:dyDescent="0.2">
      <c r="B37" s="5"/>
      <c r="C37" s="14"/>
      <c r="D37" s="14"/>
      <c r="E37" s="40"/>
      <c r="F37" s="40"/>
      <c r="G37" s="40"/>
      <c r="H37" s="5"/>
      <c r="I37" s="5"/>
      <c r="J37" s="5"/>
      <c r="K37" s="56"/>
      <c r="L37" s="64" t="s">
        <v>50</v>
      </c>
      <c r="M37" s="57"/>
      <c r="N37" s="55"/>
      <c r="O37" s="55" t="str">
        <f>COMPLEX(((J28*COS(K28*PI()/180))),((J28*SIN(K28*PI()/180))))</f>
        <v>0</v>
      </c>
      <c r="P37" s="55"/>
      <c r="Q37" s="55"/>
      <c r="R37" s="55"/>
      <c r="S37" s="35"/>
      <c r="T37" s="79" t="s">
        <v>70</v>
      </c>
      <c r="U37" s="5"/>
      <c r="V37" s="5"/>
      <c r="W37" s="6"/>
      <c r="X37" s="79" t="s">
        <v>76</v>
      </c>
    </row>
    <row r="38" spans="1:24" ht="15" hidden="1" customHeight="1" outlineLevel="1" x14ac:dyDescent="0.2">
      <c r="B38" s="5"/>
      <c r="C38" s="14"/>
      <c r="D38" s="14"/>
      <c r="E38" s="40"/>
      <c r="F38" s="40"/>
      <c r="G38" s="40"/>
      <c r="H38" s="5"/>
      <c r="I38" s="5"/>
      <c r="J38" s="5"/>
      <c r="K38" s="56"/>
      <c r="L38" s="64" t="s">
        <v>52</v>
      </c>
      <c r="M38" s="57"/>
      <c r="N38" s="55"/>
      <c r="O38" s="55" t="str">
        <f>COMPLEX(((M28*COS(N28*PI()/180))),((M28*SIN(N28*PI()/180))))</f>
        <v>0</v>
      </c>
      <c r="P38" s="55"/>
      <c r="Q38" s="55"/>
      <c r="R38" s="55"/>
      <c r="S38" s="35"/>
      <c r="T38" s="5"/>
      <c r="U38" s="5"/>
      <c r="V38" s="5"/>
      <c r="W38" s="6"/>
    </row>
    <row r="39" spans="1:24" ht="15" hidden="1" customHeight="1" outlineLevel="1" x14ac:dyDescent="0.2">
      <c r="B39" s="5"/>
      <c r="C39" s="14"/>
      <c r="D39" s="14"/>
      <c r="E39" s="40"/>
      <c r="F39" s="40"/>
      <c r="G39" s="40"/>
      <c r="H39" s="5"/>
      <c r="I39" s="5"/>
      <c r="J39" s="5"/>
      <c r="K39" s="56"/>
      <c r="L39" s="64" t="s">
        <v>49</v>
      </c>
      <c r="M39" s="57"/>
      <c r="N39" s="55"/>
      <c r="O39" s="55" t="str">
        <f>COMPLEX(((H29*COS(I29*PI()/180))),((H29*SIN(I29*PI()/180))))</f>
        <v>0</v>
      </c>
      <c r="P39" s="55"/>
      <c r="Q39" s="55"/>
      <c r="R39" s="55"/>
      <c r="S39" s="35"/>
      <c r="T39" s="5"/>
      <c r="U39" s="5"/>
      <c r="V39" s="5"/>
      <c r="W39" s="6"/>
    </row>
    <row r="40" spans="1:24" ht="15" hidden="1" customHeight="1" outlineLevel="1" x14ac:dyDescent="0.2">
      <c r="B40" s="5"/>
      <c r="C40" s="14"/>
      <c r="D40" s="14"/>
      <c r="E40" s="40"/>
      <c r="F40" s="40"/>
      <c r="G40" s="40"/>
      <c r="H40" s="5"/>
      <c r="I40" s="5"/>
      <c r="J40" s="5"/>
      <c r="K40" s="56"/>
      <c r="L40" s="64" t="s">
        <v>51</v>
      </c>
      <c r="M40" s="57"/>
      <c r="N40" s="55"/>
      <c r="O40" s="55" t="str">
        <f>COMPLEX(((J29*COS(K29*PI()/180))),((J29*SIN(K29*PI()/180))))</f>
        <v>0</v>
      </c>
      <c r="P40" s="55"/>
      <c r="Q40" s="55"/>
      <c r="R40" s="55"/>
      <c r="S40" s="35"/>
      <c r="T40" s="5"/>
      <c r="U40" s="5"/>
      <c r="V40" s="5"/>
      <c r="W40" s="6"/>
    </row>
    <row r="41" spans="1:24" ht="15" hidden="1" customHeight="1" outlineLevel="1" x14ac:dyDescent="0.2">
      <c r="B41" s="5"/>
      <c r="C41" s="14"/>
      <c r="D41" s="14"/>
      <c r="E41" s="40"/>
      <c r="F41" s="40"/>
      <c r="G41" s="40"/>
      <c r="H41" s="5"/>
      <c r="I41" s="5"/>
      <c r="J41" s="5"/>
      <c r="K41" s="56"/>
      <c r="L41" s="64" t="s">
        <v>53</v>
      </c>
      <c r="M41" s="57"/>
      <c r="N41" s="55"/>
      <c r="O41" s="55" t="str">
        <f>COMPLEX(((M29*COS(N29*PI()/180))),((M29*SIN(N29*PI()/180))))</f>
        <v>0</v>
      </c>
      <c r="P41" s="55"/>
      <c r="Q41" s="55"/>
      <c r="R41" s="55"/>
      <c r="S41" s="35"/>
      <c r="T41" s="5"/>
      <c r="U41" s="5"/>
      <c r="V41" s="5"/>
      <c r="W41" s="6"/>
    </row>
    <row r="42" spans="1:24" ht="15" hidden="1" customHeight="1" outlineLevel="1" x14ac:dyDescent="0.2">
      <c r="B42" s="5"/>
      <c r="C42" s="14"/>
      <c r="D42" s="14"/>
      <c r="E42" s="40"/>
      <c r="F42" s="40"/>
      <c r="G42" s="40"/>
      <c r="H42" s="5"/>
      <c r="I42" s="5"/>
      <c r="J42" s="5"/>
      <c r="K42" s="56"/>
      <c r="L42" s="64" t="s">
        <v>54</v>
      </c>
      <c r="M42" s="57"/>
      <c r="N42" s="55"/>
      <c r="O42" s="55" t="str">
        <f>COMPLEX(((H30*COS(I30*PI()/180))),((H30*SIN(I30*PI()/180))))</f>
        <v>0</v>
      </c>
      <c r="P42" s="55"/>
      <c r="Q42" s="55"/>
      <c r="R42" s="55"/>
      <c r="S42" s="35"/>
      <c r="T42" s="5"/>
      <c r="U42" s="5"/>
      <c r="V42" s="5"/>
      <c r="W42" s="6"/>
    </row>
    <row r="43" spans="1:24" ht="15" hidden="1" customHeight="1" outlineLevel="1" x14ac:dyDescent="0.2">
      <c r="B43" s="5"/>
      <c r="C43" s="14"/>
      <c r="D43" s="14"/>
      <c r="E43" s="40"/>
      <c r="F43" s="40"/>
      <c r="G43" s="40"/>
      <c r="H43" s="5"/>
      <c r="I43" s="5"/>
      <c r="J43" s="5"/>
      <c r="K43" s="56"/>
      <c r="L43" s="64" t="s">
        <v>55</v>
      </c>
      <c r="M43" s="57"/>
      <c r="N43" s="55"/>
      <c r="O43" s="55" t="str">
        <f>COMPLEX(((J30*COS(K30*PI()/180))),((J30*SIN(K30*PI()/180))))</f>
        <v>0</v>
      </c>
      <c r="P43" s="55"/>
      <c r="Q43" s="55"/>
      <c r="R43" s="55"/>
      <c r="S43" s="35"/>
      <c r="T43" s="5"/>
      <c r="U43" s="5"/>
      <c r="V43" s="5"/>
      <c r="W43" s="6"/>
    </row>
    <row r="44" spans="1:24" ht="15" hidden="1" customHeight="1" outlineLevel="1" x14ac:dyDescent="0.2">
      <c r="B44" s="5"/>
      <c r="C44" s="14"/>
      <c r="D44" s="14"/>
      <c r="E44" s="40"/>
      <c r="F44" s="40"/>
      <c r="G44" s="40"/>
      <c r="H44" s="5"/>
      <c r="I44" s="5"/>
      <c r="J44" s="5"/>
      <c r="K44" s="56"/>
      <c r="L44" s="64" t="s">
        <v>56</v>
      </c>
      <c r="M44" s="57"/>
      <c r="N44" s="55"/>
      <c r="O44" s="55" t="str">
        <f>COMPLEX(((M30*COS(N30*PI()/180))),((M30*SIN(N30*PI()/180))))</f>
        <v>0</v>
      </c>
      <c r="P44" s="55"/>
      <c r="Q44" s="55"/>
      <c r="R44" s="55"/>
      <c r="S44" s="35"/>
      <c r="T44" s="5"/>
      <c r="U44" s="5"/>
      <c r="V44" s="5"/>
      <c r="W44" s="6"/>
    </row>
    <row r="45" spans="1:24" ht="15" hidden="1" customHeight="1" outlineLevel="1" x14ac:dyDescent="0.2">
      <c r="B45" s="5"/>
      <c r="C45" s="14"/>
      <c r="D45" s="14"/>
      <c r="E45" s="40"/>
      <c r="F45" s="40"/>
      <c r="G45" s="40"/>
      <c r="H45" s="5"/>
      <c r="I45" s="5"/>
      <c r="J45" s="5"/>
      <c r="K45" s="56"/>
      <c r="L45" s="64" t="s">
        <v>57</v>
      </c>
      <c r="M45" s="57"/>
      <c r="N45" s="55"/>
      <c r="O45" s="55" t="str">
        <f>COMPLEX(((H31*COS(I31*PI()/180))),((H31*SIN(I31*PI()/180))))</f>
        <v>0</v>
      </c>
      <c r="P45" s="55"/>
      <c r="Q45" s="55"/>
      <c r="R45" s="55"/>
      <c r="S45" s="35"/>
      <c r="T45" s="5"/>
      <c r="U45" s="5"/>
      <c r="V45" s="5"/>
      <c r="W45" s="6"/>
    </row>
    <row r="46" spans="1:24" ht="15" hidden="1" customHeight="1" outlineLevel="1" x14ac:dyDescent="0.2">
      <c r="B46" s="5"/>
      <c r="C46" s="14"/>
      <c r="D46" s="14"/>
      <c r="E46" s="40"/>
      <c r="F46" s="40"/>
      <c r="G46" s="40"/>
      <c r="H46" s="5"/>
      <c r="I46" s="5"/>
      <c r="J46" s="5"/>
      <c r="K46" s="56"/>
      <c r="L46" s="64" t="s">
        <v>58</v>
      </c>
      <c r="M46" s="57"/>
      <c r="N46" s="55"/>
      <c r="O46" s="55" t="str">
        <f>COMPLEX(((J31*COS(K31*PI()/180))),((J31*SIN(K31*PI()/180))))</f>
        <v>0</v>
      </c>
      <c r="P46" s="55"/>
      <c r="Q46" s="55"/>
      <c r="R46" s="55"/>
      <c r="S46" s="35"/>
      <c r="T46" s="5"/>
      <c r="U46" s="5"/>
      <c r="V46" s="5"/>
      <c r="W46" s="6"/>
    </row>
    <row r="47" spans="1:24" ht="15" hidden="1" customHeight="1" outlineLevel="1" x14ac:dyDescent="0.2">
      <c r="B47" s="5"/>
      <c r="C47" s="14"/>
      <c r="D47" s="14"/>
      <c r="E47" s="40"/>
      <c r="F47" s="40"/>
      <c r="G47" s="40"/>
      <c r="H47" s="5"/>
      <c r="I47" s="5"/>
      <c r="J47" s="5"/>
      <c r="K47" s="56"/>
      <c r="L47" s="64" t="s">
        <v>59</v>
      </c>
      <c r="M47" s="57"/>
      <c r="N47" s="55"/>
      <c r="O47" s="55" t="str">
        <f>COMPLEX(((M31*COS(N31*PI()/180))),((M31*SIN(N31*PI()/180))))</f>
        <v>0</v>
      </c>
      <c r="P47" s="55"/>
      <c r="Q47" s="55"/>
      <c r="R47" s="55"/>
      <c r="S47" s="35"/>
      <c r="T47" s="5"/>
      <c r="U47" s="5"/>
      <c r="V47" s="5"/>
      <c r="W47" s="6"/>
    </row>
    <row r="48" spans="1:24" ht="15" hidden="1" customHeight="1" outlineLevel="1" x14ac:dyDescent="0.2">
      <c r="B48" s="5"/>
      <c r="C48" s="14"/>
      <c r="D48" s="14"/>
      <c r="E48" s="40"/>
      <c r="F48" s="40"/>
      <c r="G48" s="40"/>
      <c r="H48" s="5"/>
      <c r="I48" s="5"/>
      <c r="J48" s="5"/>
      <c r="K48" s="56"/>
      <c r="L48" s="64" t="s">
        <v>60</v>
      </c>
      <c r="M48" s="57"/>
      <c r="N48" s="55"/>
      <c r="O48" s="55" t="str">
        <f>COMPLEX(((H32*COS(I32*PI()/180))),((H32*SIN(I32*PI()/180))))</f>
        <v>0</v>
      </c>
      <c r="P48" s="55"/>
      <c r="Q48" s="55"/>
      <c r="R48" s="55"/>
      <c r="S48" s="35"/>
      <c r="T48" s="5"/>
      <c r="U48" s="5"/>
      <c r="V48" s="5"/>
      <c r="W48" s="6"/>
    </row>
    <row r="49" spans="2:23" ht="15" hidden="1" customHeight="1" outlineLevel="1" x14ac:dyDescent="0.2">
      <c r="B49" s="5"/>
      <c r="C49" s="14"/>
      <c r="D49" s="14"/>
      <c r="E49" s="40"/>
      <c r="F49" s="40"/>
      <c r="G49" s="40"/>
      <c r="H49" s="5"/>
      <c r="I49" s="5"/>
      <c r="J49" s="5"/>
      <c r="K49" s="56"/>
      <c r="L49" s="64" t="s">
        <v>61</v>
      </c>
      <c r="M49" s="57"/>
      <c r="N49" s="55"/>
      <c r="O49" s="55" t="str">
        <f>COMPLEX(((J32*COS(K32*PI()/180))),((J32*SIN(K32*PI()/180))))</f>
        <v>0</v>
      </c>
      <c r="P49" s="55"/>
      <c r="Q49" s="55"/>
      <c r="R49" s="55"/>
      <c r="S49" s="35"/>
      <c r="T49" s="5"/>
      <c r="U49" s="5"/>
      <c r="V49" s="5"/>
      <c r="W49" s="6"/>
    </row>
    <row r="50" spans="2:23" ht="15" hidden="1" customHeight="1" outlineLevel="1" x14ac:dyDescent="0.2">
      <c r="B50" s="5"/>
      <c r="C50" s="14"/>
      <c r="D50" s="14"/>
      <c r="E50" s="40"/>
      <c r="F50" s="40"/>
      <c r="G50" s="40"/>
      <c r="H50" s="5"/>
      <c r="I50" s="5"/>
      <c r="J50" s="5"/>
      <c r="K50" s="56"/>
      <c r="L50" s="64" t="s">
        <v>62</v>
      </c>
      <c r="M50" s="57"/>
      <c r="N50" s="55"/>
      <c r="O50" s="55" t="str">
        <f>COMPLEX(((M32*COS(N32*PI()/180))),((M32*SIN(N32*PI()/180))))</f>
        <v>0</v>
      </c>
      <c r="P50" s="55"/>
      <c r="Q50" s="55"/>
      <c r="R50" s="55"/>
      <c r="S50" s="35"/>
      <c r="T50" s="5"/>
      <c r="U50" s="5"/>
      <c r="V50" s="5"/>
      <c r="W50" s="6"/>
    </row>
    <row r="51" spans="2:23" ht="15" hidden="1" customHeight="1" outlineLevel="1" x14ac:dyDescent="0.2">
      <c r="B51" s="5"/>
      <c r="C51" s="14"/>
      <c r="D51" s="14"/>
      <c r="E51" s="40"/>
      <c r="F51" s="40"/>
      <c r="G51" s="40"/>
      <c r="H51" s="5"/>
      <c r="I51" s="5"/>
      <c r="J51" s="5"/>
      <c r="K51" s="56"/>
      <c r="L51" s="64" t="s">
        <v>38</v>
      </c>
      <c r="M51" s="57"/>
      <c r="N51" s="55"/>
      <c r="O51" s="55" t="str">
        <f>IMSUM(O36,O39,O42,O45,O48)</f>
        <v>0</v>
      </c>
      <c r="P51" s="55"/>
      <c r="Q51" s="55"/>
      <c r="R51" s="55"/>
      <c r="S51" s="35"/>
      <c r="T51" s="5"/>
      <c r="U51" s="5"/>
      <c r="V51" s="5"/>
      <c r="W51" s="6"/>
    </row>
    <row r="52" spans="2:23" ht="15" hidden="1" customHeight="1" outlineLevel="1" x14ac:dyDescent="0.2">
      <c r="B52" s="5"/>
      <c r="C52" s="14"/>
      <c r="D52" s="14"/>
      <c r="E52" s="40"/>
      <c r="F52" s="40"/>
      <c r="G52" s="40"/>
      <c r="H52" s="5"/>
      <c r="I52" s="5"/>
      <c r="J52" s="5"/>
      <c r="K52" s="56"/>
      <c r="L52" s="64" t="s">
        <v>39</v>
      </c>
      <c r="M52" s="57"/>
      <c r="N52" s="55"/>
      <c r="O52" s="55" t="str">
        <f t="shared" ref="O52:O53" si="2">IMSUM(O37,O40,O43,O46,O49)</f>
        <v>0</v>
      </c>
      <c r="P52" s="55"/>
      <c r="Q52" s="55"/>
      <c r="R52" s="55"/>
      <c r="S52" s="35"/>
      <c r="T52" s="5"/>
      <c r="U52" s="5"/>
      <c r="V52" s="5"/>
      <c r="W52" s="6"/>
    </row>
    <row r="53" spans="2:23" ht="15" hidden="1" customHeight="1" outlineLevel="1" x14ac:dyDescent="0.2">
      <c r="B53" s="5"/>
      <c r="C53" s="14"/>
      <c r="D53" s="14"/>
      <c r="E53" s="40"/>
      <c r="F53" s="40"/>
      <c r="G53" s="40"/>
      <c r="H53" s="5"/>
      <c r="I53" s="5"/>
      <c r="J53" s="5"/>
      <c r="K53" s="56"/>
      <c r="L53" s="65" t="s">
        <v>40</v>
      </c>
      <c r="M53" s="66"/>
      <c r="N53" s="67"/>
      <c r="O53" s="67" t="str">
        <f t="shared" si="2"/>
        <v>0</v>
      </c>
      <c r="P53" s="67"/>
      <c r="Q53" s="67"/>
      <c r="R53" s="67"/>
      <c r="S53" s="68"/>
      <c r="T53" s="8"/>
      <c r="U53" s="8"/>
      <c r="V53" s="8"/>
      <c r="W53" s="9"/>
    </row>
    <row r="54" spans="2:23" ht="15" customHeight="1" collapsed="1" x14ac:dyDescent="0.2">
      <c r="B54" s="34" t="s">
        <v>63</v>
      </c>
    </row>
    <row r="55" spans="2:23" ht="15" hidden="1" customHeight="1" outlineLevel="1" x14ac:dyDescent="0.2">
      <c r="L55" s="1" t="s">
        <v>38</v>
      </c>
      <c r="M55" s="2"/>
      <c r="N55" s="22" t="str">
        <f>IMSUM(N65,N75,N85,N95,N105,N115,N125,N135,N145,N155,N165,N175,N185,N195,N205)</f>
        <v>36</v>
      </c>
      <c r="O55" s="23"/>
      <c r="P55" s="23"/>
      <c r="Q55" s="23"/>
      <c r="R55" s="23"/>
      <c r="S55" s="23"/>
      <c r="T55" s="2"/>
      <c r="U55" s="2"/>
      <c r="V55" s="2"/>
      <c r="W55" s="3"/>
    </row>
    <row r="56" spans="2:23" ht="15" hidden="1" customHeight="1" outlineLevel="1" x14ac:dyDescent="0.2">
      <c r="L56" s="4" t="s">
        <v>39</v>
      </c>
      <c r="M56" s="5"/>
      <c r="N56" s="20" t="str">
        <f>IMSUM(N66,N76,N86,N96,N106,N116,N126,N136,N146,N156,N166,N176,N186,N196,N206)</f>
        <v>-23-39,8371685740842i</v>
      </c>
      <c r="O56" s="10"/>
      <c r="P56" s="10"/>
      <c r="Q56" s="10"/>
      <c r="R56" s="10"/>
      <c r="S56" s="10"/>
      <c r="T56" s="5"/>
      <c r="U56" s="5"/>
      <c r="V56" s="5"/>
      <c r="W56" s="6"/>
    </row>
    <row r="57" spans="2:23" ht="15" hidden="1" customHeight="1" outlineLevel="1" x14ac:dyDescent="0.2">
      <c r="L57" s="7" t="s">
        <v>40</v>
      </c>
      <c r="M57" s="8"/>
      <c r="N57" s="24" t="str">
        <f>IMSUM(N67,N77,N87,N97,N107,N117,N127,N137,N147,N157,N167,N177,N187,N197,N207)</f>
        <v>-23+39,8371685740841i</v>
      </c>
      <c r="O57" s="13"/>
      <c r="P57" s="13"/>
      <c r="Q57" s="13"/>
      <c r="R57" s="13"/>
      <c r="S57" s="13"/>
      <c r="T57" s="8"/>
      <c r="U57" s="8"/>
      <c r="V57" s="8"/>
      <c r="W57" s="9"/>
    </row>
    <row r="58" spans="2:23" ht="15" customHeight="1" collapsed="1" x14ac:dyDescent="0.2">
      <c r="B58" s="34" t="s">
        <v>45</v>
      </c>
    </row>
    <row r="59" spans="2:23" ht="15" hidden="1" customHeight="1" outlineLevel="1" x14ac:dyDescent="0.2">
      <c r="B59" s="34"/>
      <c r="C59" t="s">
        <v>34</v>
      </c>
      <c r="E59" t="s">
        <v>34</v>
      </c>
      <c r="H59" t="s">
        <v>34</v>
      </c>
      <c r="J59" t="s">
        <v>34</v>
      </c>
      <c r="L59" s="1"/>
      <c r="M59" s="2"/>
      <c r="N59" s="2"/>
      <c r="O59" s="15" t="s">
        <v>19</v>
      </c>
      <c r="P59" s="15" t="s">
        <v>29</v>
      </c>
      <c r="Q59" s="15" t="s">
        <v>30</v>
      </c>
      <c r="R59" s="15" t="s">
        <v>18</v>
      </c>
      <c r="S59" s="16" t="s">
        <v>31</v>
      </c>
      <c r="T59" s="15" t="s">
        <v>32</v>
      </c>
      <c r="U59" s="15" t="s">
        <v>22</v>
      </c>
      <c r="V59" s="16" t="s">
        <v>33</v>
      </c>
      <c r="W59" s="17" t="s">
        <v>23</v>
      </c>
    </row>
    <row r="60" spans="2:23" ht="15" hidden="1" customHeight="1" outlineLevel="1" x14ac:dyDescent="0.2">
      <c r="B60" s="34"/>
      <c r="C60">
        <f>C22</f>
        <v>230</v>
      </c>
      <c r="E60" t="s">
        <v>5</v>
      </c>
      <c r="H60" t="s">
        <v>9</v>
      </c>
      <c r="J60" t="s">
        <v>10</v>
      </c>
      <c r="L60" s="4" t="s">
        <v>9</v>
      </c>
      <c r="M60" s="5"/>
      <c r="N60" s="5">
        <f>IF(H4="Cos",I4,IF(H4="&lt;",COS(RADIANS(I4))))</f>
        <v>1</v>
      </c>
      <c r="O60" s="10">
        <f>F4/(C22*N60)</f>
        <v>4.3478260869565216E-2</v>
      </c>
      <c r="P60" s="10">
        <f>(F4/(B22*N60))</f>
        <v>2.5000000000000001E-2</v>
      </c>
      <c r="Q60" s="10">
        <f>(F4/(SQRT(3)*B22*N60))</f>
        <v>1.4433756729740645E-2</v>
      </c>
      <c r="R60" s="10">
        <f>(F4/C22)</f>
        <v>4.3478260869565216E-2</v>
      </c>
      <c r="S60" s="10">
        <f>(F4/(B22))</f>
        <v>2.5000000000000001E-2</v>
      </c>
      <c r="T60" s="10">
        <f>(F4/(SQRT(3)*B22))</f>
        <v>1.4433756729740645E-2</v>
      </c>
      <c r="U60" s="10" t="e">
        <f>F4/(C22*N61)</f>
        <v>#DIV/0!</v>
      </c>
      <c r="V60" s="10" t="e">
        <f>(F4/(B22*N61))</f>
        <v>#DIV/0!</v>
      </c>
      <c r="W60" s="18" t="e">
        <f>F4/(SQRT(3)*B22*N61)</f>
        <v>#DIV/0!</v>
      </c>
    </row>
    <row r="61" spans="2:23" ht="15" hidden="1" customHeight="1" outlineLevel="1" x14ac:dyDescent="0.2">
      <c r="B61" s="34"/>
      <c r="C61">
        <f>B22</f>
        <v>400</v>
      </c>
      <c r="E61" t="s">
        <v>6</v>
      </c>
      <c r="H61" t="s">
        <v>4</v>
      </c>
      <c r="J61" t="s">
        <v>11</v>
      </c>
      <c r="L61" s="4" t="s">
        <v>21</v>
      </c>
      <c r="M61" s="5"/>
      <c r="N61" s="5">
        <f>IF(H4="Cos",SIN(RADIANS(N62)),IF(H4="&lt;",SIN(RADIANS(I4))))</f>
        <v>0</v>
      </c>
      <c r="O61" s="5"/>
      <c r="P61" s="5"/>
      <c r="Q61" s="5"/>
      <c r="R61" s="5"/>
      <c r="S61" s="5"/>
      <c r="T61" s="5"/>
      <c r="U61" s="5"/>
      <c r="V61" s="5"/>
      <c r="W61" s="6"/>
    </row>
    <row r="62" spans="2:23" ht="15" hidden="1" customHeight="1" outlineLevel="1" x14ac:dyDescent="0.2">
      <c r="B62" s="34"/>
      <c r="E62" t="s">
        <v>7</v>
      </c>
      <c r="J62" t="s">
        <v>12</v>
      </c>
      <c r="L62" s="4" t="s">
        <v>20</v>
      </c>
      <c r="M62" s="5"/>
      <c r="N62" s="5">
        <f>(ACOS(N60)*180/PI())</f>
        <v>0</v>
      </c>
      <c r="O62" s="5"/>
      <c r="P62" s="5"/>
      <c r="Q62" s="5"/>
      <c r="R62" s="5"/>
      <c r="S62" s="5"/>
      <c r="T62" s="5"/>
      <c r="U62" s="5"/>
      <c r="V62" s="5"/>
      <c r="W62" s="6"/>
    </row>
    <row r="63" spans="2:23" ht="15" hidden="1" customHeight="1" outlineLevel="1" x14ac:dyDescent="0.2">
      <c r="B63" s="34"/>
      <c r="E63" t="s">
        <v>8</v>
      </c>
      <c r="J63" t="s">
        <v>13</v>
      </c>
      <c r="L63" s="11" t="s">
        <v>10</v>
      </c>
      <c r="M63" s="38"/>
      <c r="N63" s="5" t="s">
        <v>11</v>
      </c>
      <c r="O63" s="5" t="s">
        <v>12</v>
      </c>
      <c r="P63" s="12" t="s">
        <v>27</v>
      </c>
      <c r="Q63" s="5" t="s">
        <v>25</v>
      </c>
      <c r="R63" s="12" t="s">
        <v>27</v>
      </c>
      <c r="S63" s="5" t="s">
        <v>26</v>
      </c>
      <c r="T63" s="12" t="s">
        <v>28</v>
      </c>
      <c r="U63" s="5" t="s">
        <v>26</v>
      </c>
      <c r="V63" s="5"/>
      <c r="W63" s="6"/>
    </row>
    <row r="64" spans="2:23" ht="15" hidden="1" customHeight="1" outlineLevel="1" x14ac:dyDescent="0.2">
      <c r="B64" s="34"/>
      <c r="J64" t="s">
        <v>14</v>
      </c>
      <c r="L64" s="19">
        <f>(0-N62)</f>
        <v>0</v>
      </c>
      <c r="M64" s="10"/>
      <c r="N64" s="10">
        <f>(-120-N62)</f>
        <v>-120</v>
      </c>
      <c r="O64" s="10">
        <f>(-240-N62)</f>
        <v>-240</v>
      </c>
      <c r="P64" s="10">
        <f>(30-N62)</f>
        <v>30</v>
      </c>
      <c r="Q64" s="10">
        <f>(-150-N62)</f>
        <v>-150</v>
      </c>
      <c r="R64" s="10">
        <f>(-30-N62)</f>
        <v>-30</v>
      </c>
      <c r="S64" s="10">
        <f>(150-N62)</f>
        <v>150</v>
      </c>
      <c r="T64" s="10">
        <f>(-90-N62)</f>
        <v>-90</v>
      </c>
      <c r="U64" s="10">
        <f>(90-N62)</f>
        <v>90</v>
      </c>
      <c r="V64" s="10"/>
      <c r="W64" s="6"/>
    </row>
    <row r="65" spans="2:23" ht="15" hidden="1" customHeight="1" outlineLevel="1" x14ac:dyDescent="0.2">
      <c r="B65" s="34"/>
      <c r="J65" t="s">
        <v>15</v>
      </c>
      <c r="L65" s="4" t="s">
        <v>35</v>
      </c>
      <c r="M65" s="5"/>
      <c r="N65" t="str">
        <f>COMPLEX(((N4*COS(O4*PI()/180))),((N4*SIN(O4*PI()/180))))</f>
        <v>10</v>
      </c>
      <c r="O65" s="5"/>
      <c r="P65" s="5"/>
      <c r="Q65" s="5"/>
      <c r="R65" s="5"/>
      <c r="S65" s="5"/>
      <c r="T65" s="5"/>
      <c r="U65" s="5"/>
      <c r="V65" s="5"/>
      <c r="W65" s="6"/>
    </row>
    <row r="66" spans="2:23" ht="15" hidden="1" customHeight="1" outlineLevel="1" x14ac:dyDescent="0.2">
      <c r="B66" s="34"/>
      <c r="J66" t="s">
        <v>16</v>
      </c>
      <c r="L66" s="4" t="s">
        <v>36</v>
      </c>
      <c r="M66" s="5"/>
      <c r="N66" s="5" t="str">
        <f>COMPLEX(((P4*COS(Q4*PI()/180))),((P4*SIN(Q4*PI()/180))))</f>
        <v>0</v>
      </c>
      <c r="O66" s="5"/>
      <c r="P66" s="5"/>
      <c r="Q66" s="5"/>
      <c r="R66" s="5"/>
      <c r="S66" s="5"/>
      <c r="T66" s="5"/>
      <c r="U66" s="5"/>
      <c r="V66" s="5"/>
      <c r="W66" s="6"/>
    </row>
    <row r="67" spans="2:23" ht="15" hidden="1" customHeight="1" outlineLevel="1" x14ac:dyDescent="0.2">
      <c r="B67" s="34"/>
      <c r="L67" s="7" t="s">
        <v>37</v>
      </c>
      <c r="M67" s="8"/>
      <c r="N67" s="8" t="str">
        <f>COMPLEX(((R4*COS(S4*PI()/180))),((R4*SIN(S4*PI()/180))))</f>
        <v>0</v>
      </c>
      <c r="O67" s="8"/>
      <c r="P67" s="8"/>
      <c r="Q67" s="8"/>
      <c r="R67" s="8"/>
      <c r="S67" s="8"/>
      <c r="T67" s="8"/>
      <c r="U67" s="8"/>
      <c r="V67" s="8"/>
      <c r="W67" s="9"/>
    </row>
    <row r="68" spans="2:23" ht="15" customHeight="1" collapsed="1" x14ac:dyDescent="0.2">
      <c r="B68" s="34">
        <v>1</v>
      </c>
    </row>
    <row r="69" spans="2:23" ht="15" hidden="1" customHeight="1" outlineLevel="1" x14ac:dyDescent="0.2">
      <c r="B69" s="34"/>
      <c r="L69" s="1"/>
      <c r="M69" s="2"/>
      <c r="N69" s="2"/>
      <c r="O69" s="15" t="s">
        <v>19</v>
      </c>
      <c r="P69" s="15" t="s">
        <v>29</v>
      </c>
      <c r="Q69" s="15" t="s">
        <v>30</v>
      </c>
      <c r="R69" s="15" t="s">
        <v>18</v>
      </c>
      <c r="S69" s="16" t="s">
        <v>31</v>
      </c>
      <c r="T69" s="15" t="s">
        <v>32</v>
      </c>
      <c r="U69" s="15" t="s">
        <v>22</v>
      </c>
      <c r="V69" s="16" t="s">
        <v>33</v>
      </c>
      <c r="W69" s="17" t="s">
        <v>23</v>
      </c>
    </row>
    <row r="70" spans="2:23" ht="15" hidden="1" customHeight="1" outlineLevel="1" x14ac:dyDescent="0.2">
      <c r="B70" s="34"/>
      <c r="L70" s="4" t="s">
        <v>9</v>
      </c>
      <c r="M70" s="5"/>
      <c r="N70" s="5">
        <f>IF(H5="Cos",I5,IF(H5="&lt;",COS(RADIANS(I5))))</f>
        <v>1</v>
      </c>
      <c r="O70" s="10">
        <f>F5/(C22*N70)</f>
        <v>4.3478260869565216E-2</v>
      </c>
      <c r="P70" s="10">
        <f>(F5/(B22*N70))</f>
        <v>2.5000000000000001E-2</v>
      </c>
      <c r="Q70" s="10">
        <f>(F5/(SQRT(3)*B22*N70))</f>
        <v>1.4433756729740645E-2</v>
      </c>
      <c r="R70" s="10">
        <f>(F5/C22)</f>
        <v>4.3478260869565216E-2</v>
      </c>
      <c r="S70" s="10">
        <f>(F5/(B22))</f>
        <v>2.5000000000000001E-2</v>
      </c>
      <c r="T70" s="10">
        <f>(F5/(SQRT(3)*B22))</f>
        <v>1.4433756729740645E-2</v>
      </c>
      <c r="U70" s="10" t="e">
        <f>F5/(C22*N71)</f>
        <v>#DIV/0!</v>
      </c>
      <c r="V70" s="10" t="e">
        <f>(F5/(B22*N71))</f>
        <v>#DIV/0!</v>
      </c>
      <c r="W70" s="18" t="e">
        <f>F5/(SQRT(3)*B22*N71)</f>
        <v>#DIV/0!</v>
      </c>
    </row>
    <row r="71" spans="2:23" ht="15" hidden="1" customHeight="1" outlineLevel="1" x14ac:dyDescent="0.2">
      <c r="B71" s="34"/>
      <c r="L71" s="4" t="s">
        <v>21</v>
      </c>
      <c r="M71" s="5"/>
      <c r="N71" s="5">
        <f>IF(H5="Cos",SIN(RADIANS(N72)),IF(H5="&lt;",SIN(RADIANS(I5))))</f>
        <v>0</v>
      </c>
      <c r="O71" s="5"/>
      <c r="P71" s="5"/>
      <c r="Q71" s="5"/>
      <c r="R71" s="5"/>
      <c r="S71" s="5"/>
      <c r="T71" s="5"/>
      <c r="U71" s="5"/>
      <c r="V71" s="5"/>
      <c r="W71" s="6"/>
    </row>
    <row r="72" spans="2:23" ht="15" hidden="1" customHeight="1" outlineLevel="1" x14ac:dyDescent="0.2">
      <c r="B72" s="34"/>
      <c r="L72" s="4" t="s">
        <v>20</v>
      </c>
      <c r="M72" s="5"/>
      <c r="N72" s="5">
        <f>(ACOS(N70)*180/PI())</f>
        <v>0</v>
      </c>
      <c r="O72" s="5"/>
      <c r="P72" s="5"/>
      <c r="Q72" s="5"/>
      <c r="R72" s="5"/>
      <c r="S72" s="5"/>
      <c r="T72" s="5"/>
      <c r="U72" s="5"/>
      <c r="V72" s="5"/>
      <c r="W72" s="6"/>
    </row>
    <row r="73" spans="2:23" ht="15" hidden="1" customHeight="1" outlineLevel="1" x14ac:dyDescent="0.2">
      <c r="B73" s="34"/>
      <c r="L73" s="11" t="s">
        <v>10</v>
      </c>
      <c r="M73" s="38"/>
      <c r="N73" s="5" t="s">
        <v>11</v>
      </c>
      <c r="O73" s="5" t="s">
        <v>12</v>
      </c>
      <c r="P73" s="12" t="s">
        <v>27</v>
      </c>
      <c r="Q73" s="5" t="s">
        <v>25</v>
      </c>
      <c r="R73" s="12" t="s">
        <v>27</v>
      </c>
      <c r="S73" s="5" t="s">
        <v>26</v>
      </c>
      <c r="T73" s="12" t="s">
        <v>28</v>
      </c>
      <c r="U73" s="5" t="s">
        <v>26</v>
      </c>
      <c r="V73" s="5"/>
      <c r="W73" s="6"/>
    </row>
    <row r="74" spans="2:23" ht="15" hidden="1" customHeight="1" outlineLevel="1" x14ac:dyDescent="0.2">
      <c r="B74" s="34"/>
      <c r="L74" s="19">
        <f>(0-N72)</f>
        <v>0</v>
      </c>
      <c r="M74" s="10"/>
      <c r="N74" s="10">
        <f>(-120-N72)</f>
        <v>-120</v>
      </c>
      <c r="O74" s="10">
        <f>(-240-N72)</f>
        <v>-240</v>
      </c>
      <c r="P74" s="10">
        <f>(30-N72)</f>
        <v>30</v>
      </c>
      <c r="Q74" s="10">
        <f>(-150-N72)</f>
        <v>-150</v>
      </c>
      <c r="R74" s="10">
        <f>(-30-N72)</f>
        <v>-30</v>
      </c>
      <c r="S74" s="10">
        <f>(150-N72)</f>
        <v>150</v>
      </c>
      <c r="T74" s="10">
        <f>(-90-N72)</f>
        <v>-90</v>
      </c>
      <c r="U74" s="10">
        <f>(90-N72)</f>
        <v>90</v>
      </c>
      <c r="V74" s="10"/>
      <c r="W74" s="6"/>
    </row>
    <row r="75" spans="2:23" ht="15" hidden="1" customHeight="1" outlineLevel="1" x14ac:dyDescent="0.2">
      <c r="B75" s="34"/>
      <c r="L75" s="4" t="s">
        <v>35</v>
      </c>
      <c r="M75" s="5"/>
      <c r="N75" s="5" t="str">
        <f>COMPLEX(((N5*COS(O5*PI()/180))),((N5*SIN(O5*PI()/180))))</f>
        <v>0</v>
      </c>
      <c r="O75" s="5"/>
      <c r="P75" s="5"/>
      <c r="Q75" s="5"/>
      <c r="R75" s="5"/>
      <c r="S75" s="5"/>
      <c r="T75" s="5"/>
      <c r="U75" s="5"/>
      <c r="V75" s="5"/>
      <c r="W75" s="6"/>
    </row>
    <row r="76" spans="2:23" ht="15" hidden="1" customHeight="1" outlineLevel="1" x14ac:dyDescent="0.2">
      <c r="B76" s="34"/>
      <c r="L76" s="4" t="s">
        <v>36</v>
      </c>
      <c r="M76" s="5"/>
      <c r="N76" s="5" t="str">
        <f>COMPLEX(((P5*COS(Q5*PI()/180))),((P5*SIN(Q5*PI()/180))))</f>
        <v>-5-8,66025403784439i</v>
      </c>
      <c r="O76" s="5"/>
      <c r="P76" s="5"/>
      <c r="Q76" s="5"/>
      <c r="R76" s="5"/>
      <c r="S76" s="5"/>
      <c r="T76" s="5"/>
      <c r="U76" s="5"/>
      <c r="V76" s="5"/>
      <c r="W76" s="6"/>
    </row>
    <row r="77" spans="2:23" ht="15" hidden="1" customHeight="1" outlineLevel="1" x14ac:dyDescent="0.2">
      <c r="B77" s="34"/>
      <c r="L77" s="7" t="s">
        <v>37</v>
      </c>
      <c r="M77" s="8"/>
      <c r="N77" s="8" t="str">
        <f>COMPLEX(((R5*COS(S5*PI()/180))),((R5*SIN(S5*PI()/180))))</f>
        <v>0</v>
      </c>
      <c r="O77" s="8"/>
      <c r="P77" s="8"/>
      <c r="Q77" s="8"/>
      <c r="R77" s="8"/>
      <c r="S77" s="8"/>
      <c r="T77" s="8"/>
      <c r="U77" s="8"/>
      <c r="V77" s="8"/>
      <c r="W77" s="9"/>
    </row>
    <row r="78" spans="2:23" ht="15" customHeight="1" collapsed="1" x14ac:dyDescent="0.2">
      <c r="B78" s="34">
        <v>2</v>
      </c>
    </row>
    <row r="79" spans="2:23" ht="15" hidden="1" customHeight="1" outlineLevel="1" x14ac:dyDescent="0.2">
      <c r="B79" s="34"/>
      <c r="L79" s="1"/>
      <c r="M79" s="2"/>
      <c r="N79" s="2"/>
      <c r="O79" s="15" t="s">
        <v>19</v>
      </c>
      <c r="P79" s="15" t="s">
        <v>29</v>
      </c>
      <c r="Q79" s="15" t="s">
        <v>30</v>
      </c>
      <c r="R79" s="15" t="s">
        <v>18</v>
      </c>
      <c r="S79" s="16" t="s">
        <v>31</v>
      </c>
      <c r="T79" s="15" t="s">
        <v>32</v>
      </c>
      <c r="U79" s="15" t="s">
        <v>22</v>
      </c>
      <c r="V79" s="16" t="s">
        <v>33</v>
      </c>
      <c r="W79" s="17" t="s">
        <v>23</v>
      </c>
    </row>
    <row r="80" spans="2:23" ht="15" hidden="1" customHeight="1" outlineLevel="1" x14ac:dyDescent="0.2">
      <c r="B80" s="34"/>
      <c r="L80" s="4" t="s">
        <v>9</v>
      </c>
      <c r="M80" s="5"/>
      <c r="N80" s="5">
        <f>IF(H6="Cos",I6,IF(H6="&lt;",COS(RADIANS(I6))))</f>
        <v>1</v>
      </c>
      <c r="O80" s="10">
        <f>F6/(C22*N80)</f>
        <v>4.3478260869565216E-2</v>
      </c>
      <c r="P80" s="10">
        <f>(F6/(B22*N80))</f>
        <v>2.5000000000000001E-2</v>
      </c>
      <c r="Q80" s="10">
        <f>(F6/(SQRT(3)*B22*N80))</f>
        <v>1.4433756729740645E-2</v>
      </c>
      <c r="R80" s="10">
        <f>(F6/C22)</f>
        <v>4.3478260869565216E-2</v>
      </c>
      <c r="S80" s="10">
        <f>(F6/(B22))</f>
        <v>2.5000000000000001E-2</v>
      </c>
      <c r="T80" s="10">
        <f>(F6/(SQRT(3)*B22))</f>
        <v>1.4433756729740645E-2</v>
      </c>
      <c r="U80" s="10" t="e">
        <f>F6/(C22*N81)</f>
        <v>#DIV/0!</v>
      </c>
      <c r="V80" s="10" t="e">
        <f>(F6/(B22*N81))</f>
        <v>#DIV/0!</v>
      </c>
      <c r="W80" s="18" t="e">
        <f>F6/(SQRT(3)*B22*N81)</f>
        <v>#DIV/0!</v>
      </c>
    </row>
    <row r="81" spans="2:23" ht="15" hidden="1" customHeight="1" outlineLevel="1" x14ac:dyDescent="0.2">
      <c r="B81" s="34"/>
      <c r="L81" s="4" t="s">
        <v>21</v>
      </c>
      <c r="M81" s="5"/>
      <c r="N81" s="5">
        <f>IF(H6="Cos",SIN(RADIANS(N82)),IF(H6="&lt;",SIN(RADIANS(I6))))</f>
        <v>0</v>
      </c>
      <c r="O81" s="5"/>
      <c r="P81" s="5"/>
      <c r="Q81" s="5"/>
      <c r="R81" s="5"/>
      <c r="S81" s="5"/>
      <c r="T81" s="5"/>
      <c r="U81" s="5"/>
      <c r="V81" s="5"/>
      <c r="W81" s="6"/>
    </row>
    <row r="82" spans="2:23" ht="15" hidden="1" customHeight="1" outlineLevel="1" x14ac:dyDescent="0.2">
      <c r="B82" s="34"/>
      <c r="L82" s="4" t="s">
        <v>20</v>
      </c>
      <c r="M82" s="5"/>
      <c r="N82" s="5">
        <f>(ACOS(N80)*180/PI())</f>
        <v>0</v>
      </c>
      <c r="O82" s="5"/>
      <c r="P82" s="5"/>
      <c r="Q82" s="5"/>
      <c r="R82" s="5"/>
      <c r="S82" s="5"/>
      <c r="T82" s="5"/>
      <c r="U82" s="5"/>
      <c r="V82" s="5"/>
      <c r="W82" s="6"/>
    </row>
    <row r="83" spans="2:23" ht="15" hidden="1" customHeight="1" outlineLevel="1" x14ac:dyDescent="0.2">
      <c r="B83" s="34"/>
      <c r="L83" s="11" t="s">
        <v>10</v>
      </c>
      <c r="M83" s="38"/>
      <c r="N83" s="5" t="s">
        <v>11</v>
      </c>
      <c r="O83" s="5" t="s">
        <v>12</v>
      </c>
      <c r="P83" s="12" t="s">
        <v>27</v>
      </c>
      <c r="Q83" s="5" t="s">
        <v>25</v>
      </c>
      <c r="R83" s="12" t="s">
        <v>27</v>
      </c>
      <c r="S83" s="5" t="s">
        <v>26</v>
      </c>
      <c r="T83" s="12" t="s">
        <v>28</v>
      </c>
      <c r="U83" s="5" t="s">
        <v>26</v>
      </c>
      <c r="V83" s="5"/>
      <c r="W83" s="6"/>
    </row>
    <row r="84" spans="2:23" ht="15" hidden="1" customHeight="1" outlineLevel="1" x14ac:dyDescent="0.2">
      <c r="B84" s="34"/>
      <c r="L84" s="19">
        <f>(0-N82)</f>
        <v>0</v>
      </c>
      <c r="M84" s="10"/>
      <c r="N84" s="10">
        <f>(-120-N82)</f>
        <v>-120</v>
      </c>
      <c r="O84" s="10">
        <f>(-240-N82)</f>
        <v>-240</v>
      </c>
      <c r="P84" s="10">
        <f>(30-N82)</f>
        <v>30</v>
      </c>
      <c r="Q84" s="10">
        <f>(-150-N82)</f>
        <v>-150</v>
      </c>
      <c r="R84" s="10">
        <f>(-30-N82)</f>
        <v>-30</v>
      </c>
      <c r="S84" s="10">
        <f>(150-N82)</f>
        <v>150</v>
      </c>
      <c r="T84" s="10">
        <f>(-90-N82)</f>
        <v>-90</v>
      </c>
      <c r="U84" s="10">
        <f>(90-N82)</f>
        <v>90</v>
      </c>
      <c r="V84" s="10"/>
      <c r="W84" s="6"/>
    </row>
    <row r="85" spans="2:23" ht="15" hidden="1" customHeight="1" outlineLevel="1" x14ac:dyDescent="0.2">
      <c r="B85" s="34"/>
      <c r="L85" s="4" t="s">
        <v>35</v>
      </c>
      <c r="M85" s="5"/>
      <c r="N85" s="5" t="str">
        <f>COMPLEX(((N6*COS(O6*PI()/180))),((N6*SIN(O6*PI()/180))))</f>
        <v>0</v>
      </c>
      <c r="O85" s="5"/>
      <c r="P85" s="5"/>
      <c r="Q85" s="5"/>
      <c r="R85" s="5"/>
      <c r="S85" s="5"/>
      <c r="T85" s="5"/>
      <c r="U85" s="5"/>
      <c r="V85" s="5"/>
      <c r="W85" s="6"/>
    </row>
    <row r="86" spans="2:23" ht="15" hidden="1" customHeight="1" outlineLevel="1" x14ac:dyDescent="0.2">
      <c r="B86" s="34"/>
      <c r="L86" s="4" t="s">
        <v>36</v>
      </c>
      <c r="M86" s="5"/>
      <c r="N86" s="5" t="str">
        <f>COMPLEX(((P6*COS(Q6*PI()/180))),((P6*SIN(Q6*PI()/180))))</f>
        <v>0</v>
      </c>
      <c r="O86" s="5"/>
      <c r="P86" s="5"/>
      <c r="Q86" s="5"/>
      <c r="R86" s="5"/>
      <c r="S86" s="5"/>
      <c r="T86" s="5"/>
      <c r="U86" s="5"/>
      <c r="V86" s="5"/>
      <c r="W86" s="6"/>
    </row>
    <row r="87" spans="2:23" ht="15" hidden="1" customHeight="1" outlineLevel="1" x14ac:dyDescent="0.2">
      <c r="B87" s="34"/>
      <c r="L87" s="7" t="s">
        <v>37</v>
      </c>
      <c r="M87" s="8"/>
      <c r="N87" s="8" t="str">
        <f>COMPLEX(((R6*COS(S6*PI()/180))),((R6*SIN(S6*PI()/180))))</f>
        <v>-5+8,66025403784438i</v>
      </c>
      <c r="O87" s="8"/>
      <c r="P87" s="8"/>
      <c r="Q87" s="8"/>
      <c r="R87" s="8"/>
      <c r="S87" s="8"/>
      <c r="T87" s="8"/>
      <c r="U87" s="8"/>
      <c r="V87" s="8"/>
      <c r="W87" s="9"/>
    </row>
    <row r="88" spans="2:23" ht="15" customHeight="1" collapsed="1" x14ac:dyDescent="0.2">
      <c r="B88" s="34">
        <v>3</v>
      </c>
    </row>
    <row r="89" spans="2:23" ht="15" hidden="1" customHeight="1" outlineLevel="1" x14ac:dyDescent="0.2">
      <c r="B89" s="34"/>
      <c r="L89" s="1"/>
      <c r="M89" s="2"/>
      <c r="N89" s="2"/>
      <c r="O89" s="15" t="s">
        <v>19</v>
      </c>
      <c r="P89" s="15" t="s">
        <v>29</v>
      </c>
      <c r="Q89" s="15" t="s">
        <v>30</v>
      </c>
      <c r="R89" s="15" t="s">
        <v>18</v>
      </c>
      <c r="S89" s="16" t="s">
        <v>31</v>
      </c>
      <c r="T89" s="15" t="s">
        <v>32</v>
      </c>
      <c r="U89" s="15" t="s">
        <v>22</v>
      </c>
      <c r="V89" s="16" t="s">
        <v>33</v>
      </c>
      <c r="W89" s="17" t="s">
        <v>23</v>
      </c>
    </row>
    <row r="90" spans="2:23" ht="15" hidden="1" customHeight="1" outlineLevel="1" x14ac:dyDescent="0.2">
      <c r="B90" s="34"/>
      <c r="L90" s="4" t="s">
        <v>9</v>
      </c>
      <c r="M90" s="5"/>
      <c r="N90" s="5">
        <f>IF(H7="Cos",I7,IF(H7="&lt;",COS(RADIANS(I7))))</f>
        <v>1</v>
      </c>
      <c r="O90" s="10">
        <f>F7/(C22*N90)</f>
        <v>4.3478260869565216E-2</v>
      </c>
      <c r="P90" s="10">
        <f>(F7/(B22*N90))</f>
        <v>2.5000000000000001E-2</v>
      </c>
      <c r="Q90" s="10">
        <f>(F7/(SQRT(3)*B22*N90))</f>
        <v>1.4433756729740645E-2</v>
      </c>
      <c r="R90" s="10">
        <f>(F7/C22)</f>
        <v>4.3478260869565216E-2</v>
      </c>
      <c r="S90" s="10">
        <f>(F7/(B22))</f>
        <v>2.5000000000000001E-2</v>
      </c>
      <c r="T90" s="10">
        <f>(F7/(SQRT(3)*B22))</f>
        <v>1.4433756729740645E-2</v>
      </c>
      <c r="U90" s="10" t="e">
        <f>F7/(C22*N91)</f>
        <v>#DIV/0!</v>
      </c>
      <c r="V90" s="10" t="e">
        <f>(F7/(B22*N91))</f>
        <v>#DIV/0!</v>
      </c>
      <c r="W90" s="18" t="e">
        <f>F7/(SQRT(3)*B22*N91)</f>
        <v>#DIV/0!</v>
      </c>
    </row>
    <row r="91" spans="2:23" ht="15" hidden="1" customHeight="1" outlineLevel="1" x14ac:dyDescent="0.2">
      <c r="B91" s="34"/>
      <c r="L91" s="4" t="s">
        <v>21</v>
      </c>
      <c r="M91" s="5"/>
      <c r="N91" s="5">
        <f>IF(H7="Cos",SIN(RADIANS(N92)),IF(H7="&lt;",SIN(RADIANS(I7))))</f>
        <v>0</v>
      </c>
      <c r="O91" s="5"/>
      <c r="P91" s="5"/>
      <c r="Q91" s="5"/>
      <c r="R91" s="5"/>
      <c r="S91" s="5"/>
      <c r="T91" s="5"/>
      <c r="U91" s="5"/>
      <c r="V91" s="5"/>
      <c r="W91" s="6"/>
    </row>
    <row r="92" spans="2:23" ht="15" hidden="1" customHeight="1" outlineLevel="1" x14ac:dyDescent="0.2">
      <c r="B92" s="34"/>
      <c r="L92" s="4" t="s">
        <v>20</v>
      </c>
      <c r="M92" s="5"/>
      <c r="N92" s="5">
        <f>(ACOS(N90)*180/PI())</f>
        <v>0</v>
      </c>
      <c r="O92" s="5"/>
      <c r="P92" s="5"/>
      <c r="Q92" s="5"/>
      <c r="R92" s="5"/>
      <c r="S92" s="5"/>
      <c r="T92" s="5"/>
      <c r="U92" s="5"/>
      <c r="V92" s="5"/>
      <c r="W92" s="6"/>
    </row>
    <row r="93" spans="2:23" ht="15" hidden="1" customHeight="1" outlineLevel="1" x14ac:dyDescent="0.2">
      <c r="B93" s="34"/>
      <c r="L93" s="11" t="s">
        <v>10</v>
      </c>
      <c r="M93" s="38"/>
      <c r="N93" s="5" t="s">
        <v>11</v>
      </c>
      <c r="O93" s="5" t="s">
        <v>12</v>
      </c>
      <c r="P93" s="12" t="s">
        <v>27</v>
      </c>
      <c r="Q93" s="5" t="s">
        <v>25</v>
      </c>
      <c r="R93" s="12" t="s">
        <v>27</v>
      </c>
      <c r="S93" s="5" t="s">
        <v>26</v>
      </c>
      <c r="T93" s="12" t="s">
        <v>28</v>
      </c>
      <c r="U93" s="5" t="s">
        <v>26</v>
      </c>
      <c r="V93" s="5"/>
      <c r="W93" s="6"/>
    </row>
    <row r="94" spans="2:23" ht="15" hidden="1" customHeight="1" outlineLevel="1" x14ac:dyDescent="0.2">
      <c r="B94" s="34"/>
      <c r="L94" s="19">
        <f>(0-N92)</f>
        <v>0</v>
      </c>
      <c r="M94" s="10"/>
      <c r="N94" s="10">
        <f>(-120-N92)</f>
        <v>-120</v>
      </c>
      <c r="O94" s="10">
        <f>(-240-N92)</f>
        <v>-240</v>
      </c>
      <c r="P94" s="10">
        <f>(30-N92)</f>
        <v>30</v>
      </c>
      <c r="Q94" s="10">
        <f>(-150-N92)</f>
        <v>-150</v>
      </c>
      <c r="R94" s="10">
        <f>(-30-N92)</f>
        <v>-30</v>
      </c>
      <c r="S94" s="10">
        <f>(150-N92)</f>
        <v>150</v>
      </c>
      <c r="T94" s="10">
        <f>(-90-N92)</f>
        <v>-90</v>
      </c>
      <c r="U94" s="10">
        <f>(90-N92)</f>
        <v>90</v>
      </c>
      <c r="V94" s="10"/>
      <c r="W94" s="6"/>
    </row>
    <row r="95" spans="2:23" ht="15" hidden="1" customHeight="1" outlineLevel="1" x14ac:dyDescent="0.2">
      <c r="B95" s="34"/>
      <c r="L95" s="4" t="s">
        <v>35</v>
      </c>
      <c r="M95" s="5"/>
      <c r="N95" s="5" t="str">
        <f>COMPLEX(((N7*COS(O7*PI()/180))),((N7*SIN(O7*PI()/180))))</f>
        <v>10</v>
      </c>
      <c r="O95" s="5"/>
      <c r="P95" s="5"/>
      <c r="Q95" s="5"/>
      <c r="R95" s="5"/>
      <c r="S95" s="5"/>
      <c r="T95" s="5"/>
      <c r="U95" s="5"/>
      <c r="V95" s="5"/>
      <c r="W95" s="6"/>
    </row>
    <row r="96" spans="2:23" ht="15" hidden="1" customHeight="1" outlineLevel="1" x14ac:dyDescent="0.2">
      <c r="B96" s="34"/>
      <c r="L96" s="4" t="s">
        <v>36</v>
      </c>
      <c r="M96" s="5"/>
      <c r="N96" s="5" t="str">
        <f>COMPLEX(((P7*COS(Q7*PI()/180))),((P7*SIN(Q7*PI()/180))))</f>
        <v>-5-8,66025403784439i</v>
      </c>
      <c r="O96" s="5"/>
      <c r="P96" s="5"/>
      <c r="Q96" s="5"/>
      <c r="R96" s="5"/>
      <c r="S96" s="5"/>
      <c r="T96" s="5"/>
      <c r="U96" s="5"/>
      <c r="V96" s="5"/>
      <c r="W96" s="6"/>
    </row>
    <row r="97" spans="2:23" ht="15" hidden="1" customHeight="1" outlineLevel="1" x14ac:dyDescent="0.2">
      <c r="B97" s="34"/>
      <c r="L97" s="7" t="s">
        <v>37</v>
      </c>
      <c r="M97" s="8"/>
      <c r="N97" s="8" t="str">
        <f>COMPLEX(((R7*COS(S7*PI()/180))),((R7*SIN(S7*PI()/180))))</f>
        <v>-5+8,66025403784438i</v>
      </c>
      <c r="O97" s="8"/>
      <c r="P97" s="8"/>
      <c r="Q97" s="8"/>
      <c r="R97" s="8"/>
      <c r="S97" s="8"/>
      <c r="T97" s="8"/>
      <c r="U97" s="8"/>
      <c r="V97" s="8"/>
      <c r="W97" s="9"/>
    </row>
    <row r="98" spans="2:23" ht="15" customHeight="1" collapsed="1" x14ac:dyDescent="0.2">
      <c r="B98" s="34">
        <v>4</v>
      </c>
    </row>
    <row r="99" spans="2:23" ht="15" hidden="1" customHeight="1" outlineLevel="1" x14ac:dyDescent="0.2">
      <c r="B99" s="34"/>
      <c r="L99" s="1"/>
      <c r="M99" s="2"/>
      <c r="N99" s="2"/>
      <c r="O99" s="15" t="s">
        <v>19</v>
      </c>
      <c r="P99" s="15" t="s">
        <v>29</v>
      </c>
      <c r="Q99" s="15" t="s">
        <v>30</v>
      </c>
      <c r="R99" s="15" t="s">
        <v>18</v>
      </c>
      <c r="S99" s="16" t="s">
        <v>31</v>
      </c>
      <c r="T99" s="15" t="s">
        <v>32</v>
      </c>
      <c r="U99" s="15" t="s">
        <v>22</v>
      </c>
      <c r="V99" s="16" t="s">
        <v>33</v>
      </c>
      <c r="W99" s="17" t="s">
        <v>23</v>
      </c>
    </row>
    <row r="100" spans="2:23" ht="15" hidden="1" customHeight="1" outlineLevel="1" x14ac:dyDescent="0.2">
      <c r="B100" s="34"/>
      <c r="L100" s="4" t="s">
        <v>9</v>
      </c>
      <c r="M100" s="5"/>
      <c r="N100" s="5">
        <f>IF(H8="Cos",I8,IF(H8="&lt;",COS(RADIANS(I8))))</f>
        <v>1</v>
      </c>
      <c r="O100" s="10">
        <f>F8/(C22*N100)</f>
        <v>4.3478260869565216E-2</v>
      </c>
      <c r="P100" s="10">
        <f>(F8/(B22*N100))</f>
        <v>2.5000000000000001E-2</v>
      </c>
      <c r="Q100" s="10">
        <f>(F8/(SQRT(3)*B22*N100))</f>
        <v>1.4433756729740645E-2</v>
      </c>
      <c r="R100" s="10">
        <f>(F8/C22)</f>
        <v>4.3478260869565216E-2</v>
      </c>
      <c r="S100" s="10">
        <f>(F8/(B22))</f>
        <v>2.5000000000000001E-2</v>
      </c>
      <c r="T100" s="10">
        <f>(F8/(SQRT(3)*B22))</f>
        <v>1.4433756729740645E-2</v>
      </c>
      <c r="U100" s="10" t="e">
        <f>F8/(C22*N101)</f>
        <v>#DIV/0!</v>
      </c>
      <c r="V100" s="10" t="e">
        <f>(F8/(B22*N101))</f>
        <v>#DIV/0!</v>
      </c>
      <c r="W100" s="18" t="e">
        <f>F8/(SQRT(3)*B22*N101)</f>
        <v>#DIV/0!</v>
      </c>
    </row>
    <row r="101" spans="2:23" ht="15" hidden="1" customHeight="1" outlineLevel="1" x14ac:dyDescent="0.2">
      <c r="B101" s="34"/>
      <c r="L101" s="4" t="s">
        <v>21</v>
      </c>
      <c r="M101" s="5"/>
      <c r="N101" s="5">
        <f>IF(H8="Cos",SIN(RADIANS(N102)),IF(H8="&lt;",SIN(RADIANS(I8))))</f>
        <v>0</v>
      </c>
      <c r="O101" s="5"/>
      <c r="P101" s="5"/>
      <c r="Q101" s="5"/>
      <c r="R101" s="5"/>
      <c r="S101" s="5"/>
      <c r="T101" s="5"/>
      <c r="U101" s="5"/>
      <c r="V101" s="5"/>
      <c r="W101" s="6"/>
    </row>
    <row r="102" spans="2:23" ht="15" hidden="1" customHeight="1" outlineLevel="1" x14ac:dyDescent="0.2">
      <c r="B102" s="34"/>
      <c r="L102" s="4" t="s">
        <v>20</v>
      </c>
      <c r="M102" s="5"/>
      <c r="N102" s="5">
        <f>(ACOS(N100)*180/PI())</f>
        <v>0</v>
      </c>
      <c r="O102" s="5"/>
      <c r="P102" s="5"/>
      <c r="Q102" s="5"/>
      <c r="R102" s="5"/>
      <c r="S102" s="5"/>
      <c r="T102" s="5"/>
      <c r="U102" s="5"/>
      <c r="V102" s="5"/>
      <c r="W102" s="6"/>
    </row>
    <row r="103" spans="2:23" ht="15" hidden="1" customHeight="1" outlineLevel="1" x14ac:dyDescent="0.2">
      <c r="B103" s="34"/>
      <c r="L103" s="11" t="s">
        <v>10</v>
      </c>
      <c r="M103" s="38"/>
      <c r="N103" s="5" t="s">
        <v>11</v>
      </c>
      <c r="O103" s="5" t="s">
        <v>12</v>
      </c>
      <c r="P103" s="12" t="s">
        <v>27</v>
      </c>
      <c r="Q103" s="5" t="s">
        <v>25</v>
      </c>
      <c r="R103" s="12" t="s">
        <v>27</v>
      </c>
      <c r="S103" s="5" t="s">
        <v>26</v>
      </c>
      <c r="T103" s="12" t="s">
        <v>28</v>
      </c>
      <c r="U103" s="5" t="s">
        <v>26</v>
      </c>
      <c r="V103" s="5"/>
      <c r="W103" s="6"/>
    </row>
    <row r="104" spans="2:23" ht="15" hidden="1" customHeight="1" outlineLevel="1" x14ac:dyDescent="0.2">
      <c r="B104" s="34"/>
      <c r="L104" s="19">
        <f>(0-N102)</f>
        <v>0</v>
      </c>
      <c r="M104" s="10"/>
      <c r="N104" s="10">
        <f>(-120-N102)</f>
        <v>-120</v>
      </c>
      <c r="O104" s="10">
        <f>(-240-N102)</f>
        <v>-240</v>
      </c>
      <c r="P104" s="10">
        <f>(30-N102)</f>
        <v>30</v>
      </c>
      <c r="Q104" s="10">
        <f>(-150-N102)</f>
        <v>-150</v>
      </c>
      <c r="R104" s="10">
        <f>(-30-N102)</f>
        <v>-30</v>
      </c>
      <c r="S104" s="10">
        <f>(150-N102)</f>
        <v>150</v>
      </c>
      <c r="T104" s="10">
        <f>(-90-N102)</f>
        <v>-90</v>
      </c>
      <c r="U104" s="10">
        <f>(90-N102)</f>
        <v>90</v>
      </c>
      <c r="V104" s="10"/>
      <c r="W104" s="6"/>
    </row>
    <row r="105" spans="2:23" ht="15" hidden="1" customHeight="1" outlineLevel="1" x14ac:dyDescent="0.2">
      <c r="B105" s="34"/>
      <c r="L105" s="4" t="s">
        <v>35</v>
      </c>
      <c r="M105" s="5"/>
      <c r="N105" s="5" t="str">
        <f>COMPLEX(((N8*COS(O8*PI()/180))),((N8*SIN(O8*PI()/180))))</f>
        <v>0</v>
      </c>
      <c r="O105" s="5"/>
      <c r="P105" s="5"/>
      <c r="Q105" s="5"/>
      <c r="R105" s="5"/>
      <c r="S105" s="5"/>
      <c r="T105" s="5"/>
      <c r="U105" s="5"/>
      <c r="V105" s="5"/>
      <c r="W105" s="6"/>
    </row>
    <row r="106" spans="2:23" ht="15" hidden="1" customHeight="1" outlineLevel="1" x14ac:dyDescent="0.2">
      <c r="B106" s="34"/>
      <c r="L106" s="4" t="s">
        <v>36</v>
      </c>
      <c r="M106" s="5"/>
      <c r="N106" s="5" t="str">
        <f>COMPLEX(((P8*COS(Q8*PI()/180))),((P8*SIN(Q8*PI()/180))))</f>
        <v>-5-8,66025403784439i</v>
      </c>
      <c r="O106" s="5"/>
      <c r="P106" s="5"/>
      <c r="Q106" s="5"/>
      <c r="R106" s="5"/>
      <c r="S106" s="5"/>
      <c r="T106" s="5"/>
      <c r="U106" s="5"/>
      <c r="V106" s="5"/>
      <c r="W106" s="6"/>
    </row>
    <row r="107" spans="2:23" ht="15" hidden="1" customHeight="1" outlineLevel="1" x14ac:dyDescent="0.2">
      <c r="B107" s="34"/>
      <c r="L107" s="7" t="s">
        <v>37</v>
      </c>
      <c r="M107" s="8"/>
      <c r="N107" s="8" t="str">
        <f>COMPLEX(((R8*COS(S8*PI()/180))),((R8*SIN(S8*PI()/180))))</f>
        <v>0</v>
      </c>
      <c r="O107" s="8"/>
      <c r="P107" s="8"/>
      <c r="Q107" s="8"/>
      <c r="R107" s="8"/>
      <c r="S107" s="8"/>
      <c r="T107" s="8"/>
      <c r="U107" s="8"/>
      <c r="V107" s="8"/>
      <c r="W107" s="9"/>
    </row>
    <row r="108" spans="2:23" ht="15" customHeight="1" collapsed="1" x14ac:dyDescent="0.2">
      <c r="B108" s="34">
        <v>5</v>
      </c>
    </row>
    <row r="109" spans="2:23" ht="15" hidden="1" customHeight="1" outlineLevel="1" x14ac:dyDescent="0.2">
      <c r="B109" s="34"/>
      <c r="L109" s="1"/>
      <c r="M109" s="2"/>
      <c r="N109" s="2"/>
      <c r="O109" s="15" t="s">
        <v>19</v>
      </c>
      <c r="P109" s="15" t="s">
        <v>29</v>
      </c>
      <c r="Q109" s="15" t="s">
        <v>30</v>
      </c>
      <c r="R109" s="15" t="s">
        <v>18</v>
      </c>
      <c r="S109" s="16" t="s">
        <v>31</v>
      </c>
      <c r="T109" s="15" t="s">
        <v>32</v>
      </c>
      <c r="U109" s="15" t="s">
        <v>22</v>
      </c>
      <c r="V109" s="16" t="s">
        <v>33</v>
      </c>
      <c r="W109" s="17" t="s">
        <v>23</v>
      </c>
    </row>
    <row r="110" spans="2:23" ht="15" hidden="1" customHeight="1" outlineLevel="1" x14ac:dyDescent="0.2">
      <c r="B110" s="34"/>
      <c r="L110" s="4" t="s">
        <v>9</v>
      </c>
      <c r="M110" s="5"/>
      <c r="N110" s="5">
        <f>IF(H9="Cos",I9,IF(H9="&lt;",COS(RADIANS(I9))))</f>
        <v>1</v>
      </c>
      <c r="O110" s="10">
        <f>F9/($C$22*N110)</f>
        <v>4.3478260869565216E-2</v>
      </c>
      <c r="P110" s="10">
        <f>(F9/($B$22*N110))</f>
        <v>2.5000000000000001E-2</v>
      </c>
      <c r="Q110" s="10">
        <f>(F9/(SQRT(3)*$B$22*N110))</f>
        <v>1.4433756729740645E-2</v>
      </c>
      <c r="R110" s="10">
        <f>(F9/$C$22)</f>
        <v>4.3478260869565216E-2</v>
      </c>
      <c r="S110" s="10">
        <f>(F9/($B$22))</f>
        <v>2.5000000000000001E-2</v>
      </c>
      <c r="T110" s="10">
        <f>(F9/(SQRT(3)*$B$22))</f>
        <v>1.4433756729740645E-2</v>
      </c>
      <c r="U110" s="10" t="e">
        <f>F9/($C$22*N111)</f>
        <v>#DIV/0!</v>
      </c>
      <c r="V110" s="10" t="e">
        <f>(F9/($B$22*N111))</f>
        <v>#DIV/0!</v>
      </c>
      <c r="W110" s="18" t="e">
        <f>F9/(SQRT(3)*$B$22*N111)</f>
        <v>#DIV/0!</v>
      </c>
    </row>
    <row r="111" spans="2:23" ht="15" hidden="1" customHeight="1" outlineLevel="1" x14ac:dyDescent="0.2">
      <c r="B111" s="34"/>
      <c r="L111" s="4" t="s">
        <v>21</v>
      </c>
      <c r="M111" s="5"/>
      <c r="N111" s="5">
        <f>IF(H9="Cos",SIN(RADIANS(N112)),IF(H9="&lt;",SIN(RADIANS(I9))))</f>
        <v>0</v>
      </c>
      <c r="O111" s="5"/>
      <c r="P111" s="5"/>
      <c r="Q111" s="5"/>
      <c r="R111" s="5"/>
      <c r="S111" s="5"/>
      <c r="T111" s="5"/>
      <c r="U111" s="5"/>
      <c r="V111" s="5"/>
      <c r="W111" s="6"/>
    </row>
    <row r="112" spans="2:23" ht="15" hidden="1" customHeight="1" outlineLevel="1" x14ac:dyDescent="0.2">
      <c r="B112" s="34"/>
      <c r="L112" s="4" t="s">
        <v>20</v>
      </c>
      <c r="M112" s="5"/>
      <c r="N112" s="5">
        <f>(ACOS(N110)*180/PI())</f>
        <v>0</v>
      </c>
      <c r="O112" s="5"/>
      <c r="P112" s="5"/>
      <c r="Q112" s="5"/>
      <c r="R112" s="5"/>
      <c r="S112" s="5"/>
      <c r="T112" s="5"/>
      <c r="U112" s="5"/>
      <c r="V112" s="5"/>
      <c r="W112" s="6"/>
    </row>
    <row r="113" spans="2:23" ht="15" hidden="1" customHeight="1" outlineLevel="1" x14ac:dyDescent="0.2">
      <c r="B113" s="34"/>
      <c r="L113" s="11" t="s">
        <v>10</v>
      </c>
      <c r="M113" s="38"/>
      <c r="N113" s="5" t="s">
        <v>11</v>
      </c>
      <c r="O113" s="5" t="s">
        <v>12</v>
      </c>
      <c r="P113" s="12" t="s">
        <v>27</v>
      </c>
      <c r="Q113" s="5" t="s">
        <v>25</v>
      </c>
      <c r="R113" s="12" t="s">
        <v>27</v>
      </c>
      <c r="S113" s="5" t="s">
        <v>26</v>
      </c>
      <c r="T113" s="12" t="s">
        <v>28</v>
      </c>
      <c r="U113" s="5" t="s">
        <v>26</v>
      </c>
      <c r="V113" s="5"/>
      <c r="W113" s="6"/>
    </row>
    <row r="114" spans="2:23" ht="15" hidden="1" customHeight="1" outlineLevel="1" x14ac:dyDescent="0.2">
      <c r="B114" s="34"/>
      <c r="L114" s="19">
        <f>(0-N112)</f>
        <v>0</v>
      </c>
      <c r="M114" s="10"/>
      <c r="N114" s="10">
        <f>(-120-N112)</f>
        <v>-120</v>
      </c>
      <c r="O114" s="10">
        <f>(-240-N112)</f>
        <v>-240</v>
      </c>
      <c r="P114" s="10">
        <f>(30-N112)</f>
        <v>30</v>
      </c>
      <c r="Q114" s="10">
        <f>(-150-N112)</f>
        <v>-150</v>
      </c>
      <c r="R114" s="10">
        <f>(-30-N112)</f>
        <v>-30</v>
      </c>
      <c r="S114" s="10">
        <f>(150-N112)</f>
        <v>150</v>
      </c>
      <c r="T114" s="10">
        <f>(-90-N112)</f>
        <v>-90</v>
      </c>
      <c r="U114" s="10">
        <f>(90-N112)</f>
        <v>90</v>
      </c>
      <c r="V114" s="10"/>
      <c r="W114" s="6"/>
    </row>
    <row r="115" spans="2:23" ht="15" hidden="1" customHeight="1" outlineLevel="1" x14ac:dyDescent="0.2">
      <c r="B115" s="34"/>
      <c r="L115" s="4" t="s">
        <v>35</v>
      </c>
      <c r="M115" s="5"/>
      <c r="N115" s="5" t="str">
        <f>COMPLEX(((N9*COS(O9*PI()/180))),((N9*SIN(O9*PI()/180))))</f>
        <v>0</v>
      </c>
      <c r="O115" s="5"/>
      <c r="P115" s="5"/>
      <c r="Q115" s="5"/>
      <c r="R115" s="5"/>
      <c r="S115" s="5"/>
      <c r="T115" s="5"/>
      <c r="U115" s="5"/>
      <c r="V115" s="5"/>
      <c r="W115" s="6"/>
    </row>
    <row r="116" spans="2:23" ht="15" hidden="1" customHeight="1" outlineLevel="1" x14ac:dyDescent="0.2">
      <c r="B116" s="34"/>
      <c r="L116" s="4" t="s">
        <v>36</v>
      </c>
      <c r="M116" s="5"/>
      <c r="N116" s="5" t="str">
        <f>COMPLEX(((P9*COS(Q9*PI()/180))),((P9*SIN(Q9*PI()/180))))</f>
        <v>0</v>
      </c>
      <c r="O116" s="5"/>
      <c r="P116" s="5"/>
      <c r="Q116" s="5"/>
      <c r="R116" s="5"/>
      <c r="S116" s="5"/>
      <c r="T116" s="5"/>
      <c r="U116" s="5"/>
      <c r="V116" s="5"/>
      <c r="W116" s="6"/>
    </row>
    <row r="117" spans="2:23" ht="15" hidden="1" customHeight="1" outlineLevel="1" x14ac:dyDescent="0.2">
      <c r="B117" s="34"/>
      <c r="L117" s="7" t="s">
        <v>37</v>
      </c>
      <c r="M117" s="8"/>
      <c r="N117" s="8" t="str">
        <f>COMPLEX(((R9*COS(S9*PI()/180))),((R9*SIN(S9*PI()/180))))</f>
        <v>-5+8,66025403784438i</v>
      </c>
      <c r="O117" s="8"/>
      <c r="P117" s="8"/>
      <c r="Q117" s="8"/>
      <c r="R117" s="8"/>
      <c r="S117" s="8"/>
      <c r="T117" s="8"/>
      <c r="U117" s="8"/>
      <c r="V117" s="8"/>
      <c r="W117" s="9"/>
    </row>
    <row r="118" spans="2:23" ht="15" customHeight="1" collapsed="1" x14ac:dyDescent="0.2">
      <c r="B118" s="34">
        <v>6</v>
      </c>
    </row>
    <row r="119" spans="2:23" ht="15" hidden="1" customHeight="1" outlineLevel="1" x14ac:dyDescent="0.2">
      <c r="L119" s="1"/>
      <c r="M119" s="2"/>
      <c r="N119" s="2"/>
      <c r="O119" s="15" t="s">
        <v>19</v>
      </c>
      <c r="P119" s="15" t="s">
        <v>29</v>
      </c>
      <c r="Q119" s="15" t="s">
        <v>30</v>
      </c>
      <c r="R119" s="15" t="s">
        <v>18</v>
      </c>
      <c r="S119" s="16" t="s">
        <v>31</v>
      </c>
      <c r="T119" s="15" t="s">
        <v>32</v>
      </c>
      <c r="U119" s="15" t="s">
        <v>22</v>
      </c>
      <c r="V119" s="16" t="s">
        <v>33</v>
      </c>
      <c r="W119" s="17" t="s">
        <v>23</v>
      </c>
    </row>
    <row r="120" spans="2:23" ht="15" hidden="1" customHeight="1" outlineLevel="1" x14ac:dyDescent="0.2">
      <c r="L120" s="4" t="s">
        <v>9</v>
      </c>
      <c r="M120" s="5"/>
      <c r="N120" s="5">
        <f>IF(H10="Cos",I10,IF(H10="&lt;",COS(RADIANS(I10))))</f>
        <v>1</v>
      </c>
      <c r="O120" s="10">
        <f>F10/($C$22*N120)</f>
        <v>6.9565217391304349E-2</v>
      </c>
      <c r="P120" s="10">
        <f>(F10/($B$22*N120))</f>
        <v>0.04</v>
      </c>
      <c r="Q120" s="10">
        <f>(F10/(SQRT(3)*$B$22*N120))</f>
        <v>2.3094010767585032E-2</v>
      </c>
      <c r="R120" s="10">
        <f>(F10/$C$22)</f>
        <v>6.9565217391304349E-2</v>
      </c>
      <c r="S120" s="10">
        <f>(F10/($B$22))</f>
        <v>0.04</v>
      </c>
      <c r="T120" s="10">
        <f>(F10/(SQRT(3)*$B$22))</f>
        <v>2.3094010767585032E-2</v>
      </c>
      <c r="U120" s="10" t="e">
        <f>F10/($C$22*N121)</f>
        <v>#DIV/0!</v>
      </c>
      <c r="V120" s="10" t="e">
        <f>(F10/($B$22*N121))</f>
        <v>#DIV/0!</v>
      </c>
      <c r="W120" s="18" t="e">
        <f>F10/(SQRT(3)*$B$22*N121)</f>
        <v>#DIV/0!</v>
      </c>
    </row>
    <row r="121" spans="2:23" ht="15" hidden="1" customHeight="1" outlineLevel="1" x14ac:dyDescent="0.2">
      <c r="L121" s="4" t="s">
        <v>21</v>
      </c>
      <c r="M121" s="5"/>
      <c r="N121" s="5">
        <f>IF(H10="Cos",SIN(RADIANS(N122)),IF(H10="&lt;",SIN(RADIANS(I10))))</f>
        <v>0</v>
      </c>
      <c r="O121" s="5"/>
      <c r="P121" s="5"/>
      <c r="Q121" s="5"/>
      <c r="R121" s="5"/>
      <c r="S121" s="5"/>
      <c r="T121" s="5"/>
      <c r="U121" s="5"/>
      <c r="V121" s="5"/>
      <c r="W121" s="6"/>
    </row>
    <row r="122" spans="2:23" ht="15" hidden="1" customHeight="1" outlineLevel="1" x14ac:dyDescent="0.2">
      <c r="L122" s="4" t="s">
        <v>20</v>
      </c>
      <c r="M122" s="5"/>
      <c r="N122" s="5">
        <f>(ACOS(N120)*180/PI())</f>
        <v>0</v>
      </c>
      <c r="O122" s="5"/>
      <c r="P122" s="5"/>
      <c r="Q122" s="5"/>
      <c r="R122" s="5"/>
      <c r="S122" s="5"/>
      <c r="T122" s="5"/>
      <c r="U122" s="5"/>
      <c r="V122" s="5"/>
      <c r="W122" s="6"/>
    </row>
    <row r="123" spans="2:23" ht="15" hidden="1" customHeight="1" outlineLevel="1" x14ac:dyDescent="0.2">
      <c r="L123" s="11" t="s">
        <v>10</v>
      </c>
      <c r="M123" s="38"/>
      <c r="N123" s="5" t="s">
        <v>11</v>
      </c>
      <c r="O123" s="5" t="s">
        <v>12</v>
      </c>
      <c r="P123" s="12" t="s">
        <v>27</v>
      </c>
      <c r="Q123" s="5" t="s">
        <v>25</v>
      </c>
      <c r="R123" s="12" t="s">
        <v>27</v>
      </c>
      <c r="S123" s="5" t="s">
        <v>26</v>
      </c>
      <c r="T123" s="12" t="s">
        <v>28</v>
      </c>
      <c r="U123" s="5" t="s">
        <v>26</v>
      </c>
      <c r="V123" s="5"/>
      <c r="W123" s="6"/>
    </row>
    <row r="124" spans="2:23" ht="15" hidden="1" customHeight="1" outlineLevel="1" x14ac:dyDescent="0.2">
      <c r="L124" s="19">
        <f>(0-N122)</f>
        <v>0</v>
      </c>
      <c r="M124" s="10"/>
      <c r="N124" s="10">
        <f>(-120-N122)</f>
        <v>-120</v>
      </c>
      <c r="O124" s="10">
        <f>(-240-N122)</f>
        <v>-240</v>
      </c>
      <c r="P124" s="10">
        <f>(30-N122)</f>
        <v>30</v>
      </c>
      <c r="Q124" s="10">
        <f>(-150-N122)</f>
        <v>-150</v>
      </c>
      <c r="R124" s="10">
        <f>(-30-N122)</f>
        <v>-30</v>
      </c>
      <c r="S124" s="10">
        <f>(150-N122)</f>
        <v>150</v>
      </c>
      <c r="T124" s="10">
        <f>(-90-N122)</f>
        <v>-90</v>
      </c>
      <c r="U124" s="10">
        <f>(90-N122)</f>
        <v>90</v>
      </c>
      <c r="V124" s="10"/>
      <c r="W124" s="6"/>
    </row>
    <row r="125" spans="2:23" ht="15" hidden="1" customHeight="1" outlineLevel="1" x14ac:dyDescent="0.2">
      <c r="L125" s="4" t="s">
        <v>35</v>
      </c>
      <c r="M125" s="5"/>
      <c r="N125" s="5" t="str">
        <f>COMPLEX(((N10*COS(O10*PI()/180))),((N10*SIN(O10*PI()/180))))</f>
        <v>16</v>
      </c>
      <c r="O125" s="5"/>
      <c r="P125" s="5"/>
      <c r="Q125" s="5"/>
      <c r="R125" s="5"/>
      <c r="S125" s="5"/>
      <c r="T125" s="5"/>
      <c r="U125" s="5"/>
      <c r="V125" s="5"/>
      <c r="W125" s="6"/>
    </row>
    <row r="126" spans="2:23" ht="15" hidden="1" customHeight="1" outlineLevel="1" x14ac:dyDescent="0.2">
      <c r="L126" s="4" t="s">
        <v>36</v>
      </c>
      <c r="M126" s="5"/>
      <c r="N126" s="5" t="str">
        <f>COMPLEX(((P10*COS(Q10*PI()/180))),((P10*SIN(Q10*PI()/180))))</f>
        <v>-8-13,856406460551i</v>
      </c>
      <c r="O126" s="5"/>
      <c r="P126" s="5"/>
      <c r="Q126" s="5"/>
      <c r="R126" s="5"/>
      <c r="S126" s="5"/>
      <c r="T126" s="5"/>
      <c r="U126" s="5"/>
      <c r="V126" s="5"/>
      <c r="W126" s="6"/>
    </row>
    <row r="127" spans="2:23" ht="15" hidden="1" customHeight="1" outlineLevel="1" x14ac:dyDescent="0.2">
      <c r="L127" s="7" t="s">
        <v>37</v>
      </c>
      <c r="M127" s="8"/>
      <c r="N127" s="8" t="str">
        <f>COMPLEX(((R10*COS(S10*PI()/180))),((R10*SIN(S10*PI()/180))))</f>
        <v>-8,00000000000001+13,856406460551i</v>
      </c>
      <c r="O127" s="8"/>
      <c r="P127" s="8"/>
      <c r="Q127" s="8"/>
      <c r="R127" s="8"/>
      <c r="S127" s="8"/>
      <c r="T127" s="8"/>
      <c r="U127" s="8"/>
      <c r="V127" s="8"/>
      <c r="W127" s="9"/>
    </row>
    <row r="128" spans="2:23" ht="15" customHeight="1" collapsed="1" x14ac:dyDescent="0.2">
      <c r="B128" s="34">
        <v>7</v>
      </c>
    </row>
    <row r="129" spans="2:23" ht="15" hidden="1" customHeight="1" outlineLevel="1" x14ac:dyDescent="0.2">
      <c r="B129" s="34"/>
      <c r="L129" s="1"/>
      <c r="M129" s="2"/>
      <c r="N129" s="2"/>
      <c r="O129" s="15" t="s">
        <v>19</v>
      </c>
      <c r="P129" s="15" t="s">
        <v>29</v>
      </c>
      <c r="Q129" s="15" t="s">
        <v>30</v>
      </c>
      <c r="R129" s="15" t="s">
        <v>18</v>
      </c>
      <c r="S129" s="16" t="s">
        <v>31</v>
      </c>
      <c r="T129" s="15" t="s">
        <v>32</v>
      </c>
      <c r="U129" s="15" t="s">
        <v>22</v>
      </c>
      <c r="V129" s="16" t="s">
        <v>33</v>
      </c>
      <c r="W129" s="17" t="s">
        <v>23</v>
      </c>
    </row>
    <row r="130" spans="2:23" ht="15" hidden="1" customHeight="1" outlineLevel="1" x14ac:dyDescent="0.2">
      <c r="B130" s="34"/>
      <c r="L130" s="4" t="s">
        <v>9</v>
      </c>
      <c r="M130" s="5"/>
      <c r="N130" s="5">
        <f>IF(H11="Cos",I11,IF(H11="&lt;",COS(RADIANS(I11))))</f>
        <v>1</v>
      </c>
      <c r="O130" s="10">
        <f>F11/($C$22*N130)</f>
        <v>0</v>
      </c>
      <c r="P130" s="10">
        <f>(F11/($B$22*N130))</f>
        <v>0</v>
      </c>
      <c r="Q130" s="10">
        <f>(F11/(SQRT(3)*$B$22*N130))</f>
        <v>0</v>
      </c>
      <c r="R130" s="10">
        <f>(F11/$C$22)</f>
        <v>0</v>
      </c>
      <c r="S130" s="10">
        <f>(F11/($B$22))</f>
        <v>0</v>
      </c>
      <c r="T130" s="10">
        <f>(F11/(SQRT(3)*$B$22))</f>
        <v>0</v>
      </c>
      <c r="U130" s="10" t="e">
        <f>F11/($C$22*N131)</f>
        <v>#DIV/0!</v>
      </c>
      <c r="V130" s="10" t="e">
        <f>(F11/($B$22*N131))</f>
        <v>#DIV/0!</v>
      </c>
      <c r="W130" s="18" t="e">
        <f>F11/(SQRT(3)*$B$22*N131)</f>
        <v>#DIV/0!</v>
      </c>
    </row>
    <row r="131" spans="2:23" ht="15" hidden="1" customHeight="1" outlineLevel="1" x14ac:dyDescent="0.2">
      <c r="B131" s="34"/>
      <c r="L131" s="4" t="s">
        <v>21</v>
      </c>
      <c r="M131" s="5"/>
      <c r="N131" s="5">
        <f>IF(H11="Cos",SIN(RADIANS(N132)),IF(H11="&lt;",SIN(RADIANS(I11))))</f>
        <v>0</v>
      </c>
      <c r="O131" s="5"/>
      <c r="P131" s="5"/>
      <c r="Q131" s="5"/>
      <c r="R131" s="5"/>
      <c r="S131" s="5"/>
      <c r="T131" s="5"/>
      <c r="U131" s="5"/>
      <c r="V131" s="5"/>
      <c r="W131" s="6"/>
    </row>
    <row r="132" spans="2:23" ht="15" hidden="1" customHeight="1" outlineLevel="1" x14ac:dyDescent="0.2">
      <c r="B132" s="34"/>
      <c r="L132" s="4" t="s">
        <v>20</v>
      </c>
      <c r="M132" s="5"/>
      <c r="N132" s="5">
        <f>(ACOS(N130)*180/PI())</f>
        <v>0</v>
      </c>
      <c r="O132" s="5"/>
      <c r="P132" s="5"/>
      <c r="Q132" s="5"/>
      <c r="R132" s="5"/>
      <c r="S132" s="5"/>
      <c r="T132" s="5"/>
      <c r="U132" s="5"/>
      <c r="V132" s="5"/>
      <c r="W132" s="6"/>
    </row>
    <row r="133" spans="2:23" ht="15" hidden="1" customHeight="1" outlineLevel="1" x14ac:dyDescent="0.2">
      <c r="B133" s="34"/>
      <c r="L133" s="11" t="s">
        <v>10</v>
      </c>
      <c r="M133" s="38"/>
      <c r="N133" s="5" t="s">
        <v>11</v>
      </c>
      <c r="O133" s="5" t="s">
        <v>12</v>
      </c>
      <c r="P133" s="12" t="s">
        <v>27</v>
      </c>
      <c r="Q133" s="5" t="s">
        <v>25</v>
      </c>
      <c r="R133" s="12" t="s">
        <v>27</v>
      </c>
      <c r="S133" s="5" t="s">
        <v>26</v>
      </c>
      <c r="T133" s="12" t="s">
        <v>28</v>
      </c>
      <c r="U133" s="5" t="s">
        <v>26</v>
      </c>
      <c r="V133" s="5"/>
      <c r="W133" s="6"/>
    </row>
    <row r="134" spans="2:23" ht="15" hidden="1" customHeight="1" outlineLevel="1" x14ac:dyDescent="0.2">
      <c r="B134" s="34"/>
      <c r="L134" s="19">
        <f>(0-N132)</f>
        <v>0</v>
      </c>
      <c r="M134" s="10"/>
      <c r="N134" s="10">
        <f>(-120-N132)</f>
        <v>-120</v>
      </c>
      <c r="O134" s="10">
        <f>(-240-N132)</f>
        <v>-240</v>
      </c>
      <c r="P134" s="10">
        <f>(30-N132)</f>
        <v>30</v>
      </c>
      <c r="Q134" s="10">
        <f>(-150-N132)</f>
        <v>-150</v>
      </c>
      <c r="R134" s="10">
        <f>(-30-N132)</f>
        <v>-30</v>
      </c>
      <c r="S134" s="10">
        <f>(150-N132)</f>
        <v>150</v>
      </c>
      <c r="T134" s="10">
        <f>(-90-N132)</f>
        <v>-90</v>
      </c>
      <c r="U134" s="10">
        <f>(90-N132)</f>
        <v>90</v>
      </c>
      <c r="V134" s="10"/>
      <c r="W134" s="6"/>
    </row>
    <row r="135" spans="2:23" ht="15" hidden="1" customHeight="1" outlineLevel="1" x14ac:dyDescent="0.2">
      <c r="B135" s="34"/>
      <c r="L135" s="4" t="s">
        <v>35</v>
      </c>
      <c r="M135" s="5"/>
      <c r="N135" s="5" t="str">
        <f>COMPLEX(((N11*COS(O11*PI()/180))),((N11*SIN(O11*PI()/180))))</f>
        <v>0</v>
      </c>
      <c r="O135" s="5"/>
      <c r="P135" s="5"/>
      <c r="Q135" s="5"/>
      <c r="R135" s="5"/>
      <c r="S135" s="5"/>
      <c r="T135" s="5"/>
      <c r="U135" s="5"/>
      <c r="V135" s="5"/>
      <c r="W135" s="6"/>
    </row>
    <row r="136" spans="2:23" ht="15" hidden="1" customHeight="1" outlineLevel="1" x14ac:dyDescent="0.2">
      <c r="B136" s="34"/>
      <c r="L136" s="4" t="s">
        <v>36</v>
      </c>
      <c r="M136" s="5"/>
      <c r="N136" s="5" t="str">
        <f>COMPLEX(((P11*COS(Q11*PI()/180))),((P11*SIN(Q11*PI()/180))))</f>
        <v>0</v>
      </c>
      <c r="O136" s="5"/>
      <c r="P136" s="5"/>
      <c r="Q136" s="5"/>
      <c r="R136" s="5"/>
      <c r="S136" s="5"/>
      <c r="T136" s="5"/>
      <c r="U136" s="5"/>
      <c r="V136" s="5"/>
      <c r="W136" s="6"/>
    </row>
    <row r="137" spans="2:23" ht="15" hidden="1" customHeight="1" outlineLevel="1" x14ac:dyDescent="0.2">
      <c r="B137" s="34"/>
      <c r="L137" s="7" t="s">
        <v>37</v>
      </c>
      <c r="M137" s="8"/>
      <c r="N137" s="8" t="str">
        <f>COMPLEX(((R11*COS(S11*PI()/180))),((R11*SIN(S11*PI()/180))))</f>
        <v>0</v>
      </c>
      <c r="O137" s="8"/>
      <c r="P137" s="8"/>
      <c r="Q137" s="8"/>
      <c r="R137" s="8"/>
      <c r="S137" s="8"/>
      <c r="T137" s="8"/>
      <c r="U137" s="8"/>
      <c r="V137" s="8"/>
      <c r="W137" s="9"/>
    </row>
    <row r="138" spans="2:23" ht="15" customHeight="1" collapsed="1" x14ac:dyDescent="0.2">
      <c r="B138" s="34">
        <v>8</v>
      </c>
    </row>
    <row r="139" spans="2:23" ht="15" hidden="1" customHeight="1" outlineLevel="1" x14ac:dyDescent="0.2">
      <c r="B139" s="34"/>
      <c r="L139" s="1"/>
      <c r="M139" s="2"/>
      <c r="N139" s="2"/>
      <c r="O139" s="15" t="s">
        <v>19</v>
      </c>
      <c r="P139" s="15" t="s">
        <v>29</v>
      </c>
      <c r="Q139" s="15" t="s">
        <v>30</v>
      </c>
      <c r="R139" s="15" t="s">
        <v>18</v>
      </c>
      <c r="S139" s="16" t="s">
        <v>31</v>
      </c>
      <c r="T139" s="15" t="s">
        <v>32</v>
      </c>
      <c r="U139" s="15" t="s">
        <v>22</v>
      </c>
      <c r="V139" s="16" t="s">
        <v>33</v>
      </c>
      <c r="W139" s="17" t="s">
        <v>23</v>
      </c>
    </row>
    <row r="140" spans="2:23" ht="15" hidden="1" customHeight="1" outlineLevel="1" x14ac:dyDescent="0.2">
      <c r="B140" s="34"/>
      <c r="L140" s="4" t="s">
        <v>9</v>
      </c>
      <c r="M140" s="5"/>
      <c r="N140" s="5">
        <f>IF(H12="Cos",I12,IF(H12="&lt;",COS(RADIANS(I12))))</f>
        <v>1</v>
      </c>
      <c r="O140" s="10">
        <f>F12/($C$22*N140)</f>
        <v>0</v>
      </c>
      <c r="P140" s="10">
        <f>(F12/($B$22*N140))</f>
        <v>0</v>
      </c>
      <c r="Q140" s="10">
        <f>(F12/(SQRT(3)*$B$22*N140))</f>
        <v>0</v>
      </c>
      <c r="R140" s="10">
        <f>(F12/$C$22)</f>
        <v>0</v>
      </c>
      <c r="S140" s="10">
        <f>(F12/($B$22))</f>
        <v>0</v>
      </c>
      <c r="T140" s="10">
        <f>(F12/(SQRT(3)*$B$22))</f>
        <v>0</v>
      </c>
      <c r="U140" s="10" t="e">
        <f>F12/($C$22*N141)</f>
        <v>#DIV/0!</v>
      </c>
      <c r="V140" s="10" t="e">
        <f>(F12/($B$22*N141))</f>
        <v>#DIV/0!</v>
      </c>
      <c r="W140" s="18" t="e">
        <f>F12/(SQRT(3)*$B$22*N141)</f>
        <v>#DIV/0!</v>
      </c>
    </row>
    <row r="141" spans="2:23" ht="15" hidden="1" customHeight="1" outlineLevel="1" x14ac:dyDescent="0.2">
      <c r="B141" s="34"/>
      <c r="L141" s="4" t="s">
        <v>21</v>
      </c>
      <c r="M141" s="5"/>
      <c r="N141" s="5">
        <f>IF(H12="Cos",SIN(RADIANS(N142)),IF(H12="&lt;",SIN(RADIANS(I12))))</f>
        <v>0</v>
      </c>
      <c r="O141" s="5"/>
      <c r="P141" s="5"/>
      <c r="Q141" s="5"/>
      <c r="R141" s="5"/>
      <c r="S141" s="5"/>
      <c r="T141" s="5"/>
      <c r="U141" s="5"/>
      <c r="V141" s="5"/>
      <c r="W141" s="6"/>
    </row>
    <row r="142" spans="2:23" ht="15" hidden="1" customHeight="1" outlineLevel="1" x14ac:dyDescent="0.2">
      <c r="B142" s="34"/>
      <c r="L142" s="4" t="s">
        <v>20</v>
      </c>
      <c r="M142" s="5"/>
      <c r="N142" s="5">
        <f>(ACOS(N140)*180/PI())</f>
        <v>0</v>
      </c>
      <c r="O142" s="5"/>
      <c r="P142" s="5"/>
      <c r="Q142" s="5"/>
      <c r="R142" s="5"/>
      <c r="S142" s="5"/>
      <c r="T142" s="5"/>
      <c r="U142" s="5"/>
      <c r="V142" s="5"/>
      <c r="W142" s="6"/>
    </row>
    <row r="143" spans="2:23" ht="15" hidden="1" customHeight="1" outlineLevel="1" x14ac:dyDescent="0.2">
      <c r="B143" s="34"/>
      <c r="L143" s="11" t="s">
        <v>10</v>
      </c>
      <c r="M143" s="38"/>
      <c r="N143" s="5" t="s">
        <v>11</v>
      </c>
      <c r="O143" s="5" t="s">
        <v>12</v>
      </c>
      <c r="P143" s="12" t="s">
        <v>27</v>
      </c>
      <c r="Q143" s="5" t="s">
        <v>25</v>
      </c>
      <c r="R143" s="12" t="s">
        <v>27</v>
      </c>
      <c r="S143" s="5" t="s">
        <v>26</v>
      </c>
      <c r="T143" s="12" t="s">
        <v>28</v>
      </c>
      <c r="U143" s="5" t="s">
        <v>26</v>
      </c>
      <c r="V143" s="5"/>
      <c r="W143" s="6"/>
    </row>
    <row r="144" spans="2:23" ht="15" hidden="1" customHeight="1" outlineLevel="1" x14ac:dyDescent="0.2">
      <c r="B144" s="34"/>
      <c r="L144" s="19">
        <f>(0-N142)</f>
        <v>0</v>
      </c>
      <c r="M144" s="10"/>
      <c r="N144" s="10">
        <f>(-120-N142)</f>
        <v>-120</v>
      </c>
      <c r="O144" s="10">
        <f>(-240-N142)</f>
        <v>-240</v>
      </c>
      <c r="P144" s="10">
        <f>(30-N142)</f>
        <v>30</v>
      </c>
      <c r="Q144" s="10">
        <f>(-150-N142)</f>
        <v>-150</v>
      </c>
      <c r="R144" s="10">
        <f>(-30-N142)</f>
        <v>-30</v>
      </c>
      <c r="S144" s="10">
        <f>(150-N142)</f>
        <v>150</v>
      </c>
      <c r="T144" s="10">
        <f>(-90-N142)</f>
        <v>-90</v>
      </c>
      <c r="U144" s="10">
        <f>(90-N142)</f>
        <v>90</v>
      </c>
      <c r="V144" s="10"/>
      <c r="W144" s="6"/>
    </row>
    <row r="145" spans="2:23" ht="15" hidden="1" customHeight="1" outlineLevel="1" x14ac:dyDescent="0.2">
      <c r="B145" s="34"/>
      <c r="L145" s="4" t="s">
        <v>35</v>
      </c>
      <c r="M145" s="5"/>
      <c r="N145" s="5" t="str">
        <f>COMPLEX(((N12*COS(O12*PI()/180))),((N12*SIN(O12*PI()/180))))</f>
        <v>0</v>
      </c>
      <c r="O145" s="5"/>
      <c r="P145" s="5"/>
      <c r="Q145" s="5"/>
      <c r="R145" s="5"/>
      <c r="S145" s="5"/>
      <c r="T145" s="5"/>
      <c r="U145" s="5"/>
      <c r="V145" s="5"/>
      <c r="W145" s="6"/>
    </row>
    <row r="146" spans="2:23" ht="15" hidden="1" customHeight="1" outlineLevel="1" x14ac:dyDescent="0.2">
      <c r="B146" s="34"/>
      <c r="L146" s="4" t="s">
        <v>36</v>
      </c>
      <c r="M146" s="5"/>
      <c r="N146" s="5" t="str">
        <f>COMPLEX(((P12*COS(Q12*PI()/180))),((P12*SIN(Q12*PI()/180))))</f>
        <v>0</v>
      </c>
      <c r="O146" s="5"/>
      <c r="P146" s="5"/>
      <c r="Q146" s="5"/>
      <c r="R146" s="5"/>
      <c r="S146" s="5"/>
      <c r="T146" s="5"/>
      <c r="U146" s="5"/>
      <c r="V146" s="5"/>
      <c r="W146" s="6"/>
    </row>
    <row r="147" spans="2:23" ht="15" hidden="1" customHeight="1" outlineLevel="1" x14ac:dyDescent="0.2">
      <c r="B147" s="34"/>
      <c r="L147" s="7" t="s">
        <v>37</v>
      </c>
      <c r="M147" s="8"/>
      <c r="N147" s="8" t="str">
        <f>COMPLEX(((R12*COS(S12*PI()/180))),((R12*SIN(S12*PI()/180))))</f>
        <v>0</v>
      </c>
      <c r="O147" s="8"/>
      <c r="P147" s="8"/>
      <c r="Q147" s="8"/>
      <c r="R147" s="8"/>
      <c r="S147" s="8"/>
      <c r="T147" s="8"/>
      <c r="U147" s="8"/>
      <c r="V147" s="8"/>
      <c r="W147" s="9"/>
    </row>
    <row r="148" spans="2:23" ht="15" customHeight="1" collapsed="1" x14ac:dyDescent="0.2">
      <c r="B148" s="34">
        <v>9</v>
      </c>
    </row>
    <row r="149" spans="2:23" ht="15" hidden="1" customHeight="1" outlineLevel="1" x14ac:dyDescent="0.2">
      <c r="B149" s="34"/>
      <c r="L149" s="1"/>
      <c r="M149" s="2"/>
      <c r="N149" s="2"/>
      <c r="O149" s="15" t="s">
        <v>19</v>
      </c>
      <c r="P149" s="15" t="s">
        <v>29</v>
      </c>
      <c r="Q149" s="15" t="s">
        <v>30</v>
      </c>
      <c r="R149" s="15" t="s">
        <v>18</v>
      </c>
      <c r="S149" s="16" t="s">
        <v>31</v>
      </c>
      <c r="T149" s="15" t="s">
        <v>32</v>
      </c>
      <c r="U149" s="15" t="s">
        <v>22</v>
      </c>
      <c r="V149" s="16" t="s">
        <v>33</v>
      </c>
      <c r="W149" s="17" t="s">
        <v>23</v>
      </c>
    </row>
    <row r="150" spans="2:23" ht="15" hidden="1" customHeight="1" outlineLevel="1" x14ac:dyDescent="0.2">
      <c r="B150" s="34"/>
      <c r="L150" s="4" t="s">
        <v>9</v>
      </c>
      <c r="M150" s="5"/>
      <c r="N150" s="5">
        <f>IF(H13="Cos",I13,IF(H13="&lt;",COS(RADIANS(I13))))</f>
        <v>1</v>
      </c>
      <c r="O150" s="10">
        <f>F13/($C$22*N150)</f>
        <v>0</v>
      </c>
      <c r="P150" s="10">
        <f>(F13/($B$22*N150))</f>
        <v>0</v>
      </c>
      <c r="Q150" s="10">
        <f>(F13/(SQRT(3)*$B$22*N150))</f>
        <v>0</v>
      </c>
      <c r="R150" s="10">
        <f>(F13/$C$22)</f>
        <v>0</v>
      </c>
      <c r="S150" s="10">
        <f>(F13/($B$22))</f>
        <v>0</v>
      </c>
      <c r="T150" s="10">
        <f>(F13/(SQRT(3)*$B$22))</f>
        <v>0</v>
      </c>
      <c r="U150" s="10" t="e">
        <f>F13/($C$22*N151)</f>
        <v>#DIV/0!</v>
      </c>
      <c r="V150" s="10" t="e">
        <f>(F13/($B$22*N151))</f>
        <v>#DIV/0!</v>
      </c>
      <c r="W150" s="18" t="e">
        <f>F13/(SQRT(3)*$B$22*N151)</f>
        <v>#DIV/0!</v>
      </c>
    </row>
    <row r="151" spans="2:23" ht="15" hidden="1" customHeight="1" outlineLevel="1" x14ac:dyDescent="0.2">
      <c r="B151" s="34"/>
      <c r="L151" s="4" t="s">
        <v>21</v>
      </c>
      <c r="M151" s="5"/>
      <c r="N151" s="5">
        <f>IF(H13="Cos",SIN(RADIANS(N152)),IF(H13="&lt;",SIN(RADIANS(I13))))</f>
        <v>0</v>
      </c>
      <c r="O151" s="5"/>
      <c r="P151" s="5"/>
      <c r="Q151" s="5"/>
      <c r="R151" s="5"/>
      <c r="S151" s="5"/>
      <c r="T151" s="5"/>
      <c r="U151" s="5"/>
      <c r="V151" s="5"/>
      <c r="W151" s="6"/>
    </row>
    <row r="152" spans="2:23" ht="15" hidden="1" customHeight="1" outlineLevel="1" x14ac:dyDescent="0.2">
      <c r="B152" s="34"/>
      <c r="L152" s="4" t="s">
        <v>20</v>
      </c>
      <c r="M152" s="5"/>
      <c r="N152" s="5">
        <f>(ACOS(N150)*180/PI())</f>
        <v>0</v>
      </c>
      <c r="O152" s="5"/>
      <c r="P152" s="5"/>
      <c r="Q152" s="5"/>
      <c r="R152" s="5"/>
      <c r="S152" s="5"/>
      <c r="T152" s="5"/>
      <c r="U152" s="5"/>
      <c r="V152" s="5"/>
      <c r="W152" s="6"/>
    </row>
    <row r="153" spans="2:23" ht="15" hidden="1" customHeight="1" outlineLevel="1" x14ac:dyDescent="0.2">
      <c r="B153" s="34"/>
      <c r="L153" s="11" t="s">
        <v>10</v>
      </c>
      <c r="M153" s="38"/>
      <c r="N153" s="5" t="s">
        <v>11</v>
      </c>
      <c r="O153" s="5" t="s">
        <v>12</v>
      </c>
      <c r="P153" s="12" t="s">
        <v>27</v>
      </c>
      <c r="Q153" s="5" t="s">
        <v>25</v>
      </c>
      <c r="R153" s="12" t="s">
        <v>27</v>
      </c>
      <c r="S153" s="5" t="s">
        <v>26</v>
      </c>
      <c r="T153" s="12" t="s">
        <v>28</v>
      </c>
      <c r="U153" s="5" t="s">
        <v>26</v>
      </c>
      <c r="V153" s="5"/>
      <c r="W153" s="6"/>
    </row>
    <row r="154" spans="2:23" ht="15" hidden="1" customHeight="1" outlineLevel="1" x14ac:dyDescent="0.2">
      <c r="B154" s="34"/>
      <c r="L154" s="19">
        <f>(0-N152)</f>
        <v>0</v>
      </c>
      <c r="M154" s="10"/>
      <c r="N154" s="10">
        <f>(-120-N152)</f>
        <v>-120</v>
      </c>
      <c r="O154" s="10">
        <f>(-240-N152)</f>
        <v>-240</v>
      </c>
      <c r="P154" s="10">
        <f>(30-N152)</f>
        <v>30</v>
      </c>
      <c r="Q154" s="10">
        <f>(-150-N152)</f>
        <v>-150</v>
      </c>
      <c r="R154" s="10">
        <f>(-30-N152)</f>
        <v>-30</v>
      </c>
      <c r="S154" s="10">
        <f>(150-N152)</f>
        <v>150</v>
      </c>
      <c r="T154" s="10">
        <f>(-90-N152)</f>
        <v>-90</v>
      </c>
      <c r="U154" s="10">
        <f>(90-N152)</f>
        <v>90</v>
      </c>
      <c r="V154" s="10"/>
      <c r="W154" s="6"/>
    </row>
    <row r="155" spans="2:23" ht="15" hidden="1" customHeight="1" outlineLevel="1" x14ac:dyDescent="0.2">
      <c r="B155" s="34"/>
      <c r="L155" s="4" t="s">
        <v>35</v>
      </c>
      <c r="M155" s="5"/>
      <c r="N155" s="5" t="str">
        <f>COMPLEX(((N13*COS(O13*PI()/180))),((N13*SIN(O13*PI()/180))))</f>
        <v>0</v>
      </c>
      <c r="O155" s="5"/>
      <c r="P155" s="5"/>
      <c r="Q155" s="5"/>
      <c r="R155" s="5"/>
      <c r="S155" s="5"/>
      <c r="T155" s="5"/>
      <c r="U155" s="5"/>
      <c r="V155" s="5"/>
      <c r="W155" s="6"/>
    </row>
    <row r="156" spans="2:23" ht="15" hidden="1" customHeight="1" outlineLevel="1" x14ac:dyDescent="0.2">
      <c r="B156" s="34"/>
      <c r="L156" s="4" t="s">
        <v>36</v>
      </c>
      <c r="M156" s="5"/>
      <c r="N156" s="5" t="str">
        <f>COMPLEX(((P13*COS(Q13*PI()/180))),((P13*SIN(Q13*PI()/180))))</f>
        <v>0</v>
      </c>
      <c r="O156" s="5"/>
      <c r="P156" s="5"/>
      <c r="Q156" s="5"/>
      <c r="R156" s="5"/>
      <c r="S156" s="5"/>
      <c r="T156" s="5"/>
      <c r="U156" s="5"/>
      <c r="V156" s="5"/>
      <c r="W156" s="6"/>
    </row>
    <row r="157" spans="2:23" ht="15" hidden="1" customHeight="1" outlineLevel="1" x14ac:dyDescent="0.2">
      <c r="B157" s="34"/>
      <c r="L157" s="7" t="s">
        <v>37</v>
      </c>
      <c r="M157" s="8"/>
      <c r="N157" s="8" t="str">
        <f>COMPLEX(((R13*COS(S13*PI()/180))),((R13*SIN(S13*PI()/180))))</f>
        <v>0</v>
      </c>
      <c r="O157" s="8"/>
      <c r="P157" s="8"/>
      <c r="Q157" s="8"/>
      <c r="R157" s="8"/>
      <c r="S157" s="8"/>
      <c r="T157" s="8"/>
      <c r="U157" s="8"/>
      <c r="V157" s="8"/>
      <c r="W157" s="9"/>
    </row>
    <row r="158" spans="2:23" ht="15" customHeight="1" collapsed="1" x14ac:dyDescent="0.2">
      <c r="B158" s="34">
        <v>10</v>
      </c>
    </row>
    <row r="159" spans="2:23" ht="15" hidden="1" customHeight="1" outlineLevel="1" x14ac:dyDescent="0.2">
      <c r="B159" s="34"/>
      <c r="L159" s="1"/>
      <c r="M159" s="2"/>
      <c r="N159" s="2"/>
      <c r="O159" s="15" t="s">
        <v>19</v>
      </c>
      <c r="P159" s="15" t="s">
        <v>29</v>
      </c>
      <c r="Q159" s="15" t="s">
        <v>30</v>
      </c>
      <c r="R159" s="15" t="s">
        <v>18</v>
      </c>
      <c r="S159" s="16" t="s">
        <v>31</v>
      </c>
      <c r="T159" s="15" t="s">
        <v>32</v>
      </c>
      <c r="U159" s="15" t="s">
        <v>22</v>
      </c>
      <c r="V159" s="16" t="s">
        <v>33</v>
      </c>
      <c r="W159" s="17" t="s">
        <v>23</v>
      </c>
    </row>
    <row r="160" spans="2:23" ht="15" hidden="1" customHeight="1" outlineLevel="1" x14ac:dyDescent="0.2">
      <c r="B160" s="34"/>
      <c r="L160" s="4" t="s">
        <v>9</v>
      </c>
      <c r="M160" s="5"/>
      <c r="N160" s="5">
        <f>IF(H14="Cos",I14,IF(H14="&lt;",COS(RADIANS(I14))))</f>
        <v>1</v>
      </c>
      <c r="O160" s="10">
        <f>F14/($C$22*N160)</f>
        <v>0</v>
      </c>
      <c r="P160" s="10">
        <f>(F14/($B$22*N160))</f>
        <v>0</v>
      </c>
      <c r="Q160" s="10">
        <f>(F14/(SQRT(3)*$B$22*N160))</f>
        <v>0</v>
      </c>
      <c r="R160" s="10">
        <f>(F14/$C$22)</f>
        <v>0</v>
      </c>
      <c r="S160" s="10">
        <f>(F14/($B$22))</f>
        <v>0</v>
      </c>
      <c r="T160" s="10">
        <f>(F14/(SQRT(3)*$B$22))</f>
        <v>0</v>
      </c>
      <c r="U160" s="10" t="e">
        <f>F14/($C$22*N161)</f>
        <v>#DIV/0!</v>
      </c>
      <c r="V160" s="10" t="e">
        <f>(F14/($B$22*N161))</f>
        <v>#DIV/0!</v>
      </c>
      <c r="W160" s="18" t="e">
        <f>F14/(SQRT(3)*$B$22*N161)</f>
        <v>#DIV/0!</v>
      </c>
    </row>
    <row r="161" spans="2:23" ht="15" hidden="1" customHeight="1" outlineLevel="1" x14ac:dyDescent="0.2">
      <c r="B161" s="34"/>
      <c r="L161" s="4" t="s">
        <v>21</v>
      </c>
      <c r="M161" s="5"/>
      <c r="N161" s="5">
        <f>IF(H14="Cos",SIN(RADIANS(N162)),IF(H14="&lt;",SIN(RADIANS(I14))))</f>
        <v>0</v>
      </c>
      <c r="O161" s="5"/>
      <c r="P161" s="5"/>
      <c r="Q161" s="5"/>
      <c r="R161" s="5"/>
      <c r="S161" s="5"/>
      <c r="T161" s="5"/>
      <c r="U161" s="5"/>
      <c r="V161" s="5"/>
      <c r="W161" s="6"/>
    </row>
    <row r="162" spans="2:23" ht="15" hidden="1" customHeight="1" outlineLevel="1" x14ac:dyDescent="0.2">
      <c r="B162" s="34"/>
      <c r="L162" s="4" t="s">
        <v>20</v>
      </c>
      <c r="M162" s="5"/>
      <c r="N162" s="5">
        <f>(ACOS(N160)*180/PI())</f>
        <v>0</v>
      </c>
      <c r="O162" s="5"/>
      <c r="P162" s="5"/>
      <c r="Q162" s="5"/>
      <c r="R162" s="5"/>
      <c r="S162" s="5"/>
      <c r="T162" s="5"/>
      <c r="U162" s="5"/>
      <c r="V162" s="5"/>
      <c r="W162" s="6"/>
    </row>
    <row r="163" spans="2:23" ht="15" hidden="1" customHeight="1" outlineLevel="1" x14ac:dyDescent="0.2">
      <c r="B163" s="34"/>
      <c r="L163" s="11" t="s">
        <v>10</v>
      </c>
      <c r="M163" s="38"/>
      <c r="N163" s="5" t="s">
        <v>11</v>
      </c>
      <c r="O163" s="5" t="s">
        <v>12</v>
      </c>
      <c r="P163" s="12" t="s">
        <v>27</v>
      </c>
      <c r="Q163" s="5" t="s">
        <v>25</v>
      </c>
      <c r="R163" s="12" t="s">
        <v>27</v>
      </c>
      <c r="S163" s="5" t="s">
        <v>26</v>
      </c>
      <c r="T163" s="12" t="s">
        <v>28</v>
      </c>
      <c r="U163" s="5" t="s">
        <v>26</v>
      </c>
      <c r="V163" s="5"/>
      <c r="W163" s="6"/>
    </row>
    <row r="164" spans="2:23" ht="15" hidden="1" customHeight="1" outlineLevel="1" x14ac:dyDescent="0.2">
      <c r="B164" s="34"/>
      <c r="L164" s="19">
        <f>(0-N162)</f>
        <v>0</v>
      </c>
      <c r="M164" s="10"/>
      <c r="N164" s="10">
        <f>(-120-N162)</f>
        <v>-120</v>
      </c>
      <c r="O164" s="10">
        <f>(-240-N162)</f>
        <v>-240</v>
      </c>
      <c r="P164" s="10">
        <f>(30-N162)</f>
        <v>30</v>
      </c>
      <c r="Q164" s="10">
        <f>(-150-N162)</f>
        <v>-150</v>
      </c>
      <c r="R164" s="10">
        <f>(-30-N162)</f>
        <v>-30</v>
      </c>
      <c r="S164" s="10">
        <f>(150-N162)</f>
        <v>150</v>
      </c>
      <c r="T164" s="10">
        <f>(-90-N162)</f>
        <v>-90</v>
      </c>
      <c r="U164" s="10">
        <f>(90-N162)</f>
        <v>90</v>
      </c>
      <c r="V164" s="10"/>
      <c r="W164" s="6"/>
    </row>
    <row r="165" spans="2:23" ht="15" hidden="1" customHeight="1" outlineLevel="1" x14ac:dyDescent="0.2">
      <c r="B165" s="34"/>
      <c r="L165" s="4" t="s">
        <v>35</v>
      </c>
      <c r="M165" s="5"/>
      <c r="N165" s="5" t="str">
        <f>COMPLEX(((N14*COS(O14*PI()/180))),((N14*SIN(O14*PI()/180))))</f>
        <v>0</v>
      </c>
      <c r="O165" s="5"/>
      <c r="P165" s="5"/>
      <c r="Q165" s="5"/>
      <c r="R165" s="5"/>
      <c r="S165" s="5"/>
      <c r="T165" s="5"/>
      <c r="U165" s="5"/>
      <c r="V165" s="5"/>
      <c r="W165" s="6"/>
    </row>
    <row r="166" spans="2:23" ht="15" hidden="1" customHeight="1" outlineLevel="1" x14ac:dyDescent="0.2">
      <c r="B166" s="34"/>
      <c r="L166" s="4" t="s">
        <v>36</v>
      </c>
      <c r="M166" s="5"/>
      <c r="N166" s="5" t="str">
        <f>COMPLEX(((P14*COS(Q14*PI()/180))),((P14*SIN(Q14*PI()/180))))</f>
        <v>0</v>
      </c>
      <c r="O166" s="5"/>
      <c r="P166" s="5"/>
      <c r="Q166" s="5"/>
      <c r="R166" s="5"/>
      <c r="S166" s="5"/>
      <c r="T166" s="5"/>
      <c r="U166" s="5"/>
      <c r="V166" s="5"/>
      <c r="W166" s="6"/>
    </row>
    <row r="167" spans="2:23" ht="15" hidden="1" customHeight="1" outlineLevel="1" x14ac:dyDescent="0.2">
      <c r="B167" s="34"/>
      <c r="L167" s="7" t="s">
        <v>37</v>
      </c>
      <c r="M167" s="8"/>
      <c r="N167" s="8" t="str">
        <f>COMPLEX(((R14*COS(S14*PI()/180))),((R14*SIN(S14*PI()/180))))</f>
        <v>0</v>
      </c>
      <c r="O167" s="8"/>
      <c r="P167" s="8"/>
      <c r="Q167" s="8"/>
      <c r="R167" s="8"/>
      <c r="S167" s="8"/>
      <c r="T167" s="8"/>
      <c r="U167" s="8"/>
      <c r="V167" s="8"/>
      <c r="W167" s="9"/>
    </row>
    <row r="168" spans="2:23" ht="15" customHeight="1" collapsed="1" x14ac:dyDescent="0.2">
      <c r="B168" s="34">
        <v>11</v>
      </c>
    </row>
    <row r="169" spans="2:23" ht="15" hidden="1" customHeight="1" outlineLevel="1" x14ac:dyDescent="0.2">
      <c r="B169" s="34"/>
      <c r="L169" s="1"/>
      <c r="M169" s="2"/>
      <c r="N169" s="2"/>
      <c r="O169" s="15" t="s">
        <v>19</v>
      </c>
      <c r="P169" s="15" t="s">
        <v>29</v>
      </c>
      <c r="Q169" s="15" t="s">
        <v>30</v>
      </c>
      <c r="R169" s="15" t="s">
        <v>18</v>
      </c>
      <c r="S169" s="16" t="s">
        <v>31</v>
      </c>
      <c r="T169" s="15" t="s">
        <v>32</v>
      </c>
      <c r="U169" s="15" t="s">
        <v>22</v>
      </c>
      <c r="V169" s="16" t="s">
        <v>33</v>
      </c>
      <c r="W169" s="17" t="s">
        <v>23</v>
      </c>
    </row>
    <row r="170" spans="2:23" ht="15" hidden="1" customHeight="1" outlineLevel="1" x14ac:dyDescent="0.2">
      <c r="B170" s="34"/>
      <c r="L170" s="4" t="s">
        <v>9</v>
      </c>
      <c r="M170" s="5"/>
      <c r="N170" s="5">
        <f>IF(H15="Cos",I15,IF(H15="&lt;",COS(RADIANS(I15))))</f>
        <v>1</v>
      </c>
      <c r="O170" s="10">
        <f>F15/($C$22*N170)</f>
        <v>0</v>
      </c>
      <c r="P170" s="10">
        <f>(F15/($B$22*N170))</f>
        <v>0</v>
      </c>
      <c r="Q170" s="10">
        <f>(F15/(SQRT(3)*$B$22*N170))</f>
        <v>0</v>
      </c>
      <c r="R170" s="10">
        <f>(F15/$C$22)</f>
        <v>0</v>
      </c>
      <c r="S170" s="10">
        <f>(F15/($B$22))</f>
        <v>0</v>
      </c>
      <c r="T170" s="10">
        <f>(F15/(SQRT(3)*$B$22))</f>
        <v>0</v>
      </c>
      <c r="U170" s="10" t="e">
        <f>F15/($C$22*N171)</f>
        <v>#DIV/0!</v>
      </c>
      <c r="V170" s="10" t="e">
        <f>(F15/($B$22*N171))</f>
        <v>#DIV/0!</v>
      </c>
      <c r="W170" s="18" t="e">
        <f>F15/(SQRT(3)*$B$22*N171)</f>
        <v>#DIV/0!</v>
      </c>
    </row>
    <row r="171" spans="2:23" ht="15" hidden="1" customHeight="1" outlineLevel="1" x14ac:dyDescent="0.2">
      <c r="B171" s="34"/>
      <c r="L171" s="4" t="s">
        <v>21</v>
      </c>
      <c r="M171" s="5"/>
      <c r="N171" s="5">
        <f>IF(H15="Cos",SIN(RADIANS(N172)),IF(H15="&lt;",SIN(RADIANS(I15))))</f>
        <v>0</v>
      </c>
      <c r="O171" s="5"/>
      <c r="P171" s="5"/>
      <c r="Q171" s="5"/>
      <c r="R171" s="5"/>
      <c r="S171" s="5"/>
      <c r="T171" s="5"/>
      <c r="U171" s="5"/>
      <c r="V171" s="5"/>
      <c r="W171" s="6"/>
    </row>
    <row r="172" spans="2:23" ht="15" hidden="1" customHeight="1" outlineLevel="1" x14ac:dyDescent="0.2">
      <c r="B172" s="34"/>
      <c r="L172" s="4" t="s">
        <v>20</v>
      </c>
      <c r="M172" s="5"/>
      <c r="N172" s="5">
        <f>(ACOS(N170)*180/PI())</f>
        <v>0</v>
      </c>
      <c r="O172" s="5"/>
      <c r="P172" s="5"/>
      <c r="Q172" s="5"/>
      <c r="R172" s="5"/>
      <c r="S172" s="5"/>
      <c r="T172" s="5"/>
      <c r="U172" s="5"/>
      <c r="V172" s="5"/>
      <c r="W172" s="6"/>
    </row>
    <row r="173" spans="2:23" ht="15" hidden="1" customHeight="1" outlineLevel="1" x14ac:dyDescent="0.2">
      <c r="B173" s="34"/>
      <c r="L173" s="11" t="s">
        <v>10</v>
      </c>
      <c r="M173" s="38"/>
      <c r="N173" s="5" t="s">
        <v>11</v>
      </c>
      <c r="O173" s="5" t="s">
        <v>12</v>
      </c>
      <c r="P173" s="12" t="s">
        <v>27</v>
      </c>
      <c r="Q173" s="5" t="s">
        <v>25</v>
      </c>
      <c r="R173" s="12" t="s">
        <v>27</v>
      </c>
      <c r="S173" s="5" t="s">
        <v>26</v>
      </c>
      <c r="T173" s="12" t="s">
        <v>28</v>
      </c>
      <c r="U173" s="5" t="s">
        <v>26</v>
      </c>
      <c r="V173" s="5"/>
      <c r="W173" s="6"/>
    </row>
    <row r="174" spans="2:23" ht="15" hidden="1" customHeight="1" outlineLevel="1" x14ac:dyDescent="0.2">
      <c r="B174" s="34"/>
      <c r="L174" s="19">
        <f>(0-N172)</f>
        <v>0</v>
      </c>
      <c r="M174" s="10"/>
      <c r="N174" s="10">
        <f>(-120-N172)</f>
        <v>-120</v>
      </c>
      <c r="O174" s="10">
        <f>(-240-N172)</f>
        <v>-240</v>
      </c>
      <c r="P174" s="10">
        <f>(30-N172)</f>
        <v>30</v>
      </c>
      <c r="Q174" s="10">
        <f>(-150-N172)</f>
        <v>-150</v>
      </c>
      <c r="R174" s="10">
        <f>(-30-N172)</f>
        <v>-30</v>
      </c>
      <c r="S174" s="10">
        <f>(150-N172)</f>
        <v>150</v>
      </c>
      <c r="T174" s="10">
        <f>(-90-N172)</f>
        <v>-90</v>
      </c>
      <c r="U174" s="10">
        <f>(90-N172)</f>
        <v>90</v>
      </c>
      <c r="V174" s="10"/>
      <c r="W174" s="6"/>
    </row>
    <row r="175" spans="2:23" ht="15" hidden="1" customHeight="1" outlineLevel="1" x14ac:dyDescent="0.2">
      <c r="B175" s="34"/>
      <c r="L175" s="4" t="s">
        <v>35</v>
      </c>
      <c r="M175" s="5"/>
      <c r="N175" s="5" t="str">
        <f>COMPLEX(((N15*COS(O15*PI()/180))),((N15*SIN(O15*PI()/180))))</f>
        <v>0</v>
      </c>
      <c r="O175" s="5"/>
      <c r="P175" s="5"/>
      <c r="Q175" s="5"/>
      <c r="R175" s="5"/>
      <c r="S175" s="5"/>
      <c r="T175" s="5"/>
      <c r="U175" s="5"/>
      <c r="V175" s="5"/>
      <c r="W175" s="6"/>
    </row>
    <row r="176" spans="2:23" ht="15" hidden="1" customHeight="1" outlineLevel="1" x14ac:dyDescent="0.2">
      <c r="B176" s="34"/>
      <c r="L176" s="4" t="s">
        <v>36</v>
      </c>
      <c r="M176" s="5"/>
      <c r="N176" s="5" t="str">
        <f>COMPLEX(((P15*COS(Q15*PI()/180))),((P15*SIN(Q15*PI()/180))))</f>
        <v>0</v>
      </c>
      <c r="O176" s="5"/>
      <c r="P176" s="5"/>
      <c r="Q176" s="5"/>
      <c r="R176" s="5"/>
      <c r="S176" s="5"/>
      <c r="T176" s="5"/>
      <c r="U176" s="5"/>
      <c r="V176" s="5"/>
      <c r="W176" s="6"/>
    </row>
    <row r="177" spans="2:23" ht="15" hidden="1" customHeight="1" outlineLevel="1" x14ac:dyDescent="0.2">
      <c r="B177" s="34"/>
      <c r="L177" s="7" t="s">
        <v>37</v>
      </c>
      <c r="M177" s="8"/>
      <c r="N177" s="8" t="str">
        <f>COMPLEX(((R15*COS(S15*PI()/180))),((R15*SIN(S15*PI()/180))))</f>
        <v>0</v>
      </c>
      <c r="O177" s="8"/>
      <c r="P177" s="8"/>
      <c r="Q177" s="8"/>
      <c r="R177" s="8"/>
      <c r="S177" s="8"/>
      <c r="T177" s="8"/>
      <c r="U177" s="8"/>
      <c r="V177" s="8"/>
      <c r="W177" s="9"/>
    </row>
    <row r="178" spans="2:23" ht="15" customHeight="1" collapsed="1" x14ac:dyDescent="0.2">
      <c r="B178" s="34">
        <v>12</v>
      </c>
    </row>
    <row r="179" spans="2:23" ht="15" hidden="1" customHeight="1" outlineLevel="1" x14ac:dyDescent="0.2">
      <c r="B179" s="34"/>
      <c r="L179" s="1"/>
      <c r="M179" s="2"/>
      <c r="N179" s="2"/>
      <c r="O179" s="15" t="s">
        <v>19</v>
      </c>
      <c r="P179" s="15" t="s">
        <v>29</v>
      </c>
      <c r="Q179" s="15" t="s">
        <v>30</v>
      </c>
      <c r="R179" s="15" t="s">
        <v>18</v>
      </c>
      <c r="S179" s="16" t="s">
        <v>31</v>
      </c>
      <c r="T179" s="15" t="s">
        <v>32</v>
      </c>
      <c r="U179" s="15" t="s">
        <v>22</v>
      </c>
      <c r="V179" s="16" t="s">
        <v>33</v>
      </c>
      <c r="W179" s="17" t="s">
        <v>23</v>
      </c>
    </row>
    <row r="180" spans="2:23" ht="15" hidden="1" customHeight="1" outlineLevel="1" x14ac:dyDescent="0.2">
      <c r="B180" s="34"/>
      <c r="L180" s="4" t="s">
        <v>9</v>
      </c>
      <c r="M180" s="5"/>
      <c r="N180" s="5">
        <f>IF(H16="Cos",I16,IF(H16="&lt;",COS(RADIANS(I16))))</f>
        <v>1</v>
      </c>
      <c r="O180" s="10">
        <f>F16/($C$22*N180)</f>
        <v>0</v>
      </c>
      <c r="P180" s="10">
        <f>(F16/($B$22*N180))</f>
        <v>0</v>
      </c>
      <c r="Q180" s="10">
        <f>(F16/(SQRT(3)*$B$22*N180))</f>
        <v>0</v>
      </c>
      <c r="R180" s="10">
        <f>(F16/$C$22)</f>
        <v>0</v>
      </c>
      <c r="S180" s="10">
        <f>(F16/($B$22))</f>
        <v>0</v>
      </c>
      <c r="T180" s="10">
        <f>(F16/(SQRT(3)*$B$22))</f>
        <v>0</v>
      </c>
      <c r="U180" s="10" t="e">
        <f>F16/($C$22*N181)</f>
        <v>#DIV/0!</v>
      </c>
      <c r="V180" s="10" t="e">
        <f>(F16/($B$22*N181))</f>
        <v>#DIV/0!</v>
      </c>
      <c r="W180" s="18" t="e">
        <f>F16/(SQRT(3)*$B$22*N181)</f>
        <v>#DIV/0!</v>
      </c>
    </row>
    <row r="181" spans="2:23" ht="15" hidden="1" customHeight="1" outlineLevel="1" x14ac:dyDescent="0.2">
      <c r="B181" s="34"/>
      <c r="L181" s="4" t="s">
        <v>21</v>
      </c>
      <c r="M181" s="5"/>
      <c r="N181" s="5">
        <f>IF(H16="Cos",SIN(RADIANS(N182)),IF(H16="&lt;",SIN(RADIANS(I16))))</f>
        <v>0</v>
      </c>
      <c r="O181" s="5"/>
      <c r="P181" s="5"/>
      <c r="Q181" s="5"/>
      <c r="R181" s="5"/>
      <c r="S181" s="5"/>
      <c r="T181" s="5"/>
      <c r="U181" s="5"/>
      <c r="V181" s="5"/>
      <c r="W181" s="6"/>
    </row>
    <row r="182" spans="2:23" ht="15" hidden="1" customHeight="1" outlineLevel="1" x14ac:dyDescent="0.2">
      <c r="B182" s="34"/>
      <c r="L182" s="4" t="s">
        <v>20</v>
      </c>
      <c r="M182" s="5"/>
      <c r="N182" s="5">
        <f>(ACOS(N180)*180/PI())</f>
        <v>0</v>
      </c>
      <c r="O182" s="5"/>
      <c r="P182" s="5"/>
      <c r="Q182" s="5"/>
      <c r="R182" s="5"/>
      <c r="S182" s="5"/>
      <c r="T182" s="5"/>
      <c r="U182" s="5"/>
      <c r="V182" s="5"/>
      <c r="W182" s="6"/>
    </row>
    <row r="183" spans="2:23" ht="15" hidden="1" customHeight="1" outlineLevel="1" x14ac:dyDescent="0.2">
      <c r="B183" s="34"/>
      <c r="L183" s="11" t="s">
        <v>10</v>
      </c>
      <c r="M183" s="38"/>
      <c r="N183" s="5" t="s">
        <v>11</v>
      </c>
      <c r="O183" s="5" t="s">
        <v>12</v>
      </c>
      <c r="P183" s="12" t="s">
        <v>27</v>
      </c>
      <c r="Q183" s="5" t="s">
        <v>25</v>
      </c>
      <c r="R183" s="12" t="s">
        <v>27</v>
      </c>
      <c r="S183" s="5" t="s">
        <v>26</v>
      </c>
      <c r="T183" s="12" t="s">
        <v>28</v>
      </c>
      <c r="U183" s="5" t="s">
        <v>26</v>
      </c>
      <c r="V183" s="5"/>
      <c r="W183" s="6"/>
    </row>
    <row r="184" spans="2:23" ht="15" hidden="1" customHeight="1" outlineLevel="1" x14ac:dyDescent="0.2">
      <c r="B184" s="34"/>
      <c r="L184" s="19">
        <f>(0-N182)</f>
        <v>0</v>
      </c>
      <c r="M184" s="10"/>
      <c r="N184" s="10">
        <f>(-120-N182)</f>
        <v>-120</v>
      </c>
      <c r="O184" s="10">
        <f>(-240-N182)</f>
        <v>-240</v>
      </c>
      <c r="P184" s="10">
        <f>(30-N182)</f>
        <v>30</v>
      </c>
      <c r="Q184" s="10">
        <f>(-150-N182)</f>
        <v>-150</v>
      </c>
      <c r="R184" s="10">
        <f>(-30-N182)</f>
        <v>-30</v>
      </c>
      <c r="S184" s="10">
        <f>(150-N182)</f>
        <v>150</v>
      </c>
      <c r="T184" s="10">
        <f>(-90-N182)</f>
        <v>-90</v>
      </c>
      <c r="U184" s="10">
        <f>(90-N182)</f>
        <v>90</v>
      </c>
      <c r="V184" s="10"/>
      <c r="W184" s="6"/>
    </row>
    <row r="185" spans="2:23" ht="15" hidden="1" customHeight="1" outlineLevel="1" x14ac:dyDescent="0.2">
      <c r="B185" s="34"/>
      <c r="L185" s="4" t="s">
        <v>35</v>
      </c>
      <c r="M185" s="5"/>
      <c r="N185" s="5" t="str">
        <f>COMPLEX(((N16*COS(O16*PI()/180))),((N16*SIN(O16*PI()/180))))</f>
        <v>0</v>
      </c>
      <c r="O185" s="5"/>
      <c r="P185" s="5"/>
      <c r="Q185" s="5"/>
      <c r="R185" s="5"/>
      <c r="S185" s="5"/>
      <c r="T185" s="5"/>
      <c r="U185" s="5"/>
      <c r="V185" s="5"/>
      <c r="W185" s="6"/>
    </row>
    <row r="186" spans="2:23" ht="15" hidden="1" customHeight="1" outlineLevel="1" x14ac:dyDescent="0.2">
      <c r="B186" s="34"/>
      <c r="L186" s="4" t="s">
        <v>36</v>
      </c>
      <c r="M186" s="5"/>
      <c r="N186" s="5" t="str">
        <f>COMPLEX(((P16*COS(Q16*PI()/180))),((P16*SIN(Q16*PI()/180))))</f>
        <v>0</v>
      </c>
      <c r="O186" s="5"/>
      <c r="P186" s="5"/>
      <c r="Q186" s="5"/>
      <c r="R186" s="5"/>
      <c r="S186" s="5"/>
      <c r="T186" s="5"/>
      <c r="U186" s="5"/>
      <c r="V186" s="5"/>
      <c r="W186" s="6"/>
    </row>
    <row r="187" spans="2:23" ht="15" hidden="1" customHeight="1" outlineLevel="1" x14ac:dyDescent="0.2">
      <c r="B187" s="34"/>
      <c r="L187" s="7" t="s">
        <v>37</v>
      </c>
      <c r="M187" s="8"/>
      <c r="N187" s="8" t="str">
        <f>COMPLEX(((R16*COS(S16*PI()/180))),((R16*SIN(S16*PI()/180))))</f>
        <v>0</v>
      </c>
      <c r="O187" s="8"/>
      <c r="P187" s="8"/>
      <c r="Q187" s="8"/>
      <c r="R187" s="8"/>
      <c r="S187" s="8"/>
      <c r="T187" s="8"/>
      <c r="U187" s="8"/>
      <c r="V187" s="8"/>
      <c r="W187" s="9"/>
    </row>
    <row r="188" spans="2:23" ht="15" customHeight="1" collapsed="1" x14ac:dyDescent="0.2">
      <c r="B188" s="34">
        <v>13</v>
      </c>
    </row>
    <row r="189" spans="2:23" ht="15" hidden="1" customHeight="1" outlineLevel="1" x14ac:dyDescent="0.2">
      <c r="B189" s="34"/>
      <c r="L189" s="1"/>
      <c r="M189" s="2"/>
      <c r="N189" s="2"/>
      <c r="O189" s="15" t="s">
        <v>19</v>
      </c>
      <c r="P189" s="15" t="s">
        <v>29</v>
      </c>
      <c r="Q189" s="15" t="s">
        <v>30</v>
      </c>
      <c r="R189" s="15" t="s">
        <v>18</v>
      </c>
      <c r="S189" s="16" t="s">
        <v>31</v>
      </c>
      <c r="T189" s="15" t="s">
        <v>32</v>
      </c>
      <c r="U189" s="15" t="s">
        <v>22</v>
      </c>
      <c r="V189" s="16" t="s">
        <v>33</v>
      </c>
      <c r="W189" s="17" t="s">
        <v>23</v>
      </c>
    </row>
    <row r="190" spans="2:23" ht="15" hidden="1" customHeight="1" outlineLevel="1" x14ac:dyDescent="0.2">
      <c r="B190" s="34"/>
      <c r="L190" s="4" t="s">
        <v>9</v>
      </c>
      <c r="M190" s="5"/>
      <c r="N190" s="5">
        <f>IF(H17="Cos",I17,IF(H17="&lt;",COS(RADIANS(I17))))</f>
        <v>1</v>
      </c>
      <c r="O190" s="10">
        <f>F17/($C$22*N190)</f>
        <v>0</v>
      </c>
      <c r="P190" s="10">
        <f>(F17/($B$22*N190))</f>
        <v>0</v>
      </c>
      <c r="Q190" s="10">
        <f>(F17/(SQRT(3)*$B$22*N190))</f>
        <v>0</v>
      </c>
      <c r="R190" s="10">
        <f>(F17/$C$22)</f>
        <v>0</v>
      </c>
      <c r="S190" s="10">
        <f>(F17/($B$22))</f>
        <v>0</v>
      </c>
      <c r="T190" s="10">
        <f>(F17/(SQRT(3)*$B$22))</f>
        <v>0</v>
      </c>
      <c r="U190" s="10" t="e">
        <f>F17/($C$22*N191)</f>
        <v>#DIV/0!</v>
      </c>
      <c r="V190" s="10" t="e">
        <f>(F17/($B$22*N191))</f>
        <v>#DIV/0!</v>
      </c>
      <c r="W190" s="18" t="e">
        <f>F17/(SQRT(3)*$B$22*N191)</f>
        <v>#DIV/0!</v>
      </c>
    </row>
    <row r="191" spans="2:23" ht="15" hidden="1" customHeight="1" outlineLevel="1" x14ac:dyDescent="0.2">
      <c r="B191" s="34"/>
      <c r="L191" s="4" t="s">
        <v>21</v>
      </c>
      <c r="M191" s="5"/>
      <c r="N191" s="5">
        <f>IF(H17="Cos",SIN(RADIANS(N192)),IF(H17="&lt;",SIN(RADIANS(I17))))</f>
        <v>0</v>
      </c>
      <c r="O191" s="5"/>
      <c r="P191" s="5"/>
      <c r="Q191" s="5"/>
      <c r="R191" s="5"/>
      <c r="S191" s="5"/>
      <c r="T191" s="5"/>
      <c r="U191" s="5"/>
      <c r="V191" s="5"/>
      <c r="W191" s="6"/>
    </row>
    <row r="192" spans="2:23" ht="15" hidden="1" customHeight="1" outlineLevel="1" x14ac:dyDescent="0.2">
      <c r="B192" s="34"/>
      <c r="L192" s="4" t="s">
        <v>20</v>
      </c>
      <c r="M192" s="5"/>
      <c r="N192" s="5">
        <f>(ACOS(N190)*180/PI())</f>
        <v>0</v>
      </c>
      <c r="O192" s="5"/>
      <c r="P192" s="5"/>
      <c r="Q192" s="5"/>
      <c r="R192" s="5"/>
      <c r="S192" s="5"/>
      <c r="T192" s="5"/>
      <c r="U192" s="5"/>
      <c r="V192" s="5"/>
      <c r="W192" s="6"/>
    </row>
    <row r="193" spans="2:23" ht="15" hidden="1" customHeight="1" outlineLevel="1" x14ac:dyDescent="0.2">
      <c r="B193" s="34"/>
      <c r="L193" s="11" t="s">
        <v>10</v>
      </c>
      <c r="M193" s="38"/>
      <c r="N193" s="5" t="s">
        <v>11</v>
      </c>
      <c r="O193" s="5" t="s">
        <v>12</v>
      </c>
      <c r="P193" s="12" t="s">
        <v>27</v>
      </c>
      <c r="Q193" s="5" t="s">
        <v>25</v>
      </c>
      <c r="R193" s="12" t="s">
        <v>27</v>
      </c>
      <c r="S193" s="5" t="s">
        <v>26</v>
      </c>
      <c r="T193" s="12" t="s">
        <v>28</v>
      </c>
      <c r="U193" s="5" t="s">
        <v>26</v>
      </c>
      <c r="V193" s="5"/>
      <c r="W193" s="6"/>
    </row>
    <row r="194" spans="2:23" ht="15" hidden="1" customHeight="1" outlineLevel="1" x14ac:dyDescent="0.2">
      <c r="B194" s="34"/>
      <c r="L194" s="19">
        <f>(0-N192)</f>
        <v>0</v>
      </c>
      <c r="M194" s="10"/>
      <c r="N194" s="10">
        <f>(-120-N192)</f>
        <v>-120</v>
      </c>
      <c r="O194" s="10">
        <f>(-240-N192)</f>
        <v>-240</v>
      </c>
      <c r="P194" s="10">
        <f>(30-N192)</f>
        <v>30</v>
      </c>
      <c r="Q194" s="10">
        <f>(-150-N192)</f>
        <v>-150</v>
      </c>
      <c r="R194" s="10">
        <f>(-30-N192)</f>
        <v>-30</v>
      </c>
      <c r="S194" s="10">
        <f>(150-N192)</f>
        <v>150</v>
      </c>
      <c r="T194" s="10">
        <f>(-90-N192)</f>
        <v>-90</v>
      </c>
      <c r="U194" s="10">
        <f>(90-N192)</f>
        <v>90</v>
      </c>
      <c r="V194" s="10"/>
      <c r="W194" s="6"/>
    </row>
    <row r="195" spans="2:23" ht="15" hidden="1" customHeight="1" outlineLevel="1" x14ac:dyDescent="0.2">
      <c r="B195" s="34"/>
      <c r="L195" s="4" t="s">
        <v>35</v>
      </c>
      <c r="M195" s="5"/>
      <c r="N195" s="5" t="str">
        <f>COMPLEX(((N17*COS(O17*PI()/180))),((N17*SIN(O17*PI()/180))))</f>
        <v>0</v>
      </c>
      <c r="O195" s="5"/>
      <c r="P195" s="5"/>
      <c r="Q195" s="5"/>
      <c r="R195" s="5"/>
      <c r="S195" s="5"/>
      <c r="T195" s="5"/>
      <c r="U195" s="5"/>
      <c r="V195" s="5"/>
      <c r="W195" s="6"/>
    </row>
    <row r="196" spans="2:23" ht="15" hidden="1" customHeight="1" outlineLevel="1" x14ac:dyDescent="0.2">
      <c r="B196" s="34"/>
      <c r="L196" s="4" t="s">
        <v>36</v>
      </c>
      <c r="M196" s="5"/>
      <c r="N196" s="5" t="str">
        <f>COMPLEX(((P17*COS(Q17*PI()/180))),((P17*SIN(Q17*PI()/180))))</f>
        <v>0</v>
      </c>
      <c r="O196" s="5"/>
      <c r="P196" s="5"/>
      <c r="Q196" s="5"/>
      <c r="R196" s="5"/>
      <c r="S196" s="5"/>
      <c r="T196" s="5"/>
      <c r="U196" s="5"/>
      <c r="V196" s="5"/>
      <c r="W196" s="6"/>
    </row>
    <row r="197" spans="2:23" ht="15" hidden="1" customHeight="1" outlineLevel="1" x14ac:dyDescent="0.2">
      <c r="B197" s="34"/>
      <c r="L197" s="7" t="s">
        <v>37</v>
      </c>
      <c r="M197" s="8"/>
      <c r="N197" s="8" t="str">
        <f>COMPLEX(((R17*COS(S17*PI()/180))),((R17*SIN(S17*PI()/180))))</f>
        <v>0</v>
      </c>
      <c r="O197" s="8"/>
      <c r="P197" s="8"/>
      <c r="Q197" s="8"/>
      <c r="R197" s="8"/>
      <c r="S197" s="8"/>
      <c r="T197" s="8"/>
      <c r="U197" s="8"/>
      <c r="V197" s="8"/>
      <c r="W197" s="9"/>
    </row>
    <row r="198" spans="2:23" ht="15" customHeight="1" collapsed="1" x14ac:dyDescent="0.2">
      <c r="B198" s="34">
        <v>14</v>
      </c>
    </row>
    <row r="199" spans="2:23" ht="15" hidden="1" customHeight="1" outlineLevel="1" x14ac:dyDescent="0.2">
      <c r="B199" s="34"/>
      <c r="L199" s="1"/>
      <c r="M199" s="2"/>
      <c r="N199" s="2"/>
      <c r="O199" s="15" t="s">
        <v>19</v>
      </c>
      <c r="P199" s="15" t="s">
        <v>29</v>
      </c>
      <c r="Q199" s="15" t="s">
        <v>30</v>
      </c>
      <c r="R199" s="15" t="s">
        <v>18</v>
      </c>
      <c r="S199" s="16" t="s">
        <v>31</v>
      </c>
      <c r="T199" s="15" t="s">
        <v>32</v>
      </c>
      <c r="U199" s="15" t="s">
        <v>22</v>
      </c>
      <c r="V199" s="16" t="s">
        <v>33</v>
      </c>
      <c r="W199" s="17" t="s">
        <v>23</v>
      </c>
    </row>
    <row r="200" spans="2:23" ht="15" hidden="1" customHeight="1" outlineLevel="1" x14ac:dyDescent="0.2">
      <c r="B200" s="34"/>
      <c r="L200" s="4" t="s">
        <v>9</v>
      </c>
      <c r="M200" s="5"/>
      <c r="N200" s="5">
        <f>IF(H18="Cos",I18,IF(H18="&lt;",COS(RADIANS(I18))))</f>
        <v>1</v>
      </c>
      <c r="O200" s="10">
        <f>F18/($C$22*N200)</f>
        <v>0</v>
      </c>
      <c r="P200" s="10">
        <f>(F18/($B$22*N200))</f>
        <v>0</v>
      </c>
      <c r="Q200" s="10">
        <f>(F18/(SQRT(3)*$B$22*N200))</f>
        <v>0</v>
      </c>
      <c r="R200" s="10">
        <f>(F18/$C$22)</f>
        <v>0</v>
      </c>
      <c r="S200" s="10">
        <f>(F18/($B$22))</f>
        <v>0</v>
      </c>
      <c r="T200" s="10">
        <f>(F18/(SQRT(3)*$B$22))</f>
        <v>0</v>
      </c>
      <c r="U200" s="10" t="e">
        <f>F18/($C$22*N201)</f>
        <v>#DIV/0!</v>
      </c>
      <c r="V200" s="10" t="e">
        <f>(F18/($B$22*N201))</f>
        <v>#DIV/0!</v>
      </c>
      <c r="W200" s="18" t="e">
        <f>F18/(SQRT(3)*$B$22*N201)</f>
        <v>#DIV/0!</v>
      </c>
    </row>
    <row r="201" spans="2:23" ht="15" hidden="1" customHeight="1" outlineLevel="1" x14ac:dyDescent="0.2">
      <c r="B201" s="34"/>
      <c r="L201" s="4" t="s">
        <v>21</v>
      </c>
      <c r="M201" s="5"/>
      <c r="N201" s="5">
        <f>IF(H18="Cos",SIN(RADIANS(N202)),IF(H18="&lt;",SIN(RADIANS(I18))))</f>
        <v>0</v>
      </c>
      <c r="O201" s="5"/>
      <c r="P201" s="5"/>
      <c r="Q201" s="5"/>
      <c r="R201" s="5"/>
      <c r="S201" s="5"/>
      <c r="T201" s="5"/>
      <c r="U201" s="5"/>
      <c r="V201" s="5"/>
      <c r="W201" s="6"/>
    </row>
    <row r="202" spans="2:23" ht="15" hidden="1" customHeight="1" outlineLevel="1" x14ac:dyDescent="0.2">
      <c r="B202" s="34"/>
      <c r="L202" s="4" t="s">
        <v>20</v>
      </c>
      <c r="M202" s="5"/>
      <c r="N202" s="5">
        <f>(ACOS(N200)*180/PI())</f>
        <v>0</v>
      </c>
      <c r="O202" s="5"/>
      <c r="P202" s="5"/>
      <c r="Q202" s="5"/>
      <c r="R202" s="5"/>
      <c r="S202" s="5"/>
      <c r="T202" s="5"/>
      <c r="U202" s="5"/>
      <c r="V202" s="5"/>
      <c r="W202" s="6"/>
    </row>
    <row r="203" spans="2:23" ht="15" hidden="1" customHeight="1" outlineLevel="1" x14ac:dyDescent="0.2">
      <c r="B203" s="34"/>
      <c r="L203" s="11" t="s">
        <v>10</v>
      </c>
      <c r="M203" s="38"/>
      <c r="N203" s="5" t="s">
        <v>11</v>
      </c>
      <c r="O203" s="5" t="s">
        <v>12</v>
      </c>
      <c r="P203" s="12" t="s">
        <v>27</v>
      </c>
      <c r="Q203" s="5" t="s">
        <v>25</v>
      </c>
      <c r="R203" s="12" t="s">
        <v>27</v>
      </c>
      <c r="S203" s="5" t="s">
        <v>26</v>
      </c>
      <c r="T203" s="12" t="s">
        <v>28</v>
      </c>
      <c r="U203" s="5" t="s">
        <v>26</v>
      </c>
      <c r="V203" s="5"/>
      <c r="W203" s="6"/>
    </row>
    <row r="204" spans="2:23" ht="15" hidden="1" customHeight="1" outlineLevel="1" x14ac:dyDescent="0.2">
      <c r="B204" s="34"/>
      <c r="L204" s="19">
        <f>(0-N202)</f>
        <v>0</v>
      </c>
      <c r="M204" s="10"/>
      <c r="N204" s="10">
        <f>(-120-N202)</f>
        <v>-120</v>
      </c>
      <c r="O204" s="10">
        <f>(-240-N202)</f>
        <v>-240</v>
      </c>
      <c r="P204" s="10">
        <f>(30-N202)</f>
        <v>30</v>
      </c>
      <c r="Q204" s="10">
        <f>(-150-N202)</f>
        <v>-150</v>
      </c>
      <c r="R204" s="10">
        <f>(-30-N202)</f>
        <v>-30</v>
      </c>
      <c r="S204" s="10">
        <f>(150-N202)</f>
        <v>150</v>
      </c>
      <c r="T204" s="10">
        <f>(-90-N202)</f>
        <v>-90</v>
      </c>
      <c r="U204" s="10">
        <f>(90-N202)</f>
        <v>90</v>
      </c>
      <c r="V204" s="10"/>
      <c r="W204" s="6"/>
    </row>
    <row r="205" spans="2:23" ht="15" hidden="1" customHeight="1" outlineLevel="1" x14ac:dyDescent="0.2">
      <c r="B205" s="34"/>
      <c r="L205" s="4" t="s">
        <v>35</v>
      </c>
      <c r="M205" s="5"/>
      <c r="N205" s="5" t="str">
        <f>COMPLEX(((N18*COS(O18*PI()/180))),((N18*SIN(O18*PI()/180))))</f>
        <v>0</v>
      </c>
      <c r="O205" s="5"/>
      <c r="P205" s="5"/>
      <c r="Q205" s="5"/>
      <c r="R205" s="5"/>
      <c r="S205" s="5"/>
      <c r="T205" s="5"/>
      <c r="U205" s="5"/>
      <c r="V205" s="5"/>
      <c r="W205" s="6"/>
    </row>
    <row r="206" spans="2:23" ht="15" hidden="1" customHeight="1" outlineLevel="1" x14ac:dyDescent="0.2">
      <c r="B206" s="34"/>
      <c r="L206" s="4" t="s">
        <v>36</v>
      </c>
      <c r="M206" s="5"/>
      <c r="N206" s="5" t="str">
        <f>COMPLEX(((P18*COS(Q18*PI()/180))),((P18*SIN(Q18*PI()/180))))</f>
        <v>0</v>
      </c>
      <c r="O206" s="5"/>
      <c r="P206" s="5"/>
      <c r="Q206" s="5"/>
      <c r="R206" s="5"/>
      <c r="S206" s="5"/>
      <c r="T206" s="5"/>
      <c r="U206" s="5"/>
      <c r="V206" s="5"/>
      <c r="W206" s="6"/>
    </row>
    <row r="207" spans="2:23" ht="15" hidden="1" customHeight="1" outlineLevel="1" x14ac:dyDescent="0.2">
      <c r="B207" s="34"/>
      <c r="L207" s="7" t="s">
        <v>37</v>
      </c>
      <c r="M207" s="8"/>
      <c r="N207" s="8" t="str">
        <f>COMPLEX(((R18*COS(S18*PI()/180))),((R18*SIN(S18*PI()/180))))</f>
        <v>0</v>
      </c>
      <c r="O207" s="8"/>
      <c r="P207" s="8"/>
      <c r="Q207" s="8"/>
      <c r="R207" s="8"/>
      <c r="S207" s="8"/>
      <c r="T207" s="8"/>
      <c r="U207" s="8"/>
      <c r="V207" s="8"/>
      <c r="W207" s="9"/>
    </row>
    <row r="208" spans="2:23" ht="15" customHeight="1" collapsed="1" x14ac:dyDescent="0.2">
      <c r="B208" s="34">
        <v>15</v>
      </c>
    </row>
  </sheetData>
  <mergeCells count="39">
    <mergeCell ref="E32:G32"/>
    <mergeCell ref="K28:L28"/>
    <mergeCell ref="K29:L29"/>
    <mergeCell ref="K30:L30"/>
    <mergeCell ref="K31:L31"/>
    <mergeCell ref="K32:L32"/>
    <mergeCell ref="E29:G29"/>
    <mergeCell ref="C28:D28"/>
    <mergeCell ref="C29:D29"/>
    <mergeCell ref="C30:D30"/>
    <mergeCell ref="C31:D31"/>
    <mergeCell ref="C32:D32"/>
    <mergeCell ref="T8:U8"/>
    <mergeCell ref="T9:U9"/>
    <mergeCell ref="T10:U10"/>
    <mergeCell ref="E27:G27"/>
    <mergeCell ref="B2:D2"/>
    <mergeCell ref="E2:F2"/>
    <mergeCell ref="T3:U3"/>
    <mergeCell ref="T4:U4"/>
    <mergeCell ref="T5:U5"/>
    <mergeCell ref="T6:U6"/>
    <mergeCell ref="T7:U7"/>
    <mergeCell ref="B33:D33"/>
    <mergeCell ref="T11:U11"/>
    <mergeCell ref="T12:U12"/>
    <mergeCell ref="T13:U13"/>
    <mergeCell ref="T14:U14"/>
    <mergeCell ref="T15:U15"/>
    <mergeCell ref="T16:U16"/>
    <mergeCell ref="T17:U17"/>
    <mergeCell ref="T18:U18"/>
    <mergeCell ref="K27:L27"/>
    <mergeCell ref="E28:G28"/>
    <mergeCell ref="C27:D27"/>
    <mergeCell ref="E33:G33"/>
    <mergeCell ref="E30:G30"/>
    <mergeCell ref="E31:G31"/>
    <mergeCell ref="K33:L33"/>
  </mergeCells>
  <conditionalFormatting sqref="N4:S18">
    <cfRule type="cellIs" dxfId="1" priority="2" operator="equal">
      <formula>0</formula>
    </cfRule>
  </conditionalFormatting>
  <conditionalFormatting sqref="H28:N32">
    <cfRule type="cellIs" dxfId="0" priority="1" operator="equal">
      <formula>0</formula>
    </cfRule>
  </conditionalFormatting>
  <dataValidations count="4">
    <dataValidation type="list" allowBlank="1" showInputMessage="1" showErrorMessage="1" sqref="J4:J18" xr:uid="{00000000-0002-0000-0000-000000000000}">
      <formula1>$J$59:$J$66</formula1>
    </dataValidation>
    <dataValidation type="list" allowBlank="1" showInputMessage="1" showErrorMessage="1" sqref="H4:H18" xr:uid="{00000000-0002-0000-0000-000001000000}">
      <formula1>$H$59:$H$61</formula1>
    </dataValidation>
    <dataValidation type="list" allowBlank="1" showInputMessage="1" showErrorMessage="1" sqref="E4:E18" xr:uid="{00000000-0002-0000-0000-000002000000}">
      <formula1>$E$59:$E$63</formula1>
    </dataValidation>
    <dataValidation type="list" allowBlank="1" showInputMessage="1" showErrorMessage="1" sqref="C4:C18" xr:uid="{00000000-0002-0000-0000-000003000000}">
      <formula1>$C$59:$C$61</formula1>
    </dataValidation>
  </dataValidations>
  <pageMargins left="0.7" right="0.7" top="0.75" bottom="0.75" header="0.3" footer="0.3"/>
  <pageSetup paperSize="9" orientation="portrait" r:id="rId1"/>
  <ignoredErrors>
    <ignoredError sqref="P21 R20:R21" formula="1"/>
  </ignoredErrors>
  <drawing r:id="rId2"/>
  <legacyDrawing r:id="rId3"/>
  <oleObjects>
    <mc:AlternateContent xmlns:mc="http://schemas.openxmlformats.org/markup-compatibility/2006">
      <mc:Choice Requires="x14">
        <oleObject progId="Equation.DSMT4" shapeId="1064" r:id="rId4">
          <objectPr defaultSize="0" autoPict="0" r:id="rId5">
            <anchor moveWithCells="1" sizeWithCells="1">
              <from>
                <xdr:col>23</xdr:col>
                <xdr:colOff>63500</xdr:colOff>
                <xdr:row>33</xdr:row>
                <xdr:rowOff>165100</xdr:rowOff>
              </from>
              <to>
                <xdr:col>26</xdr:col>
                <xdr:colOff>127000</xdr:colOff>
                <xdr:row>57</xdr:row>
                <xdr:rowOff>114300</xdr:rowOff>
              </to>
            </anchor>
          </objectPr>
        </oleObject>
      </mc:Choice>
      <mc:Fallback>
        <oleObject progId="Equation.DSMT4" shapeId="1064" r:id="rId4"/>
      </mc:Fallback>
    </mc:AlternateContent>
    <mc:AlternateContent xmlns:mc="http://schemas.openxmlformats.org/markup-compatibility/2006">
      <mc:Choice Requires="x14">
        <oleObject progId="Equation.DSMT4" shapeId="1066" r:id="rId6">
          <objectPr defaultSize="0" autoPict="0" r:id="rId7">
            <anchor moveWithCells="1" sizeWithCells="1">
              <from>
                <xdr:col>15</xdr:col>
                <xdr:colOff>50800</xdr:colOff>
                <xdr:row>33</xdr:row>
                <xdr:rowOff>152400</xdr:rowOff>
              </from>
              <to>
                <xdr:col>18</xdr:col>
                <xdr:colOff>114300</xdr:colOff>
                <xdr:row>57</xdr:row>
                <xdr:rowOff>177800</xdr:rowOff>
              </to>
            </anchor>
          </objectPr>
        </oleObject>
      </mc:Choice>
      <mc:Fallback>
        <oleObject progId="Equation.DSMT4" shapeId="1066" r:id="rId6"/>
      </mc:Fallback>
    </mc:AlternateContent>
    <mc:AlternateContent xmlns:mc="http://schemas.openxmlformats.org/markup-compatibility/2006">
      <mc:Choice Requires="x14">
        <oleObject progId="Equation.DSMT4" shapeId="1067" r:id="rId8">
          <objectPr defaultSize="0" autoPict="0" r:id="rId9">
            <anchor moveWithCells="1" sizeWithCells="1">
              <from>
                <xdr:col>19</xdr:col>
                <xdr:colOff>25400</xdr:colOff>
                <xdr:row>33</xdr:row>
                <xdr:rowOff>177800</xdr:rowOff>
              </from>
              <to>
                <xdr:col>21</xdr:col>
                <xdr:colOff>241300</xdr:colOff>
                <xdr:row>57</xdr:row>
                <xdr:rowOff>139700</xdr:rowOff>
              </to>
            </anchor>
          </objectPr>
        </oleObject>
      </mc:Choice>
      <mc:Fallback>
        <oleObject progId="Equation.DSMT4" shapeId="1067" r:id="rId8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10" name="Button 5">
              <controlPr defaultSize="0" print="0" autoFill="0" autoPict="0" macro="[0]!ResetAlleStrømme">
                <anchor mov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1</xdr:col>
                    <xdr:colOff>673100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SletStrøm1">
                <anchor moveWithCells="1">
                  <from>
                    <xdr:col>1</xdr:col>
                    <xdr:colOff>0</xdr:colOff>
                    <xdr:row>27</xdr:row>
                    <xdr:rowOff>0</xdr:rowOff>
                  </from>
                  <to>
                    <xdr:col>1</xdr:col>
                    <xdr:colOff>596900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SletStrøm2">
                <anchor moveWithCells="1">
                  <from>
                    <xdr:col>1</xdr:col>
                    <xdr:colOff>0</xdr:colOff>
                    <xdr:row>28</xdr:row>
                    <xdr:rowOff>0</xdr:rowOff>
                  </from>
                  <to>
                    <xdr:col>1</xdr:col>
                    <xdr:colOff>596900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SletStrøm3">
                <anchor moveWithCells="1">
                  <from>
                    <xdr:col>1</xdr:col>
                    <xdr:colOff>0</xdr:colOff>
                    <xdr:row>29</xdr:row>
                    <xdr:rowOff>0</xdr:rowOff>
                  </from>
                  <to>
                    <xdr:col>1</xdr:col>
                    <xdr:colOff>596900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SletStrøm4">
                <anchor moveWithCells="1">
                  <from>
                    <xdr:col>1</xdr:col>
                    <xdr:colOff>0</xdr:colOff>
                    <xdr:row>30</xdr:row>
                    <xdr:rowOff>0</xdr:rowOff>
                  </from>
                  <to>
                    <xdr:col>1</xdr:col>
                    <xdr:colOff>596900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Button 18">
              <controlPr defaultSize="0" print="0" autoFill="0" autoPict="0" macro="[0]!SletStrøm5">
                <anchor moveWithCells="1">
                  <from>
                    <xdr:col>1</xdr:col>
                    <xdr:colOff>0</xdr:colOff>
                    <xdr:row>31</xdr:row>
                    <xdr:rowOff>0</xdr:rowOff>
                  </from>
                  <to>
                    <xdr:col>1</xdr:col>
                    <xdr:colOff>596900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6" name="Button 22">
              <controlPr defaultSize="0" print="0" autoFill="0" autoPict="0" macro="[0]!Test">
                <anchor moveWithCells="1">
                  <from>
                    <xdr:col>0</xdr:col>
                    <xdr:colOff>12700</xdr:colOff>
                    <xdr:row>0</xdr:row>
                    <xdr:rowOff>12700</xdr:rowOff>
                  </from>
                  <to>
                    <xdr:col>0</xdr:col>
                    <xdr:colOff>596900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17" name="Button 31">
              <controlPr defaultSize="0" print="0" autoFill="0" autoPict="0" macro="[0]!GemStrøm1">
                <anchor moveWithCells="1">
                  <from>
                    <xdr:col>2</xdr:col>
                    <xdr:colOff>0</xdr:colOff>
                    <xdr:row>27</xdr:row>
                    <xdr:rowOff>0</xdr:rowOff>
                  </from>
                  <to>
                    <xdr:col>3</xdr:col>
                    <xdr:colOff>127000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8" name="Button 20">
              <controlPr defaultSize="0" print="0" autoFill="0" autoPict="0" macro="[0]!SletAlleGemStrøm">
                <anchor moveWithCells="1">
                  <from>
                    <xdr:col>0</xdr:col>
                    <xdr:colOff>609600</xdr:colOff>
                    <xdr:row>26</xdr:row>
                    <xdr:rowOff>0</xdr:rowOff>
                  </from>
                  <to>
                    <xdr:col>3</xdr:col>
                    <xdr:colOff>114300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9" name="Button 35">
              <controlPr defaultSize="0" print="0" autoFill="0" autoPict="0" macro="[0]!GemStrøm2">
                <anchor moveWithCells="1">
                  <from>
                    <xdr:col>2</xdr:col>
                    <xdr:colOff>0</xdr:colOff>
                    <xdr:row>28</xdr:row>
                    <xdr:rowOff>0</xdr:rowOff>
                  </from>
                  <to>
                    <xdr:col>3</xdr:col>
                    <xdr:colOff>127000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20" name="Button 36">
              <controlPr defaultSize="0" print="0" autoFill="0" autoPict="0" macro="[0]!GemStrøm3">
                <anchor moveWithCells="1">
                  <from>
                    <xdr:col>2</xdr:col>
                    <xdr:colOff>0</xdr:colOff>
                    <xdr:row>29</xdr:row>
                    <xdr:rowOff>0</xdr:rowOff>
                  </from>
                  <to>
                    <xdr:col>3</xdr:col>
                    <xdr:colOff>127000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21" name="Button 37">
              <controlPr defaultSize="0" print="0" autoFill="0" autoPict="0" macro="[0]!GemStrøm4">
                <anchor moveWithCells="1">
                  <from>
                    <xdr:col>2</xdr:col>
                    <xdr:colOff>0</xdr:colOff>
                    <xdr:row>30</xdr:row>
                    <xdr:rowOff>0</xdr:rowOff>
                  </from>
                  <to>
                    <xdr:col>3</xdr:col>
                    <xdr:colOff>127000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22" name="Button 38">
              <controlPr defaultSize="0" print="0" autoFill="0" autoPict="0" macro="[0]!GemStrøm5">
                <anchor moveWithCells="1">
                  <from>
                    <xdr:col>2</xdr:col>
                    <xdr:colOff>0</xdr:colOff>
                    <xdr:row>31</xdr:row>
                    <xdr:rowOff>0</xdr:rowOff>
                  </from>
                  <to>
                    <xdr:col>3</xdr:col>
                    <xdr:colOff>127000</xdr:colOff>
                    <xdr:row>32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2"/>
  <dimension ref="A1"/>
  <sheetViews>
    <sheetView workbookViewId="0">
      <selection activeCell="B18" sqref="B3:B18"/>
    </sheetView>
  </sheetViews>
  <sheetFormatPr defaultColWidth="8.875" defaultRowHeight="15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3"/>
  <dimension ref="A1"/>
  <sheetViews>
    <sheetView tabSelected="1" workbookViewId="0">
      <selection activeCell="F6" sqref="F6"/>
    </sheetView>
  </sheetViews>
  <sheetFormatPr defaultColWidth="8.875" defaultRowHeight="15" x14ac:dyDescent="0.2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067F18F82793884E823C295BB315303C" ma:contentTypeVersion="2" ma:contentTypeDescription="Opret et nyt dokument." ma:contentTypeScope="" ma:versionID="e1e99cb5b58aedc54738810651939a15">
  <xsd:schema xmlns:xsd="http://www.w3.org/2001/XMLSchema" xmlns:xs="http://www.w3.org/2001/XMLSchema" xmlns:p="http://schemas.microsoft.com/office/2006/metadata/properties" xmlns:ns2="710f75cf-da08-47aa-99a6-fc246f4edefa" targetNamespace="http://schemas.microsoft.com/office/2006/metadata/properties" ma:root="true" ma:fieldsID="cbb6ae7c8888abed66765ce1115c7dd4" ns2:_="">
    <xsd:import namespace="710f75cf-da08-47aa-99a6-fc246f4edefa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0f75cf-da08-47aa-99a6-fc246f4edef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Delt med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lt med detaljer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dhol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75D5C89-E864-41EB-B2B4-7517C59C4F0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FE8CE3B-D2B3-4C96-A15A-FC9EC29CFA2E}">
  <ds:schemaRefs>
    <ds:schemaRef ds:uri="http://schemas.microsoft.com/office/2006/metadata/properties"/>
    <ds:schemaRef ds:uri="http://www.w3.org/2000/xmlns/"/>
  </ds:schemaRefs>
</ds:datastoreItem>
</file>

<file path=customXml/itemProps3.xml><?xml version="1.0" encoding="utf-8"?>
<ds:datastoreItem xmlns:ds="http://schemas.openxmlformats.org/officeDocument/2006/customXml" ds:itemID="{B3F2DE07-FE43-4EA4-9221-C9B05A01C6CE}">
  <ds:schemaRefs>
    <ds:schemaRef ds:uri="http://schemas.microsoft.com/office/2006/metadata/contentType"/>
    <ds:schemaRef ds:uri="http://schemas.microsoft.com/office/2006/metadata/properties/metaAttributes"/>
    <ds:schemaRef ds:uri="http://www.w3.org/2000/xmlns/"/>
    <ds:schemaRef ds:uri="http://www.w3.org/2001/XMLSchema"/>
    <ds:schemaRef ds:uri="710f75cf-da08-47aa-99a6-fc246f4edef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Excel iOS</Application>
  <DocSecurity>0</DocSecurity>
  <ScaleCrop>false</ScaleCrop>
  <HeadingPairs>
    <vt:vector size="2" baseType="variant">
      <vt:variant>
        <vt:lpstr>Regneark</vt:lpstr>
      </vt:variant>
      <vt:variant>
        <vt:i4>3</vt:i4>
      </vt:variant>
    </vt:vector>
  </HeadingPairs>
  <TitlesOfParts>
    <vt:vector size="3" baseType="lpstr">
      <vt:lpstr>Ark1</vt:lpstr>
      <vt:lpstr>Ark2</vt:lpstr>
      <vt:lpstr>Ark3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smed_kat</dc:creator>
  <cp:lastModifiedBy>Jesper Hansen</cp:lastModifiedBy>
  <dcterms:created xsi:type="dcterms:W3CDTF">2014-02-10T15:32:44Z</dcterms:created>
  <dcterms:modified xsi:type="dcterms:W3CDTF">2019-05-07T06:54:24Z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0x010100067F18F82793884E823C295BB315303C</vt:lpwstr>
  </property>
</Properties>
</file>