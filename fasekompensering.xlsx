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h1\OneDrive\Uddanelse\MSk\M7\Installation\Formler\"/>
    </mc:Choice>
  </mc:AlternateContent>
  <xr:revisionPtr revIDLastSave="592" documentId="7F62F4DA2A3E485F384ACF8F4A3F31122B6E825A" xr6:coauthVersionLast="44" xr6:coauthVersionMax="44" xr10:uidLastSave="{66472EBE-B296-497D-834E-50C7E9129D49}"/>
  <bookViews>
    <workbookView xWindow="30612" yWindow="2964" windowWidth="23256" windowHeight="12576" xr2:uid="{2EF7B7AD-D309-4A64-99A4-A4C13B9725F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1" l="1"/>
  <c r="Z8" i="1" l="1"/>
  <c r="H8" i="1"/>
  <c r="X14" i="1"/>
  <c r="K14" i="1" s="1"/>
  <c r="H16" i="1"/>
  <c r="X16" i="1" s="1"/>
  <c r="K16" i="1" s="1"/>
  <c r="H17" i="1"/>
  <c r="X6" i="1"/>
  <c r="X4" i="1"/>
  <c r="Z16" i="1" l="1"/>
  <c r="X19" i="1" s="1"/>
  <c r="H19" i="1"/>
  <c r="J27" i="1"/>
  <c r="F27" i="1"/>
  <c r="X20" i="1" l="1"/>
  <c r="M19" i="1" s="1"/>
  <c r="X21" i="1"/>
  <c r="X22" i="1" s="1"/>
  <c r="D21" i="1" s="1"/>
  <c r="K27" i="1"/>
  <c r="L27" i="1" s="1"/>
  <c r="G27" i="1"/>
  <c r="H27" i="1" s="1"/>
  <c r="B27" i="1"/>
  <c r="F21" i="1" l="1"/>
  <c r="C27" i="1"/>
  <c r="D27" i="1" s="1"/>
  <c r="X3" i="1"/>
  <c r="X5" i="1"/>
  <c r="X8" i="1"/>
  <c r="X10" i="1" l="1"/>
  <c r="H12" i="1" s="1"/>
  <c r="K10" i="1"/>
  <c r="K8" i="1"/>
  <c r="X12" i="1" l="1"/>
  <c r="K12" i="1" s="1"/>
  <c r="Q10" i="1"/>
  <c r="H14" i="1" l="1"/>
</calcChain>
</file>

<file path=xl/sharedStrings.xml><?xml version="1.0" encoding="utf-8"?>
<sst xmlns="http://schemas.openxmlformats.org/spreadsheetml/2006/main" count="62" uniqueCount="31">
  <si>
    <t>V</t>
  </si>
  <si>
    <t>Stjerne Y</t>
  </si>
  <si>
    <t>Trekant Δ</t>
  </si>
  <si>
    <t>1 faset</t>
  </si>
  <si>
    <t>=</t>
  </si>
  <si>
    <t>⇒</t>
  </si>
  <si>
    <r>
      <t>cos</t>
    </r>
    <r>
      <rPr>
        <sz val="11"/>
        <color theme="1"/>
        <rFont val="Calibri"/>
        <family val="2"/>
      </rPr>
      <t>ϕ</t>
    </r>
    <r>
      <rPr>
        <vertAlign val="subscript"/>
        <sz val="11"/>
        <color theme="1"/>
        <rFont val="Calibri"/>
        <family val="2"/>
      </rPr>
      <t xml:space="preserve">1 </t>
    </r>
  </si>
  <si>
    <r>
      <t>cos</t>
    </r>
    <r>
      <rPr>
        <sz val="11"/>
        <color theme="1"/>
        <rFont val="Calibri"/>
        <family val="2"/>
      </rPr>
      <t>ϕ</t>
    </r>
    <r>
      <rPr>
        <vertAlign val="subscript"/>
        <sz val="11"/>
        <color theme="1"/>
        <rFont val="Calibri"/>
        <family val="2"/>
      </rPr>
      <t xml:space="preserve">2 </t>
    </r>
  </si>
  <si>
    <r>
      <t>I</t>
    </r>
    <r>
      <rPr>
        <vertAlign val="subscript"/>
        <sz val="11"/>
        <rFont val="Calibri"/>
        <family val="2"/>
        <scheme val="minor"/>
      </rPr>
      <t>W</t>
    </r>
  </si>
  <si>
    <r>
      <t>I</t>
    </r>
    <r>
      <rPr>
        <vertAlign val="subscript"/>
        <sz val="11"/>
        <rFont val="Calibri"/>
        <family val="2"/>
        <scheme val="minor"/>
      </rPr>
      <t>C1</t>
    </r>
  </si>
  <si>
    <r>
      <t>Q</t>
    </r>
    <r>
      <rPr>
        <vertAlign val="subscript"/>
        <sz val="11"/>
        <rFont val="Calibri"/>
        <family val="2"/>
        <scheme val="minor"/>
      </rPr>
      <t>C1</t>
    </r>
  </si>
  <si>
    <r>
      <t>Q</t>
    </r>
    <r>
      <rPr>
        <vertAlign val="subscript"/>
        <sz val="11"/>
        <color theme="1"/>
        <rFont val="Calibri"/>
        <family val="2"/>
        <scheme val="minor"/>
      </rPr>
      <t>C2</t>
    </r>
  </si>
  <si>
    <r>
      <t>I</t>
    </r>
    <r>
      <rPr>
        <vertAlign val="subscript"/>
        <sz val="11"/>
        <rFont val="Calibri"/>
        <family val="2"/>
        <scheme val="minor"/>
      </rPr>
      <t>B1</t>
    </r>
    <r>
      <rPr>
        <sz val="11"/>
        <rFont val="Calibri"/>
        <family val="2"/>
        <scheme val="minor"/>
      </rPr>
      <t xml:space="preserve"> · cos</t>
    </r>
    <r>
      <rPr>
        <sz val="11"/>
        <rFont val="Calibri"/>
        <family val="2"/>
      </rPr>
      <t>ϕ</t>
    </r>
    <r>
      <rPr>
        <vertAlign val="subscript"/>
        <sz val="7.7"/>
        <rFont val="Calibri"/>
        <family val="2"/>
      </rPr>
      <t>1</t>
    </r>
  </si>
  <si>
    <r>
      <t>I</t>
    </r>
    <r>
      <rPr>
        <vertAlign val="subscript"/>
        <sz val="11"/>
        <rFont val="Calibri"/>
        <family val="2"/>
        <scheme val="minor"/>
      </rPr>
      <t>B2</t>
    </r>
  </si>
  <si>
    <r>
      <t>I</t>
    </r>
    <r>
      <rPr>
        <vertAlign val="sub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 xml:space="preserve"> · (tan(cos¯¹(ϕ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)) - tan(cos¯¹(ϕ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))</t>
    </r>
  </si>
  <si>
    <t>tan1</t>
  </si>
  <si>
    <t>tan2</t>
  </si>
  <si>
    <t>vinkel1</t>
  </si>
  <si>
    <t>vinkel 2</t>
  </si>
  <si>
    <r>
      <t>U</t>
    </r>
    <r>
      <rPr>
        <vertAlign val="subscript"/>
        <sz val="11"/>
        <color theme="1"/>
        <rFont val="Calibri"/>
        <family val="2"/>
        <scheme val="minor"/>
      </rPr>
      <t>N</t>
    </r>
  </si>
  <si>
    <r>
      <t>Q</t>
    </r>
    <r>
      <rPr>
        <vertAlign val="subscript"/>
        <sz val="11"/>
        <rFont val="Calibri"/>
        <family val="2"/>
        <scheme val="minor"/>
      </rPr>
      <t>c2</t>
    </r>
  </si>
  <si>
    <r>
      <t>U</t>
    </r>
    <r>
      <rPr>
        <vertAlign val="subscript"/>
        <sz val="11"/>
        <rFont val="Calibri"/>
        <family val="2"/>
        <scheme val="minor"/>
      </rPr>
      <t>N</t>
    </r>
    <r>
      <rPr>
        <sz val="11"/>
        <rFont val="Calibri"/>
        <family val="2"/>
        <scheme val="minor"/>
      </rPr>
      <t xml:space="preserve"> · </t>
    </r>
    <r>
      <rPr>
        <sz val="11"/>
        <rFont val="Calibri"/>
        <family val="2"/>
      </rPr>
      <t>√3</t>
    </r>
  </si>
  <si>
    <r>
      <t>Q</t>
    </r>
    <r>
      <rPr>
        <vertAlign val="subscript"/>
        <sz val="11"/>
        <color theme="1"/>
        <rFont val="Calibri"/>
        <family val="2"/>
        <scheme val="minor"/>
      </rPr>
      <t>C1</t>
    </r>
    <r>
      <rPr>
        <sz val="11"/>
        <color theme="1"/>
        <rFont val="Calibri"/>
        <family val="2"/>
        <scheme val="minor"/>
      </rPr>
      <t xml:space="preserve"> ≤ Q</t>
    </r>
    <r>
      <rPr>
        <vertAlign val="subscript"/>
        <sz val="11"/>
        <color theme="1"/>
        <rFont val="Calibri"/>
        <family val="2"/>
        <scheme val="minor"/>
      </rPr>
      <t>C2</t>
    </r>
  </si>
  <si>
    <r>
      <t>U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· </t>
    </r>
    <r>
      <rPr>
        <sz val="11"/>
        <color theme="1"/>
        <rFont val="Calibri"/>
        <family val="2"/>
      </rPr>
      <t>√</t>
    </r>
    <r>
      <rPr>
        <sz val="11"/>
        <color theme="1"/>
        <rFont val="Calibri"/>
        <family val="2"/>
        <scheme val="minor"/>
      </rPr>
      <t>3 · I</t>
    </r>
    <r>
      <rPr>
        <vertAlign val="subscript"/>
        <sz val="11"/>
        <color theme="1"/>
        <rFont val="Calibri"/>
        <family val="2"/>
        <scheme val="minor"/>
      </rPr>
      <t>C1</t>
    </r>
  </si>
  <si>
    <t>A ∠ -</t>
  </si>
  <si>
    <r>
      <t>I</t>
    </r>
    <r>
      <rPr>
        <vertAlign val="subscript"/>
        <sz val="11"/>
        <color theme="1"/>
        <rFont val="Calibri"/>
        <family val="2"/>
        <scheme val="minor"/>
      </rPr>
      <t>Bny</t>
    </r>
  </si>
  <si>
    <r>
      <rPr>
        <sz val="11"/>
        <rFont val="Calibri"/>
        <family val="2"/>
      </rPr>
      <t>I̅</t>
    </r>
    <r>
      <rPr>
        <vertAlign val="subscript"/>
        <sz val="11"/>
        <rFont val="Calibri"/>
        <family val="2"/>
        <scheme val="minor"/>
      </rPr>
      <t>B2</t>
    </r>
  </si>
  <si>
    <r>
      <t>I̅</t>
    </r>
    <r>
      <rPr>
        <vertAlign val="subscript"/>
        <sz val="11"/>
        <rFont val="Calibri"/>
        <family val="2"/>
        <scheme val="minor"/>
      </rPr>
      <t xml:space="preserve">B1 </t>
    </r>
  </si>
  <si>
    <r>
      <t>I̅</t>
    </r>
    <r>
      <rPr>
        <vertAlign val="subscript"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 xml:space="preserve"> - I̅</t>
    </r>
    <r>
      <rPr>
        <vertAlign val="subscript"/>
        <sz val="11"/>
        <color theme="1"/>
        <rFont val="Calibri"/>
        <family val="2"/>
        <scheme val="minor"/>
      </rPr>
      <t>B2</t>
    </r>
  </si>
  <si>
    <r>
      <t>cos</t>
    </r>
    <r>
      <rPr>
        <sz val="11"/>
        <color theme="1"/>
        <rFont val="Calibri"/>
        <family val="2"/>
      </rPr>
      <t>ϕ</t>
    </r>
    <r>
      <rPr>
        <vertAlign val="subscript"/>
        <sz val="11"/>
        <color theme="1"/>
        <rFont val="Calibri"/>
        <family val="2"/>
      </rPr>
      <t xml:space="preserve">ny 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</si>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</sst>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vertAlign val="subscript"/>
      <sz val="7.7"/>
      <name val="Calibri"/>
      <family val="2"/>
    </font>
    <font>
      <vertAlign val="subscript"/>
      <sz val="11"/>
      <name val="Calibri"/>
      <family val="2"/>
      <scheme val="minor"/>
    </font>
    <font>
      <vertAlign val="subscript"/>
      <sz val="11"/>
      <color theme="1"/>
      <name val="Calibri"/>
      <family val="2"/>
    </font>
    <font>
      <u val="double"/>
      <sz val="1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2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0" fillId="2" borderId="0" xfId="0" applyFont="1" applyFill="1" applyAlignment="1"/>
    <xf numFmtId="0" fontId="0" fillId="2" borderId="0" xfId="0" applyFill="1" applyBorder="1"/>
    <xf numFmtId="2" fontId="0" fillId="2" borderId="0" xfId="0" applyNumberFormat="1" applyFill="1" applyBorder="1"/>
    <xf numFmtId="0" fontId="0" fillId="2" borderId="0" xfId="0" applyFill="1" applyBorder="1" applyAlignment="1">
      <alignment horizontal="left"/>
    </xf>
    <xf numFmtId="164" fontId="0" fillId="2" borderId="0" xfId="0" applyNumberFormat="1" applyFill="1" applyBorder="1"/>
    <xf numFmtId="0" fontId="3" fillId="2" borderId="0" xfId="0" applyFont="1" applyFill="1" applyBorder="1"/>
    <xf numFmtId="0" fontId="0" fillId="2" borderId="0" xfId="0" applyFill="1" applyBorder="1" applyAlignment="1" applyProtection="1">
      <alignment horizontal="right"/>
      <protection locked="0"/>
    </xf>
    <xf numFmtId="0" fontId="0" fillId="2" borderId="0" xfId="0" applyFill="1" applyBorder="1" applyProtection="1">
      <protection locked="0"/>
    </xf>
    <xf numFmtId="2" fontId="0" fillId="2" borderId="0" xfId="0" applyNumberFormat="1" applyFill="1" applyBorder="1" applyProtection="1">
      <protection locked="0"/>
    </xf>
    <xf numFmtId="0" fontId="4" fillId="3" borderId="0" xfId="0" applyFont="1" applyFill="1" applyAlignment="1" applyProtection="1">
      <alignment horizontal="left"/>
      <protection locked="0"/>
    </xf>
    <xf numFmtId="0" fontId="0" fillId="3" borderId="0" xfId="0" applyFill="1" applyAlignment="1" applyProtection="1">
      <alignment horizontal="right"/>
      <protection locked="0"/>
    </xf>
    <xf numFmtId="0" fontId="4" fillId="3" borderId="0" xfId="0" applyFont="1" applyFill="1" applyAlignment="1" applyProtection="1">
      <alignment horizontal="right"/>
      <protection locked="0"/>
    </xf>
    <xf numFmtId="0" fontId="0" fillId="2" borderId="0" xfId="0" applyFill="1" applyBorder="1" applyAlignment="1">
      <alignment horizontal="center" vertical="center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/>
    </xf>
    <xf numFmtId="0" fontId="0" fillId="0" borderId="0" xfId="0" applyFill="1" applyAlignment="1" applyProtection="1">
      <alignment horizontal="right"/>
    </xf>
    <xf numFmtId="0" fontId="0" fillId="2" borderId="0" xfId="0" applyFont="1" applyFill="1"/>
    <xf numFmtId="165" fontId="0" fillId="2" borderId="0" xfId="0" applyNumberFormat="1" applyFill="1"/>
    <xf numFmtId="2" fontId="4" fillId="2" borderId="0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164" fontId="0" fillId="3" borderId="0" xfId="0" applyNumberFormat="1" applyFill="1" applyAlignment="1" applyProtection="1">
      <alignment horizontal="center"/>
      <protection locked="0"/>
    </xf>
    <xf numFmtId="0" fontId="0" fillId="2" borderId="0" xfId="0" applyFill="1" applyBorder="1" applyAlignment="1">
      <alignment horizontal="center"/>
    </xf>
    <xf numFmtId="0" fontId="0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6004-F74C-4FE0-AE80-937D8A7DE730}">
  <dimension ref="B1:AT38"/>
  <sheetViews>
    <sheetView tabSelected="1" topLeftCell="A2" zoomScaleNormal="100" workbookViewId="0">
      <selection activeCell="AF3" sqref="AF3"/>
    </sheetView>
  </sheetViews>
  <sheetFormatPr defaultColWidth="8.90625" defaultRowHeight="14.5" x14ac:dyDescent="0.35"/>
  <cols>
    <col min="1" max="1" width="2.08984375" style="2" customWidth="1"/>
    <col min="2" max="2" width="5.90625" style="2" customWidth="1"/>
    <col min="3" max="3" width="3" style="8" customWidth="1"/>
    <col min="4" max="4" width="5.6328125" style="3" customWidth="1"/>
    <col min="5" max="5" width="5.6328125" style="2" customWidth="1"/>
    <col min="6" max="6" width="2.6328125" style="2" customWidth="1"/>
    <col min="7" max="7" width="3.453125" style="2" customWidth="1"/>
    <col min="8" max="8" width="7" style="2" customWidth="1"/>
    <col min="9" max="9" width="6.81640625" style="2" customWidth="1"/>
    <col min="10" max="10" width="3.36328125" style="8" customWidth="1"/>
    <col min="11" max="11" width="5.6328125" style="2" customWidth="1"/>
    <col min="12" max="12" width="2.453125" style="2" customWidth="1"/>
    <col min="13" max="15" width="5.6328125" style="2" customWidth="1"/>
    <col min="16" max="16" width="3" style="2" customWidth="1"/>
    <col min="17" max="20" width="5.6328125" style="2" customWidth="1"/>
    <col min="21" max="29" width="5.6328125" style="2" hidden="1" customWidth="1"/>
    <col min="30" max="30" width="0" style="2" hidden="1" customWidth="1"/>
    <col min="31" max="16384" width="8.90625" style="2"/>
  </cols>
  <sheetData>
    <row r="1" spans="2:46" x14ac:dyDescent="0.35">
      <c r="B1" s="4"/>
      <c r="C1" s="9"/>
      <c r="D1" s="5"/>
      <c r="E1" s="4"/>
      <c r="F1" s="4"/>
      <c r="G1" s="4"/>
      <c r="H1" s="4"/>
      <c r="I1" s="4"/>
      <c r="J1" s="9"/>
      <c r="K1" s="4"/>
      <c r="L1" s="4"/>
      <c r="M1" s="4"/>
    </row>
    <row r="2" spans="2:46" x14ac:dyDescent="0.35">
      <c r="J2" s="9"/>
      <c r="K2" s="4"/>
      <c r="L2" s="4"/>
      <c r="M2" s="4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 spans="2:46" ht="16.5" x14ac:dyDescent="0.45">
      <c r="B3" s="2" t="s">
        <v>19</v>
      </c>
      <c r="C3" s="8" t="s">
        <v>4</v>
      </c>
      <c r="D3" s="22">
        <v>400</v>
      </c>
      <c r="E3" s="4" t="s">
        <v>0</v>
      </c>
      <c r="J3" s="9"/>
      <c r="K3" s="4"/>
      <c r="L3" s="4"/>
      <c r="M3" s="4"/>
      <c r="W3" s="2" t="s">
        <v>15</v>
      </c>
      <c r="X3" s="2">
        <f>TAN(ACOS(D5))</f>
        <v>0.55266744456425909</v>
      </c>
      <c r="AD3" s="13"/>
      <c r="AE3" s="13"/>
      <c r="AF3" s="18"/>
      <c r="AG3" s="15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spans="2:46" ht="16.5" x14ac:dyDescent="0.45">
      <c r="B4" s="4" t="s">
        <v>27</v>
      </c>
      <c r="C4" s="9" t="s">
        <v>4</v>
      </c>
      <c r="D4" s="23">
        <v>433.87</v>
      </c>
      <c r="E4" s="2" t="s">
        <v>24</v>
      </c>
      <c r="F4" s="39">
        <v>28.928000000000001</v>
      </c>
      <c r="G4" s="39"/>
      <c r="J4" s="9"/>
      <c r="K4" s="4"/>
      <c r="L4" s="4"/>
      <c r="M4" s="4"/>
      <c r="W4" s="2" t="s">
        <v>16</v>
      </c>
      <c r="X4" s="2">
        <f>TAN(ACOS(D6))</f>
        <v>0.48432210483785254</v>
      </c>
      <c r="AD4" s="13"/>
      <c r="AE4" s="13"/>
      <c r="AF4" s="18" t="s">
        <v>30</v>
      </c>
      <c r="AG4" s="15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 spans="2:46" ht="16.5" x14ac:dyDescent="0.45">
      <c r="B5" s="2" t="s">
        <v>6</v>
      </c>
      <c r="C5" s="8" t="s">
        <v>4</v>
      </c>
      <c r="D5" s="28">
        <f>COS(RADIANS(F4))</f>
        <v>0.87522824614364525</v>
      </c>
      <c r="J5" s="9"/>
      <c r="K5" s="4"/>
      <c r="L5" s="4"/>
      <c r="M5" s="4"/>
      <c r="W5" s="2" t="s">
        <v>17</v>
      </c>
      <c r="X5" s="2">
        <f>DEGREES(ACOS(D5))</f>
        <v>28.927999999999987</v>
      </c>
      <c r="AD5" s="13"/>
      <c r="AE5" s="13"/>
      <c r="AF5" s="19"/>
      <c r="AG5" s="15"/>
      <c r="AH5" s="13"/>
      <c r="AI5" s="13"/>
      <c r="AJ5" s="13"/>
      <c r="AK5" s="13"/>
      <c r="AL5" s="13"/>
      <c r="AM5" s="13"/>
      <c r="AN5" s="13"/>
      <c r="AO5" s="13"/>
      <c r="AP5" s="34"/>
      <c r="AQ5" s="34"/>
      <c r="AR5" s="34"/>
      <c r="AS5" s="13"/>
      <c r="AT5" s="13"/>
    </row>
    <row r="6" spans="2:46" ht="16.5" x14ac:dyDescent="0.45">
      <c r="B6" s="2" t="s">
        <v>7</v>
      </c>
      <c r="C6" s="8" t="s">
        <v>4</v>
      </c>
      <c r="D6" s="22">
        <v>0.9</v>
      </c>
      <c r="F6" s="4"/>
      <c r="G6" s="4"/>
      <c r="H6" s="4"/>
      <c r="I6" s="4"/>
      <c r="J6" s="9"/>
      <c r="K6" s="4"/>
      <c r="L6" s="4"/>
      <c r="M6" s="4"/>
      <c r="W6" s="2" t="s">
        <v>18</v>
      </c>
      <c r="X6" s="2">
        <f>DEGREES(ACOS(D6))</f>
        <v>25.841932763167126</v>
      </c>
      <c r="AD6" s="13"/>
      <c r="AE6" s="13"/>
      <c r="AF6" s="19"/>
      <c r="AG6" s="15"/>
      <c r="AH6" s="13"/>
      <c r="AI6" s="13"/>
      <c r="AJ6" s="13"/>
      <c r="AK6" s="13"/>
      <c r="AL6" s="13"/>
      <c r="AM6" s="13"/>
      <c r="AN6" s="13"/>
      <c r="AO6" s="13"/>
      <c r="AP6" s="34"/>
      <c r="AQ6" s="34"/>
      <c r="AR6" s="34"/>
      <c r="AS6" s="13"/>
      <c r="AT6" s="13"/>
    </row>
    <row r="7" spans="2:46" x14ac:dyDescent="0.35">
      <c r="B7" s="4"/>
      <c r="C7" s="9"/>
      <c r="D7" s="5"/>
      <c r="E7" s="4"/>
      <c r="F7" s="4"/>
      <c r="G7" s="4"/>
      <c r="H7" s="4"/>
      <c r="I7" s="4"/>
      <c r="J7" s="9"/>
      <c r="K7" s="4"/>
      <c r="L7" s="4"/>
      <c r="M7" s="4"/>
      <c r="AD7" s="13"/>
      <c r="AE7" s="13"/>
      <c r="AF7" s="19"/>
      <c r="AG7" s="15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 spans="2:46" ht="16.5" x14ac:dyDescent="0.45">
      <c r="B8" s="4" t="s">
        <v>8</v>
      </c>
      <c r="C8" s="9" t="s">
        <v>4</v>
      </c>
      <c r="D8" s="38" t="s">
        <v>12</v>
      </c>
      <c r="E8" s="38"/>
      <c r="F8" s="38"/>
      <c r="G8" s="9" t="s">
        <v>5</v>
      </c>
      <c r="H8" s="38" t="str">
        <f>D4&amp;" · "&amp;ROUND(D5,2)</f>
        <v>433,87 · 0,88</v>
      </c>
      <c r="I8" s="38"/>
      <c r="J8" s="9" t="s">
        <v>4</v>
      </c>
      <c r="K8" s="3" t="str">
        <f>ROUND(X8,2)&amp;" A"</f>
        <v>379,74 A</v>
      </c>
      <c r="L8" s="4"/>
      <c r="M8" s="4"/>
      <c r="V8" s="4" t="s">
        <v>8</v>
      </c>
      <c r="W8" s="4" t="s">
        <v>4</v>
      </c>
      <c r="X8" s="4">
        <f>D4*D5</f>
        <v>379.73527915434335</v>
      </c>
      <c r="Z8" s="2" t="str">
        <f>COMPLEX(D4*D5,D4*SIN(-ACOS(D5)),"j")</f>
        <v>379,735279154343-209,867326341127j</v>
      </c>
      <c r="AD8" s="13"/>
      <c r="AE8" s="13"/>
      <c r="AF8" s="20"/>
      <c r="AG8" s="15"/>
      <c r="AH8" s="13"/>
      <c r="AI8" s="13"/>
      <c r="AJ8" s="13"/>
      <c r="AK8" s="13"/>
      <c r="AL8" s="13"/>
      <c r="AM8" s="13"/>
      <c r="AN8" s="13"/>
      <c r="AO8" s="13"/>
      <c r="AP8" s="13"/>
      <c r="AQ8" s="19"/>
      <c r="AR8" s="15"/>
      <c r="AS8" s="13"/>
      <c r="AT8" s="13"/>
    </row>
    <row r="9" spans="2:46" x14ac:dyDescent="0.35">
      <c r="B9" s="4"/>
      <c r="C9" s="9"/>
      <c r="D9" s="5"/>
      <c r="E9" s="4"/>
      <c r="F9" s="4"/>
      <c r="G9" s="4"/>
      <c r="H9" s="4"/>
      <c r="I9" s="4"/>
      <c r="J9" s="9"/>
      <c r="V9" s="4"/>
      <c r="W9" s="4"/>
      <c r="AD9" s="13"/>
      <c r="AE9" s="13"/>
      <c r="AF9" s="14"/>
      <c r="AG9" s="15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 spans="2:46" ht="16.5" x14ac:dyDescent="0.45">
      <c r="B10" s="4" t="s">
        <v>9</v>
      </c>
      <c r="C10" s="9" t="s">
        <v>4</v>
      </c>
      <c r="D10" s="32" t="s">
        <v>14</v>
      </c>
      <c r="E10" s="32"/>
      <c r="F10" s="32"/>
      <c r="G10" s="32"/>
      <c r="H10" s="32"/>
      <c r="I10" s="32"/>
      <c r="J10" s="9" t="s">
        <v>5</v>
      </c>
      <c r="K10" s="4" t="str">
        <f>ROUND(X8,2)&amp;" · (tan("&amp;ROUND(X5,2)&amp;") - tan("&amp;ROUND(X6,2)&amp;"))"</f>
        <v>379,74 · (tan(28,93) - tan(25,84))</v>
      </c>
      <c r="M10" s="4"/>
      <c r="N10" s="4"/>
      <c r="P10" s="7" t="s">
        <v>4</v>
      </c>
      <c r="Q10" s="2" t="str">
        <f>ROUND(X10,2)&amp;" A"</f>
        <v>25,95 A</v>
      </c>
      <c r="V10" s="4" t="s">
        <v>9</v>
      </c>
      <c r="W10" s="4" t="s">
        <v>4</v>
      </c>
      <c r="X10" s="1">
        <f>X8*(X3-X4)</f>
        <v>25.953136659905425</v>
      </c>
      <c r="AD10" s="13"/>
      <c r="AE10" s="13"/>
      <c r="AF10" s="14"/>
      <c r="AG10" s="15"/>
      <c r="AH10" s="13"/>
      <c r="AI10" s="13"/>
      <c r="AJ10" s="13"/>
      <c r="AK10" s="13"/>
      <c r="AL10" s="13"/>
      <c r="AM10" s="13"/>
      <c r="AN10" s="13"/>
      <c r="AO10" s="13"/>
      <c r="AP10" s="13"/>
      <c r="AQ10" s="14"/>
      <c r="AR10" s="15"/>
      <c r="AS10" s="13"/>
      <c r="AT10" s="13"/>
    </row>
    <row r="11" spans="2:46" x14ac:dyDescent="0.35">
      <c r="B11" s="4"/>
      <c r="C11" s="9"/>
      <c r="D11" s="5"/>
      <c r="E11" s="4"/>
      <c r="F11" s="4"/>
      <c r="G11" s="4"/>
      <c r="H11" s="4"/>
      <c r="I11" s="4"/>
      <c r="J11" s="9"/>
      <c r="K11" s="4"/>
      <c r="L11" s="4"/>
      <c r="M11" s="4"/>
      <c r="V11" s="4"/>
      <c r="W11" s="4"/>
      <c r="AD11" s="13"/>
      <c r="AE11" s="13"/>
      <c r="AF11" s="14"/>
      <c r="AG11" s="15"/>
      <c r="AH11" s="13"/>
      <c r="AI11" s="13"/>
      <c r="AJ11" s="14"/>
      <c r="AK11" s="13"/>
      <c r="AL11" s="13"/>
      <c r="AM11" s="13"/>
      <c r="AN11" s="14"/>
      <c r="AO11" s="13"/>
      <c r="AP11" s="13"/>
      <c r="AQ11" s="14"/>
      <c r="AR11" s="15"/>
      <c r="AS11" s="13"/>
      <c r="AT11" s="13"/>
    </row>
    <row r="12" spans="2:46" ht="16.5" x14ac:dyDescent="0.45">
      <c r="B12" s="4" t="s">
        <v>10</v>
      </c>
      <c r="C12" s="9" t="s">
        <v>4</v>
      </c>
      <c r="D12" s="37" t="s">
        <v>23</v>
      </c>
      <c r="E12" s="37"/>
      <c r="F12" s="37"/>
      <c r="G12" s="9" t="s">
        <v>5</v>
      </c>
      <c r="H12" s="38" t="str">
        <f>D3&amp;" · √3 · "&amp;ROUND(X10,2)</f>
        <v>400 · √3 · 25,95</v>
      </c>
      <c r="I12" s="38"/>
      <c r="J12" s="9" t="s">
        <v>4</v>
      </c>
      <c r="K12" s="2" t="str">
        <f>ROUND(X12/1000,2)&amp;" kVAr"</f>
        <v>17,98 kVAr</v>
      </c>
      <c r="L12" s="10"/>
      <c r="V12" s="4" t="s">
        <v>10</v>
      </c>
      <c r="W12" s="4" t="s">
        <v>4</v>
      </c>
      <c r="X12" s="4">
        <f>D3*SQRT(3)*X10</f>
        <v>17980.86052429385</v>
      </c>
      <c r="AD12" s="13"/>
      <c r="AE12" s="13"/>
      <c r="AF12" s="14"/>
      <c r="AG12" s="15"/>
      <c r="AH12" s="13"/>
      <c r="AI12" s="13"/>
      <c r="AJ12" s="14"/>
      <c r="AK12" s="13"/>
      <c r="AL12" s="13"/>
      <c r="AM12" s="13"/>
      <c r="AN12" s="14"/>
      <c r="AO12" s="13"/>
      <c r="AP12" s="13"/>
      <c r="AQ12" s="16"/>
      <c r="AR12" s="15"/>
      <c r="AS12" s="13"/>
      <c r="AT12" s="13"/>
    </row>
    <row r="13" spans="2:46" x14ac:dyDescent="0.35">
      <c r="D13" s="5"/>
      <c r="E13" s="4"/>
      <c r="F13" s="4"/>
      <c r="G13" s="4"/>
      <c r="H13" s="4"/>
      <c r="I13" s="4"/>
      <c r="J13" s="9"/>
      <c r="K13" s="4"/>
      <c r="L13" s="4"/>
      <c r="M13" s="4"/>
      <c r="AD13" s="13"/>
      <c r="AE13" s="13"/>
      <c r="AF13" s="14"/>
      <c r="AG13" s="15"/>
      <c r="AH13" s="13"/>
      <c r="AI13" s="13"/>
      <c r="AJ13" s="14"/>
      <c r="AK13" s="13"/>
      <c r="AL13" s="13"/>
      <c r="AM13" s="13"/>
      <c r="AN13" s="14"/>
      <c r="AO13" s="13"/>
      <c r="AP13" s="13"/>
      <c r="AQ13" s="13"/>
      <c r="AR13" s="15"/>
      <c r="AS13" s="13"/>
      <c r="AT13" s="13"/>
    </row>
    <row r="14" spans="2:46" ht="16.5" x14ac:dyDescent="0.45">
      <c r="B14" s="2" t="s">
        <v>11</v>
      </c>
      <c r="C14" s="8" t="s">
        <v>4</v>
      </c>
      <c r="D14" s="37" t="s">
        <v>22</v>
      </c>
      <c r="E14" s="37"/>
      <c r="F14" s="37"/>
      <c r="G14" s="9" t="s">
        <v>5</v>
      </c>
      <c r="H14" s="2" t="str">
        <f>ROUND(X12/1000,2)&amp;" ≤"</f>
        <v>17,98 ≤</v>
      </c>
      <c r="I14" s="21">
        <v>18.899999999999999</v>
      </c>
      <c r="J14" s="9" t="s">
        <v>4</v>
      </c>
      <c r="K14" s="29" t="str">
        <f>X14&amp;" kVAr"</f>
        <v>18,9 kVAr</v>
      </c>
      <c r="M14" s="4"/>
      <c r="V14" s="2" t="s">
        <v>11</v>
      </c>
      <c r="W14" s="2" t="s">
        <v>4</v>
      </c>
      <c r="X14" s="4">
        <f>I14</f>
        <v>18.899999999999999</v>
      </c>
      <c r="AD14" s="13"/>
      <c r="AE14" s="13"/>
      <c r="AF14" s="14"/>
      <c r="AG14" s="15"/>
      <c r="AH14" s="13"/>
      <c r="AI14" s="13"/>
      <c r="AJ14" s="14"/>
      <c r="AK14" s="13"/>
      <c r="AL14" s="13"/>
      <c r="AM14" s="13"/>
      <c r="AN14" s="14"/>
      <c r="AO14" s="13"/>
      <c r="AP14" s="13"/>
      <c r="AQ14" s="14"/>
      <c r="AR14" s="15"/>
      <c r="AS14" s="13"/>
      <c r="AT14" s="13"/>
    </row>
    <row r="15" spans="2:46" x14ac:dyDescent="0.35">
      <c r="H15" s="4"/>
      <c r="I15" s="4"/>
      <c r="J15" s="9"/>
      <c r="K15" s="4"/>
      <c r="L15" s="4"/>
      <c r="M15" s="4"/>
      <c r="AD15" s="13"/>
      <c r="AE15" s="13"/>
      <c r="AF15" s="13"/>
      <c r="AG15" s="13"/>
      <c r="AH15" s="13"/>
      <c r="AI15" s="13"/>
      <c r="AJ15" s="14"/>
      <c r="AK15" s="13"/>
      <c r="AL15" s="13"/>
      <c r="AM15" s="13"/>
      <c r="AN15" s="14"/>
      <c r="AO15" s="13"/>
      <c r="AP15" s="13"/>
      <c r="AQ15" s="13"/>
      <c r="AR15" s="13"/>
      <c r="AS15" s="13"/>
      <c r="AT15" s="13"/>
    </row>
    <row r="16" spans="2:46" ht="17" thickBot="1" x14ac:dyDescent="0.5">
      <c r="B16" s="33" t="s">
        <v>26</v>
      </c>
      <c r="C16" s="32" t="s">
        <v>4</v>
      </c>
      <c r="D16" s="35" t="s">
        <v>20</v>
      </c>
      <c r="E16" s="35"/>
      <c r="F16" s="35"/>
      <c r="G16" s="32" t="s">
        <v>5</v>
      </c>
      <c r="H16" s="35">
        <f>I14*1000</f>
        <v>18900</v>
      </c>
      <c r="I16" s="35"/>
      <c r="J16" s="32" t="s">
        <v>4</v>
      </c>
      <c r="K16" s="41" t="str">
        <f>"("&amp;ROUND(X16,2)&amp;" ∠90 A)"</f>
        <v>(27,28 ∠90 A)</v>
      </c>
      <c r="L16" s="41"/>
      <c r="M16" s="41"/>
      <c r="V16" s="4" t="s">
        <v>13</v>
      </c>
      <c r="W16" s="4" t="s">
        <v>4</v>
      </c>
      <c r="X16" s="6">
        <f>H16/(D3*SQRT(3))</f>
        <v>27.279800219209818</v>
      </c>
      <c r="Y16" s="2">
        <v>0</v>
      </c>
      <c r="Z16" s="2" t="str">
        <f>COMPLEX(X16*Y16,X16*SIN(ACOS(Y16)),"j")</f>
        <v>27,2798002192098j</v>
      </c>
      <c r="AD16" s="13"/>
      <c r="AE16" s="13"/>
      <c r="AF16" s="13"/>
      <c r="AG16" s="13"/>
      <c r="AH16" s="13"/>
      <c r="AI16" s="13"/>
      <c r="AJ16" s="14"/>
      <c r="AK16" s="13"/>
      <c r="AL16" s="13"/>
      <c r="AM16" s="13"/>
      <c r="AN16" s="14"/>
      <c r="AO16" s="13"/>
      <c r="AP16" s="13"/>
      <c r="AQ16" s="13"/>
      <c r="AR16" s="13"/>
      <c r="AS16" s="13"/>
      <c r="AT16" s="13"/>
    </row>
    <row r="17" spans="2:46" ht="14.4" customHeight="1" x14ac:dyDescent="0.45">
      <c r="B17" s="33"/>
      <c r="C17" s="32"/>
      <c r="D17" s="36" t="s">
        <v>21</v>
      </c>
      <c r="E17" s="36"/>
      <c r="F17" s="36"/>
      <c r="G17" s="32"/>
      <c r="H17" s="36" t="str">
        <f>D3&amp;" · √3"</f>
        <v>400 · √3</v>
      </c>
      <c r="I17" s="36"/>
      <c r="J17" s="32"/>
      <c r="K17" s="41"/>
      <c r="L17" s="41"/>
      <c r="M17" s="41"/>
      <c r="N17" s="12"/>
      <c r="AD17" s="13"/>
      <c r="AE17" s="17"/>
      <c r="AF17" s="13"/>
      <c r="AG17" s="15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 spans="2:46" x14ac:dyDescent="0.35">
      <c r="M18" s="12"/>
      <c r="N18" s="12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  <row r="19" spans="2:46" ht="16.5" x14ac:dyDescent="0.45">
      <c r="B19" s="13" t="s">
        <v>25</v>
      </c>
      <c r="C19" s="24" t="s">
        <v>4</v>
      </c>
      <c r="D19" s="40" t="s">
        <v>28</v>
      </c>
      <c r="E19" s="40"/>
      <c r="F19" s="13"/>
      <c r="G19" s="13" t="s">
        <v>4</v>
      </c>
      <c r="H19" s="13" t="str">
        <f>"("&amp;D4&amp;"∠-"&amp;F4&amp;") - ("&amp;ROUND(X16,2)&amp;" ∠ "&amp;90&amp;")"</f>
        <v>(433,87∠-28,928) - (27,28 ∠ 90)</v>
      </c>
      <c r="I19" s="13"/>
      <c r="J19" s="24"/>
      <c r="K19" s="13"/>
      <c r="L19" s="13" t="s">
        <v>4</v>
      </c>
      <c r="M19" s="42" t="str">
        <f>"("&amp;X20&amp;") A"</f>
        <v>(421,35∠-25,68) A</v>
      </c>
      <c r="N19" s="42"/>
      <c r="O19" s="42"/>
      <c r="P19" s="13"/>
      <c r="Q19" s="13"/>
      <c r="R19" s="13"/>
      <c r="S19" s="13"/>
      <c r="T19" s="13"/>
      <c r="X19" s="2" t="str">
        <f>IMSUM(Z8,Z16)</f>
        <v>379,735279154343-182,587526121917j</v>
      </c>
      <c r="AD19" s="13"/>
      <c r="AE19" s="13"/>
      <c r="AF19" s="13"/>
      <c r="AG19" s="15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 spans="2:46" x14ac:dyDescent="0.35">
      <c r="P20" s="13"/>
      <c r="Q20" s="13"/>
      <c r="R20" s="13"/>
      <c r="S20" s="13"/>
      <c r="T20" s="13"/>
      <c r="X20" s="2" t="str">
        <f>ROUND(IMABS(X19),2)&amp;"∠"&amp;ROUND(DEGREES(IMARGUMENT(X19)),2)</f>
        <v>421,35∠-25,68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</row>
    <row r="21" spans="2:46" ht="16.5" x14ac:dyDescent="0.45">
      <c r="B21" s="13" t="s">
        <v>29</v>
      </c>
      <c r="C21" s="26" t="s">
        <v>4</v>
      </c>
      <c r="D21" s="31">
        <f>ROUNDDOWN(X22,2)</f>
        <v>0.9</v>
      </c>
      <c r="E21" s="11" t="s">
        <v>5</v>
      </c>
      <c r="F21" s="25" t="str">
        <f>IF(D21&gt;=0.9,"OK","ikke ok")</f>
        <v>OK</v>
      </c>
      <c r="G21" s="25"/>
      <c r="H21" s="25"/>
      <c r="I21" s="25"/>
      <c r="J21" s="26"/>
      <c r="K21" s="25"/>
      <c r="L21" s="25"/>
      <c r="M21" s="25"/>
      <c r="N21" s="13"/>
      <c r="O21" s="13"/>
      <c r="P21" s="13"/>
      <c r="Q21" s="13"/>
      <c r="R21" s="13"/>
      <c r="S21" s="13"/>
      <c r="T21" s="13"/>
      <c r="X21" s="2">
        <f>DEGREES(IMARGUMENT(X19))</f>
        <v>-25.679571665631062</v>
      </c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 spans="2:46" x14ac:dyDescent="0.35">
      <c r="G22" s="25"/>
      <c r="H22" s="25"/>
      <c r="I22" s="25"/>
      <c r="J22" s="26"/>
      <c r="K22" s="25"/>
      <c r="L22" s="25"/>
      <c r="M22" s="25"/>
      <c r="N22" s="13"/>
      <c r="O22" s="13"/>
      <c r="P22" s="13"/>
      <c r="Q22" s="13"/>
      <c r="R22" s="13"/>
      <c r="S22" s="13"/>
      <c r="T22" s="13"/>
      <c r="X22" s="30">
        <f>COS(RADIANS(X21))</f>
        <v>0.90123158159072869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 spans="2:46" x14ac:dyDescent="0.35">
      <c r="B23" s="13"/>
      <c r="C23" s="24"/>
      <c r="D23" s="15"/>
      <c r="E23" s="13"/>
      <c r="F23" s="13"/>
      <c r="G23" s="13"/>
      <c r="H23" s="13"/>
      <c r="I23" s="13"/>
      <c r="J23" s="24"/>
      <c r="K23" s="13"/>
      <c r="L23" s="13"/>
      <c r="M23" s="25"/>
      <c r="N23" s="13"/>
      <c r="O23" s="13"/>
      <c r="P23" s="13"/>
      <c r="Q23" s="13"/>
      <c r="R23" s="13"/>
      <c r="S23" s="13"/>
      <c r="T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 spans="2:46" x14ac:dyDescent="0.35">
      <c r="B24" s="13"/>
      <c r="C24" s="24"/>
      <c r="D24" s="15"/>
      <c r="E24" s="13"/>
      <c r="F24" s="13"/>
      <c r="G24" s="13"/>
      <c r="H24" s="13"/>
      <c r="I24" s="13"/>
      <c r="J24" s="24"/>
      <c r="K24" s="13"/>
      <c r="L24" s="13"/>
      <c r="M24" s="13"/>
      <c r="N24" s="13"/>
      <c r="O24" s="13"/>
      <c r="P24" s="13"/>
      <c r="Q24" s="13"/>
      <c r="R24" s="13"/>
      <c r="S24" s="13"/>
      <c r="T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</row>
    <row r="25" spans="2:46" x14ac:dyDescent="0.35">
      <c r="B25" s="13"/>
      <c r="C25" s="24"/>
      <c r="D25" s="15"/>
      <c r="E25" s="13"/>
      <c r="F25" s="13"/>
      <c r="G25" s="13"/>
      <c r="H25" s="13"/>
      <c r="I25" s="13"/>
      <c r="J25" s="24"/>
      <c r="K25" s="13"/>
      <c r="L25" s="13"/>
      <c r="M25" s="13"/>
      <c r="N25" s="13"/>
      <c r="O25" s="13"/>
      <c r="P25" s="13"/>
      <c r="Q25" s="13"/>
      <c r="R25" s="13"/>
      <c r="S25" s="13"/>
      <c r="T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</row>
    <row r="26" spans="2:46" x14ac:dyDescent="0.35">
      <c r="B26" s="13"/>
      <c r="C26" s="24"/>
      <c r="D26" s="15"/>
      <c r="E26" s="13"/>
      <c r="F26" s="13"/>
      <c r="G26" s="13"/>
      <c r="H26" s="13"/>
      <c r="I26" s="13"/>
      <c r="J26" s="24"/>
      <c r="K26" s="13"/>
      <c r="L26" s="13"/>
      <c r="M26" s="13"/>
      <c r="N26" s="13"/>
      <c r="O26" s="13"/>
      <c r="P26" s="13"/>
      <c r="Q26" s="13"/>
      <c r="R26" s="13"/>
      <c r="S26" s="13"/>
      <c r="T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</row>
    <row r="27" spans="2:46" hidden="1" x14ac:dyDescent="0.35">
      <c r="B27" s="25" t="str">
        <f>COMPLEX(AF6*AF7,AF6*(SIN(-ACOS(AF7))),"j")</f>
        <v>0</v>
      </c>
      <c r="C27" s="26" t="str">
        <f>COMPLEX(0,AQ11,"j")</f>
        <v>0</v>
      </c>
      <c r="D27" s="27" t="str">
        <f>IMSUM(B27,C27)</f>
        <v>0</v>
      </c>
      <c r="E27" s="25"/>
      <c r="F27" s="25" t="str">
        <f>COMPLEX(AJ6*AJ7,AJ6*(SIN(-ACOS(AJ7))),"j")</f>
        <v>0</v>
      </c>
      <c r="G27" s="25" t="str">
        <f>COMPLEX(0,AJ21,"j")</f>
        <v>0</v>
      </c>
      <c r="H27" s="25" t="str">
        <f>IMSUM(F27,G27)</f>
        <v>0</v>
      </c>
      <c r="I27" s="25"/>
      <c r="J27" s="26" t="str">
        <f>COMPLEX(AN6*AN7,AN6*(SIN(-ACOS(AN7))),"j")</f>
        <v>0</v>
      </c>
      <c r="K27" s="25" t="str">
        <f>COMPLEX(0,AN21,"j")</f>
        <v>0</v>
      </c>
      <c r="L27" s="25" t="str">
        <f>IMSUM(J27,K27)</f>
        <v>0</v>
      </c>
      <c r="M27" s="25"/>
      <c r="N27" s="13"/>
      <c r="O27" s="13"/>
      <c r="P27" s="13"/>
      <c r="Q27" s="13"/>
      <c r="R27" s="13"/>
      <c r="S27" s="13"/>
      <c r="T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</row>
    <row r="28" spans="2:46" hidden="1" x14ac:dyDescent="0.35">
      <c r="B28" s="25"/>
      <c r="C28" s="26"/>
      <c r="D28" s="27"/>
      <c r="E28" s="25"/>
      <c r="F28" s="25"/>
      <c r="G28" s="25"/>
      <c r="H28" s="25"/>
      <c r="I28" s="25"/>
      <c r="J28" s="26"/>
      <c r="K28" s="25"/>
      <c r="L28" s="25"/>
      <c r="M28" s="25"/>
      <c r="N28" s="13"/>
      <c r="O28" s="13"/>
      <c r="P28" s="13"/>
      <c r="Q28" s="13"/>
      <c r="R28" s="13"/>
      <c r="S28" s="13"/>
      <c r="T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</row>
    <row r="29" spans="2:46" hidden="1" x14ac:dyDescent="0.35">
      <c r="B29" s="25"/>
      <c r="C29" s="26"/>
      <c r="D29" s="27"/>
      <c r="E29" s="25"/>
      <c r="F29" s="25"/>
      <c r="G29" s="25"/>
      <c r="H29" s="25"/>
      <c r="I29" s="25"/>
      <c r="J29" s="26"/>
      <c r="K29" s="25"/>
      <c r="L29" s="25"/>
      <c r="M29" s="25"/>
      <c r="N29" s="13"/>
      <c r="O29" s="13"/>
      <c r="P29" s="13"/>
      <c r="Q29" s="13"/>
      <c r="R29" s="13"/>
      <c r="S29" s="13"/>
      <c r="T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</row>
    <row r="30" spans="2:46" hidden="1" x14ac:dyDescent="0.35">
      <c r="B30" s="25"/>
      <c r="C30" s="26" t="s">
        <v>3</v>
      </c>
      <c r="D30" s="27"/>
      <c r="E30" s="25"/>
      <c r="F30" s="25"/>
      <c r="G30" s="25"/>
      <c r="H30" s="25"/>
      <c r="I30" s="25"/>
      <c r="J30" s="26"/>
      <c r="K30" s="25"/>
      <c r="L30" s="25"/>
      <c r="M30" s="25"/>
      <c r="N30" s="13"/>
      <c r="O30" s="13"/>
      <c r="P30" s="13"/>
      <c r="Q30" s="13"/>
      <c r="R30" s="13"/>
      <c r="S30" s="13"/>
      <c r="T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</row>
    <row r="31" spans="2:46" hidden="1" x14ac:dyDescent="0.35">
      <c r="B31" s="25"/>
      <c r="C31" s="26" t="s">
        <v>1</v>
      </c>
      <c r="D31" s="27"/>
      <c r="E31" s="25"/>
      <c r="F31" s="25"/>
      <c r="G31" s="25"/>
      <c r="H31" s="25"/>
      <c r="I31" s="25"/>
      <c r="J31" s="26"/>
      <c r="K31" s="25"/>
      <c r="L31" s="25"/>
      <c r="M31" s="25"/>
      <c r="N31" s="13"/>
      <c r="O31" s="13"/>
      <c r="P31" s="13"/>
      <c r="Q31" s="13"/>
      <c r="R31" s="13"/>
      <c r="S31" s="13"/>
      <c r="T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</row>
    <row r="32" spans="2:46" hidden="1" x14ac:dyDescent="0.35">
      <c r="B32" s="25"/>
      <c r="C32" s="26" t="s">
        <v>2</v>
      </c>
      <c r="D32" s="27"/>
      <c r="E32" s="25"/>
      <c r="F32" s="25"/>
      <c r="G32" s="25"/>
      <c r="H32" s="25"/>
      <c r="I32" s="25"/>
      <c r="J32" s="26"/>
      <c r="K32" s="25"/>
      <c r="L32" s="25"/>
      <c r="M32" s="25"/>
      <c r="N32" s="13"/>
      <c r="O32" s="13"/>
      <c r="P32" s="13"/>
      <c r="Q32" s="13"/>
      <c r="R32" s="13"/>
      <c r="S32" s="13"/>
      <c r="T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</row>
    <row r="33" spans="2:46" x14ac:dyDescent="0.35">
      <c r="B33" s="25"/>
      <c r="C33" s="26"/>
      <c r="D33" s="27"/>
      <c r="E33" s="25"/>
      <c r="F33" s="25"/>
      <c r="G33" s="25"/>
      <c r="H33" s="25"/>
      <c r="I33" s="25"/>
      <c r="J33" s="26"/>
      <c r="K33" s="25"/>
      <c r="L33" s="25"/>
      <c r="M33" s="25"/>
      <c r="N33" s="13"/>
      <c r="O33" s="13"/>
      <c r="P33" s="13"/>
      <c r="Q33" s="13"/>
      <c r="R33" s="13"/>
      <c r="S33" s="13"/>
      <c r="T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</row>
    <row r="34" spans="2:46" x14ac:dyDescent="0.35">
      <c r="B34" s="25"/>
      <c r="C34" s="26"/>
      <c r="D34" s="27"/>
      <c r="E34" s="25"/>
      <c r="F34" s="25"/>
      <c r="G34" s="25"/>
      <c r="H34" s="25"/>
      <c r="I34" s="25"/>
      <c r="J34" s="26"/>
      <c r="K34" s="25"/>
      <c r="L34" s="25"/>
      <c r="M34" s="25"/>
      <c r="N34" s="13"/>
      <c r="O34" s="13"/>
      <c r="P34" s="13"/>
      <c r="Q34" s="13"/>
      <c r="R34" s="13"/>
      <c r="S34" s="13"/>
      <c r="T34" s="13"/>
    </row>
    <row r="35" spans="2:46" x14ac:dyDescent="0.35">
      <c r="B35" s="4"/>
      <c r="C35" s="9"/>
      <c r="D35" s="5"/>
      <c r="E35" s="4"/>
      <c r="F35" s="4"/>
      <c r="G35" s="4"/>
      <c r="H35" s="4"/>
      <c r="I35" s="4"/>
      <c r="J35" s="9"/>
      <c r="K35" s="4"/>
      <c r="L35" s="4"/>
      <c r="M35" s="4"/>
    </row>
    <row r="36" spans="2:46" x14ac:dyDescent="0.35">
      <c r="B36" s="4"/>
      <c r="C36" s="9"/>
      <c r="D36" s="5"/>
      <c r="E36" s="4"/>
      <c r="F36" s="4"/>
      <c r="G36" s="4"/>
      <c r="H36" s="4"/>
      <c r="I36" s="4"/>
      <c r="J36" s="9"/>
      <c r="K36" s="4"/>
      <c r="L36" s="4"/>
      <c r="M36" s="4"/>
    </row>
    <row r="37" spans="2:46" x14ac:dyDescent="0.35">
      <c r="B37" s="4"/>
      <c r="C37" s="9"/>
      <c r="D37" s="5"/>
      <c r="E37" s="4"/>
      <c r="F37" s="4"/>
      <c r="G37" s="4"/>
      <c r="H37" s="4"/>
      <c r="I37" s="4"/>
      <c r="J37" s="9"/>
      <c r="K37" s="4"/>
      <c r="L37" s="4"/>
      <c r="M37" s="4"/>
    </row>
    <row r="38" spans="2:46" x14ac:dyDescent="0.35">
      <c r="B38" s="4"/>
      <c r="C38" s="9"/>
      <c r="D38" s="5"/>
      <c r="E38" s="4"/>
      <c r="F38" s="4"/>
      <c r="G38" s="4"/>
      <c r="H38" s="4"/>
      <c r="I38" s="4"/>
      <c r="J38" s="9"/>
      <c r="K38" s="4"/>
      <c r="L38" s="4"/>
      <c r="M38" s="4"/>
    </row>
  </sheetData>
  <sheetProtection sheet="1" selectLockedCells="1"/>
  <protectedRanges>
    <protectedRange sqref="AF3:AF8 AQ8" name="Område1"/>
  </protectedRanges>
  <mergeCells count="19">
    <mergeCell ref="F4:G4"/>
    <mergeCell ref="D19:E19"/>
    <mergeCell ref="K16:M17"/>
    <mergeCell ref="M19:O19"/>
    <mergeCell ref="H8:I8"/>
    <mergeCell ref="C16:C17"/>
    <mergeCell ref="B16:B17"/>
    <mergeCell ref="AP5:AR6"/>
    <mergeCell ref="G16:G17"/>
    <mergeCell ref="D16:F16"/>
    <mergeCell ref="D17:F17"/>
    <mergeCell ref="D12:F12"/>
    <mergeCell ref="D8:F8"/>
    <mergeCell ref="J16:J17"/>
    <mergeCell ref="D14:F14"/>
    <mergeCell ref="D10:I10"/>
    <mergeCell ref="H16:I16"/>
    <mergeCell ref="H17:I17"/>
    <mergeCell ref="H12:I12"/>
  </mergeCells>
  <dataValidations count="1">
    <dataValidation type="list" allowBlank="1" showInputMessage="1" showErrorMessage="1" sqref="AF3" xr:uid="{B1858EB4-A72E-4E11-83BB-77B9D63B5710}">
      <formula1>$C$30:$C$32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Mikkel</dc:creator>
  <cp:lastModifiedBy>Jesper Hansen</cp:lastModifiedBy>
  <dcterms:created xsi:type="dcterms:W3CDTF">2017-11-03T14:06:50Z</dcterms:created>
  <dcterms:modified xsi:type="dcterms:W3CDTF">2020-03-29T18:59:38Z</dcterms:modified>
</cp:coreProperties>
</file>