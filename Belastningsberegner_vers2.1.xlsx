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/>
  <mc:AlternateContent xmlns:mc="http://schemas.openxmlformats.org/markup-compatibility/2006">
    <mc:Choice Requires="x15">
      <x15ac:absPath xmlns:x15ac="http://schemas.microsoft.com/office/spreadsheetml/2010/11/ac" url="C:\Users\Christoffer Niebuhr\Documents\Maskimesterskolen KBH\M7 (4)\Installation\"/>
    </mc:Choice>
  </mc:AlternateContent>
  <xr:revisionPtr revIDLastSave="0" documentId="13_ncr:1_{465C557F-9698-488B-81FD-4A3BACF994A3}" xr6:coauthVersionLast="33" xr6:coauthVersionMax="33" xr10:uidLastSave="{00000000-0000-0000-0000-000000000000}"/>
  <workbookProtection workbookAlgorithmName="SHA-512" workbookHashValue="4mEVsnwaNJlSNvk90XX59KuSPCZoxpzfsxtLt4sL5PsN20nbjbwPL4FatvPpHRloDeL7NsEDzUItjs/P3cSbfg==" workbookSaltValue="bKxxOcukTJAAHyBHElmyMw==" workbookSpinCount="100000" lockStructure="1"/>
  <bookViews>
    <workbookView xWindow="0" yWindow="0" windowWidth="19200" windowHeight="7425" xr2:uid="{00000000-000D-0000-FFFF-FFFF00000000}"/>
  </bookViews>
  <sheets>
    <sheet name="Beregninger" sheetId="1" r:id="rId1"/>
    <sheet name="Overblik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7" i="1" l="1"/>
  <c r="H46" i="1"/>
  <c r="H45" i="1"/>
  <c r="H44" i="1"/>
  <c r="H43" i="1"/>
  <c r="H42" i="1"/>
  <c r="H38" i="1"/>
  <c r="H37" i="1"/>
  <c r="H36" i="1"/>
  <c r="H35" i="1"/>
  <c r="H34" i="1"/>
  <c r="H33" i="1"/>
  <c r="H32" i="1"/>
  <c r="P20" i="1" l="1"/>
  <c r="P15" i="1" l="1"/>
  <c r="P9" i="1"/>
  <c r="B41" i="2" l="1"/>
  <c r="L43" i="1"/>
  <c r="L44" i="1"/>
  <c r="L45" i="1"/>
  <c r="L46" i="1"/>
  <c r="L47" i="1"/>
  <c r="K43" i="1"/>
  <c r="K44" i="1"/>
  <c r="K45" i="1"/>
  <c r="K46" i="1"/>
  <c r="K47" i="1"/>
  <c r="J43" i="1"/>
  <c r="J44" i="1"/>
  <c r="J45" i="1"/>
  <c r="J46" i="1"/>
  <c r="J47" i="1"/>
  <c r="L4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L5" i="1"/>
  <c r="K5" i="1"/>
  <c r="J5" i="1"/>
  <c r="C3" i="2" l="1"/>
  <c r="L32" i="1" l="1"/>
  <c r="J38" i="1" l="1"/>
  <c r="C33" i="2" s="1"/>
  <c r="L38" i="1"/>
  <c r="E33" i="2" s="1"/>
  <c r="K38" i="1"/>
  <c r="D33" i="2" s="1"/>
  <c r="J37" i="1"/>
  <c r="C32" i="2" s="1"/>
  <c r="L37" i="1"/>
  <c r="E32" i="2" s="1"/>
  <c r="K37" i="1"/>
  <c r="D32" i="2" s="1"/>
  <c r="K36" i="1"/>
  <c r="D31" i="2" s="1"/>
  <c r="L36" i="1"/>
  <c r="E31" i="2" s="1"/>
  <c r="J36" i="1"/>
  <c r="C31" i="2" s="1"/>
  <c r="J35" i="1"/>
  <c r="C30" i="2" s="1"/>
  <c r="L35" i="1"/>
  <c r="E30" i="2" s="1"/>
  <c r="K35" i="1"/>
  <c r="D30" i="2" s="1"/>
  <c r="J34" i="1"/>
  <c r="C29" i="2" s="1"/>
  <c r="L34" i="1"/>
  <c r="E29" i="2" s="1"/>
  <c r="K34" i="1"/>
  <c r="D29" i="2" s="1"/>
  <c r="K33" i="1"/>
  <c r="L33" i="1"/>
  <c r="J33" i="1"/>
  <c r="K42" i="1"/>
  <c r="J42" i="1"/>
  <c r="K32" i="1"/>
  <c r="J32" i="1"/>
  <c r="C35" i="2"/>
  <c r="C37" i="2"/>
  <c r="C38" i="2"/>
  <c r="D35" i="2"/>
  <c r="D36" i="2"/>
  <c r="D37" i="2"/>
  <c r="D38" i="2"/>
  <c r="D39" i="2"/>
  <c r="E35" i="2"/>
  <c r="E36" i="2"/>
  <c r="E38" i="2"/>
  <c r="E39" i="2"/>
  <c r="E37" i="2"/>
  <c r="C36" i="2"/>
  <c r="C39" i="2"/>
  <c r="C19" i="2"/>
  <c r="B35" i="2"/>
  <c r="B36" i="2"/>
  <c r="B37" i="2"/>
  <c r="B38" i="2"/>
  <c r="B39" i="2"/>
  <c r="B34" i="2"/>
  <c r="B28" i="2"/>
  <c r="B29" i="2"/>
  <c r="B30" i="2"/>
  <c r="B31" i="2"/>
  <c r="B32" i="2"/>
  <c r="B33" i="2"/>
  <c r="B2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3" i="2"/>
  <c r="C8" i="2"/>
  <c r="C16" i="2"/>
  <c r="C17" i="2"/>
  <c r="C18" i="2"/>
  <c r="C20" i="2"/>
  <c r="C21" i="2"/>
  <c r="C22" i="2"/>
  <c r="C23" i="2"/>
  <c r="C24" i="2"/>
  <c r="C25" i="2"/>
  <c r="C26" i="2"/>
  <c r="L51" i="1" l="1"/>
  <c r="L55" i="1" s="1"/>
  <c r="J51" i="1"/>
  <c r="J55" i="1" s="1"/>
  <c r="K51" i="1"/>
  <c r="K55" i="1" s="1"/>
  <c r="E8" i="2"/>
  <c r="E16" i="2"/>
  <c r="E17" i="2"/>
  <c r="E18" i="2"/>
  <c r="E19" i="2"/>
  <c r="E20" i="2"/>
  <c r="E21" i="2"/>
  <c r="E22" i="2"/>
  <c r="E23" i="2"/>
  <c r="E24" i="2"/>
  <c r="E25" i="2"/>
  <c r="E26" i="2"/>
  <c r="D16" i="2"/>
  <c r="D17" i="2"/>
  <c r="D18" i="2"/>
  <c r="D19" i="2"/>
  <c r="D20" i="2"/>
  <c r="D21" i="2"/>
  <c r="D22" i="2"/>
  <c r="D23" i="2"/>
  <c r="D24" i="2"/>
  <c r="D25" i="2"/>
  <c r="D26" i="2"/>
  <c r="L52" i="1" l="1"/>
  <c r="L53" i="1"/>
  <c r="E41" i="2" s="1"/>
  <c r="J53" i="1"/>
  <c r="C41" i="2" s="1"/>
  <c r="J52" i="1"/>
  <c r="K53" i="1"/>
  <c r="K52" i="1"/>
  <c r="D5" i="2"/>
  <c r="D8" i="2"/>
  <c r="E40" i="2" l="1"/>
  <c r="D40" i="2"/>
  <c r="D41" i="2"/>
  <c r="C40" i="2"/>
  <c r="C15" i="2"/>
  <c r="D15" i="2"/>
  <c r="E15" i="2"/>
  <c r="C13" i="2"/>
  <c r="E13" i="2"/>
  <c r="D13" i="2"/>
  <c r="C9" i="2"/>
  <c r="D9" i="2"/>
  <c r="E9" i="2"/>
  <c r="C12" i="2"/>
  <c r="D12" i="2"/>
  <c r="E12" i="2"/>
  <c r="C11" i="2"/>
  <c r="D11" i="2"/>
  <c r="E11" i="2"/>
  <c r="C14" i="2"/>
  <c r="D14" i="2"/>
  <c r="E14" i="2"/>
  <c r="E28" i="2"/>
  <c r="D28" i="2"/>
  <c r="E4" i="2"/>
  <c r="C4" i="2"/>
  <c r="C10" i="2"/>
  <c r="D10" i="2"/>
  <c r="E10" i="2"/>
  <c r="C7" i="2"/>
  <c r="D7" i="2"/>
  <c r="E7" i="2"/>
  <c r="C28" i="2"/>
  <c r="C6" i="2"/>
  <c r="E6" i="2"/>
  <c r="D6" i="2"/>
  <c r="C5" i="2"/>
  <c r="E5" i="2"/>
  <c r="D4" i="2"/>
  <c r="E3" i="2"/>
  <c r="E27" i="2" l="1"/>
  <c r="D27" i="2"/>
  <c r="C34" i="2"/>
  <c r="E34" i="2"/>
  <c r="D34" i="2"/>
  <c r="C27" i="2"/>
  <c r="D3" i="2" l="1"/>
</calcChain>
</file>

<file path=xl/sharedStrings.xml><?xml version="1.0" encoding="utf-8"?>
<sst xmlns="http://schemas.openxmlformats.org/spreadsheetml/2006/main" count="87" uniqueCount="41">
  <si>
    <t>Cos phi</t>
  </si>
  <si>
    <t>Antal</t>
  </si>
  <si>
    <t>Samtidighedsfaktor</t>
  </si>
  <si>
    <t>Samtidighedsfaktor tavle</t>
  </si>
  <si>
    <t>-</t>
  </si>
  <si>
    <t>Belastningsberegninger</t>
  </si>
  <si>
    <t>L1</t>
  </si>
  <si>
    <t>L1L2L3</t>
  </si>
  <si>
    <t>Vælg belastede Fase/Faser</t>
  </si>
  <si>
    <t>L3</t>
  </si>
  <si>
    <t>Beskrivelse</t>
  </si>
  <si>
    <t>L2</t>
  </si>
  <si>
    <t>L1L2</t>
  </si>
  <si>
    <t>Herfra og ned er de belastninger hvor strømmen er oplyst</t>
  </si>
  <si>
    <t>Herfra og ned er de belastninger hvor effekten i kW er oplyst</t>
  </si>
  <si>
    <t>Herfra og ned er de belastninger hvor den tilsyneladende effekt i kVA er oplyst</t>
  </si>
  <si>
    <t>SUM (uden SF på tavle)</t>
  </si>
  <si>
    <t>Input</t>
  </si>
  <si>
    <t>Beregning</t>
  </si>
  <si>
    <t>Resultat L1 Kompleks</t>
  </si>
  <si>
    <t>Resultat L2 Kompleks</t>
  </si>
  <si>
    <t>Resultat L3 Kompleks</t>
  </si>
  <si>
    <t>Effekt [kW]</t>
  </si>
  <si>
    <t>Strøm [A]</t>
  </si>
  <si>
    <t>Effekt [kVA]</t>
  </si>
  <si>
    <t>SUM Kompleks</t>
  </si>
  <si>
    <t>SUM Absolut</t>
  </si>
  <si>
    <t>SUM vinkel</t>
  </si>
  <si>
    <t>SUM efter SF</t>
  </si>
  <si>
    <r>
      <rPr>
        <sz val="72"/>
        <color theme="1"/>
        <rFont val="Calibri"/>
        <family val="2"/>
      </rPr>
      <t>∑</t>
    </r>
    <r>
      <rPr>
        <sz val="72"/>
        <color theme="1"/>
        <rFont val="Calibri"/>
        <family val="2"/>
        <scheme val="minor"/>
      </rPr>
      <t xml:space="preserve"> RESULTAT</t>
    </r>
  </si>
  <si>
    <r>
      <t xml:space="preserve">Omregner vinkel -&gt;Cos </t>
    </r>
    <r>
      <rPr>
        <b/>
        <sz val="11"/>
        <color theme="1"/>
        <rFont val="Calibri"/>
        <family val="2"/>
      </rPr>
      <t>ϕ</t>
    </r>
  </si>
  <si>
    <t>Vinkel</t>
  </si>
  <si>
    <r>
      <t xml:space="preserve">Cos </t>
    </r>
    <r>
      <rPr>
        <b/>
        <sz val="11"/>
        <color theme="1"/>
        <rFont val="Calibri"/>
        <family val="2"/>
      </rPr>
      <t>ϕ</t>
    </r>
  </si>
  <si>
    <t>Omregner P2 -&gt; P1</t>
  </si>
  <si>
    <t>P2</t>
  </si>
  <si>
    <r>
      <t xml:space="preserve">Virkningsgrad </t>
    </r>
    <r>
      <rPr>
        <b/>
        <sz val="11"/>
        <color theme="1"/>
        <rFont val="Calibri"/>
        <family val="2"/>
      </rPr>
      <t>η</t>
    </r>
  </si>
  <si>
    <t>P1</t>
  </si>
  <si>
    <t>©Lasse Klein - www.dokuteknik.dk</t>
  </si>
  <si>
    <t>© Lasse Klein - www.dokuteknik.dk</t>
  </si>
  <si>
    <t>Omregn RX-forhold -&gt; Vinkel</t>
  </si>
  <si>
    <t>RX-forhold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</si>
</sst>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8"/>
      <color rgb="FF3F3F76"/>
      <name val="Calibri"/>
      <family val="2"/>
      <scheme val="minor"/>
    </font>
    <font>
      <b/>
      <sz val="18"/>
      <color rgb="FFFA7D00"/>
      <name val="Calibri"/>
      <family val="2"/>
      <scheme val="minor"/>
    </font>
    <font>
      <sz val="72"/>
      <color theme="1"/>
      <name val="Calibri"/>
      <family val="2"/>
      <scheme val="minor"/>
    </font>
    <font>
      <sz val="72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lightDown">
        <bgColor theme="0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</cellStyleXfs>
  <cellXfs count="117">
    <xf numFmtId="0" fontId="0" fillId="0" borderId="0" xfId="0"/>
    <xf numFmtId="0" fontId="2" fillId="3" borderId="1" xfId="2" applyBorder="1"/>
    <xf numFmtId="0" fontId="2" fillId="3" borderId="5" xfId="2" applyBorder="1"/>
    <xf numFmtId="0" fontId="2" fillId="3" borderId="7" xfId="2" applyBorder="1"/>
    <xf numFmtId="0" fontId="2" fillId="3" borderId="15" xfId="2" applyBorder="1"/>
    <xf numFmtId="0" fontId="0" fillId="4" borderId="0" xfId="0" applyFill="1"/>
    <xf numFmtId="0" fontId="0" fillId="4" borderId="9" xfId="0" applyFill="1" applyBorder="1"/>
    <xf numFmtId="0" fontId="0" fillId="4" borderId="10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20" xfId="0" applyFill="1" applyBorder="1"/>
    <xf numFmtId="0" fontId="0" fillId="4" borderId="20" xfId="0" applyFill="1" applyBorder="1"/>
    <xf numFmtId="0" fontId="7" fillId="4" borderId="12" xfId="0" applyFont="1" applyFill="1" applyBorder="1"/>
    <xf numFmtId="0" fontId="7" fillId="4" borderId="13" xfId="0" applyFont="1" applyFill="1" applyBorder="1"/>
    <xf numFmtId="0" fontId="7" fillId="4" borderId="14" xfId="0" applyFont="1" applyFill="1" applyBorder="1"/>
    <xf numFmtId="0" fontId="7" fillId="4" borderId="17" xfId="0" applyFont="1" applyFill="1" applyBorder="1"/>
    <xf numFmtId="0" fontId="7" fillId="4" borderId="18" xfId="0" applyFont="1" applyFill="1" applyBorder="1"/>
    <xf numFmtId="0" fontId="7" fillId="4" borderId="19" xfId="0" applyFont="1" applyFill="1" applyBorder="1"/>
    <xf numFmtId="0" fontId="0" fillId="6" borderId="0" xfId="0" applyFill="1"/>
    <xf numFmtId="0" fontId="0" fillId="6" borderId="0" xfId="0" applyFill="1" applyBorder="1"/>
    <xf numFmtId="0" fontId="2" fillId="6" borderId="0" xfId="2" applyFill="1" applyBorder="1"/>
    <xf numFmtId="0" fontId="0" fillId="7" borderId="0" xfId="0" applyFill="1"/>
    <xf numFmtId="0" fontId="0" fillId="7" borderId="0" xfId="0" applyFill="1" applyBorder="1"/>
    <xf numFmtId="0" fontId="0" fillId="8" borderId="0" xfId="0" applyFill="1"/>
    <xf numFmtId="0" fontId="0" fillId="8" borderId="0" xfId="0" applyFill="1" applyBorder="1"/>
    <xf numFmtId="0" fontId="2" fillId="8" borderId="0" xfId="2" applyFill="1" applyBorder="1"/>
    <xf numFmtId="0" fontId="2" fillId="3" borderId="15" xfId="2" applyBorder="1" applyAlignment="1">
      <alignment horizontal="left"/>
    </xf>
    <xf numFmtId="0" fontId="0" fillId="4" borderId="0" xfId="0" applyFill="1" applyBorder="1"/>
    <xf numFmtId="0" fontId="3" fillId="4" borderId="0" xfId="0" applyFont="1" applyFill="1" applyAlignment="1">
      <alignment wrapText="1"/>
    </xf>
    <xf numFmtId="0" fontId="3" fillId="4" borderId="0" xfId="0" applyFont="1" applyFill="1" applyBorder="1"/>
    <xf numFmtId="0" fontId="3" fillId="4" borderId="0" xfId="0" applyFont="1" applyFill="1"/>
    <xf numFmtId="0" fontId="4" fillId="4" borderId="0" xfId="0" applyFont="1" applyFill="1" applyBorder="1"/>
    <xf numFmtId="0" fontId="5" fillId="4" borderId="0" xfId="0" applyFont="1" applyFill="1" applyBorder="1" applyAlignment="1"/>
    <xf numFmtId="0" fontId="9" fillId="2" borderId="1" xfId="1" applyFont="1" applyAlignment="1">
      <alignment horizontal="center" vertical="center"/>
    </xf>
    <xf numFmtId="0" fontId="10" fillId="3" borderId="1" xfId="2" applyFont="1" applyAlignment="1">
      <alignment horizontal="center" vertical="center"/>
    </xf>
    <xf numFmtId="0" fontId="3" fillId="0" borderId="21" xfId="0" applyFont="1" applyBorder="1" applyAlignment="1">
      <alignment vertical="top"/>
    </xf>
    <xf numFmtId="0" fontId="3" fillId="0" borderId="22" xfId="0" applyFont="1" applyBorder="1" applyAlignment="1">
      <alignment vertical="top" wrapText="1"/>
    </xf>
    <xf numFmtId="0" fontId="3" fillId="0" borderId="22" xfId="0" applyFont="1" applyBorder="1" applyAlignment="1">
      <alignment vertical="top"/>
    </xf>
    <xf numFmtId="0" fontId="2" fillId="3" borderId="16" xfId="2" applyBorder="1" applyAlignment="1">
      <alignment horizontal="left"/>
    </xf>
    <xf numFmtId="0" fontId="2" fillId="3" borderId="1" xfId="2" applyBorder="1" applyAlignment="1">
      <alignment horizontal="left"/>
    </xf>
    <xf numFmtId="0" fontId="2" fillId="3" borderId="5" xfId="2" applyBorder="1" applyAlignment="1">
      <alignment horizontal="left"/>
    </xf>
    <xf numFmtId="0" fontId="2" fillId="3" borderId="7" xfId="2" applyBorder="1" applyAlignment="1">
      <alignment horizontal="left"/>
    </xf>
    <xf numFmtId="0" fontId="2" fillId="3" borderId="8" xfId="2" applyBorder="1" applyAlignment="1">
      <alignment horizontal="left"/>
    </xf>
    <xf numFmtId="0" fontId="2" fillId="3" borderId="25" xfId="2" applyBorder="1" applyAlignment="1">
      <alignment horizontal="left"/>
    </xf>
    <xf numFmtId="0" fontId="2" fillId="3" borderId="26" xfId="2" applyBorder="1" applyAlignment="1">
      <alignment horizontal="left"/>
    </xf>
    <xf numFmtId="0" fontId="7" fillId="8" borderId="0" xfId="0" applyFont="1" applyFill="1" applyBorder="1" applyAlignment="1"/>
    <xf numFmtId="0" fontId="7" fillId="6" borderId="0" xfId="0" applyFont="1" applyFill="1" applyBorder="1" applyAlignment="1"/>
    <xf numFmtId="0" fontId="8" fillId="4" borderId="0" xfId="0" applyFont="1" applyFill="1" applyBorder="1" applyAlignment="1">
      <alignment vertical="center"/>
    </xf>
    <xf numFmtId="0" fontId="7" fillId="4" borderId="0" xfId="0" applyFont="1" applyFill="1" applyBorder="1" applyAlignment="1"/>
    <xf numFmtId="0" fontId="0" fillId="4" borderId="0" xfId="0" applyFill="1" applyBorder="1" applyAlignment="1">
      <alignment horizontal="left"/>
    </xf>
    <xf numFmtId="0" fontId="7" fillId="7" borderId="0" xfId="0" applyFont="1" applyFill="1" applyBorder="1" applyAlignment="1"/>
    <xf numFmtId="0" fontId="3" fillId="0" borderId="22" xfId="0" applyFont="1" applyFill="1" applyBorder="1" applyAlignment="1">
      <alignment vertical="top" wrapText="1"/>
    </xf>
    <xf numFmtId="0" fontId="3" fillId="0" borderId="23" xfId="0" applyFont="1" applyFill="1" applyBorder="1" applyAlignment="1">
      <alignment vertical="top" wrapText="1"/>
    </xf>
    <xf numFmtId="164" fontId="0" fillId="4" borderId="0" xfId="0" applyNumberFormat="1" applyFill="1"/>
    <xf numFmtId="0" fontId="3" fillId="4" borderId="21" xfId="0" applyFont="1" applyFill="1" applyBorder="1" applyAlignment="1">
      <alignment vertical="top"/>
    </xf>
    <xf numFmtId="0" fontId="3" fillId="4" borderId="22" xfId="0" applyFont="1" applyFill="1" applyBorder="1" applyAlignment="1">
      <alignment vertical="top" wrapText="1"/>
    </xf>
    <xf numFmtId="0" fontId="3" fillId="4" borderId="22" xfId="0" applyFont="1" applyFill="1" applyBorder="1" applyAlignment="1">
      <alignment vertical="top"/>
    </xf>
    <xf numFmtId="0" fontId="3" fillId="4" borderId="23" xfId="0" applyFont="1" applyFill="1" applyBorder="1" applyAlignment="1">
      <alignment vertical="top" wrapText="1"/>
    </xf>
    <xf numFmtId="0" fontId="0" fillId="4" borderId="0" xfId="0" applyFill="1" applyAlignment="1"/>
    <xf numFmtId="0" fontId="0" fillId="4" borderId="0" xfId="0" applyFill="1" applyAlignment="1">
      <alignment horizontal="right"/>
    </xf>
    <xf numFmtId="0" fontId="2" fillId="4" borderId="0" xfId="2" applyFill="1" applyBorder="1"/>
    <xf numFmtId="0" fontId="1" fillId="4" borderId="0" xfId="1" applyFill="1" applyBorder="1"/>
    <xf numFmtId="0" fontId="3" fillId="4" borderId="22" xfId="0" applyFont="1" applyFill="1" applyBorder="1" applyAlignment="1"/>
    <xf numFmtId="0" fontId="3" fillId="4" borderId="23" xfId="0" applyFont="1" applyFill="1" applyBorder="1" applyAlignment="1"/>
    <xf numFmtId="0" fontId="2" fillId="3" borderId="1" xfId="2" applyBorder="1" applyAlignment="1"/>
    <xf numFmtId="0" fontId="2" fillId="3" borderId="5" xfId="2" applyBorder="1" applyAlignment="1"/>
    <xf numFmtId="0" fontId="2" fillId="3" borderId="28" xfId="2" applyBorder="1" applyAlignment="1"/>
    <xf numFmtId="0" fontId="2" fillId="3" borderId="28" xfId="2" applyBorder="1"/>
    <xf numFmtId="0" fontId="2" fillId="3" borderId="29" xfId="2" applyBorder="1"/>
    <xf numFmtId="0" fontId="0" fillId="9" borderId="2" xfId="0" applyFill="1" applyBorder="1" applyAlignment="1"/>
    <xf numFmtId="0" fontId="0" fillId="9" borderId="3" xfId="0" applyFill="1" applyBorder="1" applyAlignment="1"/>
    <xf numFmtId="0" fontId="0" fillId="9" borderId="0" xfId="0" applyFill="1" applyBorder="1"/>
    <xf numFmtId="0" fontId="0" fillId="9" borderId="10" xfId="0" applyFill="1" applyBorder="1"/>
    <xf numFmtId="0" fontId="1" fillId="9" borderId="0" xfId="1" applyFill="1" applyBorder="1" applyAlignment="1">
      <alignment horizontal="center"/>
    </xf>
    <xf numFmtId="0" fontId="1" fillId="9" borderId="11" xfId="1" applyFill="1" applyBorder="1" applyAlignment="1">
      <alignment horizontal="center"/>
    </xf>
    <xf numFmtId="0" fontId="3" fillId="4" borderId="35" xfId="0" applyFont="1" applyFill="1" applyBorder="1" applyAlignment="1">
      <alignment vertical="top"/>
    </xf>
    <xf numFmtId="0" fontId="3" fillId="4" borderId="33" xfId="0" applyFont="1" applyFill="1" applyBorder="1" applyAlignment="1">
      <alignment vertical="top" wrapText="1"/>
    </xf>
    <xf numFmtId="0" fontId="0" fillId="9" borderId="3" xfId="0" applyFont="1" applyFill="1" applyBorder="1" applyAlignment="1">
      <alignment horizontal="center" vertical="top"/>
    </xf>
    <xf numFmtId="0" fontId="1" fillId="2" borderId="24" xfId="1" applyBorder="1" applyProtection="1">
      <protection locked="0"/>
    </xf>
    <xf numFmtId="0" fontId="1" fillId="2" borderId="15" xfId="1" applyBorder="1" applyProtection="1">
      <protection locked="0"/>
    </xf>
    <xf numFmtId="0" fontId="1" fillId="2" borderId="34" xfId="1" applyBorder="1" applyProtection="1">
      <protection locked="0"/>
    </xf>
    <xf numFmtId="0" fontId="1" fillId="2" borderId="27" xfId="1" applyBorder="1" applyProtection="1">
      <protection locked="0"/>
    </xf>
    <xf numFmtId="0" fontId="1" fillId="2" borderId="4" xfId="1" applyBorder="1" applyProtection="1">
      <protection locked="0"/>
    </xf>
    <xf numFmtId="0" fontId="1" fillId="2" borderId="1" xfId="1" applyBorder="1" applyProtection="1">
      <protection locked="0"/>
    </xf>
    <xf numFmtId="0" fontId="1" fillId="2" borderId="37" xfId="1" applyBorder="1" applyProtection="1">
      <protection locked="0"/>
    </xf>
    <xf numFmtId="0" fontId="1" fillId="2" borderId="6" xfId="1" applyBorder="1" applyProtection="1">
      <protection locked="0"/>
    </xf>
    <xf numFmtId="0" fontId="1" fillId="2" borderId="7" xfId="1" applyBorder="1" applyProtection="1">
      <protection locked="0"/>
    </xf>
    <xf numFmtId="0" fontId="1" fillId="2" borderId="38" xfId="1" applyBorder="1" applyProtection="1">
      <protection locked="0"/>
    </xf>
    <xf numFmtId="0" fontId="1" fillId="2" borderId="32" xfId="1" applyBorder="1" applyProtection="1">
      <protection locked="0"/>
    </xf>
    <xf numFmtId="0" fontId="1" fillId="2" borderId="36" xfId="1" applyBorder="1" applyProtection="1">
      <protection locked="0"/>
    </xf>
    <xf numFmtId="0" fontId="1" fillId="2" borderId="28" xfId="1" applyBorder="1" applyProtection="1">
      <protection locked="0"/>
    </xf>
    <xf numFmtId="0" fontId="1" fillId="2" borderId="29" xfId="1" applyBorder="1" applyProtection="1">
      <protection locked="0"/>
    </xf>
    <xf numFmtId="0" fontId="2" fillId="3" borderId="39" xfId="2" applyBorder="1"/>
    <xf numFmtId="0" fontId="3" fillId="4" borderId="0" xfId="0" applyFont="1" applyFill="1" applyBorder="1" applyAlignment="1"/>
    <xf numFmtId="0" fontId="3" fillId="4" borderId="9" xfId="0" applyFont="1" applyFill="1" applyBorder="1" applyAlignment="1"/>
    <xf numFmtId="0" fontId="3" fillId="4" borderId="41" xfId="0" applyFont="1" applyFill="1" applyBorder="1" applyAlignment="1"/>
    <xf numFmtId="0" fontId="2" fillId="3" borderId="8" xfId="2" applyBorder="1" applyAlignment="1"/>
    <xf numFmtId="0" fontId="1" fillId="2" borderId="5" xfId="1" applyBorder="1" applyAlignment="1" applyProtection="1">
      <protection locked="0"/>
    </xf>
    <xf numFmtId="0" fontId="3" fillId="4" borderId="9" xfId="0" applyFont="1" applyFill="1" applyBorder="1" applyAlignment="1">
      <alignment vertical="center"/>
    </xf>
    <xf numFmtId="0" fontId="3" fillId="4" borderId="41" xfId="0" applyFont="1" applyFill="1" applyBorder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3" fillId="4" borderId="30" xfId="0" applyFont="1" applyFill="1" applyBorder="1" applyAlignment="1">
      <alignment horizontal="right"/>
    </xf>
    <xf numFmtId="0" fontId="3" fillId="4" borderId="27" xfId="0" applyFont="1" applyFill="1" applyBorder="1" applyAlignment="1">
      <alignment horizontal="right"/>
    </xf>
    <xf numFmtId="0" fontId="3" fillId="4" borderId="31" xfId="0" applyFont="1" applyFill="1" applyBorder="1" applyAlignment="1">
      <alignment horizontal="right"/>
    </xf>
    <xf numFmtId="0" fontId="3" fillId="4" borderId="32" xfId="0" applyFont="1" applyFill="1" applyBorder="1" applyAlignment="1">
      <alignment horizontal="right"/>
    </xf>
    <xf numFmtId="0" fontId="14" fillId="7" borderId="3" xfId="0" applyFont="1" applyFill="1" applyBorder="1" applyAlignment="1">
      <alignment horizontal="center"/>
    </xf>
    <xf numFmtId="0" fontId="6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4" borderId="40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</cellXfs>
  <cellStyles count="3">
    <cellStyle name="Beregning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1"/>
  <sheetViews>
    <sheetView tabSelected="1" topLeftCell="B1" zoomScale="60" zoomScaleNormal="60" workbookViewId="0">
      <selection activeCell="G32" sqref="G32"/>
    </sheetView>
  </sheetViews>
  <sheetFormatPr defaultRowHeight="15" x14ac:dyDescent="0.25"/>
  <cols>
    <col min="3" max="3" width="32.140625" customWidth="1"/>
    <col min="4" max="4" width="20.42578125" bestFit="1" customWidth="1"/>
    <col min="5" max="5" width="15.42578125" bestFit="1" customWidth="1"/>
    <col min="6" max="6" width="9.140625" customWidth="1"/>
    <col min="7" max="7" width="17.28515625" bestFit="1" customWidth="1"/>
    <col min="8" max="8" width="14.140625" customWidth="1"/>
    <col min="9" max="9" width="11.28515625" bestFit="1" customWidth="1"/>
    <col min="10" max="10" width="48" bestFit="1" customWidth="1"/>
    <col min="11" max="11" width="47.140625" customWidth="1"/>
    <col min="12" max="12" width="47" bestFit="1" customWidth="1"/>
    <col min="13" max="13" width="15.42578125" customWidth="1"/>
    <col min="14" max="14" width="19" customWidth="1"/>
    <col min="15" max="15" width="20.5703125" bestFit="1" customWidth="1"/>
    <col min="16" max="16" width="16.140625" bestFit="1" customWidth="1"/>
    <col min="17" max="17" width="48" bestFit="1" customWidth="1"/>
    <col min="19" max="19" width="12.7109375" bestFit="1" customWidth="1"/>
    <col min="20" max="20" width="16.140625" bestFit="1" customWidth="1"/>
    <col min="21" max="21" width="13" bestFit="1" customWidth="1"/>
    <col min="22" max="22" width="9.85546875" bestFit="1" customWidth="1"/>
    <col min="24" max="24" width="8.85546875" bestFit="1" customWidth="1"/>
  </cols>
  <sheetData>
    <row r="1" spans="1:27" ht="15" customHeight="1" x14ac:dyDescent="0.25">
      <c r="A1" s="5"/>
      <c r="B1" s="101" t="s">
        <v>5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47"/>
      <c r="O1" s="47"/>
      <c r="P1" s="47"/>
      <c r="Q1" s="47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" customHeight="1" x14ac:dyDescent="0.25">
      <c r="A2" s="5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47"/>
      <c r="O2" s="47"/>
      <c r="P2" s="47"/>
      <c r="Q2" s="47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4" thickBot="1" x14ac:dyDescent="0.4">
      <c r="A3" s="5"/>
      <c r="B3" s="18"/>
      <c r="C3" s="104" t="s">
        <v>13</v>
      </c>
      <c r="D3" s="104"/>
      <c r="E3" s="104"/>
      <c r="F3" s="104"/>
      <c r="G3" s="104"/>
      <c r="H3" s="104"/>
      <c r="I3" s="104"/>
      <c r="J3" s="104"/>
      <c r="K3" s="104"/>
      <c r="L3" s="104"/>
      <c r="M3" s="46"/>
      <c r="N3" s="48"/>
      <c r="O3" s="33" t="s">
        <v>17</v>
      </c>
      <c r="P3" s="34" t="s">
        <v>18</v>
      </c>
      <c r="Q3" s="27"/>
      <c r="R3" s="27"/>
      <c r="S3" s="5"/>
      <c r="T3" s="5"/>
      <c r="U3" s="5"/>
      <c r="V3" s="5"/>
      <c r="W3" s="5"/>
      <c r="X3" s="5"/>
      <c r="Y3" s="5"/>
      <c r="Z3" s="5"/>
      <c r="AA3" s="5"/>
    </row>
    <row r="4" spans="1:27" ht="30" x14ac:dyDescent="0.25">
      <c r="A4" s="5"/>
      <c r="B4" s="18"/>
      <c r="C4" s="54" t="s">
        <v>10</v>
      </c>
      <c r="D4" s="55" t="s">
        <v>8</v>
      </c>
      <c r="E4" s="76" t="s">
        <v>2</v>
      </c>
      <c r="F4" s="56" t="s">
        <v>1</v>
      </c>
      <c r="G4" s="77" t="s">
        <v>4</v>
      </c>
      <c r="H4" s="56" t="s">
        <v>23</v>
      </c>
      <c r="I4" s="75" t="s">
        <v>0</v>
      </c>
      <c r="J4" s="55" t="s">
        <v>19</v>
      </c>
      <c r="K4" s="55" t="s">
        <v>20</v>
      </c>
      <c r="L4" s="57" t="s">
        <v>21</v>
      </c>
      <c r="M4" s="19"/>
      <c r="N4" s="27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" customHeight="1" x14ac:dyDescent="0.25">
      <c r="A5" s="5"/>
      <c r="B5" s="18"/>
      <c r="C5" s="78"/>
      <c r="D5" s="79" t="s">
        <v>6</v>
      </c>
      <c r="E5" s="80">
        <v>1</v>
      </c>
      <c r="F5" s="81">
        <v>1</v>
      </c>
      <c r="G5" s="73"/>
      <c r="H5" s="81"/>
      <c r="I5" s="89">
        <v>1</v>
      </c>
      <c r="J5" s="39" t="str">
        <f>IF(OR(D5="L1",D5="L1L2",D5="L3L1",D5="L1L2L3"),COMPLEX(E5*H5*F5*(COS(RADIANS(DEGREES(ACOS(I5))-IF(D5="L1L2",30,0)+IF(D5="L3L1",30,0)))),F5*E5*H5*(SIN(RADIANS(DEGREES(ACOS(I5))-IF(D5="L1L2",30,0)+IF(D5="L3L1",30,0)))),"i"),0)</f>
        <v>0</v>
      </c>
      <c r="K5" s="39">
        <f>IF(OR(D5="L2",D5="L1L2",D5="L2L3",D5="L1L2L3"),COMPLEX(E5*H5*F5*(COS(RADIANS(DEGREES(ACOS(I5))-IF(D5="L2L3",30,0)+IF(D5="L1L2",30,0)))),F5*E5*H5*(SIN(RADIANS(DEGREES(ACOS(I5))-IF(D5="L2L3",30,0)+IF(D5="L1L2",30,0)))),"i"),0)</f>
        <v>0</v>
      </c>
      <c r="L5" s="40">
        <f>IF(OR(D5="L3",D5="L3L1",D5="L2L3",D5="L1L2L3"),COMPLEX(E5*H5*F5*(COS(RADIANS(DEGREES(ACOS(I5))-IF(D5="L3L1",30,0)+IF(D5="L2L3",30,0)))),F5*E5*H5*(SIN(RADIANS(DEGREES(ACOS(I5))-IF(D5="L3L1",30,0)+IF(D5="L2L3",30,0)))),"i"),0)</f>
        <v>0</v>
      </c>
      <c r="M5" s="19"/>
      <c r="N5" s="27"/>
      <c r="O5" s="110"/>
      <c r="P5" s="110"/>
      <c r="Q5" s="110"/>
      <c r="R5" s="110"/>
      <c r="S5" s="110"/>
      <c r="T5" s="110"/>
      <c r="U5" s="110"/>
      <c r="V5" s="110"/>
      <c r="W5" s="28"/>
      <c r="X5" s="5"/>
      <c r="Y5" s="5"/>
      <c r="Z5" s="5"/>
      <c r="AA5" s="5"/>
    </row>
    <row r="6" spans="1:27" ht="15" customHeight="1" thickBot="1" x14ac:dyDescent="0.3">
      <c r="A6" s="5"/>
      <c r="B6" s="18"/>
      <c r="C6" s="82"/>
      <c r="D6" s="83" t="s">
        <v>11</v>
      </c>
      <c r="E6" s="84">
        <v>1</v>
      </c>
      <c r="F6" s="81">
        <v>1</v>
      </c>
      <c r="G6" s="73"/>
      <c r="H6" s="81"/>
      <c r="I6" s="90">
        <v>1</v>
      </c>
      <c r="J6" s="39">
        <f t="shared" ref="J6:J28" si="0">IF(OR(D6="L1",D6="L1L2",D6="L3L1",D6="L1L2L3"),COMPLEX(E6*H6*F6*(COS(RADIANS(DEGREES(ACOS(I6))-IF(D6="L1L2",30,0)+IF(D6="L3L1",30,0)))),F6*E6*H6*(SIN(RADIANS(DEGREES(ACOS(I6))-IF(D6="L1L2",30,0)+IF(D6="L3L1",30,0)))),"i"),0)</f>
        <v>0</v>
      </c>
      <c r="K6" s="39" t="str">
        <f t="shared" ref="K6:K28" si="1">IF(OR(D6="L2",D6="L1L2",D6="L2L3",D6="L1L2L3"),COMPLEX(E6*H6*F6*(COS(RADIANS(DEGREES(ACOS(I6))-IF(D6="L2L3",30,0)+IF(D6="L1L2",30,0)))),F6*E6*H6*(SIN(RADIANS(DEGREES(ACOS(I6))-IF(D6="L2L3",30,0)+IF(D6="L1L2",30,0)))),"i"),0)</f>
        <v>0</v>
      </c>
      <c r="L6" s="40">
        <f t="shared" ref="L6:L28" si="2">IF(OR(D6="L3",D6="L3L1",D6="L2L3",D6="L1L2L3"),COMPLEX(E6*H6*F6*(COS(RADIANS(DEGREES(ACOS(I6))-IF(D6="L3L1",30,0)+IF(D6="L2L3",30,0)))),F6*E6*H6*(SIN(RADIANS(DEGREES(ACOS(I6))-IF(D6="L3L1",30,0)+IF(D6="L2L3",30,0)))),"i"),0)</f>
        <v>0</v>
      </c>
      <c r="M6" s="19"/>
      <c r="N6" s="27"/>
      <c r="O6" s="110"/>
      <c r="P6" s="110"/>
      <c r="Q6" s="110"/>
      <c r="R6" s="110"/>
      <c r="S6" s="110"/>
      <c r="T6" s="110"/>
      <c r="U6" s="110"/>
      <c r="V6" s="110"/>
      <c r="W6" s="5"/>
      <c r="X6" s="5"/>
      <c r="Y6" s="5"/>
      <c r="Z6" s="5"/>
      <c r="AA6" s="5"/>
    </row>
    <row r="7" spans="1:27" x14ac:dyDescent="0.25">
      <c r="A7" s="5"/>
      <c r="B7" s="18"/>
      <c r="C7" s="82"/>
      <c r="D7" s="83" t="s">
        <v>9</v>
      </c>
      <c r="E7" s="84">
        <v>1</v>
      </c>
      <c r="F7" s="81">
        <v>1</v>
      </c>
      <c r="G7" s="73"/>
      <c r="H7" s="81"/>
      <c r="I7" s="90">
        <v>1</v>
      </c>
      <c r="J7" s="39">
        <f t="shared" si="0"/>
        <v>0</v>
      </c>
      <c r="K7" s="39">
        <f t="shared" si="1"/>
        <v>0</v>
      </c>
      <c r="L7" s="40" t="str">
        <f t="shared" si="2"/>
        <v>0</v>
      </c>
      <c r="M7" s="19"/>
      <c r="N7" s="27"/>
      <c r="O7" s="111" t="s">
        <v>30</v>
      </c>
      <c r="P7" s="112"/>
      <c r="Q7" s="60"/>
      <c r="R7" s="29"/>
      <c r="S7" s="29"/>
      <c r="T7" s="60"/>
      <c r="U7" s="29"/>
      <c r="V7" s="60"/>
      <c r="W7" s="30"/>
      <c r="X7" s="5"/>
      <c r="Y7" s="5"/>
      <c r="Z7" s="5"/>
      <c r="AA7" s="5"/>
    </row>
    <row r="8" spans="1:27" x14ac:dyDescent="0.25">
      <c r="A8" s="5"/>
      <c r="B8" s="18"/>
      <c r="C8" s="82"/>
      <c r="D8" s="83" t="s">
        <v>7</v>
      </c>
      <c r="E8" s="84">
        <v>1</v>
      </c>
      <c r="F8" s="81">
        <v>1</v>
      </c>
      <c r="G8" s="73"/>
      <c r="H8" s="81"/>
      <c r="I8" s="90">
        <v>1</v>
      </c>
      <c r="J8" s="39" t="str">
        <f t="shared" si="0"/>
        <v>0</v>
      </c>
      <c r="K8" s="39" t="str">
        <f t="shared" si="1"/>
        <v>0</v>
      </c>
      <c r="L8" s="40" t="str">
        <f t="shared" si="2"/>
        <v>0</v>
      </c>
      <c r="M8" s="19"/>
      <c r="N8" s="27"/>
      <c r="O8" s="94" t="s">
        <v>31</v>
      </c>
      <c r="P8" s="97">
        <v>73.3</v>
      </c>
      <c r="Q8" s="60"/>
      <c r="R8" s="29"/>
      <c r="S8" s="29"/>
      <c r="T8" s="60"/>
      <c r="U8" s="29"/>
      <c r="V8" s="60"/>
      <c r="W8" s="5"/>
      <c r="X8" s="5"/>
      <c r="Y8" s="5"/>
      <c r="Z8" s="5"/>
      <c r="AA8" s="5"/>
    </row>
    <row r="9" spans="1:27" ht="15.75" thickBot="1" x14ac:dyDescent="0.3">
      <c r="A9" s="5"/>
      <c r="B9" s="18"/>
      <c r="C9" s="82"/>
      <c r="D9" s="83" t="s">
        <v>11</v>
      </c>
      <c r="E9" s="84">
        <v>1</v>
      </c>
      <c r="F9" s="81">
        <v>1</v>
      </c>
      <c r="G9" s="73"/>
      <c r="H9" s="81"/>
      <c r="I9" s="90">
        <v>1</v>
      </c>
      <c r="J9" s="39">
        <f t="shared" si="0"/>
        <v>0</v>
      </c>
      <c r="K9" s="39" t="str">
        <f t="shared" si="1"/>
        <v>0</v>
      </c>
      <c r="L9" s="40">
        <f t="shared" si="2"/>
        <v>0</v>
      </c>
      <c r="M9" s="19"/>
      <c r="N9" s="27"/>
      <c r="O9" s="95" t="s">
        <v>32</v>
      </c>
      <c r="P9" s="96">
        <f>COS(RADIANS(P8))</f>
        <v>0.28736051984971211</v>
      </c>
      <c r="Q9" s="60"/>
      <c r="R9" s="29"/>
      <c r="S9" s="29"/>
      <c r="T9" s="60"/>
      <c r="U9" s="29"/>
      <c r="V9" s="60"/>
      <c r="W9" s="5"/>
      <c r="X9" s="5"/>
      <c r="Y9" s="5"/>
      <c r="Z9" s="5"/>
      <c r="AA9" s="5"/>
    </row>
    <row r="10" spans="1:27" x14ac:dyDescent="0.25">
      <c r="A10" s="5"/>
      <c r="B10" s="18"/>
      <c r="C10" s="82"/>
      <c r="D10" s="83" t="s">
        <v>6</v>
      </c>
      <c r="E10" s="84">
        <v>1</v>
      </c>
      <c r="F10" s="81">
        <v>1</v>
      </c>
      <c r="G10" s="73"/>
      <c r="H10" s="81"/>
      <c r="I10" s="90">
        <v>1</v>
      </c>
      <c r="J10" s="39" t="str">
        <f t="shared" si="0"/>
        <v>0</v>
      </c>
      <c r="K10" s="39">
        <f t="shared" si="1"/>
        <v>0</v>
      </c>
      <c r="L10" s="40">
        <f t="shared" si="2"/>
        <v>0</v>
      </c>
      <c r="M10" s="19"/>
      <c r="N10" s="27"/>
      <c r="O10" s="93"/>
      <c r="P10" s="93"/>
      <c r="Q10" s="61"/>
      <c r="R10" s="29"/>
      <c r="S10" s="27"/>
      <c r="T10" s="27"/>
      <c r="U10" s="27"/>
      <c r="V10" s="27"/>
      <c r="W10" s="5"/>
      <c r="X10" s="5"/>
      <c r="Y10" s="5"/>
      <c r="Z10" s="5"/>
      <c r="AA10" s="5"/>
    </row>
    <row r="11" spans="1:27" ht="15.75" thickBot="1" x14ac:dyDescent="0.3">
      <c r="A11" s="5"/>
      <c r="B11" s="18"/>
      <c r="C11" s="82"/>
      <c r="D11" s="83" t="s">
        <v>7</v>
      </c>
      <c r="E11" s="84">
        <v>1</v>
      </c>
      <c r="F11" s="81">
        <v>1</v>
      </c>
      <c r="G11" s="73"/>
      <c r="H11" s="81"/>
      <c r="I11" s="90">
        <v>1</v>
      </c>
      <c r="J11" s="39" t="str">
        <f t="shared" si="0"/>
        <v>0</v>
      </c>
      <c r="K11" s="39" t="str">
        <f t="shared" si="1"/>
        <v>0</v>
      </c>
      <c r="L11" s="40" t="str">
        <f t="shared" si="2"/>
        <v>0</v>
      </c>
      <c r="M11" s="19"/>
      <c r="N11" s="27"/>
      <c r="O11" s="93"/>
      <c r="P11" s="93"/>
      <c r="Q11" s="60"/>
      <c r="R11" s="31"/>
      <c r="S11" s="60"/>
      <c r="T11" s="27"/>
      <c r="U11" s="27"/>
      <c r="V11" s="27"/>
      <c r="W11" s="5"/>
      <c r="X11" s="5"/>
      <c r="Y11" s="5"/>
      <c r="Z11" s="5"/>
      <c r="AA11" s="5"/>
    </row>
    <row r="12" spans="1:27" x14ac:dyDescent="0.25">
      <c r="A12" s="5"/>
      <c r="B12" s="18"/>
      <c r="C12" s="82"/>
      <c r="D12" s="83" t="s">
        <v>7</v>
      </c>
      <c r="E12" s="84">
        <v>1</v>
      </c>
      <c r="F12" s="81">
        <v>1</v>
      </c>
      <c r="G12" s="73"/>
      <c r="H12" s="81"/>
      <c r="I12" s="90">
        <v>1</v>
      </c>
      <c r="J12" s="39" t="str">
        <f t="shared" si="0"/>
        <v>0</v>
      </c>
      <c r="K12" s="39" t="str">
        <f t="shared" si="1"/>
        <v>0</v>
      </c>
      <c r="L12" s="40" t="str">
        <f t="shared" si="2"/>
        <v>0</v>
      </c>
      <c r="M12" s="19"/>
      <c r="N12" s="27"/>
      <c r="O12" s="111" t="s">
        <v>33</v>
      </c>
      <c r="P12" s="112"/>
      <c r="Q12" s="60"/>
      <c r="R12" s="29"/>
      <c r="S12" s="60"/>
      <c r="T12" s="27"/>
      <c r="U12" s="27"/>
      <c r="V12" s="27"/>
      <c r="W12" s="5"/>
      <c r="X12" s="5"/>
      <c r="Y12" s="5"/>
      <c r="Z12" s="5"/>
      <c r="AA12" s="5"/>
    </row>
    <row r="13" spans="1:27" x14ac:dyDescent="0.25">
      <c r="A13" s="5"/>
      <c r="B13" s="18"/>
      <c r="C13" s="82"/>
      <c r="D13" s="83" t="s">
        <v>7</v>
      </c>
      <c r="E13" s="84">
        <v>1</v>
      </c>
      <c r="F13" s="81">
        <v>1</v>
      </c>
      <c r="G13" s="73"/>
      <c r="H13" s="81"/>
      <c r="I13" s="90">
        <v>1</v>
      </c>
      <c r="J13" s="39" t="str">
        <f t="shared" si="0"/>
        <v>0</v>
      </c>
      <c r="K13" s="39" t="str">
        <f t="shared" si="1"/>
        <v>0</v>
      </c>
      <c r="L13" s="40" t="str">
        <f t="shared" si="2"/>
        <v>0</v>
      </c>
      <c r="M13" s="19"/>
      <c r="N13" s="27"/>
      <c r="O13" s="98" t="s">
        <v>34</v>
      </c>
      <c r="P13" s="97">
        <v>18</v>
      </c>
      <c r="Q13" s="60"/>
      <c r="R13" s="29"/>
      <c r="S13" s="60"/>
      <c r="T13" s="27"/>
      <c r="U13" s="27"/>
      <c r="V13" s="27"/>
      <c r="W13" s="5"/>
      <c r="X13" s="5"/>
      <c r="Y13" s="5"/>
      <c r="Z13" s="5"/>
      <c r="AA13" s="5"/>
    </row>
    <row r="14" spans="1:27" ht="15" customHeight="1" x14ac:dyDescent="0.4">
      <c r="A14" s="5"/>
      <c r="B14" s="18"/>
      <c r="C14" s="82"/>
      <c r="D14" s="83" t="s">
        <v>7</v>
      </c>
      <c r="E14" s="84">
        <v>1</v>
      </c>
      <c r="F14" s="81">
        <v>1</v>
      </c>
      <c r="G14" s="73"/>
      <c r="H14" s="81"/>
      <c r="I14" s="90">
        <v>1</v>
      </c>
      <c r="J14" s="39" t="str">
        <f t="shared" si="0"/>
        <v>0</v>
      </c>
      <c r="K14" s="39" t="str">
        <f t="shared" si="1"/>
        <v>0</v>
      </c>
      <c r="L14" s="40" t="str">
        <f t="shared" si="2"/>
        <v>0</v>
      </c>
      <c r="M14" s="19"/>
      <c r="N14" s="27"/>
      <c r="O14" s="98" t="s">
        <v>35</v>
      </c>
      <c r="P14" s="97">
        <v>0.8</v>
      </c>
      <c r="Q14" s="32"/>
      <c r="R14" s="32"/>
      <c r="S14" s="27"/>
      <c r="T14" s="27"/>
      <c r="U14" s="27"/>
      <c r="V14" s="27"/>
      <c r="W14" s="5"/>
      <c r="X14" s="5"/>
      <c r="Y14" s="5"/>
      <c r="Z14" s="5"/>
      <c r="AA14" s="5"/>
    </row>
    <row r="15" spans="1:27" ht="15" customHeight="1" thickBot="1" x14ac:dyDescent="0.45">
      <c r="A15" s="5"/>
      <c r="B15" s="18"/>
      <c r="C15" s="82"/>
      <c r="D15" s="83" t="s">
        <v>7</v>
      </c>
      <c r="E15" s="84">
        <v>1</v>
      </c>
      <c r="F15" s="81">
        <v>1</v>
      </c>
      <c r="G15" s="73"/>
      <c r="H15" s="81"/>
      <c r="I15" s="90">
        <v>1</v>
      </c>
      <c r="J15" s="39" t="str">
        <f t="shared" si="0"/>
        <v>0</v>
      </c>
      <c r="K15" s="39" t="str">
        <f t="shared" si="1"/>
        <v>0</v>
      </c>
      <c r="L15" s="40" t="str">
        <f t="shared" si="2"/>
        <v>0</v>
      </c>
      <c r="M15" s="19"/>
      <c r="N15" s="27"/>
      <c r="O15" s="99" t="s">
        <v>36</v>
      </c>
      <c r="P15" s="96">
        <f>P13/P14</f>
        <v>22.5</v>
      </c>
      <c r="Q15" s="32"/>
      <c r="R15" s="32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25">
      <c r="A16" s="5"/>
      <c r="B16" s="18"/>
      <c r="C16" s="82"/>
      <c r="D16" s="83" t="s">
        <v>11</v>
      </c>
      <c r="E16" s="84">
        <v>1</v>
      </c>
      <c r="F16" s="81">
        <v>1</v>
      </c>
      <c r="G16" s="73"/>
      <c r="H16" s="81"/>
      <c r="I16" s="90">
        <v>1</v>
      </c>
      <c r="J16" s="39">
        <f t="shared" si="0"/>
        <v>0</v>
      </c>
      <c r="K16" s="39" t="str">
        <f t="shared" si="1"/>
        <v>0</v>
      </c>
      <c r="L16" s="40">
        <f t="shared" si="2"/>
        <v>0</v>
      </c>
      <c r="M16" s="19"/>
      <c r="N16" s="2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75" thickBot="1" x14ac:dyDescent="0.3">
      <c r="A17" s="5"/>
      <c r="B17" s="18"/>
      <c r="C17" s="82"/>
      <c r="D17" s="83" t="s">
        <v>9</v>
      </c>
      <c r="E17" s="84">
        <v>1</v>
      </c>
      <c r="F17" s="81">
        <v>1</v>
      </c>
      <c r="G17" s="73"/>
      <c r="H17" s="81"/>
      <c r="I17" s="90">
        <v>1</v>
      </c>
      <c r="J17" s="39">
        <f t="shared" si="0"/>
        <v>0</v>
      </c>
      <c r="K17" s="39">
        <f t="shared" si="1"/>
        <v>0</v>
      </c>
      <c r="L17" s="40" t="str">
        <f t="shared" si="2"/>
        <v>0</v>
      </c>
      <c r="M17" s="19"/>
      <c r="N17" s="2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25">
      <c r="A18" s="5"/>
      <c r="B18" s="18"/>
      <c r="C18" s="82"/>
      <c r="D18" s="83" t="s">
        <v>6</v>
      </c>
      <c r="E18" s="84">
        <v>1</v>
      </c>
      <c r="F18" s="81">
        <v>1</v>
      </c>
      <c r="G18" s="73"/>
      <c r="H18" s="81"/>
      <c r="I18" s="90">
        <v>1</v>
      </c>
      <c r="J18" s="39" t="str">
        <f t="shared" si="0"/>
        <v>0</v>
      </c>
      <c r="K18" s="39">
        <f t="shared" si="1"/>
        <v>0</v>
      </c>
      <c r="L18" s="40">
        <f t="shared" si="2"/>
        <v>0</v>
      </c>
      <c r="M18" s="19"/>
      <c r="N18" s="27"/>
      <c r="O18" s="111" t="s">
        <v>39</v>
      </c>
      <c r="P18" s="112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25">
      <c r="A19" s="5"/>
      <c r="B19" s="18"/>
      <c r="C19" s="82"/>
      <c r="D19" s="83" t="s">
        <v>7</v>
      </c>
      <c r="E19" s="84">
        <v>1</v>
      </c>
      <c r="F19" s="81">
        <v>1</v>
      </c>
      <c r="G19" s="73"/>
      <c r="H19" s="81"/>
      <c r="I19" s="90">
        <v>1</v>
      </c>
      <c r="J19" s="39" t="str">
        <f t="shared" si="0"/>
        <v>0</v>
      </c>
      <c r="K19" s="39" t="str">
        <f t="shared" si="1"/>
        <v>0</v>
      </c>
      <c r="L19" s="40" t="str">
        <f t="shared" si="2"/>
        <v>0</v>
      </c>
      <c r="M19" s="19"/>
      <c r="N19" s="27"/>
      <c r="O19" s="98" t="s">
        <v>40</v>
      </c>
      <c r="P19" s="97">
        <v>0.3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thickBot="1" x14ac:dyDescent="0.3">
      <c r="A20" s="5"/>
      <c r="B20" s="18"/>
      <c r="C20" s="82"/>
      <c r="D20" s="83"/>
      <c r="E20" s="84">
        <v>1</v>
      </c>
      <c r="F20" s="81">
        <v>1</v>
      </c>
      <c r="G20" s="73"/>
      <c r="H20" s="81"/>
      <c r="I20" s="90">
        <v>1</v>
      </c>
      <c r="J20" s="39">
        <f t="shared" si="0"/>
        <v>0</v>
      </c>
      <c r="K20" s="39">
        <f t="shared" si="1"/>
        <v>0</v>
      </c>
      <c r="L20" s="40">
        <f t="shared" si="2"/>
        <v>0</v>
      </c>
      <c r="M20" s="19"/>
      <c r="N20" s="27"/>
      <c r="O20" s="99" t="s">
        <v>31</v>
      </c>
      <c r="P20" s="96">
        <f>DEGREES(ATAN(1/P19))</f>
        <v>73.30075576600639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25">
      <c r="A21" s="5"/>
      <c r="B21" s="18"/>
      <c r="C21" s="82"/>
      <c r="D21" s="83"/>
      <c r="E21" s="84">
        <v>1</v>
      </c>
      <c r="F21" s="81">
        <v>1</v>
      </c>
      <c r="G21" s="73"/>
      <c r="H21" s="81"/>
      <c r="I21" s="90">
        <v>1</v>
      </c>
      <c r="J21" s="39">
        <f t="shared" si="0"/>
        <v>0</v>
      </c>
      <c r="K21" s="39">
        <f t="shared" si="1"/>
        <v>0</v>
      </c>
      <c r="L21" s="40">
        <f t="shared" si="2"/>
        <v>0</v>
      </c>
      <c r="M21" s="19"/>
      <c r="N21" s="2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x14ac:dyDescent="0.25">
      <c r="A22" s="5"/>
      <c r="B22" s="18"/>
      <c r="C22" s="82"/>
      <c r="D22" s="83"/>
      <c r="E22" s="84">
        <v>1</v>
      </c>
      <c r="F22" s="81">
        <v>1</v>
      </c>
      <c r="G22" s="73"/>
      <c r="H22" s="81"/>
      <c r="I22" s="90">
        <v>1</v>
      </c>
      <c r="J22" s="39">
        <f t="shared" si="0"/>
        <v>0</v>
      </c>
      <c r="K22" s="39">
        <f t="shared" si="1"/>
        <v>0</v>
      </c>
      <c r="L22" s="40">
        <f t="shared" si="2"/>
        <v>0</v>
      </c>
      <c r="M22" s="19"/>
      <c r="N22" s="2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5"/>
      <c r="B23" s="18"/>
      <c r="C23" s="82"/>
      <c r="D23" s="83"/>
      <c r="E23" s="84">
        <v>1</v>
      </c>
      <c r="F23" s="81">
        <v>1</v>
      </c>
      <c r="G23" s="73"/>
      <c r="H23" s="81"/>
      <c r="I23" s="90">
        <v>1</v>
      </c>
      <c r="J23" s="39">
        <f t="shared" si="0"/>
        <v>0</v>
      </c>
      <c r="K23" s="39">
        <f t="shared" si="1"/>
        <v>0</v>
      </c>
      <c r="L23" s="40">
        <f t="shared" si="2"/>
        <v>0</v>
      </c>
      <c r="M23" s="19"/>
      <c r="N23" s="2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5">
      <c r="A24" s="5"/>
      <c r="B24" s="18"/>
      <c r="C24" s="82"/>
      <c r="D24" s="83"/>
      <c r="E24" s="84">
        <v>1</v>
      </c>
      <c r="F24" s="81">
        <v>1</v>
      </c>
      <c r="G24" s="73"/>
      <c r="H24" s="81"/>
      <c r="I24" s="90">
        <v>1</v>
      </c>
      <c r="J24" s="39">
        <f t="shared" si="0"/>
        <v>0</v>
      </c>
      <c r="K24" s="39">
        <f t="shared" si="1"/>
        <v>0</v>
      </c>
      <c r="L24" s="40">
        <f t="shared" si="2"/>
        <v>0</v>
      </c>
      <c r="M24" s="19"/>
      <c r="N24" s="2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5">
      <c r="A25" s="5"/>
      <c r="B25" s="18"/>
      <c r="C25" s="82"/>
      <c r="D25" s="83"/>
      <c r="E25" s="84">
        <v>1</v>
      </c>
      <c r="F25" s="81">
        <v>1</v>
      </c>
      <c r="G25" s="73"/>
      <c r="H25" s="81"/>
      <c r="I25" s="90">
        <v>1</v>
      </c>
      <c r="J25" s="39">
        <f t="shared" si="0"/>
        <v>0</v>
      </c>
      <c r="K25" s="39">
        <f t="shared" si="1"/>
        <v>0</v>
      </c>
      <c r="L25" s="40">
        <f t="shared" si="2"/>
        <v>0</v>
      </c>
      <c r="M25" s="19"/>
      <c r="N25" s="2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25">
      <c r="A26" s="5"/>
      <c r="B26" s="18"/>
      <c r="C26" s="82"/>
      <c r="D26" s="83"/>
      <c r="E26" s="84">
        <v>1</v>
      </c>
      <c r="F26" s="81">
        <v>1</v>
      </c>
      <c r="G26" s="73"/>
      <c r="H26" s="81"/>
      <c r="I26" s="90">
        <v>1</v>
      </c>
      <c r="J26" s="39">
        <f t="shared" si="0"/>
        <v>0</v>
      </c>
      <c r="K26" s="39">
        <f t="shared" si="1"/>
        <v>0</v>
      </c>
      <c r="L26" s="40">
        <f t="shared" si="2"/>
        <v>0</v>
      </c>
      <c r="M26" s="19"/>
      <c r="N26" s="27"/>
      <c r="O26" s="5"/>
      <c r="P26" s="5"/>
      <c r="Q26" s="53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25">
      <c r="A27" s="5"/>
      <c r="B27" s="18"/>
      <c r="C27" s="82"/>
      <c r="D27" s="83"/>
      <c r="E27" s="84">
        <v>1</v>
      </c>
      <c r="F27" s="81">
        <v>1</v>
      </c>
      <c r="G27" s="73"/>
      <c r="H27" s="81"/>
      <c r="I27" s="90">
        <v>1</v>
      </c>
      <c r="J27" s="39">
        <f t="shared" si="0"/>
        <v>0</v>
      </c>
      <c r="K27" s="39">
        <f t="shared" si="1"/>
        <v>0</v>
      </c>
      <c r="L27" s="40">
        <f t="shared" si="2"/>
        <v>0</v>
      </c>
      <c r="M27" s="19"/>
      <c r="N27" s="2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thickBot="1" x14ac:dyDescent="0.3">
      <c r="A28" s="5"/>
      <c r="B28" s="18"/>
      <c r="C28" s="85"/>
      <c r="D28" s="86"/>
      <c r="E28" s="87">
        <v>1</v>
      </c>
      <c r="F28" s="88">
        <v>1</v>
      </c>
      <c r="G28" s="74"/>
      <c r="H28" s="88"/>
      <c r="I28" s="91">
        <v>1</v>
      </c>
      <c r="J28" s="41">
        <f t="shared" si="0"/>
        <v>0</v>
      </c>
      <c r="K28" s="41">
        <f t="shared" si="1"/>
        <v>0</v>
      </c>
      <c r="L28" s="42">
        <f t="shared" si="2"/>
        <v>0</v>
      </c>
      <c r="M28" s="19"/>
      <c r="N28" s="27"/>
      <c r="O28" s="49"/>
      <c r="P28" s="49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23.25" x14ac:dyDescent="0.35">
      <c r="A29" s="5"/>
      <c r="B29" s="18"/>
      <c r="C29" s="113" t="s">
        <v>37</v>
      </c>
      <c r="D29" s="114"/>
      <c r="E29" s="114"/>
      <c r="F29" s="114"/>
      <c r="G29" s="114"/>
      <c r="H29" s="114"/>
      <c r="I29" s="114"/>
      <c r="J29" s="114"/>
      <c r="K29" s="114"/>
      <c r="L29" s="114"/>
      <c r="M29" s="20"/>
      <c r="N29" s="49"/>
      <c r="O29" s="48"/>
      <c r="P29" s="48"/>
      <c r="Q29" s="27"/>
      <c r="R29" s="27"/>
      <c r="S29" s="5"/>
      <c r="T29" s="5"/>
      <c r="U29" s="5"/>
      <c r="V29" s="5"/>
      <c r="W29" s="5"/>
      <c r="X29" s="5"/>
      <c r="Y29" s="5"/>
      <c r="Z29" s="5"/>
      <c r="AA29" s="5"/>
    </row>
    <row r="30" spans="1:27" ht="24" thickBot="1" x14ac:dyDescent="0.4">
      <c r="A30" s="5"/>
      <c r="B30" s="45"/>
      <c r="C30" s="103" t="s">
        <v>14</v>
      </c>
      <c r="D30" s="103"/>
      <c r="E30" s="103"/>
      <c r="F30" s="103"/>
      <c r="G30" s="103"/>
      <c r="H30" s="103"/>
      <c r="I30" s="103"/>
      <c r="J30" s="103"/>
      <c r="K30" s="103"/>
      <c r="L30" s="103"/>
      <c r="M30" s="45"/>
      <c r="N30" s="48"/>
      <c r="O30" s="5"/>
      <c r="P30" s="5"/>
      <c r="Q30" s="27"/>
      <c r="R30" s="27"/>
      <c r="S30" s="5"/>
      <c r="T30" s="5"/>
      <c r="U30" s="5"/>
      <c r="V30" s="5"/>
      <c r="W30" s="5"/>
      <c r="X30" s="5"/>
      <c r="Y30" s="5"/>
      <c r="Z30" s="5"/>
      <c r="AA30" s="5"/>
    </row>
    <row r="31" spans="1:27" ht="30" x14ac:dyDescent="0.25">
      <c r="A31" s="5"/>
      <c r="B31" s="23"/>
      <c r="C31" s="35" t="s">
        <v>10</v>
      </c>
      <c r="D31" s="36" t="s">
        <v>8</v>
      </c>
      <c r="E31" s="36" t="s">
        <v>2</v>
      </c>
      <c r="F31" s="37" t="s">
        <v>1</v>
      </c>
      <c r="G31" s="37" t="s">
        <v>22</v>
      </c>
      <c r="H31" s="37" t="s">
        <v>23</v>
      </c>
      <c r="I31" s="37" t="s">
        <v>0</v>
      </c>
      <c r="J31" s="51" t="s">
        <v>19</v>
      </c>
      <c r="K31" s="51" t="s">
        <v>20</v>
      </c>
      <c r="L31" s="52" t="s">
        <v>21</v>
      </c>
      <c r="M31" s="24"/>
      <c r="N31" s="2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x14ac:dyDescent="0.25">
      <c r="A32" s="5"/>
      <c r="B32" s="23"/>
      <c r="C32" s="78"/>
      <c r="D32" s="79" t="s">
        <v>12</v>
      </c>
      <c r="E32" s="79">
        <v>1</v>
      </c>
      <c r="F32" s="79">
        <v>1</v>
      </c>
      <c r="G32" s="79"/>
      <c r="H32" s="4">
        <f t="shared" ref="H32:H38" si="3">(G32*1000)/_xlfn.IFS(D32="L1L2L3",(400*SQRT(3)*I32),OR(D32="L1",D32="L2",D32="L3"),(230*I32),OR(D32="L1L2",D32="L2L3",D32="L3L1"),(400*I32))</f>
        <v>0</v>
      </c>
      <c r="I32" s="79">
        <v>1</v>
      </c>
      <c r="J32" s="26" t="str">
        <f>IF(OR(D32="L1",D32="L1L2",D32="L3L1",D32="L1L2L3"),COMPLEX(E32*H32*F32*(COS(RADIANS(DEGREES(ACOS(I32))-IF(D32="L1L2",30,0)+IF(D32="L3L1",30,0)))),F32*E32*H32*(SIN(RADIANS(DEGREES(ACOS(I32))-IF(D32="L1L2",30,0)+IF(D32="L3L1",30,0)))),"i"),0)</f>
        <v>0</v>
      </c>
      <c r="K32" s="26" t="str">
        <f>IF(OR(D32="L2",D32="L1L2",D32="L2L3",D32="L1L2L3"),COMPLEX(E32*H32*F32*(COS(RADIANS(DEGREES(ACOS(I32))-IF(D32="L2L3",30,0)+IF(D32="L1L2",30,0)))),F32*E32*H32*(SIN(RADIANS(DEGREES(ACOS(I32))-IF(D32="L2L3",30,0)+IF(D32="L1L2",30,0)))),"i"),0)</f>
        <v>0</v>
      </c>
      <c r="L32" s="38">
        <f>IF(OR(D32="L3",D32="L3L1",D32="L2L3",D32="L1L2L3"),COMPLEX(E32*H32*F32*(COS(RADIANS(DEGREES(ACOS(I32))-IF(D32="L3L1",30,0)+IF(D32="L2L3",30,0)))),F32*E32*H32*(SIN(RADIANS(DEGREES(ACOS(I32))-IF(D32="L3L1",30,0)+IF(D32="L2L3",30,0)))),"i"),0)</f>
        <v>0</v>
      </c>
      <c r="M32" s="24"/>
      <c r="N32" s="2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x14ac:dyDescent="0.25">
      <c r="A33" s="5"/>
      <c r="B33" s="23"/>
      <c r="C33" s="82"/>
      <c r="D33" s="83" t="s">
        <v>7</v>
      </c>
      <c r="E33" s="83">
        <v>1</v>
      </c>
      <c r="F33" s="83">
        <v>1</v>
      </c>
      <c r="G33" s="83"/>
      <c r="H33" s="1">
        <f t="shared" si="3"/>
        <v>0</v>
      </c>
      <c r="I33" s="83">
        <v>1</v>
      </c>
      <c r="J33" s="26" t="str">
        <f t="shared" ref="J33:J38" si="4">IF(OR(D33="L1",D33="L1L2",D33="L3L1",D33="L1L2L3"),COMPLEX(E33*H33*F33*(COS(RADIANS(DEGREES(ACOS(I33))-IF(D33="L1L2",30,0)+IF(D33="L3L1",30,0)))),F33*E33*H33*(SIN(RADIANS(DEGREES(ACOS(I33))-IF(D33="L1L2",30,0)+IF(D33="L3L1",30,0)))),"i"),0)</f>
        <v>0</v>
      </c>
      <c r="K33" s="26" t="str">
        <f t="shared" ref="K33:K38" si="5">IF(OR(D33="L2",D33="L1L2",D33="L2L3",D33="L1L2L3"),COMPLEX(E33*H33*F33*(COS(RADIANS(DEGREES(ACOS(I33))-IF(D33="L2L3",30,0)+IF(D33="L1L2",30,0)))),F33*E33*H33*(SIN(RADIANS(DEGREES(ACOS(I33))-IF(D33="L2L3",30,0)+IF(D33="L1L2",30,0)))),"i"),0)</f>
        <v>0</v>
      </c>
      <c r="L33" s="38" t="str">
        <f t="shared" ref="L33:L38" si="6">IF(OR(D33="L3",D33="L3L1",D33="L2L3",D33="L1L2L3"),COMPLEX(E33*H33*F33*(COS(RADIANS(DEGREES(ACOS(I33))-IF(D33="L3L1",30,0)+IF(D33="L2L3",30,0)))),F33*E33*H33*(SIN(RADIANS(DEGREES(ACOS(I33))-IF(D33="L3L1",30,0)+IF(D33="L2L3",30,0)))),"i"),0)</f>
        <v>0</v>
      </c>
      <c r="M33" s="24"/>
      <c r="N33" s="2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x14ac:dyDescent="0.25">
      <c r="A34" s="5"/>
      <c r="B34" s="23"/>
      <c r="C34" s="82"/>
      <c r="D34" s="83" t="s">
        <v>7</v>
      </c>
      <c r="E34" s="83">
        <v>1</v>
      </c>
      <c r="F34" s="83">
        <v>1</v>
      </c>
      <c r="G34" s="83"/>
      <c r="H34" s="1">
        <f t="shared" si="3"/>
        <v>0</v>
      </c>
      <c r="I34" s="83">
        <v>1</v>
      </c>
      <c r="J34" s="26" t="str">
        <f t="shared" si="4"/>
        <v>0</v>
      </c>
      <c r="K34" s="26" t="str">
        <f t="shared" si="5"/>
        <v>0</v>
      </c>
      <c r="L34" s="38" t="str">
        <f t="shared" si="6"/>
        <v>0</v>
      </c>
      <c r="M34" s="24"/>
      <c r="N34" s="2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x14ac:dyDescent="0.25">
      <c r="A35" s="5"/>
      <c r="B35" s="23"/>
      <c r="C35" s="82"/>
      <c r="D35" s="83" t="s">
        <v>7</v>
      </c>
      <c r="E35" s="83">
        <v>1</v>
      </c>
      <c r="F35" s="83">
        <v>1</v>
      </c>
      <c r="G35" s="83"/>
      <c r="H35" s="1">
        <f t="shared" si="3"/>
        <v>0</v>
      </c>
      <c r="I35" s="83">
        <v>1</v>
      </c>
      <c r="J35" s="26" t="str">
        <f t="shared" si="4"/>
        <v>0</v>
      </c>
      <c r="K35" s="26" t="str">
        <f t="shared" si="5"/>
        <v>0</v>
      </c>
      <c r="L35" s="38" t="str">
        <f t="shared" si="6"/>
        <v>0</v>
      </c>
      <c r="M35" s="24"/>
      <c r="N35" s="2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x14ac:dyDescent="0.25">
      <c r="A36" s="5"/>
      <c r="B36" s="23"/>
      <c r="C36" s="82"/>
      <c r="D36" s="83" t="s">
        <v>7</v>
      </c>
      <c r="E36" s="83">
        <v>1</v>
      </c>
      <c r="F36" s="83">
        <v>1</v>
      </c>
      <c r="G36" s="83"/>
      <c r="H36" s="1">
        <f t="shared" si="3"/>
        <v>0</v>
      </c>
      <c r="I36" s="83">
        <v>1</v>
      </c>
      <c r="J36" s="26" t="str">
        <f t="shared" si="4"/>
        <v>0</v>
      </c>
      <c r="K36" s="26" t="str">
        <f t="shared" si="5"/>
        <v>0</v>
      </c>
      <c r="L36" s="38" t="str">
        <f t="shared" si="6"/>
        <v>0</v>
      </c>
      <c r="M36" s="24"/>
      <c r="N36" s="2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x14ac:dyDescent="0.25">
      <c r="A37" s="5"/>
      <c r="B37" s="23"/>
      <c r="C37" s="82"/>
      <c r="D37" s="83" t="s">
        <v>7</v>
      </c>
      <c r="E37" s="83">
        <v>1</v>
      </c>
      <c r="F37" s="83">
        <v>1</v>
      </c>
      <c r="G37" s="83"/>
      <c r="H37" s="1">
        <f t="shared" si="3"/>
        <v>0</v>
      </c>
      <c r="I37" s="83">
        <v>1</v>
      </c>
      <c r="J37" s="26" t="str">
        <f t="shared" si="4"/>
        <v>0</v>
      </c>
      <c r="K37" s="26" t="str">
        <f t="shared" si="5"/>
        <v>0</v>
      </c>
      <c r="L37" s="38" t="str">
        <f t="shared" si="6"/>
        <v>0</v>
      </c>
      <c r="M37" s="24"/>
      <c r="N37" s="2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thickBot="1" x14ac:dyDescent="0.3">
      <c r="A38" s="5"/>
      <c r="B38" s="23"/>
      <c r="C38" s="85"/>
      <c r="D38" s="86" t="s">
        <v>7</v>
      </c>
      <c r="E38" s="86">
        <v>1</v>
      </c>
      <c r="F38" s="86">
        <v>1</v>
      </c>
      <c r="G38" s="86"/>
      <c r="H38" s="3">
        <f t="shared" si="3"/>
        <v>0</v>
      </c>
      <c r="I38" s="86">
        <v>1</v>
      </c>
      <c r="J38" s="43" t="str">
        <f t="shared" si="4"/>
        <v>0</v>
      </c>
      <c r="K38" s="43" t="str">
        <f t="shared" si="5"/>
        <v>0</v>
      </c>
      <c r="L38" s="44" t="str">
        <f t="shared" si="6"/>
        <v>0</v>
      </c>
      <c r="M38" s="24"/>
      <c r="N38" s="27"/>
      <c r="O38" s="49"/>
      <c r="P38" s="49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23.25" x14ac:dyDescent="0.35">
      <c r="A39" s="5"/>
      <c r="B39" s="23"/>
      <c r="C39" s="115" t="s">
        <v>38</v>
      </c>
      <c r="D39" s="115"/>
      <c r="E39" s="115"/>
      <c r="F39" s="115"/>
      <c r="G39" s="115"/>
      <c r="H39" s="115"/>
      <c r="I39" s="115"/>
      <c r="J39" s="115"/>
      <c r="K39" s="115"/>
      <c r="L39" s="115"/>
      <c r="M39" s="25"/>
      <c r="N39" s="49"/>
      <c r="O39" s="48"/>
      <c r="P39" s="48"/>
      <c r="Q39" s="27"/>
      <c r="R39" s="27"/>
      <c r="S39" s="5"/>
      <c r="T39" s="5"/>
      <c r="U39" s="5"/>
      <c r="V39" s="5"/>
      <c r="W39" s="5"/>
      <c r="X39" s="5"/>
      <c r="Y39" s="5"/>
      <c r="Z39" s="5"/>
      <c r="AA39" s="5"/>
    </row>
    <row r="40" spans="1:27" ht="24" thickBot="1" x14ac:dyDescent="0.4">
      <c r="A40" s="5"/>
      <c r="B40" s="21"/>
      <c r="C40" s="102" t="s">
        <v>15</v>
      </c>
      <c r="D40" s="102"/>
      <c r="E40" s="102"/>
      <c r="F40" s="102"/>
      <c r="G40" s="102"/>
      <c r="H40" s="102"/>
      <c r="I40" s="102"/>
      <c r="J40" s="102"/>
      <c r="K40" s="102"/>
      <c r="L40" s="102"/>
      <c r="M40" s="50"/>
      <c r="N40" s="48"/>
      <c r="O40" s="5"/>
      <c r="P40" s="5"/>
      <c r="Q40" s="27"/>
      <c r="R40" s="27"/>
      <c r="S40" s="5"/>
      <c r="T40" s="5"/>
      <c r="U40" s="5"/>
      <c r="V40" s="5"/>
      <c r="W40" s="5"/>
      <c r="X40" s="5"/>
      <c r="Y40" s="5"/>
      <c r="Z40" s="5"/>
      <c r="AA40" s="5"/>
    </row>
    <row r="41" spans="1:27" ht="30" x14ac:dyDescent="0.25">
      <c r="A41" s="5"/>
      <c r="B41" s="21"/>
      <c r="C41" s="35" t="s">
        <v>10</v>
      </c>
      <c r="D41" s="36" t="s">
        <v>8</v>
      </c>
      <c r="E41" s="36" t="s">
        <v>2</v>
      </c>
      <c r="F41" s="37" t="s">
        <v>1</v>
      </c>
      <c r="G41" s="37" t="s">
        <v>24</v>
      </c>
      <c r="H41" s="37" t="s">
        <v>23</v>
      </c>
      <c r="I41" s="37" t="s">
        <v>0</v>
      </c>
      <c r="J41" s="51" t="s">
        <v>19</v>
      </c>
      <c r="K41" s="51" t="s">
        <v>20</v>
      </c>
      <c r="L41" s="52" t="s">
        <v>21</v>
      </c>
      <c r="M41" s="22"/>
      <c r="N41" s="2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x14ac:dyDescent="0.25">
      <c r="A42" s="5"/>
      <c r="B42" s="21"/>
      <c r="C42" s="78"/>
      <c r="D42" s="79" t="s">
        <v>12</v>
      </c>
      <c r="E42" s="79">
        <v>1</v>
      </c>
      <c r="F42" s="79">
        <v>1</v>
      </c>
      <c r="G42" s="79"/>
      <c r="H42" s="4">
        <f t="shared" ref="H42:H47" si="7">(G42*1000)/_xlfn.IFS(D42="L1L2L3",(400*SQRT(3)),OR(D42="L1",D42="L2",D42="L3"),(230),OR(D42="L1L2",D42="L2L3",D42="L3L1"),(400))</f>
        <v>0</v>
      </c>
      <c r="I42" s="79">
        <v>1</v>
      </c>
      <c r="J42" s="26" t="str">
        <f>IF(OR(D42="L1",D42="L1L2",D42="L3L1",D42="L1L2L3"),COMPLEX(E42*H42*F42*(COS(RADIANS(DEGREES(ACOS(I42))-IF(D42="L1L2",30,0)+IF(D42="L3L1",30,0)))),F42*E42*H42*(SIN(RADIANS(DEGREES(ACOS(I42))-IF(D42="L1L2",30,0)+IF(D42="L3L1",30,0)))),"i"),0)</f>
        <v>0</v>
      </c>
      <c r="K42" s="26" t="str">
        <f>IF(OR(D42="L2",D42="L1L2",D42="L2L3",D42="L1L2L3"),COMPLEX(E42*H42*F42*(COS(RADIANS(DEGREES(ACOS(I42))-IF(D42="L2L3",30,0)+IF(D42="L1L2",30,0)))),F42*E42*H42*(SIN(RADIANS(DEGREES(ACOS(I42))-IF(D42="L2L3",30,0)+IF(D42="L1L2",30,0)))),"i"),0)</f>
        <v>0</v>
      </c>
      <c r="L42" s="38">
        <f>IF(OR(D42="L3",D42="L3L1",D42="L2L3",D42="L1L2L3"),COMPLEX(E42*H42*F42*(COS(RADIANS(DEGREES(ACOS(I42))-IF(D42="L3L1",30,0)+IF(D42="L2L3",30,0)))),F42*E42*H42*(SIN(RADIANS(DEGREES(ACOS(I42))-IF(D42="L3L1",30,0)+IF(D42="L2L3",30,0)))),"i"),0)</f>
        <v>0</v>
      </c>
      <c r="M42" s="22"/>
      <c r="N42" s="2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25">
      <c r="A43" s="5"/>
      <c r="B43" s="21"/>
      <c r="C43" s="82"/>
      <c r="D43" s="83"/>
      <c r="E43" s="83">
        <v>1</v>
      </c>
      <c r="F43" s="83">
        <v>1</v>
      </c>
      <c r="G43" s="83"/>
      <c r="H43" s="1" t="e">
        <f t="shared" si="7"/>
        <v>#N/A</v>
      </c>
      <c r="I43" s="83">
        <v>1</v>
      </c>
      <c r="J43" s="26">
        <f t="shared" ref="J43:J47" si="8">IF(OR(D43="L1",D43="L1L2",D43="L3L1",D43="L1L2L3"),COMPLEX(E43*H43*F43*(COS(RADIANS(DEGREES(ACOS(I43))-IF(D43="L1L2",30,0)+IF(D43="L3L1",30,0)))),F43*E43*H43*(SIN(RADIANS(DEGREES(ACOS(I43))-IF(D43="L1L2",30,0)+IF(D43="L3L1",30,0)))),"i"),0)</f>
        <v>0</v>
      </c>
      <c r="K43" s="26">
        <f t="shared" ref="K43:K47" si="9">IF(OR(D43="L2",D43="L1L2",D43="L2L3",D43="L1L2L3"),COMPLEX(E43*H43*F43*(COS(RADIANS(DEGREES(ACOS(I43))-IF(D43="L2L3",30,0)+IF(D43="L1L2",30,0)))),F43*E43*H43*(SIN(RADIANS(DEGREES(ACOS(I43))-IF(D43="L2L3",30,0)+IF(D43="L1L2",30,0)))),"i"),0)</f>
        <v>0</v>
      </c>
      <c r="L43" s="38">
        <f t="shared" ref="L43:L47" si="10">IF(OR(D43="L3",D43="L3L1",D43="L2L3",D43="L1L2L3"),COMPLEX(E43*H43*F43*(COS(RADIANS(DEGREES(ACOS(I43))-IF(D43="L3L1",30,0)+IF(D43="L2L3",30,0)))),F43*E43*H43*(SIN(RADIANS(DEGREES(ACOS(I43))-IF(D43="L3L1",30,0)+IF(D43="L2L3",30,0)))),"i"),0)</f>
        <v>0</v>
      </c>
      <c r="M43" s="22"/>
      <c r="N43" s="2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25">
      <c r="A44" s="5"/>
      <c r="B44" s="21"/>
      <c r="C44" s="82"/>
      <c r="D44" s="83"/>
      <c r="E44" s="83">
        <v>1</v>
      </c>
      <c r="F44" s="83">
        <v>1</v>
      </c>
      <c r="G44" s="83"/>
      <c r="H44" s="1" t="e">
        <f t="shared" si="7"/>
        <v>#N/A</v>
      </c>
      <c r="I44" s="83">
        <v>1</v>
      </c>
      <c r="J44" s="26">
        <f t="shared" si="8"/>
        <v>0</v>
      </c>
      <c r="K44" s="26">
        <f t="shared" si="9"/>
        <v>0</v>
      </c>
      <c r="L44" s="38">
        <f t="shared" si="10"/>
        <v>0</v>
      </c>
      <c r="M44" s="22"/>
      <c r="N44" s="2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x14ac:dyDescent="0.25">
      <c r="A45" s="5"/>
      <c r="B45" s="21"/>
      <c r="C45" s="82"/>
      <c r="D45" s="83"/>
      <c r="E45" s="83">
        <v>1</v>
      </c>
      <c r="F45" s="83">
        <v>1</v>
      </c>
      <c r="G45" s="83"/>
      <c r="H45" s="1" t="e">
        <f t="shared" si="7"/>
        <v>#N/A</v>
      </c>
      <c r="I45" s="83">
        <v>1</v>
      </c>
      <c r="J45" s="26">
        <f t="shared" si="8"/>
        <v>0</v>
      </c>
      <c r="K45" s="26">
        <f t="shared" si="9"/>
        <v>0</v>
      </c>
      <c r="L45" s="38">
        <f t="shared" si="10"/>
        <v>0</v>
      </c>
      <c r="M45" s="22"/>
      <c r="N45" s="2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x14ac:dyDescent="0.25">
      <c r="A46" s="5"/>
      <c r="B46" s="21"/>
      <c r="C46" s="82"/>
      <c r="D46" s="83"/>
      <c r="E46" s="83">
        <v>1</v>
      </c>
      <c r="F46" s="83">
        <v>1</v>
      </c>
      <c r="G46" s="83"/>
      <c r="H46" s="1" t="e">
        <f t="shared" si="7"/>
        <v>#N/A</v>
      </c>
      <c r="I46" s="83">
        <v>1</v>
      </c>
      <c r="J46" s="26">
        <f t="shared" si="8"/>
        <v>0</v>
      </c>
      <c r="K46" s="26">
        <f t="shared" si="9"/>
        <v>0</v>
      </c>
      <c r="L46" s="38">
        <f t="shared" si="10"/>
        <v>0</v>
      </c>
      <c r="M46" s="22"/>
      <c r="N46" s="2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5.75" thickBot="1" x14ac:dyDescent="0.3">
      <c r="A47" s="5"/>
      <c r="B47" s="21"/>
      <c r="C47" s="85"/>
      <c r="D47" s="86"/>
      <c r="E47" s="86">
        <v>1</v>
      </c>
      <c r="F47" s="86">
        <v>1</v>
      </c>
      <c r="G47" s="86"/>
      <c r="H47" s="3" t="e">
        <f t="shared" si="7"/>
        <v>#N/A</v>
      </c>
      <c r="I47" s="86">
        <v>1</v>
      </c>
      <c r="J47" s="43">
        <f t="shared" si="8"/>
        <v>0</v>
      </c>
      <c r="K47" s="43">
        <f t="shared" si="9"/>
        <v>0</v>
      </c>
      <c r="L47" s="44">
        <f t="shared" si="10"/>
        <v>0</v>
      </c>
      <c r="M47" s="22"/>
      <c r="N47" s="27"/>
      <c r="O47" s="27"/>
      <c r="P47" s="27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8.75" x14ac:dyDescent="0.3">
      <c r="A48" s="5"/>
      <c r="B48" s="21"/>
      <c r="C48" s="109" t="s">
        <v>38</v>
      </c>
      <c r="D48" s="109"/>
      <c r="E48" s="109"/>
      <c r="F48" s="109"/>
      <c r="G48" s="109"/>
      <c r="H48" s="109"/>
      <c r="I48" s="109"/>
      <c r="J48" s="109"/>
      <c r="K48" s="109"/>
      <c r="L48" s="109"/>
      <c r="M48" s="22"/>
      <c r="N48" s="27"/>
      <c r="O48" s="27"/>
      <c r="P48" s="27"/>
      <c r="Q48" s="27"/>
      <c r="R48" s="27"/>
      <c r="S48" s="5"/>
      <c r="T48" s="5"/>
      <c r="U48" s="5"/>
      <c r="V48" s="5"/>
      <c r="W48" s="5"/>
      <c r="X48" s="5"/>
      <c r="Y48" s="5"/>
      <c r="Z48" s="5"/>
      <c r="AA48" s="5"/>
    </row>
    <row r="49" spans="1:27" ht="15.75" thickBot="1" x14ac:dyDescent="0.3">
      <c r="A49" s="5"/>
      <c r="B49" s="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58"/>
      <c r="P49" s="58"/>
      <c r="Q49" s="27"/>
      <c r="R49" s="27"/>
      <c r="S49" s="5"/>
      <c r="T49" s="5"/>
      <c r="U49" s="5"/>
      <c r="V49" s="5"/>
      <c r="W49" s="5"/>
      <c r="X49" s="5"/>
      <c r="Y49" s="5"/>
      <c r="Z49" s="5"/>
      <c r="AA49" s="5"/>
    </row>
    <row r="50" spans="1:27" x14ac:dyDescent="0.25">
      <c r="A50" s="5"/>
      <c r="B50" s="58"/>
      <c r="C50" s="100" t="s">
        <v>29</v>
      </c>
      <c r="D50" s="100"/>
      <c r="E50" s="100"/>
      <c r="F50" s="100"/>
      <c r="G50" s="69"/>
      <c r="H50" s="70"/>
      <c r="I50" s="70"/>
      <c r="J50" s="62" t="s">
        <v>6</v>
      </c>
      <c r="K50" s="62" t="s">
        <v>11</v>
      </c>
      <c r="L50" s="63" t="s">
        <v>11</v>
      </c>
      <c r="M50" s="58"/>
      <c r="N50" s="58"/>
      <c r="O50" s="58"/>
      <c r="P50" s="58"/>
      <c r="Q50" s="58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x14ac:dyDescent="0.25">
      <c r="A51" s="5"/>
      <c r="B51" s="58"/>
      <c r="C51" s="100"/>
      <c r="D51" s="100"/>
      <c r="E51" s="100"/>
      <c r="F51" s="100"/>
      <c r="G51" s="105" t="s">
        <v>25</v>
      </c>
      <c r="H51" s="106"/>
      <c r="I51" s="106"/>
      <c r="J51" s="66" t="str">
        <f>IMSUM(J5:J28,J32:J38,J42:J47)</f>
        <v>0</v>
      </c>
      <c r="K51" s="64" t="str">
        <f>IMSUM(K5:K28,K32:K38,K42:K47)</f>
        <v>0</v>
      </c>
      <c r="L51" s="65" t="str">
        <f>IMSUM(L5:L28,L32:L38,L42:L47)</f>
        <v>0</v>
      </c>
      <c r="M51" s="58"/>
      <c r="N51" s="58"/>
      <c r="O51" s="5"/>
      <c r="P51" s="5"/>
      <c r="Q51" s="58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x14ac:dyDescent="0.25">
      <c r="A52" s="5"/>
      <c r="B52" s="5"/>
      <c r="C52" s="100"/>
      <c r="D52" s="100"/>
      <c r="E52" s="100"/>
      <c r="F52" s="100"/>
      <c r="G52" s="105" t="s">
        <v>26</v>
      </c>
      <c r="H52" s="106"/>
      <c r="I52" s="106"/>
      <c r="J52" s="67" t="str">
        <f>CONCATENATE(ROUND(IMABS(J51),3),"A")</f>
        <v>0A</v>
      </c>
      <c r="K52" s="1" t="str">
        <f t="shared" ref="K52:L52" si="11">CONCATENATE(ROUND(IMABS(K51),3),"A")</f>
        <v>0A</v>
      </c>
      <c r="L52" s="2" t="str">
        <f t="shared" si="11"/>
        <v>0A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x14ac:dyDescent="0.25">
      <c r="A53" s="5"/>
      <c r="B53" s="5"/>
      <c r="C53" s="100"/>
      <c r="D53" s="100"/>
      <c r="E53" s="100"/>
      <c r="F53" s="100"/>
      <c r="G53" s="105" t="s">
        <v>27</v>
      </c>
      <c r="H53" s="106"/>
      <c r="I53" s="106"/>
      <c r="J53" s="67" t="e">
        <f>CONCATENATE(ROUND(DEGREES(-IMARGUMENT(J51)),2),"°")</f>
        <v>#DIV/0!</v>
      </c>
      <c r="K53" s="1" t="e">
        <f t="shared" ref="K53:L53" si="12">CONCATENATE(ROUND(DEGREES(-IMARGUMENT(K51)),2),"°")</f>
        <v>#DIV/0!</v>
      </c>
      <c r="L53" s="2" t="e">
        <f t="shared" si="12"/>
        <v>#DIV/0!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x14ac:dyDescent="0.25">
      <c r="A54" s="5"/>
      <c r="B54" s="5"/>
      <c r="C54" s="100"/>
      <c r="D54" s="100"/>
      <c r="E54" s="100"/>
      <c r="F54" s="100"/>
      <c r="G54" s="105" t="s">
        <v>3</v>
      </c>
      <c r="H54" s="106"/>
      <c r="I54" s="106"/>
      <c r="J54" s="90">
        <v>1</v>
      </c>
      <c r="K54" s="71"/>
      <c r="L54" s="72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75" thickBot="1" x14ac:dyDescent="0.3">
      <c r="A55" s="5"/>
      <c r="B55" s="5"/>
      <c r="C55" s="100"/>
      <c r="D55" s="100"/>
      <c r="E55" s="100"/>
      <c r="F55" s="100"/>
      <c r="G55" s="107" t="s">
        <v>28</v>
      </c>
      <c r="H55" s="108"/>
      <c r="I55" s="108"/>
      <c r="J55" s="68" t="str">
        <f>CONCATENATE(ROUND(J54*IMABS(J51),3),"A")</f>
        <v>0A</v>
      </c>
      <c r="K55" s="68" t="str">
        <f>CONCATENATE(ROUND(J54*IMABS(K51),3),"A")</f>
        <v>0A</v>
      </c>
      <c r="L55" s="92" t="str">
        <f>CONCATENATE(ROUND(J54*IMABS(L51),3),"A")</f>
        <v>0A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x14ac:dyDescent="0.25">
      <c r="A56" s="5"/>
      <c r="B56" s="5"/>
      <c r="C56" s="100"/>
      <c r="D56" s="100"/>
      <c r="E56" s="100"/>
      <c r="F56" s="100"/>
      <c r="G56" s="59"/>
      <c r="H56" s="59"/>
      <c r="I56" s="59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x14ac:dyDescent="0.25">
      <c r="A57" s="5"/>
      <c r="B57" s="5"/>
      <c r="C57" s="100"/>
      <c r="D57" s="100"/>
      <c r="E57" s="100"/>
      <c r="F57" s="100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x14ac:dyDescent="0.25">
      <c r="A61" s="5"/>
      <c r="B61" s="5"/>
      <c r="C61" s="5"/>
      <c r="D61" s="5"/>
      <c r="E61" s="5"/>
      <c r="F61" s="5"/>
      <c r="M61" s="5"/>
      <c r="N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</sheetData>
  <sheetProtection algorithmName="SHA-512" hashValue="S9iN6un7/dIRmvPX/Xs50tJMC0ZTdY2ljqQF3YeFRNm/lGcftHa8fRyv5Jb5Qj1/j1MQgO033Aq7TaAWEHkYbQ==" saltValue="ATz5FmEZjoqfAgEnKoqyRQ==" spinCount="100000" sheet="1" objects="1" scenarios="1" selectLockedCells="1"/>
  <mergeCells count="17">
    <mergeCell ref="O5:V6"/>
    <mergeCell ref="O7:P7"/>
    <mergeCell ref="O12:P12"/>
    <mergeCell ref="C29:L29"/>
    <mergeCell ref="C39:L39"/>
    <mergeCell ref="O18:P18"/>
    <mergeCell ref="C50:F57"/>
    <mergeCell ref="B1:M2"/>
    <mergeCell ref="C40:L40"/>
    <mergeCell ref="C30:L30"/>
    <mergeCell ref="C3:L3"/>
    <mergeCell ref="G51:I51"/>
    <mergeCell ref="G52:I52"/>
    <mergeCell ref="G53:I53"/>
    <mergeCell ref="G54:I54"/>
    <mergeCell ref="G55:I55"/>
    <mergeCell ref="C48:L48"/>
  </mergeCells>
  <dataValidations count="1">
    <dataValidation type="list" allowBlank="1" showInputMessage="1" showErrorMessage="1" sqref="D42:D47 D5:D28 D32:D38" xr:uid="{00000000-0002-0000-0000-000000000000}">
      <formula1>"L1,L2,L3,L1L2,L2L3,L3L1,L1L2L3"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zoomScale="60" zoomScaleNormal="60" workbookViewId="0">
      <selection activeCell="J1" sqref="J1"/>
    </sheetView>
  </sheetViews>
  <sheetFormatPr defaultRowHeight="15" x14ac:dyDescent="0.25"/>
  <cols>
    <col min="1" max="1" width="10.42578125" customWidth="1"/>
    <col min="2" max="2" width="44.140625" customWidth="1"/>
    <col min="3" max="3" width="29.140625" customWidth="1"/>
    <col min="4" max="5" width="26.85546875" bestFit="1" customWidth="1"/>
  </cols>
  <sheetData>
    <row r="1" spans="1:9" ht="15.75" thickBo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24" thickBot="1" x14ac:dyDescent="0.4">
      <c r="A2" s="5"/>
      <c r="B2" s="12" t="s">
        <v>10</v>
      </c>
      <c r="C2" s="13" t="s">
        <v>6</v>
      </c>
      <c r="D2" s="13" t="s">
        <v>11</v>
      </c>
      <c r="E2" s="14" t="s">
        <v>9</v>
      </c>
      <c r="F2" s="5"/>
      <c r="G2" s="5"/>
      <c r="H2" s="5"/>
      <c r="I2" s="5"/>
    </row>
    <row r="3" spans="1:9" x14ac:dyDescent="0.25">
      <c r="A3" s="5"/>
      <c r="B3" s="6" t="str">
        <f>IF(Beregninger!C5=0,"",Beregninger!C5)</f>
        <v/>
      </c>
      <c r="C3" s="11" t="str">
        <f>IF(OR(Beregninger!H5=0,Beregninger!J5=0,Beregninger!F5=0),"",CONCATENATE(IMABS(Beregninger!J5),"A"," ∠",ROUND(DEGREES(-IMARGUMENT(Beregninger!J5)),2)))</f>
        <v/>
      </c>
      <c r="D3" s="11" t="str">
        <f>IF(OR(Beregninger!H5=0,Beregninger!K5=0),"",CONCATENATE(IMABS(Beregninger!K5),"A"," ∠",ROUND(DEGREES(-IMARGUMENT(Beregninger!K5)),2)))</f>
        <v/>
      </c>
      <c r="E3" s="7" t="str">
        <f>IF(OR(Beregninger!H5=0,Beregninger!L5=0),"",CONCATENATE(IMABS(Beregninger!L5),"A"," ∠",ROUND(DEGREES(-IMARGUMENT(Beregninger!L5)),2)))</f>
        <v/>
      </c>
      <c r="F3" s="5"/>
      <c r="G3" s="5"/>
      <c r="H3" s="5"/>
      <c r="I3" s="5"/>
    </row>
    <row r="4" spans="1:9" x14ac:dyDescent="0.25">
      <c r="A4" s="5"/>
      <c r="B4" s="8" t="str">
        <f>IF(Beregninger!C6=0,"",Beregninger!C6)</f>
        <v/>
      </c>
      <c r="C4" s="10" t="str">
        <f>IF(OR(Beregninger!H6=0,Beregninger!J6=0,Beregninger!F6=0),"",CONCATENATE(IMABS(Beregninger!J6),"A"," ∠",ROUND(DEGREES(-IMARGUMENT(Beregninger!J6)),2)))</f>
        <v/>
      </c>
      <c r="D4" s="10" t="str">
        <f>IF(OR(Beregninger!H6=0,Beregninger!K6=0),"",CONCATENATE(IMABS(Beregninger!K6),"A"," ∠",ROUND(DEGREES(-IMARGUMENT(Beregninger!K6)),2)))</f>
        <v/>
      </c>
      <c r="E4" s="9" t="str">
        <f>IF(OR(Beregninger!H6=0,Beregninger!L6=0),"",CONCATENATE(IMABS(Beregninger!L6),"A"," ∠",ROUND(DEGREES(-IMARGUMENT(Beregninger!L6)),2)))</f>
        <v/>
      </c>
      <c r="F4" s="5"/>
      <c r="G4" s="5"/>
      <c r="H4" s="5"/>
      <c r="I4" s="5"/>
    </row>
    <row r="5" spans="1:9" x14ac:dyDescent="0.25">
      <c r="A5" s="5"/>
      <c r="B5" s="6" t="str">
        <f>IF(Beregninger!C7=0,"",Beregninger!C7)</f>
        <v/>
      </c>
      <c r="C5" s="11" t="str">
        <f>IF(OR(Beregninger!H7=0,Beregninger!J7=0,Beregninger!F7=0),"",CONCATENATE(IMABS(Beregninger!J7),"A"," ∠",ROUND(DEGREES(-IMARGUMENT(Beregninger!J7)),2)))</f>
        <v/>
      </c>
      <c r="D5" s="11" t="str">
        <f>IF(OR(Beregninger!H7=0,Beregninger!K7=0),"",CONCATENATE(IMABS(Beregninger!K7),"A"," ∠",ROUND(DEGREES(-IMARGUMENT(Beregninger!K7)),2)))</f>
        <v/>
      </c>
      <c r="E5" s="7" t="str">
        <f>IF(OR(Beregninger!H7=0,Beregninger!L7=0),"",CONCATENATE(IMABS(Beregninger!L7),"A"," ∠",ROUND(DEGREES(-IMARGUMENT(Beregninger!L7)),2)))</f>
        <v/>
      </c>
      <c r="F5" s="5"/>
      <c r="G5" s="5"/>
      <c r="H5" s="5"/>
      <c r="I5" s="5"/>
    </row>
    <row r="6" spans="1:9" x14ac:dyDescent="0.25">
      <c r="A6" s="5"/>
      <c r="B6" s="8" t="str">
        <f>IF(Beregninger!C8=0,"",Beregninger!C8)</f>
        <v/>
      </c>
      <c r="C6" s="10" t="str">
        <f>IF(OR(Beregninger!H8=0,Beregninger!J8=0,Beregninger!F8=0),"",CONCATENATE(IMABS(Beregninger!J8),"A"," ∠",ROUND(DEGREES(-IMARGUMENT(Beregninger!J8)),2)))</f>
        <v/>
      </c>
      <c r="D6" s="10" t="str">
        <f>IF(OR(Beregninger!H8=0,Beregninger!K8=0),"",CONCATENATE(IMABS(Beregninger!K8),"A"," ∠",ROUND(DEGREES(-IMARGUMENT(Beregninger!K8)),2)))</f>
        <v/>
      </c>
      <c r="E6" s="9" t="str">
        <f>IF(OR(Beregninger!H8=0,Beregninger!L8=0),"",CONCATENATE(IMABS(Beregninger!L8),"A"," ∠",ROUND(DEGREES(-IMARGUMENT(Beregninger!L8)),2)))</f>
        <v/>
      </c>
      <c r="F6" s="5"/>
      <c r="G6" s="5"/>
      <c r="H6" s="5"/>
      <c r="I6" s="5"/>
    </row>
    <row r="7" spans="1:9" x14ac:dyDescent="0.25">
      <c r="A7" s="5"/>
      <c r="B7" s="6" t="str">
        <f>IF(Beregninger!C9=0,"",Beregninger!C9)</f>
        <v/>
      </c>
      <c r="C7" s="11" t="str">
        <f>IF(OR(Beregninger!H9=0,Beregninger!J9=0,Beregninger!F9=0),"",CONCATENATE(IMABS(Beregninger!J9),"A"," ∠",ROUND(DEGREES(-IMARGUMENT(Beregninger!J9)),2)))</f>
        <v/>
      </c>
      <c r="D7" s="11" t="str">
        <f>IF(OR(Beregninger!H9=0,Beregninger!K9=0),"",CONCATENATE(IMABS(Beregninger!K9),"A"," ∠",ROUND(DEGREES(-IMARGUMENT(Beregninger!K9)),2)))</f>
        <v/>
      </c>
      <c r="E7" s="7" t="str">
        <f>IF(OR(Beregninger!H9=0,Beregninger!L9=0),"",CONCATENATE(IMABS(Beregninger!L9),"A"," ∠",ROUND(DEGREES(-IMARGUMENT(Beregninger!L9)),2)))</f>
        <v/>
      </c>
      <c r="F7" s="5"/>
      <c r="G7" s="5"/>
      <c r="H7" s="5"/>
      <c r="I7" s="5"/>
    </row>
    <row r="8" spans="1:9" x14ac:dyDescent="0.25">
      <c r="A8" s="5"/>
      <c r="B8" s="8" t="str">
        <f>IF(Beregninger!C10=0,"",Beregninger!C10)</f>
        <v/>
      </c>
      <c r="C8" s="10" t="str">
        <f>IF(OR(Beregninger!H10=0,Beregninger!J10=0,Beregninger!F10=0),"",CONCATENATE(IMABS(Beregninger!J10),"A"," ∠",ROUND(DEGREES(-IMARGUMENT(Beregninger!J10)),2)))</f>
        <v/>
      </c>
      <c r="D8" s="10" t="str">
        <f>IF(OR(Beregninger!H10=0,Beregninger!K10=0),"",CONCATENATE(IMABS(Beregninger!K10),"A"," ∠",ROUND(DEGREES(-IMARGUMENT(Beregninger!K10)),2)))</f>
        <v/>
      </c>
      <c r="E8" s="9" t="str">
        <f>IF(OR(Beregninger!H10=0,Beregninger!L10=0),"",CONCATENATE(IMABS(Beregninger!L10),"A"," ∠",ROUND(DEGREES(-IMARGUMENT(Beregninger!L10)),2)))</f>
        <v/>
      </c>
      <c r="F8" s="5"/>
      <c r="G8" s="5"/>
      <c r="H8" s="5"/>
      <c r="I8" s="5"/>
    </row>
    <row r="9" spans="1:9" x14ac:dyDescent="0.25">
      <c r="A9" s="5"/>
      <c r="B9" s="6" t="str">
        <f>IF(Beregninger!C11=0,"",Beregninger!C11)</f>
        <v/>
      </c>
      <c r="C9" s="11" t="str">
        <f>IF(OR(Beregninger!H11=0,Beregninger!J11=0,Beregninger!F11=0),"",CONCATENATE(IMABS(Beregninger!J11),"A"," ∠",ROUND(DEGREES(-IMARGUMENT(Beregninger!J11)),2)))</f>
        <v/>
      </c>
      <c r="D9" s="11" t="str">
        <f>IF(OR(Beregninger!H11=0,Beregninger!K11=0),"",CONCATENATE(IMABS(Beregninger!K11),"A"," ∠",ROUND(DEGREES(-IMARGUMENT(Beregninger!K11)),2)))</f>
        <v/>
      </c>
      <c r="E9" s="7" t="str">
        <f>IF(OR(Beregninger!H11=0,Beregninger!L11=0),"",CONCATENATE(IMABS(Beregninger!L11),"A"," ∠",ROUND(DEGREES(-IMARGUMENT(Beregninger!L11)),2)))</f>
        <v/>
      </c>
      <c r="F9" s="5"/>
      <c r="G9" s="5"/>
      <c r="H9" s="5"/>
      <c r="I9" s="5"/>
    </row>
    <row r="10" spans="1:9" x14ac:dyDescent="0.25">
      <c r="A10" s="5"/>
      <c r="B10" s="8" t="str">
        <f>IF(Beregninger!C12=0,"",Beregninger!C12)</f>
        <v/>
      </c>
      <c r="C10" s="10" t="str">
        <f>IF(OR(Beregninger!H12=0,Beregninger!J12=0,Beregninger!F12=0),"",CONCATENATE(IMABS(Beregninger!J12),"A"," ∠",ROUND(DEGREES(-IMARGUMENT(Beregninger!J12)),2)))</f>
        <v/>
      </c>
      <c r="D10" s="10" t="str">
        <f>IF(OR(Beregninger!H12=0,Beregninger!K12=0),"",CONCATENATE(IMABS(Beregninger!K12),"A"," ∠",ROUND(DEGREES(-IMARGUMENT(Beregninger!K12)),2)))</f>
        <v/>
      </c>
      <c r="E10" s="9" t="str">
        <f>IF(OR(Beregninger!H12=0,Beregninger!L12=0),"",CONCATENATE(IMABS(Beregninger!L12),"A"," ∠",ROUND(DEGREES(-IMARGUMENT(Beregninger!L12)),2)))</f>
        <v/>
      </c>
      <c r="F10" s="5"/>
      <c r="G10" s="5"/>
      <c r="H10" s="5"/>
      <c r="I10" s="5"/>
    </row>
    <row r="11" spans="1:9" x14ac:dyDescent="0.25">
      <c r="A11" s="5"/>
      <c r="B11" s="6" t="str">
        <f>IF(Beregninger!C13=0,"",Beregninger!C13)</f>
        <v/>
      </c>
      <c r="C11" s="11" t="str">
        <f>IF(OR(Beregninger!H13=0,Beregninger!J13=0,Beregninger!F13=0),"",CONCATENATE(IMABS(Beregninger!J13),"A"," ∠",ROUND(DEGREES(-IMARGUMENT(Beregninger!J13)),2)))</f>
        <v/>
      </c>
      <c r="D11" s="11" t="str">
        <f>IF(OR(Beregninger!H13=0,Beregninger!K13=0),"",CONCATENATE(IMABS(Beregninger!K13),"A"," ∠",ROUND(DEGREES(-IMARGUMENT(Beregninger!K13)),2)))</f>
        <v/>
      </c>
      <c r="E11" s="7" t="str">
        <f>IF(OR(Beregninger!H13=0,Beregninger!L13=0),"",CONCATENATE(IMABS(Beregninger!L13),"A"," ∠",ROUND(DEGREES(-IMARGUMENT(Beregninger!L13)),2)))</f>
        <v/>
      </c>
      <c r="F11" s="5"/>
      <c r="G11" s="5"/>
      <c r="H11" s="5"/>
      <c r="I11" s="5"/>
    </row>
    <row r="12" spans="1:9" x14ac:dyDescent="0.25">
      <c r="A12" s="5"/>
      <c r="B12" s="8" t="str">
        <f>IF(Beregninger!C14=0,"",Beregninger!C14)</f>
        <v/>
      </c>
      <c r="C12" s="10" t="str">
        <f>IF(OR(Beregninger!H14=0,Beregninger!J14=0,Beregninger!F14=0),"",CONCATENATE(IMABS(Beregninger!J14),"A"," ∠",ROUND(DEGREES(-IMARGUMENT(Beregninger!J14)),2)))</f>
        <v/>
      </c>
      <c r="D12" s="10" t="str">
        <f>IF(OR(Beregninger!H14=0,Beregninger!K14=0),"",CONCATENATE(IMABS(Beregninger!K14),"A"," ∠",ROUND(DEGREES(-IMARGUMENT(Beregninger!K14)),2)))</f>
        <v/>
      </c>
      <c r="E12" s="9" t="str">
        <f>IF(OR(Beregninger!H14=0,Beregninger!L14=0),"",CONCATENATE(IMABS(Beregninger!L14),"A"," ∠",ROUND(DEGREES(-IMARGUMENT(Beregninger!L14)),2)))</f>
        <v/>
      </c>
      <c r="F12" s="5"/>
      <c r="G12" s="5"/>
      <c r="H12" s="5"/>
      <c r="I12" s="5"/>
    </row>
    <row r="13" spans="1:9" x14ac:dyDescent="0.25">
      <c r="A13" s="5"/>
      <c r="B13" s="6" t="str">
        <f>IF(Beregninger!C15=0,"",Beregninger!C15)</f>
        <v/>
      </c>
      <c r="C13" s="11" t="str">
        <f>IF(OR(Beregninger!H15=0,Beregninger!J15=0,Beregninger!F15=0),"",CONCATENATE(IMABS(Beregninger!J15),"A"," ∠",ROUND(DEGREES(-IMARGUMENT(Beregninger!J15)),2)))</f>
        <v/>
      </c>
      <c r="D13" s="11" t="str">
        <f>IF(OR(Beregninger!H15=0,Beregninger!K15=0),"",CONCATENATE(IMABS(Beregninger!K15),"A"," ∠",ROUND(DEGREES(-IMARGUMENT(Beregninger!K15)),2)))</f>
        <v/>
      </c>
      <c r="E13" s="7" t="str">
        <f>IF(OR(Beregninger!H15=0,Beregninger!L15=0),"",CONCATENATE(IMABS(Beregninger!L15),"A"," ∠",ROUND(DEGREES(-IMARGUMENT(Beregninger!L15)),2)))</f>
        <v/>
      </c>
      <c r="F13" s="5"/>
      <c r="G13" s="5"/>
      <c r="H13" s="5"/>
      <c r="I13" s="5"/>
    </row>
    <row r="14" spans="1:9" x14ac:dyDescent="0.25">
      <c r="A14" s="5"/>
      <c r="B14" s="8" t="str">
        <f>IF(Beregninger!C16=0,"",Beregninger!C16)</f>
        <v/>
      </c>
      <c r="C14" s="10" t="str">
        <f>IF(OR(Beregninger!H16=0,Beregninger!J16=0,Beregninger!F16=0),"",CONCATENATE(IMABS(Beregninger!J16),"A"," ∠",ROUND(DEGREES(-IMARGUMENT(Beregninger!J16)),2)))</f>
        <v/>
      </c>
      <c r="D14" s="10" t="str">
        <f>IF(OR(Beregninger!H16=0,Beregninger!K16=0),"",CONCATENATE(IMABS(Beregninger!K16),"A"," ∠",ROUND(DEGREES(-IMARGUMENT(Beregninger!K16)),2)))</f>
        <v/>
      </c>
      <c r="E14" s="9" t="str">
        <f>IF(OR(Beregninger!H16=0,Beregninger!L16=0),"",CONCATENATE(IMABS(Beregninger!L16),"A"," ∠",ROUND(DEGREES(-IMARGUMENT(Beregninger!L16)),2)))</f>
        <v/>
      </c>
      <c r="F14" s="5"/>
      <c r="G14" s="5"/>
      <c r="H14" s="5"/>
      <c r="I14" s="5"/>
    </row>
    <row r="15" spans="1:9" x14ac:dyDescent="0.25">
      <c r="A15" s="5"/>
      <c r="B15" s="6" t="str">
        <f>IF(Beregninger!C17=0,"",Beregninger!C17)</f>
        <v/>
      </c>
      <c r="C15" s="11" t="str">
        <f>IF(OR(Beregninger!H17=0,Beregninger!J17=0,Beregninger!F17=0),"",CONCATENATE(IMABS(Beregninger!J17),"A"," ∠",ROUND(DEGREES(-IMARGUMENT(Beregninger!J17)),2)))</f>
        <v/>
      </c>
      <c r="D15" s="11" t="str">
        <f>IF(OR(Beregninger!H17=0,Beregninger!K17=0),"",CONCATENATE(IMABS(Beregninger!K17),"A"," ∠",ROUND(DEGREES(-IMARGUMENT(Beregninger!K17)),2)))</f>
        <v/>
      </c>
      <c r="E15" s="7" t="str">
        <f>IF(OR(Beregninger!H17=0,Beregninger!L17=0),"",CONCATENATE(IMABS(Beregninger!L17),"A"," ∠",ROUND(DEGREES(-IMARGUMENT(Beregninger!L17)),2)))</f>
        <v/>
      </c>
      <c r="F15" s="5"/>
      <c r="G15" s="5"/>
      <c r="H15" s="5"/>
      <c r="I15" s="5"/>
    </row>
    <row r="16" spans="1:9" x14ac:dyDescent="0.25">
      <c r="A16" s="5"/>
      <c r="B16" s="8" t="str">
        <f>IF(Beregninger!C18=0,"",Beregninger!C18)</f>
        <v/>
      </c>
      <c r="C16" s="10" t="str">
        <f>IF(OR(Beregninger!H18=0,Beregninger!J18=0,Beregninger!F18=0),"",CONCATENATE(IMABS(Beregninger!J18),"A"," ∠",ROUND(DEGREES(-IMARGUMENT(Beregninger!J18)),2)))</f>
        <v/>
      </c>
      <c r="D16" s="10" t="str">
        <f>IF(OR(Beregninger!H18=0,Beregninger!K18=0),"",CONCATENATE(IMABS(Beregninger!K18),"A"," ∠",ROUND(DEGREES(-IMARGUMENT(Beregninger!K18)),2)))</f>
        <v/>
      </c>
      <c r="E16" s="9" t="str">
        <f>IF(OR(Beregninger!H18=0,Beregninger!L18=0),"",CONCATENATE(IMABS(Beregninger!L18),"A"," ∠",ROUND(DEGREES(-IMARGUMENT(Beregninger!L18)),2)))</f>
        <v/>
      </c>
      <c r="F16" s="5"/>
      <c r="G16" s="5"/>
      <c r="H16" s="5"/>
      <c r="I16" s="5"/>
    </row>
    <row r="17" spans="1:9" x14ac:dyDescent="0.25">
      <c r="A17" s="5"/>
      <c r="B17" s="6" t="str">
        <f>IF(Beregninger!C19=0,"",Beregninger!C19)</f>
        <v/>
      </c>
      <c r="C17" s="11" t="str">
        <f>IF(OR(Beregninger!H19=0,Beregninger!J19=0,Beregninger!F19=0),"",CONCATENATE(IMABS(Beregninger!J19),"A"," ∠",ROUND(DEGREES(-IMARGUMENT(Beregninger!J19)),2)))</f>
        <v/>
      </c>
      <c r="D17" s="11" t="str">
        <f>IF(OR(Beregninger!H19=0,Beregninger!K19=0),"",CONCATENATE(IMABS(Beregninger!K19),"A"," ∠",ROUND(DEGREES(-IMARGUMENT(Beregninger!K19)),2)))</f>
        <v/>
      </c>
      <c r="E17" s="7" t="str">
        <f>IF(OR(Beregninger!H19=0,Beregninger!L19=0),"",CONCATENATE(IMABS(Beregninger!L19),"A"," ∠",ROUND(DEGREES(-IMARGUMENT(Beregninger!L19)),2)))</f>
        <v/>
      </c>
      <c r="F17" s="5"/>
      <c r="G17" s="5"/>
      <c r="H17" s="5"/>
      <c r="I17" s="5"/>
    </row>
    <row r="18" spans="1:9" x14ac:dyDescent="0.25">
      <c r="A18" s="5"/>
      <c r="B18" s="8" t="str">
        <f>IF(Beregninger!C20=0,"",Beregninger!C20)</f>
        <v/>
      </c>
      <c r="C18" s="10" t="str">
        <f>IF(OR(Beregninger!H20=0,Beregninger!J20=0,Beregninger!F20=0),"",CONCATENATE(IMABS(Beregninger!J20),"A"," ∠",ROUND(DEGREES(-IMARGUMENT(Beregninger!J20)),2)))</f>
        <v/>
      </c>
      <c r="D18" s="10" t="str">
        <f>IF(OR(Beregninger!H20=0,Beregninger!K20=0),"",CONCATENATE(IMABS(Beregninger!K20),"A"," ∠",ROUND(DEGREES(-IMARGUMENT(Beregninger!K20)),2)))</f>
        <v/>
      </c>
      <c r="E18" s="9" t="str">
        <f>IF(OR(Beregninger!H20=0,Beregninger!L20=0),"",CONCATENATE(IMABS(Beregninger!L20),"A"," ∠",ROUND(DEGREES(-IMARGUMENT(Beregninger!L20)),2)))</f>
        <v/>
      </c>
      <c r="F18" s="5"/>
      <c r="G18" s="5"/>
      <c r="H18" s="5"/>
      <c r="I18" s="5"/>
    </row>
    <row r="19" spans="1:9" x14ac:dyDescent="0.25">
      <c r="A19" s="5"/>
      <c r="B19" s="6" t="str">
        <f>IF(Beregninger!C21=0,"",Beregninger!C21)</f>
        <v/>
      </c>
      <c r="C19" s="11" t="str">
        <f>IF(OR(Beregninger!H21=0,Beregninger!J21=0,Beregninger!F21=0),"",CONCATENATE(IMABS(Beregninger!J21),"A"," ∠",ROUND(DEGREES(-IMARGUMENT(Beregninger!J21)),2)))</f>
        <v/>
      </c>
      <c r="D19" s="11" t="str">
        <f>IF(OR(Beregninger!H21=0,Beregninger!K21=0),"",CONCATENATE(IMABS(Beregninger!K21),"A"," ∠",ROUND(DEGREES(-IMARGUMENT(Beregninger!K21)),2)))</f>
        <v/>
      </c>
      <c r="E19" s="7" t="str">
        <f>IF(OR(Beregninger!H21=0,Beregninger!L21=0),"",CONCATENATE(IMABS(Beregninger!L21),"A"," ∠",ROUND(DEGREES(-IMARGUMENT(Beregninger!L21)),2)))</f>
        <v/>
      </c>
      <c r="F19" s="5"/>
      <c r="G19" s="5"/>
      <c r="H19" s="5"/>
      <c r="I19" s="5"/>
    </row>
    <row r="20" spans="1:9" x14ac:dyDescent="0.25">
      <c r="A20" s="5"/>
      <c r="B20" s="8" t="str">
        <f>IF(Beregninger!C22=0,"",Beregninger!C22)</f>
        <v/>
      </c>
      <c r="C20" s="10" t="str">
        <f>IF(OR(Beregninger!H22=0,Beregninger!J22=0,Beregninger!F22=0),"",CONCATENATE(IMABS(Beregninger!J22),"A"," ∠",ROUND(DEGREES(-IMARGUMENT(Beregninger!J22)),2)))</f>
        <v/>
      </c>
      <c r="D20" s="10" t="str">
        <f>IF(OR(Beregninger!H22=0,Beregninger!K22=0),"",CONCATENATE(IMABS(Beregninger!K22),"A"," ∠",ROUND(DEGREES(-IMARGUMENT(Beregninger!K22)),2)))</f>
        <v/>
      </c>
      <c r="E20" s="9" t="str">
        <f>IF(OR(Beregninger!H22=0,Beregninger!L22=0),"",CONCATENATE(IMABS(Beregninger!L22),"A"," ∠",ROUND(DEGREES(-IMARGUMENT(Beregninger!L22)),2)))</f>
        <v/>
      </c>
      <c r="F20" s="5"/>
      <c r="G20" s="5"/>
      <c r="H20" s="5"/>
      <c r="I20" s="5"/>
    </row>
    <row r="21" spans="1:9" x14ac:dyDescent="0.25">
      <c r="A21" s="5"/>
      <c r="B21" s="6" t="str">
        <f>IF(Beregninger!C23=0,"",Beregninger!C23)</f>
        <v/>
      </c>
      <c r="C21" s="11" t="str">
        <f>IF(OR(Beregninger!H23=0,Beregninger!J23=0,Beregninger!F23=0),"",CONCATENATE(IMABS(Beregninger!J23),"A"," ∠",ROUND(DEGREES(-IMARGUMENT(Beregninger!J23)),2)))</f>
        <v/>
      </c>
      <c r="D21" s="11" t="str">
        <f>IF(OR(Beregninger!H23=0,Beregninger!K23=0),"",CONCATENATE(IMABS(Beregninger!K23),"A"," ∠",ROUND(DEGREES(-IMARGUMENT(Beregninger!K23)),2)))</f>
        <v/>
      </c>
      <c r="E21" s="7" t="str">
        <f>IF(OR(Beregninger!H23=0,Beregninger!L23=0),"",CONCATENATE(IMABS(Beregninger!L23),"A"," ∠",ROUND(DEGREES(-IMARGUMENT(Beregninger!L23)),2)))</f>
        <v/>
      </c>
      <c r="F21" s="5"/>
      <c r="G21" s="5"/>
      <c r="H21" s="5"/>
      <c r="I21" s="5"/>
    </row>
    <row r="22" spans="1:9" x14ac:dyDescent="0.25">
      <c r="A22" s="5"/>
      <c r="B22" s="8" t="str">
        <f>IF(Beregninger!C24=0,"",Beregninger!C24)</f>
        <v/>
      </c>
      <c r="C22" s="10" t="str">
        <f>IF(OR(Beregninger!H24=0,Beregninger!J24=0,Beregninger!F24=0),"",CONCATENATE(IMABS(Beregninger!J24),"A"," ∠",ROUND(DEGREES(-IMARGUMENT(Beregninger!J24)),2)))</f>
        <v/>
      </c>
      <c r="D22" s="10" t="str">
        <f>IF(OR(Beregninger!H24=0,Beregninger!K24=0),"",CONCATENATE(IMABS(Beregninger!K24),"A"," ∠",ROUND(DEGREES(-IMARGUMENT(Beregninger!K24)),2)))</f>
        <v/>
      </c>
      <c r="E22" s="9" t="str">
        <f>IF(OR(Beregninger!H24=0,Beregninger!L24=0),"",CONCATENATE(IMABS(Beregninger!L24),"A"," ∠",ROUND(DEGREES(-IMARGUMENT(Beregninger!L24)),2)))</f>
        <v/>
      </c>
      <c r="F22" s="5"/>
      <c r="G22" s="5"/>
      <c r="H22" s="5"/>
      <c r="I22" s="5"/>
    </row>
    <row r="23" spans="1:9" x14ac:dyDescent="0.25">
      <c r="A23" s="5"/>
      <c r="B23" s="6" t="str">
        <f>IF(Beregninger!C25=0,"",Beregninger!C25)</f>
        <v/>
      </c>
      <c r="C23" s="11" t="str">
        <f>IF(OR(Beregninger!H25=0,Beregninger!J25=0,Beregninger!F25=0),"",CONCATENATE(IMABS(Beregninger!J25),"A"," ∠",ROUND(DEGREES(-IMARGUMENT(Beregninger!J25)),2)))</f>
        <v/>
      </c>
      <c r="D23" s="11" t="str">
        <f>IF(OR(Beregninger!H25=0,Beregninger!K25=0),"",CONCATENATE(IMABS(Beregninger!K25),"A"," ∠",ROUND(DEGREES(-IMARGUMENT(Beregninger!K25)),2)))</f>
        <v/>
      </c>
      <c r="E23" s="7" t="str">
        <f>IF(OR(Beregninger!H25=0,Beregninger!L25=0),"",CONCATENATE(IMABS(Beregninger!L25),"A"," ∠",ROUND(DEGREES(-IMARGUMENT(Beregninger!L25)),2)))</f>
        <v/>
      </c>
      <c r="F23" s="5"/>
      <c r="G23" s="5"/>
      <c r="H23" s="5"/>
      <c r="I23" s="5"/>
    </row>
    <row r="24" spans="1:9" x14ac:dyDescent="0.25">
      <c r="A24" s="5"/>
      <c r="B24" s="8" t="str">
        <f>IF(Beregninger!C26=0,"",Beregninger!C26)</f>
        <v/>
      </c>
      <c r="C24" s="10" t="str">
        <f>IF(OR(Beregninger!H26=0,Beregninger!J26=0,Beregninger!F26=0),"",CONCATENATE(IMABS(Beregninger!J26),"A"," ∠",ROUND(DEGREES(-IMARGUMENT(Beregninger!J26)),2)))</f>
        <v/>
      </c>
      <c r="D24" s="10" t="str">
        <f>IF(OR(Beregninger!H26=0,Beregninger!K26=0),"",CONCATENATE(IMABS(Beregninger!K26),"A"," ∠",ROUND(DEGREES(-IMARGUMENT(Beregninger!K26)),2)))</f>
        <v/>
      </c>
      <c r="E24" s="9" t="str">
        <f>IF(OR(Beregninger!H26=0,Beregninger!L26=0),"",CONCATENATE(IMABS(Beregninger!L26),"A"," ∠",ROUND(DEGREES(-IMARGUMENT(Beregninger!L26)),2)))</f>
        <v/>
      </c>
      <c r="F24" s="5"/>
      <c r="G24" s="5"/>
      <c r="H24" s="5"/>
      <c r="I24" s="5"/>
    </row>
    <row r="25" spans="1:9" x14ac:dyDescent="0.25">
      <c r="A25" s="5"/>
      <c r="B25" s="6" t="str">
        <f>IF(Beregninger!C27=0,"",Beregninger!C27)</f>
        <v/>
      </c>
      <c r="C25" s="11" t="str">
        <f>IF(OR(Beregninger!H27=0,Beregninger!J27=0,Beregninger!F27=0),"",CONCATENATE(IMABS(Beregninger!J27),"A"," ∠",ROUND(DEGREES(-IMARGUMENT(Beregninger!J27)),2)))</f>
        <v/>
      </c>
      <c r="D25" s="11" t="str">
        <f>IF(OR(Beregninger!H27=0,Beregninger!K27=0),"",CONCATENATE(IMABS(Beregninger!K27),"A"," ∠",ROUND(DEGREES(-IMARGUMENT(Beregninger!K27)),2)))</f>
        <v/>
      </c>
      <c r="E25" s="7" t="str">
        <f>IF(OR(Beregninger!H27=0,Beregninger!L27=0),"",CONCATENATE(IMABS(Beregninger!L27),"A"," ∠",ROUND(DEGREES(-IMARGUMENT(Beregninger!L27)),2)))</f>
        <v/>
      </c>
      <c r="F25" s="5"/>
      <c r="G25" s="5"/>
      <c r="H25" s="5"/>
      <c r="I25" s="5"/>
    </row>
    <row r="26" spans="1:9" x14ac:dyDescent="0.25">
      <c r="A26" s="5"/>
      <c r="B26" s="8" t="str">
        <f>IF(Beregninger!C28=0,"",Beregninger!C28)</f>
        <v/>
      </c>
      <c r="C26" s="10" t="str">
        <f>IF(OR(Beregninger!H28=0,Beregninger!J28=0,Beregninger!F28=0),"",CONCATENATE(IMABS(Beregninger!J28),"A"," ∠",ROUND(DEGREES(-IMARGUMENT(Beregninger!J28)),2)))</f>
        <v/>
      </c>
      <c r="D26" s="10" t="str">
        <f>IF(OR(Beregninger!H28=0,Beregninger!K28=0),"",CONCATENATE(IMABS(Beregninger!K28),"A"," ∠",ROUND(DEGREES(-IMARGUMENT(Beregninger!K28)),2)))</f>
        <v/>
      </c>
      <c r="E26" s="9" t="str">
        <f>IF(OR(Beregninger!H28=0,Beregninger!L28=0),"",CONCATENATE(IMABS(Beregninger!L28),"A"," ∠",ROUND(DEGREES(-IMARGUMENT(Beregninger!L28)),2)))</f>
        <v/>
      </c>
      <c r="F26" s="5"/>
      <c r="G26" s="5"/>
      <c r="H26" s="5"/>
      <c r="I26" s="5"/>
    </row>
    <row r="27" spans="1:9" x14ac:dyDescent="0.25">
      <c r="A27" s="5"/>
      <c r="B27" s="6" t="str">
        <f>IF(Beregninger!C32=0,"",Beregninger!C32)</f>
        <v/>
      </c>
      <c r="C27" s="11" t="str">
        <f>IF(OR(Beregninger!G32=0,Beregninger!J32=0,Beregninger!F32=0),"",CONCATENATE(ROUND(IMABS(Beregninger!J32),2),"A"," ∠",ROUND(DEGREES(-IMARGUMENT(Beregninger!J32)),2)))</f>
        <v/>
      </c>
      <c r="D27" s="11" t="str">
        <f>IF(OR(Beregninger!G32=0,Beregninger!K32=0,Beregninger!F32=0),"",CONCATENATE(ROUND(IMABS(Beregninger!K32),2),"A"," ∠",ROUND(DEGREES(-IMARGUMENT(Beregninger!K32)),2)))</f>
        <v/>
      </c>
      <c r="E27" s="7" t="str">
        <f>IF(OR(Beregninger!G32=0,Beregninger!L32=0,Beregninger!F32=0),"",CONCATENATE(ROUND(IMABS(Beregninger!L32),2),"A"," ∠",ROUND(DEGREES(-IMARGUMENT(Beregninger!L32)),2)))</f>
        <v/>
      </c>
      <c r="F27" s="5"/>
      <c r="G27" s="5"/>
      <c r="H27" s="5"/>
      <c r="I27" s="5"/>
    </row>
    <row r="28" spans="1:9" x14ac:dyDescent="0.25">
      <c r="A28" s="5"/>
      <c r="B28" s="8" t="str">
        <f>IF(Beregninger!C33=0,"",Beregninger!C33)</f>
        <v/>
      </c>
      <c r="C28" s="10" t="str">
        <f>IF(OR(Beregninger!G33=0,Beregninger!J33=0,Beregninger!F33=0),"",CONCATENATE(ROUND(IMABS(Beregninger!J33),2),"A"," ∠",ROUND(DEGREES(-IMARGUMENT(Beregninger!J33)),2)))</f>
        <v/>
      </c>
      <c r="D28" s="10" t="str">
        <f>IF(OR(Beregninger!G33=0,Beregninger!K33=0,Beregninger!F33=0),"",CONCATENATE(ROUND(IMABS(Beregninger!K33),2),"A"," ∠",ROUND(DEGREES(-IMARGUMENT(Beregninger!K33)),2)))</f>
        <v/>
      </c>
      <c r="E28" s="9" t="str">
        <f>IF(OR(Beregninger!G33=0,Beregninger!L33=0,Beregninger!F33=0),"",CONCATENATE(ROUND(IMABS(Beregninger!L33),2),"A"," ∠",ROUND(DEGREES(-IMARGUMENT(Beregninger!L33)),2)))</f>
        <v/>
      </c>
      <c r="F28" s="5"/>
      <c r="G28" s="5"/>
      <c r="H28" s="5"/>
      <c r="I28" s="5"/>
    </row>
    <row r="29" spans="1:9" x14ac:dyDescent="0.25">
      <c r="A29" s="5"/>
      <c r="B29" s="6" t="str">
        <f>IF(Beregninger!C34=0,"",Beregninger!C34)</f>
        <v/>
      </c>
      <c r="C29" s="11" t="str">
        <f>IF(OR(Beregninger!G34=0,Beregninger!J34=0,Beregninger!F34=0),"",CONCATENATE(ROUND(IMABS(Beregninger!J34),2),"A"," ∠",ROUND(DEGREES(-IMARGUMENT(Beregninger!J34)),2)))</f>
        <v/>
      </c>
      <c r="D29" s="11" t="str">
        <f>IF(OR(Beregninger!G34=0,Beregninger!K34=0,Beregninger!F34=0),"",CONCATENATE(ROUND(IMABS(Beregninger!K34),2),"A"," ∠",ROUND(DEGREES(-IMARGUMENT(Beregninger!K34)),2)))</f>
        <v/>
      </c>
      <c r="E29" s="7" t="str">
        <f>IF(OR(Beregninger!G34=0,Beregninger!L34=0,Beregninger!F34=0),"",CONCATENATE(ROUND(IMABS(Beregninger!L34),2),"A"," ∠",ROUND(DEGREES(-IMARGUMENT(Beregninger!L34)),2)))</f>
        <v/>
      </c>
      <c r="F29" s="5"/>
      <c r="G29" s="5"/>
      <c r="H29" s="5"/>
      <c r="I29" s="5"/>
    </row>
    <row r="30" spans="1:9" x14ac:dyDescent="0.25">
      <c r="A30" s="5"/>
      <c r="B30" s="8" t="str">
        <f>IF(Beregninger!C35=0,"",Beregninger!C35)</f>
        <v/>
      </c>
      <c r="C30" s="10" t="str">
        <f>IF(OR(Beregninger!G35=0,Beregninger!J35=0,Beregninger!F35=0),"",CONCATENATE(ROUND(IMABS(Beregninger!J35),2),"A"," ∠",ROUND(DEGREES(-IMARGUMENT(Beregninger!J35)),2)))</f>
        <v/>
      </c>
      <c r="D30" s="10" t="str">
        <f>IF(OR(Beregninger!G35=0,Beregninger!K35=0,Beregninger!F35=0),"",CONCATENATE(ROUND(IMABS(Beregninger!K35),2),"A"," ∠",ROUND(DEGREES(-IMARGUMENT(Beregninger!K35)),2)))</f>
        <v/>
      </c>
      <c r="E30" s="9" t="str">
        <f>IF(OR(Beregninger!G35=0,Beregninger!L35=0,Beregninger!F35=0),"",CONCATENATE(ROUND(IMABS(Beregninger!L35),2),"A"," ∠",ROUND(DEGREES(-IMARGUMENT(Beregninger!L35)),2)))</f>
        <v/>
      </c>
      <c r="F30" s="5"/>
      <c r="G30" s="5"/>
      <c r="H30" s="5"/>
      <c r="I30" s="5"/>
    </row>
    <row r="31" spans="1:9" x14ac:dyDescent="0.25">
      <c r="A31" s="5"/>
      <c r="B31" s="6" t="str">
        <f>IF(Beregninger!C36=0,"",Beregninger!C36)</f>
        <v/>
      </c>
      <c r="C31" s="11" t="str">
        <f>IF(OR(Beregninger!G36=0,Beregninger!J36=0,Beregninger!F36=0),"",CONCATENATE(ROUND(IMABS(Beregninger!J36),2),"A"," ∠",ROUND(DEGREES(-IMARGUMENT(Beregninger!J36)),2)))</f>
        <v/>
      </c>
      <c r="D31" s="11" t="str">
        <f>IF(OR(Beregninger!G36=0,Beregninger!K36=0,Beregninger!F36=0),"",CONCATENATE(ROUND(IMABS(Beregninger!K36),2),"A"," ∠",ROUND(DEGREES(-IMARGUMENT(Beregninger!K36)),2)))</f>
        <v/>
      </c>
      <c r="E31" s="7" t="str">
        <f>IF(OR(Beregninger!G36=0,Beregninger!L36=0,Beregninger!F36=0),"",CONCATENATE(ROUND(IMABS(Beregninger!L36),2),"A"," ∠",ROUND(DEGREES(-IMARGUMENT(Beregninger!L36)),2)))</f>
        <v/>
      </c>
      <c r="F31" s="5"/>
      <c r="G31" s="5"/>
      <c r="H31" s="5"/>
      <c r="I31" s="5"/>
    </row>
    <row r="32" spans="1:9" x14ac:dyDescent="0.25">
      <c r="A32" s="5"/>
      <c r="B32" s="8" t="str">
        <f>IF(Beregninger!C37=0,"",Beregninger!C37)</f>
        <v/>
      </c>
      <c r="C32" s="10" t="str">
        <f>IF(OR(Beregninger!G37=0,Beregninger!J37=0,Beregninger!F37=0),"",CONCATENATE(ROUND(IMABS(Beregninger!J37),2),"A"," ∠",ROUND(DEGREES(-IMARGUMENT(Beregninger!J37)),2)))</f>
        <v/>
      </c>
      <c r="D32" s="10" t="str">
        <f>IF(OR(Beregninger!G37=0,Beregninger!K37=0,Beregninger!F37=0),"",CONCATENATE(ROUND(IMABS(Beregninger!K37),2),"A"," ∠",ROUND(DEGREES(-IMARGUMENT(Beregninger!K37)),2)))</f>
        <v/>
      </c>
      <c r="E32" s="9" t="str">
        <f>IF(OR(Beregninger!G37=0,Beregninger!L37=0,Beregninger!F37=0),"",CONCATENATE(ROUND(IMABS(Beregninger!L37),2),"A"," ∠",ROUND(DEGREES(-IMARGUMENT(Beregninger!L37)),2)))</f>
        <v/>
      </c>
      <c r="F32" s="5"/>
      <c r="G32" s="5"/>
      <c r="H32" s="5"/>
      <c r="I32" s="5"/>
    </row>
    <row r="33" spans="1:9" x14ac:dyDescent="0.25">
      <c r="A33" s="5"/>
      <c r="B33" s="6" t="str">
        <f>IF(Beregninger!C38=0,"",Beregninger!C38)</f>
        <v/>
      </c>
      <c r="C33" s="11" t="str">
        <f>IF(OR(Beregninger!G38=0,Beregninger!J38=0,Beregninger!F38=0),"",CONCATENATE(ROUND(IMABS(Beregninger!J38),2),"A"," ∠",ROUND(DEGREES(-IMARGUMENT(Beregninger!J38)),2)))</f>
        <v/>
      </c>
      <c r="D33" s="11" t="str">
        <f>IF(OR(Beregninger!G38=0,Beregninger!K38=0,Beregninger!F38=0),"",CONCATENATE(ROUND(IMABS(Beregninger!K38),2),"A"," ∠",ROUND(DEGREES(-IMARGUMENT(Beregninger!K38)),2)))</f>
        <v/>
      </c>
      <c r="E33" s="7" t="str">
        <f>IF(OR(Beregninger!G38=0,Beregninger!L38=0,Beregninger!F38=0),"",CONCATENATE(ROUND(IMABS(Beregninger!L38),2),"A"," ∠",ROUND(DEGREES(-IMARGUMENT(Beregninger!L38)),2)))</f>
        <v/>
      </c>
      <c r="F33" s="5"/>
      <c r="G33" s="5"/>
      <c r="H33" s="5"/>
      <c r="I33" s="5"/>
    </row>
    <row r="34" spans="1:9" x14ac:dyDescent="0.25">
      <c r="A34" s="5"/>
      <c r="B34" s="8" t="str">
        <f>IF(Beregninger!C42=0,"",Beregninger!C42)</f>
        <v/>
      </c>
      <c r="C34" s="10" t="str">
        <f>IF(OR(Beregninger!G42=0,Beregninger!J42=0,Beregninger!F42=0),"",CONCATENATE(ROUND(IMABS(Beregninger!J42),2),"A"," ∠",ROUND(DEGREES(-IMARGUMENT(Beregninger!J42)),2)))</f>
        <v/>
      </c>
      <c r="D34" s="10" t="str">
        <f>IF(OR(Beregninger!G42=0,Beregninger!K42=0,Beregninger!F42=0),"",CONCATENATE(ROUND(IMABS(Beregninger!K42),2),"A"," ∠",ROUND(DEGREES(-IMARGUMENT(Beregninger!K42)),2)))</f>
        <v/>
      </c>
      <c r="E34" s="9" t="str">
        <f>IF(OR(Beregninger!G42=0,Beregninger!L42=0,Beregninger!F42=0),"",CONCATENATE(ROUND(IMABS(Beregninger!L42),2),"A"," ∠",ROUND(DEGREES(-IMARGUMENT(Beregninger!L42)),2)))</f>
        <v/>
      </c>
      <c r="F34" s="5"/>
      <c r="G34" s="5"/>
      <c r="H34" s="5"/>
      <c r="I34" s="5"/>
    </row>
    <row r="35" spans="1:9" x14ac:dyDescent="0.25">
      <c r="A35" s="5"/>
      <c r="B35" s="6" t="str">
        <f>IF(Beregninger!C43=0,"",Beregninger!C43)</f>
        <v/>
      </c>
      <c r="C35" s="11" t="str">
        <f>IF(OR(Beregninger!G43=0,Beregninger!J43=0,Beregninger!F43=0),"",CONCATENATE(ROUND(IMABS(Beregninger!J43),2),"A"," ∠",ROUND(DEGREES(-IMARGUMENT(Beregninger!J43)),2)))</f>
        <v/>
      </c>
      <c r="D35" s="11" t="str">
        <f>IF(OR(Beregninger!G43=0,Beregninger!K43=0,Beregninger!F43=0),"",CONCATENATE(ROUND(IMABS(Beregninger!K43),2),"A"," ∠",ROUND(DEGREES(-IMARGUMENT(Beregninger!K43)),2)))</f>
        <v/>
      </c>
      <c r="E35" s="7" t="str">
        <f>IF(OR(Beregninger!G43=0,Beregninger!L43=0,Beregninger!F43=0),"",CONCATENATE(ROUND(IMABS(Beregninger!L43),2),"A"," ∠",ROUND(DEGREES(-IMARGUMENT(Beregninger!L43)),2)))</f>
        <v/>
      </c>
      <c r="F35" s="5"/>
      <c r="G35" s="5"/>
      <c r="H35" s="5"/>
      <c r="I35" s="5"/>
    </row>
    <row r="36" spans="1:9" x14ac:dyDescent="0.25">
      <c r="A36" s="5"/>
      <c r="B36" s="8" t="str">
        <f>IF(Beregninger!C44=0,"",Beregninger!C44)</f>
        <v/>
      </c>
      <c r="C36" s="10" t="str">
        <f>IF(OR(Beregninger!G44=0,Beregninger!J44=0,Beregninger!F44=0),"",CONCATENATE(ROUND(IMABS(Beregninger!J44),2),"A"," ∠",ROUND(DEGREES(-IMARGUMENT(Beregninger!J44)),2)))</f>
        <v/>
      </c>
      <c r="D36" s="10" t="str">
        <f>IF(OR(Beregninger!G44=0,Beregninger!K44=0,Beregninger!F44=0),"",CONCATENATE(ROUND(IMABS(Beregninger!K44),2),"A"," ∠",ROUND(DEGREES(-IMARGUMENT(Beregninger!K44)),2)))</f>
        <v/>
      </c>
      <c r="E36" s="9" t="str">
        <f>IF(OR(Beregninger!G44=0,Beregninger!L44=0,Beregninger!F44=0),"",CONCATENATE(ROUND(IMABS(Beregninger!L44),2),"A"," ∠",ROUND(DEGREES(-IMARGUMENT(Beregninger!L44)),2)))</f>
        <v/>
      </c>
      <c r="F36" s="5"/>
      <c r="G36" s="5"/>
      <c r="H36" s="5"/>
      <c r="I36" s="5"/>
    </row>
    <row r="37" spans="1:9" x14ac:dyDescent="0.25">
      <c r="A37" s="5"/>
      <c r="B37" s="6" t="str">
        <f>IF(Beregninger!C45=0,"",Beregninger!C45)</f>
        <v/>
      </c>
      <c r="C37" s="11" t="str">
        <f>IF(OR(Beregninger!G45=0,Beregninger!J45=0,Beregninger!F45=0),"",CONCATENATE(ROUND(IMABS(Beregninger!J45),2),"A"," ∠",ROUND(DEGREES(-IMARGUMENT(Beregninger!J45)),2)))</f>
        <v/>
      </c>
      <c r="D37" s="11" t="str">
        <f>IF(OR(Beregninger!G45=0,Beregninger!K45=0,Beregninger!F45=0),"",CONCATENATE(ROUND(IMABS(Beregninger!K45),2),"A"," ∠",ROUND(DEGREES(-IMARGUMENT(Beregninger!K45)),2)))</f>
        <v/>
      </c>
      <c r="E37" s="7" t="str">
        <f>IF(OR(Beregninger!G45=0,Beregninger!L45=0,Beregninger!F45=0),"",CONCATENATE(ROUND(IMABS(Beregninger!L45),2),"A"," ∠",ROUND(DEGREES(-IMARGUMENT(Beregninger!L45)),2)))</f>
        <v/>
      </c>
      <c r="F37" s="5"/>
      <c r="G37" s="5"/>
      <c r="H37" s="5"/>
      <c r="I37" s="5"/>
    </row>
    <row r="38" spans="1:9" x14ac:dyDescent="0.25">
      <c r="A38" s="5"/>
      <c r="B38" s="8" t="str">
        <f>IF(Beregninger!C46=0,"",Beregninger!C46)</f>
        <v/>
      </c>
      <c r="C38" s="10" t="str">
        <f>IF(OR(Beregninger!G46=0,Beregninger!J46=0,Beregninger!F46=0),"",CONCATENATE(ROUND(IMABS(Beregninger!J46),2),"A"," ∠",ROUND(DEGREES(-IMARGUMENT(Beregninger!J46)),2)))</f>
        <v/>
      </c>
      <c r="D38" s="10" t="str">
        <f>IF(OR(Beregninger!G46=0,Beregninger!K46=0,Beregninger!F46=0),"",CONCATENATE(ROUND(IMABS(Beregninger!K46),2),"A"," ∠",ROUND(DEGREES(-IMARGUMENT(Beregninger!K46)),2)))</f>
        <v/>
      </c>
      <c r="E38" s="9" t="str">
        <f>IF(OR(Beregninger!G46=0,Beregninger!L46=0,Beregninger!F46=0),"",CONCATENATE(ROUND(IMABS(Beregninger!L46),2),"A"," ∠",ROUND(DEGREES(-IMARGUMENT(Beregninger!L46)),2)))</f>
        <v/>
      </c>
      <c r="F38" s="5"/>
      <c r="G38" s="5"/>
      <c r="H38" s="5"/>
      <c r="I38" s="5"/>
    </row>
    <row r="39" spans="1:9" ht="15.75" thickBot="1" x14ac:dyDescent="0.3">
      <c r="A39" s="5"/>
      <c r="B39" s="6" t="str">
        <f>IF(Beregninger!C47=0,"",Beregninger!C47)</f>
        <v/>
      </c>
      <c r="C39" s="11" t="str">
        <f>IF(OR(Beregninger!G47=0,Beregninger!J47=0,Beregninger!F47=0),"",CONCATENATE(ROUND(IMABS(Beregninger!J47),2),"A"," ∠",ROUND(DEGREES(-IMARGUMENT(Beregninger!J47)),2)))</f>
        <v/>
      </c>
      <c r="D39" s="11" t="str">
        <f>IF(OR(Beregninger!G47=0,Beregninger!K47=0,Beregninger!F47=0),"",CONCATENATE(ROUND(IMABS(Beregninger!K47),2),"A"," ∠",ROUND(DEGREES(-IMARGUMENT(Beregninger!K47)),2)))</f>
        <v/>
      </c>
      <c r="E39" s="7" t="str">
        <f>IF(OR(Beregninger!G47=0,Beregninger!L47=0,Beregninger!F47=0),"",CONCATENATE(ROUND(IMABS(Beregninger!L47),2),"A"," ∠",ROUND(DEGREES(-IMARGUMENT(Beregninger!L47)),2)))</f>
        <v/>
      </c>
      <c r="F39" s="5"/>
      <c r="G39" s="5"/>
      <c r="H39" s="5"/>
      <c r="I39" s="5"/>
    </row>
    <row r="40" spans="1:9" ht="24" thickBot="1" x14ac:dyDescent="0.4">
      <c r="A40" s="5"/>
      <c r="B40" s="15" t="s">
        <v>16</v>
      </c>
      <c r="C40" s="16" t="e">
        <f>CONCATENATE(Beregninger!J52," ∠",Beregninger!J53)</f>
        <v>#DIV/0!</v>
      </c>
      <c r="D40" s="16" t="e">
        <f>CONCATENATE(Beregninger!K52," ∠",Beregninger!K53)</f>
        <v>#DIV/0!</v>
      </c>
      <c r="E40" s="17" t="e">
        <f>CONCATENATE(Beregninger!L52," ∠",Beregninger!L53)</f>
        <v>#DIV/0!</v>
      </c>
      <c r="F40" s="5"/>
      <c r="G40" s="5"/>
      <c r="H40" s="5"/>
      <c r="I40" s="5"/>
    </row>
    <row r="41" spans="1:9" ht="24" thickBot="1" x14ac:dyDescent="0.4">
      <c r="A41" s="5"/>
      <c r="B41" s="12" t="str">
        <f>CONCATENATE("SUM (med SF på tavle) ",Beregninger!J54)</f>
        <v>SUM (med SF på tavle) 1</v>
      </c>
      <c r="C41" s="16" t="e">
        <f>CONCATENATE(Beregninger!J55," ∠",Beregninger!J53)</f>
        <v>#DIV/0!</v>
      </c>
      <c r="D41" s="16" t="e">
        <f>CONCATENATE(Beregninger!K55," ∠",Beregninger!K53)</f>
        <v>#DIV/0!</v>
      </c>
      <c r="E41" s="17" t="e">
        <f>CONCATENATE(Beregninger!L55," ∠",Beregninger!L53)</f>
        <v>#DIV/0!</v>
      </c>
      <c r="F41" s="5"/>
      <c r="G41" s="5"/>
      <c r="H41" s="5"/>
      <c r="I41" s="5"/>
    </row>
    <row r="42" spans="1:9" ht="18.75" x14ac:dyDescent="0.3">
      <c r="A42" s="5"/>
      <c r="B42" s="116" t="s">
        <v>38</v>
      </c>
      <c r="C42" s="116"/>
      <c r="D42" s="116"/>
      <c r="E42" s="116"/>
      <c r="F42" s="5"/>
      <c r="G42" s="5"/>
      <c r="H42" s="5"/>
      <c r="I42" s="5"/>
    </row>
    <row r="43" spans="1:9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25">
      <c r="A45" s="5"/>
      <c r="B45" s="5"/>
      <c r="C45" s="5"/>
      <c r="D45" s="5"/>
      <c r="E45" s="5"/>
      <c r="F45" s="5"/>
      <c r="G45" s="5"/>
      <c r="H45" s="5"/>
      <c r="I45" s="5"/>
    </row>
  </sheetData>
  <sheetProtection algorithmName="SHA-512" hashValue="FGkUPdPLMQFYZefwM/DWHwEdKmZixhwITTERU7kU8UreheCJrPqEjvk97Udr0H4FznALU9UV4EqpJwbfcOIJHA==" saltValue="xRKj3rkvsSWQIBP4E15Asw==" spinCount="100000" sheet="1" objects="1" scenarios="1" selectLockedCells="1"/>
  <mergeCells count="1">
    <mergeCell ref="B42:E4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Beregninger</vt:lpstr>
      <vt:lpstr>Overblik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</dc:creator>
  <cp:lastModifiedBy>Christoffer Niebuhr</cp:lastModifiedBy>
  <dcterms:created xsi:type="dcterms:W3CDTF">2017-04-26T08:32:14Z</dcterms:created>
  <dcterms:modified xsi:type="dcterms:W3CDTF">2018-06-05T22:05:15Z</dcterms:modified>
</cp:coreProperties>
</file>