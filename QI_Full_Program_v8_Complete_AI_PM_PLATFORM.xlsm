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harts/chart1.xml" ContentType="application/vnd.openxmlformats-officedocument.drawingml.chart+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enne_projektmappe2"/>
  <mc:AlternateContent xmlns:mc="http://schemas.openxmlformats.org/markup-compatibility/2006">
    <mc:Choice Requires="x15">
      <x15ac:absPath xmlns:x15ac="http://schemas.microsoft.com/office/spreadsheetml/2010/11/ac" url="C:\Users\Shahram\Documents\"/>
    </mc:Choice>
  </mc:AlternateContent>
  <xr:revisionPtr revIDLastSave="0" documentId="13_ncr:1_{89444E81-006D-4D2A-BE80-ACDF42CA3720}" xr6:coauthVersionLast="47" xr6:coauthVersionMax="47" xr10:uidLastSave="{00000000-0000-0000-0000-000000000000}"/>
  <bookViews>
    <workbookView xWindow="-110" yWindow="-110" windowWidth="19420" windowHeight="10420" tabRatio="877" firstSheet="24" activeTab="24" xr2:uid="{00000000-000D-0000-FFFF-FFFF00000000}"/>
  </bookViews>
  <sheets>
    <sheet name="PM_GETTING_STARTED" sheetId="30" r:id="rId1"/>
    <sheet name="PM_DROPDOWNS" sheetId="29" r:id="rId2"/>
    <sheet name="PM_STATUS" sheetId="28" r:id="rId3"/>
    <sheet name="PM_RESOURCES" sheetId="27" r:id="rId4"/>
    <sheet name="PM_RISKS" sheetId="26" r:id="rId5"/>
    <sheet name="PM_TASKS" sheetId="25" r:id="rId6"/>
    <sheet name="PM_OVERVIEW" sheetId="24" r:id="rId7"/>
    <sheet name="AI_GUIDANCE" sheetId="23" r:id="rId8"/>
    <sheet name="DASHBOARD" sheetId="1" r:id="rId9"/>
    <sheet name="RISK_REGISTER" sheetId="2" r:id="rId10"/>
    <sheet name="⚡ VBA SETUP" sheetId="3" r:id="rId11"/>
    <sheet name="WASTE_DATA" sheetId="4" r:id="rId12"/>
    <sheet name="PARETO CHART" sheetId="40" r:id="rId13"/>
    <sheet name="FISHBONE" sheetId="6" r:id="rId14"/>
    <sheet name="FISHBONE DIAGRAM" sheetId="42" r:id="rId15"/>
    <sheet name="CASE_DATA" sheetId="8" r:id="rId16"/>
    <sheet name="PDCA_DATA" sheetId="9" r:id="rId17"/>
    <sheet name="METRICS" sheetId="10" r:id="rId18"/>
    <sheet name="LOG_DATA" sheetId="11" r:id="rId19"/>
    <sheet name="FMEA_DATA" sheetId="12" r:id="rId20"/>
    <sheet name="AI_CHART_CONTROL" sheetId="34" r:id="rId21"/>
    <sheet name="AI_ASSISTANT" sheetId="33" r:id="rId22"/>
    <sheet name="FMEA_ANALYSIS" sheetId="13" r:id="rId23"/>
    <sheet name="SS_DATA" sheetId="14" r:id="rId24"/>
    <sheet name="SS_ANALYSIS" sheetId="15" r:id="rId25"/>
    <sheet name="SDLC_DATA" sheetId="16" r:id="rId26"/>
    <sheet name="SDLC_TRACKER" sheetId="17" r:id="rId27"/>
    <sheet name="AGILE_DATA" sheetId="18" r:id="rId28"/>
    <sheet name="AGILE_BOARD" sheetId="19" r:id="rId29"/>
    <sheet name="AZ_DATA" sheetId="20" r:id="rId30"/>
    <sheet name="AZ_BOARD" sheetId="21" r:id="rId31"/>
    <sheet name="DROPDOWNS" sheetId="22" state="hidden" r:id="rId32"/>
  </sheets>
  <functionGroups builtInGroupCount="19"/>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E21" i="21" l="1"/>
  <c r="F20" i="21"/>
  <c r="F22" i="21"/>
  <c r="H12" i="17"/>
  <c r="B7" i="15"/>
  <c r="B8" i="15"/>
  <c r="D8" i="15"/>
  <c r="G8" i="15"/>
  <c r="E9" i="14"/>
  <c r="B8" i="13"/>
  <c r="C8" i="13"/>
  <c r="G7" i="13"/>
  <c r="F8" i="13"/>
  <c r="E6" i="13"/>
  <c r="D19" i="4"/>
  <c r="F28" i="40" s="1"/>
  <c r="F39" i="1"/>
  <c r="G31" i="40"/>
  <c r="F31" i="40"/>
  <c r="E31" i="40"/>
  <c r="D31" i="40"/>
  <c r="C31" i="40"/>
  <c r="G30" i="40"/>
  <c r="F30" i="40"/>
  <c r="E30" i="40"/>
  <c r="D30" i="40"/>
  <c r="C30" i="40"/>
  <c r="G29" i="40"/>
  <c r="F29" i="40"/>
  <c r="E29" i="40"/>
  <c r="D29" i="40"/>
  <c r="C29" i="40"/>
  <c r="G28" i="40"/>
  <c r="E28" i="40"/>
  <c r="D28" i="40"/>
  <c r="C28" i="40"/>
  <c r="G27" i="40"/>
  <c r="F27" i="40"/>
  <c r="E27" i="40"/>
  <c r="D27" i="40"/>
  <c r="C27" i="40"/>
  <c r="G26" i="40"/>
  <c r="F26" i="40"/>
  <c r="E26" i="40"/>
  <c r="D26" i="40"/>
  <c r="C26" i="40"/>
  <c r="G25" i="40"/>
  <c r="F25" i="40"/>
  <c r="E25" i="40"/>
  <c r="D25" i="40"/>
  <c r="C25" i="40"/>
  <c r="G24" i="40"/>
  <c r="F24" i="40"/>
  <c r="E24" i="40"/>
  <c r="D24" i="40"/>
  <c r="C24" i="40"/>
  <c r="G25" i="9"/>
  <c r="F30" i="6"/>
  <c r="B13" i="28"/>
  <c r="B12" i="28"/>
  <c r="B11" i="28"/>
  <c r="B10" i="28"/>
  <c r="B9" i="28"/>
  <c r="B8" i="28"/>
  <c r="B13" i="24"/>
  <c r="B12" i="24"/>
  <c r="B11" i="24"/>
  <c r="B7" i="28"/>
  <c r="B6" i="28"/>
  <c r="B5" i="28"/>
  <c r="B4" i="28"/>
  <c r="B3" i="28"/>
  <c r="B2" i="28"/>
  <c r="E50" i="26"/>
  <c r="E49" i="26"/>
  <c r="E48" i="26"/>
  <c r="E47" i="26"/>
  <c r="E46" i="26"/>
  <c r="E45" i="26"/>
  <c r="E44" i="26"/>
  <c r="E43" i="26"/>
  <c r="E42" i="26"/>
  <c r="E41" i="26"/>
  <c r="E40" i="26"/>
  <c r="E39" i="26"/>
  <c r="E38" i="26"/>
  <c r="E37" i="26"/>
  <c r="E36" i="26"/>
  <c r="E35" i="26"/>
  <c r="E34" i="26"/>
  <c r="E33" i="26"/>
  <c r="E32" i="26"/>
  <c r="E31" i="26"/>
  <c r="E30" i="26"/>
  <c r="E29" i="26"/>
  <c r="E28" i="26"/>
  <c r="E27" i="26"/>
  <c r="E26" i="26"/>
  <c r="E25" i="26"/>
  <c r="E24" i="26"/>
  <c r="E23" i="26"/>
  <c r="E22" i="26"/>
  <c r="E21" i="26"/>
  <c r="E20" i="26"/>
  <c r="E19" i="26"/>
  <c r="E18" i="26"/>
  <c r="E17" i="26"/>
  <c r="E16" i="26"/>
  <c r="E15" i="26"/>
  <c r="E14" i="26"/>
  <c r="E13" i="26"/>
  <c r="E12" i="26"/>
  <c r="E11" i="26"/>
  <c r="E10" i="26"/>
  <c r="E9" i="26"/>
  <c r="E8" i="26"/>
  <c r="E7" i="26"/>
  <c r="E6" i="26"/>
  <c r="E5" i="26"/>
  <c r="E4" i="26"/>
  <c r="E3" i="26"/>
  <c r="E2" i="26"/>
  <c r="B9" i="24"/>
  <c r="B8" i="24"/>
  <c r="B7" i="24"/>
  <c r="D26" i="21"/>
  <c r="C26" i="21"/>
  <c r="B26" i="21"/>
  <c r="A26" i="21"/>
  <c r="D25" i="21"/>
  <c r="C25" i="21"/>
  <c r="B25" i="21"/>
  <c r="A25" i="21"/>
  <c r="D24" i="21"/>
  <c r="C24" i="21"/>
  <c r="B24" i="21"/>
  <c r="A24" i="21"/>
  <c r="D23" i="21"/>
  <c r="C23" i="21"/>
  <c r="B23" i="21"/>
  <c r="A23" i="21"/>
  <c r="D22" i="21"/>
  <c r="C22" i="21"/>
  <c r="B22" i="21"/>
  <c r="A22" i="21"/>
  <c r="D21" i="21"/>
  <c r="C21" i="21"/>
  <c r="B21" i="21"/>
  <c r="A21" i="21"/>
  <c r="D20" i="21"/>
  <c r="C20" i="21"/>
  <c r="B20" i="21"/>
  <c r="A20" i="21"/>
  <c r="D19" i="21"/>
  <c r="C19" i="21"/>
  <c r="B19" i="21"/>
  <c r="A19" i="21"/>
  <c r="D18" i="21"/>
  <c r="C18" i="21"/>
  <c r="B18" i="21"/>
  <c r="A18" i="21"/>
  <c r="D17" i="21"/>
  <c r="C17" i="21"/>
  <c r="B17" i="21"/>
  <c r="A17" i="21"/>
  <c r="D16" i="21"/>
  <c r="C16" i="21"/>
  <c r="B16" i="21"/>
  <c r="A16" i="21"/>
  <c r="F10" i="21"/>
  <c r="F6" i="21"/>
  <c r="D6" i="21"/>
  <c r="C6" i="21"/>
  <c r="B6" i="21"/>
  <c r="A6" i="21"/>
  <c r="F5" i="21"/>
  <c r="D5" i="21"/>
  <c r="C5" i="21"/>
  <c r="B5" i="21"/>
  <c r="A5" i="21"/>
  <c r="G47" i="20"/>
  <c r="G30" i="21" s="1"/>
  <c r="F47" i="20"/>
  <c r="F30" i="21" s="1"/>
  <c r="E47" i="20"/>
  <c r="E30" i="21" s="1"/>
  <c r="D47" i="20"/>
  <c r="D30" i="21" s="1"/>
  <c r="C47" i="20"/>
  <c r="C30" i="21" s="1"/>
  <c r="B47" i="20"/>
  <c r="B30" i="21" s="1"/>
  <c r="A47" i="20"/>
  <c r="A30" i="21" s="1"/>
  <c r="F43" i="20"/>
  <c r="F26" i="21" s="1"/>
  <c r="E43" i="20"/>
  <c r="E26" i="21" s="1"/>
  <c r="F42" i="20"/>
  <c r="F25" i="21" s="1"/>
  <c r="E42" i="20"/>
  <c r="E25" i="21" s="1"/>
  <c r="F41" i="20"/>
  <c r="F24" i="21" s="1"/>
  <c r="E41" i="20"/>
  <c r="E24" i="21" s="1"/>
  <c r="F40" i="20"/>
  <c r="F23" i="21" s="1"/>
  <c r="E40" i="20"/>
  <c r="E23" i="21" s="1"/>
  <c r="F39" i="20"/>
  <c r="E39" i="20"/>
  <c r="E22" i="21" s="1"/>
  <c r="F38" i="20"/>
  <c r="F21" i="21" s="1"/>
  <c r="E38" i="20"/>
  <c r="F37" i="20"/>
  <c r="E37" i="20"/>
  <c r="E20" i="21" s="1"/>
  <c r="F36" i="20"/>
  <c r="F19" i="21" s="1"/>
  <c r="E36" i="20"/>
  <c r="E19" i="21" s="1"/>
  <c r="F35" i="20"/>
  <c r="F18" i="21" s="1"/>
  <c r="E35" i="20"/>
  <c r="E18" i="21" s="1"/>
  <c r="F34" i="20"/>
  <c r="F17" i="21" s="1"/>
  <c r="E34" i="20"/>
  <c r="E17" i="21" s="1"/>
  <c r="F33" i="20"/>
  <c r="F16" i="21" s="1"/>
  <c r="E33" i="20"/>
  <c r="E16" i="21" s="1"/>
  <c r="I29" i="20"/>
  <c r="H29" i="20"/>
  <c r="F8" i="21" s="1"/>
  <c r="G29" i="20"/>
  <c r="F7" i="21" s="1"/>
  <c r="O28" i="20"/>
  <c r="O27" i="20"/>
  <c r="O26" i="20"/>
  <c r="O25" i="20"/>
  <c r="O24" i="20"/>
  <c r="O23" i="20"/>
  <c r="O22" i="20"/>
  <c r="O21" i="20"/>
  <c r="O20" i="20"/>
  <c r="O19" i="20"/>
  <c r="O18" i="20"/>
  <c r="O17" i="20"/>
  <c r="G14" i="20"/>
  <c r="F14" i="20"/>
  <c r="H14" i="20" s="1"/>
  <c r="E14" i="20"/>
  <c r="C14" i="20"/>
  <c r="H13" i="20"/>
  <c r="G13" i="20"/>
  <c r="H12" i="20"/>
  <c r="G12" i="20"/>
  <c r="H11" i="20"/>
  <c r="G11" i="20"/>
  <c r="H10" i="20"/>
  <c r="G10" i="20"/>
  <c r="H9" i="20"/>
  <c r="G9" i="20"/>
  <c r="F23" i="19"/>
  <c r="B23" i="19"/>
  <c r="B20" i="19"/>
  <c r="A20" i="19"/>
  <c r="D19" i="19"/>
  <c r="C19" i="19"/>
  <c r="B19" i="19"/>
  <c r="A19" i="19"/>
  <c r="F18" i="19"/>
  <c r="C18" i="19"/>
  <c r="B18" i="19"/>
  <c r="A18" i="19"/>
  <c r="D17" i="19"/>
  <c r="C17" i="19"/>
  <c r="B17" i="19"/>
  <c r="A17" i="19"/>
  <c r="C16" i="19"/>
  <c r="B16" i="19"/>
  <c r="A16" i="19"/>
  <c r="D15" i="19"/>
  <c r="C15" i="19"/>
  <c r="B15" i="19"/>
  <c r="A15" i="19"/>
  <c r="F14" i="19"/>
  <c r="C14" i="19"/>
  <c r="B14" i="19"/>
  <c r="A14" i="19"/>
  <c r="F10" i="19"/>
  <c r="F9" i="19"/>
  <c r="F8" i="19"/>
  <c r="F7" i="19"/>
  <c r="F6" i="19"/>
  <c r="D6" i="19"/>
  <c r="C6" i="19"/>
  <c r="B6" i="19"/>
  <c r="A6" i="19"/>
  <c r="F5" i="19"/>
  <c r="D5" i="19"/>
  <c r="C5" i="19"/>
  <c r="B5" i="19"/>
  <c r="A5" i="19"/>
  <c r="H37" i="18"/>
  <c r="H23" i="19" s="1"/>
  <c r="G37" i="18"/>
  <c r="G23" i="19" s="1"/>
  <c r="F37" i="18"/>
  <c r="E37" i="18"/>
  <c r="E23" i="19" s="1"/>
  <c r="D37" i="18"/>
  <c r="D23" i="19" s="1"/>
  <c r="C37" i="18"/>
  <c r="C23" i="19" s="1"/>
  <c r="B37" i="18"/>
  <c r="A37" i="18"/>
  <c r="A23" i="19" s="1"/>
  <c r="D33" i="18"/>
  <c r="D20" i="19" s="1"/>
  <c r="C33" i="18"/>
  <c r="C20" i="19" s="1"/>
  <c r="B33" i="18"/>
  <c r="F32" i="18"/>
  <c r="F19" i="19" s="1"/>
  <c r="E32" i="18"/>
  <c r="E19" i="19" s="1"/>
  <c r="D32" i="18"/>
  <c r="F31" i="18"/>
  <c r="E31" i="18"/>
  <c r="E18" i="19" s="1"/>
  <c r="D31" i="18"/>
  <c r="D18" i="19" s="1"/>
  <c r="F30" i="18"/>
  <c r="F17" i="19" s="1"/>
  <c r="E30" i="18"/>
  <c r="E17" i="19" s="1"/>
  <c r="D30" i="18"/>
  <c r="F29" i="18"/>
  <c r="F16" i="19" s="1"/>
  <c r="E29" i="18"/>
  <c r="E16" i="19" s="1"/>
  <c r="D29" i="18"/>
  <c r="D16" i="19" s="1"/>
  <c r="F28" i="18"/>
  <c r="F15" i="19" s="1"/>
  <c r="E28" i="18"/>
  <c r="E15" i="19" s="1"/>
  <c r="D28" i="18"/>
  <c r="F27" i="18"/>
  <c r="E27" i="18"/>
  <c r="E14" i="19" s="1"/>
  <c r="D27" i="18"/>
  <c r="D14" i="19" s="1"/>
  <c r="N23" i="18"/>
  <c r="N22" i="18"/>
  <c r="N21" i="18"/>
  <c r="N20" i="18"/>
  <c r="N19" i="18"/>
  <c r="N18" i="18"/>
  <c r="N17" i="18"/>
  <c r="N16" i="18"/>
  <c r="N15" i="18"/>
  <c r="N14" i="18"/>
  <c r="N13" i="18"/>
  <c r="N12" i="18"/>
  <c r="N11" i="18"/>
  <c r="N10" i="18"/>
  <c r="N9" i="18"/>
  <c r="F15" i="17"/>
  <c r="E15" i="17"/>
  <c r="D15" i="17"/>
  <c r="C15" i="17"/>
  <c r="B15" i="17"/>
  <c r="G12" i="17"/>
  <c r="F12" i="17"/>
  <c r="B12" i="17"/>
  <c r="A12" i="17"/>
  <c r="A11" i="17"/>
  <c r="F10" i="17"/>
  <c r="D10" i="17"/>
  <c r="B10" i="17"/>
  <c r="A10" i="17"/>
  <c r="F9" i="17"/>
  <c r="B9" i="17"/>
  <c r="A9" i="17"/>
  <c r="F8" i="17"/>
  <c r="D8" i="17"/>
  <c r="B8" i="17"/>
  <c r="A8" i="17"/>
  <c r="B7" i="17"/>
  <c r="A7" i="17"/>
  <c r="B6" i="17"/>
  <c r="A6" i="17"/>
  <c r="F5" i="17"/>
  <c r="B5" i="17"/>
  <c r="A5" i="17"/>
  <c r="E30" i="16"/>
  <c r="E12" i="17" s="1"/>
  <c r="D30" i="16"/>
  <c r="D12" i="17" s="1"/>
  <c r="C30" i="16"/>
  <c r="A15" i="17" s="1"/>
  <c r="G29" i="16"/>
  <c r="G11" i="17" s="1"/>
  <c r="F29" i="16"/>
  <c r="F11" i="17" s="1"/>
  <c r="E29" i="16"/>
  <c r="E11" i="17" s="1"/>
  <c r="D29" i="16"/>
  <c r="D11" i="17" s="1"/>
  <c r="C29" i="16"/>
  <c r="C11" i="17" s="1"/>
  <c r="B29" i="16"/>
  <c r="B11" i="17" s="1"/>
  <c r="G28" i="16"/>
  <c r="G10" i="17" s="1"/>
  <c r="F28" i="16"/>
  <c r="E28" i="16"/>
  <c r="D28" i="16"/>
  <c r="C28" i="16"/>
  <c r="C10" i="17" s="1"/>
  <c r="B28" i="16"/>
  <c r="G27" i="16"/>
  <c r="G9" i="17" s="1"/>
  <c r="F27" i="16"/>
  <c r="E27" i="16"/>
  <c r="E9" i="17" s="1"/>
  <c r="D27" i="16"/>
  <c r="D9" i="17" s="1"/>
  <c r="C27" i="16"/>
  <c r="C9" i="17" s="1"/>
  <c r="B27" i="16"/>
  <c r="G26" i="16"/>
  <c r="G8" i="17" s="1"/>
  <c r="F26" i="16"/>
  <c r="E26" i="16"/>
  <c r="E8" i="17" s="1"/>
  <c r="D26" i="16"/>
  <c r="C26" i="16"/>
  <c r="C8" i="17" s="1"/>
  <c r="B26" i="16"/>
  <c r="H25" i="16"/>
  <c r="H7" i="17" s="1"/>
  <c r="G25" i="16"/>
  <c r="G7" i="17" s="1"/>
  <c r="F25" i="16"/>
  <c r="F7" i="17" s="1"/>
  <c r="E25" i="16"/>
  <c r="E7" i="17" s="1"/>
  <c r="D25" i="16"/>
  <c r="D7" i="17" s="1"/>
  <c r="C25" i="16"/>
  <c r="C7" i="17" s="1"/>
  <c r="B25" i="16"/>
  <c r="G24" i="16"/>
  <c r="G6" i="17" s="1"/>
  <c r="F24" i="16"/>
  <c r="F6" i="17" s="1"/>
  <c r="E24" i="16"/>
  <c r="D24" i="16"/>
  <c r="D6" i="17" s="1"/>
  <c r="C24" i="16"/>
  <c r="C6" i="17" s="1"/>
  <c r="B24" i="16"/>
  <c r="G23" i="16"/>
  <c r="F23" i="16"/>
  <c r="E23" i="16"/>
  <c r="E5" i="17" s="1"/>
  <c r="D23" i="16"/>
  <c r="D5" i="17" s="1"/>
  <c r="C23" i="16"/>
  <c r="C5" i="17" s="1"/>
  <c r="B23" i="16"/>
  <c r="P19" i="16"/>
  <c r="O19" i="16"/>
  <c r="N19" i="16"/>
  <c r="I19" i="16"/>
  <c r="P18" i="16"/>
  <c r="O18" i="16"/>
  <c r="N18" i="16"/>
  <c r="I18" i="16"/>
  <c r="P17" i="16"/>
  <c r="O17" i="16"/>
  <c r="N17" i="16"/>
  <c r="I17" i="16"/>
  <c r="P16" i="16"/>
  <c r="O16" i="16"/>
  <c r="N16" i="16"/>
  <c r="I16" i="16"/>
  <c r="P15" i="16"/>
  <c r="O15" i="16"/>
  <c r="N15" i="16"/>
  <c r="I15" i="16"/>
  <c r="P14" i="16"/>
  <c r="O14" i="16"/>
  <c r="N14" i="16"/>
  <c r="I14" i="16"/>
  <c r="P13" i="16"/>
  <c r="O13" i="16"/>
  <c r="N13" i="16"/>
  <c r="I13" i="16"/>
  <c r="P12" i="16"/>
  <c r="O12" i="16"/>
  <c r="N12" i="16"/>
  <c r="I12" i="16"/>
  <c r="P11" i="16"/>
  <c r="O11" i="16"/>
  <c r="N11" i="16"/>
  <c r="I11" i="16"/>
  <c r="P10" i="16"/>
  <c r="O10" i="16"/>
  <c r="N10" i="16"/>
  <c r="I10" i="16"/>
  <c r="P9" i="16"/>
  <c r="O9" i="16"/>
  <c r="N9" i="16"/>
  <c r="I9" i="16"/>
  <c r="P8" i="16"/>
  <c r="O8" i="16"/>
  <c r="N8" i="16"/>
  <c r="I8" i="16"/>
  <c r="P7" i="16"/>
  <c r="O7" i="16"/>
  <c r="N7" i="16"/>
  <c r="I7" i="16"/>
  <c r="P6" i="16"/>
  <c r="O6" i="16"/>
  <c r="N6" i="16"/>
  <c r="I6" i="16"/>
  <c r="P5" i="16"/>
  <c r="O5" i="16"/>
  <c r="N5" i="16"/>
  <c r="I5" i="16"/>
  <c r="P4" i="16"/>
  <c r="O4" i="16"/>
  <c r="N4" i="16"/>
  <c r="I4" i="16"/>
  <c r="D21" i="15"/>
  <c r="C21" i="15"/>
  <c r="E20" i="15"/>
  <c r="C20" i="15"/>
  <c r="G12" i="15"/>
  <c r="D12" i="15"/>
  <c r="C12" i="15"/>
  <c r="B12" i="15"/>
  <c r="A12" i="15"/>
  <c r="G11" i="15"/>
  <c r="C11" i="15"/>
  <c r="B11" i="15"/>
  <c r="A11" i="15"/>
  <c r="G10" i="15"/>
  <c r="D10" i="15"/>
  <c r="C10" i="15"/>
  <c r="B10" i="15"/>
  <c r="A10" i="15"/>
  <c r="G9" i="15"/>
  <c r="E9" i="15"/>
  <c r="C9" i="15"/>
  <c r="B9" i="15"/>
  <c r="A9" i="15"/>
  <c r="C8" i="15"/>
  <c r="A8" i="15"/>
  <c r="G7" i="15"/>
  <c r="C7" i="15"/>
  <c r="A7" i="15"/>
  <c r="G6" i="15"/>
  <c r="D6" i="15"/>
  <c r="C6" i="15"/>
  <c r="B6" i="15"/>
  <c r="A6" i="15"/>
  <c r="G5" i="15"/>
  <c r="E5" i="15"/>
  <c r="D5" i="15"/>
  <c r="C5" i="15"/>
  <c r="B5" i="15"/>
  <c r="A5" i="15"/>
  <c r="E34" i="14"/>
  <c r="E21" i="15" s="1"/>
  <c r="D34" i="14"/>
  <c r="D20" i="15" s="1"/>
  <c r="C34" i="14"/>
  <c r="B34" i="14"/>
  <c r="A34" i="14"/>
  <c r="F15" i="14"/>
  <c r="G16" i="15" s="1"/>
  <c r="D15" i="14"/>
  <c r="K12" i="14"/>
  <c r="F12" i="14"/>
  <c r="E12" i="15" s="1"/>
  <c r="E12" i="14"/>
  <c r="K11" i="14"/>
  <c r="F11" i="14"/>
  <c r="E11" i="14"/>
  <c r="D11" i="15" s="1"/>
  <c r="K10" i="14"/>
  <c r="F10" i="14"/>
  <c r="E10" i="15" s="1"/>
  <c r="E10" i="14"/>
  <c r="K9" i="14"/>
  <c r="F9" i="14"/>
  <c r="G9" i="14" s="1"/>
  <c r="F9" i="15" s="1"/>
  <c r="D9" i="15"/>
  <c r="K8" i="14"/>
  <c r="G8" i="14"/>
  <c r="I8" i="14" s="1"/>
  <c r="H8" i="15" s="1"/>
  <c r="F8" i="14"/>
  <c r="E8" i="15" s="1"/>
  <c r="E8" i="14"/>
  <c r="K7" i="14"/>
  <c r="F7" i="14"/>
  <c r="G7" i="14" s="1"/>
  <c r="I7" i="14" s="1"/>
  <c r="H7" i="15" s="1"/>
  <c r="E7" i="14"/>
  <c r="D7" i="15" s="1"/>
  <c r="K6" i="14"/>
  <c r="F6" i="14"/>
  <c r="E6" i="14"/>
  <c r="K5" i="14"/>
  <c r="F5" i="14"/>
  <c r="G5" i="14" s="1"/>
  <c r="I5" i="14" s="1"/>
  <c r="E5" i="14"/>
  <c r="G15" i="14" s="1"/>
  <c r="F16" i="15" s="1"/>
  <c r="H22" i="13"/>
  <c r="A22" i="13"/>
  <c r="F18" i="13"/>
  <c r="A18" i="13"/>
  <c r="A17" i="13"/>
  <c r="F16" i="13"/>
  <c r="A16" i="13"/>
  <c r="A15" i="13"/>
  <c r="F14" i="13"/>
  <c r="A14" i="13"/>
  <c r="A13" i="13"/>
  <c r="F12" i="13"/>
  <c r="A12" i="13"/>
  <c r="A11" i="13"/>
  <c r="F10" i="13"/>
  <c r="A10" i="13"/>
  <c r="D9" i="13"/>
  <c r="J9" i="13" s="1"/>
  <c r="A9" i="13"/>
  <c r="A8" i="13"/>
  <c r="A7" i="13"/>
  <c r="A6" i="13"/>
  <c r="A5" i="13"/>
  <c r="A4" i="13"/>
  <c r="F21" i="12"/>
  <c r="F22" i="13" s="1"/>
  <c r="D21" i="12"/>
  <c r="D22" i="13" s="1"/>
  <c r="C21" i="12"/>
  <c r="C22" i="13" s="1"/>
  <c r="B21" i="12"/>
  <c r="B22" i="13" s="1"/>
  <c r="A21" i="12"/>
  <c r="Q18" i="12"/>
  <c r="P18" i="12"/>
  <c r="O18" i="12"/>
  <c r="N18" i="12"/>
  <c r="I18" i="12"/>
  <c r="J18" i="12" s="1"/>
  <c r="Q17" i="12"/>
  <c r="P17" i="12"/>
  <c r="O17" i="12"/>
  <c r="N17" i="12"/>
  <c r="J17" i="12"/>
  <c r="I17" i="12"/>
  <c r="Q16" i="12"/>
  <c r="P16" i="12"/>
  <c r="O16" i="12"/>
  <c r="N16" i="12"/>
  <c r="I16" i="12"/>
  <c r="J16" i="12" s="1"/>
  <c r="Q15" i="12"/>
  <c r="P15" i="12"/>
  <c r="O15" i="12"/>
  <c r="N15" i="12"/>
  <c r="J15" i="12"/>
  <c r="I15" i="12"/>
  <c r="Q14" i="12"/>
  <c r="P14" i="12"/>
  <c r="O14" i="12"/>
  <c r="N14" i="12"/>
  <c r="I14" i="12"/>
  <c r="J14" i="12" s="1"/>
  <c r="Q13" i="12"/>
  <c r="P13" i="12"/>
  <c r="O13" i="12"/>
  <c r="N13" i="12"/>
  <c r="J13" i="12"/>
  <c r="I13" i="12"/>
  <c r="Q12" i="12"/>
  <c r="P12" i="12"/>
  <c r="O12" i="12"/>
  <c r="N12" i="12"/>
  <c r="I12" i="12"/>
  <c r="J12" i="12" s="1"/>
  <c r="Q11" i="12"/>
  <c r="P11" i="12"/>
  <c r="O11" i="12"/>
  <c r="N11" i="12"/>
  <c r="J11" i="12"/>
  <c r="I11" i="12"/>
  <c r="Q10" i="12"/>
  <c r="P10" i="12"/>
  <c r="O10" i="12"/>
  <c r="N10" i="12"/>
  <c r="I10" i="12"/>
  <c r="J10" i="12" s="1"/>
  <c r="Q9" i="12"/>
  <c r="P9" i="12"/>
  <c r="O9" i="12"/>
  <c r="N9" i="12"/>
  <c r="J9" i="12"/>
  <c r="I9" i="12"/>
  <c r="Q8" i="12"/>
  <c r="P8" i="12"/>
  <c r="O8" i="12"/>
  <c r="N8" i="12"/>
  <c r="I8" i="12"/>
  <c r="J8" i="12" s="1"/>
  <c r="Q7" i="12"/>
  <c r="P7" i="12"/>
  <c r="O7" i="12"/>
  <c r="N7" i="12"/>
  <c r="J7" i="12"/>
  <c r="I7" i="12"/>
  <c r="Q6" i="12"/>
  <c r="P6" i="12"/>
  <c r="O6" i="12"/>
  <c r="N6" i="12"/>
  <c r="I6" i="12"/>
  <c r="J6" i="12" s="1"/>
  <c r="Q5" i="12"/>
  <c r="P5" i="12"/>
  <c r="O5" i="12"/>
  <c r="N5" i="12"/>
  <c r="J5" i="12"/>
  <c r="I5" i="12"/>
  <c r="Q4" i="12"/>
  <c r="P4" i="12"/>
  <c r="O4" i="12"/>
  <c r="N4" i="12"/>
  <c r="I4" i="12"/>
  <c r="H9" i="13" s="1"/>
  <c r="I53" i="11"/>
  <c r="I52" i="11"/>
  <c r="I51" i="11"/>
  <c r="I50" i="11"/>
  <c r="I49" i="11"/>
  <c r="I48" i="11"/>
  <c r="I47" i="11"/>
  <c r="I46" i="11"/>
  <c r="I45" i="11"/>
  <c r="I44" i="11"/>
  <c r="I43" i="11"/>
  <c r="I42" i="11"/>
  <c r="I41" i="11"/>
  <c r="I40" i="11"/>
  <c r="I39" i="11"/>
  <c r="I38" i="11"/>
  <c r="I37" i="11"/>
  <c r="I36" i="11"/>
  <c r="I35" i="11"/>
  <c r="I34" i="11"/>
  <c r="I33" i="11"/>
  <c r="I32" i="11"/>
  <c r="I31" i="11"/>
  <c r="I30" i="11"/>
  <c r="I29" i="11"/>
  <c r="I28" i="11"/>
  <c r="I27" i="11"/>
  <c r="I26" i="11"/>
  <c r="I25" i="11"/>
  <c r="I24" i="11"/>
  <c r="I23" i="11"/>
  <c r="I22" i="11"/>
  <c r="I21" i="11"/>
  <c r="I20" i="11"/>
  <c r="I19" i="11"/>
  <c r="I18" i="11"/>
  <c r="I17" i="11"/>
  <c r="I16" i="11"/>
  <c r="I15" i="11"/>
  <c r="I14" i="11"/>
  <c r="I13" i="11"/>
  <c r="I12" i="11"/>
  <c r="I11" i="11"/>
  <c r="I10" i="11"/>
  <c r="I9" i="11"/>
  <c r="I8" i="11"/>
  <c r="I7" i="11"/>
  <c r="I6" i="11"/>
  <c r="I5" i="11"/>
  <c r="I4" i="11"/>
  <c r="H16" i="10"/>
  <c r="H15" i="10"/>
  <c r="H14" i="10"/>
  <c r="H13" i="10"/>
  <c r="H12" i="10"/>
  <c r="J8" i="10"/>
  <c r="I8" i="10"/>
  <c r="J7" i="10"/>
  <c r="I7" i="10"/>
  <c r="F7" i="10"/>
  <c r="C7" i="10"/>
  <c r="E7" i="10" s="1"/>
  <c r="J6" i="10"/>
  <c r="I6" i="10"/>
  <c r="J5" i="10"/>
  <c r="I5" i="10"/>
  <c r="C5" i="10"/>
  <c r="E5" i="10" s="1"/>
  <c r="F5" i="10" s="1"/>
  <c r="J4" i="10"/>
  <c r="I4" i="10"/>
  <c r="C4" i="10"/>
  <c r="E4" i="10" s="1"/>
  <c r="H38" i="9"/>
  <c r="G38" i="9"/>
  <c r="H37" i="9"/>
  <c r="G37" i="9"/>
  <c r="H36" i="9"/>
  <c r="G36" i="9"/>
  <c r="H35" i="9"/>
  <c r="G35" i="9"/>
  <c r="F35" i="9"/>
  <c r="H34" i="9"/>
  <c r="G34" i="9"/>
  <c r="H33" i="9"/>
  <c r="G33" i="9"/>
  <c r="H29" i="9"/>
  <c r="G29" i="9"/>
  <c r="H28" i="9"/>
  <c r="G28" i="9"/>
  <c r="H27" i="9"/>
  <c r="G27" i="9"/>
  <c r="H26" i="9"/>
  <c r="G26" i="9"/>
  <c r="H25" i="9"/>
  <c r="H24" i="9"/>
  <c r="G24" i="9"/>
  <c r="H20" i="9"/>
  <c r="G20" i="9"/>
  <c r="H19" i="9"/>
  <c r="G19" i="9"/>
  <c r="H18" i="9"/>
  <c r="G18" i="9"/>
  <c r="H17" i="9"/>
  <c r="G17" i="9"/>
  <c r="H16" i="9"/>
  <c r="G16" i="9"/>
  <c r="H15" i="9"/>
  <c r="G15" i="9"/>
  <c r="H11" i="9"/>
  <c r="G11" i="9"/>
  <c r="H10" i="9"/>
  <c r="G10" i="9"/>
  <c r="H9" i="9"/>
  <c r="G9" i="9"/>
  <c r="H8" i="9"/>
  <c r="G8" i="9"/>
  <c r="H7" i="9"/>
  <c r="G7" i="9"/>
  <c r="H6" i="9"/>
  <c r="G6" i="9"/>
  <c r="J23" i="8"/>
  <c r="I23" i="8"/>
  <c r="H23" i="8"/>
  <c r="J22" i="8"/>
  <c r="I22" i="8"/>
  <c r="H22" i="8"/>
  <c r="J21" i="8"/>
  <c r="I21" i="8"/>
  <c r="H21" i="8"/>
  <c r="J20" i="8"/>
  <c r="I20" i="8"/>
  <c r="H20" i="8"/>
  <c r="J19" i="8"/>
  <c r="I19" i="8"/>
  <c r="H19" i="8"/>
  <c r="J18" i="8"/>
  <c r="I18" i="8"/>
  <c r="H18" i="8"/>
  <c r="J17" i="8"/>
  <c r="I17" i="8"/>
  <c r="H17" i="8"/>
  <c r="J16" i="8"/>
  <c r="I16" i="8"/>
  <c r="H16" i="8"/>
  <c r="J15" i="8"/>
  <c r="I15" i="8"/>
  <c r="H15" i="8"/>
  <c r="J14" i="8"/>
  <c r="I14" i="8"/>
  <c r="H14" i="8"/>
  <c r="J13" i="8"/>
  <c r="I13" i="8"/>
  <c r="H13" i="8"/>
  <c r="J12" i="8"/>
  <c r="I12" i="8"/>
  <c r="H12" i="8"/>
  <c r="J11" i="8"/>
  <c r="I11" i="8"/>
  <c r="H11" i="8"/>
  <c r="J10" i="8"/>
  <c r="I10" i="8"/>
  <c r="H10" i="8"/>
  <c r="J9" i="8"/>
  <c r="I9" i="8"/>
  <c r="H9" i="8"/>
  <c r="J8" i="8"/>
  <c r="I8" i="8"/>
  <c r="H8" i="8"/>
  <c r="J7" i="8"/>
  <c r="I7" i="8"/>
  <c r="H7" i="8"/>
  <c r="J6" i="8"/>
  <c r="I6" i="8"/>
  <c r="H6" i="8"/>
  <c r="J5" i="8"/>
  <c r="I5" i="8"/>
  <c r="H5" i="8"/>
  <c r="J4" i="8"/>
  <c r="I4" i="8"/>
  <c r="H4" i="8"/>
  <c r="F47" i="6"/>
  <c r="F46" i="6"/>
  <c r="F45" i="6"/>
  <c r="F44" i="6"/>
  <c r="F40" i="6"/>
  <c r="F39" i="6"/>
  <c r="F38" i="6"/>
  <c r="F37" i="6"/>
  <c r="F33" i="6"/>
  <c r="F32" i="6"/>
  <c r="F31" i="6"/>
  <c r="F26" i="6"/>
  <c r="F25" i="6"/>
  <c r="F24" i="6"/>
  <c r="F23" i="6"/>
  <c r="F19" i="6"/>
  <c r="F18" i="6"/>
  <c r="F17" i="6"/>
  <c r="F16" i="6"/>
  <c r="F12" i="6"/>
  <c r="F11" i="6"/>
  <c r="F10" i="6"/>
  <c r="F9" i="6"/>
  <c r="B35" i="4"/>
  <c r="E22" i="4"/>
  <c r="E21" i="4"/>
  <c r="E20" i="4"/>
  <c r="E19" i="4"/>
  <c r="E18" i="4"/>
  <c r="E17" i="4"/>
  <c r="E16" i="4"/>
  <c r="E15" i="4"/>
  <c r="J11" i="4"/>
  <c r="I11" i="4"/>
  <c r="H11" i="4"/>
  <c r="J10" i="4"/>
  <c r="I10" i="4"/>
  <c r="H10" i="4"/>
  <c r="J9" i="4"/>
  <c r="I9" i="4"/>
  <c r="H9" i="4"/>
  <c r="J8" i="4"/>
  <c r="I8" i="4"/>
  <c r="H8" i="4"/>
  <c r="J7" i="4"/>
  <c r="I7" i="4"/>
  <c r="H7" i="4"/>
  <c r="J6" i="4"/>
  <c r="I6" i="4"/>
  <c r="H6" i="4"/>
  <c r="J5" i="4"/>
  <c r="I5" i="4"/>
  <c r="H5" i="4"/>
  <c r="J4" i="4"/>
  <c r="I4" i="4"/>
  <c r="H4" i="4"/>
  <c r="C22" i="4" s="1"/>
  <c r="B88" i="2"/>
  <c r="C87" i="2"/>
  <c r="D87" i="2" s="1"/>
  <c r="E87" i="2" s="1"/>
  <c r="D86" i="2"/>
  <c r="E86" i="2" s="1"/>
  <c r="C86" i="2"/>
  <c r="C84" i="2"/>
  <c r="D84" i="2" s="1"/>
  <c r="E84" i="2" s="1"/>
  <c r="C83" i="2"/>
  <c r="D83" i="2" s="1"/>
  <c r="E83" i="2" s="1"/>
  <c r="E78" i="2"/>
  <c r="C78" i="2"/>
  <c r="B78" i="2"/>
  <c r="A78" i="2"/>
  <c r="E77" i="2"/>
  <c r="C77" i="2"/>
  <c r="B77" i="2"/>
  <c r="A77" i="2"/>
  <c r="E76" i="2"/>
  <c r="C76" i="2"/>
  <c r="B76" i="2"/>
  <c r="A76" i="2"/>
  <c r="E75" i="2"/>
  <c r="C75" i="2"/>
  <c r="B75" i="2"/>
  <c r="A75" i="2"/>
  <c r="E74" i="2"/>
  <c r="C74" i="2"/>
  <c r="B74" i="2"/>
  <c r="A74" i="2"/>
  <c r="E73" i="2"/>
  <c r="C73" i="2"/>
  <c r="B73" i="2"/>
  <c r="A73" i="2"/>
  <c r="E72" i="2"/>
  <c r="C72" i="2"/>
  <c r="B72" i="2"/>
  <c r="A72" i="2"/>
  <c r="E71" i="2"/>
  <c r="C71" i="2"/>
  <c r="B71" i="2"/>
  <c r="A71" i="2"/>
  <c r="F67" i="2"/>
  <c r="E67" i="2"/>
  <c r="D67" i="2"/>
  <c r="C67" i="2"/>
  <c r="B67" i="2"/>
  <c r="G67" i="2" s="1"/>
  <c r="F66" i="2"/>
  <c r="E66" i="2"/>
  <c r="D66" i="2"/>
  <c r="C66" i="2"/>
  <c r="G66" i="2" s="1"/>
  <c r="B66" i="2"/>
  <c r="F65" i="2"/>
  <c r="E65" i="2"/>
  <c r="D65" i="2"/>
  <c r="C65" i="2"/>
  <c r="B65" i="2"/>
  <c r="F64" i="2"/>
  <c r="E64" i="2"/>
  <c r="D64" i="2"/>
  <c r="C64" i="2"/>
  <c r="G64" i="2" s="1"/>
  <c r="B64" i="2"/>
  <c r="F63" i="2"/>
  <c r="E63" i="2"/>
  <c r="D63" i="2"/>
  <c r="C63" i="2"/>
  <c r="B63" i="2"/>
  <c r="G63" i="2" s="1"/>
  <c r="F62" i="2"/>
  <c r="E62" i="2"/>
  <c r="D62" i="2"/>
  <c r="C62" i="2"/>
  <c r="G62" i="2" s="1"/>
  <c r="B62" i="2"/>
  <c r="F61" i="2"/>
  <c r="E61" i="2"/>
  <c r="D61" i="2"/>
  <c r="C61" i="2"/>
  <c r="B61" i="2"/>
  <c r="F60" i="2"/>
  <c r="E60" i="2"/>
  <c r="D60" i="2"/>
  <c r="C60" i="2"/>
  <c r="G60" i="2" s="1"/>
  <c r="B60" i="2"/>
  <c r="F59" i="2"/>
  <c r="E59" i="2"/>
  <c r="D59" i="2"/>
  <c r="C59" i="2"/>
  <c r="B59" i="2"/>
  <c r="G59" i="2" s="1"/>
  <c r="F58" i="2"/>
  <c r="E58" i="2"/>
  <c r="D58" i="2"/>
  <c r="C58" i="2"/>
  <c r="G58" i="2" s="1"/>
  <c r="B58" i="2"/>
  <c r="F57" i="2"/>
  <c r="E57" i="2"/>
  <c r="D57" i="2"/>
  <c r="C57" i="2"/>
  <c r="B57" i="2"/>
  <c r="G57" i="2" s="1"/>
  <c r="F56" i="2"/>
  <c r="E56" i="2"/>
  <c r="D56" i="2"/>
  <c r="C56" i="2"/>
  <c r="G56" i="2" s="1"/>
  <c r="B56" i="2"/>
  <c r="F55" i="2"/>
  <c r="E55" i="2"/>
  <c r="D55" i="2"/>
  <c r="C55" i="2"/>
  <c r="B55" i="2"/>
  <c r="G55" i="2" s="1"/>
  <c r="F54" i="2"/>
  <c r="E54" i="2"/>
  <c r="D54" i="2"/>
  <c r="C54" i="2"/>
  <c r="G54" i="2" s="1"/>
  <c r="B54" i="2"/>
  <c r="F53" i="2"/>
  <c r="E53" i="2"/>
  <c r="D53" i="2"/>
  <c r="C53" i="2"/>
  <c r="B53" i="2"/>
  <c r="G53" i="2" s="1"/>
  <c r="F52" i="2"/>
  <c r="E52" i="2"/>
  <c r="D52" i="2"/>
  <c r="C52" i="2"/>
  <c r="G52" i="2" s="1"/>
  <c r="B52" i="2"/>
  <c r="F51" i="2"/>
  <c r="E51" i="2"/>
  <c r="D51" i="2"/>
  <c r="C51" i="2"/>
  <c r="B51" i="2"/>
  <c r="G51" i="2" s="1"/>
  <c r="F50" i="2"/>
  <c r="E50" i="2"/>
  <c r="D50" i="2"/>
  <c r="C50" i="2"/>
  <c r="G50" i="2" s="1"/>
  <c r="B50" i="2"/>
  <c r="F49" i="2"/>
  <c r="E49" i="2"/>
  <c r="D49" i="2"/>
  <c r="C49" i="2"/>
  <c r="B49" i="2"/>
  <c r="G49" i="2" s="1"/>
  <c r="G45" i="2"/>
  <c r="F45" i="2"/>
  <c r="E45" i="2"/>
  <c r="D45" i="2"/>
  <c r="C45" i="2"/>
  <c r="B45" i="2"/>
  <c r="G44" i="2"/>
  <c r="F44" i="2"/>
  <c r="E44" i="2"/>
  <c r="D44" i="2"/>
  <c r="C44" i="2"/>
  <c r="B44" i="2"/>
  <c r="G43" i="2"/>
  <c r="F43" i="2"/>
  <c r="E43" i="2"/>
  <c r="D43" i="2"/>
  <c r="C43" i="2"/>
  <c r="B43" i="2"/>
  <c r="G42" i="2"/>
  <c r="F42" i="2"/>
  <c r="E42" i="2"/>
  <c r="D42" i="2"/>
  <c r="C42" i="2"/>
  <c r="B42" i="2"/>
  <c r="G41" i="2"/>
  <c r="F41" i="2"/>
  <c r="E41" i="2"/>
  <c r="D41" i="2"/>
  <c r="C41" i="2"/>
  <c r="B41" i="2"/>
  <c r="G40" i="2"/>
  <c r="F40" i="2"/>
  <c r="E40" i="2"/>
  <c r="D40" i="2"/>
  <c r="C40" i="2"/>
  <c r="B40" i="2"/>
  <c r="G39" i="2"/>
  <c r="F39" i="2"/>
  <c r="E39" i="2"/>
  <c r="D39" i="2"/>
  <c r="C39" i="2"/>
  <c r="B39" i="2"/>
  <c r="G35" i="2"/>
  <c r="F35" i="2"/>
  <c r="E35" i="2"/>
  <c r="D35" i="2"/>
  <c r="B35" i="2"/>
  <c r="D26" i="2"/>
  <c r="B26" i="2"/>
  <c r="B25" i="2"/>
  <c r="D25" i="2" s="1"/>
  <c r="D24" i="2"/>
  <c r="B24" i="2"/>
  <c r="B23" i="2"/>
  <c r="D23" i="2" s="1"/>
  <c r="D22" i="2"/>
  <c r="B22" i="2"/>
  <c r="B21" i="2"/>
  <c r="D21" i="2" s="1"/>
  <c r="D20" i="2"/>
  <c r="B20" i="2"/>
  <c r="B19" i="2"/>
  <c r="D19" i="2" s="1"/>
  <c r="D18" i="2"/>
  <c r="B18" i="2"/>
  <c r="E16" i="2"/>
  <c r="D15" i="2"/>
  <c r="B15" i="2"/>
  <c r="B14" i="2"/>
  <c r="D14" i="2" s="1"/>
  <c r="D13" i="2"/>
  <c r="B13" i="2"/>
  <c r="B12" i="2"/>
  <c r="D12" i="2" s="1"/>
  <c r="D11" i="2"/>
  <c r="B11" i="2"/>
  <c r="B10" i="2"/>
  <c r="D10" i="2" s="1"/>
  <c r="D9" i="2"/>
  <c r="B9" i="2"/>
  <c r="B8" i="2"/>
  <c r="D8" i="2" s="1"/>
  <c r="D7" i="2"/>
  <c r="B7" i="2"/>
  <c r="B6" i="2"/>
  <c r="D6" i="2" s="1"/>
  <c r="B60" i="1"/>
  <c r="B59" i="1"/>
  <c r="B58" i="1"/>
  <c r="B57" i="1"/>
  <c r="B56" i="1"/>
  <c r="B54" i="1"/>
  <c r="B53" i="1"/>
  <c r="B52" i="1"/>
  <c r="B51" i="1"/>
  <c r="H45" i="1"/>
  <c r="G45" i="1"/>
  <c r="E45" i="1"/>
  <c r="D45" i="1"/>
  <c r="C45" i="1"/>
  <c r="B45" i="1"/>
  <c r="A45" i="1"/>
  <c r="H43" i="1"/>
  <c r="G43" i="1"/>
  <c r="F43" i="1"/>
  <c r="E43" i="1"/>
  <c r="B43" i="1"/>
  <c r="H39" i="1"/>
  <c r="G39" i="1"/>
  <c r="E39" i="1"/>
  <c r="D39" i="1"/>
  <c r="C39" i="1"/>
  <c r="C16" i="1"/>
  <c r="C14" i="1"/>
  <c r="C13" i="1"/>
  <c r="G9" i="1"/>
  <c r="F9" i="1"/>
  <c r="E9" i="1"/>
  <c r="D9" i="1"/>
  <c r="C9" i="1"/>
  <c r="B9" i="1"/>
  <c r="P27" i="20" l="1"/>
  <c r="H30" i="16"/>
  <c r="G61" i="2"/>
  <c r="G65" i="2"/>
  <c r="D71" i="2"/>
  <c r="G71" i="2"/>
  <c r="G75" i="2"/>
  <c r="D75" i="2"/>
  <c r="H5" i="15"/>
  <c r="F71" i="2"/>
  <c r="F73" i="2"/>
  <c r="G74" i="2"/>
  <c r="F74" i="2"/>
  <c r="G73" i="2"/>
  <c r="D74" i="2"/>
  <c r="D73" i="2"/>
  <c r="F7" i="15"/>
  <c r="F4" i="10"/>
  <c r="B15" i="4"/>
  <c r="B16" i="4"/>
  <c r="B17" i="4"/>
  <c r="B18" i="4"/>
  <c r="B19" i="4"/>
  <c r="B20" i="4"/>
  <c r="B21" i="4"/>
  <c r="B22" i="4"/>
  <c r="G11" i="14"/>
  <c r="E11" i="15"/>
  <c r="C15" i="4"/>
  <c r="C16" i="4"/>
  <c r="C17" i="4"/>
  <c r="C18" i="4"/>
  <c r="C19" i="4"/>
  <c r="C20" i="4"/>
  <c r="C21" i="4"/>
  <c r="L11" i="14"/>
  <c r="L8" i="14"/>
  <c r="C6" i="10"/>
  <c r="L10" i="14"/>
  <c r="L5" i="14"/>
  <c r="L12" i="14"/>
  <c r="L7" i="14"/>
  <c r="C8" i="10"/>
  <c r="B6" i="13"/>
  <c r="D7" i="13"/>
  <c r="J7" i="13" s="1"/>
  <c r="E6" i="15"/>
  <c r="G6" i="14"/>
  <c r="B16" i="15"/>
  <c r="F8" i="15"/>
  <c r="I18" i="13"/>
  <c r="E18" i="13"/>
  <c r="G17" i="13"/>
  <c r="C17" i="13"/>
  <c r="I16" i="13"/>
  <c r="E16" i="13"/>
  <c r="G15" i="13"/>
  <c r="C15" i="13"/>
  <c r="I14" i="13"/>
  <c r="E14" i="13"/>
  <c r="G13" i="13"/>
  <c r="C13" i="13"/>
  <c r="I12" i="13"/>
  <c r="E12" i="13"/>
  <c r="G11" i="13"/>
  <c r="C11" i="13"/>
  <c r="I10" i="13"/>
  <c r="D18" i="13"/>
  <c r="J18" i="13" s="1"/>
  <c r="E17" i="13"/>
  <c r="D16" i="13"/>
  <c r="J16" i="13" s="1"/>
  <c r="E15" i="13"/>
  <c r="D14" i="13"/>
  <c r="J14" i="13" s="1"/>
  <c r="E13" i="13"/>
  <c r="D12" i="13"/>
  <c r="J12" i="13" s="1"/>
  <c r="E11" i="13"/>
  <c r="E10" i="13"/>
  <c r="G9" i="13"/>
  <c r="C9" i="13"/>
  <c r="I8" i="13"/>
  <c r="E8" i="13"/>
  <c r="C7" i="13"/>
  <c r="I6" i="13"/>
  <c r="G5" i="13"/>
  <c r="C5" i="13"/>
  <c r="I4" i="13"/>
  <c r="E4" i="13"/>
  <c r="E21" i="12"/>
  <c r="E22" i="13" s="1"/>
  <c r="H18" i="13"/>
  <c r="C18" i="13"/>
  <c r="I17" i="13"/>
  <c r="D17" i="13"/>
  <c r="J17" i="13" s="1"/>
  <c r="H16" i="13"/>
  <c r="C16" i="13"/>
  <c r="I15" i="13"/>
  <c r="D15" i="13"/>
  <c r="J15" i="13" s="1"/>
  <c r="H14" i="13"/>
  <c r="C14" i="13"/>
  <c r="I13" i="13"/>
  <c r="D13" i="13"/>
  <c r="J13" i="13" s="1"/>
  <c r="H12" i="13"/>
  <c r="C12" i="13"/>
  <c r="I11" i="13"/>
  <c r="D11" i="13"/>
  <c r="J11" i="13" s="1"/>
  <c r="H10" i="13"/>
  <c r="D10" i="13"/>
  <c r="J10" i="13" s="1"/>
  <c r="F9" i="13"/>
  <c r="B9" i="13"/>
  <c r="H8" i="13"/>
  <c r="D8" i="13"/>
  <c r="J8" i="13" s="1"/>
  <c r="F7" i="13"/>
  <c r="B7" i="13"/>
  <c r="H6" i="13"/>
  <c r="D6" i="13"/>
  <c r="J6" i="13" s="1"/>
  <c r="F5" i="13"/>
  <c r="B5" i="13"/>
  <c r="H4" i="13"/>
  <c r="D4" i="13"/>
  <c r="J4" i="13" s="1"/>
  <c r="H21" i="12"/>
  <c r="J4" i="12"/>
  <c r="G18" i="13"/>
  <c r="B18" i="13"/>
  <c r="H17" i="13"/>
  <c r="B17" i="13"/>
  <c r="G16" i="13"/>
  <c r="B16" i="13"/>
  <c r="H15" i="13"/>
  <c r="B15" i="13"/>
  <c r="G14" i="13"/>
  <c r="B14" i="13"/>
  <c r="H13" i="13"/>
  <c r="B13" i="13"/>
  <c r="G12" i="13"/>
  <c r="B12" i="13"/>
  <c r="H11" i="13"/>
  <c r="B11" i="13"/>
  <c r="G10" i="13"/>
  <c r="C10" i="13"/>
  <c r="I9" i="13"/>
  <c r="E9" i="13"/>
  <c r="G8" i="13"/>
  <c r="I7" i="13"/>
  <c r="E7" i="13"/>
  <c r="G6" i="13"/>
  <c r="C6" i="13"/>
  <c r="I5" i="13"/>
  <c r="E5" i="13"/>
  <c r="G4" i="13"/>
  <c r="C4" i="13"/>
  <c r="G21" i="12"/>
  <c r="G22" i="13" s="1"/>
  <c r="B4" i="13"/>
  <c r="D5" i="13"/>
  <c r="J5" i="13" s="1"/>
  <c r="F6" i="13"/>
  <c r="H7" i="13"/>
  <c r="F11" i="13"/>
  <c r="F13" i="13"/>
  <c r="F15" i="13"/>
  <c r="F17" i="13"/>
  <c r="L9" i="14"/>
  <c r="F4" i="13"/>
  <c r="H5" i="13"/>
  <c r="B10" i="13"/>
  <c r="L6" i="14"/>
  <c r="A21" i="15"/>
  <c r="A20" i="15"/>
  <c r="B21" i="15"/>
  <c r="B20" i="15"/>
  <c r="H23" i="16"/>
  <c r="H5" i="17" s="1"/>
  <c r="E6" i="17"/>
  <c r="H24" i="16"/>
  <c r="H6" i="17" s="1"/>
  <c r="I9" i="14"/>
  <c r="G12" i="14"/>
  <c r="A15" i="14"/>
  <c r="E16" i="15" s="1"/>
  <c r="F5" i="15"/>
  <c r="I5" i="15" s="1"/>
  <c r="G10" i="14"/>
  <c r="B15" i="14"/>
  <c r="D16" i="15" s="1"/>
  <c r="E7" i="15"/>
  <c r="H27" i="16"/>
  <c r="H9" i="17" s="1"/>
  <c r="E10" i="17"/>
  <c r="H28" i="16"/>
  <c r="H10" i="17" s="1"/>
  <c r="H47" i="20"/>
  <c r="H30" i="21" s="1"/>
  <c r="F11" i="21"/>
  <c r="F9" i="21"/>
  <c r="J29" i="20"/>
  <c r="H26" i="16"/>
  <c r="H8" i="17" s="1"/>
  <c r="G5" i="17"/>
  <c r="C12" i="17"/>
  <c r="G15" i="17"/>
  <c r="P18" i="20"/>
  <c r="P20" i="20"/>
  <c r="P22" i="20"/>
  <c r="P24" i="20"/>
  <c r="P26" i="20"/>
  <c r="P28" i="20"/>
  <c r="H29" i="16"/>
  <c r="H11" i="17" s="1"/>
  <c r="P17" i="20"/>
  <c r="P19" i="20"/>
  <c r="P21" i="20"/>
  <c r="P23" i="20"/>
  <c r="P25" i="20"/>
  <c r="I8" i="15" l="1"/>
  <c r="I9" i="15"/>
  <c r="G5" i="10"/>
  <c r="C82" i="2"/>
  <c r="D82" i="2" s="1"/>
  <c r="E82" i="2" s="1"/>
  <c r="D34" i="2"/>
  <c r="E33" i="2"/>
  <c r="F32" i="2"/>
  <c r="B32" i="2"/>
  <c r="C32" i="2" s="1"/>
  <c r="D32" i="2"/>
  <c r="E31" i="2"/>
  <c r="B49" i="1"/>
  <c r="A43" i="1"/>
  <c r="A39" i="1"/>
  <c r="F33" i="2"/>
  <c r="B33" i="2"/>
  <c r="C33" i="2" s="1"/>
  <c r="D31" i="2"/>
  <c r="G8" i="10"/>
  <c r="D33" i="2"/>
  <c r="E32" i="2"/>
  <c r="F31" i="2"/>
  <c r="B31" i="2"/>
  <c r="C31" i="2" s="1"/>
  <c r="B50" i="1"/>
  <c r="B34" i="2"/>
  <c r="C34" i="2" s="1"/>
  <c r="G7" i="10"/>
  <c r="F34" i="2"/>
  <c r="G6" i="10"/>
  <c r="G4" i="10"/>
  <c r="E34" i="2"/>
  <c r="B16" i="2"/>
  <c r="D16" i="2" s="1"/>
  <c r="I10" i="14"/>
  <c r="D76" i="2"/>
  <c r="F10" i="15"/>
  <c r="I10" i="15" s="1"/>
  <c r="G76" i="2"/>
  <c r="I6" i="14"/>
  <c r="F6" i="15"/>
  <c r="B17" i="2"/>
  <c r="D17" i="2" s="1"/>
  <c r="D72" i="2"/>
  <c r="C85" i="2"/>
  <c r="D85" i="2" s="1"/>
  <c r="E85" i="2" s="1"/>
  <c r="G72" i="2"/>
  <c r="E6" i="10"/>
  <c r="C15" i="1"/>
  <c r="D22" i="4"/>
  <c r="D21" i="4"/>
  <c r="D20" i="4"/>
  <c r="D18" i="4"/>
  <c r="D17" i="4"/>
  <c r="D16" i="4"/>
  <c r="D15" i="4"/>
  <c r="F12" i="15"/>
  <c r="I12" i="14"/>
  <c r="D78" i="2"/>
  <c r="G78" i="2"/>
  <c r="C15" i="14"/>
  <c r="B39" i="1" s="1"/>
  <c r="H9" i="15"/>
  <c r="F75" i="2"/>
  <c r="E8" i="10"/>
  <c r="F8" i="10" s="1"/>
  <c r="C17" i="1"/>
  <c r="F11" i="15"/>
  <c r="I11" i="14"/>
  <c r="G77" i="2"/>
  <c r="D77" i="2"/>
  <c r="I12" i="15" l="1"/>
  <c r="H11" i="15"/>
  <c r="F77" i="2"/>
  <c r="I11" i="15"/>
  <c r="H12" i="15"/>
  <c r="F78" i="2"/>
  <c r="H6" i="15"/>
  <c r="F72" i="2"/>
  <c r="H10" i="15"/>
  <c r="F76" i="2"/>
  <c r="O23" i="18"/>
  <c r="O21" i="18"/>
  <c r="O19" i="18"/>
  <c r="O17" i="18"/>
  <c r="O15" i="18"/>
  <c r="O13" i="18"/>
  <c r="O11" i="18"/>
  <c r="O9" i="18"/>
  <c r="O22" i="18"/>
  <c r="O20" i="18"/>
  <c r="O18" i="18"/>
  <c r="O16" i="18"/>
  <c r="O14" i="18"/>
  <c r="O12" i="18"/>
  <c r="O10" i="18"/>
  <c r="A16" i="15"/>
  <c r="H15" i="14"/>
  <c r="H16" i="15" s="1"/>
  <c r="H6" i="10"/>
  <c r="J52" i="11"/>
  <c r="J50" i="11"/>
  <c r="J48" i="11"/>
  <c r="J46" i="11"/>
  <c r="J44" i="11"/>
  <c r="J42" i="11"/>
  <c r="J40" i="11"/>
  <c r="J38" i="11"/>
  <c r="J36" i="11"/>
  <c r="J34" i="11"/>
  <c r="J32" i="11"/>
  <c r="J30" i="11"/>
  <c r="J28" i="11"/>
  <c r="J26" i="11"/>
  <c r="J24" i="11"/>
  <c r="J22" i="11"/>
  <c r="J20" i="11"/>
  <c r="J18" i="11"/>
  <c r="J16" i="11"/>
  <c r="J14" i="11"/>
  <c r="J12" i="11"/>
  <c r="J10" i="11"/>
  <c r="J8" i="11"/>
  <c r="J6" i="11"/>
  <c r="J4" i="11"/>
  <c r="J49" i="11"/>
  <c r="J41" i="11"/>
  <c r="J33" i="11"/>
  <c r="J25" i="11"/>
  <c r="J17" i="11"/>
  <c r="J9" i="11"/>
  <c r="H8" i="10"/>
  <c r="H5" i="10"/>
  <c r="B55" i="1"/>
  <c r="C43" i="1"/>
  <c r="J51" i="11"/>
  <c r="J43" i="11"/>
  <c r="J35" i="11"/>
  <c r="J27" i="11"/>
  <c r="J19" i="11"/>
  <c r="J11" i="11"/>
  <c r="H7" i="10"/>
  <c r="D43" i="1"/>
  <c r="J53" i="11"/>
  <c r="J45" i="11"/>
  <c r="J37" i="11"/>
  <c r="J29" i="11"/>
  <c r="J21" i="11"/>
  <c r="J13" i="11"/>
  <c r="J5" i="11"/>
  <c r="H4" i="10"/>
  <c r="J47" i="11"/>
  <c r="J39" i="11"/>
  <c r="J31" i="11"/>
  <c r="J23" i="11"/>
  <c r="J15" i="11"/>
  <c r="J7" i="11"/>
  <c r="K23" i="8"/>
  <c r="K22" i="8"/>
  <c r="K21" i="8"/>
  <c r="K20" i="8"/>
  <c r="K19" i="8"/>
  <c r="K18" i="8"/>
  <c r="K17" i="8"/>
  <c r="K16" i="8"/>
  <c r="K15" i="8"/>
  <c r="K14" i="8"/>
  <c r="K13" i="8"/>
  <c r="K12" i="8"/>
  <c r="K11" i="8"/>
  <c r="K10" i="8"/>
  <c r="K9" i="8"/>
  <c r="K8" i="8"/>
  <c r="K7" i="8"/>
  <c r="K6" i="8"/>
  <c r="K5" i="8"/>
  <c r="K4" i="8"/>
  <c r="E15" i="14"/>
  <c r="C16" i="15" s="1"/>
  <c r="F6" i="10"/>
  <c r="F45" i="1"/>
  <c r="B27" i="2"/>
  <c r="D27" i="2" s="1"/>
  <c r="E88" i="2"/>
  <c r="G88" i="2" s="1"/>
  <c r="I6" i="15"/>
  <c r="I7" i="15"/>
</calcChain>
</file>

<file path=xl/sharedStrings.xml><?xml version="1.0" encoding="utf-8"?>
<sst xmlns="http://schemas.openxmlformats.org/spreadsheetml/2006/main" count="3683" uniqueCount="2261">
  <si>
    <t xml:space="preserve">  LEAN LEADERSHIP - QI Intelligence Program</t>
  </si>
  <si>
    <t xml:space="preserve">  Pareto + Fishbone + SPC | Auto-refresh on open | All charts generated by VBA</t>
  </si>
  <si>
    <t xml:space="preserve">  WASTE PARETO</t>
  </si>
  <si>
    <t xml:space="preserve">  FISHBONE</t>
  </si>
  <si>
    <t xml:space="preserve">  CASE BUILDER</t>
  </si>
  <si>
    <t xml:space="preserve">  METRICS</t>
  </si>
  <si>
    <t xml:space="preserve">  PDCA</t>
  </si>
  <si>
    <t xml:space="preserve">  ACTION LOG</t>
  </si>
  <si>
    <t xml:space="preserve">  LIVE KPIs - Auto-calculated from all sheets</t>
  </si>
  <si>
    <t>Wastes Active</t>
  </si>
  <si>
    <t>Cases Open</t>
  </si>
  <si>
    <t>Cases Done</t>
  </si>
  <si>
    <t>PDCA Cycles</t>
  </si>
  <si>
    <t>Actions Logged</t>
  </si>
  <si>
    <t>Top Waste</t>
  </si>
  <si>
    <t>of 8 types</t>
  </si>
  <si>
    <t>need action</t>
  </si>
  <si>
    <t>completed</t>
  </si>
  <si>
    <t>done</t>
  </si>
  <si>
    <t>total</t>
  </si>
  <si>
    <t>highest impact</t>
  </si>
  <si>
    <t xml:space="preserve">  LEAN PRINCIPLES - Live progress</t>
  </si>
  <si>
    <t>1. Identify Value</t>
  </si>
  <si>
    <t>2. Map Value Stream</t>
  </si>
  <si>
    <t>3. Create Flow</t>
  </si>
  <si>
    <t>4. Establish Pull</t>
  </si>
  <si>
    <t>5. Pursue Perfection</t>
  </si>
  <si>
    <t xml:space="preserve">  HOW TO USE THIS PROGRAM</t>
  </si>
  <si>
    <t xml:space="preserve">  STEP 1 → Open file (all charts auto-refresh via VBA)     STEP 2 → Go to WASTE PARETO: mark YES/NO for each waste     STEP 3 → Go to FISHBONE: enter causes per category     STEP 4 → Case Builder: log leadership challenges     STEP 5 → PDCA: run improvement cycles     STEP 6 → Review Metrics dashboard weekly</t>
  </si>
  <si>
    <t xml:space="preserve">  NEW QI FRAMEWORKS — Live | Enter data in _DATA sheets | Analysis sheets auto-update | All dropdowns prevent data-entry errors</t>
  </si>
  <si>
    <t>DATA: FMEA_DATA</t>
  </si>
  <si>
    <t>ANALYSIS: FMEA_ANALYSIS</t>
  </si>
  <si>
    <t>Failure Mode &amp; Effects Analysis | RPN auto-calculates | Sorted by risk | All columns dropdown-controlled</t>
  </si>
  <si>
    <t>DATA: SS_DATA</t>
  </si>
  <si>
    <t>ANALYSIS: SS_ANALYSIS</t>
  </si>
  <si>
    <t>Six Sigma DMAIC | Defect entry → Sigma Level auto-calculates | All choice fields selectable</t>
  </si>
  <si>
    <t>DATA: SDLC_DATA</t>
  </si>
  <si>
    <t>ANALYSIS: SDLC_TRACKER</t>
  </si>
  <si>
    <t>SDLC Phase Tracker | Enter % complete | Gate results auto-pass/fail | All columns dropdown-controlled</t>
  </si>
  <si>
    <t>DATA: AGILE_DATA</t>
  </si>
  <si>
    <t>ANALYSIS: AGILE_BOARD</t>
  </si>
  <si>
    <t>Agile Backlog + Sprint Board | Mark status | Velocity auto-tracks | Epic/Priority/Assignee all dropdowns</t>
  </si>
  <si>
    <t>DATA: AZ_DATA</t>
  </si>
  <si>
    <t>ANALYSIS: AZ_BOARD</t>
  </si>
  <si>
    <t>Azure DevOps Sprint | Work items + Burndown | Type/Priority/State/Iteration all dropdown-controlled</t>
  </si>
  <si>
    <t xml:space="preserve">  INTEGRATED QI PROGRAMME — Cross-Framework Live KPIs  |  All update automatically</t>
  </si>
  <si>
    <t>FMEA
Critical RPNs</t>
  </si>
  <si>
    <t>Six Sigma
Current Sigma</t>
  </si>
  <si>
    <t>SDLC
Blocked Gates</t>
  </si>
  <si>
    <t>Agile
Stories DONE</t>
  </si>
  <si>
    <t>Azure
Bugs Active</t>
  </si>
  <si>
    <t>Azure
Team Utilization</t>
  </si>
  <si>
    <t>FMEA
Items OPEN</t>
  </si>
  <si>
    <t>Agile
% Backlog Done</t>
  </si>
  <si>
    <t xml:space="preserve">  INTEGRATED QI PROGRAMME — All Sheets Connected | Live Cross-Framework Status | Red = Action Required | Green = On Track</t>
  </si>
  <si>
    <t>FMEA Critical RPNs</t>
  </si>
  <si>
    <t>FMEA Open Items</t>
  </si>
  <si>
    <t>Six Sigma Level</t>
  </si>
  <si>
    <t>Sigma vs Target</t>
  </si>
  <si>
    <t>SDLC Blocked Gates</t>
  </si>
  <si>
    <t>SDLC % Complete</t>
  </si>
  <si>
    <t>Agile Stories Done</t>
  </si>
  <si>
    <t>Agile Blockers</t>
  </si>
  <si>
    <t>Azure Bugs Active</t>
  </si>
  <si>
    <t>Azure Utilization</t>
  </si>
  <si>
    <t>PDCA Complete</t>
  </si>
  <si>
    <t>PDCA Blocked</t>
  </si>
  <si>
    <t>Cases Critical Open</t>
  </si>
  <si>
    <t>Lean Maturity Score</t>
  </si>
  <si>
    <t>Wastes Present</t>
  </si>
  <si>
    <t>Log Actions Done</t>
  </si>
  <si>
    <t xml:space="preserve">  LIVE RISK ALERTS — Count &gt; 0 = Action Required  |  Red = Critical | Amber = High | All formulas link to source sheets</t>
  </si>
  <si>
    <t>RISK TYPE</t>
  </si>
  <si>
    <t>COUNT</t>
  </si>
  <si>
    <t>THRESHOLD</t>
  </si>
  <si>
    <t>ACTION REQUIRED</t>
  </si>
  <si>
    <t>SOURCE SHEET</t>
  </si>
  <si>
    <t>OWNER</t>
  </si>
  <si>
    <t>FMEA Critical Open</t>
  </si>
  <si>
    <t>&gt;0</t>
  </si>
  <si>
    <t>Escalate to PM; raise corrective action in CASE_DATA</t>
  </si>
  <si>
    <t>FMEA_DATA</t>
  </si>
  <si>
    <t>Engineering Lead</t>
  </si>
  <si>
    <t>FMEA High RPN Open</t>
  </si>
  <si>
    <t>≥3</t>
  </si>
  <si>
    <t>Assign owner; add to next PDCA cycle</t>
  </si>
  <si>
    <t>Process Owner</t>
  </si>
  <si>
    <t>≥1</t>
  </si>
  <si>
    <t>Immediate improvement action — log in PDCA</t>
  </si>
  <si>
    <t>CASE_DATA</t>
  </si>
  <si>
    <t>PM</t>
  </si>
  <si>
    <t>SDLC Phases Blocked</t>
  </si>
  <si>
    <t>Unblock gate; update status in SDLC_DATA</t>
  </si>
  <si>
    <t>SDLC_DATA</t>
  </si>
  <si>
    <t>PM / Tech Lead</t>
  </si>
  <si>
    <t>Agile Stories Blocked</t>
  </si>
  <si>
    <t>Remove blocker in daily standup; update AGILE_DATA</t>
  </si>
  <si>
    <t>AGILE_DATA</t>
  </si>
  <si>
    <t>Scrum Master</t>
  </si>
  <si>
    <t>&gt;3</t>
  </si>
  <si>
    <t>Prioritise bug triage in AZ_DATA sprint board</t>
  </si>
  <si>
    <t>AZ_DATA</t>
  </si>
  <si>
    <t>Dev Lead</t>
  </si>
  <si>
    <t>Sigma Below Target</t>
  </si>
  <si>
    <t>Escalate DMAIC cycle; review in SS_DATA</t>
  </si>
  <si>
    <t>SS_DATA</t>
  </si>
  <si>
    <t>QA Lead</t>
  </si>
  <si>
    <t>Identify and remove blockers in PDCA_DATA</t>
  </si>
  <si>
    <t>PDCA_DATA</t>
  </si>
  <si>
    <t>Log Actions Open</t>
  </si>
  <si>
    <t>&gt;5</t>
  </si>
  <si>
    <t>Follow up on open actions in LOG_DATA</t>
  </si>
  <si>
    <t>LOG_DATA</t>
  </si>
  <si>
    <t>All Owners</t>
  </si>
  <si>
    <t>DMAIC Phases Blocked</t>
  </si>
  <si>
    <t>Resolve DMAIC blocker; escalate in SS_DATA</t>
  </si>
  <si>
    <t>High Severity Wastes</t>
  </si>
  <si>
    <t>&gt;2</t>
  </si>
  <si>
    <t>Raise improvement case in CASE_DATA for each waste</t>
  </si>
  <si>
    <t>WASTE_DATA</t>
  </si>
  <si>
    <t>Team Lead</t>
  </si>
  <si>
    <t>Cases No Lean Method</t>
  </si>
  <si>
    <t>Assign Lean method to all open cases in CASE_DATA</t>
  </si>
  <si>
    <t xml:space="preserve">  ⚙  ENGINEERING QI — INTEGRATED RISK REGISTER &amp; DELIVERY HEALTH DASHBOARD</t>
  </si>
  <si>
    <t xml:space="preserve">  ★  ALL values auto-calculate live from: WASTE_DATA · FISHBONE · CASE_DATA · PDCA_DATA · FMEA_DATA · SS_DATA · SDLC_DATA · LOG_DATA · AGILE_DATA · AZ_DATA  |  No manual entry needed on this sheet</t>
  </si>
  <si>
    <t xml:space="preserve">  ▸  SECTION 1  —  ENGINEERING QI HEALTH SCORECARD  |  Auto-calculates from ALL sheets</t>
  </si>
  <si>
    <t>INDICATOR</t>
  </si>
  <si>
    <t>VALUE</t>
  </si>
  <si>
    <t>HEALTH STATUS</t>
  </si>
  <si>
    <t>TARGET</t>
  </si>
  <si>
    <t>ACTION ON RED</t>
  </si>
  <si>
    <t>LINKED SHEET(S)</t>
  </si>
  <si>
    <t>FMEA — Critical risks OPEN (RPN ≥ 200)</t>
  </si>
  <si>
    <t>0</t>
  </si>
  <si>
    <t>Immediate eng-lead + SDLC blocker review</t>
  </si>
  <si>
    <t>FMEA_DATA → SDLC_DATA → CASE_DATA</t>
  </si>
  <si>
    <t>FMEA — High risks OPEN (RPN 100–199)</t>
  </si>
  <si>
    <t>≤ 2</t>
  </si>
  <si>
    <t>Add to current sprint — link to CASE_DATA</t>
  </si>
  <si>
    <t>FMEA_DATA → CASE_DATA</t>
  </si>
  <si>
    <t>FMEA — Max RPN (open items)</t>
  </si>
  <si>
    <t>&lt; 100</t>
  </si>
  <si>
    <t>Drive recommended action in FMEA_DATA</t>
  </si>
  <si>
    <t>CASES — CRITICAL open</t>
  </si>
  <si>
    <t>Escalate same day — open PDCA + log entry</t>
  </si>
  <si>
    <t>CASE_DATA → PDCA_DATA + LOG_DATA</t>
  </si>
  <si>
    <t>CASES — HIGH open</t>
  </si>
  <si>
    <t>≤ 3</t>
  </si>
  <si>
    <t>Add to sprint — link to FMEA action</t>
  </si>
  <si>
    <t>CASE_DATA → FMEA_DATA</t>
  </si>
  <si>
    <t>CASES — Total OPEN</t>
  </si>
  <si>
    <t>&lt; 5</t>
  </si>
  <si>
    <t>Prioritise by FMEA RPN — run PDCA per top 3</t>
  </si>
  <si>
    <t>CASE_DATA → PDCA_DATA</t>
  </si>
  <si>
    <t>SDLC — Phases BLOCKED</t>
  </si>
  <si>
    <t>Check FMEA blocker root cause — log in LOG_DATA</t>
  </si>
  <si>
    <t>SDLC_DATA → FMEA_DATA</t>
  </si>
  <si>
    <t>SDLC — Avg phase completion %</t>
  </si>
  <si>
    <t>≥ 80 %</t>
  </si>
  <si>
    <t>Identify lowest phase — add AGILE story to unblock</t>
  </si>
  <si>
    <t>SDLC_DATA → AGILE_DATA</t>
  </si>
  <si>
    <t>PDCA — Cycles COMPLETE</t>
  </si>
  <si>
    <t>≥ 3</t>
  </si>
  <si>
    <t>Launch first cycle from top CASE_DATA item</t>
  </si>
  <si>
    <t>PDCA — Items BLOCKED</t>
  </si>
  <si>
    <t>Remove blocker — log action in LOG_DATA</t>
  </si>
  <si>
    <t>PDCA_DATA → LOG_DATA</t>
  </si>
  <si>
    <t>SIX SIGMA — Latest Sigma Level</t>
  </si>
  <si>
    <t>Run DMAIC Improve — add root cause to FMEA</t>
  </si>
  <si>
    <t>SS_DATA → FMEA_DATA</t>
  </si>
  <si>
    <t>SIX SIGMA — Weeks below target sigma</t>
  </si>
  <si>
    <t>Investigate defect root cause — create CASE</t>
  </si>
  <si>
    <t>SS_DATA → CASE_DATA</t>
  </si>
  <si>
    <t>WASTE — Types present (of 8)</t>
  </si>
  <si>
    <t>&lt; 3</t>
  </si>
  <si>
    <t>Convert each waste to CASE_DATA — add PDCA</t>
  </si>
  <si>
    <t>WASTE_DATA → CASE_DATA + PDCA_DATA</t>
  </si>
  <si>
    <t>WASTE — High severity (Sev ≥ 4)</t>
  </si>
  <si>
    <t>Enter into FMEA as failure effect</t>
  </si>
  <si>
    <t>WASTE_DATA → FMEA_DATA + CASE_DATA</t>
  </si>
  <si>
    <t>AGILE — Stories BLOCKED</t>
  </si>
  <si>
    <t>Surface in standup — check FMEA for root cause</t>
  </si>
  <si>
    <t>AGILE_DATA → FMEA_DATA</t>
  </si>
  <si>
    <t>AGILE — Stories DONE this backlog</t>
  </si>
  <si>
    <t>&gt; 0 per sprint</t>
  </si>
  <si>
    <t>Review sprint scope vs SDLC targets</t>
  </si>
  <si>
    <t>AGILE_DATA → SDLC_DATA</t>
  </si>
  <si>
    <t>AZURE — Active work items</t>
  </si>
  <si>
    <t>Match capacity</t>
  </si>
  <si>
    <t>Validate against AZ team capacity</t>
  </si>
  <si>
    <t>AZURE — Active Bugs</t>
  </si>
  <si>
    <t>Triage bugs in next sprint — link to FMEA</t>
  </si>
  <si>
    <t>AZ_DATA → FMEA_DATA</t>
  </si>
  <si>
    <t>LOG — Total actions captured</t>
  </si>
  <si>
    <t>≥ 10</t>
  </si>
  <si>
    <t>Log every action — link to CASE_DATA</t>
  </si>
  <si>
    <t>LOG — Actions DONE</t>
  </si>
  <si>
    <t>&gt; 0</t>
  </si>
  <si>
    <t>Close out actions — update CASE_DATA status</t>
  </si>
  <si>
    <t>LOG_DATA → CASE_DATA</t>
  </si>
  <si>
    <t>FISHBONE — Causes documented</t>
  </si>
  <si>
    <t>FISHBONE</t>
  </si>
  <si>
    <t>Populate root causes — link to FMEA</t>
  </si>
  <si>
    <t>FISHBONE → FMEA_DATA → CASE_DATA</t>
  </si>
  <si>
    <t>LEAN MATURITY — Overall score</t>
  </si>
  <si>
    <t>METRICS</t>
  </si>
  <si>
    <t>≥ 60</t>
  </si>
  <si>
    <t>Identify lowest principle — run PDCA</t>
  </si>
  <si>
    <t>METRICS → PDCA_DATA</t>
  </si>
  <si>
    <t xml:space="preserve">  ▸  SECTION 2  —  FMEA RISK HEATMAP  (FMEA_DATA → CASE_DATA → SDLC_DATA → AGILE_DATA)</t>
  </si>
  <si>
    <t>RISK BAND</t>
  </si>
  <si>
    <t>% OF TOTAL</t>
  </si>
  <si>
    <t>OPEN</t>
  </si>
  <si>
    <t>IN PROGRESS</t>
  </si>
  <si>
    <t>RESOLVED / CLOSED</t>
  </si>
  <si>
    <t>ACTION</t>
  </si>
  <si>
    <t>🔴  CRITICAL  (RPN ≥ 200)</t>
  </si>
  <si>
    <t>Escalate to senior management — open CASE immediately</t>
  </si>
  <si>
    <t>🟠  HIGH  (RPN 100–199)</t>
  </si>
  <si>
    <t>Add to current sprint — create CASE or PDCA cycle</t>
  </si>
  <si>
    <t>🟡  MEDIUM  (RPN 50–99)</t>
  </si>
  <si>
    <t>Monitor weekly — schedule for next sprint</t>
  </si>
  <si>
    <t>🟢  LOW  (RPN &lt; 50)</t>
  </si>
  <si>
    <t>Monitor quarterly — no urgent action needed</t>
  </si>
  <si>
    <t>TOTAL</t>
  </si>
  <si>
    <t>100 %</t>
  </si>
  <si>
    <t xml:space="preserve">  ▸  SECTION 3  —  SDLC PHASE HEALTH  (SDLC_DATA → FMEA_DATA → AGILE_DATA → AZ_DATA)</t>
  </si>
  <si>
    <t>SDLC PHASE</t>
  </si>
  <si>
    <t>COUNT IN PHASE</t>
  </si>
  <si>
    <t>BLOCKED?</t>
  </si>
  <si>
    <t>AVG COMPLETION %</t>
  </si>
  <si>
    <t>FMEA OPEN (all)</t>
  </si>
  <si>
    <t>AGILE BLOCKED (all)</t>
  </si>
  <si>
    <t>AZ ITEMS ACTIVE</t>
  </si>
  <si>
    <t>Planning</t>
  </si>
  <si>
    <t>Design</t>
  </si>
  <si>
    <t>Development</t>
  </si>
  <si>
    <t>Testing</t>
  </si>
  <si>
    <t>Deployment</t>
  </si>
  <si>
    <t>Hypercare</t>
  </si>
  <si>
    <t>Closure</t>
  </si>
  <si>
    <t xml:space="preserve">  ▸  SECTION 4  —  OWNER WORKLOAD MATRIX  (FMEA · SDLC · LOG · AGILE · AZURE — by owner)</t>
  </si>
  <si>
    <t>OWNER / ROLE</t>
  </si>
  <si>
    <t>FMEA ITEMS</t>
  </si>
  <si>
    <t>SDLC PHASES</t>
  </si>
  <si>
    <t>LOG ACTIONS</t>
  </si>
  <si>
    <t>AGILE STORIES</t>
  </si>
  <si>
    <t>AZURE ITEMS</t>
  </si>
  <si>
    <t>TOTAL LOAD</t>
  </si>
  <si>
    <t>Ops Lead</t>
  </si>
  <si>
    <t>Architect</t>
  </si>
  <si>
    <t>DevOps</t>
  </si>
  <si>
    <t>BA</t>
  </si>
  <si>
    <t>Tech Lead</t>
  </si>
  <si>
    <t>Commissioning Engineer</t>
  </si>
  <si>
    <t>Electrical Engineer</t>
  </si>
  <si>
    <t>Instrument Engineer</t>
  </si>
  <si>
    <t>Mechanical Engineer</t>
  </si>
  <si>
    <t>Control Systems Engineer</t>
  </si>
  <si>
    <t>Site Manager</t>
  </si>
  <si>
    <t>HSE Engineer</t>
  </si>
  <si>
    <t>Test Engineer</t>
  </si>
  <si>
    <t xml:space="preserve">  ▸  SECTION 5  —  SIX SIGMA PERFORMANCE BRIDGE  (SS_DATA → FMEA_DATA → CASE_DATA → PDCA_DATA)</t>
  </si>
  <si>
    <t>WEEK / PERIOD</t>
  </si>
  <si>
    <t>UNITS</t>
  </si>
  <si>
    <t>DEFECTS</t>
  </si>
  <si>
    <t>SIGMA LEVEL</t>
  </si>
  <si>
    <t>TARGET SIGMA</t>
  </si>
  <si>
    <t>STATUS</t>
  </si>
  <si>
    <t>BELOW TARGET → ACTION</t>
  </si>
  <si>
    <t xml:space="preserve">  ▸  SECTION 6  —  COMPOSITE ENGINEERING RISK SCORE  (weighted across ALL sheets | 0 = safest | 100 = maximum)</t>
  </si>
  <si>
    <t>RISK DIMENSION</t>
  </si>
  <si>
    <t>WEIGHT</t>
  </si>
  <si>
    <t>RAW COUNT</t>
  </si>
  <si>
    <t>NORMALISED (0–100)</t>
  </si>
  <si>
    <t>WEIGHTED SCORE</t>
  </si>
  <si>
    <t>HOW SCORED</t>
  </si>
  <si>
    <t>FMEA Critical + High risks OPEN</t>
  </si>
  <si>
    <t>Each open critical/high = 20 pts (cap 100)</t>
  </si>
  <si>
    <t>Open CRITICAL + HIGH cases</t>
  </si>
  <si>
    <t>Each open critical/high case = 20 pts (cap 100)</t>
  </si>
  <si>
    <t>SDLC phases BLOCKED</t>
  </si>
  <si>
    <t>Each blocked phase = 33 pts (cap 100)</t>
  </si>
  <si>
    <t>Sigma below target (weeks of data)</t>
  </si>
  <si>
    <t>Each below-target sigma week = 12.5 pts (cap 100)</t>
  </si>
  <si>
    <t>High severity wastes present (Sev ≥ 4)</t>
  </si>
  <si>
    <t>Each high-severity waste = 12.5 pts (cap 100)</t>
  </si>
  <si>
    <t>Agile + Azure BLOCKED / removed</t>
  </si>
  <si>
    <t>AGILE_DATA + AZ_DATA</t>
  </si>
  <si>
    <t>Each blocked story = 20 pts (cap 100)</t>
  </si>
  <si>
    <t>COMPOSITE ENGINEERING RISK SCORE  (0 = safest  →  100 = maximum risk)</t>
  </si>
  <si>
    <t>—</t>
  </si>
  <si>
    <t>ALL SHEETS</t>
  </si>
  <si>
    <t xml:space="preserve">  ⚡  VBA SETUP GUIDE - How to activate all charts and automation</t>
  </si>
  <si>
    <t xml:space="preserve">  Read this first. Takes 2 minutes. After setup, all Pareto + Fishbone charts build automatically on file open.</t>
  </si>
  <si>
    <t>STEP 1</t>
  </si>
  <si>
    <t xml:space="preserve">  ENABLE MACROS</t>
  </si>
  <si>
    <t xml:space="preserve">  When you open this file, Excel will show a yellow bar: "Macros have been disabled"</t>
  </si>
  <si>
    <t xml:space="preserve">  → Click ENABLE CONTENT</t>
  </si>
  <si>
    <t xml:space="preserve">  If you don't see the bar: File → Options → Trust Center → Trust Center Settings → Macro Settings → Enable all macros</t>
  </si>
  <si>
    <t>STEP 2</t>
  </si>
  <si>
    <t xml:space="preserve">  OPEN VBA EDITOR</t>
  </si>
  <si>
    <t xml:space="preserve">  Press  ALT + F11  on your keyboard</t>
  </si>
  <si>
    <t xml:space="preserve">  This opens the Visual Basic Editor (VBE)</t>
  </si>
  <si>
    <t xml:space="preserve">  You will see a window with "Microsoft Excel Objects" on the left</t>
  </si>
  <si>
    <t>STEP 3</t>
  </si>
  <si>
    <t xml:space="preserve">  IMPORT THE VBA MODULE</t>
  </si>
  <si>
    <t xml:space="preserve">  In the VBE menu: File → Import File</t>
  </si>
  <si>
    <t xml:space="preserve">  Browse to the file:  LEAN_VBA_Module.bas  (downloaded alongside this Excel file)</t>
  </si>
  <si>
    <t xml:space="preserve">  Click Open - the module "LEAN_Leadership_QI" will appear under Modules</t>
  </si>
  <si>
    <t>STEP 4</t>
  </si>
  <si>
    <t xml:space="preserve">  RUN THE PROGRAM</t>
  </si>
  <si>
    <t xml:space="preserve">  Close the VBE editor (Alt+F4 or just X)</t>
  </si>
  <si>
    <t xml:space="preserve">  Save the file as .xlsm (macro-enabled)</t>
  </si>
  <si>
    <t xml:space="preserve">  Close and reopen the file</t>
  </si>
  <si>
    <t xml:space="preserve">  → All charts build automatically on open!</t>
  </si>
  <si>
    <t xml:space="preserve">  Or: press  ALT + F8  → select RefreshAll → Run</t>
  </si>
  <si>
    <t>STEP 5</t>
  </si>
  <si>
    <t xml:space="preserve">  UPDATE YOUR DATA</t>
  </si>
  <si>
    <t xml:space="preserve">  Go to  WASTE_DATA  sheet → Mark YES/NO for each waste type</t>
  </si>
  <si>
    <t xml:space="preserve">  Go to  FISHBONE  sheet → Enter your root causes in each bone</t>
  </si>
  <si>
    <t xml:space="preserve">  Go to  CASE_DATA  sheet → Log your leadership challenges</t>
  </si>
  <si>
    <t xml:space="preserve">  Go to  PDCA_DATA  sheet → Fill in your improvement cycles</t>
  </si>
  <si>
    <t xml:space="preserve">  Press  ALT + F8  → RefreshAll  to rebuild all charts with new data</t>
  </si>
  <si>
    <t>TROUBLESHOOT</t>
  </si>
  <si>
    <t xml:space="preserve">  COMMON ISSUES</t>
  </si>
  <si>
    <t xml:space="preserve">  "Macros disabled" → File → Options → Trust Center → Enable macros</t>
  </si>
  <si>
    <t xml:space="preserve">  "Cannot run macro" → Make sure file is saved as .xlsm not .xlsx</t>
  </si>
  <si>
    <t xml:space="preserve">  "Sheet not found" → Run Auto_Open or RefreshAll from Alt+F8</t>
  </si>
  <si>
    <t xml:space="preserve">  Chart looks wrong → Check WASTE_DATA rows 4-11 have data in columns C,F,G</t>
  </si>
  <si>
    <t xml:space="preserve">  QUICK REFERENCE - Key VBA Macros</t>
  </si>
  <si>
    <t xml:space="preserve">  Auto_Open</t>
  </si>
  <si>
    <t xml:space="preserve">  Runs everything automatically when file opens</t>
  </si>
  <si>
    <t xml:space="preserve">  RefreshAll</t>
  </si>
  <si>
    <t xml:space="preserve">  Rebuilds Pareto chart + Fishbone + Dashboard refresh</t>
  </si>
  <si>
    <t xml:space="preserve">  BuildParetoChart</t>
  </si>
  <si>
    <t xml:space="preserve">  Builds Pareto bar+line chart on 'PARETO CHART' sheet</t>
  </si>
  <si>
    <t xml:space="preserve">  BuildFishboneDiagram</t>
  </si>
  <si>
    <t xml:space="preserve">  Draws full Ishikawa diagram on 'FISHBONE DIAGRAM' sheet</t>
  </si>
  <si>
    <t xml:space="preserve">  RefreshDashboard</t>
  </si>
  <si>
    <t xml:space="preserve">  Recalculates all KPIs on Dashboard</t>
  </si>
  <si>
    <t xml:space="preserve">  SortWastePareto</t>
  </si>
  <si>
    <t xml:space="preserve">  Re-sorts waste table by impact score</t>
  </si>
  <si>
    <t xml:space="preserve">  WASTE IDENTIFICATION - Pareto Data Entry</t>
  </si>
  <si>
    <t xml:space="preserve">  ✏ Mark each waste YES/NO | Set Severity 1-5 | Set Frequency | VBA auto-builds Pareto chart on refresh</t>
  </si>
  <si>
    <t>WASTE TYPE</t>
  </si>
  <si>
    <t>PRESENT?</t>
  </si>
  <si>
    <t>YOUR OBSERVATION</t>
  </si>
  <si>
    <t>ROOT CAUSE HINT</t>
  </si>
  <si>
    <t>SEVERITY (1-5)</t>
  </si>
  <si>
    <t>FREQUENCY</t>
  </si>
  <si>
    <t>IMPACT SCORE</t>
  </si>
  <si>
    <t>FMEA
OPEN RISKS</t>
  </si>
  <si>
    <t>CASE
LINKED</t>
  </si>
  <si>
    <t>LEAN
ACTION</t>
  </si>
  <si>
    <t>TRANSPORT</t>
  </si>
  <si>
    <t>YES</t>
  </si>
  <si>
    <t>Unnecessary handoffs between 3 departments</t>
  </si>
  <si>
    <t>Items/info moving without adding value</t>
  </si>
  <si>
    <t>DAILY</t>
  </si>
  <si>
    <t>INVENTORY</t>
  </si>
  <si>
    <t>Backlog of 47 open tickets at any time</t>
  </si>
  <si>
    <t>More WIP than process can handle</t>
  </si>
  <si>
    <t>MOTION</t>
  </si>
  <si>
    <t>NO</t>
  </si>
  <si>
    <t>People searching or switching tools</t>
  </si>
  <si>
    <t>WEEKLY</t>
  </si>
  <si>
    <t>WAITING</t>
  </si>
  <si>
    <t>Avg 2.3 days waiting for approvals</t>
  </si>
  <si>
    <t>Decision bottlenecks upstream</t>
  </si>
  <si>
    <t>OVERPRODUCTION</t>
  </si>
  <si>
    <t>Making more than needed right now</t>
  </si>
  <si>
    <t>OVER-PROCESSING</t>
  </si>
  <si>
    <t>3 sign-offs where 1 would suffice</t>
  </si>
  <si>
    <t>Excess reviews, gold-plating</t>
  </si>
  <si>
    <t>12% rework rate on deliverables</t>
  </si>
  <si>
    <t>Errors reaching next step uncaught</t>
  </si>
  <si>
    <t>UNUSED SKILLS</t>
  </si>
  <si>
    <t>Team ideas rarely acted on</t>
  </si>
  <si>
    <t>Capability and knowledge not used</t>
  </si>
  <si>
    <t>MONTHLY</t>
  </si>
  <si>
    <t xml:space="preserve">  PARETO SORTED TABLE - VBA auto-sorts on refresh</t>
  </si>
  <si>
    <t>WASTE</t>
  </si>
  <si>
    <t>CUMULATIVE %</t>
  </si>
  <si>
    <t>RANK</t>
  </si>
  <si>
    <t xml:space="preserve">  80/20 Rule: Fix the top 3 wastes to eliminate ~80% of the problem</t>
  </si>
  <si>
    <t xml:space="preserve">  PARETO ANALYSIS - Sorted by Impact Score</t>
  </si>
  <si>
    <t>80/20 GROUP</t>
  </si>
  <si>
    <t>ACTION PRIORITY</t>
  </si>
  <si>
    <t xml:space="preserve">  FISHBONE / ISHIKAWA - Root Cause Analysis</t>
  </si>
  <si>
    <t xml:space="preserve">  ✏ ALL columns now have dropdowns | Select sub-cause &amp; priority action | Links to CASE_DATA &amp; FMEA_DATA | VBA draws diagram automatically</t>
  </si>
  <si>
    <t xml:space="preserve">  PROBLEM STATEMENT (the head of the fish)</t>
  </si>
  <si>
    <t>Delivery targets missed by 20% - quality defects reaching customers</t>
  </si>
  <si>
    <t xml:space="preserve">  ▶  MAN / PEOPLE</t>
  </si>
  <si>
    <t>CAUSE #</t>
  </si>
  <si>
    <t>ROOT CAUSE / OBSERVATION</t>
  </si>
  <si>
    <t>SUB-CAUSE / DETAIL</t>
  </si>
  <si>
    <t>LINKED CASE
(from CASE_DATA)</t>
  </si>
  <si>
    <t>FMEA RISK
(cross-ref)</t>
  </si>
  <si>
    <t>Insufficient training on process</t>
  </si>
  <si>
    <t>Team unclear on priorities</t>
  </si>
  <si>
    <t>High turnover causing knowledge loss</t>
  </si>
  <si>
    <t>Leader not visible enough on floor</t>
  </si>
  <si>
    <t xml:space="preserve">  ▶  MACHINE / TOOLS</t>
  </si>
  <si>
    <t>Legacy systems causing manual workarounds</t>
  </si>
  <si>
    <t>No real-time status visibility</t>
  </si>
  <si>
    <t>Tools not integrated - double entry</t>
  </si>
  <si>
    <t>System downtime during peak hours</t>
  </si>
  <si>
    <t xml:space="preserve">  ▶  METHOD / PROCESS</t>
  </si>
  <si>
    <t>No standard handoff checklist</t>
  </si>
  <si>
    <t>Approvals routed to wrong person</t>
  </si>
  <si>
    <t>No WIP limits enforced</t>
  </si>
  <si>
    <t>Rework loop not captured in process</t>
  </si>
  <si>
    <t xml:space="preserve">  ▶  MATERIAL</t>
  </si>
  <si>
    <t>PRIORITY ACTION</t>
  </si>
  <si>
    <t>Requirements unclear at intake</t>
  </si>
  <si>
    <t>Incomplete specs passed to next step</t>
  </si>
  <si>
    <t>No template for common requests</t>
  </si>
  <si>
    <t xml:space="preserve">  ▶  MEASUREMENT</t>
  </si>
  <si>
    <t>No real-time defect tracking</t>
  </si>
  <si>
    <t>Metrics reviewed monthly not weekly</t>
  </si>
  <si>
    <t>KPIs don't reflect customer experience</t>
  </si>
  <si>
    <t xml:space="preserve">  ▶  ENVIRONMENT</t>
  </si>
  <si>
    <t>Open office causes interruptions</t>
  </si>
  <si>
    <t>No dedicated improvement time</t>
  </si>
  <si>
    <t>Culture punishes raising problems</t>
  </si>
  <si>
    <t xml:space="preserve">  CAUSE COUNT SUMMARY</t>
  </si>
  <si>
    <t>MAN / PEOPLE</t>
  </si>
  <si>
    <t>4 causes identified</t>
  </si>
  <si>
    <t>MACHINE / TOOLS</t>
  </si>
  <si>
    <t>METHOD / PROCESS</t>
  </si>
  <si>
    <t>MATERIAL</t>
  </si>
  <si>
    <t>3 causes identified</t>
  </si>
  <si>
    <t>MEASUREMENT</t>
  </si>
  <si>
    <t>ENVIRONMENT</t>
  </si>
  <si>
    <t xml:space="preserve">  FISHBONE / ISHIKAWA DIAGRAM - Root Cause Analysis</t>
  </si>
  <si>
    <t xml:space="preserve">  CASE BUILDER - Log &amp; Prioritize Leadership Challenges</t>
  </si>
  <si>
    <t xml:space="preserve">  ✏ ALL columns now have dropdowns | Cross-refs: Log Actions / PDCA Cycles / FMEA Risks / Sigma Level live in cols H–K</t>
  </si>
  <si>
    <t xml:space="preserve">  ✏ Each row = 1 leadership case | Priority 1=Critical → 4=Low | Status drives dashboard KPIs</t>
  </si>
  <si>
    <t>CHALLENGE / PROBLEM STATEMENT</t>
  </si>
  <si>
    <t>PRIORITY</t>
  </si>
  <si>
    <t>ROOT CAUSE HYPOTHESIS</t>
  </si>
  <si>
    <t>TARGET OUTCOME (MEASURABLE)</t>
  </si>
  <si>
    <t>LEAN METHOD</t>
  </si>
  <si>
    <t>LOG
ACTIONS</t>
  </si>
  <si>
    <t>PDCA
CYCLES</t>
  </si>
  <si>
    <t>FMEA
RISKS</t>
  </si>
  <si>
    <t>SS SIGMA
(current)</t>
  </si>
  <si>
    <t>Delivery targets missed 20% consistently</t>
  </si>
  <si>
    <t>1-CRITICAL</t>
  </si>
  <si>
    <t>Handoff delays invisible; no WIP limits</t>
  </si>
  <si>
    <t>On-time delivery &gt;95% in 8 weeks</t>
  </si>
  <si>
    <t>Value Stream Mapping</t>
  </si>
  <si>
    <t>Defect rate at 12% - customers complaining</t>
  </si>
  <si>
    <t>No quality check at source</t>
  </si>
  <si>
    <t>Zero defect escapes within 4 weeks</t>
  </si>
  <si>
    <t>Mistake-Proofing</t>
  </si>
  <si>
    <t>Team overwhelmed, parallel tasks &gt;8 each</t>
  </si>
  <si>
    <t>2-HIGH</t>
  </si>
  <si>
    <t>No WIP limits; everything is priority 1</t>
  </si>
  <si>
    <t>Max 3 active tasks per person</t>
  </si>
  <si>
    <t>Kanban</t>
  </si>
  <si>
    <t>Approval bottleneck adds 2.3 days per case</t>
  </si>
  <si>
    <t>Wrong routing; unclear decision authority</t>
  </si>
  <si>
    <t>Approval time &lt;4 hours</t>
  </si>
  <si>
    <t>Standard Work</t>
  </si>
  <si>
    <t>New hire onboarding takes 6 weeks</t>
  </si>
  <si>
    <t>3-MEDIUM</t>
  </si>
  <si>
    <t>No documented process; tribal knowledge</t>
  </si>
  <si>
    <t>Onboard in 2 weeks, consistent quality</t>
  </si>
  <si>
    <t>Leader not visible to frontline team</t>
  </si>
  <si>
    <t>No structured Gemba cadence in place</t>
  </si>
  <si>
    <t>Weekly Gemba walk every leader, every week</t>
  </si>
  <si>
    <t>Gemba Walk</t>
  </si>
  <si>
    <t xml:space="preserve">  PDCA CYCLE - Plan, Do, Check, Act</t>
  </si>
  <si>
    <t xml:space="preserve">  ✏ ALL "Your Entry" cells have contextual dropdowns | Status dropdowns on every row | Live cross-refs to FMEA_DATA &amp; CASE_DATA in cols G/H</t>
  </si>
  <si>
    <t xml:space="preserve">  PLAN</t>
  </si>
  <si>
    <t>PDCA ITEM</t>
  </si>
  <si>
    <t>CYCLE</t>
  </si>
  <si>
    <t>YOUR ENTRY</t>
  </si>
  <si>
    <t>DUE DATE</t>
  </si>
  <si>
    <t>CASES
OPEN</t>
  </si>
  <si>
    <t>What is the problem?</t>
  </si>
  <si>
    <t>Cycle 1</t>
  </si>
  <si>
    <t>Delivery targets missed by 20% for 3 consecutive months</t>
  </si>
  <si>
    <t>NOT STARTED</t>
  </si>
  <si>
    <t>What is the root cause hypothesis?</t>
  </si>
  <si>
    <t>Cycle 2</t>
  </si>
  <si>
    <t>Handoff delays between teams - no visibility, no WIP limit</t>
  </si>
  <si>
    <t>What is the target state?</t>
  </si>
  <si>
    <t>Cycle 3</t>
  </si>
  <si>
    <t>On-time delivery &gt;95% within 8 weeks</t>
  </si>
  <si>
    <t>What is the success metric / KPI?</t>
  </si>
  <si>
    <t>Cycle 4</t>
  </si>
  <si>
    <t>On-time delivery % measured weekly</t>
  </si>
  <si>
    <t>What actions are planned?</t>
  </si>
  <si>
    <t>Cycle 5</t>
  </si>
  <si>
    <t>VSM workshop → Kanban board → daily standup → WIP limits</t>
  </si>
  <si>
    <t>What are the risks?</t>
  </si>
  <si>
    <t>Cycle 6</t>
  </si>
  <si>
    <t>Team resistance; unclear ownership of the new process</t>
  </si>
  <si>
    <t xml:space="preserve">  DO</t>
  </si>
  <si>
    <t>Pilot scope / team</t>
  </si>
  <si>
    <t>Delivery team only - 6 people</t>
  </si>
  <si>
    <t>What was actually done?</t>
  </si>
  <si>
    <t>Ran 2-day VSM workshop; built Kanban board; set WIP=3</t>
  </si>
  <si>
    <t>When did the pilot run?</t>
  </si>
  <si>
    <t>Week 1-2 of improvement sprint</t>
  </si>
  <si>
    <t>Observations during pilot</t>
  </si>
  <si>
    <t>Team immediately surfaced 2 approval bottlenecks</t>
  </si>
  <si>
    <t>Unexpected events / blockers</t>
  </si>
  <si>
    <t>One approver on leave - workaround needed</t>
  </si>
  <si>
    <t>Data collected</t>
  </si>
  <si>
    <t>Lead time, WIP count, defect rate tracked daily</t>
  </si>
  <si>
    <t xml:space="preserve">  CHECK</t>
  </si>
  <si>
    <t>Measured result vs KPI target</t>
  </si>
  <si>
    <t>On-time delivery improved from 80% → 91% in 2 weeks</t>
  </si>
  <si>
    <t>vs Hypothesis - better/worse/same?</t>
  </si>
  <si>
    <t>Better than expected. Bottleneck confirmed as predicted.</t>
  </si>
  <si>
    <t>Unintended side-effects</t>
  </si>
  <si>
    <t>Adjacent team now asking for same Kanban system</t>
  </si>
  <si>
    <t>Root cause of remaining gap</t>
  </si>
  <si>
    <t>Approval bottleneck still 1.2 days - needs authority change</t>
  </si>
  <si>
    <t>Team feedback on pilot</t>
  </si>
  <si>
    <t>Positive - team wants to expand to all work streams</t>
  </si>
  <si>
    <t>Decision: scale / kill / iterate?</t>
  </si>
  <si>
    <t>SCALE - with approval authority fix added</t>
  </si>
  <si>
    <t xml:space="preserve">  ACT</t>
  </si>
  <si>
    <t>Standardization action</t>
  </si>
  <si>
    <t>Kanban + WIP limits become permanent team standard</t>
  </si>
  <si>
    <t>Process documentation updated?</t>
  </si>
  <si>
    <t>Runbook updated; new hire guide revised</t>
  </si>
  <si>
    <t>Training plan</t>
  </si>
  <si>
    <t>30-min onboarding for all new team members on Kanban</t>
  </si>
  <si>
    <t>Scale-up plan</t>
  </si>
  <si>
    <t>Roll out to 2 adjacent teams in Month 2</t>
  </si>
  <si>
    <t>Next PDCA hypothesis</t>
  </si>
  <si>
    <t>Fix approval authority - target &lt;4hr decision time</t>
  </si>
  <si>
    <t>Lessons learned</t>
  </si>
  <si>
    <t>Visibility alone drives 50% of improvement. Start here always.</t>
  </si>
  <si>
    <t xml:space="preserve">  METRICS - Live LEAN Maturity Tracker</t>
  </si>
  <si>
    <t xml:space="preserve">  LEAN PRINCIPLES (col D = your manual score 0-100)</t>
  </si>
  <si>
    <t>LEAN PRINCIPLE</t>
  </si>
  <si>
    <t>AUTO SCORE</t>
  </si>
  <si>
    <t>YOUR SCORE</t>
  </si>
  <si>
    <t>COMBINED %</t>
  </si>
  <si>
    <t>MATURITY LEVEL</t>
  </si>
  <si>
    <t>FMEA
CRITICAL RPNS</t>
  </si>
  <si>
    <t>SIGMA
(current)</t>
  </si>
  <si>
    <t>SDLC
% DONE</t>
  </si>
  <si>
    <t>AGILE
STORIES DONE</t>
  </si>
  <si>
    <t xml:space="preserve">  WEEKLY IMPROVEMENT TRACKER - Enter actuals each week</t>
  </si>
  <si>
    <t>METRIC</t>
  </si>
  <si>
    <t>Wk1</t>
  </si>
  <si>
    <t>Wk2</t>
  </si>
  <si>
    <t>Wk3</t>
  </si>
  <si>
    <t>Wk4</t>
  </si>
  <si>
    <t>Wk5</t>
  </si>
  <si>
    <t>TREND</t>
  </si>
  <si>
    <t>Defects / rework count</t>
  </si>
  <si>
    <t>WIP items in flight</t>
  </si>
  <si>
    <t>Avg lead time (days)</t>
  </si>
  <si>
    <t>Team engagement score</t>
  </si>
  <si>
    <t>Cases resolved</t>
  </si>
  <si>
    <t xml:space="preserve">  ACTION LOG - Every Improvement Action Captured</t>
  </si>
  <si>
    <t xml:space="preserve">  ✏ ALL columns now have dropdowns | Linked Case, Lean Method, Owner, Result, Status all selectable | Live FMEA/Sigma cross-refs in cols I/J</t>
  </si>
  <si>
    <t>DATE</t>
  </si>
  <si>
    <t>ACTION TAKEN</t>
  </si>
  <si>
    <t>LINKED CASE</t>
  </si>
  <si>
    <t>RESULT / OUTCOME</t>
  </si>
  <si>
    <t>FMEA
OPEN</t>
  </si>
  <si>
    <t>2026-05-16</t>
  </si>
  <si>
    <t>VSM workshop - mapped full delivery flow</t>
  </si>
  <si>
    <t>Delivery 20% miss</t>
  </si>
  <si>
    <t>VSM</t>
  </si>
  <si>
    <t>Team+PM</t>
  </si>
  <si>
    <t>Found 3 hidden handoff delays</t>
  </si>
  <si>
    <t>DONE</t>
  </si>
  <si>
    <t>2026-05-20</t>
  </si>
  <si>
    <t>Kanban board built, WIP set to 3</t>
  </si>
  <si>
    <t>Team overwhelmed</t>
  </si>
  <si>
    <t>WIP dropped 24→16 in one week</t>
  </si>
  <si>
    <t>2026-05-23</t>
  </si>
  <si>
    <t>Gemba walk - 2hrs with support team</t>
  </si>
  <si>
    <t>Defect rate 12%</t>
  </si>
  <si>
    <t>Leader</t>
  </si>
  <si>
    <t>Uncovered 2 unlogged defect paths</t>
  </si>
  <si>
    <t>2026-05-25</t>
  </si>
  <si>
    <t>Standard onboarding checklist drafted</t>
  </si>
  <si>
    <t>Onboarding 6wks</t>
  </si>
  <si>
    <t>Std Work</t>
  </si>
  <si>
    <t>HR+Lead</t>
  </si>
  <si>
    <t>Checklist v1 in review</t>
  </si>
  <si>
    <t>2026-05-27</t>
  </si>
  <si>
    <t>PDCA Cycle 1 launched - daily standup</t>
  </si>
  <si>
    <t>PDCA</t>
  </si>
  <si>
    <t>Engagement 6→7 in one week</t>
  </si>
  <si>
    <t>2026-05-29</t>
  </si>
  <si>
    <t>A3 analysis of approval bottleneck</t>
  </si>
  <si>
    <t>Approval delay</t>
  </si>
  <si>
    <t>A3</t>
  </si>
  <si>
    <t>Root cause confirmed - routing</t>
  </si>
  <si>
    <t>FMEA — Failure Mode &amp; Effects Analysis  |  DATA ENTRY SHEET</t>
  </si>
  <si>
    <t xml:space="preserve">  ✏  All yellow cells have dropdown choices | Score SEV / OCC / DET via dropdown | RPN &amp; Priority auto-calculate | No free-text in choice columns</t>
  </si>
  <si>
    <t>PROCESS STEP</t>
  </si>
  <si>
    <t>FAILURE MODE</t>
  </si>
  <si>
    <t>EFFECT OF FAILURE</t>
  </si>
  <si>
    <t>SEV
(1-10)</t>
  </si>
  <si>
    <t>POTENTIAL CAUSE</t>
  </si>
  <si>
    <t>OCC
(1-10)</t>
  </si>
  <si>
    <t>CURRENT CONTROLS</t>
  </si>
  <si>
    <t>DET
(1-10)</t>
  </si>
  <si>
    <t>RPN
(auto)</t>
  </si>
  <si>
    <t>PRIORITY
(auto)</t>
  </si>
  <si>
    <t>RECOMMENDED ACTION</t>
  </si>
  <si>
    <t>PDCA
CYCLES LINKED</t>
  </si>
  <si>
    <t>SDLC
PHASE RISK</t>
  </si>
  <si>
    <t>Intake / Triage</t>
  </si>
  <si>
    <t>Incomplete requirements received</t>
  </si>
  <si>
    <t>Rework; downstream delays</t>
  </si>
  <si>
    <t>No intake checklist</t>
  </si>
  <si>
    <t>Verbal handoff only</t>
  </si>
  <si>
    <t>Define standard intake form</t>
  </si>
  <si>
    <t>Requirements Review</t>
  </si>
  <si>
    <t>Missing acceptance criteria</t>
  </si>
  <si>
    <t>Scope creep; missed expectations</t>
  </si>
  <si>
    <t>No template; tribal knowledge</t>
  </si>
  <si>
    <t>Ad hoc peer review</t>
  </si>
  <si>
    <t>Mandate AC template on all tickets</t>
  </si>
  <si>
    <t>Design / Planning</t>
  </si>
  <si>
    <t>Over-engineered solution</t>
  </si>
  <si>
    <t>Excess cost; late delivery</t>
  </si>
  <si>
    <t>No MVP mindset; no WIP limit</t>
  </si>
  <si>
    <t>Architecture review</t>
  </si>
  <si>
    <t>Add complexity gate to design</t>
  </si>
  <si>
    <t>Undocumented code change</t>
  </si>
  <si>
    <t>Rollback risk; regression defects</t>
  </si>
  <si>
    <t>Dev works off informal notes</t>
  </si>
  <si>
    <t>Code review</t>
  </si>
  <si>
    <t>Enforce PR template + change log</t>
  </si>
  <si>
    <t>Test case misses edge cases</t>
  </si>
  <si>
    <t>Defect escapes to production</t>
  </si>
  <si>
    <t>Test plan not linked to AC</t>
  </si>
  <si>
    <t>Manual regression only</t>
  </si>
  <si>
    <t>Link tests to AC; automate suite</t>
  </si>
  <si>
    <t>Wrong environment deployed</t>
  </si>
  <si>
    <t>Production outage</t>
  </si>
  <si>
    <t>Manual deploy checklist only</t>
  </si>
  <si>
    <t>Checklist review</t>
  </si>
  <si>
    <t>Implement CI/CD; add env gate</t>
  </si>
  <si>
    <t>Handoff to Ops</t>
  </si>
  <si>
    <t>Knowledge not transferred</t>
  </si>
  <si>
    <t>Ops cannot support product</t>
  </si>
  <si>
    <t>No runbook requirement</t>
  </si>
  <si>
    <t>Email summary only</t>
  </si>
  <si>
    <t>Require runbook sign-off</t>
  </si>
  <si>
    <t>Change Management</t>
  </si>
  <si>
    <t>Stakeholder not informed</t>
  </si>
  <si>
    <t>Resistance; rollback request</t>
  </si>
  <si>
    <t>No comms plan template</t>
  </si>
  <si>
    <t>Email update</t>
  </si>
  <si>
    <t>Add comms step to DoD</t>
  </si>
  <si>
    <t>Approval Gate</t>
  </si>
  <si>
    <t>Wrong approver in workflow</t>
  </si>
  <si>
    <t>2.3-day avg approval delay</t>
  </si>
  <si>
    <t>Routing rule not documented</t>
  </si>
  <si>
    <t>Manager escalation</t>
  </si>
  <si>
    <t>Document RACI; automate routing</t>
  </si>
  <si>
    <t>Post-Go-Live Review</t>
  </si>
  <si>
    <t>Lessons not captured</t>
  </si>
  <si>
    <t>Same failures repeat next cycle</t>
  </si>
  <si>
    <t>No mandatory retrospective</t>
  </si>
  <si>
    <t>Informal discussion only</t>
  </si>
  <si>
    <t>Mandatory retro within 48hrs</t>
  </si>
  <si>
    <t xml:space="preserve">  AUTO-SUMMARY — Updates instantly as you enter data</t>
  </si>
  <si>
    <t>Total Items</t>
  </si>
  <si>
    <t>RESOLVED</t>
  </si>
  <si>
    <t>Critical
(RPN≥200)</t>
  </si>
  <si>
    <t>High
(RPN≥100)</t>
  </si>
  <si>
    <t>Avg RPN</t>
  </si>
  <si>
    <t>Top Failure Mode</t>
  </si>
  <si>
    <t>FMEA ANALYSIS — Auto-Sorted Risk Register  |  Live from FMEA_DATA</t>
  </si>
  <si>
    <t xml:space="preserve">  All values pull from FMEA_DATA automatically | Sorted highest RPN first | No manual action needed | 80/20 group auto-assigned</t>
  </si>
  <si>
    <t>RPN</t>
  </si>
  <si>
    <t>ACTION NOW</t>
  </si>
  <si>
    <t xml:space="preserve">  LIVE FMEA KPIs — Auto from FMEA_DATA</t>
  </si>
  <si>
    <t>Resolved</t>
  </si>
  <si>
    <t>Critical RPNs</t>
  </si>
  <si>
    <t>High RPNs</t>
  </si>
  <si>
    <t>% Resolved</t>
  </si>
  <si>
    <t>SIX SIGMA — DMAIC Data Entry  |  Sigma Level &amp; DPMO Auto-Calculate</t>
  </si>
  <si>
    <t xml:space="preserve">  ✏  All choice columns have dropdowns | Enter units + defects weekly | Sigma Level, DPMO, Defect Rate auto-calculate | DMAIC phase status tracks your cycle</t>
  </si>
  <si>
    <t xml:space="preserve">  SECTION A — DEFECT MEASUREMENT  (Enter yellow cells weekly)</t>
  </si>
  <si>
    <t>UNITS PRODUCED</t>
  </si>
  <si>
    <t>DEFECTS FOUND</t>
  </si>
  <si>
    <t>OPPS / UNIT</t>
  </si>
  <si>
    <t>DEFECT RATE %</t>
  </si>
  <si>
    <t>DPMO</t>
  </si>
  <si>
    <t>NOTES</t>
  </si>
  <si>
    <t>PDCA
COMPLETE</t>
  </si>
  <si>
    <t>Week 1</t>
  </si>
  <si>
    <t>4.5</t>
  </si>
  <si>
    <t>Week 2</t>
  </si>
  <si>
    <t>Week 3</t>
  </si>
  <si>
    <t>Week 4</t>
  </si>
  <si>
    <t>Week 5</t>
  </si>
  <si>
    <t>Week 6</t>
  </si>
  <si>
    <t>Week 7</t>
  </si>
  <si>
    <t>Week 8</t>
  </si>
  <si>
    <t xml:space="preserve">  AUTO-SUMMARY</t>
  </si>
  <si>
    <t>Avg Defect Rate %</t>
  </si>
  <si>
    <t>Latest DPMO</t>
  </si>
  <si>
    <t>Current Sigma</t>
  </si>
  <si>
    <t>Target Sigma</t>
  </si>
  <si>
    <t>Sigma Gap</t>
  </si>
  <si>
    <t>Weeks of Data</t>
  </si>
  <si>
    <t>% Improvement</t>
  </si>
  <si>
    <t>Status</t>
  </si>
  <si>
    <t xml:space="preserve">  SECTION B — DMAIC PHASE TRACKER  (All choice columns have dropdowns)</t>
  </si>
  <si>
    <t>DMAIC PHASE</t>
  </si>
  <si>
    <t>KEY DELIVERABLE</t>
  </si>
  <si>
    <t>COMPLETION %</t>
  </si>
  <si>
    <t>VERIFIED BY</t>
  </si>
  <si>
    <t>DEFINE</t>
  </si>
  <si>
    <t>Problem Statement + Charter + SIPOC</t>
  </si>
  <si>
    <t>2026-06-14</t>
  </si>
  <si>
    <t>COMPLETE</t>
  </si>
  <si>
    <t>Signed off</t>
  </si>
  <si>
    <t>Voice of Customer (VOC) + CTQs</t>
  </si>
  <si>
    <t>3 CTQs defined</t>
  </si>
  <si>
    <t>MEASURE</t>
  </si>
  <si>
    <t>Data Collection Plan</t>
  </si>
  <si>
    <t>2026-06-28</t>
  </si>
  <si>
    <t>Daily defect log live</t>
  </si>
  <si>
    <t>Baseline Sigma Level calculated</t>
  </si>
  <si>
    <t>3.2 Sigma</t>
  </si>
  <si>
    <t>Process Capability (Cpk)</t>
  </si>
  <si>
    <t>Cpk = 0.45</t>
  </si>
  <si>
    <t>ANALYZE</t>
  </si>
  <si>
    <t>Root Cause Analysis (Fishbone)</t>
  </si>
  <si>
    <t>2026-07-12</t>
  </si>
  <si>
    <t>Top 3 causes found</t>
  </si>
  <si>
    <t>Hypothesis Testing</t>
  </si>
  <si>
    <t>Chi-square in progress</t>
  </si>
  <si>
    <t>Value Stream Analysis</t>
  </si>
  <si>
    <t>Planned wk of 2026-07-06</t>
  </si>
  <si>
    <t>IMPROVE</t>
  </si>
  <si>
    <t>Solution Selection + Pilot Plan</t>
  </si>
  <si>
    <t>2026-08-09</t>
  </si>
  <si>
    <t>Pilot Execution + Results</t>
  </si>
  <si>
    <t>2026-08-23</t>
  </si>
  <si>
    <t>CONTROL</t>
  </si>
  <si>
    <t>Control Plan + SPC Chart</t>
  </si>
  <si>
    <t>2026-09-06</t>
  </si>
  <si>
    <t>Standard Work Update + Training</t>
  </si>
  <si>
    <t>2026-09-20</t>
  </si>
  <si>
    <t xml:space="preserve">  DMAIC COMPLETION — Auto-calculated</t>
  </si>
  <si>
    <t>DEFINE
% Complete</t>
  </si>
  <si>
    <t>MEASURE
% Complete</t>
  </si>
  <si>
    <t>ANALYZE
% Complete</t>
  </si>
  <si>
    <t>IMPROVE
% Complete</t>
  </si>
  <si>
    <t>CONTROL
% Complete</t>
  </si>
  <si>
    <t>SIX SIGMA ANALYSIS — Live Sigma Trend &amp; DMAIC Dashboard  |  Auto from SS_DATA</t>
  </si>
  <si>
    <t xml:space="preserve">  All values pull from SS_DATA automatically | Enter data there | Sigma trend + DMAIC completion + KPIs refresh live</t>
  </si>
  <si>
    <t xml:space="preserve">  SIGMA LEVEL TREND — Week by Week</t>
  </si>
  <si>
    <t>WEEK</t>
  </si>
  <si>
    <t>DEFECT %</t>
  </si>
  <si>
    <t>SIGMA</t>
  </si>
  <si>
    <t>TREND vs PRIOR</t>
  </si>
  <si>
    <t xml:space="preserve">  PROGRAMME KPIs — Live from SS_DATA</t>
  </si>
  <si>
    <t>Avg Defect %</t>
  </si>
  <si>
    <t>Weeks Tracked</t>
  </si>
  <si>
    <t xml:space="preserve">  DMAIC PHASE COMPLETION — Live from SS_DATA</t>
  </si>
  <si>
    <t>SDLC — Phase Tracker Data Entry  |  Gate Results &amp; Phase Status Auto-Calculate</t>
  </si>
  <si>
    <t xml:space="preserve">  ✏  ALL choice columns have dropdowns — no free-text guessing | Enter % complete | Gate results, phase status &amp; blockers auto-calculate | Feeds SDLC_TRACKER</t>
  </si>
  <si>
    <t>PHASE</t>
  </si>
  <si>
    <t>DELIVERABLE</t>
  </si>
  <si>
    <t>PLANNED
START</t>
  </si>
  <si>
    <t>PLANNED
END</t>
  </si>
  <si>
    <t>% COMPLETE
(0%–100%)</t>
  </si>
  <si>
    <t>GATE CRITERIA</t>
  </si>
  <si>
    <t>GATE RESULT
(auto)</t>
  </si>
  <si>
    <t>BLOCKERS</t>
  </si>
  <si>
    <t>RISK LEVEL</t>
  </si>
  <si>
    <t>QI METHOD</t>
  </si>
  <si>
    <t>FMEA OPEN
(cross-ref)</t>
  </si>
  <si>
    <t>LOG ACTIONS
(cross-ref)</t>
  </si>
  <si>
    <t>AGILE SPRINT
(current)</t>
  </si>
  <si>
    <t>Project Charter &amp; RACI</t>
  </si>
  <si>
    <t>2026-06-01</t>
  </si>
  <si>
    <t>Charter approved by sponsor</t>
  </si>
  <si>
    <t>Low</t>
  </si>
  <si>
    <t>A3/RACI</t>
  </si>
  <si>
    <t>Requirements Baseline</t>
  </si>
  <si>
    <t>2026-06-21</t>
  </si>
  <si>
    <t>All CTQs documented; sign-off</t>
  </si>
  <si>
    <t>Medium</t>
  </si>
  <si>
    <t>FMEA / VOC</t>
  </si>
  <si>
    <t>Risk Register v1</t>
  </si>
  <si>
    <t>All risks scored; mitigations assigned</t>
  </si>
  <si>
    <t>FMEA</t>
  </si>
  <si>
    <t>System Architecture</t>
  </si>
  <si>
    <t>2026-06-15</t>
  </si>
  <si>
    <t>2026-07-05</t>
  </si>
  <si>
    <t>Architecture review board approval</t>
  </si>
  <si>
    <t>High</t>
  </si>
  <si>
    <t>Six Sigma DMAIC</t>
  </si>
  <si>
    <t>UX Wireframes</t>
  </si>
  <si>
    <t>Designer</t>
  </si>
  <si>
    <t>Usability test with 3 users passed</t>
  </si>
  <si>
    <t>VOC</t>
  </si>
  <si>
    <t>Data Model</t>
  </si>
  <si>
    <t>DBA</t>
  </si>
  <si>
    <t>ERD reviewed; no orphan entities</t>
  </si>
  <si>
    <t>Backend Services</t>
  </si>
  <si>
    <t>2026-07-06</t>
  </si>
  <si>
    <t>BLOCKED</t>
  </si>
  <si>
    <t>All APIs correct; unit tests &gt;90%</t>
  </si>
  <si>
    <t>Frontend UI</t>
  </si>
  <si>
    <t>Dev</t>
  </si>
  <si>
    <t>Accessibility WCAG 2.1 AA pass</t>
  </si>
  <si>
    <t>Integration Layer</t>
  </si>
  <si>
    <t>2026-07-20</t>
  </si>
  <si>
    <t>2026-08-16</t>
  </si>
  <si>
    <t>All integrations tested end-to-end</t>
  </si>
  <si>
    <t>System Integration Test</t>
  </si>
  <si>
    <t>2026-08-17</t>
  </si>
  <si>
    <t>2026-08-30</t>
  </si>
  <si>
    <t>Defect rate &lt;1%; all P1-P2 closed</t>
  </si>
  <si>
    <t>User Acceptance Test</t>
  </si>
  <si>
    <t>2026-09-01</t>
  </si>
  <si>
    <t>2026-09-14</t>
  </si>
  <si>
    <t>Business sign-off; no blocking issues</t>
  </si>
  <si>
    <t>Performance Test</t>
  </si>
  <si>
    <t>2026-09-07</t>
  </si>
  <si>
    <t>&lt;2s response; 500 concurrent users</t>
  </si>
  <si>
    <t>SPC</t>
  </si>
  <si>
    <t>Release Readiness Review</t>
  </si>
  <si>
    <t>2026-09-15</t>
  </si>
  <si>
    <t>2026-09-21</t>
  </si>
  <si>
    <t>Go/No-Go checklist 100% green</t>
  </si>
  <si>
    <t>Production Deployment</t>
  </si>
  <si>
    <t>2026-09-22</t>
  </si>
  <si>
    <t>2026-09-23</t>
  </si>
  <si>
    <t>Zero P1 defects post-deploy</t>
  </si>
  <si>
    <t>Hypercare Support (2 weeks)</t>
  </si>
  <si>
    <t>2026-09-24</t>
  </si>
  <si>
    <t>2026-10-07</t>
  </si>
  <si>
    <t>Defect rate &lt; baseline; SLA met</t>
  </si>
  <si>
    <t>Lessons Learned &amp; Project Closure</t>
  </si>
  <si>
    <t>2026-10-08</t>
  </si>
  <si>
    <t>2026-10-15</t>
  </si>
  <si>
    <t>Lessons doc signed; retro done</t>
  </si>
  <si>
    <t xml:space="preserve">  PHASE SUMMARY — Auto-calculated | No manual update needed</t>
  </si>
  <si>
    <t>DELIVERABLES</t>
  </si>
  <si>
    <t>AVG % DONE</t>
  </si>
  <si>
    <t>PHASE STATUS</t>
  </si>
  <si>
    <t>OVERALL PROJECT</t>
  </si>
  <si>
    <t>SDLC TRACKER — Live Phase View  |  Auto-refreshes from SDLC_DATA</t>
  </si>
  <si>
    <t xml:space="preserve">  All values pull from SDLC_DATA automatically | Update data there | Phase status &amp; gates refresh instantly</t>
  </si>
  <si>
    <t xml:space="preserve">  PHASE-BY-PHASE STATUS — Live</t>
  </si>
  <si>
    <t xml:space="preserve">  PROJECT KPIs — Live from SDLC_DATA</t>
  </si>
  <si>
    <t>Overall % Done</t>
  </si>
  <si>
    <t>Deliverables</t>
  </si>
  <si>
    <t>Project Status</t>
  </si>
  <si>
    <t>AGILE — Sprint Backlog &amp; Velocity Data Entry  |  Feeds AGILE_BOARD &amp; DASHBOARD</t>
  </si>
  <si>
    <t xml:space="preserve">  ✏  ALL choice columns have dropdowns — Epic, Priority, Sprint, Assignee, Status, Linked QI all selectable | Velocity &amp; KPIs auto-calculate</t>
  </si>
  <si>
    <t xml:space="preserve">  SPRINT CONFIG — Enter these values (all calculations reference these cells)</t>
  </si>
  <si>
    <t>Current Sprint #</t>
  </si>
  <si>
    <t>Sprint Length</t>
  </si>
  <si>
    <t>Sprint Start Date</t>
  </si>
  <si>
    <t>Sprint End Date</t>
  </si>
  <si>
    <t>Velocity Target (pts)</t>
  </si>
  <si>
    <t>Team Size</t>
  </si>
  <si>
    <t>14 days (2 weeks)</t>
  </si>
  <si>
    <t>2026-06-02</t>
  </si>
  <si>
    <t>2026-06-16</t>
  </si>
  <si>
    <t xml:space="preserve">  PRODUCT BACKLOG — All choice columns have dropdowns</t>
  </si>
  <si>
    <t>ID</t>
  </si>
  <si>
    <t>USER STORY</t>
  </si>
  <si>
    <t>EPIC / THEME</t>
  </si>
  <si>
    <t>STORY PTS</t>
  </si>
  <si>
    <t>SPRINT #</t>
  </si>
  <si>
    <t>ASSIGNEE</t>
  </si>
  <si>
    <t>DONE?</t>
  </si>
  <si>
    <t>ACCEPTANCE CRITERIA</t>
  </si>
  <si>
    <t>BLOCKER / RISK</t>
  </si>
  <si>
    <t>LINKED QI</t>
  </si>
  <si>
    <t>US-001</t>
  </si>
  <si>
    <t>As a PM I can log defects with one click</t>
  </si>
  <si>
    <t>Quality Dashboard</t>
  </si>
  <si>
    <t>1-MUST</t>
  </si>
  <si>
    <t>Logged &lt;30s; on dashboard</t>
  </si>
  <si>
    <t>None</t>
  </si>
  <si>
    <t>US-002</t>
  </si>
  <si>
    <t>As a leader I see live KPI dashboard</t>
  </si>
  <si>
    <t>Monitoring &amp; Alerts</t>
  </si>
  <si>
    <t>Refreshes every 5 min</t>
  </si>
  <si>
    <t>US-003</t>
  </si>
  <si>
    <t>As a team member I update task status on mobile</t>
  </si>
  <si>
    <t>Agile Metrics</t>
  </si>
  <si>
    <t>2-SHOULD</t>
  </si>
  <si>
    <t>Status sync &lt;2s; iOS + Android</t>
  </si>
  <si>
    <t>AGILE</t>
  </si>
  <si>
    <t>US-004</t>
  </si>
  <si>
    <t>As a QA I run regression suite with one command</t>
  </si>
  <si>
    <t>Testing Automation</t>
  </si>
  <si>
    <t>Suite &lt;5min; report auto-generated</t>
  </si>
  <si>
    <t>API auth issue</t>
  </si>
  <si>
    <t>US-005</t>
  </si>
  <si>
    <t>As a PM I assign FMEA scores to user stories</t>
  </si>
  <si>
    <t>Risk Tracking</t>
  </si>
  <si>
    <t>RPN live; high-risk flagged red</t>
  </si>
  <si>
    <t>US-006</t>
  </si>
  <si>
    <t>As Ops Lead I get alerts when KPI breaches threshold</t>
  </si>
  <si>
    <t>Alert within 1 min; email + Slack</t>
  </si>
  <si>
    <t>US-007</t>
  </si>
  <si>
    <t>As scrum master I view velocity chart auto-updated</t>
  </si>
  <si>
    <t>TO DO</t>
  </si>
  <si>
    <t>Chart updates when sprint data entered</t>
  </si>
  <si>
    <t>US-008</t>
  </si>
  <si>
    <t>As a leader I export PDCA status to PDF</t>
  </si>
  <si>
    <t>Reporting</t>
  </si>
  <si>
    <t>3-COULD</t>
  </si>
  <si>
    <t>PDF &lt;10s; formatted for print</t>
  </si>
  <si>
    <t>US-009</t>
  </si>
  <si>
    <t>Automated test results feed Six Sigma calculation</t>
  </si>
  <si>
    <t>DPMO auto-calculated from test runs</t>
  </si>
  <si>
    <t>US-010</t>
  </si>
  <si>
    <t>Link SDLC deliverables to FMEA items</t>
  </si>
  <si>
    <t>Bi-directional link; FMEA→SDLC</t>
  </si>
  <si>
    <t>US-011</t>
  </si>
  <si>
    <t>Kanban WIP limits enforced automatically</t>
  </si>
  <si>
    <t>BACKLOG</t>
  </si>
  <si>
    <t>Column blocks if WIP limit exceeded</t>
  </si>
  <si>
    <t>LEAN</t>
  </si>
  <si>
    <t>US-012</t>
  </si>
  <si>
    <t>Sigma level trend chart over 8 weeks</t>
  </si>
  <si>
    <t>Sigma trend; target line shown</t>
  </si>
  <si>
    <t>US-013</t>
  </si>
  <si>
    <t>Create Azure work items from Excel</t>
  </si>
  <si>
    <t>Integration</t>
  </si>
  <si>
    <t>Work item created in Azure via API</t>
  </si>
  <si>
    <t>US-014</t>
  </si>
  <si>
    <t>Retro items auto-suggest improvement actions</t>
  </si>
  <si>
    <t>4-WONT</t>
  </si>
  <si>
    <t>ML suggests top 3 actions</t>
  </si>
  <si>
    <t>US-015</t>
  </si>
  <si>
    <t>Workbook loads in &lt; 3 seconds</t>
  </si>
  <si>
    <t>Performance</t>
  </si>
  <si>
    <t>Opens &lt;3s on standard laptop</t>
  </si>
  <si>
    <t xml:space="preserve">  VELOCITY TRACKER — Enter completed points per sprint (all sprints pre-loaded)</t>
  </si>
  <si>
    <t>SPRINT</t>
  </si>
  <si>
    <t>PLANNED PTS</t>
  </si>
  <si>
    <t>ACTUAL PTS COMPLETED</t>
  </si>
  <si>
    <t>VELOCITY %</t>
  </si>
  <si>
    <t>DELTA</t>
  </si>
  <si>
    <t>Sprint 1</t>
  </si>
  <si>
    <t>Sprint 2</t>
  </si>
  <si>
    <t>Sprint 3</t>
  </si>
  <si>
    <t>Sprint 4</t>
  </si>
  <si>
    <t>Sprint 5</t>
  </si>
  <si>
    <t>Sprint 6</t>
  </si>
  <si>
    <t>AVERAGE</t>
  </si>
  <si>
    <t xml:space="preserve">  BACKLOG KPIs — Auto-calculated</t>
  </si>
  <si>
    <t>Total Stories</t>
  </si>
  <si>
    <t>Pts Done</t>
  </si>
  <si>
    <t>Pts in Sprint</t>
  </si>
  <si>
    <t>% Backlog Done</t>
  </si>
  <si>
    <t>Avg Velocity</t>
  </si>
  <si>
    <t>AGILE BOARD — Live Sprint View  |  Auto-refreshes from AGILE_DATA</t>
  </si>
  <si>
    <t xml:space="preserve">  All values pull from AGILE_DATA automatically | Update stories there | Board, velocity &amp; KPIs refresh instantly</t>
  </si>
  <si>
    <t xml:space="preserve">  KANBAN BOARD — Stories by Status</t>
  </si>
  <si>
    <t>SPRINT KPI</t>
  </si>
  <si>
    <t>Sprint #</t>
  </si>
  <si>
    <t>Sprint Ends</t>
  </si>
  <si>
    <t>Velocity Target</t>
  </si>
  <si>
    <t>Sprint Pts Done</t>
  </si>
  <si>
    <t>% Sprint Done</t>
  </si>
  <si>
    <t>Blockers</t>
  </si>
  <si>
    <t xml:space="preserve">  VELOCITY TREND — from AGILE_DATA</t>
  </si>
  <si>
    <t>PLANNED</t>
  </si>
  <si>
    <t>COMPLETED</t>
  </si>
  <si>
    <t xml:space="preserve">  BACKLOG KPIs — Live from AGILE_DATA</t>
  </si>
  <si>
    <t>AZURE SPRINT — Work Item Data Entry  |  Burndown &amp; Capacity Auto-Calculate</t>
  </si>
  <si>
    <t xml:space="preserve">  ✏  ALL choice columns have dropdowns — Type, Epic, Priority, State, Iteration, Area all selectable | Burndown, capacity &amp; sprint metrics auto-calculate</t>
  </si>
  <si>
    <t xml:space="preserve">  SPRINT CONFIG — Enter here | All calculations reference these cells</t>
  </si>
  <si>
    <t>Current Sprint</t>
  </si>
  <si>
    <t>Sprint Start</t>
  </si>
  <si>
    <t>Sprint End</t>
  </si>
  <si>
    <t>Sprint Goal</t>
  </si>
  <si>
    <t>Story Pts Target</t>
  </si>
  <si>
    <t>Unblock API auth; complete dashboard alerts</t>
  </si>
  <si>
    <t xml:space="preserve">  TEAM CAPACITY — Enter availability</t>
  </si>
  <si>
    <t>TEAM MEMBER</t>
  </si>
  <si>
    <t>ROLE</t>
  </si>
  <si>
    <t>CAPACITY HRS</t>
  </si>
  <si>
    <t>DAYS OFF</t>
  </si>
  <si>
    <t>AVAIL HRS</t>
  </si>
  <si>
    <t>ALLOCATED HRS</t>
  </si>
  <si>
    <t>REMAINING HRS</t>
  </si>
  <si>
    <t>UTILIZATION %</t>
  </si>
  <si>
    <t>Alex Chen</t>
  </si>
  <si>
    <t>Maria Santos</t>
  </si>
  <si>
    <t>James Okafor</t>
  </si>
  <si>
    <t>Priya Nair</t>
  </si>
  <si>
    <t>Tom Berg</t>
  </si>
  <si>
    <t>TOTALS</t>
  </si>
  <si>
    <t xml:space="preserve">  WORK ITEMS — ALL choice columns have dropdowns — no free-text in selectable fields</t>
  </si>
  <si>
    <t>TYPE</t>
  </si>
  <si>
    <t>TITLE</t>
  </si>
  <si>
    <t>EPIC</t>
  </si>
  <si>
    <t>EST HRS</t>
  </si>
  <si>
    <t>REMAIN HRS</t>
  </si>
  <si>
    <t>% DONE</t>
  </si>
  <si>
    <t>STATE</t>
  </si>
  <si>
    <t>ITERATION</t>
  </si>
  <si>
    <t>AREA PATH</t>
  </si>
  <si>
    <t>TAGS</t>
  </si>
  <si>
    <t>SDLC
BLOCKED</t>
  </si>
  <si>
    <t>Bug</t>
  </si>
  <si>
    <t>Fix API auth 401 on /metrics endpoint</t>
  </si>
  <si>
    <t>1-Critical</t>
  </si>
  <si>
    <t>Active</t>
  </si>
  <si>
    <t>QI\Backend</t>
  </si>
  <si>
    <t>auth,api</t>
  </si>
  <si>
    <t>Task</t>
  </si>
  <si>
    <t>Code review: Dashboard alert service</t>
  </si>
  <si>
    <t>2-High</t>
  </si>
  <si>
    <t>QI\Frontend</t>
  </si>
  <si>
    <t>review</t>
  </si>
  <si>
    <t>Story</t>
  </si>
  <si>
    <t>Alert threshold configuration UI</t>
  </si>
  <si>
    <t>ui,alerts</t>
  </si>
  <si>
    <t>FMEA RPN score in work item tooltip</t>
  </si>
  <si>
    <t>QI\Integration</t>
  </si>
  <si>
    <t>fmea</t>
  </si>
  <si>
    <t>Write regression suite for auth</t>
  </si>
  <si>
    <t>QI\QA</t>
  </si>
  <si>
    <t>regression</t>
  </si>
  <si>
    <t>Sprint velocity chart auto-update</t>
  </si>
  <si>
    <t>3-Medium</t>
  </si>
  <si>
    <t>QI\Analytics</t>
  </si>
  <si>
    <t>velocity</t>
  </si>
  <si>
    <t>Update runbook for alert service</t>
  </si>
  <si>
    <t>QI\Docs</t>
  </si>
  <si>
    <t>runbook</t>
  </si>
  <si>
    <t>Export PDCA status to PDF</t>
  </si>
  <si>
    <t>New</t>
  </si>
  <si>
    <t>QI\Reporting</t>
  </si>
  <si>
    <t>pdf</t>
  </si>
  <si>
    <t>Dashboard slow load &gt; 5 seconds</t>
  </si>
  <si>
    <t>perf</t>
  </si>
  <si>
    <t>Demo prep: Sprint Review slides</t>
  </si>
  <si>
    <t>QI\PM</t>
  </si>
  <si>
    <t>demo</t>
  </si>
  <si>
    <t>SPRINT TOTALS</t>
  </si>
  <si>
    <t xml:space="preserve">  BURNDOWN DATA — Enter actual points remaining each day (yellow cells)  |  Status auto-calculates</t>
  </si>
  <si>
    <t>DAY</t>
  </si>
  <si>
    <t>IDEAL REMAINING</t>
  </si>
  <si>
    <t>ACTUAL REMAINING</t>
  </si>
  <si>
    <t>VARIANCE</t>
  </si>
  <si>
    <t>2026-06-03</t>
  </si>
  <si>
    <t>2026-06-04</t>
  </si>
  <si>
    <t>2026-06-05</t>
  </si>
  <si>
    <t>2026-06-06</t>
  </si>
  <si>
    <t>2026-06-09</t>
  </si>
  <si>
    <t>2026-06-10</t>
  </si>
  <si>
    <t>2026-06-11</t>
  </si>
  <si>
    <t>2026-06-12</t>
  </si>
  <si>
    <t>2026-06-13</t>
  </si>
  <si>
    <t xml:space="preserve">  SPRINT KPIs — Auto-calculated from work items above</t>
  </si>
  <si>
    <t>Work Items</t>
  </si>
  <si>
    <t>Stories</t>
  </si>
  <si>
    <t>Bugs</t>
  </si>
  <si>
    <t>Tasks</t>
  </si>
  <si>
    <t>Est Hours</t>
  </si>
  <si>
    <t>Remaining Hrs</t>
  </si>
  <si>
    <t>Team Utilization</t>
  </si>
  <si>
    <t>AZURE BOARD — Live Sprint View  |  Auto-refreshes from AZ_DATA</t>
  </si>
  <si>
    <t xml:space="preserve">  All values pull from AZ_DATA automatically | Update work items there | Board, burndown &amp; KPIs refresh instantly</t>
  </si>
  <si>
    <t xml:space="preserve">  SPRINT BOARD — Work Items by State</t>
  </si>
  <si>
    <t>NEW</t>
  </si>
  <si>
    <t>ACTIVE</t>
  </si>
  <si>
    <t>CLOSED</t>
  </si>
  <si>
    <t>Sprint</t>
  </si>
  <si>
    <t>Story Pts</t>
  </si>
  <si>
    <t>Bugs Active</t>
  </si>
  <si>
    <t xml:space="preserve">  BURNDOWN — Live from AZ_DATA (enter actuals in AZ_DATA)</t>
  </si>
  <si>
    <t>IDEAL</t>
  </si>
  <si>
    <t>ACTUAL</t>
  </si>
  <si>
    <t xml:space="preserve">  SPRINT KPIs — Live from AZ_DATA</t>
  </si>
  <si>
    <t>Lean Methods</t>
  </si>
  <si>
    <t>FMEA Process Steps</t>
  </si>
  <si>
    <t>Failure Modes</t>
  </si>
  <si>
    <t>Effects of Failure</t>
  </si>
  <si>
    <t>Potential Causes Engineering</t>
  </si>
  <si>
    <t>Current Controls</t>
  </si>
  <si>
    <t>Recommended Actions</t>
  </si>
  <si>
    <t>Owners</t>
  </si>
  <si>
    <t>Engineering Challenges</t>
  </si>
  <si>
    <t>SDLC Blockers</t>
  </si>
  <si>
    <t>SDLC QI Methods</t>
  </si>
  <si>
    <t>Agile Epics</t>
  </si>
  <si>
    <t>Agile Status</t>
  </si>
  <si>
    <t>Agile Linked QI</t>
  </si>
  <si>
    <t>AZ Work Item Type</t>
  </si>
  <si>
    <t>AZ Iterations</t>
  </si>
  <si>
    <t>AZ Area Paths</t>
  </si>
  <si>
    <t>AZ Roles</t>
  </si>
  <si>
    <t>Fishbone Priority Actions</t>
  </si>
  <si>
    <t>MAN/PEOPLE Root Causes</t>
  </si>
  <si>
    <t>MACHINE/TOOLS Root Causes</t>
  </si>
  <si>
    <t>METHOD/PROCESS Root Causes</t>
  </si>
  <si>
    <t>MATERIAL Root Causes</t>
  </si>
  <si>
    <t>MEASUREMENT Root Causes</t>
  </si>
  <si>
    <t>ENVIRONMENT Root Causes</t>
  </si>
  <si>
    <t>Metrics Scores</t>
  </si>
  <si>
    <t>Ops Per Unit</t>
  </si>
  <si>
    <t>Root Cause Hints</t>
  </si>
  <si>
    <t>MAN Sub-Causes</t>
  </si>
  <si>
    <t>MACHINE Sub-Causes</t>
  </si>
  <si>
    <t>METHOD Sub-Causes</t>
  </si>
  <si>
    <t>MATERIAL Sub-Causes</t>
  </si>
  <si>
    <t>MEASUREMENT Sub-Causes</t>
  </si>
  <si>
    <t>ENVIRONMENT Sub-Causes</t>
  </si>
  <si>
    <t>Target Outcomes</t>
  </si>
  <si>
    <t>Waste Observations</t>
  </si>
  <si>
    <t>Log Actions Taken</t>
  </si>
  <si>
    <t>Log Linked Cases</t>
  </si>
  <si>
    <t>Log Results / Outcomes</t>
  </si>
  <si>
    <t>Units Produced</t>
  </si>
  <si>
    <t>Defects Found</t>
  </si>
  <si>
    <t>SDLC Gate Criteria</t>
  </si>
  <si>
    <t>Capacity Hours</t>
  </si>
  <si>
    <t>Days Off</t>
  </si>
  <si>
    <t>Est / Remain Hours</t>
  </si>
  <si>
    <t>% Done Work Items</t>
  </si>
  <si>
    <t>Tags</t>
  </si>
  <si>
    <t>Current Sprint Text</t>
  </si>
  <si>
    <t>Allocated Hours</t>
  </si>
  <si>
    <t>Team Members</t>
  </si>
  <si>
    <t>PLAN-Problem</t>
  </si>
  <si>
    <t>PLAN-Hypothesis</t>
  </si>
  <si>
    <t>PLAN-Target State</t>
  </si>
  <si>
    <t>PLAN-KPI</t>
  </si>
  <si>
    <t>PLAN-Actions</t>
  </si>
  <si>
    <t>PLAN-Risks</t>
  </si>
  <si>
    <t>DO-Scope/Team</t>
  </si>
  <si>
    <t>DO-What Was Done</t>
  </si>
  <si>
    <t>DO-When Pilot Ran</t>
  </si>
  <si>
    <t>DO-Observations</t>
  </si>
  <si>
    <t>DO-Blockers</t>
  </si>
  <si>
    <t>DO-Data Collected</t>
  </si>
  <si>
    <t>CHECK-Result vs KPI</t>
  </si>
  <si>
    <t>CHECK-vs Hypothesis</t>
  </si>
  <si>
    <t>CHECK-Side Effects</t>
  </si>
  <si>
    <t>CHECK-Remaining Root Cause</t>
  </si>
  <si>
    <t>CHECK-Team Feedback</t>
  </si>
  <si>
    <t>CHECK-Decision</t>
  </si>
  <si>
    <t>ACT-Standardization</t>
  </si>
  <si>
    <t>ACT-Docs Updated</t>
  </si>
  <si>
    <t>ACT-Training Plan</t>
  </si>
  <si>
    <t>ACT-Scale-Up Plan</t>
  </si>
  <si>
    <t>ACT-Next Hypothesis</t>
  </si>
  <si>
    <t>ACT-Lessons Learned</t>
  </si>
  <si>
    <t>Engineering Design Review</t>
  </si>
  <si>
    <t>Incorrect wiring / termination error</t>
  </si>
  <si>
    <t>Production loss / unplanned downtime</t>
  </si>
  <si>
    <t>No pre-commissioning checklist used</t>
  </si>
  <si>
    <t>Instrument calibration behind schedule</t>
  </si>
  <si>
    <t>Immediate action required — this sprint</t>
  </si>
  <si>
    <t>Insufficient commissioning / site training</t>
  </si>
  <si>
    <t>Calibration equipment out of certification</t>
  </si>
  <si>
    <t>No pre-commissioning checklist issued</t>
  </si>
  <si>
    <t>Wrong cable specification used</t>
  </si>
  <si>
    <t>No loop accuracy verification</t>
  </si>
  <si>
    <t>Hazardous area access restrictions (ATEX zone)</t>
  </si>
  <si>
    <t>1</t>
  </si>
  <si>
    <t>3.0</t>
  </si>
  <si>
    <t>Items / info moving without adding value</t>
  </si>
  <si>
    <t>No competency matrix in place</t>
  </si>
  <si>
    <t>No preventive maintenance schedule</t>
  </si>
  <si>
    <t>Checklist not version controlled</t>
  </si>
  <si>
    <t>Datasheet not cross-checked against purchase order</t>
  </si>
  <si>
    <t>No calibration due-date label on instrument</t>
  </si>
  <si>
    <t>ATEX zone classification not clearly posted</t>
  </si>
  <si>
    <t>Zero electrical loop test failures at SAT</t>
  </si>
  <si>
    <t>VSM workshop — mapped full delivery flow</t>
  </si>
  <si>
    <t>Delivery miss — 20% behind target</t>
  </si>
  <si>
    <t>Defect count reduced: 24 → 16 in first week</t>
  </si>
  <si>
    <t>Budget approved and signed off by sponsor</t>
  </si>
  <si>
    <t>auth</t>
  </si>
  <si>
    <t>10</t>
  </si>
  <si>
    <t>5</t>
  </si>
  <si>
    <t>Delivery targets missed by 20%+ for 3+ consecutive months</t>
  </si>
  <si>
    <t>No standardised loop test procedure causes repeated failures</t>
  </si>
  <si>
    <t>Zero electrical loop test failures at site acceptance test (SAT)</t>
  </si>
  <si>
    <t>Loop test first-pass rate % (target: 100%)</t>
  </si>
  <si>
    <t>VSM workshop → Kanban board → WIP limits → daily standup</t>
  </si>
  <si>
    <t>Team resistance — current process perceived as adequate</t>
  </si>
  <si>
    <t>Commissioning team only — 4-6 people, one site location</t>
  </si>
  <si>
    <t>Ran VSM workshop — mapped full delivery flow end to end</t>
  </si>
  <si>
    <t>Week 1–2 of improvement sprint</t>
  </si>
  <si>
    <t>Team immediately surfaced 2 previously unknown approval bottlenecks</t>
  </si>
  <si>
    <t>Key approver on leave — workaround routing needed</t>
  </si>
  <si>
    <t>Lead time, WIP count, defect rate — tracked daily on Kanban</t>
  </si>
  <si>
    <t>On-time delivery: 80% → 91% in 2 weeks (target &gt; 95% — improving)</t>
  </si>
  <si>
    <t>Better than expected — bottleneck confirmed exactly as predicted</t>
  </si>
  <si>
    <t>Adjacent team requesting same Kanban system — expand planned</t>
  </si>
  <si>
    <t>Approval bottleneck still 1.2 days — authority change needed</t>
  </si>
  <si>
    <t>Positive — team wants to expand Kanban to all workstreams</t>
  </si>
  <si>
    <t>SCALE — roll out to all teams with approval authority fix added</t>
  </si>
  <si>
    <t>Kanban + WIP limits become permanent team operating standard</t>
  </si>
  <si>
    <t>YES — runbook updated; new hire onboarding guide revised</t>
  </si>
  <si>
    <t>30-min onboarding for all new team members on Kanban and WIP</t>
  </si>
  <si>
    <t>Roll out to 2 adjacent teams in month 2</t>
  </si>
  <si>
    <t>Fixing approval authority will cut decision time to &lt; 4 hours</t>
  </si>
  <si>
    <t>Visibility of WIP alone drives 50%+ of improvement — start there</t>
  </si>
  <si>
    <t>Electrical Design Verification</t>
  </si>
  <si>
    <t>Instrument out of calibration</t>
  </si>
  <si>
    <t>Safety incident / injury risk</t>
  </si>
  <si>
    <t>Inadequate technical review conducted</t>
  </si>
  <si>
    <t>Mandate acceptance criteria template</t>
  </si>
  <si>
    <t>Electrical loop tests failing repeatedly</t>
  </si>
  <si>
    <t>Awaiting HAZOP sign-off</t>
  </si>
  <si>
    <t>Schedule for next sprint</t>
  </si>
  <si>
    <t>No ATEX / SIL / CompEx qualification</t>
  </si>
  <si>
    <t>No loop calibrator available on site</t>
  </si>
  <si>
    <t>Loop test procedure not approved</t>
  </si>
  <si>
    <t>Incorrect instrument range selected</t>
  </si>
  <si>
    <t>KPIs not linked to commissioning milestones</t>
  </si>
  <si>
    <t>High temperature / humidity effect on instruments</t>
  </si>
  <si>
    <t>2</t>
  </si>
  <si>
    <t>3.5</t>
  </si>
  <si>
    <t>More WIP than the process can handle</t>
  </si>
  <si>
    <t>Training records not maintained or expired</t>
  </si>
  <si>
    <t>Calibration frequency too low</t>
  </si>
  <si>
    <t>Procedure not reviewed after incident</t>
  </si>
  <si>
    <t>Substitution approved without engineer sign-off</t>
  </si>
  <si>
    <t>Test results not uploaded to document control</t>
  </si>
  <si>
    <t>Hot work permit expired before task complete</t>
  </si>
  <si>
    <t>100% instrument calibration complete before pre-commissioning</t>
  </si>
  <si>
    <t>Multiple sign-offs where 1 would suffice</t>
  </si>
  <si>
    <t>Kanban board built — WIP limit set</t>
  </si>
  <si>
    <t>Team overwhelmed — WIP too high</t>
  </si>
  <si>
    <t>WIP dropped by 40% within one sprint</t>
  </si>
  <si>
    <t>25</t>
  </si>
  <si>
    <t>All requirements documented and baselined</t>
  </si>
  <si>
    <t>8</t>
  </si>
  <si>
    <t>api</t>
  </si>
  <si>
    <t>15</t>
  </si>
  <si>
    <t>4</t>
  </si>
  <si>
    <t>Instrument calibration backlog growing week on week</t>
  </si>
  <si>
    <t>No calibration management system — due dates not tracked</t>
  </si>
  <si>
    <t>Calibration backlog item count (target: 0)</t>
  </si>
  <si>
    <t>Issue pre-commissioning checklist → loop check procedure → ITP review</t>
  </si>
  <si>
    <t>Key resource unavailable during pilot period</t>
  </si>
  <si>
    <t>Delivery team only — 6 people, current sprint only</t>
  </si>
  <si>
    <t>Issued pre-commissioning checklist — distributed to all leads</t>
  </si>
  <si>
    <t>During pre-commissioning phase — weeks 3 to 6</t>
  </si>
  <si>
    <t>Technicians found calibration certificates already expired</t>
  </si>
  <si>
    <t>Site access restricted — hot work permit delay</t>
  </si>
  <si>
    <t>Loop test first-pass rate — recorded per session in test register</t>
  </si>
  <si>
    <t>Loop test first-pass rate: 75% → 96% over 4 weeks (target 100%)</t>
  </si>
  <si>
    <t>Partially confirmed — root cause more complex than hypothesis</t>
  </si>
  <si>
    <t>Faster loop tests surfaced calibration certificate gaps not known</t>
  </si>
  <si>
    <t>Remaining loop test failures traced to one specific instrument type</t>
  </si>
  <si>
    <t>Mixed — most positive; 2 members concerned about extra steps</t>
  </si>
  <si>
    <t>ITERATE — run second cycle to address remaining 2 root causes</t>
  </si>
  <si>
    <t>Pre-commissioning checklist added to project QMS as controlled doc</t>
  </si>
  <si>
    <t>YES — procedure added to QMS with version control (Rev 1)</t>
  </si>
  <si>
    <t>1-hr briefing for all engineers on new loop test procedure</t>
  </si>
  <si>
    <t>Expand to all 3 project sites in next quarter</t>
  </si>
  <si>
    <t>Improving vendor requirements will close remaining 10% doc gap</t>
  </si>
  <si>
    <t>Checklists only work if owned — assign a named owner to every item</t>
  </si>
  <si>
    <t>Mechanical Assembly Check</t>
  </si>
  <si>
    <t>Loop not closed / open loop fault</t>
  </si>
  <si>
    <t>Environmental non-compliance / spill</t>
  </si>
  <si>
    <t>Incomplete P&amp;ID revision control</t>
  </si>
  <si>
    <t>Add complexity gate to design review</t>
  </si>
  <si>
    <t>Mechanical punch list not cleared before commissioning</t>
  </si>
  <si>
    <t>Vendor document not received</t>
  </si>
  <si>
    <t>Plan within 2 weeks</t>
  </si>
  <si>
    <t>Lack of dedicated instrument engineer</t>
  </si>
  <si>
    <t>Laptop / config tool missing</t>
  </si>
  <si>
    <t>No punch list management process</t>
  </si>
  <si>
    <t>Missing spare parts / consumables</t>
  </si>
  <si>
    <t>No SIL verification test records</t>
  </si>
  <si>
    <t>Confined space access requires permit</t>
  </si>
  <si>
    <t>3</t>
  </si>
  <si>
    <t>4.0</t>
  </si>
  <si>
    <t>Induction not completed before task start</t>
  </si>
  <si>
    <t>No spare calibration equipment on site</t>
  </si>
  <si>
    <t>No sign-off gate before next phase</t>
  </si>
  <si>
    <t>Spare parts not kitted before mobilisation</t>
  </si>
  <si>
    <t>No independent verification of loop test result</t>
  </si>
  <si>
    <t>Confined space entry log not maintained</t>
  </si>
  <si>
    <t>Mechanical punch list fully cleared within 2 weeks</t>
  </si>
  <si>
    <t>Gemba walk completed with support team</t>
  </si>
  <si>
    <t>Defect rate exceeding 10%</t>
  </si>
  <si>
    <t>Lead time improved: 14 days → 9 days</t>
  </si>
  <si>
    <t>50</t>
  </si>
  <si>
    <t>Architecture design reviewed and approved</t>
  </si>
  <si>
    <t>16</t>
  </si>
  <si>
    <t>backend</t>
  </si>
  <si>
    <t>20</t>
  </si>
  <si>
    <t>Electrical loop test failure rate &gt; 10% per session</t>
  </si>
  <si>
    <t>No pre-commissioning checklist issued before energisation</t>
  </si>
  <si>
    <t>Mechanical punch list fully cleared within 2 weeks of MC</t>
  </si>
  <si>
    <t>Punch list items outstanding at MC date (target: 0)</t>
  </si>
  <si>
    <t>Establish calibration management system with due-date tracking</t>
  </si>
  <si>
    <t>Approval authority change requires management sponsorship</t>
  </si>
  <si>
    <t>Instrument engineering discipline — 3 engineers, 1 project</t>
  </si>
  <si>
    <t>Built Kanban board — set WIP limit to 3 per person</t>
  </si>
  <si>
    <t>Across one full PDCA cycle — 4 weeks total</t>
  </si>
  <si>
    <t>3 loop test failures in first session — all shared same root cause</t>
  </si>
  <si>
    <t>Vendor data still outstanding — blocked instrument calibration</t>
  </si>
  <si>
    <t>Calibration completion % — tracked weekly against schedule</t>
  </si>
  <si>
    <t>Calibration backlog cleared: 18 → 0 in 3 weeks (target met ✓)</t>
  </si>
  <si>
    <t>As predicted — improvement rate in line with hypothesis</t>
  </si>
  <si>
    <t>Simplified approval created unexpected role clarity across team</t>
  </si>
  <si>
    <t>Calibration gap caused by long-lead instrument delivery delay</t>
  </si>
  <si>
    <t>Very positive — engagement score improved 6→8 in 2 weeks</t>
  </si>
  <si>
    <t>SCALE with modifications — adjust WIP limit based on team size</t>
  </si>
  <si>
    <t>Loop check procedure issued as version-controlled document Rev 1</t>
  </si>
  <si>
    <t>YES — RACI updated to reflect new approval chain</t>
  </si>
  <si>
    <t>Toolbox talk for all site technicians on pre-commissioning checklist</t>
  </si>
  <si>
    <t>Scale to full commissioning team after second PDCA cycle</t>
  </si>
  <si>
    <t>Extending loop check to pre-energisation will cut failures by 50%</t>
  </si>
  <si>
    <t>Daily standup surfaces blockers within hours, not days</t>
  </si>
  <si>
    <t>Cable &amp; Wiring Installation</t>
  </si>
  <si>
    <t>Interlock not tested / bypassed</t>
  </si>
  <si>
    <t>Equipment damage or destruction</t>
  </si>
  <si>
    <t>Poor cable management practices</t>
  </si>
  <si>
    <t>Control system commissioning delayed</t>
  </si>
  <si>
    <t>Instrument calibration pending</t>
  </si>
  <si>
    <t>Feature</t>
  </si>
  <si>
    <t>Monitor and review monthly</t>
  </si>
  <si>
    <t>High technician turnover</t>
  </si>
  <si>
    <t>Power supply tester unavailable</t>
  </si>
  <si>
    <t>FAT procedure not followed or missing</t>
  </si>
  <si>
    <t>ATEX certificate documents absent</t>
  </si>
  <si>
    <t>No calibration traceability records</t>
  </si>
  <si>
    <t>Weather delays for outdoor equipment</t>
  </si>
  <si>
    <t>Procedure sign-off not required</t>
  </si>
  <si>
    <t>Software licence expired or not installed</t>
  </si>
  <si>
    <t>Work package not issued to technician</t>
  </si>
  <si>
    <t>Certificate of conformity missing</t>
  </si>
  <si>
    <t>KPI review meeting cancelled or skipped</t>
  </si>
  <si>
    <t>Wind / rain stopped outdoor cable work</t>
  </si>
  <si>
    <t>FAT completed with zero P1 defects outstanding</t>
  </si>
  <si>
    <t>Team ideas raised but rarely acted on</t>
  </si>
  <si>
    <t>Standard work procedure drafted</t>
  </si>
  <si>
    <t>Approval delay — avg 2.3 days per sign-off</t>
  </si>
  <si>
    <t>Zero loop test failures at next site inspection</t>
  </si>
  <si>
    <t>75</t>
  </si>
  <si>
    <t>Technical design reviewed — no P1 issues outstanding</t>
  </si>
  <si>
    <t>24</t>
  </si>
  <si>
    <t>frontend</t>
  </si>
  <si>
    <t>12</t>
  </si>
  <si>
    <t>Control system commissioning delayed by 4+ weeks</t>
  </si>
  <si>
    <t>HAZOP action register not actively managed or owned</t>
  </si>
  <si>
    <t>FAT completed with zero P1 defects outstanding at sign-off</t>
  </si>
  <si>
    <t>HAZOP actions closed % (target: 100%)</t>
  </si>
  <si>
    <t>Create HAZOP action register → assign owners → weekly review cadence</t>
  </si>
  <si>
    <t>Commissioning schedule does not allow time for improvement cycle</t>
  </si>
  <si>
    <t>Electrical team — 5 technicians, one process area</t>
  </si>
  <si>
    <t>Conducted HAZOP action register review — assigned all items</t>
  </si>
  <si>
    <t>Sprint 1 (2-week sprint)</t>
  </si>
  <si>
    <t>Approval time reduced from 2.3 days to 6 hours in week 1</t>
  </si>
  <si>
    <t>Control system firmware update required before testing</t>
  </si>
  <si>
    <t>Approval turnaround time — logged per decision event</t>
  </si>
  <si>
    <t>WIP items: 24 → 15 (target &lt; 10 — still in progress)</t>
  </si>
  <si>
    <t>Better — team adoption faster than anticipated</t>
  </si>
  <si>
    <t>Daily standup revealed a previously unknown process gap upstream</t>
  </si>
  <si>
    <t>Vendor document issue not resolved — expediting action raised</t>
  </si>
  <si>
    <t>Positive — team identified 5 additional improvement ideas</t>
  </si>
  <si>
    <t>ITERATE — refine checklist before full roll-out to all sites</t>
  </si>
  <si>
    <t>Calibration management system embedded in project process baseline</t>
  </si>
  <si>
    <t>YES — checklist issued as controlled document Rev 1</t>
  </si>
  <si>
    <t>E-learning module created and added to onboarding induction pack</t>
  </si>
  <si>
    <t>Implement across all disciplines starting next sprint</t>
  </si>
  <si>
    <t>Standardising shift handover format will reduce rework from gaps</t>
  </si>
  <si>
    <t>Root cause is rarely where the symptom appears — always do the RCA</t>
  </si>
  <si>
    <t>Loop Check / I/O Test</t>
  </si>
  <si>
    <t>Control logic error in PLC/DCS</t>
  </si>
  <si>
    <t>Process upset / unplanned trip</t>
  </si>
  <si>
    <t>Insufficient commissioning training</t>
  </si>
  <si>
    <t>Manual regression testing</t>
  </si>
  <si>
    <t>Link tests to AC; automate test suite</t>
  </si>
  <si>
    <t>FAT defects not resolved before site mobilisation</t>
  </si>
  <si>
    <t>Loop test not complete</t>
  </si>
  <si>
    <t>Epic</t>
  </si>
  <si>
    <t>Escalate to management</t>
  </si>
  <si>
    <t>No certified test / commissioning engineer</t>
  </si>
  <si>
    <t>Insulation resistance tester missing</t>
  </si>
  <si>
    <t>No systematic cable check protocol</t>
  </si>
  <si>
    <t>Instrument data sheet mismatch</t>
  </si>
  <si>
    <t>Site access / permit-to-work delays</t>
  </si>
  <si>
    <t>5.0</t>
  </si>
  <si>
    <t>Making more than is needed right now</t>
  </si>
  <si>
    <t>Shift handover information gap</t>
  </si>
  <si>
    <t>No equipment register / asset list</t>
  </si>
  <si>
    <t>No interface agreement between disciplines</t>
  </si>
  <si>
    <t>Tag number on instrument differs from ITP</t>
  </si>
  <si>
    <t>Test report template not standardised</t>
  </si>
  <si>
    <t>Scaffold not erected for elevated instrument</t>
  </si>
  <si>
    <t>As-built P&amp;IDs issued within 1 week of completion</t>
  </si>
  <si>
    <t>Instruments waiting on bench — not in use</t>
  </si>
  <si>
    <t>PDCA Cycle launched — daily standup</t>
  </si>
  <si>
    <t>Onboarding taking 6+ weeks</t>
  </si>
  <si>
    <t>Calibration backlog cleared — 100% complete</t>
  </si>
  <si>
    <t>100</t>
  </si>
  <si>
    <t>Code complete; unit test coverage &gt; 90%</t>
  </si>
  <si>
    <t>32</t>
  </si>
  <si>
    <t>dashboard</t>
  </si>
  <si>
    <t>30</t>
  </si>
  <si>
    <t>22</t>
  </si>
  <si>
    <t>Punch list items not cleared at mechanical completion</t>
  </si>
  <si>
    <t>Handoff delays between teams — WIP has no visibility or limit</t>
  </si>
  <si>
    <t>HAZOP action register 100% closed before start-up</t>
  </si>
  <si>
    <t>On-time delivery % — measured weekly against milestones</t>
  </si>
  <si>
    <t>Simplify approval chain — single sign-off for standard decisions</t>
  </si>
  <si>
    <t>Vendor delivery delay is outside our direct control</t>
  </si>
  <si>
    <t>Cross-discipline team — PM, Electrical, Mechanical, Instruments</t>
  </si>
  <si>
    <t>Ran 2-day root cause analysis workshop with cross-discipline team</t>
  </si>
  <si>
    <t>Weeks 1–4 of project commissioning phase</t>
  </si>
  <si>
    <t>Punch items re-emerging — upstream process not yet fixed</t>
  </si>
  <si>
    <t>Safety incident stopped site activities for 2 days</t>
  </si>
  <si>
    <t>HAZOP action closure rate — updated at weekly review meeting</t>
  </si>
  <si>
    <t>Approval time: 2.3 days → 6 hrs (target &lt; 4 hrs — close)</t>
  </si>
  <si>
    <t>Worse — downstream constraint emerged that was not foreseen</t>
  </si>
  <si>
    <t>Reduced WIP exposed downstream bottleneck in technical reviews</t>
  </si>
  <si>
    <t>3 remaining HAZOP actions require design change — longer cycle needed</t>
  </si>
  <si>
    <t>Neutral — process useful but seen as extra admin for now</t>
  </si>
  <si>
    <t>STANDARDISE — embed as permanent process standard immediately</t>
  </si>
  <si>
    <t>Simplified approval chain documented in RACI and communicated</t>
  </si>
  <si>
    <t>IN PROGRESS — draft issued; awaiting final stakeholder sign-off</t>
  </si>
  <si>
    <t>Hands-on half-day workshop for commissioning team</t>
  </si>
  <si>
    <t>Phase roll-out: Electrical first, then Mechanical, then Instruments</t>
  </si>
  <si>
    <t>Implementing SPC will detect drift before defects occur</t>
  </si>
  <si>
    <t>Small pilot builds credibility — team supports scaled solution</t>
  </si>
  <si>
    <t>Mistake-Proofing / Poka-Yoke</t>
  </si>
  <si>
    <t>Instrument Calibration</t>
  </si>
  <si>
    <t>Mechanical misalignment</t>
  </si>
  <si>
    <t>Regulatory non-compliance / fine</t>
  </si>
  <si>
    <t>Lack of loop check protocol</t>
  </si>
  <si>
    <t>Implement CI/CD; add environment gate</t>
  </si>
  <si>
    <t>HAZOP action items not closed</t>
  </si>
  <si>
    <t>Electrical inspection not passed</t>
  </si>
  <si>
    <t>ON HOLD</t>
  </si>
  <si>
    <t>Test Case</t>
  </si>
  <si>
    <t>Unassigned</t>
  </si>
  <si>
    <t>Assign to process owner</t>
  </si>
  <si>
    <t>Procedure not understood by team</t>
  </si>
  <si>
    <t>HART communicator not available</t>
  </si>
  <si>
    <t>6</t>
  </si>
  <si>
    <t>5.5</t>
  </si>
  <si>
    <t>Excess reviews, gold-plating, over-engineering</t>
  </si>
  <si>
    <t>No mentoring / buddy system</t>
  </si>
  <si>
    <t>HART device firmware outdated</t>
  </si>
  <si>
    <t>No management of change (MOC) form</t>
  </si>
  <si>
    <t>Material take-off (MTO) not updated</t>
  </si>
  <si>
    <t>No trend analysis on repeat defects</t>
  </si>
  <si>
    <t>Noise level exceeds safe communication threshold</t>
  </si>
  <si>
    <t>SIL verification test passed on first attempt</t>
  </si>
  <si>
    <t>Documents printed but never referenced again</t>
  </si>
  <si>
    <t>A3 analysis of root cause bottleneck</t>
  </si>
  <si>
    <t>Punch list cleared — mechanical completion certified</t>
  </si>
  <si>
    <t>125</t>
  </si>
  <si>
    <t>All test cases executed; zero P1 defects outstanding</t>
  </si>
  <si>
    <t>40</t>
  </si>
  <si>
    <t>alerts</t>
  </si>
  <si>
    <t>35</t>
  </si>
  <si>
    <t>HAZOP actions not closed before planned start-up</t>
  </si>
  <si>
    <t>Approval chain too long — 5 sign-offs where 2 would suffice</t>
  </si>
  <si>
    <t>As-built P&amp;IDs issued within 1 week of task completion</t>
  </si>
  <si>
    <t>Defect / rework count — tracked weekly per cycle</t>
  </si>
  <si>
    <t>Standardise handoff checklist between all engineering disciplines</t>
  </si>
  <si>
    <t>Regulatory requirement conflicts with proposed process change</t>
  </si>
  <si>
    <t>QA and test team — 4 people, 1 product stream</t>
  </si>
  <si>
    <t>Implemented loop check procedure — trained all technicians</t>
  </si>
  <si>
    <t>One calendar month from kick-off date</t>
  </si>
  <si>
    <t>Engineers unaware of existing procedure — never distributed</t>
  </si>
  <si>
    <t>Adjacent team scope change impacted our commissioning sequence</t>
  </si>
  <si>
    <t>Defect / rework count — logged per delivery cycle</t>
  </si>
  <si>
    <t>Defect rate: 12% → 4% (target 2% — still improving)</t>
  </si>
  <si>
    <t>Same — hypothesis confirmed; improvement matched model</t>
  </si>
  <si>
    <t>Punch list reduction highlighted P&amp;ID update as new constraint</t>
  </si>
  <si>
    <t>WIP still above target — pre-pilot backlog not yet cleared</t>
  </si>
  <si>
    <t>Positive — team reported fewer interruptions and less rework</t>
  </si>
  <si>
    <t>KILL — approach not effective; pivot to alternative method</t>
  </si>
  <si>
    <t>Standard handoff checklist added to project procedure library</t>
  </si>
  <si>
    <t>NO — documentation update planned for next sprint</t>
  </si>
  <si>
    <t>Team lead briefing only — standard work is self-explanatory</t>
  </si>
  <si>
    <t>Pilot confirmed — no scale-up needed; solution is team-specific</t>
  </si>
  <si>
    <t>Addressing P&amp;ID update bottleneck will unlock faster SAT</t>
  </si>
  <si>
    <t>Process improvement needs visible management backing to sustain</t>
  </si>
  <si>
    <t>5S</t>
  </si>
  <si>
    <t>Pre-Commissioning Inspection</t>
  </si>
  <si>
    <t>Valve fails to open or close</t>
  </si>
  <si>
    <t>Schedule delay / milestone missed</t>
  </si>
  <si>
    <t>Instrument specification mismatch</t>
  </si>
  <si>
    <t>Require runbook sign-off before handover</t>
  </si>
  <si>
    <t>As-built documentation incomplete or missing</t>
  </si>
  <si>
    <t>Software FAT not approved</t>
  </si>
  <si>
    <t>CANCELLED</t>
  </si>
  <si>
    <t>Impediment</t>
  </si>
  <si>
    <t>Sprint 7</t>
  </si>
  <si>
    <t>Commissioning Eng</t>
  </si>
  <si>
    <t>Conduct root cause workshop (RCA)</t>
  </si>
  <si>
    <t>KPIs do not reflect customer / operator experience</t>
  </si>
  <si>
    <t>No dedicated improvement time allocated</t>
  </si>
  <si>
    <t>6.0</t>
  </si>
  <si>
    <t>Errors reaching the next step uncaught</t>
  </si>
  <si>
    <t>Qualification expired or not verified</t>
  </si>
  <si>
    <t>Bench test equipment not available</t>
  </si>
  <si>
    <t>Drawing revision not controlled</t>
  </si>
  <si>
    <t>ATEX group / zone not verified against area class</t>
  </si>
  <si>
    <t>Acceptance criteria not defined before test</t>
  </si>
  <si>
    <t>Site security restricts access outside core hours</t>
  </si>
  <si>
    <t>Control system commissioned on schedule ± 0 days variance</t>
  </si>
  <si>
    <t>Calibration data re-entered into 3 different systems</t>
  </si>
  <si>
    <t>5S workplace organisation completed</t>
  </si>
  <si>
    <t>Electrical loop test failures recurring</t>
  </si>
  <si>
    <t>HAZOP register closed — all actions resolved</t>
  </si>
  <si>
    <t>150</t>
  </si>
  <si>
    <t>Deployment package prepared; rollback plan in place</t>
  </si>
  <si>
    <t>48</t>
  </si>
  <si>
    <t>testing</t>
  </si>
  <si>
    <t>7</t>
  </si>
  <si>
    <t>No standard work — tasks done from memory, inconsistently</t>
  </si>
  <si>
    <t>Approval time reduced to &lt; 4 hours average per decision</t>
  </si>
  <si>
    <t>WIP items in flight — measured daily on Kanban board</t>
  </si>
  <si>
    <t>Issue commissioning sequence plan — agree with all parties</t>
  </si>
  <si>
    <t>Adjacent team not aligned — creates interface problems</t>
  </si>
  <si>
    <t>Single workstream — from intake to handover</t>
  </si>
  <si>
    <t>Established calibration management system with due-date alerts</t>
  </si>
  <si>
    <t>Over 3 consecutive loop test sessions</t>
  </si>
  <si>
    <t>Vendor documents missing for 4 instruments — delivery risk identified</t>
  </si>
  <si>
    <t>Team member transferred mid-pilot — knowledge gap created</t>
  </si>
  <si>
    <t>Team engagement score — surveyed at start and end of pilot</t>
  </si>
  <si>
    <t>HAZOP actions closed: 40% → 85% in 4 weeks (target 100%)</t>
  </si>
  <si>
    <t>Partially — 2 of 3 root causes confirmed; 1 was incorrect</t>
  </si>
  <si>
    <t>Improvement visible to client — confidence in team strengthened</t>
  </si>
  <si>
    <t>Defect rate floor reached — next cause is test specification gap</t>
  </si>
  <si>
    <t>Strong support — request to make standard permanent immediately</t>
  </si>
  <si>
    <t>PAUSE — pending resource availability for scale-up phase</t>
  </si>
  <si>
    <t>Commissioning sequence plan template added to standard toolkit</t>
  </si>
  <si>
    <t>YES — as-built procedure issued and distributed to all team members</t>
  </si>
  <si>
    <t>On-the-job coaching for first 3 cycles — then self-sufficient</t>
  </si>
  <si>
    <t>Share findings with other project teams — voluntary adoption</t>
  </si>
  <si>
    <t>Reducing batch size from weekly to daily will improve flow by 30%</t>
  </si>
  <si>
    <t>Simple tools (Kanban, checklist) outperform complex ones on adoption</t>
  </si>
  <si>
    <t>Commissioning &amp; Start-up</t>
  </si>
  <si>
    <t>Power supply failure / voltage out of spec</t>
  </si>
  <si>
    <t>Rework and re-test required</t>
  </si>
  <si>
    <t>No HAZOP / risk review conducted</t>
  </si>
  <si>
    <t>Add comms step to definition of done</t>
  </si>
  <si>
    <t>SIL / functional safety testing not completed</t>
  </si>
  <si>
    <t>ATEX certification missing</t>
  </si>
  <si>
    <t>Risk</t>
  </si>
  <si>
    <t>Sprint 8</t>
  </si>
  <si>
    <t>Electrical Eng</t>
  </si>
  <si>
    <t>Update standard work procedure</t>
  </si>
  <si>
    <t>No as-found / as-left calibration records</t>
  </si>
  <si>
    <t>Capability and knowledge not utilised</t>
  </si>
  <si>
    <t>Workload exceeds capacity</t>
  </si>
  <si>
    <t>No field instrument check procedure</t>
  </si>
  <si>
    <t>No task risk assessment (TRA) completed</t>
  </si>
  <si>
    <t>Packing list differs from delivery contents</t>
  </si>
  <si>
    <t>No uncertainty analysis on measurement</t>
  </si>
  <si>
    <t>Adjacent construction activity causes interference</t>
  </si>
  <si>
    <t>Technicians idle waiting for permit-to-work</t>
  </si>
  <si>
    <t>Root cause analysis (RCA) workshop facilitated</t>
  </si>
  <si>
    <t>As-built P&amp;IDs issued on schedule</t>
  </si>
  <si>
    <t>175</t>
  </si>
  <si>
    <t>Post-deploy monitoring confirmed; no critical issues</t>
  </si>
  <si>
    <t>56</t>
  </si>
  <si>
    <t>45</t>
  </si>
  <si>
    <t>28</t>
  </si>
  <si>
    <t>As-built documentation consistently incomplete at handover</t>
  </si>
  <si>
    <t>No commissioning sequence plan agreed between disciplines</t>
  </si>
  <si>
    <t>On-time delivery rate &gt; 95% within 8 weeks</t>
  </si>
  <si>
    <t>Average lead time in days — tracked weekly</t>
  </si>
  <si>
    <t>Define vendor document submission requirements upfront in contract</t>
  </si>
  <si>
    <t>Unclear ownership of new process after improvement pilot ends</t>
  </si>
  <si>
    <t>One project phase — pre-commissioning through to SAT</t>
  </si>
  <si>
    <t>Simplified approval chain — reduced from 5 sign-offs to 2</t>
  </si>
  <si>
    <t>During FAT preparation period — 2 weeks</t>
  </si>
  <si>
    <t>Handoff gaps between shifts causing repeated rework</t>
  </si>
  <si>
    <t>Regulator inspection scheduled — consumed available team time</t>
  </si>
  <si>
    <t>Punch list items outstanding — counted at weekly site walk</t>
  </si>
  <si>
    <t>Punch list items: 47 → 12 (target 0 — on track)</t>
  </si>
  <si>
    <t>Better — two additional root causes surfaced during pilot</t>
  </si>
  <si>
    <t>Team morale improved significantly — unexpected positive benefit</t>
  </si>
  <si>
    <t>On-time delivery gap — single dependency on one upstream approval</t>
  </si>
  <si>
    <t>Positive with caveats — needs visible management backing to scale</t>
  </si>
  <si>
    <t>SCALE — results confirmed; no modification required</t>
  </si>
  <si>
    <t>Daily standup added to team operating rhythm permanently</t>
  </si>
  <si>
    <t>PARTIAL — updated for this team; wider roll-out pending</t>
  </si>
  <si>
    <t>Recorded walkthrough video added to team SharePoint / intranet</t>
  </si>
  <si>
    <t>Embed in standard project playbook for all future projects</t>
  </si>
  <si>
    <t>Fixing calibration certificate tracking will prevent last-minute failures</t>
  </si>
  <si>
    <t>First PDCA cycle always reveals additional root causes — plan for it</t>
  </si>
  <si>
    <t>Factory Acceptance Test (FAT)</t>
  </si>
  <si>
    <t>Grounding / earthing fault</t>
  </si>
  <si>
    <t>Customer / client complaint raised</t>
  </si>
  <si>
    <t>Vendor documentation incomplete or missing</t>
  </si>
  <si>
    <t>Long lead equipment delivery delayed</t>
  </si>
  <si>
    <t>Punch list items outstanding</t>
  </si>
  <si>
    <t>SDLC</t>
  </si>
  <si>
    <t>QI\Commissioning</t>
  </si>
  <si>
    <t>Instrument Eng</t>
  </si>
  <si>
    <t>Add to FMEA risk register</t>
  </si>
  <si>
    <t>Tools not integrated — double entry required</t>
  </si>
  <si>
    <t>Wrong material specification applied</t>
  </si>
  <si>
    <t>No SPC chart in place</t>
  </si>
  <si>
    <t>Noise interference on signal cables (EMC)</t>
  </si>
  <si>
    <t>Instrument data awaiting review / approval</t>
  </si>
  <si>
    <t>Poor briefing before task</t>
  </si>
  <si>
    <t>Test lead / probe damaged</t>
  </si>
  <si>
    <t>No isolation / lock-out / tag-out procedure</t>
  </si>
  <si>
    <t>Shelf life / expiry date not checked</t>
  </si>
  <si>
    <t>Sample size too small for statistical confidence</t>
  </si>
  <si>
    <t>Insufficient lighting for precision test work</t>
  </si>
  <si>
    <t>Commissioning completion certificate issued on target date</t>
  </si>
  <si>
    <t>Engineers walking to find tools each shift</t>
  </si>
  <si>
    <t>FMEA review session conducted</t>
  </si>
  <si>
    <t>FAT defects outstanding pre-mobilisation</t>
  </si>
  <si>
    <t>Approval time cut from 2.3 days to &lt; 4 hrs</t>
  </si>
  <si>
    <t>200</t>
  </si>
  <si>
    <t>Customer / stakeholder sign-off obtained</t>
  </si>
  <si>
    <t>64</t>
  </si>
  <si>
    <t>performance</t>
  </si>
  <si>
    <t>9</t>
  </si>
  <si>
    <t>Team overwhelmed — WIP far exceeds team capacity</t>
  </si>
  <si>
    <t>Vendor document requirements not clearly specified in contract</t>
  </si>
  <si>
    <t>Defect / rework rate reduced to &lt; 2% within 6 weeks</t>
  </si>
  <si>
    <t>Approval turnaround time in hours — logged per decision</t>
  </si>
  <si>
    <t>Run RCA workshop → identify top 3 root causes → one PDCA per cause</t>
  </si>
  <si>
    <t>Technology constraint — system does not support new workflow</t>
  </si>
  <si>
    <t>Full team — all disciplines, entire project scope</t>
  </si>
  <si>
    <t>Issued commissioning sequence plan — agreed by all disciplines</t>
  </si>
  <si>
    <t>Between mechanical completion and SAT</t>
  </si>
  <si>
    <t>WIP count dropped from 24 to 15 within first week</t>
  </si>
  <si>
    <t>Network / SCADA system down for 2 days — data collection blocked</t>
  </si>
  <si>
    <t>Vendor document receipt log — updated as documents arrived</t>
  </si>
  <si>
    <t>Team engagement: 6/10 → 8/10 (target ≥ 8 — achieved ✓)</t>
  </si>
  <si>
    <t>As expected — improvement plateau reached at predicted level</t>
  </si>
  <si>
    <t>New scope requests increased after delivery reliability improved</t>
  </si>
  <si>
    <t>Documentation gap — template not yet adopted by all disciplines</t>
  </si>
  <si>
    <t>Excellent — team said visibility alone cut their daily stress</t>
  </si>
  <si>
    <t>ITERATE — one more cycle needed to close the remaining gap</t>
  </si>
  <si>
    <t>FMEA review added as standard gate in project lifecycle</t>
  </si>
  <si>
    <t>YES — loop folder template updated in QMS and redistributed</t>
  </si>
  <si>
    <t>15-min standup demo for all adjacent teams adopting the process</t>
  </si>
  <si>
    <t>Scale immediately — results strong enough to skip further pilots</t>
  </si>
  <si>
    <t>Adding pre-task risk assessment will reduce safety near-misses</t>
  </si>
  <si>
    <t>Measurement must be set up before pilot starts — not retrospectively</t>
  </si>
  <si>
    <t>Site Acceptance Test (SAT)</t>
  </si>
  <si>
    <t>Cable insulation damage</t>
  </si>
  <si>
    <t>Loss of containment</t>
  </si>
  <si>
    <t>Construction punch list not cleared</t>
  </si>
  <si>
    <t>Mandatory retrospective within 48 hrs</t>
  </si>
  <si>
    <t>Insufficient qualified commissioning personnel</t>
  </si>
  <si>
    <t>Permit-to-work not issued</t>
  </si>
  <si>
    <t>Commissioning Tools</t>
  </si>
  <si>
    <t>QI\Electrical</t>
  </si>
  <si>
    <t>Create new PDCA cycle</t>
  </si>
  <si>
    <t>No change management / MOC procedure</t>
  </si>
  <si>
    <t>Non-certified equipment installed</t>
  </si>
  <si>
    <t>Test coverage not measured</t>
  </si>
  <si>
    <t>Vibration causing instrument drift</t>
  </si>
  <si>
    <t>Unnecessary equipment movement on site</t>
  </si>
  <si>
    <t>No lessons-learned sharing process</t>
  </si>
  <si>
    <t>Portable appliance test (PAT) overdue</t>
  </si>
  <si>
    <t>Test sequence not defined before start</t>
  </si>
  <si>
    <t>Incorrect paint / coating specification applied</t>
  </si>
  <si>
    <t>Data collected manually — transcription errors</t>
  </si>
  <si>
    <t>Ground conditions prevent equipment access</t>
  </si>
  <si>
    <t>All vendor documents received 4 weeks before FAT</t>
  </si>
  <si>
    <t>More equipment ordered than needed for job</t>
  </si>
  <si>
    <t>Pre-commissioning checklist issued to site</t>
  </si>
  <si>
    <t>HAZOP actions not closed before start-up</t>
  </si>
  <si>
    <t>Onboarding checklist v1 in review by stakeholders</t>
  </si>
  <si>
    <t>225</t>
  </si>
  <si>
    <t>All HAZOP actions closed before energisation</t>
  </si>
  <si>
    <t>72</t>
  </si>
  <si>
    <t>hotfix</t>
  </si>
  <si>
    <t>55</t>
  </si>
  <si>
    <t>36</t>
  </si>
  <si>
    <t>Defect / rework rate exceeding acceptable project threshold</t>
  </si>
  <si>
    <t>WIP limit not set — everyone working on too many tasks at once</t>
  </si>
  <si>
    <t>WIP reduced to max 3 active tasks per person at any time</t>
  </si>
  <si>
    <t>Vendor document receipt rate % (target: 100% by FAT-4wks)</t>
  </si>
  <si>
    <t>Introduce standard work procedure for 5 most recurring tasks</t>
  </si>
  <si>
    <t>Site access restrictions limit testing and observation windows</t>
  </si>
  <si>
    <t>Small pilot: 2 engineers, 1 loop test process, 2-week trial</t>
  </si>
  <si>
    <t>Ran 5S exercise across instrument workshop and cable store</t>
  </si>
  <si>
    <t>During design phase — 3 weeks before issue for construction</t>
  </si>
  <si>
    <t>Team engaged and contributing improvement ideas daily</t>
  </si>
  <si>
    <t>New scope addition changed priority of improvement activity</t>
  </si>
  <si>
    <t>On-time delivery % — measured against weekly milestone plan</t>
  </si>
  <si>
    <t>Cases resolved: 0 → 3 in sprint (target 5 — below, accelerating)</t>
  </si>
  <si>
    <t>Not confirmed — root cause was different from hypothesis</t>
  </si>
  <si>
    <t>Vendor compliance improved after document requirements clarified</t>
  </si>
  <si>
    <t>Punch list item recurring — root cause in design, not execution</t>
  </si>
  <si>
    <t>Lukewarm — tool adopted but not yet felt as own by the team</t>
  </si>
  <si>
    <t>STANDARDISE and SCALE — full roll-out with no changes required</t>
  </si>
  <si>
    <t>SPC chart monitoring continued as business-as-usual from now on</t>
  </si>
  <si>
    <t>YES — commissioning sequence plan added to project standard</t>
  </si>
  <si>
    <t>Competency assessment before and after training — track improvement</t>
  </si>
  <si>
    <t>Present findings to PMO — request enterprise-level adoption</t>
  </si>
  <si>
    <t>Introducing daily WIP cap will surface hidden capacity issues</t>
  </si>
  <si>
    <t>The person closest to the problem has the best solution — involve them</t>
  </si>
  <si>
    <t>Functional Safety Test (SIL/SIS)</t>
  </si>
  <si>
    <t>Missing or incorrect documentation</t>
  </si>
  <si>
    <t>Fire / explosion hazard</t>
  </si>
  <si>
    <t>Software FAT not completed</t>
  </si>
  <si>
    <t>Pre-commissioning checklist</t>
  </si>
  <si>
    <t>Issue pre-commissioning checklist</t>
  </si>
  <si>
    <t>Permit-to-work bottlenecks causing delays</t>
  </si>
  <si>
    <t>Resource not available</t>
  </si>
  <si>
    <t>Kaizen</t>
  </si>
  <si>
    <t>Electrical Test Tracking</t>
  </si>
  <si>
    <t>QI\Mechanical</t>
  </si>
  <si>
    <t>Commission engineering / technical review</t>
  </si>
  <si>
    <t>No standard operating procedure</t>
  </si>
  <si>
    <t>No remote monitoring capability</t>
  </si>
  <si>
    <t>No commissioning sequence plan</t>
  </si>
  <si>
    <t>Material substitution not approved</t>
  </si>
  <si>
    <t>No instrument uncertainty analysis</t>
  </si>
  <si>
    <t>Inadequate lighting for test activities</t>
  </si>
  <si>
    <t>Design rework due to late client feedback</t>
  </si>
  <si>
    <t>Language / communication barrier on site</t>
  </si>
  <si>
    <t>Power supply not stabilised for test</t>
  </si>
  <si>
    <t>Concurrent activities not coordinated</t>
  </si>
  <si>
    <t>Wrong flange rating / gasket type used</t>
  </si>
  <si>
    <t>No baseline measurement before improvement</t>
  </si>
  <si>
    <t>Extreme temperature affects instrument accuracy</t>
  </si>
  <si>
    <t>Permit-to-work turnaround &lt; 2 hours average</t>
  </si>
  <si>
    <t>Loop folders checked twice by same person</t>
  </si>
  <si>
    <t>Loop check procedure implemented</t>
  </si>
  <si>
    <t>Root cause confirmed — corrective action report issued</t>
  </si>
  <si>
    <t>250</t>
  </si>
  <si>
    <t>FAT signed off by client — no P1 punch items</t>
  </si>
  <si>
    <t>80</t>
  </si>
  <si>
    <t>refactor</t>
  </si>
  <si>
    <t>60</t>
  </si>
  <si>
    <t>11</t>
  </si>
  <si>
    <t>Control Systems Eng</t>
  </si>
  <si>
    <t>Permit-to-work bottleneck causing technician idle time</t>
  </si>
  <si>
    <t>Defect root cause never formally investigated — no RCA process</t>
  </si>
  <si>
    <t>Onboarding completed in 2 weeks — consistent every time</t>
  </si>
  <si>
    <t>Team engagement score 1–10 (target: ≥ 8)</t>
  </si>
  <si>
    <t>Implement management of change (MOC) procedure across project</t>
  </si>
  <si>
    <t>Budget not approved for tools or training required</t>
  </si>
  <si>
    <t>Operations + commissioning team — 8 people, 1 area</t>
  </si>
  <si>
    <t>Introduced daily standup — 15 min, issues surfaced same day</t>
  </si>
  <si>
    <t>Across 2 sprints — to allow enough data collection</t>
  </si>
  <si>
    <t>First Gemba walk revealed 3 process steps adding no value</t>
  </si>
  <si>
    <t>Material delivery delayed — blocked mechanical completion</t>
  </si>
  <si>
    <t>Loop folder completeness % — checked at SAT preparedness review</t>
  </si>
  <si>
    <t>Vendor documents received: 60% → 90% (target 100% — gap remains)</t>
  </si>
  <si>
    <t>Confirmed and exceeded — results better than modelled</t>
  </si>
  <si>
    <t>Calibration backlog clearance revealed 2 instruments out of spec</t>
  </si>
  <si>
    <t>Standard work not followed by 2 team members — coaching needed</t>
  </si>
  <si>
    <t>Positive — team leads plan to champion to adjacent teams</t>
  </si>
  <si>
    <t>Instrument loop folder template embedded in project QMS</t>
  </si>
  <si>
    <t>YES — standard work procedure signed off and filed in QMS</t>
  </si>
  <si>
    <t>No formal training needed — procedure embedded in daily routine</t>
  </si>
  <si>
    <t>Roll out to adjacent team leads — they manage their own adoption</t>
  </si>
  <si>
    <t>Fixing root cause #2 will achieve the remaining defect reduction</t>
  </si>
  <si>
    <t>Standard work without training is just a document — combine both</t>
  </si>
  <si>
    <t>Root Cause Analysis (RCA)</t>
  </si>
  <si>
    <t>Control System Configuration</t>
  </si>
  <si>
    <t>False alarm / spurious trip</t>
  </si>
  <si>
    <t>Inadequate grounding / earthing design</t>
  </si>
  <si>
    <t>Loop test procedure</t>
  </si>
  <si>
    <t>Implement formal loop check procedure</t>
  </si>
  <si>
    <t>Inter-discipline coordination failures</t>
  </si>
  <si>
    <t>Material delivery delayed</t>
  </si>
  <si>
    <t>Poka-Yoke</t>
  </si>
  <si>
    <t>Mechanical Completion</t>
  </si>
  <si>
    <t>QI\Instrumentation</t>
  </si>
  <si>
    <t>Issue corrective action report (CAR)</t>
  </si>
  <si>
    <t>Unclear responsibility / RACI</t>
  </si>
  <si>
    <t>PLC/DCS configuration tool outdated</t>
  </si>
  <si>
    <t>No inspection and test plan (ITP)</t>
  </si>
  <si>
    <t>Vendor data / MDS not received</t>
  </si>
  <si>
    <t>No baseline performance measurement</t>
  </si>
  <si>
    <t>Remote site logistics and supply delays</t>
  </si>
  <si>
    <t>Calibration records not accessible at point of use</t>
  </si>
  <si>
    <t>Insufficient supervision during critical task</t>
  </si>
  <si>
    <t>No vibration isolation for sensitive instrument</t>
  </si>
  <si>
    <t>No daily plan / toolbox talk</t>
  </si>
  <si>
    <t>No material traceability record</t>
  </si>
  <si>
    <t>Gauge resolution insufficient for tolerance</t>
  </si>
  <si>
    <t>Remote location — limited tool resupply</t>
  </si>
  <si>
    <t>Zero safety incidents during commissioning phase</t>
  </si>
  <si>
    <t>Vendor delivery confirmation entered manually twice</t>
  </si>
  <si>
    <t>Calibration management system established</t>
  </si>
  <si>
    <t>Punch list not cleared at mechanical completion</t>
  </si>
  <si>
    <t>FAT sign-off obtained — zero P1 defects remaining</t>
  </si>
  <si>
    <t>275</t>
  </si>
  <si>
    <t>Loop folders 100% complete and reviewed</t>
  </si>
  <si>
    <t>88</t>
  </si>
  <si>
    <t>14</t>
  </si>
  <si>
    <t>documentation</t>
  </si>
  <si>
    <t>65</t>
  </si>
  <si>
    <t>Approval time averaging &gt; 2 days per decision</t>
  </si>
  <si>
    <t>Training not standardised — different approaches per person</t>
  </si>
  <si>
    <t>Cases resolved per sprint (target: 5)</t>
  </si>
  <si>
    <t>Run 5S exercise → reorganise workspace → sustain with monthly audit</t>
  </si>
  <si>
    <t>High staff turnover during implementation period</t>
  </si>
  <si>
    <t>Team lead and 2 senior engineers — design phase only</t>
  </si>
  <si>
    <t>Issued standard handoff checklist between engineering disciplines</t>
  </si>
  <si>
    <t>One working week — rapid cycle to prove concept</t>
  </si>
  <si>
    <t>Daily standup surfaced a blocker that had been hidden for 2 weeks</t>
  </si>
  <si>
    <t>Budget freeze delayed tool purchase required for pilot</t>
  </si>
  <si>
    <t>WIP item age in days — measured daily on Kanban board</t>
  </si>
  <si>
    <t>Lead time: 14 days → 9 days (target &lt; 7 — continue next cycle)</t>
  </si>
  <si>
    <t>No unintended side-effects observed during pilot period</t>
  </si>
  <si>
    <t>No remaining gap — target fully achieved at end of cycle</t>
  </si>
  <si>
    <t>Punch list management process standardised across all sites</t>
  </si>
  <si>
    <t>YES — lessons learned register updated with key findings</t>
  </si>
  <si>
    <t>Training completed during pilot — no additional training required</t>
  </si>
  <si>
    <t>Include in next project kick-off as standard practice from day 1</t>
  </si>
  <si>
    <t>Expanding standup to all teams will surface cross-team blockers</t>
  </si>
  <si>
    <t>Improvement competes with delivery — protect time or it disappears</t>
  </si>
  <si>
    <t>HAZOP / Risk Review</t>
  </si>
  <si>
    <t>Equipment not ATEX / SIL certified</t>
  </si>
  <si>
    <t>Scope creep / missed expectations</t>
  </si>
  <si>
    <t>Incorrect calibration procedure applied</t>
  </si>
  <si>
    <t>HAZOP action tracking register</t>
  </si>
  <si>
    <t>Establish calibration management system</t>
  </si>
  <si>
    <t>Vendor technical support unavailable</t>
  </si>
  <si>
    <t>Technical query (TQ) not resolved</t>
  </si>
  <si>
    <t>ITP</t>
  </si>
  <si>
    <t>Instrumentation Management</t>
  </si>
  <si>
    <t>Verify and close</t>
  </si>
  <si>
    <t>No competency assessment in place</t>
  </si>
  <si>
    <t>No calibrated reference standard available</t>
  </si>
  <si>
    <t>No management of change (MOC) process</t>
  </si>
  <si>
    <t>Bill of materials (BOM) not updated</t>
  </si>
  <si>
    <t>Concurrent construction activities on site</t>
  </si>
  <si>
    <t>Duplicate data entry across systems</t>
  </si>
  <si>
    <t>Calibration backlog reduced to zero within 4 weeks</t>
  </si>
  <si>
    <t>Design review takes 5 days; actual review is 2 hrs</t>
  </si>
  <si>
    <t>HAZOP action register created and actively tracked</t>
  </si>
  <si>
    <t>Mechanical completion certificate not issued</t>
  </si>
  <si>
    <t>Team engagement score improved: 6 → 8</t>
  </si>
  <si>
    <t>300</t>
  </si>
  <si>
    <t>Calibration certificates verified for all instruments</t>
  </si>
  <si>
    <t>96</t>
  </si>
  <si>
    <t>integration</t>
  </si>
  <si>
    <t>70</t>
  </si>
  <si>
    <t>13</t>
  </si>
  <si>
    <t>Onboarding inconsistent — new starters taking 6+ weeks</t>
  </si>
  <si>
    <t>No management of change (MOC) process — changes undocumented</t>
  </si>
  <si>
    <t>All vendor documents received ≥ 4 weeks before FAT</t>
  </si>
  <si>
    <t>FAT defect count at client sign-off (target: 0 P1)</t>
  </si>
  <si>
    <t>Implement SPC chart for key defect metric → weekly review</t>
  </si>
  <si>
    <t>Inter-discipline dependency not managed — creates blockers</t>
  </si>
  <si>
    <t>Created FMEA for top 5 failure modes — assigned named owners</t>
  </si>
  <si>
    <t>Standard work adoption faster than expected — team embraced it</t>
  </si>
  <si>
    <t>Resource pulled to critical path work — pilot team reduced</t>
  </si>
  <si>
    <t>Calibration as-found / as-left records — collected per instrument</t>
  </si>
  <si>
    <t>Commissioning milestones met: 3 of 5 on time (target 5 of 5)</t>
  </si>
  <si>
    <t>Standup surfaced an interpersonal conflict that needed addressing</t>
  </si>
  <si>
    <t>Capacity constraint — team too small to close gap at current pace</t>
  </si>
  <si>
    <t>Root cause analysis (RCA) step added to all defect responses</t>
  </si>
  <si>
    <t>No next hypothesis — target achieved; move to sustain phase</t>
  </si>
  <si>
    <t>One improvement at a time — parallel changes make causality unclear</t>
  </si>
  <si>
    <t>RACI</t>
  </si>
  <si>
    <t>Punch List Clearance</t>
  </si>
  <si>
    <t>Software version mismatch</t>
  </si>
  <si>
    <t>Rollback risk / regression defects</t>
  </si>
  <si>
    <t>Missing ATEX certification verification</t>
  </si>
  <si>
    <t>Calibration certificate check</t>
  </si>
  <si>
    <t>Verify ATEX certification before energisation</t>
  </si>
  <si>
    <t>Safety case not accepted by regulator</t>
  </si>
  <si>
    <t>Change order not approved</t>
  </si>
  <si>
    <t>OEE Analysis</t>
  </si>
  <si>
    <t>Control Systems Config</t>
  </si>
  <si>
    <t>Oscilloscope / signal analyser missing</t>
  </si>
  <si>
    <t>No concurrent engineering coordination</t>
  </si>
  <si>
    <t>As-purchased vs as-installed mismatch</t>
  </si>
  <si>
    <t>Working at height restrictions</t>
  </si>
  <si>
    <t>Waiting for vendor technical query (TQ) response</t>
  </si>
  <si>
    <t>Loop folder completeness &gt; 98% at handover</t>
  </si>
  <si>
    <t>Material issued then returned — wrong specification</t>
  </si>
  <si>
    <t>Instrument loop folder review completed</t>
  </si>
  <si>
    <t>Software version mismatch between FAT and site</t>
  </si>
  <si>
    <t>3 cases resolved in last sprint period</t>
  </si>
  <si>
    <t>325</t>
  </si>
  <si>
    <t>Pre-commissioning checklist 100% signed off</t>
  </si>
  <si>
    <t>104</t>
  </si>
  <si>
    <t>18</t>
  </si>
  <si>
    <t>security</t>
  </si>
  <si>
    <t>SIL / functional safety verification testing not completed</t>
  </si>
  <si>
    <t>Loop folder completeness not checked before SAT</t>
  </si>
  <si>
    <t>SIL verification pass rate % (target: 100%)</t>
  </si>
  <si>
    <t>Introduce daily standup: 15 min, 3 questions, issues visible same day</t>
  </si>
  <si>
    <t>Improvement competes with delivery pressure — time squeezed</t>
  </si>
  <si>
    <t>Ran Gemba walk — 2 hrs with commissioning team on site</t>
  </si>
  <si>
    <t>Calibration backlog was larger than reported — 18 items not 6</t>
  </si>
  <si>
    <t>Change of design late in cycle — restarted part of pilot</t>
  </si>
  <si>
    <t>Standup attendance and blocker count — logged each session</t>
  </si>
  <si>
    <t>Standard procedure adoption: 60% → 90% (target 100%)</t>
  </si>
  <si>
    <t>Vendor document requirements template embedded in contracts</t>
  </si>
  <si>
    <t>Celebrate small wins publicly — momentum is a critical success factor</t>
  </si>
  <si>
    <t>Theory of Constraints</t>
  </si>
  <si>
    <t>Handover to Operations</t>
  </si>
  <si>
    <t>P&amp;ID vs as-built discrepancy</t>
  </si>
  <si>
    <t>Approval bottleneck delay</t>
  </si>
  <si>
    <t>Permit-to-work system</t>
  </si>
  <si>
    <t>Clear punch list before functional test</t>
  </si>
  <si>
    <t>Software version control issues</t>
  </si>
  <si>
    <t>Regulatory approval pending</t>
  </si>
  <si>
    <t>FTA</t>
  </si>
  <si>
    <t>HSE Compliance Tracking</t>
  </si>
  <si>
    <t>Excess documentation / non-value-add reports</t>
  </si>
  <si>
    <t>Software FAT signed off by client on agreed date</t>
  </si>
  <si>
    <t>Meeting called to share info already in email</t>
  </si>
  <si>
    <t>Commissioning sequence plan issued and agreed</t>
  </si>
  <si>
    <t>P&amp;ID vs as-built discrepancy found</t>
  </si>
  <si>
    <t>WIP items in flight reduced: 24 → 15</t>
  </si>
  <si>
    <t>350</t>
  </si>
  <si>
    <t>SAT passed — zero outstanding P1 punch items</t>
  </si>
  <si>
    <t>112</t>
  </si>
  <si>
    <t>bug-fix</t>
  </si>
  <si>
    <t>Vendor document delays blocking commissioning schedule</t>
  </si>
  <si>
    <t>No daily WIP visibility — blockers surface days too late</t>
  </si>
  <si>
    <t>Zero calibration backlog at pre-commissioning milestone</t>
  </si>
  <si>
    <t>Commissioning milestone achievement % (target: 100%)</t>
  </si>
  <si>
    <t>Create FMEA for top 5 failure modes → assign owners → track weekly</t>
  </si>
  <si>
    <t>Pilot result may not transfer to full-scale environment</t>
  </si>
  <si>
    <t>Implemented SPC chart for defect rate — reviewed each Monday</t>
  </si>
  <si>
    <t>Kanban immediately showed which work items were stalled</t>
  </si>
  <si>
    <t>Target fully met — results exceed KPI in all measured areas ✓</t>
  </si>
  <si>
    <t>Document every cycle — institutional memory prevents re-learning</t>
  </si>
  <si>
    <t>Design FMEA (DFMEA)</t>
  </si>
  <si>
    <t>Pressure test failed</t>
  </si>
  <si>
    <t>Ops team cannot support product</t>
  </si>
  <si>
    <t>No template / tribal knowledge</t>
  </si>
  <si>
    <t>Factory acceptance test (FAT)</t>
  </si>
  <si>
    <t>Conduct HAZOP / SIL review</t>
  </si>
  <si>
    <t>Commissioning sequence not agreed</t>
  </si>
  <si>
    <t>API auth issue unresolved</t>
  </si>
  <si>
    <t>Skills / competencies not matched to tasks</t>
  </si>
  <si>
    <t>On-time delivery &gt; 95% within 8 weeks</t>
  </si>
  <si>
    <t>Test report typed out; same data already in system</t>
  </si>
  <si>
    <t>Electrical isolation / LOTO procedure implemented</t>
  </si>
  <si>
    <t>Communication gap between disciplines</t>
  </si>
  <si>
    <t>Defect rate now below target threshold</t>
  </si>
  <si>
    <t>375</t>
  </si>
  <si>
    <t>SIL verification test witnessed and signed</t>
  </si>
  <si>
    <t>120</t>
  </si>
  <si>
    <t>enhancement</t>
  </si>
  <si>
    <t>85</t>
  </si>
  <si>
    <t>On-time delivery rate &lt; 80% for past quarter</t>
  </si>
  <si>
    <t>Approval authority unclear — items escalate unnecessarily</t>
  </si>
  <si>
    <t>All team members trained on standard procedure within 1 cycle</t>
  </si>
  <si>
    <t>Onboarding completion time in weeks (target: ≤ 2)</t>
  </si>
  <si>
    <t>Run Gemba walk with commissioning team → surface hidden waste</t>
  </si>
  <si>
    <t>Data collection not set up before pilot — baseline missing</t>
  </si>
  <si>
    <t>Issued instrument loop folder template — trained team on use</t>
  </si>
  <si>
    <t>Involve the resisters early — their concerns contain valid insight</t>
  </si>
  <si>
    <t>Process FMEA (PFMEA)</t>
  </si>
  <si>
    <t>Over-range sensor reading</t>
  </si>
  <si>
    <t>No MVP mindset / no WIP limit</t>
  </si>
  <si>
    <t>Functional safety review (SIL)</t>
  </si>
  <si>
    <t>Update P&amp;ID to as-built standard</t>
  </si>
  <si>
    <t>Electrical isolation procedures missing</t>
  </si>
  <si>
    <t>Test environment not available</t>
  </si>
  <si>
    <t>No standard procedure — task done from memory</t>
  </si>
  <si>
    <t>Punch items re-inspected that were already closed</t>
  </si>
  <si>
    <t>Punch list management process established</t>
  </si>
  <si>
    <t>Resource shortage — specialist skills missing</t>
  </si>
  <si>
    <t>Standard work procedure signed off by all leads</t>
  </si>
  <si>
    <t>400</t>
  </si>
  <si>
    <t>Permit-to-work system confirmed operational</t>
  </si>
  <si>
    <t>tech-debt</t>
  </si>
  <si>
    <t>90</t>
  </si>
  <si>
    <t>17</t>
  </si>
  <si>
    <t>Root cause of recurring defects unknown — no RCA in place</t>
  </si>
  <si>
    <t>No inspection and test plan (ITP) agreed at project start</t>
  </si>
  <si>
    <t>Daily standup attendance % (target: 100%)</t>
  </si>
  <si>
    <t>Issue instrument loop folders template → check completeness at SAT</t>
  </si>
  <si>
    <t>New scope additions change priority of improvement work</t>
  </si>
  <si>
    <t>Signal conditioner failure</t>
  </si>
  <si>
    <t>Personnel exposure to hazard</t>
  </si>
  <si>
    <t>Developer working off informal notes</t>
  </si>
  <si>
    <t>P&amp;ID redline review</t>
  </si>
  <si>
    <t>Implement cable management procedure</t>
  </si>
  <si>
    <t>Mechanical completion not certified</t>
  </si>
  <si>
    <t>Dependency on adjacent team</t>
  </si>
  <si>
    <t>Over-inspection beyond what spec requires</t>
  </si>
  <si>
    <t>Max 3 active tasks per person at any time</t>
  </si>
  <si>
    <t>Commissioning team on site 3 days early — site not ready</t>
  </si>
  <si>
    <t>As-built P&amp;ID update process initiated</t>
  </si>
  <si>
    <t>Vendor document delay — 3 weeks overdue</t>
  </si>
  <si>
    <t>Commissioning completion achieved on target date</t>
  </si>
  <si>
    <t>425</t>
  </si>
  <si>
    <t>Mechanical completion certificate issued</t>
  </si>
  <si>
    <t>ATEX</t>
  </si>
  <si>
    <t>95</t>
  </si>
  <si>
    <t>Process handoff delays between engineering disciplines</t>
  </si>
  <si>
    <t>Shift handover information gap — rework starts next shift</t>
  </si>
  <si>
    <t>Loop folder completeness &gt; 98% at handover to operations</t>
  </si>
  <si>
    <t>Standard procedure adoption % (target: 100%)</t>
  </si>
  <si>
    <t>Implement Kanban for punch list → limit WIP → close daily</t>
  </si>
  <si>
    <t>Standard work procedure drafted and distributed for sign-off</t>
  </si>
  <si>
    <t>Inspection &amp; Test Plan (ITP)</t>
  </si>
  <si>
    <t>HMI tag mismatch</t>
  </si>
  <si>
    <t>Loss of process data / traceability</t>
  </si>
  <si>
    <t>Test plan not linked to acceptance criteria</t>
  </si>
  <si>
    <t>Electrical test report</t>
  </si>
  <si>
    <t>Verify software FAT completion</t>
  </si>
  <si>
    <t>Design Engineer</t>
  </si>
  <si>
    <t>Instrument loop folders incomplete</t>
  </si>
  <si>
    <t>Handover delay between engineering disciplines</t>
  </si>
  <si>
    <t>Approval time &lt; 4 hours average</t>
  </si>
  <si>
    <t>Specialist skills on team used for admin tasks</t>
  </si>
  <si>
    <t>Software FAT checklist issued to vendor</t>
  </si>
  <si>
    <t>Permit-to-work bottleneck causing idle time</t>
  </si>
  <si>
    <t>Loop folder completeness now &gt; 98% at handover</t>
  </si>
  <si>
    <t>450</t>
  </si>
  <si>
    <t>As-built documentation issued and approved</t>
  </si>
  <si>
    <t>calibration</t>
  </si>
  <si>
    <t>19</t>
  </si>
  <si>
    <t>Calibration certificates not available at point of use</t>
  </si>
  <si>
    <t>Fault Tree Analysis (FTA)</t>
  </si>
  <si>
    <t>Setpoint not verified</t>
  </si>
  <si>
    <t>Insurance / liability claim</t>
  </si>
  <si>
    <t>Inspection &amp; test plan (ITP)</t>
  </si>
  <si>
    <t>Establish instrument data sheet control</t>
  </si>
  <si>
    <t>Control narrative not updated</t>
  </si>
  <si>
    <t>Manual data transfer replacing system integration</t>
  </si>
  <si>
    <t>New team member fully onboarded in 2 weeks, consistent quality</t>
  </si>
  <si>
    <t>Approval chain: 5 people sign off; 2 add value</t>
  </si>
  <si>
    <t>Kaizen event run with cross-discipline team</t>
  </si>
  <si>
    <t>SIL verification not completed before energisation</t>
  </si>
  <si>
    <t>475</t>
  </si>
  <si>
    <t>Handover document signed by operations team</t>
  </si>
  <si>
    <t>loop-check</t>
  </si>
  <si>
    <t>No standard work procedure — tasks done from memory</t>
  </si>
  <si>
    <t>Vibration / noise interference on signal</t>
  </si>
  <si>
    <t>No runbook requirement defined</t>
  </si>
  <si>
    <t>Monthly safety walk</t>
  </si>
  <si>
    <t>Appoint dedicated commissioning engineer</t>
  </si>
  <si>
    <t>Delivery targets missed consistently</t>
  </si>
  <si>
    <t>Weekly Gemba walk completed by every leader, every week</t>
  </si>
  <si>
    <t>OEE analysis completed for key process</t>
  </si>
  <si>
    <t>Cable installation behind commissioning schedule</t>
  </si>
  <si>
    <t>Vendor documents received — 2 weeks ahead of FAT</t>
  </si>
  <si>
    <t>500</t>
  </si>
  <si>
    <t>commissioning</t>
  </si>
  <si>
    <t>Thermal overload not set correctly</t>
  </si>
  <si>
    <t>No communications plan template</t>
  </si>
  <si>
    <t>Third-party verification</t>
  </si>
  <si>
    <t>Issue construction completion certificate</t>
  </si>
  <si>
    <t>Defect rate exceeding acceptable threshold</t>
  </si>
  <si>
    <t>SPC chart implemented for key defect metric</t>
  </si>
  <si>
    <t>Instrument data sheets not matched to POs</t>
  </si>
  <si>
    <t>Found 3 hidden handoff delays via VSM exercise</t>
  </si>
  <si>
    <t>550</t>
  </si>
  <si>
    <t>All CTQs documented; sign-off obtained</t>
  </si>
  <si>
    <t>electrical</t>
  </si>
  <si>
    <t>Motor protection relay misconfigured</t>
  </si>
  <si>
    <t>Conduct loop folder review</t>
  </si>
  <si>
    <t>Team overwhelmed; parallel tasks too high</t>
  </si>
  <si>
    <t>Lead time reduced by 30% within 8 weeks</t>
  </si>
  <si>
    <t>Standard handoff checklist deployed</t>
  </si>
  <si>
    <t>Control narrative not updated after design change</t>
  </si>
  <si>
    <t>Checklist v1 in review — distributed to team</t>
  </si>
  <si>
    <t>600</t>
  </si>
  <si>
    <t>Defect rate &lt; 1%; all P1-P2 bugs resolved</t>
  </si>
  <si>
    <t>mechanical</t>
  </si>
  <si>
    <t>Fieldbus segment fault</t>
  </si>
  <si>
    <t>No mandatory retrospective process</t>
  </si>
  <si>
    <t>Implement motor megger test protocol</t>
  </si>
  <si>
    <t>Approval bottleneck causing schedule delay</t>
  </si>
  <si>
    <t>WIP items in flight reduced by 40% within 4 weeks</t>
  </si>
  <si>
    <t>Approval routing simplified — single sign-off</t>
  </si>
  <si>
    <t>Commissioning sequence not agreed between parties</t>
  </si>
  <si>
    <t>Engagement score: 7 → 8 in one cycle</t>
  </si>
  <si>
    <t>650</t>
  </si>
  <si>
    <t>26</t>
  </si>
  <si>
    <t>Architecture sign-off; no blocking dependencies</t>
  </si>
  <si>
    <t>instrumentation</t>
  </si>
  <si>
    <t>Safety relay wiring error</t>
  </si>
  <si>
    <t>No commissioning sequence plan issued</t>
  </si>
  <si>
    <t>New hire onboarding too slow</t>
  </si>
  <si>
    <t>Team engagement score ≥ 8/10 within 3 months</t>
  </si>
  <si>
    <t>Batch size reduced — smaller release cycles</t>
  </si>
  <si>
    <t>Calibration records not accepted — format wrong</t>
  </si>
  <si>
    <t>No new defects raised since corrective action</t>
  </si>
  <si>
    <t>700</t>
  </si>
  <si>
    <t>Performance baseline met; 500 concurrent users</t>
  </si>
  <si>
    <t>HAZOP</t>
  </si>
  <si>
    <t>Motor &amp; Drive Installation</t>
  </si>
  <si>
    <t>HART / fieldbus device not configured</t>
  </si>
  <si>
    <t>Inter-discipline interface agreement issued</t>
  </si>
  <si>
    <t>750</t>
  </si>
  <si>
    <t>Deployment checklist 100% complete</t>
  </si>
  <si>
    <t>FAT</t>
  </si>
  <si>
    <t>Cable Tray &amp; Conduit Install</t>
  </si>
  <si>
    <t>As-built drawings not updated</t>
  </si>
  <si>
    <t>Change management not followed</t>
  </si>
  <si>
    <t>Management of change (MOC) procedure introduced</t>
  </si>
  <si>
    <t>800</t>
  </si>
  <si>
    <t>Zero critical defects post-deploy</t>
  </si>
  <si>
    <t>SAT</t>
  </si>
  <si>
    <t>Earthing &amp; Bonding Verification</t>
  </si>
  <si>
    <t>Inter-team dependency not managed</t>
  </si>
  <si>
    <t>Corrective action report (CAR) issued</t>
  </si>
  <si>
    <t>850</t>
  </si>
  <si>
    <t>Errors &lt; baseline; SLA met; retro completed</t>
  </si>
  <si>
    <t>SIL</t>
  </si>
  <si>
    <t>Panel Build &amp; Wiring</t>
  </si>
  <si>
    <t>Competency assessment completed for team</t>
  </si>
  <si>
    <t>900</t>
  </si>
  <si>
    <t>punch-list</t>
  </si>
  <si>
    <t>Pressure &amp; Leak Test</t>
  </si>
  <si>
    <t>Vendor expediting action raised</t>
  </si>
  <si>
    <t>950</t>
  </si>
  <si>
    <t>P-and-ID</t>
  </si>
  <si>
    <t>1000</t>
  </si>
  <si>
    <t>HMI</t>
  </si>
  <si>
    <t>1100</t>
  </si>
  <si>
    <t>SCADA</t>
  </si>
  <si>
    <t>1200</t>
  </si>
  <si>
    <t>PLC</t>
  </si>
  <si>
    <t>1300</t>
  </si>
  <si>
    <t>DCS</t>
  </si>
  <si>
    <t>1400</t>
  </si>
  <si>
    <t>fieldbus</t>
  </si>
  <si>
    <t>1500</t>
  </si>
  <si>
    <t>1600</t>
  </si>
  <si>
    <t>1700</t>
  </si>
  <si>
    <t>1800</t>
  </si>
  <si>
    <t>1900</t>
  </si>
  <si>
    <t>2000</t>
  </si>
  <si>
    <t>AI Guidance</t>
  </si>
  <si>
    <t>Project Management Overview</t>
  </si>
  <si>
    <t>Project Name</t>
  </si>
  <si>
    <t>Project Owner</t>
  </si>
  <si>
    <t>Start Date</t>
  </si>
  <si>
    <t>End Date</t>
  </si>
  <si>
    <t>Overall Status</t>
  </si>
  <si>
    <t>Green</t>
  </si>
  <si>
    <t>Completion %</t>
  </si>
  <si>
    <t>Open Tasks</t>
  </si>
  <si>
    <t>Open Risks</t>
  </si>
  <si>
    <t>Current Phase</t>
  </si>
  <si>
    <t>Task ID</t>
  </si>
  <si>
    <t>Not Started</t>
  </si>
  <si>
    <t>Risk ID</t>
  </si>
  <si>
    <t>R1</t>
  </si>
  <si>
    <t>Open</t>
  </si>
  <si>
    <t>Resource</t>
  </si>
  <si>
    <t>Project Management Status Dashboard</t>
  </si>
  <si>
    <t>Not Started Tasks</t>
  </si>
  <si>
    <t>In Progress Tasks</t>
  </si>
  <si>
    <t>Completed Tasks</t>
  </si>
  <si>
    <t>High Risk Items</t>
  </si>
  <si>
    <t>Resource Count</t>
  </si>
  <si>
    <t>Project Management Sheets:</t>
  </si>
  <si>
    <t>- PM_OVERVIEW: Summary and progress snapshot</t>
  </si>
  <si>
    <t>- PM_TASKS: Task tracker with status and progress</t>
  </si>
  <si>
    <t>- PM_RISKS: Risk log with impact and mitigation</t>
  </si>
  <si>
    <t>- PM_RESOURCES: Resource allocation and status</t>
  </si>
  <si>
    <t>- PM_STATUS: Dashboard counts and health metrics</t>
  </si>
  <si>
    <t>PM Dropdown Lists</t>
  </si>
  <si>
    <t>Priority</t>
  </si>
  <si>
    <t>Impact</t>
  </si>
  <si>
    <t>Probability</t>
  </si>
  <si>
    <t>Overdue Tasks</t>
  </si>
  <si>
    <t>High Priority Tasks</t>
  </si>
  <si>
    <t>Resource Utilization %</t>
  </si>
  <si>
    <t>Budget Variance</t>
  </si>
  <si>
    <t>(Add your budget tracking)</t>
  </si>
  <si>
    <t>Blocked Tasks</t>
  </si>
  <si>
    <t>Tasks On Hold</t>
  </si>
  <si>
    <t>Avg Task Progress %</t>
  </si>
  <si>
    <t>Total Risks</t>
  </si>
  <si>
    <t>Mitigated Risks</t>
  </si>
  <si>
    <t>Active Resources</t>
  </si>
  <si>
    <t>Project Management Program - Getting Started</t>
  </si>
  <si>
    <t>Quick Start Guide</t>
  </si>
  <si>
    <t>1. Enter Project Details</t>
  </si>
  <si>
    <t>Go to PM_OVERVIEW sheet and fill in:</t>
  </si>
  <si>
    <t xml:space="preserve">   - Project Name</t>
  </si>
  <si>
    <t xml:space="preserve">   - Project Owner</t>
  </si>
  <si>
    <t xml:space="preserve">   - Start Date, End Date</t>
  </si>
  <si>
    <t xml:space="preserve">   - Current Phase</t>
  </si>
  <si>
    <t>2. Add Team Members</t>
  </si>
  <si>
    <t>Go to PM_RESOURCES and add your team:</t>
  </si>
  <si>
    <t xml:space="preserve">   - Resource name, role, availability</t>
  </si>
  <si>
    <t xml:space="preserve">   - Assign tasks from PM_TASKS</t>
  </si>
  <si>
    <t>3. Enter Tasks</t>
  </si>
  <si>
    <t>Go to PM_TASKS and add your project tasks:</t>
  </si>
  <si>
    <t xml:space="preserve">   - Task name, owner, start/due dates</t>
  </si>
  <si>
    <t xml:space="preserve">   - Priority, status (use dropdowns)</t>
  </si>
  <si>
    <t xml:space="preserve">   - Progress %, associated risk</t>
  </si>
  <si>
    <t>4. Track Risks</t>
  </si>
  <si>
    <t>Go to PM_RISKS and log identified risks:</t>
  </si>
  <si>
    <t xml:space="preserve">   - Risk description, impact, probability</t>
  </si>
  <si>
    <t xml:space="preserve">   - Risk score auto-calculates</t>
  </si>
  <si>
    <t xml:space="preserve">   - Mitigation strategy and owner</t>
  </si>
  <si>
    <t>5. Monitor Dashboard</t>
  </si>
  <si>
    <t>Use PM_STATUS dashboard to track:</t>
  </si>
  <si>
    <t xml:space="preserve">   - Task counts and progress</t>
  </si>
  <si>
    <t xml:space="preserve">   - Open and high-risk items</t>
  </si>
  <si>
    <t xml:space="preserve">   - Resource utilization</t>
  </si>
  <si>
    <t>Available Features</t>
  </si>
  <si>
    <t>• Data validation dropdowns on all key fields</t>
  </si>
  <si>
    <t>• Automatic calculation of risk scores</t>
  </si>
  <si>
    <t>• Progress and completion tracking</t>
  </si>
  <si>
    <t>• AI-powered sheet guidance (click "Show Current Sheet Help")</t>
  </si>
  <si>
    <t>• Sheet validation to catch missing required data</t>
  </si>
  <si>
    <t>• Real-time dashboard metrics</t>
  </si>
  <si>
    <t>Tips</t>
  </si>
  <si>
    <t>• Use AI_GUIDANCE sheet for detailed help on any topic</t>
  </si>
  <si>
    <t>• Keep task statuses updated for accurate dashboards</t>
  </si>
  <si>
    <t>• Review high-risk items regularly</t>
  </si>
  <si>
    <t>• Use the validation feature to spot missing data</t>
  </si>
  <si>
    <t>• Assign clear task owners to improve accountability</t>
  </si>
  <si>
    <t>Start here: PM_GETTING_STARTED has setup and navigation instructions.</t>
  </si>
  <si>
    <t>AI Assistant &amp; Generator</t>
  </si>
  <si>
    <t>Current sheet help and generation tools for the entire workbook.</t>
  </si>
  <si>
    <t>Use the buttons to open help, validate sheets, refresh charts, or generate AI recommendations.</t>
  </si>
  <si>
    <t>Select action:</t>
  </si>
  <si>
    <t>Generate Improvement Plan</t>
  </si>
  <si>
    <t>Suggested output:</t>
  </si>
  <si>
    <t>The generated recommendation appears below after pressing Generate.</t>
  </si>
  <si>
    <t>AI Chart Control Panel</t>
  </si>
  <si>
    <t>Chart Sheet</t>
  </si>
  <si>
    <t>Action</t>
  </si>
  <si>
    <t>Available chart sheets:</t>
  </si>
  <si>
    <t>PARETO CHART</t>
  </si>
  <si>
    <t>FISHBONE DIAGRAM</t>
  </si>
  <si>
    <t>DASHBOARD</t>
  </si>
  <si>
    <t>PM_STATUS</t>
  </si>
  <si>
    <t>PM_OVERVIEW</t>
  </si>
  <si>
    <t>Activate</t>
  </si>
  <si>
    <t>Refresh</t>
  </si>
  <si>
    <t>Validate</t>
  </si>
  <si>
    <t>ChartSheets</t>
  </si>
  <si>
    <t>Actions</t>
  </si>
  <si>
    <t>GenerateActions</t>
  </si>
  <si>
    <t>Generate Checklist</t>
  </si>
  <si>
    <t>Generate Summary</t>
  </si>
  <si>
    <t>Generate Risk Plan</t>
  </si>
  <si>
    <t>Use the drop-down lists below then click Run Chart Control.</t>
  </si>
  <si>
    <t>Helpful note: choose a chart sheet and action, then press the button.</t>
  </si>
  <si>
    <t>WASTE PARETO CHART - 10-jun-2026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</si>
</sst>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0.0"/>
    <numFmt numFmtId="166" formatCode="0.0%"/>
  </numFmts>
  <fonts count="121" x14ac:knownFonts="1">
    <font>
      <sz val="11"/>
      <color theme="1"/>
      <name val="Calibri"/>
      <family val="2"/>
      <charset val="1"/>
    </font>
    <font>
      <b/>
      <sz val="20"/>
      <color rgb="FFFFFFFF"/>
      <name val="Calibri"/>
      <charset val="1"/>
    </font>
    <font>
      <i/>
      <sz val="9"/>
      <color rgb="FFD6EAF8"/>
      <name val="Calibri"/>
      <charset val="1"/>
    </font>
    <font>
      <b/>
      <sz val="9"/>
      <color rgb="FFFFFFFF"/>
      <name val="Calibri"/>
      <charset val="1"/>
    </font>
    <font>
      <b/>
      <sz val="10"/>
      <color rgb="FFFFFFFF"/>
      <name val="Calibri"/>
      <charset val="1"/>
    </font>
    <font>
      <b/>
      <sz val="8"/>
      <color rgb="FF2E86C1"/>
      <name val="Calibri"/>
      <charset val="1"/>
    </font>
    <font>
      <b/>
      <sz val="8"/>
      <color rgb="FF1E8449"/>
      <name val="Calibri"/>
      <charset val="1"/>
    </font>
    <font>
      <b/>
      <sz val="8"/>
      <color rgb="FF6C3483"/>
      <name val="Calibri"/>
      <charset val="1"/>
    </font>
    <font>
      <b/>
      <sz val="8"/>
      <color rgb="FF7D6608"/>
      <name val="Calibri"/>
      <charset val="1"/>
    </font>
    <font>
      <b/>
      <sz val="8"/>
      <color rgb="FF0E6655"/>
      <name val="Calibri"/>
      <charset val="1"/>
    </font>
    <font>
      <b/>
      <sz val="8"/>
      <color rgb="FFC0392B"/>
      <name val="Calibri"/>
      <charset val="1"/>
    </font>
    <font>
      <b/>
      <sz val="14"/>
      <color rgb="FF2E86C1"/>
      <name val="Calibri"/>
      <charset val="1"/>
    </font>
    <font>
      <b/>
      <sz val="14"/>
      <color rgb="FF1E8449"/>
      <name val="Calibri"/>
      <charset val="1"/>
    </font>
    <font>
      <b/>
      <sz val="14"/>
      <color rgb="FF6C3483"/>
      <name val="Calibri"/>
      <charset val="1"/>
    </font>
    <font>
      <b/>
      <sz val="14"/>
      <color rgb="FF7D6608"/>
      <name val="Calibri"/>
      <charset val="1"/>
    </font>
    <font>
      <b/>
      <sz val="14"/>
      <color rgb="FF0E6655"/>
      <name val="Calibri"/>
      <charset val="1"/>
    </font>
    <font>
      <b/>
      <sz val="14"/>
      <color rgb="FFC0392B"/>
      <name val="Calibri"/>
      <charset val="1"/>
    </font>
    <font>
      <i/>
      <sz val="8"/>
      <color rgb="FF555555"/>
      <name val="Calibri"/>
      <charset val="1"/>
    </font>
    <font>
      <b/>
      <sz val="10"/>
      <color rgb="FF0D1B2A"/>
      <name val="Calibri"/>
      <charset val="1"/>
    </font>
    <font>
      <b/>
      <sz val="11"/>
      <color rgb="FF2E86C1"/>
      <name val="Calibri"/>
      <charset val="1"/>
    </font>
    <font>
      <sz val="10"/>
      <color rgb="FF000000"/>
      <name val="Calibri"/>
      <charset val="1"/>
    </font>
    <font>
      <b/>
      <sz val="11"/>
      <color rgb="FF1E8449"/>
      <name val="Calibri"/>
      <charset val="1"/>
    </font>
    <font>
      <b/>
      <sz val="11"/>
      <color rgb="FF6C3483"/>
      <name val="Calibri"/>
      <charset val="1"/>
    </font>
    <font>
      <b/>
      <sz val="11"/>
      <color rgb="FF0E6655"/>
      <name val="Calibri"/>
      <charset val="1"/>
    </font>
    <font>
      <b/>
      <sz val="11"/>
      <color rgb="FF7D6608"/>
      <name val="Calibri"/>
      <charset val="1"/>
    </font>
    <font>
      <sz val="10"/>
      <color rgb="FF1B4F72"/>
      <name val="Calibri"/>
      <charset val="1"/>
    </font>
    <font>
      <b/>
      <sz val="10"/>
      <color rgb="FFFFFFFF"/>
      <name val="Arial"/>
      <charset val="1"/>
    </font>
    <font>
      <b/>
      <sz val="9"/>
      <color rgb="FFFFFFFF"/>
      <name val="Arial"/>
      <charset val="1"/>
    </font>
    <font>
      <sz val="10"/>
      <color rgb="FF000000"/>
      <name val="Arial"/>
      <charset val="1"/>
    </font>
    <font>
      <b/>
      <sz val="16"/>
      <color rgb="FF000080"/>
      <name val="Arial"/>
      <charset val="1"/>
    </font>
    <font>
      <b/>
      <sz val="11"/>
      <color rgb="FFFFFFFF"/>
      <name val="Arial"/>
      <charset val="1"/>
    </font>
    <font>
      <b/>
      <sz val="14"/>
      <color rgb="FFC55A11"/>
      <name val="Arial"/>
      <charset val="1"/>
    </font>
    <font>
      <b/>
      <sz val="14"/>
      <color rgb="FF2E75B6"/>
      <name val="Arial"/>
      <charset val="1"/>
    </font>
    <font>
      <b/>
      <sz val="14"/>
      <color rgb="FF375623"/>
      <name val="Arial"/>
      <charset val="1"/>
    </font>
    <font>
      <sz val="9"/>
      <color rgb="FF000000"/>
      <name val="Arial"/>
      <charset val="1"/>
    </font>
    <font>
      <b/>
      <sz val="18"/>
      <color rgb="FFFFFFFF"/>
      <name val="Calibri"/>
      <charset val="1"/>
    </font>
    <font>
      <i/>
      <sz val="9"/>
      <color rgb="FFFFFFFF"/>
      <name val="Calibri"/>
      <charset val="1"/>
    </font>
    <font>
      <b/>
      <sz val="11"/>
      <color rgb="FFFFFFFF"/>
      <name val="Calibri"/>
      <charset val="1"/>
    </font>
    <font>
      <b/>
      <sz val="12"/>
      <color rgb="FFFFFFFF"/>
      <name val="Calibri"/>
      <charset val="1"/>
    </font>
    <font>
      <sz val="10"/>
      <color rgb="FF1A5632"/>
      <name val="Calibri"/>
      <charset val="1"/>
    </font>
    <font>
      <sz val="10"/>
      <color rgb="FF6C3483"/>
      <name val="Calibri"/>
      <charset val="1"/>
    </font>
    <font>
      <sz val="10"/>
      <color rgb="FF7D6608"/>
      <name val="Calibri"/>
      <charset val="1"/>
    </font>
    <font>
      <i/>
      <sz val="10"/>
      <color rgb="FFC0392B"/>
      <name val="Calibri"/>
      <charset val="1"/>
    </font>
    <font>
      <sz val="10"/>
      <color rgb="FFC0392B"/>
      <name val="Calibri"/>
      <charset val="1"/>
    </font>
    <font>
      <b/>
      <sz val="9"/>
      <color rgb="FF2E86C1"/>
      <name val="Calibri"/>
      <charset val="1"/>
    </font>
    <font>
      <sz val="9"/>
      <color rgb="FF000000"/>
      <name val="Calibri"/>
      <charset val="1"/>
    </font>
    <font>
      <b/>
      <sz val="16"/>
      <color rgb="FFFFFFFF"/>
      <name val="Calibri"/>
      <charset val="1"/>
    </font>
    <font>
      <b/>
      <sz val="8"/>
      <color rgb="FFFFFFFF"/>
      <name val="Arial"/>
      <charset val="1"/>
    </font>
    <font>
      <b/>
      <sz val="10"/>
      <color rgb="FF2E86C1"/>
      <name val="Calibri"/>
      <charset val="1"/>
    </font>
    <font>
      <b/>
      <sz val="12"/>
      <color rgb="FFC0392B"/>
      <name val="Calibri"/>
      <charset val="1"/>
    </font>
    <font>
      <b/>
      <sz val="9"/>
      <color rgb="FF1F3864"/>
      <name val="Arial"/>
      <charset val="1"/>
    </font>
    <font>
      <b/>
      <sz val="9"/>
      <color rgb="FFC55A11"/>
      <name val="Arial"/>
      <charset val="1"/>
    </font>
    <font>
      <b/>
      <sz val="10"/>
      <color rgb="FF7D6608"/>
      <name val="Calibri"/>
      <charset val="1"/>
    </font>
    <font>
      <b/>
      <sz val="10"/>
      <color rgb="FF6C3483"/>
      <name val="Calibri"/>
      <charset val="1"/>
    </font>
    <font>
      <b/>
      <sz val="10"/>
      <color rgb="FFC0392B"/>
      <name val="Calibri"/>
      <charset val="1"/>
    </font>
    <font>
      <b/>
      <sz val="10"/>
      <color rgb="FF0E6655"/>
      <name val="Calibri"/>
      <charset val="1"/>
    </font>
    <font>
      <b/>
      <sz val="10"/>
      <color rgb="FF1E8449"/>
      <name val="Calibri"/>
      <charset val="1"/>
    </font>
    <font>
      <b/>
      <sz val="10"/>
      <color rgb="FFBF360C"/>
      <name val="Calibri"/>
      <charset val="1"/>
    </font>
    <font>
      <b/>
      <sz val="10"/>
      <color rgb="FF6A1B9A"/>
      <name val="Calibri"/>
      <charset val="1"/>
    </font>
    <font>
      <b/>
      <sz val="9"/>
      <color rgb="FF0D1B2A"/>
      <name val="Calibri"/>
      <charset val="1"/>
    </font>
    <font>
      <sz val="10"/>
      <color rgb="FF2E86C1"/>
      <name val="Calibri"/>
      <charset val="1"/>
    </font>
    <font>
      <sz val="9"/>
      <color rgb="FF555555"/>
      <name val="Calibri"/>
      <charset val="1"/>
    </font>
    <font>
      <sz val="9"/>
      <color theme="1"/>
      <name val="Calibri"/>
      <family val="2"/>
      <charset val="1"/>
    </font>
    <font>
      <b/>
      <sz val="13"/>
      <color rgb="FF0D1B2A"/>
      <name val="Calibri"/>
      <charset val="1"/>
    </font>
    <font>
      <b/>
      <sz val="11"/>
      <color rgb="FFC0392B"/>
      <name val="Calibri"/>
      <charset val="1"/>
    </font>
    <font>
      <b/>
      <sz val="9"/>
      <color rgb="FF6C3483"/>
      <name val="Calibri"/>
      <charset val="1"/>
    </font>
    <font>
      <b/>
      <sz val="9"/>
      <color rgb="FF1E8449"/>
      <name val="Calibri"/>
      <charset val="1"/>
    </font>
    <font>
      <b/>
      <sz val="9"/>
      <color rgb="FF7D6608"/>
      <name val="Calibri"/>
      <charset val="1"/>
    </font>
    <font>
      <b/>
      <sz val="9"/>
      <color rgb="FF0E6655"/>
      <name val="Calibri"/>
      <charset val="1"/>
    </font>
    <font>
      <b/>
      <sz val="9"/>
      <color rgb="FFC0392B"/>
      <name val="Calibri"/>
      <charset val="1"/>
    </font>
    <font>
      <i/>
      <sz val="9"/>
      <color rgb="FF555555"/>
      <name val="Calibri"/>
      <charset val="1"/>
    </font>
    <font>
      <b/>
      <sz val="9"/>
      <color rgb="FF1B4F72"/>
      <name val="Calibri"/>
      <charset val="1"/>
    </font>
    <font>
      <b/>
      <sz val="9"/>
      <color rgb="FF375623"/>
      <name val="Arial"/>
      <charset val="1"/>
    </font>
    <font>
      <b/>
      <sz val="9"/>
      <color rgb="FF2E75B6"/>
      <name val="Arial"/>
      <charset val="1"/>
    </font>
    <font>
      <b/>
      <sz val="9"/>
      <color rgb="FF7030A0"/>
      <name val="Arial"/>
      <charset val="1"/>
    </font>
    <font>
      <b/>
      <sz val="14"/>
      <color rgb="FFFFFFFF"/>
      <name val="Calibri"/>
      <charset val="1"/>
    </font>
    <font>
      <b/>
      <sz val="10"/>
      <color rgb="FF555555"/>
      <name val="Calibri"/>
      <charset val="1"/>
    </font>
    <font>
      <b/>
      <sz val="12"/>
      <color rgb="FF0E6655"/>
      <name val="Calibri"/>
      <charset val="1"/>
    </font>
    <font>
      <b/>
      <sz val="13"/>
      <color rgb="FF0E6655"/>
      <name val="Calibri"/>
      <charset val="1"/>
    </font>
    <font>
      <sz val="11"/>
      <color rgb="FF000000"/>
      <name val="Calibri"/>
      <charset val="1"/>
    </font>
    <font>
      <i/>
      <sz val="9"/>
      <color rgb="FF1B4F72"/>
      <name val="Calibri"/>
      <charset val="1"/>
    </font>
    <font>
      <i/>
      <sz val="9"/>
      <color rgb="FF000000"/>
      <name val="Calibri"/>
      <charset val="1"/>
    </font>
    <font>
      <b/>
      <sz val="9"/>
      <color rgb="FF000000"/>
      <name val="Calibri"/>
      <charset val="1"/>
    </font>
    <font>
      <b/>
      <sz val="13"/>
      <color rgb="FFFFFFFF"/>
      <name val="Arial"/>
      <charset val="1"/>
    </font>
    <font>
      <b/>
      <sz val="10"/>
      <color rgb="FF1F3864"/>
      <name val="Arial"/>
      <charset val="1"/>
    </font>
    <font>
      <b/>
      <sz val="10"/>
      <color rgb="FF000080"/>
      <name val="Arial"/>
      <charset val="1"/>
    </font>
    <font>
      <b/>
      <sz val="10"/>
      <color rgb="FFC55A11"/>
      <name val="Arial"/>
      <charset val="1"/>
    </font>
    <font>
      <b/>
      <sz val="13"/>
      <color rgb="FF000080"/>
      <name val="Arial"/>
      <charset val="1"/>
    </font>
    <font>
      <b/>
      <sz val="10"/>
      <color rgb="FF375623"/>
      <name val="Arial"/>
      <charset val="1"/>
    </font>
    <font>
      <b/>
      <sz val="10"/>
      <color rgb="FF000000"/>
      <name val="Arial"/>
      <charset val="1"/>
    </font>
    <font>
      <b/>
      <sz val="12"/>
      <color rgb="FF000080"/>
      <name val="Arial"/>
      <charset val="1"/>
    </font>
    <font>
      <sz val="10"/>
      <color rgb="FF000080"/>
      <name val="Arial"/>
      <charset val="1"/>
    </font>
    <font>
      <b/>
      <sz val="10"/>
      <color rgb="FFC00000"/>
      <name val="Arial"/>
      <charset val="1"/>
    </font>
    <font>
      <b/>
      <sz val="9"/>
      <color rgb="FF000000"/>
      <name val="Arial"/>
      <charset val="1"/>
    </font>
    <font>
      <b/>
      <sz val="11"/>
      <color theme="1"/>
      <name val="Calibri"/>
      <family val="2"/>
    </font>
    <font>
      <i/>
      <sz val="11"/>
      <color theme="1"/>
      <name val="Calibri"/>
      <family val="2"/>
    </font>
    <font>
      <sz val="11"/>
      <color theme="1"/>
      <name val="Calibri"/>
      <family val="2"/>
    </font>
    <font>
      <i/>
      <sz val="8"/>
      <color rgb="FF969696"/>
      <name val="Calibri"/>
      <family val="2"/>
    </font>
    <font>
      <b/>
      <sz val="16"/>
      <color rgb="FFFFFFFF"/>
      <name val="Calibri"/>
      <family val="2"/>
    </font>
    <font>
      <i/>
      <sz val="9"/>
      <color rgb="FFFFFFFF"/>
      <name val="Calibri"/>
      <family val="2"/>
    </font>
    <font>
      <b/>
      <sz val="10"/>
      <color rgb="FFFFFFFF"/>
      <name val="Calibri"/>
      <family val="2"/>
    </font>
    <font>
      <b/>
      <sz val="9"/>
      <color rgb="FFFFFFFF"/>
      <name val="Calibri"/>
      <family val="2"/>
    </font>
    <font>
      <b/>
      <sz val="9"/>
      <color rgb="FF2E86C1"/>
      <name val="Calibri"/>
      <family val="2"/>
    </font>
    <font>
      <b/>
      <sz val="14"/>
      <name val="Arial"/>
      <family val="2"/>
    </font>
    <font>
      <sz val="11"/>
      <name val="Calibri"/>
      <family val="2"/>
      <charset val="1"/>
    </font>
    <font>
      <i/>
      <sz val="9"/>
      <name val="Arial"/>
      <family val="2"/>
    </font>
    <font>
      <b/>
      <sz val="11"/>
      <name val="Arial"/>
      <family val="2"/>
    </font>
    <font>
      <b/>
      <sz val="9"/>
      <name val="Arial"/>
      <family val="2"/>
    </font>
    <font>
      <sz val="10"/>
      <name val="Arial"/>
      <family val="2"/>
    </font>
    <font>
      <sz val="9"/>
      <name val="Arial"/>
      <family val="2"/>
    </font>
    <font>
      <b/>
      <sz val="10"/>
      <name val="Arial"/>
      <family val="2"/>
    </font>
    <font>
      <i/>
      <sz val="8"/>
      <color rgb="FF555555"/>
      <name val="Calibri"/>
      <family val="2"/>
    </font>
    <font>
      <b/>
      <sz val="9"/>
      <color rgb="FF7D6608"/>
      <name val="Calibri"/>
      <family val="2"/>
    </font>
    <font>
      <sz val="9"/>
      <color rgb="FF000000"/>
      <name val="Calibri"/>
      <family val="2"/>
    </font>
    <font>
      <i/>
      <sz val="9"/>
      <color rgb="FF000000"/>
      <name val="Calibri"/>
      <family val="2"/>
    </font>
    <font>
      <b/>
      <sz val="18"/>
      <color theme="1"/>
      <name val="Calibri"/>
      <family val="2"/>
    </font>
    <font>
      <b/>
      <sz val="16"/>
      <color theme="1"/>
      <name val="Calibri"/>
      <family val="2"/>
    </font>
    <font>
      <sz val="9"/>
      <color rgb="FF000000"/>
      <name val="Arial"/>
      <family val="2"/>
    </font>
    <font>
      <sz val="10"/>
      <color rgb="FF000000"/>
      <name val="Arial"/>
      <family val="2"/>
    </font>
    <font>
      <b/>
      <sz val="10"/>
      <color rgb="FFC55A11"/>
      <name val="Arial"/>
      <family val="2"/>
    </font>
    <font>
      <b/>
      <sz val="9"/>
      <color rgb="FFFFFFFF"/>
      <name val="Arial"/>
      <family val="2"/>
    </font>
  </fonts>
  <fills count="48">
    <fill>
      <patternFill patternType="none"/>
    </fill>
    <fill>
      <patternFill patternType="gray125"/>
    </fill>
    <fill>
      <patternFill patternType="solid">
        <fgColor rgb="FF0B1B2B"/>
        <bgColor rgb="FF0D1B2A"/>
      </patternFill>
    </fill>
    <fill>
      <patternFill patternType="solid">
        <fgColor rgb="FF2E86C1"/>
        <bgColor rgb="FF2E75B6"/>
      </patternFill>
    </fill>
    <fill>
      <patternFill patternType="solid">
        <fgColor rgb="FF1E8449"/>
        <bgColor rgb="FF1F7A8C"/>
      </patternFill>
    </fill>
    <fill>
      <patternFill patternType="solid">
        <fgColor rgb="FF6C3483"/>
        <bgColor rgb="FF7030A0"/>
      </patternFill>
    </fill>
    <fill>
      <patternFill patternType="solid">
        <fgColor rgb="FF0E6655"/>
        <bgColor rgb="FF1A5632"/>
      </patternFill>
    </fill>
    <fill>
      <patternFill patternType="solid">
        <fgColor rgb="FF7D6608"/>
        <bgColor rgb="FF5D6064"/>
      </patternFill>
    </fill>
    <fill>
      <patternFill patternType="darkGray">
        <fgColor rgb="FFC0392B"/>
        <bgColor rgb="FFC03923"/>
      </patternFill>
    </fill>
    <fill>
      <patternFill patternType="solid">
        <fgColor rgb="FF1B4F72"/>
        <bgColor rgb="FF1E3A5F"/>
      </patternFill>
    </fill>
    <fill>
      <patternFill patternType="solid">
        <fgColor rgb="FFD6EAF8"/>
        <bgColor rgb="FFD6EEF2"/>
      </patternFill>
    </fill>
    <fill>
      <patternFill patternType="solid">
        <fgColor rgb="FFD5F5E3"/>
        <bgColor rgb="FFD6EEF2"/>
      </patternFill>
    </fill>
    <fill>
      <patternFill patternType="solid">
        <fgColor rgb="FFE8DAEF"/>
        <bgColor rgb="FFE9D7F5"/>
      </patternFill>
    </fill>
    <fill>
      <patternFill patternType="solid">
        <fgColor rgb="FFFEF9E7"/>
        <bgColor rgb="FFF2F3F4"/>
      </patternFill>
    </fill>
    <fill>
      <patternFill patternType="solid">
        <fgColor rgb="FFD0ECE7"/>
        <bgColor rgb="FFD6EEF2"/>
      </patternFill>
    </fill>
    <fill>
      <patternFill patternType="solid">
        <fgColor rgb="FFFADBD8"/>
        <bgColor rgb="FFFCE4D6"/>
      </patternFill>
    </fill>
    <fill>
      <patternFill patternType="solid">
        <fgColor rgb="FFFFFFFF"/>
        <bgColor rgb="FFFEF9E7"/>
      </patternFill>
    </fill>
    <fill>
      <patternFill patternType="solid">
        <fgColor rgb="FFF2F3F4"/>
        <bgColor rgb="FFF2F2F2"/>
      </patternFill>
    </fill>
    <fill>
      <patternFill patternType="solid">
        <fgColor rgb="FFEBF5FB"/>
        <bgColor rgb="FFF2F3F4"/>
      </patternFill>
    </fill>
    <fill>
      <patternFill patternType="solid">
        <fgColor rgb="FF1F7A8C"/>
        <bgColor rgb="FF2E75B6"/>
      </patternFill>
    </fill>
    <fill>
      <patternFill patternType="solid">
        <fgColor rgb="FF1D3864"/>
        <bgColor rgb="FF1E3A5F"/>
      </patternFill>
    </fill>
    <fill>
      <patternFill patternType="darkGray">
        <fgColor rgb="FF7030A0"/>
        <bgColor rgb="FF6D2299"/>
      </patternFill>
    </fill>
    <fill>
      <patternFill patternType="solid">
        <fgColor rgb="FFF2F2F2"/>
        <bgColor rgb="FFF2F3F4"/>
      </patternFill>
    </fill>
    <fill>
      <patternFill patternType="solid">
        <fgColor rgb="FF375623"/>
        <bgColor rgb="FF1A5632"/>
      </patternFill>
    </fill>
    <fill>
      <patternFill patternType="solid">
        <fgColor rgb="FFC55A11"/>
        <bgColor rgb="FFC03923"/>
      </patternFill>
    </fill>
    <fill>
      <patternFill patternType="solid">
        <fgColor rgb="FF2E75B6"/>
        <bgColor rgb="FF2E86C1"/>
      </patternFill>
    </fill>
    <fill>
      <patternFill patternType="solid">
        <fgColor rgb="FF0078D4"/>
        <bgColor rgb="FF2E75B6"/>
      </patternFill>
    </fill>
    <fill>
      <patternFill patternType="solid">
        <fgColor rgb="FFFFF2CC"/>
        <bgColor rgb="FFFEF9E7"/>
      </patternFill>
    </fill>
    <fill>
      <patternFill patternType="solid">
        <fgColor rgb="FFFCE4D6"/>
        <bgColor rgb="FFFADBD8"/>
      </patternFill>
    </fill>
    <fill>
      <patternFill patternType="solid">
        <fgColor rgb="FFBDD7EE"/>
        <bgColor rgb="FFD5D8DC"/>
      </patternFill>
    </fill>
    <fill>
      <patternFill patternType="solid">
        <fgColor rgb="FFE2EFDA"/>
        <bgColor rgb="FFD5F5E3"/>
      </patternFill>
    </fill>
    <fill>
      <patternFill patternType="mediumGray">
        <fgColor rgb="FF680000"/>
        <bgColor rgb="FF2B1A20"/>
      </patternFill>
    </fill>
    <fill>
      <patternFill patternType="darkGray">
        <fgColor rgb="FF191E2F"/>
        <bgColor rgb="FF2B1A20"/>
      </patternFill>
    </fill>
    <fill>
      <patternFill patternType="solid">
        <fgColor rgb="FF1A5632"/>
        <bgColor rgb="FF375623"/>
      </patternFill>
    </fill>
    <fill>
      <patternFill patternType="solid">
        <fgColor rgb="FFD4AC0D"/>
        <bgColor rgb="FFBFBFBF"/>
      </patternFill>
    </fill>
    <fill>
      <patternFill patternType="solid">
        <fgColor rgb="FFFAE7EB"/>
        <bgColor rgb="FFF9E8F2"/>
      </patternFill>
    </fill>
    <fill>
      <patternFill patternType="solid">
        <fgColor rgb="FFF9E8F2"/>
        <bgColor rgb="FFFAE7EB"/>
      </patternFill>
    </fill>
    <fill>
      <patternFill patternType="solid">
        <fgColor rgb="FFE9D7F5"/>
        <bgColor rgb="FFE8DAEF"/>
      </patternFill>
    </fill>
    <fill>
      <patternFill patternType="solid">
        <fgColor rgb="FFD6EEF2"/>
        <bgColor rgb="FFD6EAF8"/>
      </patternFill>
    </fill>
    <fill>
      <patternFill patternType="solid">
        <fgColor rgb="FFFFF29E"/>
        <bgColor rgb="FFFFF2CC"/>
      </patternFill>
    </fill>
    <fill>
      <patternFill patternType="solid">
        <fgColor rgb="FFCCFFCC"/>
        <bgColor indexed="64"/>
      </patternFill>
    </fill>
    <fill>
      <patternFill patternType="solid">
        <fgColor rgb="FFCCFFFF"/>
        <bgColor indexed="64"/>
      </patternFill>
    </fill>
    <fill>
      <patternFill patternType="solid">
        <fgColor rgb="FF0D1B2A"/>
        <bgColor indexed="64"/>
      </patternFill>
    </fill>
    <fill>
      <patternFill patternType="solid">
        <fgColor rgb="FF2E86C1"/>
        <bgColor indexed="64"/>
      </patternFill>
    </fill>
    <fill>
      <patternFill patternType="solid">
        <fgColor rgb="FFEBF5FB"/>
        <bgColor indexed="64"/>
      </patternFill>
    </fill>
    <fill>
      <patternFill patternType="solid">
        <fgColor rgb="FFFFFFFF"/>
        <bgColor indexed="64"/>
      </patternFill>
    </fill>
    <fill>
      <patternFill patternType="solid">
        <fgColor theme="0"/>
        <bgColor indexed="64"/>
      </patternFill>
    </fill>
    <fill>
      <patternFill patternType="solid">
        <fgColor rgb="FFF2F2F2"/>
        <bgColor indexed="64"/>
      </patternFill>
    </fill>
  </fills>
  <borders count="9">
    <border>
      <left/>
      <right/>
      <top/>
      <bottom/>
      <diagonal/>
    </border>
    <border>
      <left style="medium">
        <color rgb="FFFFFFFF"/>
      </left>
      <right style="medium">
        <color rgb="FFFFFFFF"/>
      </right>
      <top style="medium">
        <color rgb="FFFFFFFF"/>
      </top>
      <bottom style="medium">
        <color rgb="FFFFFFFF"/>
      </bottom>
      <diagonal/>
    </border>
    <border>
      <left style="thin">
        <color rgb="FFD5D8DC"/>
      </left>
      <right style="thin">
        <color rgb="FFD5D8DC"/>
      </right>
      <top style="thin">
        <color rgb="FFD5D8DC"/>
      </top>
      <bottom style="thin">
        <color rgb="FFD5D8DC"/>
      </bottom>
      <diagonal/>
    </border>
    <border>
      <left style="thin">
        <color rgb="FFBFBFBF"/>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medium">
        <color rgb="FF404040"/>
      </left>
      <right style="medium">
        <color rgb="FF404040"/>
      </right>
      <top style="medium">
        <color rgb="FF404040"/>
      </top>
      <bottom style="medium">
        <color rgb="FF404040"/>
      </bottom>
      <diagonal/>
    </border>
    <border>
      <left style="thin">
        <color rgb="FF333333"/>
      </left>
      <right style="thin">
        <color rgb="FF333333"/>
      </right>
      <top style="thin">
        <color rgb="FF333333"/>
      </top>
      <bottom style="thin">
        <color rgb="FF333333"/>
      </bottom>
      <diagonal/>
    </border>
    <border>
      <left style="medium">
        <color rgb="FF1E8449"/>
      </left>
      <right style="medium">
        <color rgb="FF1E8449"/>
      </right>
      <top style="medium">
        <color rgb="FF1E8449"/>
      </top>
      <bottom style="medium">
        <color rgb="FF1E8449"/>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61">
    <xf numFmtId="0" fontId="0" fillId="0" borderId="0" xfId="0"/>
    <xf numFmtId="0" fontId="0" fillId="2" borderId="0" xfId="0" applyFill="1"/>
    <xf numFmtId="0" fontId="3" fillId="3" borderId="1" xfId="0" applyFont="1" applyFill="1" applyBorder="1" applyAlignment="1">
      <alignment horizontal="center" vertical="center"/>
    </xf>
    <xf numFmtId="0" fontId="3" fillId="4" borderId="1" xfId="0" applyFont="1" applyFill="1" applyBorder="1" applyAlignment="1">
      <alignment horizontal="center" vertical="center"/>
    </xf>
    <xf numFmtId="0" fontId="3" fillId="5" borderId="1" xfId="0" applyFont="1" applyFill="1" applyBorder="1" applyAlignment="1">
      <alignment horizontal="center" vertical="center"/>
    </xf>
    <xf numFmtId="0" fontId="3" fillId="6" borderId="1" xfId="0" applyFont="1" applyFill="1" applyBorder="1" applyAlignment="1">
      <alignment horizontal="center" vertical="center"/>
    </xf>
    <xf numFmtId="0" fontId="3" fillId="7" borderId="1" xfId="0" applyFont="1" applyFill="1" applyBorder="1" applyAlignment="1">
      <alignment horizontal="center" vertical="center"/>
    </xf>
    <xf numFmtId="0" fontId="3" fillId="8" borderId="1" xfId="0" applyFont="1" applyFill="1" applyBorder="1" applyAlignment="1">
      <alignment horizontal="center" vertical="center"/>
    </xf>
    <xf numFmtId="0" fontId="5" fillId="10" borderId="2" xfId="0" applyFont="1" applyFill="1" applyBorder="1" applyAlignment="1">
      <alignment horizontal="center" vertical="center"/>
    </xf>
    <xf numFmtId="0" fontId="6" fillId="11" borderId="2" xfId="0" applyFont="1" applyFill="1" applyBorder="1" applyAlignment="1">
      <alignment horizontal="center" vertical="center"/>
    </xf>
    <xf numFmtId="0" fontId="7" fillId="12" borderId="2" xfId="0" applyFont="1" applyFill="1" applyBorder="1" applyAlignment="1">
      <alignment horizontal="center" vertical="center"/>
    </xf>
    <xf numFmtId="0" fontId="8" fillId="13" borderId="2" xfId="0" applyFont="1" applyFill="1" applyBorder="1" applyAlignment="1">
      <alignment horizontal="center" vertical="center"/>
    </xf>
    <xf numFmtId="0" fontId="9" fillId="14" borderId="2" xfId="0" applyFont="1" applyFill="1" applyBorder="1" applyAlignment="1">
      <alignment horizontal="center" vertical="center"/>
    </xf>
    <xf numFmtId="0" fontId="10" fillId="15" borderId="2" xfId="0" applyFont="1" applyFill="1" applyBorder="1" applyAlignment="1">
      <alignment horizontal="center" vertical="center"/>
    </xf>
    <xf numFmtId="1" fontId="11" fillId="16" borderId="2" xfId="0" applyNumberFormat="1" applyFont="1" applyFill="1" applyBorder="1" applyAlignment="1">
      <alignment horizontal="center" vertical="center"/>
    </xf>
    <xf numFmtId="1" fontId="12" fillId="16" borderId="2" xfId="0" applyNumberFormat="1" applyFont="1" applyFill="1" applyBorder="1" applyAlignment="1">
      <alignment horizontal="center" vertical="center"/>
    </xf>
    <xf numFmtId="1" fontId="13" fillId="16" borderId="2" xfId="0" applyNumberFormat="1" applyFont="1" applyFill="1" applyBorder="1" applyAlignment="1">
      <alignment horizontal="center" vertical="center"/>
    </xf>
    <xf numFmtId="1" fontId="14" fillId="16" borderId="2" xfId="0" applyNumberFormat="1" applyFont="1" applyFill="1" applyBorder="1" applyAlignment="1">
      <alignment horizontal="center" vertical="center"/>
    </xf>
    <xf numFmtId="1" fontId="15" fillId="16" borderId="2" xfId="0" applyNumberFormat="1" applyFont="1" applyFill="1" applyBorder="1" applyAlignment="1">
      <alignment horizontal="center" vertical="center"/>
    </xf>
    <xf numFmtId="49" fontId="16" fillId="16" borderId="2" xfId="0" applyNumberFormat="1" applyFont="1" applyFill="1" applyBorder="1" applyAlignment="1">
      <alignment horizontal="center" vertical="center"/>
    </xf>
    <xf numFmtId="0" fontId="17" fillId="10" borderId="2" xfId="0" applyFont="1" applyFill="1" applyBorder="1" applyAlignment="1">
      <alignment horizontal="center" vertical="center"/>
    </xf>
    <xf numFmtId="0" fontId="17" fillId="11" borderId="2" xfId="0" applyFont="1" applyFill="1" applyBorder="1" applyAlignment="1">
      <alignment horizontal="center" vertical="center"/>
    </xf>
    <xf numFmtId="0" fontId="17" fillId="12" borderId="2" xfId="0" applyFont="1" applyFill="1" applyBorder="1" applyAlignment="1">
      <alignment horizontal="center" vertical="center"/>
    </xf>
    <xf numFmtId="0" fontId="17" fillId="13" borderId="2" xfId="0" applyFont="1" applyFill="1" applyBorder="1" applyAlignment="1">
      <alignment horizontal="center" vertical="center"/>
    </xf>
    <xf numFmtId="0" fontId="17" fillId="14" borderId="2" xfId="0" applyFont="1" applyFill="1" applyBorder="1" applyAlignment="1">
      <alignment horizontal="center" vertical="center"/>
    </xf>
    <xf numFmtId="0" fontId="17" fillId="15" borderId="2" xfId="0" applyFont="1" applyFill="1" applyBorder="1" applyAlignment="1">
      <alignment horizontal="center" vertical="center"/>
    </xf>
    <xf numFmtId="0" fontId="18" fillId="17" borderId="2" xfId="0" applyFont="1" applyFill="1" applyBorder="1" applyAlignment="1">
      <alignment horizontal="left" vertical="center"/>
    </xf>
    <xf numFmtId="164" fontId="19" fillId="16" borderId="2" xfId="0" applyNumberFormat="1" applyFont="1" applyFill="1" applyBorder="1" applyAlignment="1">
      <alignment horizontal="center" vertical="center"/>
    </xf>
    <xf numFmtId="164" fontId="21" fillId="16" borderId="2" xfId="0" applyNumberFormat="1" applyFont="1" applyFill="1" applyBorder="1" applyAlignment="1">
      <alignment horizontal="center" vertical="center"/>
    </xf>
    <xf numFmtId="164" fontId="22" fillId="16" borderId="2" xfId="0" applyNumberFormat="1" applyFont="1" applyFill="1" applyBorder="1" applyAlignment="1">
      <alignment horizontal="center" vertical="center"/>
    </xf>
    <xf numFmtId="164" fontId="23" fillId="16" borderId="2" xfId="0" applyNumberFormat="1" applyFont="1" applyFill="1" applyBorder="1" applyAlignment="1">
      <alignment horizontal="center" vertical="center"/>
    </xf>
    <xf numFmtId="164" fontId="24" fillId="16" borderId="2" xfId="0" applyNumberFormat="1" applyFont="1" applyFill="1" applyBorder="1" applyAlignment="1">
      <alignment horizontal="center" vertical="center"/>
    </xf>
    <xf numFmtId="0" fontId="27" fillId="20" borderId="3" xfId="0" applyFont="1" applyFill="1" applyBorder="1" applyAlignment="1">
      <alignment horizontal="center" vertical="center"/>
    </xf>
    <xf numFmtId="0" fontId="27" fillId="21" borderId="3" xfId="0" applyFont="1" applyFill="1" applyBorder="1" applyAlignment="1">
      <alignment horizontal="center" vertical="center"/>
    </xf>
    <xf numFmtId="0" fontId="27" fillId="23" borderId="3" xfId="0" applyFont="1" applyFill="1" applyBorder="1" applyAlignment="1">
      <alignment horizontal="center" vertical="center"/>
    </xf>
    <xf numFmtId="0" fontId="27" fillId="24" borderId="3" xfId="0" applyFont="1" applyFill="1" applyBorder="1" applyAlignment="1">
      <alignment horizontal="center" vertical="center"/>
    </xf>
    <xf numFmtId="0" fontId="27" fillId="25" borderId="3" xfId="0" applyFont="1" applyFill="1" applyBorder="1" applyAlignment="1">
      <alignment horizontal="center" vertical="center"/>
    </xf>
    <xf numFmtId="0" fontId="27" fillId="26" borderId="3" xfId="0" applyFont="1" applyFill="1" applyBorder="1" applyAlignment="1">
      <alignment horizontal="center" vertical="center"/>
    </xf>
    <xf numFmtId="0" fontId="27" fillId="20" borderId="3" xfId="0" applyFont="1" applyFill="1" applyBorder="1" applyAlignment="1">
      <alignment horizontal="center" vertical="center" wrapText="1"/>
    </xf>
    <xf numFmtId="0" fontId="29" fillId="27" borderId="5" xfId="0" applyFont="1" applyFill="1" applyBorder="1" applyAlignment="1">
      <alignment horizontal="center" vertical="center"/>
    </xf>
    <xf numFmtId="2" fontId="29" fillId="27" borderId="5" xfId="0" applyNumberFormat="1" applyFont="1" applyFill="1" applyBorder="1" applyAlignment="1">
      <alignment horizontal="center" vertical="center"/>
    </xf>
    <xf numFmtId="9" fontId="29" fillId="27" borderId="5" xfId="0" applyNumberFormat="1" applyFont="1" applyFill="1" applyBorder="1" applyAlignment="1">
      <alignment horizontal="center" vertical="center"/>
    </xf>
    <xf numFmtId="0" fontId="31" fillId="28" borderId="5" xfId="0" applyFont="1" applyFill="1" applyBorder="1" applyAlignment="1">
      <alignment horizontal="center" vertical="center"/>
    </xf>
    <xf numFmtId="0" fontId="32" fillId="29" borderId="5" xfId="0" applyFont="1" applyFill="1" applyBorder="1" applyAlignment="1">
      <alignment horizontal="center" vertical="center"/>
    </xf>
    <xf numFmtId="0" fontId="33" fillId="30" borderId="5" xfId="0" applyFont="1" applyFill="1" applyBorder="1" applyAlignment="1">
      <alignment horizontal="center" vertical="center"/>
    </xf>
    <xf numFmtId="9" fontId="33" fillId="30" borderId="5" xfId="0" applyNumberFormat="1" applyFont="1" applyFill="1" applyBorder="1" applyAlignment="1">
      <alignment horizontal="center" vertical="center"/>
    </xf>
    <xf numFmtId="0" fontId="27" fillId="32" borderId="3" xfId="0" applyFont="1" applyFill="1" applyBorder="1" applyAlignment="1">
      <alignment horizontal="center" vertical="center" wrapText="1"/>
    </xf>
    <xf numFmtId="0" fontId="34" fillId="28" borderId="3" xfId="0" applyFont="1" applyFill="1" applyBorder="1" applyAlignment="1">
      <alignment horizontal="left" vertical="center" wrapText="1"/>
    </xf>
    <xf numFmtId="0" fontId="34" fillId="28" borderId="3" xfId="0" applyFont="1" applyFill="1" applyBorder="1" applyAlignment="1">
      <alignment horizontal="center" vertical="center" wrapText="1"/>
    </xf>
    <xf numFmtId="0" fontId="34" fillId="27" borderId="3" xfId="0" applyFont="1" applyFill="1" applyBorder="1" applyAlignment="1">
      <alignment horizontal="left" vertical="center" wrapText="1"/>
    </xf>
    <xf numFmtId="0" fontId="34" fillId="27" borderId="3" xfId="0" applyFont="1" applyFill="1" applyBorder="1" applyAlignment="1">
      <alignment horizontal="center" vertical="center" wrapText="1"/>
    </xf>
    <xf numFmtId="0" fontId="37" fillId="2" borderId="2" xfId="0" applyFont="1" applyFill="1" applyBorder="1" applyAlignment="1">
      <alignment horizontal="center" vertical="center"/>
    </xf>
    <xf numFmtId="0" fontId="0" fillId="10" borderId="2" xfId="0" applyFill="1" applyBorder="1"/>
    <xf numFmtId="0" fontId="0" fillId="16" borderId="0" xfId="0" applyFill="1"/>
    <xf numFmtId="0" fontId="37" fillId="33" borderId="2" xfId="0" applyFont="1" applyFill="1" applyBorder="1" applyAlignment="1">
      <alignment horizontal="center" vertical="center"/>
    </xf>
    <xf numFmtId="0" fontId="0" fillId="11" borderId="2" xfId="0" applyFill="1" applyBorder="1"/>
    <xf numFmtId="0" fontId="37" fillId="5" borderId="2" xfId="0" applyFont="1" applyFill="1" applyBorder="1" applyAlignment="1">
      <alignment horizontal="center" vertical="center"/>
    </xf>
    <xf numFmtId="0" fontId="0" fillId="12" borderId="2" xfId="0" applyFill="1" applyBorder="1"/>
    <xf numFmtId="0" fontId="37" fillId="34" borderId="2" xfId="0" applyFont="1" applyFill="1" applyBorder="1" applyAlignment="1">
      <alignment horizontal="center" vertical="center"/>
    </xf>
    <xf numFmtId="0" fontId="0" fillId="13" borderId="2" xfId="0" applyFill="1" applyBorder="1"/>
    <xf numFmtId="0" fontId="37" fillId="3" borderId="2" xfId="0" applyFont="1" applyFill="1" applyBorder="1" applyAlignment="1">
      <alignment horizontal="center" vertical="center"/>
    </xf>
    <xf numFmtId="0" fontId="37" fillId="8" borderId="2" xfId="0" applyFont="1" applyFill="1" applyBorder="1" applyAlignment="1">
      <alignment horizontal="center" vertical="center"/>
    </xf>
    <xf numFmtId="0" fontId="0" fillId="15" borderId="2" xfId="0" applyFill="1" applyBorder="1"/>
    <xf numFmtId="0" fontId="44" fillId="18" borderId="2" xfId="0" applyFont="1" applyFill="1" applyBorder="1" applyAlignment="1">
      <alignment horizontal="left" vertical="center"/>
    </xf>
    <xf numFmtId="0" fontId="44" fillId="16" borderId="2" xfId="0" applyFont="1" applyFill="1" applyBorder="1" applyAlignment="1">
      <alignment horizontal="left" vertical="center"/>
    </xf>
    <xf numFmtId="0" fontId="45" fillId="16" borderId="2" xfId="0" applyFont="1" applyFill="1" applyBorder="1" applyAlignment="1">
      <alignment horizontal="left" vertical="center"/>
    </xf>
    <xf numFmtId="0" fontId="3" fillId="3" borderId="2" xfId="0" applyFont="1" applyFill="1" applyBorder="1" applyAlignment="1">
      <alignment horizontal="center" vertical="center"/>
    </xf>
    <xf numFmtId="0" fontId="47" fillId="20" borderId="3" xfId="0" applyFont="1" applyFill="1" applyBorder="1" applyAlignment="1">
      <alignment horizontal="center" vertical="center" wrapText="1"/>
    </xf>
    <xf numFmtId="0" fontId="48" fillId="10" borderId="2" xfId="0" applyFont="1" applyFill="1" applyBorder="1" applyAlignment="1">
      <alignment horizontal="left" vertical="center"/>
    </xf>
    <xf numFmtId="0" fontId="20" fillId="16" borderId="2" xfId="0" applyFont="1" applyFill="1" applyBorder="1" applyAlignment="1">
      <alignment horizontal="center" vertical="center"/>
    </xf>
    <xf numFmtId="0" fontId="45" fillId="16" borderId="2" xfId="0" applyFont="1" applyFill="1" applyBorder="1" applyAlignment="1">
      <alignment horizontal="left" vertical="center" wrapText="1"/>
    </xf>
    <xf numFmtId="0" fontId="17" fillId="17" borderId="2" xfId="0" applyFont="1" applyFill="1" applyBorder="1" applyAlignment="1">
      <alignment horizontal="left" vertical="center" wrapText="1"/>
    </xf>
    <xf numFmtId="0" fontId="49" fillId="16" borderId="2" xfId="0" applyFont="1" applyFill="1" applyBorder="1" applyAlignment="1">
      <alignment horizontal="center" vertical="center"/>
    </xf>
    <xf numFmtId="0" fontId="45" fillId="16" borderId="2" xfId="0" applyFont="1" applyFill="1" applyBorder="1" applyAlignment="1">
      <alignment horizontal="center" vertical="center"/>
    </xf>
    <xf numFmtId="1" fontId="24" fillId="13" borderId="2" xfId="0" applyNumberFormat="1" applyFont="1" applyFill="1" applyBorder="1" applyAlignment="1">
      <alignment horizontal="center" vertical="center"/>
    </xf>
    <xf numFmtId="0" fontId="50" fillId="29" borderId="3" xfId="0" applyFont="1" applyFill="1" applyBorder="1" applyAlignment="1">
      <alignment horizontal="center" vertical="center"/>
    </xf>
    <xf numFmtId="0" fontId="51" fillId="28" borderId="3" xfId="0" applyFont="1" applyFill="1" applyBorder="1" applyAlignment="1">
      <alignment horizontal="center" vertical="center"/>
    </xf>
    <xf numFmtId="0" fontId="0" fillId="27" borderId="3" xfId="0" applyFill="1" applyBorder="1" applyAlignment="1">
      <alignment horizontal="left" vertical="center"/>
    </xf>
    <xf numFmtId="0" fontId="52" fillId="13" borderId="2" xfId="0" applyFont="1" applyFill="1" applyBorder="1" applyAlignment="1">
      <alignment horizontal="left" vertical="center"/>
    </xf>
    <xf numFmtId="0" fontId="53" fillId="12" borderId="2" xfId="0" applyFont="1" applyFill="1" applyBorder="1" applyAlignment="1">
      <alignment horizontal="left" vertical="center"/>
    </xf>
    <xf numFmtId="0" fontId="54" fillId="15" borderId="2" xfId="0" applyFont="1" applyFill="1" applyBorder="1" applyAlignment="1">
      <alignment horizontal="left" vertical="center"/>
    </xf>
    <xf numFmtId="0" fontId="55" fillId="14" borderId="2" xfId="0" applyFont="1" applyFill="1" applyBorder="1" applyAlignment="1">
      <alignment horizontal="left" vertical="center"/>
    </xf>
    <xf numFmtId="0" fontId="56" fillId="11" borderId="2" xfId="0" applyFont="1" applyFill="1" applyBorder="1" applyAlignment="1">
      <alignment horizontal="left" vertical="center"/>
    </xf>
    <xf numFmtId="0" fontId="57" fillId="35" borderId="2" xfId="0" applyFont="1" applyFill="1" applyBorder="1" applyAlignment="1">
      <alignment horizontal="left" vertical="center"/>
    </xf>
    <xf numFmtId="0" fontId="58" fillId="36" borderId="2" xfId="0" applyFont="1" applyFill="1" applyBorder="1" applyAlignment="1">
      <alignment horizontal="left" vertical="center"/>
    </xf>
    <xf numFmtId="0" fontId="3" fillId="2" borderId="2" xfId="0" applyFont="1" applyFill="1" applyBorder="1" applyAlignment="1">
      <alignment horizontal="center" vertical="center"/>
    </xf>
    <xf numFmtId="0" fontId="59" fillId="17" borderId="2" xfId="0" applyFont="1" applyFill="1" applyBorder="1" applyAlignment="1">
      <alignment horizontal="left" vertical="center"/>
    </xf>
    <xf numFmtId="1" fontId="24" fillId="16" borderId="2" xfId="0" applyNumberFormat="1" applyFont="1" applyFill="1" applyBorder="1" applyAlignment="1">
      <alignment horizontal="center" vertical="center"/>
    </xf>
    <xf numFmtId="164" fontId="60" fillId="16" borderId="2" xfId="0" applyNumberFormat="1" applyFont="1" applyFill="1" applyBorder="1" applyAlignment="1">
      <alignment horizontal="center" vertical="center"/>
    </xf>
    <xf numFmtId="0" fontId="61" fillId="17" borderId="2" xfId="0" applyFont="1" applyFill="1" applyBorder="1" applyAlignment="1">
      <alignment horizontal="center" vertical="center"/>
    </xf>
    <xf numFmtId="0" fontId="19" fillId="10" borderId="2" xfId="0" applyFont="1" applyFill="1" applyBorder="1" applyAlignment="1">
      <alignment horizontal="center" vertical="center"/>
    </xf>
    <xf numFmtId="0" fontId="61" fillId="16" borderId="2" xfId="0" applyFont="1" applyFill="1" applyBorder="1" applyAlignment="1">
      <alignment horizontal="left" vertical="center" wrapText="1"/>
    </xf>
    <xf numFmtId="0" fontId="3" fillId="5" borderId="2" xfId="0" applyFont="1" applyFill="1" applyBorder="1" applyAlignment="1">
      <alignment horizontal="center" vertical="center"/>
    </xf>
    <xf numFmtId="0" fontId="22" fillId="12" borderId="2" xfId="0" applyFont="1" applyFill="1" applyBorder="1" applyAlignment="1">
      <alignment horizontal="center" vertical="center"/>
    </xf>
    <xf numFmtId="0" fontId="3" fillId="4" borderId="2" xfId="0" applyFont="1" applyFill="1" applyBorder="1" applyAlignment="1">
      <alignment horizontal="center" vertical="center"/>
    </xf>
    <xf numFmtId="0" fontId="21" fillId="11" borderId="2" xfId="0" applyFont="1" applyFill="1" applyBorder="1" applyAlignment="1">
      <alignment horizontal="center" vertical="center"/>
    </xf>
    <xf numFmtId="0" fontId="3" fillId="7" borderId="2" xfId="0" applyFont="1" applyFill="1" applyBorder="1" applyAlignment="1">
      <alignment horizontal="center" vertical="center"/>
    </xf>
    <xf numFmtId="0" fontId="24" fillId="13" borderId="2" xfId="0" applyFont="1" applyFill="1" applyBorder="1" applyAlignment="1">
      <alignment horizontal="center" vertical="center"/>
    </xf>
    <xf numFmtId="0" fontId="3" fillId="6" borderId="2" xfId="0" applyFont="1" applyFill="1" applyBorder="1" applyAlignment="1">
      <alignment horizontal="center" vertical="center"/>
    </xf>
    <xf numFmtId="0" fontId="23" fillId="14" borderId="2" xfId="0" applyFont="1" applyFill="1" applyBorder="1" applyAlignment="1">
      <alignment horizontal="center" vertical="center"/>
    </xf>
    <xf numFmtId="0" fontId="3" fillId="8" borderId="2" xfId="0" applyFont="1" applyFill="1" applyBorder="1" applyAlignment="1">
      <alignment horizontal="center" vertical="center"/>
    </xf>
    <xf numFmtId="0" fontId="64" fillId="15" borderId="2" xfId="0" applyFont="1" applyFill="1" applyBorder="1" applyAlignment="1">
      <alignment horizontal="center" vertical="center"/>
    </xf>
    <xf numFmtId="0" fontId="44" fillId="17" borderId="2" xfId="0" applyFont="1" applyFill="1" applyBorder="1" applyAlignment="1">
      <alignment horizontal="left" vertical="center"/>
    </xf>
    <xf numFmtId="0" fontId="48" fillId="16" borderId="2" xfId="0" applyFont="1" applyFill="1" applyBorder="1" applyAlignment="1">
      <alignment horizontal="left" vertical="center"/>
    </xf>
    <xf numFmtId="0" fontId="65" fillId="17" borderId="2" xfId="0" applyFont="1" applyFill="1" applyBorder="1" applyAlignment="1">
      <alignment horizontal="left" vertical="center"/>
    </xf>
    <xf numFmtId="0" fontId="53" fillId="16" borderId="2" xfId="0" applyFont="1" applyFill="1" applyBorder="1" applyAlignment="1">
      <alignment horizontal="left" vertical="center"/>
    </xf>
    <xf numFmtId="0" fontId="66" fillId="17" borderId="2" xfId="0" applyFont="1" applyFill="1" applyBorder="1" applyAlignment="1">
      <alignment horizontal="left" vertical="center"/>
    </xf>
    <xf numFmtId="0" fontId="56" fillId="16" borderId="2" xfId="0" applyFont="1" applyFill="1" applyBorder="1" applyAlignment="1">
      <alignment horizontal="left" vertical="center"/>
    </xf>
    <xf numFmtId="0" fontId="67" fillId="17" borderId="2" xfId="0" applyFont="1" applyFill="1" applyBorder="1" applyAlignment="1">
      <alignment horizontal="left" vertical="center"/>
    </xf>
    <xf numFmtId="0" fontId="52" fillId="16" borderId="2" xfId="0" applyFont="1" applyFill="1" applyBorder="1" applyAlignment="1">
      <alignment horizontal="left" vertical="center"/>
    </xf>
    <xf numFmtId="0" fontId="68" fillId="17" borderId="2" xfId="0" applyFont="1" applyFill="1" applyBorder="1" applyAlignment="1">
      <alignment horizontal="left" vertical="center"/>
    </xf>
    <xf numFmtId="0" fontId="55" fillId="16" borderId="2" xfId="0" applyFont="1" applyFill="1" applyBorder="1" applyAlignment="1">
      <alignment horizontal="left" vertical="center"/>
    </xf>
    <xf numFmtId="0" fontId="69" fillId="17" borderId="2" xfId="0" applyFont="1" applyFill="1" applyBorder="1" applyAlignment="1">
      <alignment horizontal="left" vertical="center"/>
    </xf>
    <xf numFmtId="0" fontId="54" fillId="16" borderId="2" xfId="0" applyFont="1" applyFill="1" applyBorder="1" applyAlignment="1">
      <alignment horizontal="left" vertical="center"/>
    </xf>
    <xf numFmtId="0" fontId="18" fillId="17" borderId="2" xfId="0" applyFont="1" applyFill="1" applyBorder="1" applyAlignment="1">
      <alignment horizontal="left" vertical="center" wrapText="1"/>
    </xf>
    <xf numFmtId="0" fontId="69" fillId="15" borderId="2" xfId="0" applyFont="1" applyFill="1" applyBorder="1" applyAlignment="1">
      <alignment horizontal="center" vertical="center"/>
    </xf>
    <xf numFmtId="0" fontId="45" fillId="17" borderId="2" xfId="0" applyFont="1" applyFill="1" applyBorder="1" applyAlignment="1">
      <alignment horizontal="left" vertical="center" wrapText="1"/>
    </xf>
    <xf numFmtId="0" fontId="70" fillId="17" borderId="2" xfId="0" applyFont="1" applyFill="1" applyBorder="1" applyAlignment="1">
      <alignment horizontal="left" vertical="center" wrapText="1"/>
    </xf>
    <xf numFmtId="0" fontId="71" fillId="17" borderId="2" xfId="0" applyFont="1" applyFill="1" applyBorder="1" applyAlignment="1">
      <alignment horizontal="left" vertical="center"/>
    </xf>
    <xf numFmtId="0" fontId="67" fillId="13" borderId="2" xfId="0" applyFont="1" applyFill="1" applyBorder="1" applyAlignment="1">
      <alignment horizontal="center" vertical="center"/>
    </xf>
    <xf numFmtId="0" fontId="72" fillId="30" borderId="3" xfId="0" applyFont="1" applyFill="1" applyBorder="1" applyAlignment="1">
      <alignment horizontal="center" vertical="center"/>
    </xf>
    <xf numFmtId="0" fontId="73" fillId="29" borderId="3" xfId="0" applyFont="1" applyFill="1" applyBorder="1" applyAlignment="1">
      <alignment horizontal="center" vertical="center"/>
    </xf>
    <xf numFmtId="0" fontId="74" fillId="37" borderId="3" xfId="0" applyFont="1" applyFill="1" applyBorder="1" applyAlignment="1">
      <alignment horizontal="center" vertical="center"/>
    </xf>
    <xf numFmtId="0" fontId="18" fillId="16" borderId="2" xfId="0" applyFont="1" applyFill="1" applyBorder="1" applyAlignment="1">
      <alignment horizontal="left" vertical="center" wrapText="1"/>
    </xf>
    <xf numFmtId="0" fontId="70" fillId="16" borderId="2" xfId="0" applyFont="1" applyFill="1" applyBorder="1" applyAlignment="1">
      <alignment horizontal="left" vertical="center" wrapText="1"/>
    </xf>
    <xf numFmtId="0" fontId="71" fillId="16" borderId="2" xfId="0" applyFont="1" applyFill="1" applyBorder="1" applyAlignment="1">
      <alignment horizontal="left" vertical="center"/>
    </xf>
    <xf numFmtId="0" fontId="44" fillId="10" borderId="2" xfId="0" applyFont="1" applyFill="1" applyBorder="1" applyAlignment="1">
      <alignment horizontal="center" vertical="center"/>
    </xf>
    <xf numFmtId="0" fontId="0" fillId="17" borderId="2" xfId="0" applyFill="1" applyBorder="1"/>
    <xf numFmtId="0" fontId="0" fillId="16" borderId="2" xfId="0" applyFill="1" applyBorder="1"/>
    <xf numFmtId="0" fontId="44" fillId="10" borderId="2" xfId="0" applyFont="1" applyFill="1" applyBorder="1" applyAlignment="1">
      <alignment horizontal="left" vertical="center"/>
    </xf>
    <xf numFmtId="0" fontId="66" fillId="11" borderId="2" xfId="0" applyFont="1" applyFill="1" applyBorder="1" applyAlignment="1">
      <alignment horizontal="left" vertical="center"/>
    </xf>
    <xf numFmtId="0" fontId="67" fillId="13" borderId="2" xfId="0" applyFont="1" applyFill="1" applyBorder="1" applyAlignment="1">
      <alignment horizontal="left" vertical="center"/>
    </xf>
    <xf numFmtId="0" fontId="69" fillId="15" borderId="2" xfId="0" applyFont="1" applyFill="1" applyBorder="1" applyAlignment="1">
      <alignment horizontal="left" vertical="center"/>
    </xf>
    <xf numFmtId="1" fontId="76" fillId="17" borderId="2" xfId="0" applyNumberFormat="1" applyFont="1" applyFill="1" applyBorder="1" applyAlignment="1">
      <alignment horizontal="center" vertical="center"/>
    </xf>
    <xf numFmtId="0" fontId="77" fillId="16" borderId="2" xfId="0" applyFont="1" applyFill="1" applyBorder="1" applyAlignment="1">
      <alignment horizontal="center" vertical="center"/>
    </xf>
    <xf numFmtId="164" fontId="78" fillId="14" borderId="2" xfId="0" applyNumberFormat="1" applyFont="1" applyFill="1" applyBorder="1" applyAlignment="1">
      <alignment horizontal="center" vertical="center"/>
    </xf>
    <xf numFmtId="9" fontId="72" fillId="30" borderId="3" xfId="0" applyNumberFormat="1" applyFont="1" applyFill="1" applyBorder="1" applyAlignment="1">
      <alignment horizontal="center" vertical="center"/>
    </xf>
    <xf numFmtId="0" fontId="79" fillId="17" borderId="2" xfId="0" applyFont="1" applyFill="1" applyBorder="1" applyAlignment="1">
      <alignment horizontal="center" vertical="center"/>
    </xf>
    <xf numFmtId="0" fontId="20" fillId="17" borderId="2" xfId="0" applyFont="1" applyFill="1" applyBorder="1" applyAlignment="1">
      <alignment horizontal="center" vertical="center"/>
    </xf>
    <xf numFmtId="0" fontId="18" fillId="16" borderId="2" xfId="0" applyFont="1" applyFill="1" applyBorder="1" applyAlignment="1">
      <alignment horizontal="left" vertical="center"/>
    </xf>
    <xf numFmtId="0" fontId="79" fillId="16" borderId="2" xfId="0" applyFont="1" applyFill="1" applyBorder="1" applyAlignment="1">
      <alignment horizontal="center" vertical="center"/>
    </xf>
    <xf numFmtId="0" fontId="80" fillId="17" borderId="2" xfId="0" applyFont="1" applyFill="1" applyBorder="1" applyAlignment="1">
      <alignment horizontal="left" vertical="center"/>
    </xf>
    <xf numFmtId="0" fontId="45" fillId="17" borderId="2" xfId="0" applyFont="1" applyFill="1" applyBorder="1" applyAlignment="1">
      <alignment horizontal="left" vertical="center"/>
    </xf>
    <xf numFmtId="0" fontId="81" fillId="17" borderId="2" xfId="0" applyFont="1" applyFill="1" applyBorder="1" applyAlignment="1">
      <alignment horizontal="left" vertical="center" wrapText="1"/>
    </xf>
    <xf numFmtId="0" fontId="82" fillId="16" borderId="2" xfId="0" applyFont="1" applyFill="1" applyBorder="1" applyAlignment="1">
      <alignment horizontal="center" vertical="center"/>
    </xf>
    <xf numFmtId="0" fontId="61" fillId="16" borderId="2" xfId="0" applyFont="1" applyFill="1" applyBorder="1" applyAlignment="1">
      <alignment horizontal="center" vertical="center"/>
    </xf>
    <xf numFmtId="0" fontId="80" fillId="16" borderId="2" xfId="0" applyFont="1" applyFill="1" applyBorder="1" applyAlignment="1">
      <alignment horizontal="left" vertical="center"/>
    </xf>
    <xf numFmtId="0" fontId="81" fillId="16" borderId="2" xfId="0" applyFont="1" applyFill="1" applyBorder="1" applyAlignment="1">
      <alignment horizontal="left" vertical="center" wrapText="1"/>
    </xf>
    <xf numFmtId="0" fontId="27" fillId="19" borderId="3" xfId="0" applyFont="1" applyFill="1" applyBorder="1" applyAlignment="1">
      <alignment horizontal="center" vertical="center" wrapText="1"/>
    </xf>
    <xf numFmtId="0" fontId="28" fillId="27" borderId="3" xfId="0" applyFont="1" applyFill="1" applyBorder="1" applyAlignment="1">
      <alignment horizontal="left" vertical="center" wrapText="1"/>
    </xf>
    <xf numFmtId="0" fontId="28" fillId="22" borderId="3" xfId="0" applyFont="1" applyFill="1" applyBorder="1" applyAlignment="1">
      <alignment horizontal="left" vertical="center" wrapText="1"/>
    </xf>
    <xf numFmtId="0" fontId="85" fillId="27" borderId="3" xfId="0" applyFont="1" applyFill="1" applyBorder="1" applyAlignment="1">
      <alignment horizontal="center" vertical="center"/>
    </xf>
    <xf numFmtId="0" fontId="85" fillId="29" borderId="3" xfId="0" applyFont="1" applyFill="1" applyBorder="1" applyAlignment="1">
      <alignment horizontal="center" vertical="center"/>
    </xf>
    <xf numFmtId="0" fontId="86" fillId="28" borderId="3" xfId="0" applyFont="1" applyFill="1" applyBorder="1" applyAlignment="1">
      <alignment horizontal="center" vertical="center"/>
    </xf>
    <xf numFmtId="0" fontId="28" fillId="27" borderId="3" xfId="0" applyFont="1" applyFill="1" applyBorder="1" applyAlignment="1">
      <alignment horizontal="center" vertical="center"/>
    </xf>
    <xf numFmtId="0" fontId="86" fillId="27" borderId="3" xfId="0" applyFont="1" applyFill="1" applyBorder="1" applyAlignment="1">
      <alignment horizontal="center" vertical="center"/>
    </xf>
    <xf numFmtId="0" fontId="28" fillId="16" borderId="3" xfId="0" applyFont="1" applyFill="1" applyBorder="1" applyAlignment="1">
      <alignment horizontal="left" vertical="center" wrapText="1"/>
    </xf>
    <xf numFmtId="0" fontId="87" fillId="27" borderId="5" xfId="0" applyFont="1" applyFill="1" applyBorder="1" applyAlignment="1">
      <alignment horizontal="center" vertical="center"/>
    </xf>
    <xf numFmtId="0" fontId="28" fillId="22" borderId="3" xfId="0" applyFont="1" applyFill="1" applyBorder="1" applyAlignment="1">
      <alignment horizontal="center" vertical="center"/>
    </xf>
    <xf numFmtId="0" fontId="28" fillId="22" borderId="3" xfId="0" applyFont="1" applyFill="1" applyBorder="1" applyAlignment="1">
      <alignment horizontal="left" vertical="center"/>
    </xf>
    <xf numFmtId="0" fontId="88" fillId="30" borderId="3" xfId="0" applyFont="1" applyFill="1" applyBorder="1" applyAlignment="1">
      <alignment horizontal="center" vertical="center"/>
    </xf>
    <xf numFmtId="0" fontId="28" fillId="16" borderId="3" xfId="0" applyFont="1" applyFill="1" applyBorder="1" applyAlignment="1">
      <alignment horizontal="center" vertical="center"/>
    </xf>
    <xf numFmtId="0" fontId="28" fillId="16" borderId="3" xfId="0" applyFont="1" applyFill="1" applyBorder="1" applyAlignment="1">
      <alignment horizontal="left" vertical="center"/>
    </xf>
    <xf numFmtId="9" fontId="87" fillId="27" borderId="5" xfId="0" applyNumberFormat="1" applyFont="1" applyFill="1" applyBorder="1" applyAlignment="1">
      <alignment horizontal="center" vertical="center"/>
    </xf>
    <xf numFmtId="166" fontId="85" fillId="16" borderId="3" xfId="0" applyNumberFormat="1" applyFont="1" applyFill="1" applyBorder="1" applyAlignment="1">
      <alignment horizontal="center" vertical="center"/>
    </xf>
    <xf numFmtId="3" fontId="85" fillId="16" borderId="3" xfId="0" applyNumberFormat="1" applyFont="1" applyFill="1" applyBorder="1" applyAlignment="1">
      <alignment horizontal="center" vertical="center"/>
    </xf>
    <xf numFmtId="2" fontId="85" fillId="16" borderId="3" xfId="0" applyNumberFormat="1" applyFont="1" applyFill="1" applyBorder="1" applyAlignment="1">
      <alignment horizontal="center" vertical="center"/>
    </xf>
    <xf numFmtId="0" fontId="86" fillId="16" borderId="3" xfId="0" applyFont="1" applyFill="1" applyBorder="1" applyAlignment="1">
      <alignment horizontal="center" vertical="center"/>
    </xf>
    <xf numFmtId="166" fontId="85" fillId="22" borderId="3" xfId="0" applyNumberFormat="1" applyFont="1" applyFill="1" applyBorder="1" applyAlignment="1">
      <alignment horizontal="center" vertical="center"/>
    </xf>
    <xf numFmtId="3" fontId="85" fillId="22" borderId="3" xfId="0" applyNumberFormat="1" applyFont="1" applyFill="1" applyBorder="1" applyAlignment="1">
      <alignment horizontal="center" vertical="center"/>
    </xf>
    <xf numFmtId="2" fontId="85" fillId="22" borderId="3" xfId="0" applyNumberFormat="1" applyFont="1" applyFill="1" applyBorder="1" applyAlignment="1">
      <alignment horizontal="center" vertical="center"/>
    </xf>
    <xf numFmtId="0" fontId="86" fillId="22" borderId="3" xfId="0" applyFont="1" applyFill="1" applyBorder="1" applyAlignment="1">
      <alignment horizontal="center" vertical="center"/>
    </xf>
    <xf numFmtId="166" fontId="87" fillId="27" borderId="5" xfId="0" applyNumberFormat="1" applyFont="1" applyFill="1" applyBorder="1" applyAlignment="1">
      <alignment horizontal="center" vertical="center"/>
    </xf>
    <xf numFmtId="2" fontId="87" fillId="27" borderId="5" xfId="0" applyNumberFormat="1" applyFont="1" applyFill="1" applyBorder="1" applyAlignment="1">
      <alignment horizontal="center" vertical="center"/>
    </xf>
    <xf numFmtId="0" fontId="89" fillId="27" borderId="3" xfId="0" applyFont="1" applyFill="1" applyBorder="1" applyAlignment="1">
      <alignment horizontal="left" vertical="center"/>
    </xf>
    <xf numFmtId="0" fontId="28" fillId="29" borderId="3" xfId="0" applyFont="1" applyFill="1" applyBorder="1" applyAlignment="1">
      <alignment horizontal="left" vertical="center" wrapText="1"/>
    </xf>
    <xf numFmtId="0" fontId="28" fillId="29" borderId="3" xfId="0" applyFont="1" applyFill="1" applyBorder="1" applyAlignment="1">
      <alignment horizontal="center" vertical="center"/>
    </xf>
    <xf numFmtId="9" fontId="85" fillId="27" borderId="3" xfId="0" applyNumberFormat="1" applyFont="1" applyFill="1" applyBorder="1" applyAlignment="1">
      <alignment horizontal="center" vertical="center"/>
    </xf>
    <xf numFmtId="0" fontId="28" fillId="30" borderId="3" xfId="0" applyFont="1" applyFill="1" applyBorder="1" applyAlignment="1">
      <alignment horizontal="left" vertical="center" wrapText="1"/>
    </xf>
    <xf numFmtId="0" fontId="28" fillId="30" borderId="3" xfId="0" applyFont="1" applyFill="1" applyBorder="1" applyAlignment="1">
      <alignment horizontal="center" vertical="center"/>
    </xf>
    <xf numFmtId="0" fontId="28" fillId="28" borderId="3" xfId="0" applyFont="1" applyFill="1" applyBorder="1" applyAlignment="1">
      <alignment horizontal="left" vertical="center" wrapText="1"/>
    </xf>
    <xf numFmtId="0" fontId="28" fillId="28" borderId="3" xfId="0" applyFont="1" applyFill="1" applyBorder="1" applyAlignment="1">
      <alignment horizontal="center" vertical="center"/>
    </xf>
    <xf numFmtId="0" fontId="28" fillId="37" borderId="3" xfId="0" applyFont="1" applyFill="1" applyBorder="1" applyAlignment="1">
      <alignment horizontal="left" vertical="center" wrapText="1"/>
    </xf>
    <xf numFmtId="0" fontId="28" fillId="37" borderId="3" xfId="0" applyFont="1" applyFill="1" applyBorder="1" applyAlignment="1">
      <alignment horizontal="center" vertical="center"/>
    </xf>
    <xf numFmtId="0" fontId="28" fillId="38" borderId="3" xfId="0" applyFont="1" applyFill="1" applyBorder="1" applyAlignment="1">
      <alignment horizontal="left" vertical="center" wrapText="1"/>
    </xf>
    <xf numFmtId="0" fontId="28" fillId="38" borderId="3" xfId="0" applyFont="1" applyFill="1" applyBorder="1" applyAlignment="1">
      <alignment horizontal="center" vertical="center"/>
    </xf>
    <xf numFmtId="9" fontId="90" fillId="27" borderId="5" xfId="0" applyNumberFormat="1" applyFont="1" applyFill="1" applyBorder="1" applyAlignment="1">
      <alignment horizontal="center" vertical="center"/>
    </xf>
    <xf numFmtId="0" fontId="91" fillId="16" borderId="3" xfId="0" applyFont="1" applyFill="1" applyBorder="1" applyAlignment="1">
      <alignment horizontal="center" vertical="center"/>
    </xf>
    <xf numFmtId="166" fontId="91" fillId="16" borderId="3" xfId="0" applyNumberFormat="1" applyFont="1" applyFill="1" applyBorder="1" applyAlignment="1">
      <alignment horizontal="center" vertical="center"/>
    </xf>
    <xf numFmtId="3" fontId="91" fillId="16" borderId="3" xfId="0" applyNumberFormat="1" applyFont="1" applyFill="1" applyBorder="1" applyAlignment="1">
      <alignment horizontal="center" vertical="center"/>
    </xf>
    <xf numFmtId="2" fontId="88" fillId="30" borderId="3" xfId="0" applyNumberFormat="1" applyFont="1" applyFill="1" applyBorder="1" applyAlignment="1">
      <alignment horizontal="center" vertical="center"/>
    </xf>
    <xf numFmtId="0" fontId="91" fillId="22" borderId="3" xfId="0" applyFont="1" applyFill="1" applyBorder="1" applyAlignment="1">
      <alignment horizontal="center" vertical="center"/>
    </xf>
    <xf numFmtId="166" fontId="91" fillId="22" borderId="3" xfId="0" applyNumberFormat="1" applyFont="1" applyFill="1" applyBorder="1" applyAlignment="1">
      <alignment horizontal="center" vertical="center"/>
    </xf>
    <xf numFmtId="3" fontId="91" fillId="22" borderId="3" xfId="0" applyNumberFormat="1" applyFont="1" applyFill="1" applyBorder="1" applyAlignment="1">
      <alignment horizontal="center" vertical="center"/>
    </xf>
    <xf numFmtId="3" fontId="87" fillId="27" borderId="5" xfId="0" applyNumberFormat="1" applyFont="1" applyFill="1" applyBorder="1" applyAlignment="1">
      <alignment horizontal="center" vertical="center"/>
    </xf>
    <xf numFmtId="1" fontId="87" fillId="27" borderId="5" xfId="0" applyNumberFormat="1" applyFont="1" applyFill="1" applyBorder="1" applyAlignment="1">
      <alignment horizontal="center" vertical="center"/>
    </xf>
    <xf numFmtId="0" fontId="28" fillId="29" borderId="3" xfId="0" applyFont="1" applyFill="1" applyBorder="1" applyAlignment="1">
      <alignment horizontal="left" vertical="center"/>
    </xf>
    <xf numFmtId="0" fontId="28" fillId="38" borderId="3" xfId="0" applyFont="1" applyFill="1" applyBorder="1" applyAlignment="1">
      <alignment horizontal="left" vertical="center"/>
    </xf>
    <xf numFmtId="0" fontId="28" fillId="28" borderId="3" xfId="0" applyFont="1" applyFill="1" applyBorder="1" applyAlignment="1">
      <alignment horizontal="left" vertical="center"/>
    </xf>
    <xf numFmtId="0" fontId="28" fillId="37" borderId="3" xfId="0" applyFont="1" applyFill="1" applyBorder="1" applyAlignment="1">
      <alignment horizontal="left" vertical="center"/>
    </xf>
    <xf numFmtId="0" fontId="28" fillId="30" borderId="3" xfId="0" applyFont="1" applyFill="1" applyBorder="1" applyAlignment="1">
      <alignment horizontal="left" vertical="center"/>
    </xf>
    <xf numFmtId="0" fontId="28" fillId="27" borderId="3" xfId="0" applyFont="1" applyFill="1" applyBorder="1" applyAlignment="1">
      <alignment horizontal="left" vertical="center"/>
    </xf>
    <xf numFmtId="0" fontId="89" fillId="22" borderId="3" xfId="0" applyFont="1" applyFill="1" applyBorder="1" applyAlignment="1">
      <alignment horizontal="left" vertical="center"/>
    </xf>
    <xf numFmtId="9" fontId="85" fillId="16" borderId="3" xfId="0" applyNumberFormat="1" applyFont="1" applyFill="1" applyBorder="1" applyAlignment="1">
      <alignment horizontal="center" vertical="center"/>
    </xf>
    <xf numFmtId="0" fontId="92" fillId="28" borderId="3" xfId="0" applyFont="1" applyFill="1" applyBorder="1" applyAlignment="1">
      <alignment horizontal="center" vertical="center"/>
    </xf>
    <xf numFmtId="0" fontId="26" fillId="20" borderId="3" xfId="0" applyFont="1" applyFill="1" applyBorder="1" applyAlignment="1">
      <alignment horizontal="left" vertical="center"/>
    </xf>
    <xf numFmtId="0" fontId="26" fillId="19" borderId="3" xfId="0" applyFont="1" applyFill="1" applyBorder="1" applyAlignment="1">
      <alignment horizontal="center" vertical="center" wrapText="1"/>
    </xf>
    <xf numFmtId="9" fontId="85" fillId="22" borderId="3" xfId="0" applyNumberFormat="1" applyFont="1" applyFill="1" applyBorder="1" applyAlignment="1">
      <alignment horizontal="center" vertical="center"/>
    </xf>
    <xf numFmtId="0" fontId="84" fillId="20" borderId="3" xfId="0" applyFont="1" applyFill="1" applyBorder="1" applyAlignment="1">
      <alignment horizontal="center" vertical="center"/>
    </xf>
    <xf numFmtId="0" fontId="89" fillId="27" borderId="3" xfId="0" applyFont="1" applyFill="1" applyBorder="1" applyAlignment="1">
      <alignment horizontal="center" vertical="center"/>
    </xf>
    <xf numFmtId="0" fontId="93" fillId="30" borderId="3" xfId="0" applyFont="1" applyFill="1" applyBorder="1" applyAlignment="1">
      <alignment horizontal="center" vertical="center"/>
    </xf>
    <xf numFmtId="0" fontId="34" fillId="30" borderId="3" xfId="0" applyFont="1" applyFill="1" applyBorder="1" applyAlignment="1">
      <alignment horizontal="left" vertical="center" wrapText="1"/>
    </xf>
    <xf numFmtId="0" fontId="34" fillId="27" borderId="3" xfId="0" applyFont="1" applyFill="1" applyBorder="1" applyAlignment="1">
      <alignment horizontal="left" vertical="center"/>
    </xf>
    <xf numFmtId="0" fontId="93" fillId="27" borderId="3" xfId="0" applyFont="1" applyFill="1" applyBorder="1" applyAlignment="1">
      <alignment horizontal="center" vertical="center"/>
    </xf>
    <xf numFmtId="0" fontId="34" fillId="27" borderId="3" xfId="0" applyFont="1" applyFill="1" applyBorder="1" applyAlignment="1">
      <alignment horizontal="center" vertical="center"/>
    </xf>
    <xf numFmtId="0" fontId="34" fillId="30" borderId="3" xfId="0" applyFont="1" applyFill="1" applyBorder="1" applyAlignment="1">
      <alignment horizontal="left" vertical="center"/>
    </xf>
    <xf numFmtId="0" fontId="93" fillId="29" borderId="3" xfId="0" applyFont="1" applyFill="1" applyBorder="1" applyAlignment="1">
      <alignment horizontal="center" vertical="center"/>
    </xf>
    <xf numFmtId="0" fontId="34" fillId="29" borderId="3" xfId="0" applyFont="1" applyFill="1" applyBorder="1" applyAlignment="1">
      <alignment horizontal="left" vertical="center" wrapText="1"/>
    </xf>
    <xf numFmtId="0" fontId="34" fillId="29" borderId="3" xfId="0" applyFont="1" applyFill="1" applyBorder="1" applyAlignment="1">
      <alignment horizontal="left" vertical="center"/>
    </xf>
    <xf numFmtId="0" fontId="93" fillId="22" borderId="3" xfId="0" applyFont="1" applyFill="1" applyBorder="1" applyAlignment="1">
      <alignment horizontal="center" vertical="center"/>
    </xf>
    <xf numFmtId="0" fontId="34" fillId="22" borderId="3" xfId="0" applyFont="1" applyFill="1" applyBorder="1" applyAlignment="1">
      <alignment horizontal="left" vertical="center" wrapText="1"/>
    </xf>
    <xf numFmtId="0" fontId="34" fillId="22" borderId="3" xfId="0" applyFont="1" applyFill="1" applyBorder="1" applyAlignment="1">
      <alignment horizontal="left" vertical="center"/>
    </xf>
    <xf numFmtId="0" fontId="89" fillId="16" borderId="3" xfId="0" applyFont="1" applyFill="1" applyBorder="1" applyAlignment="1">
      <alignment horizontal="center" vertical="center"/>
    </xf>
    <xf numFmtId="0" fontId="85" fillId="16" borderId="3" xfId="0" applyFont="1" applyFill="1" applyBorder="1" applyAlignment="1">
      <alignment horizontal="center" vertical="center"/>
    </xf>
    <xf numFmtId="0" fontId="89" fillId="22" borderId="3" xfId="0" applyFont="1" applyFill="1" applyBorder="1" applyAlignment="1">
      <alignment horizontal="center" vertical="center"/>
    </xf>
    <xf numFmtId="0" fontId="85" fillId="22" borderId="3" xfId="0" applyFont="1" applyFill="1" applyBorder="1" applyAlignment="1">
      <alignment horizontal="center" vertical="center"/>
    </xf>
    <xf numFmtId="0" fontId="89" fillId="29" borderId="3" xfId="0" applyFont="1" applyFill="1" applyBorder="1" applyAlignment="1">
      <alignment horizontal="center" vertical="center"/>
    </xf>
    <xf numFmtId="9" fontId="85" fillId="29" borderId="3" xfId="0" applyNumberFormat="1" applyFont="1" applyFill="1" applyBorder="1" applyAlignment="1">
      <alignment horizontal="center" vertical="center"/>
    </xf>
    <xf numFmtId="0" fontId="29" fillId="22" borderId="3" xfId="0" applyFont="1" applyFill="1" applyBorder="1" applyAlignment="1">
      <alignment horizontal="center" vertical="center"/>
    </xf>
    <xf numFmtId="0" fontId="29" fillId="29" borderId="3" xfId="0" applyFont="1" applyFill="1" applyBorder="1" applyAlignment="1">
      <alignment horizontal="center" vertical="center"/>
    </xf>
    <xf numFmtId="0" fontId="29" fillId="27" borderId="3" xfId="0" applyFont="1" applyFill="1" applyBorder="1" applyAlignment="1">
      <alignment horizontal="center" vertical="center"/>
    </xf>
    <xf numFmtId="0" fontId="29" fillId="30" borderId="3" xfId="0" applyFont="1" applyFill="1" applyBorder="1" applyAlignment="1">
      <alignment horizontal="center" vertical="center"/>
    </xf>
    <xf numFmtId="0" fontId="90" fillId="27" borderId="3" xfId="0" applyFont="1" applyFill="1" applyBorder="1" applyAlignment="1">
      <alignment horizontal="center" vertical="center"/>
    </xf>
    <xf numFmtId="0" fontId="90" fillId="22" borderId="3" xfId="0" applyFont="1" applyFill="1" applyBorder="1" applyAlignment="1">
      <alignment horizontal="center" vertical="center"/>
    </xf>
    <xf numFmtId="0" fontId="90" fillId="29" borderId="3" xfId="0" applyFont="1" applyFill="1" applyBorder="1" applyAlignment="1">
      <alignment horizontal="center" vertical="center"/>
    </xf>
    <xf numFmtId="0" fontId="90" fillId="30" borderId="3" xfId="0" applyFont="1" applyFill="1" applyBorder="1" applyAlignment="1">
      <alignment horizontal="center" vertical="center"/>
    </xf>
    <xf numFmtId="9" fontId="90" fillId="27" borderId="3" xfId="0" applyNumberFormat="1" applyFont="1" applyFill="1" applyBorder="1" applyAlignment="1">
      <alignment horizontal="center" vertical="center"/>
    </xf>
    <xf numFmtId="0" fontId="26" fillId="25" borderId="3" xfId="0" applyFont="1" applyFill="1" applyBorder="1" applyAlignment="1">
      <alignment horizontal="center" vertical="center" wrapText="1"/>
    </xf>
    <xf numFmtId="0" fontId="93" fillId="39" borderId="3" xfId="0" applyFont="1" applyFill="1" applyBorder="1" applyAlignment="1">
      <alignment horizontal="center" vertical="center"/>
    </xf>
    <xf numFmtId="0" fontId="93" fillId="39" borderId="3" xfId="0" applyFont="1" applyFill="1" applyBorder="1" applyAlignment="1">
      <alignment horizontal="left" vertical="center" wrapText="1"/>
    </xf>
    <xf numFmtId="0" fontId="34" fillId="39" borderId="3" xfId="0" applyFont="1" applyFill="1" applyBorder="1" applyAlignment="1">
      <alignment horizontal="center" vertical="center"/>
    </xf>
    <xf numFmtId="9" fontId="34" fillId="39" borderId="3" xfId="0" applyNumberFormat="1" applyFont="1" applyFill="1" applyBorder="1" applyAlignment="1">
      <alignment horizontal="center" vertical="center"/>
    </xf>
    <xf numFmtId="0" fontId="34" fillId="39" borderId="3" xfId="0" applyFont="1" applyFill="1" applyBorder="1" applyAlignment="1">
      <alignment horizontal="left" vertical="center" wrapText="1"/>
    </xf>
    <xf numFmtId="0" fontId="93" fillId="30" borderId="3" xfId="0" applyFont="1" applyFill="1" applyBorder="1" applyAlignment="1">
      <alignment horizontal="left" vertical="center" wrapText="1"/>
    </xf>
    <xf numFmtId="0" fontId="34" fillId="30" borderId="3" xfId="0" applyFont="1" applyFill="1" applyBorder="1" applyAlignment="1">
      <alignment horizontal="center" vertical="center"/>
    </xf>
    <xf numFmtId="9" fontId="34" fillId="30" borderId="3" xfId="0" applyNumberFormat="1" applyFont="1" applyFill="1" applyBorder="1" applyAlignment="1">
      <alignment horizontal="center" vertical="center"/>
    </xf>
    <xf numFmtId="0" fontId="93" fillId="29" borderId="3" xfId="0" applyFont="1" applyFill="1" applyBorder="1" applyAlignment="1">
      <alignment horizontal="left" vertical="center" wrapText="1"/>
    </xf>
    <xf numFmtId="0" fontId="34" fillId="29" borderId="3" xfId="0" applyFont="1" applyFill="1" applyBorder="1" applyAlignment="1">
      <alignment horizontal="center" vertical="center"/>
    </xf>
    <xf numFmtId="9" fontId="34" fillId="29" borderId="3" xfId="0" applyNumberFormat="1" applyFont="1" applyFill="1" applyBorder="1" applyAlignment="1">
      <alignment horizontal="center" vertical="center"/>
    </xf>
    <xf numFmtId="0" fontId="93" fillId="16" borderId="3" xfId="0" applyFont="1" applyFill="1" applyBorder="1" applyAlignment="1">
      <alignment horizontal="center" vertical="center"/>
    </xf>
    <xf numFmtId="0" fontId="93" fillId="16" borderId="3" xfId="0" applyFont="1" applyFill="1" applyBorder="1" applyAlignment="1">
      <alignment horizontal="left" vertical="center" wrapText="1"/>
    </xf>
    <xf numFmtId="0" fontId="34" fillId="16" borderId="3" xfId="0" applyFont="1" applyFill="1" applyBorder="1" applyAlignment="1">
      <alignment horizontal="center" vertical="center"/>
    </xf>
    <xf numFmtId="9" fontId="34" fillId="16" borderId="3" xfId="0" applyNumberFormat="1" applyFont="1" applyFill="1" applyBorder="1" applyAlignment="1">
      <alignment horizontal="center" vertical="center"/>
    </xf>
    <xf numFmtId="0" fontId="34" fillId="16" borderId="3" xfId="0" applyFont="1" applyFill="1" applyBorder="1" applyAlignment="1">
      <alignment horizontal="left" vertical="center" wrapText="1"/>
    </xf>
    <xf numFmtId="0" fontId="26" fillId="20" borderId="3" xfId="0" applyFont="1" applyFill="1" applyBorder="1" applyAlignment="1">
      <alignment horizontal="center" vertical="center"/>
    </xf>
    <xf numFmtId="0" fontId="27" fillId="25" borderId="3" xfId="0" applyFont="1" applyFill="1" applyBorder="1" applyAlignment="1">
      <alignment horizontal="center" vertical="center" wrapText="1"/>
    </xf>
    <xf numFmtId="0" fontId="51" fillId="22" borderId="3" xfId="0" applyFont="1" applyFill="1" applyBorder="1" applyAlignment="1">
      <alignment horizontal="center" vertical="center"/>
    </xf>
    <xf numFmtId="0" fontId="51" fillId="16" borderId="3" xfId="0" applyFont="1" applyFill="1" applyBorder="1" applyAlignment="1">
      <alignment horizontal="center" vertical="center"/>
    </xf>
    <xf numFmtId="0" fontId="94" fillId="0" borderId="0" xfId="0" applyFont="1"/>
    <xf numFmtId="0" fontId="95" fillId="0" borderId="0" xfId="0" applyFont="1"/>
    <xf numFmtId="0" fontId="96" fillId="0" borderId="0" xfId="0" applyFont="1"/>
    <xf numFmtId="0" fontId="94" fillId="40" borderId="0" xfId="0" applyFont="1" applyFill="1"/>
    <xf numFmtId="0" fontId="94" fillId="41" borderId="0" xfId="0" applyFont="1" applyFill="1"/>
    <xf numFmtId="0" fontId="101" fillId="43" borderId="2" xfId="0" applyFont="1" applyFill="1" applyBorder="1" applyAlignment="1">
      <alignment horizontal="center" vertical="center"/>
    </xf>
    <xf numFmtId="0" fontId="102" fillId="44" borderId="2" xfId="0" applyFont="1" applyFill="1" applyBorder="1" applyAlignment="1">
      <alignment horizontal="center" vertical="center"/>
    </xf>
    <xf numFmtId="0" fontId="62" fillId="44" borderId="2" xfId="0" applyFont="1" applyFill="1" applyBorder="1" applyAlignment="1">
      <alignment horizontal="center" vertical="center"/>
    </xf>
    <xf numFmtId="1" fontId="62" fillId="44" borderId="2" xfId="0" applyNumberFormat="1" applyFont="1" applyFill="1" applyBorder="1" applyAlignment="1">
      <alignment horizontal="center" vertical="center"/>
    </xf>
    <xf numFmtId="9" fontId="62" fillId="44" borderId="2" xfId="0" applyNumberFormat="1" applyFont="1" applyFill="1" applyBorder="1" applyAlignment="1">
      <alignment horizontal="center" vertical="center"/>
    </xf>
    <xf numFmtId="0" fontId="102" fillId="45" borderId="2" xfId="0" applyFont="1" applyFill="1" applyBorder="1" applyAlignment="1">
      <alignment horizontal="center" vertical="center"/>
    </xf>
    <xf numFmtId="0" fontId="62" fillId="45" borderId="2" xfId="0" applyFont="1" applyFill="1" applyBorder="1" applyAlignment="1">
      <alignment horizontal="center" vertical="center"/>
    </xf>
    <xf numFmtId="1" fontId="62" fillId="45" borderId="2" xfId="0" applyNumberFormat="1" applyFont="1" applyFill="1" applyBorder="1" applyAlignment="1">
      <alignment horizontal="center" vertical="center"/>
    </xf>
    <xf numFmtId="9" fontId="62" fillId="45" borderId="2" xfId="0" applyNumberFormat="1" applyFont="1" applyFill="1" applyBorder="1" applyAlignment="1">
      <alignment horizontal="center" vertical="center"/>
    </xf>
    <xf numFmtId="0" fontId="104" fillId="46" borderId="0" xfId="0" applyFont="1" applyFill="1"/>
    <xf numFmtId="0" fontId="107" fillId="46" borderId="6" xfId="0" applyFont="1" applyFill="1" applyBorder="1" applyAlignment="1">
      <alignment horizontal="center" vertical="center" wrapText="1"/>
    </xf>
    <xf numFmtId="0" fontId="107" fillId="46" borderId="6" xfId="0" applyFont="1" applyFill="1" applyBorder="1" applyAlignment="1">
      <alignment horizontal="left" vertical="center" wrapText="1"/>
    </xf>
    <xf numFmtId="0" fontId="108" fillId="46" borderId="6" xfId="0" applyFont="1" applyFill="1" applyBorder="1" applyAlignment="1">
      <alignment horizontal="center" vertical="center" wrapText="1"/>
    </xf>
    <xf numFmtId="0" fontId="109" fillId="46" borderId="6" xfId="0" applyFont="1" applyFill="1" applyBorder="1" applyAlignment="1">
      <alignment horizontal="center" vertical="center" wrapText="1"/>
    </xf>
    <xf numFmtId="0" fontId="110" fillId="46" borderId="6" xfId="0" applyFont="1" applyFill="1" applyBorder="1" applyAlignment="1">
      <alignment horizontal="center" vertical="center" wrapText="1"/>
    </xf>
    <xf numFmtId="0" fontId="109" fillId="46" borderId="6" xfId="0" applyFont="1" applyFill="1" applyBorder="1" applyAlignment="1">
      <alignment horizontal="left" vertical="center" wrapText="1"/>
    </xf>
    <xf numFmtId="165" fontId="109" fillId="46" borderId="6" xfId="0" applyNumberFormat="1" applyFont="1" applyFill="1" applyBorder="1" applyAlignment="1">
      <alignment horizontal="center" vertical="center" wrapText="1"/>
    </xf>
    <xf numFmtId="0" fontId="107" fillId="46" borderId="6" xfId="0" applyFont="1" applyFill="1" applyBorder="1" applyAlignment="1">
      <alignment horizontal="left" vertical="center"/>
    </xf>
    <xf numFmtId="0" fontId="109" fillId="46" borderId="6" xfId="0" applyFont="1" applyFill="1" applyBorder="1" applyAlignment="1">
      <alignment horizontal="center" vertical="center"/>
    </xf>
    <xf numFmtId="0" fontId="107" fillId="46" borderId="6" xfId="0" applyFont="1" applyFill="1" applyBorder="1" applyAlignment="1">
      <alignment horizontal="center" vertical="center"/>
    </xf>
    <xf numFmtId="0" fontId="109" fillId="46" borderId="6" xfId="0" applyFont="1" applyFill="1" applyBorder="1" applyAlignment="1">
      <alignment horizontal="left" vertical="center"/>
    </xf>
    <xf numFmtId="9" fontId="109" fillId="46" borderId="6" xfId="0" applyNumberFormat="1" applyFont="1" applyFill="1" applyBorder="1" applyAlignment="1">
      <alignment horizontal="center" vertical="center" wrapText="1"/>
    </xf>
    <xf numFmtId="165" fontId="107" fillId="46" borderId="6" xfId="0" applyNumberFormat="1" applyFont="1" applyFill="1" applyBorder="1" applyAlignment="1">
      <alignment horizontal="center" vertical="center" wrapText="1"/>
    </xf>
    <xf numFmtId="10" fontId="107" fillId="46" borderId="6" xfId="0" applyNumberFormat="1" applyFont="1" applyFill="1" applyBorder="1" applyAlignment="1">
      <alignment horizontal="center" vertical="center" wrapText="1"/>
    </xf>
    <xf numFmtId="165" fontId="106" fillId="46" borderId="6" xfId="0" applyNumberFormat="1" applyFont="1" applyFill="1" applyBorder="1" applyAlignment="1">
      <alignment horizontal="center" vertical="center" wrapText="1"/>
    </xf>
    <xf numFmtId="0" fontId="111" fillId="17" borderId="2" xfId="0" applyFont="1" applyFill="1" applyBorder="1" applyAlignment="1">
      <alignment horizontal="left" vertical="center" wrapText="1"/>
    </xf>
    <xf numFmtId="0" fontId="113" fillId="17" borderId="2" xfId="0" applyFont="1" applyFill="1" applyBorder="1" applyAlignment="1">
      <alignment horizontal="left" vertical="center" wrapText="1"/>
    </xf>
    <xf numFmtId="0" fontId="113" fillId="16" borderId="2" xfId="0" applyFont="1" applyFill="1" applyBorder="1" applyAlignment="1">
      <alignment horizontal="left" vertical="center" wrapText="1"/>
    </xf>
    <xf numFmtId="0" fontId="112" fillId="13" borderId="2" xfId="0" applyFont="1" applyFill="1" applyBorder="1" applyAlignment="1">
      <alignment horizontal="left" vertical="center"/>
    </xf>
    <xf numFmtId="0" fontId="114" fillId="17" borderId="2" xfId="0" applyFont="1" applyFill="1" applyBorder="1" applyAlignment="1">
      <alignment horizontal="left" vertical="center" wrapText="1"/>
    </xf>
    <xf numFmtId="0" fontId="115" fillId="40" borderId="0" xfId="0" applyFont="1" applyFill="1"/>
    <xf numFmtId="0" fontId="0" fillId="47" borderId="8" xfId="0" applyFill="1" applyBorder="1" applyAlignment="1">
      <alignment wrapText="1"/>
    </xf>
    <xf numFmtId="0" fontId="116" fillId="0" borderId="0" xfId="0" applyFont="1"/>
    <xf numFmtId="0" fontId="28" fillId="22" borderId="4" xfId="0" applyFont="1" applyFill="1" applyBorder="1" applyAlignment="1">
      <alignment horizontal="left" vertical="center"/>
    </xf>
    <xf numFmtId="0" fontId="26" fillId="20" borderId="0" xfId="0" applyFont="1" applyFill="1" applyAlignment="1">
      <alignment horizontal="left" vertical="center"/>
    </xf>
    <xf numFmtId="0" fontId="30" fillId="20" borderId="0" xfId="0" applyFont="1" applyFill="1" applyAlignment="1">
      <alignment horizontal="left" vertical="center"/>
    </xf>
    <xf numFmtId="0" fontId="26" fillId="31" borderId="0" xfId="0" applyFont="1" applyFill="1" applyAlignment="1">
      <alignment horizontal="left" vertical="center"/>
    </xf>
    <xf numFmtId="0" fontId="25" fillId="18" borderId="2" xfId="0" applyFont="1" applyFill="1" applyBorder="1" applyAlignment="1">
      <alignment horizontal="left" vertical="center" wrapText="1"/>
    </xf>
    <xf numFmtId="0" fontId="26" fillId="19" borderId="0" xfId="0" applyFont="1" applyFill="1" applyAlignment="1">
      <alignment horizontal="left" vertical="center"/>
    </xf>
    <xf numFmtId="0" fontId="20" fillId="17" borderId="2" xfId="0" applyFont="1" applyFill="1" applyBorder="1" applyAlignment="1">
      <alignment horizontal="left" vertical="center"/>
    </xf>
    <xf numFmtId="0" fontId="4" fillId="2" borderId="2" xfId="0" applyFont="1" applyFill="1" applyBorder="1" applyAlignment="1">
      <alignment horizontal="left" vertical="center"/>
    </xf>
    <xf numFmtId="0" fontId="1" fillId="2" borderId="0" xfId="0" applyFont="1" applyFill="1" applyAlignment="1">
      <alignment horizontal="left" vertical="center"/>
    </xf>
    <xf numFmtId="0" fontId="2" fillId="2" borderId="0" xfId="0" applyFont="1" applyFill="1" applyAlignment="1">
      <alignment horizontal="left" vertical="center"/>
    </xf>
    <xf numFmtId="0" fontId="97" fillId="2" borderId="0" xfId="0" applyFont="1" applyFill="1" applyAlignment="1">
      <alignment horizontal="left" vertical="center"/>
    </xf>
    <xf numFmtId="0" fontId="4" fillId="9" borderId="2" xfId="0" applyFont="1" applyFill="1" applyBorder="1" applyAlignment="1">
      <alignment horizontal="left" vertical="center"/>
    </xf>
    <xf numFmtId="0" fontId="106" fillId="46" borderId="0" xfId="0" applyFont="1" applyFill="1" applyAlignment="1">
      <alignment horizontal="left" vertical="center"/>
    </xf>
    <xf numFmtId="0" fontId="103" fillId="46" borderId="0" xfId="0" applyFont="1" applyFill="1" applyAlignment="1">
      <alignment horizontal="left" vertical="center"/>
    </xf>
    <xf numFmtId="0" fontId="105" fillId="46" borderId="0" xfId="0" applyFont="1" applyFill="1" applyAlignment="1">
      <alignment horizontal="left" vertical="center"/>
    </xf>
    <xf numFmtId="0" fontId="45" fillId="16" borderId="2" xfId="0" applyFont="1" applyFill="1" applyBorder="1" applyAlignment="1">
      <alignment horizontal="left" vertical="center"/>
    </xf>
    <xf numFmtId="0" fontId="45" fillId="18" borderId="2" xfId="0" applyFont="1" applyFill="1" applyBorder="1" applyAlignment="1">
      <alignment horizontal="left" vertical="center"/>
    </xf>
    <xf numFmtId="0" fontId="43" fillId="15" borderId="2" xfId="0" applyFont="1" applyFill="1" applyBorder="1" applyAlignment="1">
      <alignment horizontal="left" vertical="center" wrapText="1"/>
    </xf>
    <xf numFmtId="0" fontId="37" fillId="2" borderId="2" xfId="0" applyFont="1" applyFill="1" applyBorder="1" applyAlignment="1">
      <alignment horizontal="left" vertical="center"/>
    </xf>
    <xf numFmtId="0" fontId="25" fillId="10" borderId="2" xfId="0" applyFont="1" applyFill="1" applyBorder="1" applyAlignment="1">
      <alignment horizontal="left" vertical="center" wrapText="1"/>
    </xf>
    <xf numFmtId="0" fontId="38" fillId="8" borderId="2" xfId="0" applyFont="1" applyFill="1" applyBorder="1" applyAlignment="1">
      <alignment horizontal="left" vertical="center"/>
    </xf>
    <xf numFmtId="0" fontId="42" fillId="15" borderId="2" xfId="0" applyFont="1" applyFill="1" applyBorder="1" applyAlignment="1">
      <alignment horizontal="left" vertical="center" wrapText="1"/>
    </xf>
    <xf numFmtId="0" fontId="38" fillId="3" borderId="2" xfId="0" applyFont="1" applyFill="1" applyBorder="1" applyAlignment="1">
      <alignment horizontal="left" vertical="center"/>
    </xf>
    <xf numFmtId="0" fontId="41" fillId="13" borderId="2" xfId="0" applyFont="1" applyFill="1" applyBorder="1" applyAlignment="1">
      <alignment horizontal="left" vertical="center" wrapText="1"/>
    </xf>
    <xf numFmtId="0" fontId="38" fillId="5" borderId="2" xfId="0" applyFont="1" applyFill="1" applyBorder="1" applyAlignment="1">
      <alignment horizontal="left" vertical="center"/>
    </xf>
    <xf numFmtId="0" fontId="40" fillId="12" borderId="2" xfId="0" applyFont="1" applyFill="1" applyBorder="1" applyAlignment="1">
      <alignment horizontal="left" vertical="center" wrapText="1"/>
    </xf>
    <xf numFmtId="0" fontId="38" fillId="34" borderId="2" xfId="0" applyFont="1" applyFill="1" applyBorder="1" applyAlignment="1">
      <alignment horizontal="left" vertical="center"/>
    </xf>
    <xf numFmtId="0" fontId="38" fillId="33" borderId="2" xfId="0" applyFont="1" applyFill="1" applyBorder="1" applyAlignment="1">
      <alignment horizontal="left" vertical="center"/>
    </xf>
    <xf numFmtId="0" fontId="39" fillId="11" borderId="2" xfId="0" applyFont="1" applyFill="1" applyBorder="1" applyAlignment="1">
      <alignment horizontal="left" vertical="center" wrapText="1"/>
    </xf>
    <xf numFmtId="0" fontId="35" fillId="2" borderId="2" xfId="0" applyFont="1" applyFill="1" applyBorder="1" applyAlignment="1">
      <alignment horizontal="left" vertical="center"/>
    </xf>
    <xf numFmtId="0" fontId="36" fillId="8" borderId="2" xfId="0" applyFont="1" applyFill="1" applyBorder="1" applyAlignment="1">
      <alignment horizontal="left" vertical="center" wrapText="1"/>
    </xf>
    <xf numFmtId="0" fontId="38" fillId="2" borderId="2" xfId="0" applyFont="1" applyFill="1" applyBorder="1" applyAlignment="1">
      <alignment horizontal="left" vertical="center"/>
    </xf>
    <xf numFmtId="0" fontId="46" fillId="2" borderId="0" xfId="0" applyFont="1" applyFill="1" applyAlignment="1">
      <alignment horizontal="left" vertical="center"/>
    </xf>
    <xf numFmtId="0" fontId="36" fillId="3" borderId="0" xfId="0" applyFont="1" applyFill="1" applyAlignment="1">
      <alignment horizontal="left" vertical="center"/>
    </xf>
    <xf numFmtId="0" fontId="98" fillId="42" borderId="0" xfId="0" applyFont="1" applyFill="1" applyAlignment="1">
      <alignment horizontal="left" vertical="center"/>
    </xf>
    <xf numFmtId="0" fontId="99" fillId="43" borderId="0" xfId="0" applyFont="1" applyFill="1" applyAlignment="1">
      <alignment horizontal="left"/>
    </xf>
    <xf numFmtId="0" fontId="100" fillId="42" borderId="0" xfId="0" applyFont="1" applyFill="1" applyAlignment="1">
      <alignment horizontal="left" vertical="center"/>
    </xf>
    <xf numFmtId="0" fontId="4" fillId="5" borderId="2" xfId="0" applyFont="1" applyFill="1" applyBorder="1" applyAlignment="1">
      <alignment horizontal="left" vertical="center"/>
    </xf>
    <xf numFmtId="0" fontId="4" fillId="4" borderId="2" xfId="0" applyFont="1" applyFill="1" applyBorder="1" applyAlignment="1">
      <alignment horizontal="left" vertical="center"/>
    </xf>
    <xf numFmtId="0" fontId="4" fillId="7" borderId="2" xfId="0" applyFont="1" applyFill="1" applyBorder="1" applyAlignment="1">
      <alignment horizontal="left" vertical="center"/>
    </xf>
    <xf numFmtId="0" fontId="4" fillId="6" borderId="2" xfId="0" applyFont="1" applyFill="1" applyBorder="1" applyAlignment="1">
      <alignment horizontal="left" vertical="center"/>
    </xf>
    <xf numFmtId="0" fontId="4" fillId="8" borderId="2" xfId="0" applyFont="1" applyFill="1" applyBorder="1" applyAlignment="1">
      <alignment horizontal="left" vertical="center"/>
    </xf>
    <xf numFmtId="0" fontId="36" fillId="4" borderId="0" xfId="0" applyFont="1" applyFill="1" applyAlignment="1">
      <alignment horizontal="left" vertical="center"/>
    </xf>
    <xf numFmtId="0" fontId="63" fillId="18" borderId="7" xfId="0" applyFont="1" applyFill="1" applyBorder="1" applyAlignment="1">
      <alignment horizontal="left" vertical="center" wrapText="1"/>
    </xf>
    <xf numFmtId="0" fontId="4" fillId="3" borderId="2" xfId="0" applyFont="1" applyFill="1" applyBorder="1" applyAlignment="1">
      <alignment horizontal="left" vertical="center"/>
    </xf>
    <xf numFmtId="0" fontId="36" fillId="5" borderId="0" xfId="0" applyFont="1" applyFill="1" applyAlignment="1">
      <alignment horizontal="left" vertical="center"/>
    </xf>
    <xf numFmtId="0" fontId="75" fillId="8" borderId="2" xfId="0" applyFont="1" applyFill="1" applyBorder="1" applyAlignment="1">
      <alignment horizontal="left" vertical="center"/>
    </xf>
    <xf numFmtId="0" fontId="36" fillId="7" borderId="0" xfId="0" applyFont="1" applyFill="1" applyAlignment="1">
      <alignment horizontal="left" vertical="center"/>
    </xf>
    <xf numFmtId="0" fontId="75" fillId="3" borderId="2" xfId="0" applyFont="1" applyFill="1" applyBorder="1" applyAlignment="1">
      <alignment horizontal="left" vertical="center"/>
    </xf>
    <xf numFmtId="0" fontId="75" fillId="4" borderId="2" xfId="0" applyFont="1" applyFill="1" applyBorder="1" applyAlignment="1">
      <alignment horizontal="left" vertical="center"/>
    </xf>
    <xf numFmtId="0" fontId="75" fillId="7" borderId="2" xfId="0" applyFont="1" applyFill="1" applyBorder="1" applyAlignment="1">
      <alignment horizontal="left" vertical="center"/>
    </xf>
    <xf numFmtId="0" fontId="36" fillId="8" borderId="0" xfId="0" applyFont="1" applyFill="1" applyAlignment="1">
      <alignment horizontal="left" vertical="center"/>
    </xf>
    <xf numFmtId="0" fontId="83" fillId="20" borderId="0" xfId="0" applyFont="1" applyFill="1" applyAlignment="1">
      <alignment horizontal="center" vertical="center"/>
    </xf>
    <xf numFmtId="0" fontId="84" fillId="29" borderId="0" xfId="0" applyFont="1" applyFill="1" applyAlignment="1">
      <alignment horizontal="left" vertical="center"/>
    </xf>
    <xf numFmtId="0" fontId="26" fillId="25" borderId="0" xfId="0" applyFont="1" applyFill="1" applyAlignment="1">
      <alignment horizontal="left" vertical="center"/>
    </xf>
    <xf numFmtId="0" fontId="95" fillId="0" borderId="0" xfId="0" applyFont="1"/>
    <xf numFmtId="0" fontId="0" fillId="0" borderId="0" xfId="0"/>
    <xf numFmtId="0" fontId="26" fillId="23" borderId="0" xfId="0" applyFont="1" applyFill="1" applyAlignment="1">
      <alignment horizontal="left" vertical="center"/>
    </xf>
    <xf numFmtId="0" fontId="117" fillId="28" borderId="3" xfId="0" applyFont="1" applyFill="1" applyBorder="1" applyAlignment="1">
      <alignment horizontal="left" vertical="center" wrapText="1"/>
    </xf>
    <xf numFmtId="0" fontId="117" fillId="28" borderId="3" xfId="0" applyFont="1" applyFill="1" applyBorder="1" applyAlignment="1">
      <alignment horizontal="center" vertical="center" wrapText="1"/>
    </xf>
    <xf numFmtId="14" fontId="28" fillId="29" borderId="3" xfId="0" applyNumberFormat="1" applyFont="1" applyFill="1" applyBorder="1" applyAlignment="1">
      <alignment horizontal="center" vertical="center"/>
    </xf>
    <xf numFmtId="0" fontId="118" fillId="27" borderId="3" xfId="0" applyFont="1" applyFill="1" applyBorder="1" applyAlignment="1">
      <alignment horizontal="center" vertical="center"/>
    </xf>
    <xf numFmtId="0" fontId="118" fillId="38" borderId="3" xfId="0" applyFont="1" applyFill="1" applyBorder="1" applyAlignment="1">
      <alignment horizontal="left" vertical="center" wrapText="1"/>
    </xf>
    <xf numFmtId="0" fontId="119" fillId="27" borderId="3" xfId="0" applyFont="1" applyFill="1" applyBorder="1" applyAlignment="1">
      <alignment horizontal="center" vertical="center"/>
    </xf>
    <xf numFmtId="0" fontId="120" fillId="20" borderId="3" xfId="0" applyFont="1" applyFill="1" applyBorder="1" applyAlignment="1">
      <alignment horizontal="center" vertical="center" wrapText="1"/>
    </xf>
  </cellXfs>
  <cellStyles count="1">
    <cellStyle name="Normal" xfId="0" builtinId="0"/>
  </cellStyles>
  <dxfs count="39">
    <dxf>
      <font>
        <b/>
        <sz val="9"/>
        <color rgb="FF7D6608"/>
        <name val="Calibri"/>
        <charset val="1"/>
      </font>
      <fill>
        <patternFill>
          <bgColor rgb="FFFEF9E7"/>
        </patternFill>
      </fill>
    </dxf>
    <dxf>
      <font>
        <b/>
        <sz val="9"/>
        <color rgb="FFC0392B"/>
        <name val="Calibri"/>
        <charset val="1"/>
      </font>
      <fill>
        <patternFill>
          <bgColor rgb="FFFADBD8"/>
        </patternFill>
      </fill>
    </dxf>
    <dxf>
      <font>
        <b/>
        <sz val="9"/>
        <color rgb="FF1E8449"/>
        <name val="Calibri"/>
        <charset val="1"/>
      </font>
      <fill>
        <patternFill>
          <bgColor rgb="FFD5F5E3"/>
        </patternFill>
      </fill>
    </dxf>
    <dxf>
      <font>
        <b/>
        <sz val="10"/>
        <color rgb="FFC0392B"/>
        <name val="Calibri"/>
        <charset val="1"/>
      </font>
      <fill>
        <patternFill>
          <bgColor rgb="FFFADBD8"/>
        </patternFill>
      </fill>
    </dxf>
    <dxf>
      <font>
        <b/>
        <sz val="10"/>
        <color rgb="FF7D6608"/>
        <name val="Calibri"/>
        <charset val="1"/>
      </font>
      <fill>
        <patternFill>
          <bgColor rgb="FFFEF9E7"/>
        </patternFill>
      </fill>
    </dxf>
    <dxf>
      <font>
        <b/>
        <sz val="10"/>
        <color rgb="FF2E86C1"/>
        <name val="Calibri"/>
        <charset val="1"/>
      </font>
      <fill>
        <patternFill>
          <bgColor rgb="FFD6EAF8"/>
        </patternFill>
      </fill>
    </dxf>
    <dxf>
      <font>
        <b/>
        <sz val="10"/>
        <color rgb="FF1E8449"/>
        <name val="Calibri"/>
        <charset val="1"/>
      </font>
      <fill>
        <patternFill>
          <bgColor rgb="FFD5F5E3"/>
        </patternFill>
      </fill>
    </dxf>
    <dxf>
      <font>
        <b/>
        <sz val="9"/>
        <color rgb="FF7D6608"/>
        <name val="Calibri"/>
        <charset val="1"/>
      </font>
      <fill>
        <patternFill>
          <bgColor rgb="FFFEF9E7"/>
        </patternFill>
      </fill>
    </dxf>
    <dxf>
      <font>
        <b/>
        <sz val="9"/>
        <color rgb="FF1E8449"/>
        <name val="Calibri"/>
        <charset val="1"/>
      </font>
      <fill>
        <patternFill>
          <bgColor rgb="FFD5F5E3"/>
        </patternFill>
      </fill>
    </dxf>
    <dxf>
      <font>
        <b/>
        <sz val="9"/>
        <color rgb="FF7D6608"/>
        <name val="Calibri"/>
        <charset val="1"/>
      </font>
      <fill>
        <patternFill>
          <bgColor rgb="FFFEF9E7"/>
        </patternFill>
      </fill>
    </dxf>
    <dxf>
      <font>
        <b/>
        <sz val="9"/>
        <color rgb="FF1E8449"/>
        <name val="Calibri"/>
        <charset val="1"/>
      </font>
      <fill>
        <patternFill>
          <bgColor rgb="FFD5F5E3"/>
        </patternFill>
      </fill>
    </dxf>
    <dxf>
      <font>
        <b/>
        <sz val="9"/>
        <color rgb="FFC0392B"/>
        <name val="Calibri"/>
        <charset val="1"/>
      </font>
      <fill>
        <patternFill>
          <bgColor rgb="FFFADBD8"/>
        </patternFill>
      </fill>
    </dxf>
    <dxf>
      <font>
        <b/>
        <sz val="10"/>
        <color rgb="FF7D6608"/>
        <name val="Calibri"/>
        <charset val="1"/>
      </font>
      <fill>
        <patternFill>
          <bgColor rgb="FFFEF9E7"/>
        </patternFill>
      </fill>
    </dxf>
    <dxf>
      <font>
        <b/>
        <sz val="10"/>
        <color rgb="FF555555"/>
        <name val="Calibri"/>
        <charset val="1"/>
      </font>
      <fill>
        <patternFill>
          <bgColor rgb="FFF2F3F4"/>
        </patternFill>
      </fill>
    </dxf>
    <dxf>
      <font>
        <b/>
        <sz val="10"/>
        <color rgb="FF1E8449"/>
        <name val="Calibri"/>
        <charset val="1"/>
      </font>
      <fill>
        <patternFill>
          <bgColor rgb="FFD5F5E3"/>
        </patternFill>
      </fill>
    </dxf>
    <dxf>
      <font>
        <b/>
        <sz val="10"/>
        <color rgb="FF55FF55"/>
        <name val="Arial"/>
        <charset val="1"/>
      </font>
      <fill>
        <patternFill>
          <bgColor rgb="FF0A3A0A"/>
        </patternFill>
      </fill>
    </dxf>
    <dxf>
      <font>
        <b/>
        <sz val="10"/>
        <color rgb="FFFF6666"/>
        <name val="Arial"/>
        <charset val="1"/>
      </font>
      <fill>
        <patternFill>
          <bgColor rgb="FF6B0000"/>
        </patternFill>
      </fill>
    </dxf>
    <dxf>
      <font>
        <b/>
        <sz val="10"/>
        <color rgb="FF55FF55"/>
        <name val="Arial"/>
        <charset val="1"/>
      </font>
      <fill>
        <patternFill>
          <bgColor rgb="FF0A3A0A"/>
        </patternFill>
      </fill>
    </dxf>
    <dxf>
      <font>
        <b/>
        <sz val="10"/>
        <color rgb="FFFF6666"/>
        <name val="Arial"/>
        <charset val="1"/>
      </font>
      <fill>
        <patternFill>
          <bgColor rgb="FF6B0000"/>
        </patternFill>
      </fill>
    </dxf>
    <dxf>
      <font>
        <b/>
        <sz val="10"/>
        <color rgb="FF55FF55"/>
        <name val="Arial"/>
        <charset val="1"/>
      </font>
      <fill>
        <patternFill>
          <bgColor rgb="FF0A3A0A"/>
        </patternFill>
      </fill>
    </dxf>
    <dxf>
      <font>
        <b/>
        <sz val="10"/>
        <color rgb="FFFF6666"/>
        <name val="Arial"/>
        <charset val="1"/>
      </font>
      <fill>
        <patternFill>
          <bgColor rgb="FF6B0000"/>
        </patternFill>
      </fill>
    </dxf>
    <dxf>
      <font>
        <b/>
        <sz val="10"/>
        <color rgb="FF55FF55"/>
        <name val="Arial"/>
        <charset val="1"/>
      </font>
      <fill>
        <patternFill>
          <bgColor rgb="FF0A3A0A"/>
        </patternFill>
      </fill>
    </dxf>
    <dxf>
      <font>
        <b/>
        <sz val="10"/>
        <color rgb="FFFF6666"/>
        <name val="Arial"/>
        <charset val="1"/>
      </font>
      <fill>
        <patternFill>
          <bgColor rgb="FF6B0000"/>
        </patternFill>
      </fill>
    </dxf>
    <dxf>
      <font>
        <b/>
        <sz val="10"/>
        <color rgb="FF55FF55"/>
        <name val="Arial"/>
        <charset val="1"/>
      </font>
      <fill>
        <patternFill>
          <bgColor rgb="FF0A3A0A"/>
        </patternFill>
      </fill>
    </dxf>
    <dxf>
      <font>
        <b/>
        <sz val="10"/>
        <color rgb="FFFF6666"/>
        <name val="Arial"/>
        <charset val="1"/>
      </font>
      <fill>
        <patternFill>
          <bgColor rgb="FF6B0000"/>
        </patternFill>
      </fill>
    </dxf>
    <dxf>
      <font>
        <b/>
        <sz val="10"/>
        <color rgb="FF55FF55"/>
        <name val="Arial"/>
        <charset val="1"/>
      </font>
      <fill>
        <patternFill>
          <bgColor rgb="FF0A3A0A"/>
        </patternFill>
      </fill>
    </dxf>
    <dxf>
      <font>
        <b/>
        <sz val="10"/>
        <color rgb="FFFF6666"/>
        <name val="Arial"/>
        <charset val="1"/>
      </font>
      <fill>
        <patternFill>
          <bgColor rgb="FF6B0000"/>
        </patternFill>
      </fill>
    </dxf>
    <dxf>
      <font>
        <b/>
        <sz val="10"/>
        <color rgb="FF55FF55"/>
        <name val="Arial"/>
        <charset val="1"/>
      </font>
      <fill>
        <patternFill>
          <bgColor rgb="FF0A3A0A"/>
        </patternFill>
      </fill>
    </dxf>
    <dxf>
      <font>
        <b/>
        <sz val="10"/>
        <color rgb="FFFF6666"/>
        <name val="Arial"/>
        <charset val="1"/>
      </font>
      <fill>
        <patternFill>
          <bgColor rgb="FF6B0000"/>
        </patternFill>
      </fill>
    </dxf>
    <dxf>
      <font>
        <b/>
        <sz val="10"/>
        <color rgb="FF55FF55"/>
        <name val="Arial"/>
        <charset val="1"/>
      </font>
      <fill>
        <patternFill>
          <bgColor rgb="FF0A3A0A"/>
        </patternFill>
      </fill>
    </dxf>
    <dxf>
      <font>
        <b/>
        <sz val="10"/>
        <color rgb="FFFF6666"/>
        <name val="Arial"/>
        <charset val="1"/>
      </font>
      <fill>
        <patternFill>
          <bgColor rgb="FF6B0000"/>
        </patternFill>
      </fill>
    </dxf>
    <dxf>
      <font>
        <b/>
        <sz val="10"/>
        <color rgb="FF55FF55"/>
        <name val="Arial"/>
        <charset val="1"/>
      </font>
      <fill>
        <patternFill>
          <bgColor rgb="FF0A3A0A"/>
        </patternFill>
      </fill>
    </dxf>
    <dxf>
      <font>
        <b/>
        <sz val="10"/>
        <color rgb="FFFF6666"/>
        <name val="Arial"/>
        <charset val="1"/>
      </font>
      <fill>
        <patternFill>
          <bgColor rgb="FF6B0000"/>
        </patternFill>
      </fill>
    </dxf>
    <dxf>
      <font>
        <b/>
        <sz val="10"/>
        <color rgb="FF55FF55"/>
        <name val="Arial"/>
        <charset val="1"/>
      </font>
      <fill>
        <patternFill>
          <bgColor rgb="FF0A3A0A"/>
        </patternFill>
      </fill>
    </dxf>
    <dxf>
      <font>
        <b/>
        <sz val="10"/>
        <color rgb="FFFF6666"/>
        <name val="Arial"/>
        <charset val="1"/>
      </font>
      <fill>
        <patternFill>
          <bgColor rgb="FF6B0000"/>
        </patternFill>
      </fill>
    </dxf>
    <dxf>
      <font>
        <b/>
        <sz val="10"/>
        <color rgb="FF55FF55"/>
        <name val="Arial"/>
        <charset val="1"/>
      </font>
      <fill>
        <patternFill>
          <bgColor rgb="FF0A3A0A"/>
        </patternFill>
      </fill>
    </dxf>
    <dxf>
      <font>
        <b/>
        <sz val="10"/>
        <color rgb="FFFF6666"/>
        <name val="Arial"/>
        <charset val="1"/>
      </font>
      <fill>
        <patternFill>
          <bgColor rgb="FF6B0000"/>
        </patternFill>
      </fill>
    </dxf>
    <dxf>
      <font>
        <b/>
        <sz val="10"/>
        <color rgb="FF55FF55"/>
        <name val="Arial"/>
        <charset val="1"/>
      </font>
      <fill>
        <patternFill>
          <bgColor rgb="FF0A3A0A"/>
        </patternFill>
      </fill>
    </dxf>
    <dxf>
      <font>
        <b/>
        <sz val="10"/>
        <color rgb="FFFF6666"/>
        <name val="Arial"/>
        <charset val="1"/>
      </font>
      <fill>
        <patternFill>
          <bgColor rgb="FF6B0000"/>
        </patternFill>
      </fill>
    </dxf>
  </dxfs>
  <tableStyles count="0" defaultTableStyle="TableStyleMedium2" defaultPivotStyle="PivotStyleLight16"/>
  <colors>
    <indexedColors>
      <rgbColor rgb="FF000000"/>
      <rgbColor rgb="FFFFFFFF"/>
      <rgbColor rgb="FFC00000"/>
      <rgbColor rgb="FF55FF55"/>
      <rgbColor rgb="FF0D1B2A"/>
      <rgbColor rgb="FFE2EFDA"/>
      <rgbColor rgb="FF0A1520"/>
      <rgbColor rgb="FFEBF5FB"/>
      <rgbColor rgb="FF680000"/>
      <rgbColor rgb="FF1A5632"/>
      <rgbColor rgb="FF000080"/>
      <rgbColor rgb="FF7D6608"/>
      <rgbColor rgb="FF6D2299"/>
      <rgbColor rgb="FF1F7A8C"/>
      <rgbColor rgb="FFBFBFBF"/>
      <rgbColor rgb="FF2E86C1"/>
      <rgbColor rgb="FFD6EAF8"/>
      <rgbColor rgb="FF6C3483"/>
      <rgbColor rgb="FFFFF2CC"/>
      <rgbColor rgb="FFD6EEF2"/>
      <rgbColor rgb="FF191E2F"/>
      <rgbColor rgb="FFFF6666"/>
      <rgbColor rgb="FF0078D4"/>
      <rgbColor rgb="FFBDD7EE"/>
      <rgbColor rgb="FF0B1B2B"/>
      <rgbColor rgb="FFF9E8F2"/>
      <rgbColor rgb="FFFEF9E7"/>
      <rgbColor rgb="FFF2F3F4"/>
      <rgbColor rgb="FF7030A0"/>
      <rgbColor rgb="FF404040"/>
      <rgbColor rgb="FF0E6655"/>
      <rgbColor rgb="FF111927"/>
      <rgbColor rgb="FFF2F2F2"/>
      <rgbColor rgb="FFD0ECE7"/>
      <rgbColor rgb="FFD5F5E3"/>
      <rgbColor rgb="FFFFF29E"/>
      <rgbColor rgb="FFD5D8DC"/>
      <rgbColor rgb="FFE8DAEF"/>
      <rgbColor rgb="FFE9D7F5"/>
      <rgbColor rgb="FFFADBD8"/>
      <rgbColor rgb="FF2E75B6"/>
      <rgbColor rgb="FF1B4F72"/>
      <rgbColor rgb="FFFAE7EB"/>
      <rgbColor rgb="FFFCE4D6"/>
      <rgbColor rgb="FFD4AC0D"/>
      <rgbColor rgb="FFC55A11"/>
      <rgbColor rgb="FF5D6064"/>
      <rgbColor rgb="FF375623"/>
      <rgbColor rgb="FF1D3864"/>
      <rgbColor rgb="FF1E8449"/>
      <rgbColor rgb="FF0A3A0B"/>
      <rgbColor rgb="FF2B1A20"/>
      <rgbColor rgb="FFC03923"/>
      <rgbColor rgb="FFC0392B"/>
      <rgbColor rgb="FF1E3A5F"/>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00" b="1">
                <a:solidFill>
                  <a:srgbClr val="0D1B2A"/>
                </a:solidFill>
                <a:latin typeface="Calibri"/>
                <a:ea typeface="Calibri"/>
                <a:cs typeface="Calibri"/>
              </a:defRPr>
            </a:pPr>
            <a:r>
              <a:rPr lang="da-DK"/>
              <a:t>8 Wastes - Impact Score &amp; Cumulative %</a:t>
            </a:r>
          </a:p>
        </c:rich>
      </c:tx>
      <c:overlay val="0"/>
    </c:title>
    <c:autoTitleDeleted val="0"/>
    <c:plotArea>
      <c:layout/>
      <c:barChart>
        <c:barDir val="col"/>
        <c:grouping val="clustered"/>
        <c:varyColors val="0"/>
        <c:ser>
          <c:idx val="0"/>
          <c:order val="0"/>
          <c:tx>
            <c:v>Impact Score</c:v>
          </c:tx>
          <c:spPr>
            <a:solidFill>
              <a:srgbClr val="2E86C1"/>
            </a:solidFill>
            <a:ln>
              <a:noFill/>
            </a:ln>
            <a:effectLst/>
            <a:extLst>
              <a:ext uri="{91240B29-F687-4F45-9708-019B960494DF}">
                <a14:hiddenLine xmlns:a14="http://schemas.microsoft.com/office/drawing/2010/main">
                  <a:noFill/>
                </a14:hiddenLine>
              </a:ext>
            </a:extLst>
          </c:spPr>
          <c:invertIfNegative val="0"/>
          <c:dLbls>
            <c:spPr>
              <a:noFill/>
              <a:ln>
                <a:noFill/>
              </a:ln>
              <a:effectLst/>
            </c:spPr>
            <c:txPr>
              <a:bodyPr wrap="square" lIns="38100" tIns="19050" rIns="38100" bIns="19050" anchor="ctr">
                <a:spAutoFit/>
              </a:bodyPr>
              <a:lstStyle/>
              <a:p>
                <a:pPr>
                  <a:defRPr sz="900" b="1">
                    <a:solidFill>
                      <a:srgbClr val="0D1B2A"/>
                    </a:solidFill>
                  </a:defRPr>
                </a:pPr>
                <a:endParaRPr lang="da-D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WASTE_DATA!$B$15:$B$22</c:f>
              <c:strCache>
                <c:ptCount val="8"/>
                <c:pt idx="0">
                  <c:v>WAITING</c:v>
                </c:pt>
                <c:pt idx="1">
                  <c:v>TRANSPORT</c:v>
                </c:pt>
                <c:pt idx="2">
                  <c:v>TRANSPORT</c:v>
                </c:pt>
                <c:pt idx="3">
                  <c:v>DEFECTS</c:v>
                </c:pt>
                <c:pt idx="4">
                  <c:v>OVER-PROCESSING</c:v>
                </c:pt>
                <c:pt idx="5">
                  <c:v>UNUSED SKILLS</c:v>
                </c:pt>
                <c:pt idx="6">
                  <c:v>MOTION</c:v>
                </c:pt>
                <c:pt idx="7">
                  <c:v>MOTION</c:v>
                </c:pt>
              </c:strCache>
            </c:strRef>
          </c:cat>
          <c:val>
            <c:numRef>
              <c:f>WASTE_DATA!$C$15:$C$22</c:f>
              <c:numCache>
                <c:formatCode>0</c:formatCode>
                <c:ptCount val="8"/>
                <c:pt idx="0">
                  <c:v>25</c:v>
                </c:pt>
                <c:pt idx="1">
                  <c:v>20</c:v>
                </c:pt>
                <c:pt idx="2">
                  <c:v>20</c:v>
                </c:pt>
                <c:pt idx="3">
                  <c:v>15</c:v>
                </c:pt>
                <c:pt idx="4">
                  <c:v>9</c:v>
                </c:pt>
                <c:pt idx="5">
                  <c:v>8</c:v>
                </c:pt>
                <c:pt idx="6">
                  <c:v>0</c:v>
                </c:pt>
                <c:pt idx="7">
                  <c:v>0</c:v>
                </c:pt>
              </c:numCache>
            </c:numRef>
          </c:val>
          <c:extLst>
            <c:ext xmlns:c16="http://schemas.microsoft.com/office/drawing/2014/chart" uri="{C3380CC4-5D6E-409C-BE32-E72D297353CC}">
              <c16:uniqueId val="{00000002-2545-4F02-ADD2-D6594E087A3D}"/>
            </c:ext>
          </c:extLst>
        </c:ser>
        <c:dLbls>
          <c:showLegendKey val="0"/>
          <c:showVal val="0"/>
          <c:showCatName val="0"/>
          <c:showSerName val="0"/>
          <c:showPercent val="0"/>
          <c:showBubbleSize val="0"/>
        </c:dLbls>
        <c:gapWidth val="150"/>
        <c:axId val="1991357647"/>
        <c:axId val="1991385007"/>
      </c:barChart>
      <c:lineChart>
        <c:grouping val="standard"/>
        <c:varyColors val="0"/>
        <c:ser>
          <c:idx val="1"/>
          <c:order val="1"/>
          <c:tx>
            <c:v>Cumulative %</c:v>
          </c:tx>
          <c:spPr>
            <a:ln w="31750">
              <a:solidFill>
                <a:srgbClr val="C0392B"/>
              </a:solidFill>
            </a:ln>
          </c:spPr>
          <c:marker>
            <c:symbol val="circle"/>
            <c:size val="7"/>
            <c:spPr>
              <a:solidFill>
                <a:srgbClr val="FFFFFF"/>
              </a:solidFill>
              <a:ln w="31750">
                <a:solidFill>
                  <a:srgbClr val="C0392B"/>
                </a:solidFill>
                <a:prstDash val="solid"/>
              </a:ln>
            </c:spPr>
          </c:marker>
          <c:dLbls>
            <c:numFmt formatCode="0%" sourceLinked="0"/>
            <c:spPr>
              <a:noFill/>
              <a:ln>
                <a:noFill/>
              </a:ln>
              <a:effectLst/>
            </c:spPr>
            <c:txPr>
              <a:bodyPr wrap="square" lIns="38100" tIns="19050" rIns="38100" bIns="19050" anchor="ctr">
                <a:spAutoFit/>
              </a:bodyPr>
              <a:lstStyle/>
              <a:p>
                <a:pPr>
                  <a:defRPr sz="800">
                    <a:solidFill>
                      <a:srgbClr val="C0392B"/>
                    </a:solidFill>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WASTE_DATA!$B$15:$B$22</c:f>
              <c:strCache>
                <c:ptCount val="8"/>
                <c:pt idx="0">
                  <c:v>WAITING</c:v>
                </c:pt>
                <c:pt idx="1">
                  <c:v>TRANSPORT</c:v>
                </c:pt>
                <c:pt idx="2">
                  <c:v>TRANSPORT</c:v>
                </c:pt>
                <c:pt idx="3">
                  <c:v>DEFECTS</c:v>
                </c:pt>
                <c:pt idx="4">
                  <c:v>OVER-PROCESSING</c:v>
                </c:pt>
                <c:pt idx="5">
                  <c:v>UNUSED SKILLS</c:v>
                </c:pt>
                <c:pt idx="6">
                  <c:v>MOTION</c:v>
                </c:pt>
                <c:pt idx="7">
                  <c:v>MOTION</c:v>
                </c:pt>
              </c:strCache>
            </c:strRef>
          </c:cat>
          <c:val>
            <c:numRef>
              <c:f>WASTE_DATA!$D$15:$D$22</c:f>
              <c:numCache>
                <c:formatCode>0\%</c:formatCode>
                <c:ptCount val="8"/>
                <c:pt idx="0">
                  <c:v>0.25773195876288657</c:v>
                </c:pt>
                <c:pt idx="1">
                  <c:v>0.46391752577319589</c:v>
                </c:pt>
                <c:pt idx="2">
                  <c:v>0.67010309278350511</c:v>
                </c:pt>
                <c:pt idx="3">
                  <c:v>0.82474226804123707</c:v>
                </c:pt>
                <c:pt idx="4">
                  <c:v>0.91752577319587625</c:v>
                </c:pt>
                <c:pt idx="5">
                  <c:v>1</c:v>
                </c:pt>
                <c:pt idx="6">
                  <c:v>1</c:v>
                </c:pt>
                <c:pt idx="7">
                  <c:v>1</c:v>
                </c:pt>
              </c:numCache>
            </c:numRef>
          </c:val>
          <c:smooth val="0"/>
          <c:extLst>
            <c:ext xmlns:c16="http://schemas.microsoft.com/office/drawing/2014/chart" uri="{C3380CC4-5D6E-409C-BE32-E72D297353CC}">
              <c16:uniqueId val="{00000003-2545-4F02-ADD2-D6594E087A3D}"/>
            </c:ext>
          </c:extLst>
        </c:ser>
        <c:dLbls>
          <c:showLegendKey val="0"/>
          <c:showVal val="0"/>
          <c:showCatName val="0"/>
          <c:showSerName val="0"/>
          <c:showPercent val="0"/>
          <c:showBubbleSize val="0"/>
        </c:dLbls>
        <c:marker val="1"/>
        <c:smooth val="0"/>
        <c:axId val="1991362927"/>
        <c:axId val="1991359567"/>
      </c:lineChart>
      <c:catAx>
        <c:axId val="1991357647"/>
        <c:scaling>
          <c:orientation val="minMax"/>
        </c:scaling>
        <c:delete val="0"/>
        <c:axPos val="b"/>
        <c:numFmt formatCode="General" sourceLinked="1"/>
        <c:majorTickMark val="out"/>
        <c:minorTickMark val="none"/>
        <c:tickLblPos val="nextTo"/>
        <c:txPr>
          <a:bodyPr/>
          <a:lstStyle/>
          <a:p>
            <a:pPr>
              <a:defRPr sz="900" b="1">
                <a:solidFill>
                  <a:srgbClr val="0D1B2A"/>
                </a:solidFill>
              </a:defRPr>
            </a:pPr>
            <a:endParaRPr lang="da-DK"/>
          </a:p>
        </c:txPr>
        <c:crossAx val="1991385007"/>
        <c:crosses val="autoZero"/>
        <c:auto val="1"/>
        <c:lblAlgn val="ctr"/>
        <c:lblOffset val="100"/>
        <c:tickLblSkip val="1"/>
        <c:noMultiLvlLbl val="0"/>
      </c:catAx>
      <c:valAx>
        <c:axId val="1991385007"/>
        <c:scaling>
          <c:orientation val="minMax"/>
        </c:scaling>
        <c:delete val="0"/>
        <c:axPos val="l"/>
        <c:majorGridlines>
          <c:spPr>
            <a:ln>
              <a:solidFill>
                <a:srgbClr val="D5D8DC"/>
              </a:solidFill>
            </a:ln>
          </c:spPr>
        </c:majorGridlines>
        <c:title>
          <c:tx>
            <c:rich>
              <a:bodyPr/>
              <a:lstStyle/>
              <a:p>
                <a:pPr>
                  <a:defRPr sz="1000">
                    <a:solidFill>
                      <a:srgbClr val="2E86C1"/>
                    </a:solidFill>
                  </a:defRPr>
                </a:pPr>
                <a:r>
                  <a:rPr lang="da-DK"/>
                  <a:t>Impact Score</a:t>
                </a:r>
              </a:p>
            </c:rich>
          </c:tx>
          <c:overlay val="0"/>
        </c:title>
        <c:numFmt formatCode="0" sourceLinked="1"/>
        <c:majorTickMark val="out"/>
        <c:minorTickMark val="none"/>
        <c:tickLblPos val="nextTo"/>
        <c:txPr>
          <a:bodyPr/>
          <a:lstStyle/>
          <a:p>
            <a:pPr>
              <a:defRPr sz="900"/>
            </a:pPr>
            <a:endParaRPr lang="da-DK"/>
          </a:p>
        </c:txPr>
        <c:crossAx val="1991357647"/>
        <c:crosses val="autoZero"/>
        <c:crossBetween val="between"/>
      </c:valAx>
      <c:valAx>
        <c:axId val="1991359567"/>
        <c:scaling>
          <c:orientation val="minMax"/>
          <c:max val="1"/>
        </c:scaling>
        <c:delete val="0"/>
        <c:axPos val="r"/>
        <c:title>
          <c:tx>
            <c:rich>
              <a:bodyPr/>
              <a:lstStyle/>
              <a:p>
                <a:pPr>
                  <a:defRPr sz="1000">
                    <a:solidFill>
                      <a:srgbClr val="C0392B"/>
                    </a:solidFill>
                  </a:defRPr>
                </a:pPr>
                <a:r>
                  <a:rPr lang="da-DK"/>
                  <a:t>Cumulative %</a:t>
                </a:r>
              </a:p>
            </c:rich>
          </c:tx>
          <c:overlay val="0"/>
        </c:title>
        <c:numFmt formatCode="0%" sourceLinked="0"/>
        <c:majorTickMark val="out"/>
        <c:minorTickMark val="none"/>
        <c:tickLblPos val="nextTo"/>
        <c:txPr>
          <a:bodyPr/>
          <a:lstStyle/>
          <a:p>
            <a:pPr>
              <a:defRPr sz="900"/>
            </a:pPr>
            <a:endParaRPr lang="da-DK"/>
          </a:p>
        </c:txPr>
        <c:crossAx val="1991362927"/>
        <c:crosses val="max"/>
        <c:crossBetween val="between"/>
      </c:valAx>
      <c:catAx>
        <c:axId val="1991362927"/>
        <c:scaling>
          <c:orientation val="minMax"/>
        </c:scaling>
        <c:delete val="1"/>
        <c:axPos val="b"/>
        <c:numFmt formatCode="General" sourceLinked="1"/>
        <c:majorTickMark val="out"/>
        <c:minorTickMark val="none"/>
        <c:tickLblPos val="nextTo"/>
        <c:crossAx val="1991359567"/>
        <c:auto val="1"/>
        <c:lblAlgn val="ctr"/>
        <c:lblOffset val="100"/>
        <c:noMultiLvlLbl val="0"/>
      </c:catAx>
      <c:spPr>
        <a:solidFill>
          <a:srgbClr val="FAFAFC"/>
        </a:solidFill>
      </c:spPr>
    </c:plotArea>
    <c:legend>
      <c:legendPos val="b"/>
      <c:overlay val="0"/>
      <c:txPr>
        <a:bodyPr/>
        <a:lstStyle/>
        <a:p>
          <a:pPr>
            <a:defRPr sz="900"/>
          </a:pPr>
          <a:endParaRPr lang="da-DK"/>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a:solidFill>
        <a:srgbClr val="D5D8DC"/>
      </a:solidFill>
    </a:ln>
  </c:spPr>
  <c:printSettings>
    <c:headerFooter/>
    <c:pageMargins b="0.75" l="0.7" r="0.7" t="0.75" header="0.3" footer="0.3"/>
    <c:pageSetup/>
  </c:printSettings>
</c:chartSpace>
</file>

<file path=xl/drawings/_rels/drawing1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0</xdr:col>
      <xdr:colOff>1270000</xdr:colOff>
      <xdr:row>2</xdr:row>
      <xdr:rowOff>66040</xdr:rowOff>
    </xdr:to>
    <xdr:sp macro="AI_GUIDANCE.ShowSheetHelp" textlink="">
      <xdr:nvSpPr>
        <xdr:cNvPr id="2" name="AI_BTN_SHEET_HELP">
          <a:extLst>
            <a:ext uri="{FF2B5EF4-FFF2-40B4-BE49-F238E27FC236}">
              <a16:creationId xmlns:a16="http://schemas.microsoft.com/office/drawing/2014/main" id="{19250FE9-6E98-EC37-9D70-BEBFB4512305}"/>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0</xdr:col>
      <xdr:colOff>1397000</xdr:colOff>
      <xdr:row>0</xdr:row>
      <xdr:rowOff>127000</xdr:rowOff>
    </xdr:from>
    <xdr:to>
      <xdr:col>0</xdr:col>
      <xdr:colOff>2667000</xdr:colOff>
      <xdr:row>2</xdr:row>
      <xdr:rowOff>66040</xdr:rowOff>
    </xdr:to>
    <xdr:sp macro="AI_GUIDANCE.ValidateCurrentSheet" textlink="">
      <xdr:nvSpPr>
        <xdr:cNvPr id="3" name="AI_BTN_VALIDATE">
          <a:extLst>
            <a:ext uri="{FF2B5EF4-FFF2-40B4-BE49-F238E27FC236}">
              <a16:creationId xmlns:a16="http://schemas.microsoft.com/office/drawing/2014/main" id="{4F693B4A-9265-7FAE-36B4-94F380A8D016}"/>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1</xdr:col>
      <xdr:colOff>73660</xdr:colOff>
      <xdr:row>2</xdr:row>
      <xdr:rowOff>66040</xdr:rowOff>
    </xdr:to>
    <xdr:sp macro="AI_GUIDANCE.ShowSheetHelp" textlink="">
      <xdr:nvSpPr>
        <xdr:cNvPr id="2" name="AI_BTN_SHEET_HELP">
          <a:extLst>
            <a:ext uri="{FF2B5EF4-FFF2-40B4-BE49-F238E27FC236}">
              <a16:creationId xmlns:a16="http://schemas.microsoft.com/office/drawing/2014/main" id="{86953B97-4D1F-1510-EE6F-6CA3D0D23253}"/>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1</xdr:col>
      <xdr:colOff>200660</xdr:colOff>
      <xdr:row>0</xdr:row>
      <xdr:rowOff>127000</xdr:rowOff>
    </xdr:from>
    <xdr:to>
      <xdr:col>3</xdr:col>
      <xdr:colOff>601980</xdr:colOff>
      <xdr:row>2</xdr:row>
      <xdr:rowOff>66040</xdr:rowOff>
    </xdr:to>
    <xdr:sp macro="AI_GUIDANCE.ValidateCurrentSheet" textlink="">
      <xdr:nvSpPr>
        <xdr:cNvPr id="3" name="AI_BTN_VALIDATE">
          <a:extLst>
            <a:ext uri="{FF2B5EF4-FFF2-40B4-BE49-F238E27FC236}">
              <a16:creationId xmlns:a16="http://schemas.microsoft.com/office/drawing/2014/main" id="{56C927FF-5059-349F-1DD3-1EB610D2EF2F}"/>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0</xdr:col>
      <xdr:colOff>1270000</xdr:colOff>
      <xdr:row>2</xdr:row>
      <xdr:rowOff>66040</xdr:rowOff>
    </xdr:to>
    <xdr:sp macro="AI_GUIDANCE.ShowSheetHelp" textlink="">
      <xdr:nvSpPr>
        <xdr:cNvPr id="2" name="AI_BTN_SHEET_HELP">
          <a:extLst>
            <a:ext uri="{FF2B5EF4-FFF2-40B4-BE49-F238E27FC236}">
              <a16:creationId xmlns:a16="http://schemas.microsoft.com/office/drawing/2014/main" id="{80DD3564-C494-1A22-20DC-29A24CB552EC}"/>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0</xdr:col>
      <xdr:colOff>1397000</xdr:colOff>
      <xdr:row>0</xdr:row>
      <xdr:rowOff>127000</xdr:rowOff>
    </xdr:from>
    <xdr:to>
      <xdr:col>2</xdr:col>
      <xdr:colOff>83820</xdr:colOff>
      <xdr:row>2</xdr:row>
      <xdr:rowOff>66040</xdr:rowOff>
    </xdr:to>
    <xdr:sp macro="AI_GUIDANCE.ValidateCurrentSheet" textlink="">
      <xdr:nvSpPr>
        <xdr:cNvPr id="3" name="AI_BTN_VALIDATE">
          <a:extLst>
            <a:ext uri="{FF2B5EF4-FFF2-40B4-BE49-F238E27FC236}">
              <a16:creationId xmlns:a16="http://schemas.microsoft.com/office/drawing/2014/main" id="{C682C51D-D189-7FF5-C56F-F24F4249F338}"/>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50800</xdr:colOff>
      <xdr:row>2</xdr:row>
      <xdr:rowOff>66040</xdr:rowOff>
    </xdr:to>
    <xdr:sp macro="AI_GUIDANCE.ShowSheetHelp" textlink="">
      <xdr:nvSpPr>
        <xdr:cNvPr id="2" name="AI_BTN_SHEET_HELP">
          <a:extLst>
            <a:ext uri="{FF2B5EF4-FFF2-40B4-BE49-F238E27FC236}">
              <a16:creationId xmlns:a16="http://schemas.microsoft.com/office/drawing/2014/main" id="{AA3EAF94-A496-9E1F-DB1A-9919E580C0EB}"/>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2</xdr:col>
      <xdr:colOff>177800</xdr:colOff>
      <xdr:row>0</xdr:row>
      <xdr:rowOff>127000</xdr:rowOff>
    </xdr:from>
    <xdr:to>
      <xdr:col>4</xdr:col>
      <xdr:colOff>228600</xdr:colOff>
      <xdr:row>2</xdr:row>
      <xdr:rowOff>66040</xdr:rowOff>
    </xdr:to>
    <xdr:sp macro="AI_GUIDANCE.ValidateCurrentSheet" textlink="">
      <xdr:nvSpPr>
        <xdr:cNvPr id="3" name="AI_BTN_VALIDATE">
          <a:extLst>
            <a:ext uri="{FF2B5EF4-FFF2-40B4-BE49-F238E27FC236}">
              <a16:creationId xmlns:a16="http://schemas.microsoft.com/office/drawing/2014/main" id="{960138DE-93B8-A25D-CE17-04D8956D9CBE}"/>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447040</xdr:colOff>
      <xdr:row>2</xdr:row>
      <xdr:rowOff>66040</xdr:rowOff>
    </xdr:to>
    <xdr:sp macro="AI_GUIDANCE.ShowSheetHelp" textlink="">
      <xdr:nvSpPr>
        <xdr:cNvPr id="2" name="AI_BTN_SHEET_HELP">
          <a:extLst>
            <a:ext uri="{FF2B5EF4-FFF2-40B4-BE49-F238E27FC236}">
              <a16:creationId xmlns:a16="http://schemas.microsoft.com/office/drawing/2014/main" id="{F9064BF3-B968-79A0-E835-425140EB8CF0}"/>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3</xdr:col>
      <xdr:colOff>48260</xdr:colOff>
      <xdr:row>0</xdr:row>
      <xdr:rowOff>127000</xdr:rowOff>
    </xdr:from>
    <xdr:to>
      <xdr:col>5</xdr:col>
      <xdr:colOff>182880</xdr:colOff>
      <xdr:row>2</xdr:row>
      <xdr:rowOff>66040</xdr:rowOff>
    </xdr:to>
    <xdr:sp macro="AI_GUIDANCE.ValidateCurrentSheet" textlink="">
      <xdr:nvSpPr>
        <xdr:cNvPr id="3" name="AI_BTN_VALIDATE">
          <a:extLst>
            <a:ext uri="{FF2B5EF4-FFF2-40B4-BE49-F238E27FC236}">
              <a16:creationId xmlns:a16="http://schemas.microsoft.com/office/drawing/2014/main" id="{21AA6070-42A7-3C6C-913C-381D447E959A}"/>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50800</xdr:colOff>
      <xdr:row>2</xdr:row>
      <xdr:rowOff>66040</xdr:rowOff>
    </xdr:to>
    <xdr:sp macro="AI_GUIDANCE.ShowSheetHelp" textlink="">
      <xdr:nvSpPr>
        <xdr:cNvPr id="2" name="AI_BTN_SHEET_HELP">
          <a:extLst>
            <a:ext uri="{FF2B5EF4-FFF2-40B4-BE49-F238E27FC236}">
              <a16:creationId xmlns:a16="http://schemas.microsoft.com/office/drawing/2014/main" id="{12183399-741E-8607-4A52-28121CD786F4}"/>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2</xdr:col>
      <xdr:colOff>177800</xdr:colOff>
      <xdr:row>0</xdr:row>
      <xdr:rowOff>127000</xdr:rowOff>
    </xdr:from>
    <xdr:to>
      <xdr:col>4</xdr:col>
      <xdr:colOff>228600</xdr:colOff>
      <xdr:row>2</xdr:row>
      <xdr:rowOff>66040</xdr:rowOff>
    </xdr:to>
    <xdr:sp macro="AI_GUIDANCE.ValidateCurrentSheet" textlink="">
      <xdr:nvSpPr>
        <xdr:cNvPr id="3" name="AI_BTN_VALIDATE">
          <a:extLst>
            <a:ext uri="{FF2B5EF4-FFF2-40B4-BE49-F238E27FC236}">
              <a16:creationId xmlns:a16="http://schemas.microsoft.com/office/drawing/2014/main" id="{ECE8856D-2A92-2FFE-5BC1-5D99C63293E1}"/>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0</xdr:col>
      <xdr:colOff>1270000</xdr:colOff>
      <xdr:row>2</xdr:row>
      <xdr:rowOff>66040</xdr:rowOff>
    </xdr:to>
    <xdr:sp macro="AI_GUIDANCE.ShowSheetHelp" textlink="">
      <xdr:nvSpPr>
        <xdr:cNvPr id="2" name="AI_BTN_SHEET_HELP">
          <a:extLst>
            <a:ext uri="{FF2B5EF4-FFF2-40B4-BE49-F238E27FC236}">
              <a16:creationId xmlns:a16="http://schemas.microsoft.com/office/drawing/2014/main" id="{A88AF66D-C780-531C-932E-8F370713D0BF}"/>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0</xdr:col>
      <xdr:colOff>1397000</xdr:colOff>
      <xdr:row>0</xdr:row>
      <xdr:rowOff>127000</xdr:rowOff>
    </xdr:from>
    <xdr:to>
      <xdr:col>1</xdr:col>
      <xdr:colOff>777240</xdr:colOff>
      <xdr:row>2</xdr:row>
      <xdr:rowOff>66040</xdr:rowOff>
    </xdr:to>
    <xdr:sp macro="AI_GUIDANCE.ValidateCurrentSheet" textlink="">
      <xdr:nvSpPr>
        <xdr:cNvPr id="3" name="AI_BTN_VALIDATE">
          <a:extLst>
            <a:ext uri="{FF2B5EF4-FFF2-40B4-BE49-F238E27FC236}">
              <a16:creationId xmlns:a16="http://schemas.microsoft.com/office/drawing/2014/main" id="{63080310-8BA9-9CFA-8EB9-3DFA3120EDC4}"/>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254000</xdr:colOff>
      <xdr:row>4</xdr:row>
      <xdr:rowOff>30480</xdr:rowOff>
    </xdr:from>
    <xdr:to>
      <xdr:col>3</xdr:col>
      <xdr:colOff>457200</xdr:colOff>
      <xdr:row>6</xdr:row>
      <xdr:rowOff>121920</xdr:rowOff>
    </xdr:to>
    <xdr:sp macro="[0]!AI_GUIDANCE.ShowAIHelp" textlink="">
      <xdr:nvSpPr>
        <xdr:cNvPr id="2" name="AI_BTN_ShowAI">
          <a:extLst>
            <a:ext uri="{FF2B5EF4-FFF2-40B4-BE49-F238E27FC236}">
              <a16:creationId xmlns:a16="http://schemas.microsoft.com/office/drawing/2014/main" id="{0D8F1518-FCA4-F5CD-D667-50036D04F508}"/>
            </a:ext>
          </a:extLst>
        </xdr:cNvPr>
        <xdr:cNvSpPr/>
      </xdr:nvSpPr>
      <xdr:spPr>
        <a:xfrm>
          <a:off x="254000" y="762000"/>
          <a:ext cx="2032000" cy="457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Open AI Guidance Sheet</a:t>
          </a:r>
        </a:p>
      </xdr:txBody>
    </xdr:sp>
    <xdr:clientData/>
  </xdr:twoCellAnchor>
  <xdr:twoCellAnchor>
    <xdr:from>
      <xdr:col>3</xdr:col>
      <xdr:colOff>584200</xdr:colOff>
      <xdr:row>4</xdr:row>
      <xdr:rowOff>30480</xdr:rowOff>
    </xdr:from>
    <xdr:to>
      <xdr:col>7</xdr:col>
      <xdr:colOff>177800</xdr:colOff>
      <xdr:row>6</xdr:row>
      <xdr:rowOff>121920</xdr:rowOff>
    </xdr:to>
    <xdr:sp macro="[0]!AI_GUIDANCE.ShowSheetHelp" textlink="">
      <xdr:nvSpPr>
        <xdr:cNvPr id="3" name="AI_BTN_SheetHelp">
          <a:extLst>
            <a:ext uri="{FF2B5EF4-FFF2-40B4-BE49-F238E27FC236}">
              <a16:creationId xmlns:a16="http://schemas.microsoft.com/office/drawing/2014/main" id="{D939A6EE-8B5C-43EC-2BB1-521A51414F72}"/>
            </a:ext>
          </a:extLst>
        </xdr:cNvPr>
        <xdr:cNvSpPr/>
      </xdr:nvSpPr>
      <xdr:spPr>
        <a:xfrm>
          <a:off x="2413000" y="762000"/>
          <a:ext cx="2032000" cy="457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Show Current Sheet Help</a:t>
          </a:r>
        </a:p>
      </xdr:txBody>
    </xdr:sp>
    <xdr:clientData/>
  </xdr:twoCellAnchor>
  <xdr:twoCellAnchor>
    <xdr:from>
      <xdr:col>0</xdr:col>
      <xdr:colOff>127000</xdr:colOff>
      <xdr:row>0</xdr:row>
      <xdr:rowOff>127000</xdr:rowOff>
    </xdr:from>
    <xdr:to>
      <xdr:col>2</xdr:col>
      <xdr:colOff>50800</xdr:colOff>
      <xdr:row>2</xdr:row>
      <xdr:rowOff>66040</xdr:rowOff>
    </xdr:to>
    <xdr:sp macro="AI_GUIDANCE.ShowSheetHelp" textlink="">
      <xdr:nvSpPr>
        <xdr:cNvPr id="5" name="AI_BTN_SHEET_HELP">
          <a:extLst>
            <a:ext uri="{FF2B5EF4-FFF2-40B4-BE49-F238E27FC236}">
              <a16:creationId xmlns:a16="http://schemas.microsoft.com/office/drawing/2014/main" id="{A0D15A46-64F6-FE00-AEB9-394636B76B43}"/>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2</xdr:col>
      <xdr:colOff>177800</xdr:colOff>
      <xdr:row>0</xdr:row>
      <xdr:rowOff>127000</xdr:rowOff>
    </xdr:from>
    <xdr:to>
      <xdr:col>4</xdr:col>
      <xdr:colOff>228600</xdr:colOff>
      <xdr:row>2</xdr:row>
      <xdr:rowOff>66040</xdr:rowOff>
    </xdr:to>
    <xdr:sp macro="AI_GUIDANCE.ValidateCurrentSheet" textlink="">
      <xdr:nvSpPr>
        <xdr:cNvPr id="6" name="AI_BTN_VALIDATE">
          <a:extLst>
            <a:ext uri="{FF2B5EF4-FFF2-40B4-BE49-F238E27FC236}">
              <a16:creationId xmlns:a16="http://schemas.microsoft.com/office/drawing/2014/main" id="{8D5A8C23-C74C-E254-8964-83D4C22FE22E}"/>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0</xdr:col>
      <xdr:colOff>1270000</xdr:colOff>
      <xdr:row>1</xdr:row>
      <xdr:rowOff>233680</xdr:rowOff>
    </xdr:to>
    <xdr:sp macro="AI_GUIDANCE.ShowSheetHelp" textlink="">
      <xdr:nvSpPr>
        <xdr:cNvPr id="2" name="AI_BTN_SHEET_HELP">
          <a:extLst>
            <a:ext uri="{FF2B5EF4-FFF2-40B4-BE49-F238E27FC236}">
              <a16:creationId xmlns:a16="http://schemas.microsoft.com/office/drawing/2014/main" id="{B4C2303F-45E3-A977-CFE9-D7E32D6637D4}"/>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0</xdr:col>
      <xdr:colOff>1397000</xdr:colOff>
      <xdr:row>0</xdr:row>
      <xdr:rowOff>127000</xdr:rowOff>
    </xdr:from>
    <xdr:to>
      <xdr:col>1</xdr:col>
      <xdr:colOff>746760</xdr:colOff>
      <xdr:row>1</xdr:row>
      <xdr:rowOff>233680</xdr:rowOff>
    </xdr:to>
    <xdr:sp macro="AI_GUIDANCE.ValidateCurrentSheet" textlink="">
      <xdr:nvSpPr>
        <xdr:cNvPr id="3" name="AI_BTN_VALIDATE">
          <a:extLst>
            <a:ext uri="{FF2B5EF4-FFF2-40B4-BE49-F238E27FC236}">
              <a16:creationId xmlns:a16="http://schemas.microsoft.com/office/drawing/2014/main" id="{300BF0EA-33AC-866F-BCC6-1E444B75D122}"/>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0</xdr:col>
      <xdr:colOff>1270000</xdr:colOff>
      <xdr:row>0</xdr:row>
      <xdr:rowOff>431800</xdr:rowOff>
    </xdr:to>
    <xdr:sp macro="AI_GUIDANCE.ShowSheetHelp" textlink="">
      <xdr:nvSpPr>
        <xdr:cNvPr id="2" name="AI_BTN_SHEET_HELP">
          <a:extLst>
            <a:ext uri="{FF2B5EF4-FFF2-40B4-BE49-F238E27FC236}">
              <a16:creationId xmlns:a16="http://schemas.microsoft.com/office/drawing/2014/main" id="{A755B41F-D227-8EEF-C825-93000C3EDA5A}"/>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0</xdr:col>
      <xdr:colOff>1397000</xdr:colOff>
      <xdr:row>0</xdr:row>
      <xdr:rowOff>127000</xdr:rowOff>
    </xdr:from>
    <xdr:to>
      <xdr:col>0</xdr:col>
      <xdr:colOff>2667000</xdr:colOff>
      <xdr:row>0</xdr:row>
      <xdr:rowOff>431800</xdr:rowOff>
    </xdr:to>
    <xdr:sp macro="AI_GUIDANCE.ValidateCurrentSheet" textlink="">
      <xdr:nvSpPr>
        <xdr:cNvPr id="3" name="AI_BTN_VALIDATE">
          <a:extLst>
            <a:ext uri="{FF2B5EF4-FFF2-40B4-BE49-F238E27FC236}">
              <a16:creationId xmlns:a16="http://schemas.microsoft.com/office/drawing/2014/main" id="{D226D14C-3C6B-9594-D145-71F0D3A9A7B3}"/>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27940</xdr:colOff>
      <xdr:row>0</xdr:row>
      <xdr:rowOff>127000</xdr:rowOff>
    </xdr:from>
    <xdr:to>
      <xdr:col>1</xdr:col>
      <xdr:colOff>1170940</xdr:colOff>
      <xdr:row>0</xdr:row>
      <xdr:rowOff>431800</xdr:rowOff>
    </xdr:to>
    <xdr:sp macro="AI_GUIDANCE.ShowSheetHelp" textlink="">
      <xdr:nvSpPr>
        <xdr:cNvPr id="2" name="AI_BTN_SHEET_HELP">
          <a:extLst>
            <a:ext uri="{FF2B5EF4-FFF2-40B4-BE49-F238E27FC236}">
              <a16:creationId xmlns:a16="http://schemas.microsoft.com/office/drawing/2014/main" id="{02D39152-076D-2B56-C1AF-C23AF6C5F98E}"/>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2</xdr:col>
      <xdr:colOff>116840</xdr:colOff>
      <xdr:row>0</xdr:row>
      <xdr:rowOff>127000</xdr:rowOff>
    </xdr:from>
    <xdr:to>
      <xdr:col>2</xdr:col>
      <xdr:colOff>1386840</xdr:colOff>
      <xdr:row>0</xdr:row>
      <xdr:rowOff>431800</xdr:rowOff>
    </xdr:to>
    <xdr:sp macro="AI_GUIDANCE.ValidateCurrentSheet" textlink="">
      <xdr:nvSpPr>
        <xdr:cNvPr id="3" name="AI_BTN_VALIDATE">
          <a:extLst>
            <a:ext uri="{FF2B5EF4-FFF2-40B4-BE49-F238E27FC236}">
              <a16:creationId xmlns:a16="http://schemas.microsoft.com/office/drawing/2014/main" id="{671F9CAB-7F36-0636-C9D9-245760973F76}"/>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27940</xdr:colOff>
      <xdr:row>0</xdr:row>
      <xdr:rowOff>127000</xdr:rowOff>
    </xdr:from>
    <xdr:to>
      <xdr:col>1</xdr:col>
      <xdr:colOff>1170940</xdr:colOff>
      <xdr:row>1</xdr:row>
      <xdr:rowOff>5080</xdr:rowOff>
    </xdr:to>
    <xdr:sp macro="AI_GUIDANCE.ShowSheetHelp" textlink="">
      <xdr:nvSpPr>
        <xdr:cNvPr id="2" name="AI_BTN_SHEET_HELP">
          <a:extLst>
            <a:ext uri="{FF2B5EF4-FFF2-40B4-BE49-F238E27FC236}">
              <a16:creationId xmlns:a16="http://schemas.microsoft.com/office/drawing/2014/main" id="{E38E4E42-64B8-0D5F-4CC7-081CC2FF2AF1}"/>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1</xdr:col>
      <xdr:colOff>1297940</xdr:colOff>
      <xdr:row>0</xdr:row>
      <xdr:rowOff>127000</xdr:rowOff>
    </xdr:from>
    <xdr:to>
      <xdr:col>3</xdr:col>
      <xdr:colOff>441960</xdr:colOff>
      <xdr:row>1</xdr:row>
      <xdr:rowOff>5080</xdr:rowOff>
    </xdr:to>
    <xdr:sp macro="AI_GUIDANCE.ValidateCurrentSheet" textlink="">
      <xdr:nvSpPr>
        <xdr:cNvPr id="3" name="AI_BTN_VALIDATE">
          <a:extLst>
            <a:ext uri="{FF2B5EF4-FFF2-40B4-BE49-F238E27FC236}">
              <a16:creationId xmlns:a16="http://schemas.microsoft.com/office/drawing/2014/main" id="{CA083B71-16B0-9836-671E-4B966591AECA}"/>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127000</xdr:colOff>
      <xdr:row>2</xdr:row>
      <xdr:rowOff>0</xdr:rowOff>
    </xdr:from>
    <xdr:to>
      <xdr:col>14</xdr:col>
      <xdr:colOff>228600</xdr:colOff>
      <xdr:row>28</xdr:row>
      <xdr:rowOff>38100</xdr:rowOff>
    </xdr:to>
    <xdr:graphicFrame macro="">
      <xdr:nvGraphicFramePr>
        <xdr:cNvPr id="2" name="Diagram 1">
          <a:extLst>
            <a:ext uri="{FF2B5EF4-FFF2-40B4-BE49-F238E27FC236}">
              <a16:creationId xmlns:a16="http://schemas.microsoft.com/office/drawing/2014/main" id="{BD99A383-F4B3-2E70-C1CB-DFAC19F26D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584200</xdr:colOff>
      <xdr:row>2</xdr:row>
      <xdr:rowOff>63500</xdr:rowOff>
    </xdr:from>
    <xdr:to>
      <xdr:col>13</xdr:col>
      <xdr:colOff>584200</xdr:colOff>
      <xdr:row>4</xdr:row>
      <xdr:rowOff>50800</xdr:rowOff>
    </xdr:to>
    <xdr:sp macro="" textlink="">
      <xdr:nvSpPr>
        <xdr:cNvPr id="3" name="Tekstfelt 2">
          <a:extLst>
            <a:ext uri="{FF2B5EF4-FFF2-40B4-BE49-F238E27FC236}">
              <a16:creationId xmlns:a16="http://schemas.microsoft.com/office/drawing/2014/main" id="{08E6D4B3-D020-9B90-1FC6-DB6BEC7699D2}"/>
            </a:ext>
          </a:extLst>
        </xdr:cNvPr>
        <xdr:cNvSpPr txBox="1"/>
      </xdr:nvSpPr>
      <xdr:spPr>
        <a:xfrm>
          <a:off x="5461000" y="698500"/>
          <a:ext cx="3048000" cy="355600"/>
        </a:xfrm>
        <a:prstGeom prst="rect">
          <a:avLst/>
        </a:prstGeom>
        <a:solidFill>
          <a:srgbClr val="FDEDEC"/>
        </a:solidFill>
        <a:ln w="9525" cmpd="sng">
          <a:solidFill>
            <a:srgbClr val="C0392B"/>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da-DK" sz="900" b="1">
              <a:solidFill>
                <a:srgbClr val="C0392B"/>
              </a:solidFill>
            </a:rPr>
            <a:t>80% LINE: Top 3 wastes = 80% of impact</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27940</xdr:colOff>
      <xdr:row>0</xdr:row>
      <xdr:rowOff>127000</xdr:rowOff>
    </xdr:from>
    <xdr:to>
      <xdr:col>1</xdr:col>
      <xdr:colOff>1170940</xdr:colOff>
      <xdr:row>1</xdr:row>
      <xdr:rowOff>5080</xdr:rowOff>
    </xdr:to>
    <xdr:sp macro="AI_GUIDANCE.ShowSheetHelp" textlink="">
      <xdr:nvSpPr>
        <xdr:cNvPr id="2" name="AI_BTN_SHEET_HELP">
          <a:extLst>
            <a:ext uri="{FF2B5EF4-FFF2-40B4-BE49-F238E27FC236}">
              <a16:creationId xmlns:a16="http://schemas.microsoft.com/office/drawing/2014/main" id="{52B07D5A-EF72-B5FF-FFBA-966C9CB588A9}"/>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1</xdr:col>
      <xdr:colOff>1297940</xdr:colOff>
      <xdr:row>0</xdr:row>
      <xdr:rowOff>127000</xdr:rowOff>
    </xdr:from>
    <xdr:to>
      <xdr:col>2</xdr:col>
      <xdr:colOff>1196340</xdr:colOff>
      <xdr:row>1</xdr:row>
      <xdr:rowOff>5080</xdr:rowOff>
    </xdr:to>
    <xdr:sp macro="AI_GUIDANCE.ValidateCurrentSheet" textlink="">
      <xdr:nvSpPr>
        <xdr:cNvPr id="3" name="AI_BTN_VALIDATE">
          <a:extLst>
            <a:ext uri="{FF2B5EF4-FFF2-40B4-BE49-F238E27FC236}">
              <a16:creationId xmlns:a16="http://schemas.microsoft.com/office/drawing/2014/main" id="{F8AF1B77-426B-65E1-415E-F56BBFC0E896}"/>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406400</xdr:colOff>
      <xdr:row>17</xdr:row>
      <xdr:rowOff>82550</xdr:rowOff>
    </xdr:from>
    <xdr:to>
      <xdr:col>16</xdr:col>
      <xdr:colOff>152400</xdr:colOff>
      <xdr:row>17</xdr:row>
      <xdr:rowOff>82550</xdr:rowOff>
    </xdr:to>
    <xdr:cxnSp macro="">
      <xdr:nvCxnSpPr>
        <xdr:cNvPr id="2" name="Lige forbindelse 1">
          <a:extLst>
            <a:ext uri="{FF2B5EF4-FFF2-40B4-BE49-F238E27FC236}">
              <a16:creationId xmlns:a16="http://schemas.microsoft.com/office/drawing/2014/main" id="{039574E2-5DB9-A8FF-14B5-E9672BDB34B2}"/>
            </a:ext>
          </a:extLst>
        </xdr:cNvPr>
        <xdr:cNvCxnSpPr/>
      </xdr:nvCxnSpPr>
      <xdr:spPr>
        <a:xfrm>
          <a:off x="1016000" y="3429000"/>
          <a:ext cx="8890000" cy="0"/>
        </a:xfrm>
        <a:prstGeom prst="line">
          <a:avLst/>
        </a:prstGeom>
        <a:ln w="50800">
          <a:solidFill>
            <a:srgbClr val="0D1B2A"/>
          </a:solidFill>
          <a:tailEnd type="arrow"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215900</xdr:colOff>
      <xdr:row>14</xdr:row>
      <xdr:rowOff>127000</xdr:rowOff>
    </xdr:from>
    <xdr:to>
      <xdr:col>19</xdr:col>
      <xdr:colOff>101600</xdr:colOff>
      <xdr:row>20</xdr:row>
      <xdr:rowOff>38100</xdr:rowOff>
    </xdr:to>
    <xdr:sp macro="" textlink="">
      <xdr:nvSpPr>
        <xdr:cNvPr id="3" name="Rektangel: afrundede hjørner 2">
          <a:extLst>
            <a:ext uri="{FF2B5EF4-FFF2-40B4-BE49-F238E27FC236}">
              <a16:creationId xmlns:a16="http://schemas.microsoft.com/office/drawing/2014/main" id="{DF1EA941-25D7-A50C-1236-8087577FE16E}"/>
            </a:ext>
          </a:extLst>
        </xdr:cNvPr>
        <xdr:cNvSpPr/>
      </xdr:nvSpPr>
      <xdr:spPr>
        <a:xfrm>
          <a:off x="9969500" y="2921000"/>
          <a:ext cx="1714500" cy="1016000"/>
        </a:xfrm>
        <a:prstGeom prst="roundRect">
          <a:avLst/>
        </a:prstGeom>
        <a:solidFill>
          <a:srgbClr val="C0392B"/>
        </a:solidFill>
        <a:ln w="254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a-DK" sz="900" b="1">
              <a:solidFill>
                <a:srgbClr val="FFFFFF"/>
              </a:solidFill>
            </a:rPr>
            <a:t>Delivery targets missed by 20% - quality defects reaching customers</a:t>
          </a:r>
        </a:p>
      </xdr:txBody>
    </xdr:sp>
    <xdr:clientData/>
  </xdr:twoCellAnchor>
  <xdr:twoCellAnchor>
    <xdr:from>
      <xdr:col>3</xdr:col>
      <xdr:colOff>48986</xdr:colOff>
      <xdr:row>11</xdr:row>
      <xdr:rowOff>107950</xdr:rowOff>
    </xdr:from>
    <xdr:to>
      <xdr:col>4</xdr:col>
      <xdr:colOff>264886</xdr:colOff>
      <xdr:row>17</xdr:row>
      <xdr:rowOff>82550</xdr:rowOff>
    </xdr:to>
    <xdr:cxnSp macro="">
      <xdr:nvCxnSpPr>
        <xdr:cNvPr id="4" name="Lige forbindelse 3">
          <a:extLst>
            <a:ext uri="{FF2B5EF4-FFF2-40B4-BE49-F238E27FC236}">
              <a16:creationId xmlns:a16="http://schemas.microsoft.com/office/drawing/2014/main" id="{7F9DC7D2-1CA2-2B3C-5BDC-2C0D2DC205C0}"/>
            </a:ext>
          </a:extLst>
        </xdr:cNvPr>
        <xdr:cNvCxnSpPr/>
      </xdr:nvCxnSpPr>
      <xdr:spPr>
        <a:xfrm>
          <a:off x="1877786" y="2349500"/>
          <a:ext cx="825500" cy="1079500"/>
        </a:xfrm>
        <a:prstGeom prst="line">
          <a:avLst/>
        </a:prstGeom>
        <a:ln w="31750">
          <a:solidFill>
            <a:srgbClr val="2E86C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277586</xdr:colOff>
      <xdr:row>10</xdr:row>
      <xdr:rowOff>12700</xdr:rowOff>
    </xdr:from>
    <xdr:to>
      <xdr:col>4</xdr:col>
      <xdr:colOff>582386</xdr:colOff>
      <xdr:row>11</xdr:row>
      <xdr:rowOff>82550</xdr:rowOff>
    </xdr:to>
    <xdr:sp macro="" textlink="">
      <xdr:nvSpPr>
        <xdr:cNvPr id="5" name="Rektangel 4">
          <a:extLst>
            <a:ext uri="{FF2B5EF4-FFF2-40B4-BE49-F238E27FC236}">
              <a16:creationId xmlns:a16="http://schemas.microsoft.com/office/drawing/2014/main" id="{A58E73ED-EB9A-8D6A-260F-23E42C4DCD27}"/>
            </a:ext>
          </a:extLst>
        </xdr:cNvPr>
        <xdr:cNvSpPr/>
      </xdr:nvSpPr>
      <xdr:spPr>
        <a:xfrm>
          <a:off x="1496786" y="2070100"/>
          <a:ext cx="1524000" cy="254000"/>
        </a:xfrm>
        <a:prstGeom prst="rect">
          <a:avLst/>
        </a:prstGeom>
        <a:solidFill>
          <a:srgbClr val="2E86C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a-DK" sz="800" b="1">
              <a:solidFill>
                <a:srgbClr val="FFFFFF"/>
              </a:solidFill>
            </a:rPr>
            <a:t>MAN / PEOPLE</a:t>
          </a:r>
        </a:p>
      </xdr:txBody>
    </xdr:sp>
    <xdr:clientData/>
  </xdr:twoCellAnchor>
  <xdr:twoCellAnchor>
    <xdr:from>
      <xdr:col>3</xdr:col>
      <xdr:colOff>239486</xdr:colOff>
      <xdr:row>10</xdr:row>
      <xdr:rowOff>127000</xdr:rowOff>
    </xdr:from>
    <xdr:to>
      <xdr:col>3</xdr:col>
      <xdr:colOff>544286</xdr:colOff>
      <xdr:row>12</xdr:row>
      <xdr:rowOff>139700</xdr:rowOff>
    </xdr:to>
    <xdr:cxnSp macro="">
      <xdr:nvCxnSpPr>
        <xdr:cNvPr id="6" name="Lige forbindelse 5">
          <a:extLst>
            <a:ext uri="{FF2B5EF4-FFF2-40B4-BE49-F238E27FC236}">
              <a16:creationId xmlns:a16="http://schemas.microsoft.com/office/drawing/2014/main" id="{16DB38A8-2027-3F21-DCC4-425B8EC5B128}"/>
            </a:ext>
          </a:extLst>
        </xdr:cNvPr>
        <xdr:cNvCxnSpPr/>
      </xdr:nvCxnSpPr>
      <xdr:spPr>
        <a:xfrm>
          <a:off x="2068286" y="2184400"/>
          <a:ext cx="304800" cy="381000"/>
        </a:xfrm>
        <a:prstGeom prst="line">
          <a:avLst/>
        </a:prstGeom>
        <a:ln w="15240" cap="sq">
          <a:solidFill>
            <a:srgbClr val="2E86C1"/>
          </a:solidFill>
          <a:prstDash val="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341086</xdr:colOff>
      <xdr:row>9</xdr:row>
      <xdr:rowOff>107950</xdr:rowOff>
    </xdr:from>
    <xdr:to>
      <xdr:col>3</xdr:col>
      <xdr:colOff>264886</xdr:colOff>
      <xdr:row>10</xdr:row>
      <xdr:rowOff>127000</xdr:rowOff>
    </xdr:to>
    <xdr:sp macro="" textlink="">
      <xdr:nvSpPr>
        <xdr:cNvPr id="7" name="Rektangel: afrundede hjørner 6">
          <a:extLst>
            <a:ext uri="{FF2B5EF4-FFF2-40B4-BE49-F238E27FC236}">
              <a16:creationId xmlns:a16="http://schemas.microsoft.com/office/drawing/2014/main" id="{CA2905C2-1ADF-7736-B1C1-92505F93C893}"/>
            </a:ext>
          </a:extLst>
        </xdr:cNvPr>
        <xdr:cNvSpPr/>
      </xdr:nvSpPr>
      <xdr:spPr>
        <a:xfrm>
          <a:off x="950686" y="1981200"/>
          <a:ext cx="1143000" cy="203200"/>
        </a:xfrm>
        <a:prstGeom prst="roundRect">
          <a:avLst/>
        </a:prstGeom>
        <a:solidFill>
          <a:srgbClr val="F6F9FC"/>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a-DK" sz="700">
              <a:solidFill>
                <a:srgbClr val="0D1B2A"/>
              </a:solidFill>
            </a:rPr>
            <a:t>Team unclear on priori...</a:t>
          </a:r>
        </a:p>
      </xdr:txBody>
    </xdr:sp>
    <xdr:clientData/>
  </xdr:twoCellAnchor>
  <xdr:twoCellAnchor>
    <xdr:from>
      <xdr:col>3</xdr:col>
      <xdr:colOff>493486</xdr:colOff>
      <xdr:row>12</xdr:row>
      <xdr:rowOff>38100</xdr:rowOff>
    </xdr:from>
    <xdr:to>
      <xdr:col>4</xdr:col>
      <xdr:colOff>188686</xdr:colOff>
      <xdr:row>14</xdr:row>
      <xdr:rowOff>50800</xdr:rowOff>
    </xdr:to>
    <xdr:cxnSp macro="">
      <xdr:nvCxnSpPr>
        <xdr:cNvPr id="8" name="Lige forbindelse 7">
          <a:extLst>
            <a:ext uri="{FF2B5EF4-FFF2-40B4-BE49-F238E27FC236}">
              <a16:creationId xmlns:a16="http://schemas.microsoft.com/office/drawing/2014/main" id="{CB97AA30-991A-B086-ED47-DE11D192734F}"/>
            </a:ext>
          </a:extLst>
        </xdr:cNvPr>
        <xdr:cNvCxnSpPr/>
      </xdr:nvCxnSpPr>
      <xdr:spPr>
        <a:xfrm>
          <a:off x="2322286" y="2463800"/>
          <a:ext cx="304800" cy="381000"/>
        </a:xfrm>
        <a:prstGeom prst="line">
          <a:avLst/>
        </a:prstGeom>
        <a:ln w="15240" cap="sq">
          <a:solidFill>
            <a:srgbClr val="2E86C1"/>
          </a:solidFill>
          <a:prstDash val="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595086</xdr:colOff>
      <xdr:row>11</xdr:row>
      <xdr:rowOff>19050</xdr:rowOff>
    </xdr:from>
    <xdr:to>
      <xdr:col>3</xdr:col>
      <xdr:colOff>518886</xdr:colOff>
      <xdr:row>12</xdr:row>
      <xdr:rowOff>38100</xdr:rowOff>
    </xdr:to>
    <xdr:sp macro="" textlink="">
      <xdr:nvSpPr>
        <xdr:cNvPr id="9" name="Rektangel: afrundede hjørner 8">
          <a:extLst>
            <a:ext uri="{FF2B5EF4-FFF2-40B4-BE49-F238E27FC236}">
              <a16:creationId xmlns:a16="http://schemas.microsoft.com/office/drawing/2014/main" id="{C90B17F1-F415-88A3-14B6-6C0C09CECAFB}"/>
            </a:ext>
          </a:extLst>
        </xdr:cNvPr>
        <xdr:cNvSpPr/>
      </xdr:nvSpPr>
      <xdr:spPr>
        <a:xfrm>
          <a:off x="1204686" y="2260600"/>
          <a:ext cx="1143000" cy="203200"/>
        </a:xfrm>
        <a:prstGeom prst="roundRect">
          <a:avLst/>
        </a:prstGeom>
        <a:solidFill>
          <a:srgbClr val="F6F9FC"/>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a-DK" sz="700">
              <a:solidFill>
                <a:srgbClr val="0D1B2A"/>
              </a:solidFill>
            </a:rPr>
            <a:t>High turnover causing ...</a:t>
          </a:r>
        </a:p>
      </xdr:txBody>
    </xdr:sp>
    <xdr:clientData/>
  </xdr:twoCellAnchor>
  <xdr:twoCellAnchor>
    <xdr:from>
      <xdr:col>4</xdr:col>
      <xdr:colOff>137886</xdr:colOff>
      <xdr:row>13</xdr:row>
      <xdr:rowOff>133350</xdr:rowOff>
    </xdr:from>
    <xdr:to>
      <xdr:col>4</xdr:col>
      <xdr:colOff>442686</xdr:colOff>
      <xdr:row>15</xdr:row>
      <xdr:rowOff>146050</xdr:rowOff>
    </xdr:to>
    <xdr:cxnSp macro="">
      <xdr:nvCxnSpPr>
        <xdr:cNvPr id="10" name="Lige forbindelse 9">
          <a:extLst>
            <a:ext uri="{FF2B5EF4-FFF2-40B4-BE49-F238E27FC236}">
              <a16:creationId xmlns:a16="http://schemas.microsoft.com/office/drawing/2014/main" id="{C67DB303-97A0-3855-4095-5F5EAE65D5AB}"/>
            </a:ext>
          </a:extLst>
        </xdr:cNvPr>
        <xdr:cNvCxnSpPr/>
      </xdr:nvCxnSpPr>
      <xdr:spPr>
        <a:xfrm>
          <a:off x="2576286" y="2743200"/>
          <a:ext cx="304800" cy="381000"/>
        </a:xfrm>
        <a:prstGeom prst="line">
          <a:avLst/>
        </a:prstGeom>
        <a:ln w="15240" cap="sq">
          <a:solidFill>
            <a:srgbClr val="2E86C1"/>
          </a:solidFill>
          <a:prstDash val="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239486</xdr:colOff>
      <xdr:row>12</xdr:row>
      <xdr:rowOff>114300</xdr:rowOff>
    </xdr:from>
    <xdr:to>
      <xdr:col>4</xdr:col>
      <xdr:colOff>163286</xdr:colOff>
      <xdr:row>13</xdr:row>
      <xdr:rowOff>133350</xdr:rowOff>
    </xdr:to>
    <xdr:sp macro="" textlink="">
      <xdr:nvSpPr>
        <xdr:cNvPr id="11" name="Rektangel: afrundede hjørner 10">
          <a:extLst>
            <a:ext uri="{FF2B5EF4-FFF2-40B4-BE49-F238E27FC236}">
              <a16:creationId xmlns:a16="http://schemas.microsoft.com/office/drawing/2014/main" id="{262B9BEA-013B-9C15-7428-A1E308B25072}"/>
            </a:ext>
          </a:extLst>
        </xdr:cNvPr>
        <xdr:cNvSpPr/>
      </xdr:nvSpPr>
      <xdr:spPr>
        <a:xfrm>
          <a:off x="1458686" y="2540000"/>
          <a:ext cx="1143000" cy="203200"/>
        </a:xfrm>
        <a:prstGeom prst="roundRect">
          <a:avLst/>
        </a:prstGeom>
        <a:solidFill>
          <a:srgbClr val="F6F9FC"/>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a-DK" sz="700">
              <a:solidFill>
                <a:srgbClr val="0D1B2A"/>
              </a:solidFill>
            </a:rPr>
            <a:t>Leader not visible eno...</a:t>
          </a:r>
        </a:p>
      </xdr:txBody>
    </xdr:sp>
    <xdr:clientData/>
  </xdr:twoCellAnchor>
  <xdr:twoCellAnchor>
    <xdr:from>
      <xdr:col>6</xdr:col>
      <xdr:colOff>578757</xdr:colOff>
      <xdr:row>11</xdr:row>
      <xdr:rowOff>107950</xdr:rowOff>
    </xdr:from>
    <xdr:to>
      <xdr:col>8</xdr:col>
      <xdr:colOff>185057</xdr:colOff>
      <xdr:row>17</xdr:row>
      <xdr:rowOff>82550</xdr:rowOff>
    </xdr:to>
    <xdr:cxnSp macro="">
      <xdr:nvCxnSpPr>
        <xdr:cNvPr id="12" name="Lige forbindelse 11">
          <a:extLst>
            <a:ext uri="{FF2B5EF4-FFF2-40B4-BE49-F238E27FC236}">
              <a16:creationId xmlns:a16="http://schemas.microsoft.com/office/drawing/2014/main" id="{C6839FFC-2232-53D9-C268-426E176B8A11}"/>
            </a:ext>
          </a:extLst>
        </xdr:cNvPr>
        <xdr:cNvCxnSpPr/>
      </xdr:nvCxnSpPr>
      <xdr:spPr>
        <a:xfrm>
          <a:off x="4236357" y="2349500"/>
          <a:ext cx="825500" cy="1079500"/>
        </a:xfrm>
        <a:prstGeom prst="line">
          <a:avLst/>
        </a:prstGeom>
        <a:ln w="31750">
          <a:solidFill>
            <a:srgbClr val="6C348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197757</xdr:colOff>
      <xdr:row>10</xdr:row>
      <xdr:rowOff>12700</xdr:rowOff>
    </xdr:from>
    <xdr:to>
      <xdr:col>8</xdr:col>
      <xdr:colOff>502557</xdr:colOff>
      <xdr:row>11</xdr:row>
      <xdr:rowOff>82550</xdr:rowOff>
    </xdr:to>
    <xdr:sp macro="" textlink="">
      <xdr:nvSpPr>
        <xdr:cNvPr id="13" name="Rektangel 12">
          <a:extLst>
            <a:ext uri="{FF2B5EF4-FFF2-40B4-BE49-F238E27FC236}">
              <a16:creationId xmlns:a16="http://schemas.microsoft.com/office/drawing/2014/main" id="{F7AC08D3-CB11-447B-8D69-B3611A7B7FD0}"/>
            </a:ext>
          </a:extLst>
        </xdr:cNvPr>
        <xdr:cNvSpPr/>
      </xdr:nvSpPr>
      <xdr:spPr>
        <a:xfrm>
          <a:off x="3855357" y="2070100"/>
          <a:ext cx="1524000" cy="254000"/>
        </a:xfrm>
        <a:prstGeom prst="rect">
          <a:avLst/>
        </a:prstGeom>
        <a:solidFill>
          <a:srgbClr val="6C348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a-DK" sz="800" b="1">
              <a:solidFill>
                <a:srgbClr val="FFFFFF"/>
              </a:solidFill>
            </a:rPr>
            <a:t>MACHINE / TOOLS</a:t>
          </a:r>
        </a:p>
      </xdr:txBody>
    </xdr:sp>
    <xdr:clientData/>
  </xdr:twoCellAnchor>
  <xdr:twoCellAnchor>
    <xdr:from>
      <xdr:col>7</xdr:col>
      <xdr:colOff>159657</xdr:colOff>
      <xdr:row>10</xdr:row>
      <xdr:rowOff>127000</xdr:rowOff>
    </xdr:from>
    <xdr:to>
      <xdr:col>7</xdr:col>
      <xdr:colOff>464457</xdr:colOff>
      <xdr:row>12</xdr:row>
      <xdr:rowOff>139700</xdr:rowOff>
    </xdr:to>
    <xdr:cxnSp macro="">
      <xdr:nvCxnSpPr>
        <xdr:cNvPr id="14" name="Lige forbindelse 13">
          <a:extLst>
            <a:ext uri="{FF2B5EF4-FFF2-40B4-BE49-F238E27FC236}">
              <a16:creationId xmlns:a16="http://schemas.microsoft.com/office/drawing/2014/main" id="{7E4C5B9B-DECF-FDF4-4A84-72C31CB395B8}"/>
            </a:ext>
          </a:extLst>
        </xdr:cNvPr>
        <xdr:cNvCxnSpPr/>
      </xdr:nvCxnSpPr>
      <xdr:spPr>
        <a:xfrm>
          <a:off x="4426857" y="2184400"/>
          <a:ext cx="304800" cy="381000"/>
        </a:xfrm>
        <a:prstGeom prst="line">
          <a:avLst/>
        </a:prstGeom>
        <a:ln w="15240" cap="sq">
          <a:solidFill>
            <a:srgbClr val="6C3483"/>
          </a:solidFill>
          <a:prstDash val="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261257</xdr:colOff>
      <xdr:row>9</xdr:row>
      <xdr:rowOff>107950</xdr:rowOff>
    </xdr:from>
    <xdr:to>
      <xdr:col>7</xdr:col>
      <xdr:colOff>185057</xdr:colOff>
      <xdr:row>10</xdr:row>
      <xdr:rowOff>127000</xdr:rowOff>
    </xdr:to>
    <xdr:sp macro="" textlink="">
      <xdr:nvSpPr>
        <xdr:cNvPr id="15" name="Rektangel: afrundede hjørner 14">
          <a:extLst>
            <a:ext uri="{FF2B5EF4-FFF2-40B4-BE49-F238E27FC236}">
              <a16:creationId xmlns:a16="http://schemas.microsoft.com/office/drawing/2014/main" id="{D3FC23AD-0EDD-DE2E-6F71-36823F05163A}"/>
            </a:ext>
          </a:extLst>
        </xdr:cNvPr>
        <xdr:cNvSpPr/>
      </xdr:nvSpPr>
      <xdr:spPr>
        <a:xfrm>
          <a:off x="3309257" y="1981200"/>
          <a:ext cx="1143000" cy="203200"/>
        </a:xfrm>
        <a:prstGeom prst="roundRect">
          <a:avLst/>
        </a:prstGeom>
        <a:solidFill>
          <a:srgbClr val="F6F9FC"/>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a-DK" sz="700">
              <a:solidFill>
                <a:srgbClr val="0D1B2A"/>
              </a:solidFill>
            </a:rPr>
            <a:t>No real-time status vi...</a:t>
          </a:r>
        </a:p>
      </xdr:txBody>
    </xdr:sp>
    <xdr:clientData/>
  </xdr:twoCellAnchor>
  <xdr:twoCellAnchor>
    <xdr:from>
      <xdr:col>7</xdr:col>
      <xdr:colOff>413657</xdr:colOff>
      <xdr:row>12</xdr:row>
      <xdr:rowOff>38100</xdr:rowOff>
    </xdr:from>
    <xdr:to>
      <xdr:col>8</xdr:col>
      <xdr:colOff>108857</xdr:colOff>
      <xdr:row>14</xdr:row>
      <xdr:rowOff>50800</xdr:rowOff>
    </xdr:to>
    <xdr:cxnSp macro="">
      <xdr:nvCxnSpPr>
        <xdr:cNvPr id="16" name="Lige forbindelse 15">
          <a:extLst>
            <a:ext uri="{FF2B5EF4-FFF2-40B4-BE49-F238E27FC236}">
              <a16:creationId xmlns:a16="http://schemas.microsoft.com/office/drawing/2014/main" id="{A67D8467-987D-A6DA-BE83-EEAF69E57DC5}"/>
            </a:ext>
          </a:extLst>
        </xdr:cNvPr>
        <xdr:cNvCxnSpPr/>
      </xdr:nvCxnSpPr>
      <xdr:spPr>
        <a:xfrm>
          <a:off x="4680857" y="2463800"/>
          <a:ext cx="304800" cy="381000"/>
        </a:xfrm>
        <a:prstGeom prst="line">
          <a:avLst/>
        </a:prstGeom>
        <a:ln w="15240" cap="sq">
          <a:solidFill>
            <a:srgbClr val="6C3483"/>
          </a:solidFill>
          <a:prstDash val="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515257</xdr:colOff>
      <xdr:row>11</xdr:row>
      <xdr:rowOff>19050</xdr:rowOff>
    </xdr:from>
    <xdr:to>
      <xdr:col>7</xdr:col>
      <xdr:colOff>439057</xdr:colOff>
      <xdr:row>12</xdr:row>
      <xdr:rowOff>38100</xdr:rowOff>
    </xdr:to>
    <xdr:sp macro="" textlink="">
      <xdr:nvSpPr>
        <xdr:cNvPr id="17" name="Rektangel: afrundede hjørner 16">
          <a:extLst>
            <a:ext uri="{FF2B5EF4-FFF2-40B4-BE49-F238E27FC236}">
              <a16:creationId xmlns:a16="http://schemas.microsoft.com/office/drawing/2014/main" id="{0F6956D7-B3EE-6DFC-E5D3-92A11535D884}"/>
            </a:ext>
          </a:extLst>
        </xdr:cNvPr>
        <xdr:cNvSpPr/>
      </xdr:nvSpPr>
      <xdr:spPr>
        <a:xfrm>
          <a:off x="3563257" y="2260600"/>
          <a:ext cx="1143000" cy="203200"/>
        </a:xfrm>
        <a:prstGeom prst="roundRect">
          <a:avLst/>
        </a:prstGeom>
        <a:solidFill>
          <a:srgbClr val="F6F9FC"/>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a-DK" sz="700">
              <a:solidFill>
                <a:srgbClr val="0D1B2A"/>
              </a:solidFill>
            </a:rPr>
            <a:t>Tools not integrated -...</a:t>
          </a:r>
        </a:p>
      </xdr:txBody>
    </xdr:sp>
    <xdr:clientData/>
  </xdr:twoCellAnchor>
  <xdr:twoCellAnchor>
    <xdr:from>
      <xdr:col>8</xdr:col>
      <xdr:colOff>58057</xdr:colOff>
      <xdr:row>13</xdr:row>
      <xdr:rowOff>133350</xdr:rowOff>
    </xdr:from>
    <xdr:to>
      <xdr:col>8</xdr:col>
      <xdr:colOff>362857</xdr:colOff>
      <xdr:row>15</xdr:row>
      <xdr:rowOff>146050</xdr:rowOff>
    </xdr:to>
    <xdr:cxnSp macro="">
      <xdr:nvCxnSpPr>
        <xdr:cNvPr id="18" name="Lige forbindelse 17">
          <a:extLst>
            <a:ext uri="{FF2B5EF4-FFF2-40B4-BE49-F238E27FC236}">
              <a16:creationId xmlns:a16="http://schemas.microsoft.com/office/drawing/2014/main" id="{A8D1B89C-96FA-5C45-E82D-372DCE443E5D}"/>
            </a:ext>
          </a:extLst>
        </xdr:cNvPr>
        <xdr:cNvCxnSpPr/>
      </xdr:nvCxnSpPr>
      <xdr:spPr>
        <a:xfrm>
          <a:off x="4934857" y="2743200"/>
          <a:ext cx="304800" cy="381000"/>
        </a:xfrm>
        <a:prstGeom prst="line">
          <a:avLst/>
        </a:prstGeom>
        <a:ln w="15240" cap="sq">
          <a:solidFill>
            <a:srgbClr val="6C3483"/>
          </a:solidFill>
          <a:prstDash val="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159657</xdr:colOff>
      <xdr:row>12</xdr:row>
      <xdr:rowOff>114300</xdr:rowOff>
    </xdr:from>
    <xdr:to>
      <xdr:col>8</xdr:col>
      <xdr:colOff>83457</xdr:colOff>
      <xdr:row>13</xdr:row>
      <xdr:rowOff>133350</xdr:rowOff>
    </xdr:to>
    <xdr:sp macro="" textlink="">
      <xdr:nvSpPr>
        <xdr:cNvPr id="19" name="Rektangel: afrundede hjørner 18">
          <a:extLst>
            <a:ext uri="{FF2B5EF4-FFF2-40B4-BE49-F238E27FC236}">
              <a16:creationId xmlns:a16="http://schemas.microsoft.com/office/drawing/2014/main" id="{D34853E0-8693-48C7-294A-53164115F77C}"/>
            </a:ext>
          </a:extLst>
        </xdr:cNvPr>
        <xdr:cNvSpPr/>
      </xdr:nvSpPr>
      <xdr:spPr>
        <a:xfrm>
          <a:off x="3817257" y="2540000"/>
          <a:ext cx="1143000" cy="203200"/>
        </a:xfrm>
        <a:prstGeom prst="roundRect">
          <a:avLst/>
        </a:prstGeom>
        <a:solidFill>
          <a:srgbClr val="F6F9FC"/>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a-DK" sz="700">
              <a:solidFill>
                <a:srgbClr val="0D1B2A"/>
              </a:solidFill>
            </a:rPr>
            <a:t>System downtime during...</a:t>
          </a:r>
        </a:p>
      </xdr:txBody>
    </xdr:sp>
    <xdr:clientData/>
  </xdr:twoCellAnchor>
  <xdr:twoCellAnchor>
    <xdr:from>
      <xdr:col>10</xdr:col>
      <xdr:colOff>498928</xdr:colOff>
      <xdr:row>11</xdr:row>
      <xdr:rowOff>107950</xdr:rowOff>
    </xdr:from>
    <xdr:to>
      <xdr:col>12</xdr:col>
      <xdr:colOff>105228</xdr:colOff>
      <xdr:row>17</xdr:row>
      <xdr:rowOff>82550</xdr:rowOff>
    </xdr:to>
    <xdr:cxnSp macro="">
      <xdr:nvCxnSpPr>
        <xdr:cNvPr id="20" name="Lige forbindelse 19">
          <a:extLst>
            <a:ext uri="{FF2B5EF4-FFF2-40B4-BE49-F238E27FC236}">
              <a16:creationId xmlns:a16="http://schemas.microsoft.com/office/drawing/2014/main" id="{B046EF15-20A6-581C-938E-172FBE80ECB0}"/>
            </a:ext>
          </a:extLst>
        </xdr:cNvPr>
        <xdr:cNvCxnSpPr/>
      </xdr:nvCxnSpPr>
      <xdr:spPr>
        <a:xfrm>
          <a:off x="6594928" y="2349500"/>
          <a:ext cx="825500" cy="1079500"/>
        </a:xfrm>
        <a:prstGeom prst="line">
          <a:avLst/>
        </a:prstGeom>
        <a:ln w="31750">
          <a:solidFill>
            <a:srgbClr val="1E844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117928</xdr:colOff>
      <xdr:row>10</xdr:row>
      <xdr:rowOff>12700</xdr:rowOff>
    </xdr:from>
    <xdr:to>
      <xdr:col>12</xdr:col>
      <xdr:colOff>422728</xdr:colOff>
      <xdr:row>11</xdr:row>
      <xdr:rowOff>82550</xdr:rowOff>
    </xdr:to>
    <xdr:sp macro="" textlink="">
      <xdr:nvSpPr>
        <xdr:cNvPr id="21" name="Rektangel 20">
          <a:extLst>
            <a:ext uri="{FF2B5EF4-FFF2-40B4-BE49-F238E27FC236}">
              <a16:creationId xmlns:a16="http://schemas.microsoft.com/office/drawing/2014/main" id="{A7EB54FA-4CBD-DA92-1CA4-D876527B5650}"/>
            </a:ext>
          </a:extLst>
        </xdr:cNvPr>
        <xdr:cNvSpPr/>
      </xdr:nvSpPr>
      <xdr:spPr>
        <a:xfrm>
          <a:off x="6213928" y="2070100"/>
          <a:ext cx="1524000" cy="254000"/>
        </a:xfrm>
        <a:prstGeom prst="rect">
          <a:avLst/>
        </a:prstGeom>
        <a:solidFill>
          <a:srgbClr val="1E844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a-DK" sz="800" b="1">
              <a:solidFill>
                <a:srgbClr val="FFFFFF"/>
              </a:solidFill>
            </a:rPr>
            <a:t>METHOD / PROCESS</a:t>
          </a:r>
        </a:p>
      </xdr:txBody>
    </xdr:sp>
    <xdr:clientData/>
  </xdr:twoCellAnchor>
  <xdr:twoCellAnchor>
    <xdr:from>
      <xdr:col>11</xdr:col>
      <xdr:colOff>79828</xdr:colOff>
      <xdr:row>10</xdr:row>
      <xdr:rowOff>127000</xdr:rowOff>
    </xdr:from>
    <xdr:to>
      <xdr:col>11</xdr:col>
      <xdr:colOff>384628</xdr:colOff>
      <xdr:row>12</xdr:row>
      <xdr:rowOff>139700</xdr:rowOff>
    </xdr:to>
    <xdr:cxnSp macro="">
      <xdr:nvCxnSpPr>
        <xdr:cNvPr id="22" name="Lige forbindelse 21">
          <a:extLst>
            <a:ext uri="{FF2B5EF4-FFF2-40B4-BE49-F238E27FC236}">
              <a16:creationId xmlns:a16="http://schemas.microsoft.com/office/drawing/2014/main" id="{E5520746-D10B-008D-4B80-58D8256F44B6}"/>
            </a:ext>
          </a:extLst>
        </xdr:cNvPr>
        <xdr:cNvCxnSpPr/>
      </xdr:nvCxnSpPr>
      <xdr:spPr>
        <a:xfrm>
          <a:off x="6785428" y="2184400"/>
          <a:ext cx="304800" cy="381000"/>
        </a:xfrm>
        <a:prstGeom prst="line">
          <a:avLst/>
        </a:prstGeom>
        <a:ln w="15240" cap="sq">
          <a:solidFill>
            <a:srgbClr val="1E8449"/>
          </a:solidFill>
          <a:prstDash val="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181428</xdr:colOff>
      <xdr:row>9</xdr:row>
      <xdr:rowOff>107950</xdr:rowOff>
    </xdr:from>
    <xdr:to>
      <xdr:col>11</xdr:col>
      <xdr:colOff>105228</xdr:colOff>
      <xdr:row>10</xdr:row>
      <xdr:rowOff>127000</xdr:rowOff>
    </xdr:to>
    <xdr:sp macro="" textlink="">
      <xdr:nvSpPr>
        <xdr:cNvPr id="23" name="Rektangel: afrundede hjørner 22">
          <a:extLst>
            <a:ext uri="{FF2B5EF4-FFF2-40B4-BE49-F238E27FC236}">
              <a16:creationId xmlns:a16="http://schemas.microsoft.com/office/drawing/2014/main" id="{BAC77693-E7AF-BC28-AFCB-4B90D6E7EA6B}"/>
            </a:ext>
          </a:extLst>
        </xdr:cNvPr>
        <xdr:cNvSpPr/>
      </xdr:nvSpPr>
      <xdr:spPr>
        <a:xfrm>
          <a:off x="5667828" y="1981200"/>
          <a:ext cx="1143000" cy="203200"/>
        </a:xfrm>
        <a:prstGeom prst="roundRect">
          <a:avLst/>
        </a:prstGeom>
        <a:solidFill>
          <a:srgbClr val="F6F9FC"/>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a-DK" sz="700">
              <a:solidFill>
                <a:srgbClr val="0D1B2A"/>
              </a:solidFill>
            </a:rPr>
            <a:t>Approvals routed to wr...</a:t>
          </a:r>
        </a:p>
      </xdr:txBody>
    </xdr:sp>
    <xdr:clientData/>
  </xdr:twoCellAnchor>
  <xdr:twoCellAnchor>
    <xdr:from>
      <xdr:col>11</xdr:col>
      <xdr:colOff>333828</xdr:colOff>
      <xdr:row>12</xdr:row>
      <xdr:rowOff>38100</xdr:rowOff>
    </xdr:from>
    <xdr:to>
      <xdr:col>12</xdr:col>
      <xdr:colOff>29028</xdr:colOff>
      <xdr:row>14</xdr:row>
      <xdr:rowOff>50800</xdr:rowOff>
    </xdr:to>
    <xdr:cxnSp macro="">
      <xdr:nvCxnSpPr>
        <xdr:cNvPr id="24" name="Lige forbindelse 23">
          <a:extLst>
            <a:ext uri="{FF2B5EF4-FFF2-40B4-BE49-F238E27FC236}">
              <a16:creationId xmlns:a16="http://schemas.microsoft.com/office/drawing/2014/main" id="{37E4A209-0983-235D-B21A-EBD9829EF207}"/>
            </a:ext>
          </a:extLst>
        </xdr:cNvPr>
        <xdr:cNvCxnSpPr/>
      </xdr:nvCxnSpPr>
      <xdr:spPr>
        <a:xfrm>
          <a:off x="7039428" y="2463800"/>
          <a:ext cx="304800" cy="381000"/>
        </a:xfrm>
        <a:prstGeom prst="line">
          <a:avLst/>
        </a:prstGeom>
        <a:ln w="15240" cap="sq">
          <a:solidFill>
            <a:srgbClr val="1E8449"/>
          </a:solidFill>
          <a:prstDash val="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435428</xdr:colOff>
      <xdr:row>11</xdr:row>
      <xdr:rowOff>19050</xdr:rowOff>
    </xdr:from>
    <xdr:to>
      <xdr:col>11</xdr:col>
      <xdr:colOff>359228</xdr:colOff>
      <xdr:row>12</xdr:row>
      <xdr:rowOff>38100</xdr:rowOff>
    </xdr:to>
    <xdr:sp macro="" textlink="">
      <xdr:nvSpPr>
        <xdr:cNvPr id="25" name="Rektangel: afrundede hjørner 24">
          <a:extLst>
            <a:ext uri="{FF2B5EF4-FFF2-40B4-BE49-F238E27FC236}">
              <a16:creationId xmlns:a16="http://schemas.microsoft.com/office/drawing/2014/main" id="{38CF43EF-A0CD-65F7-803A-CDA99494776C}"/>
            </a:ext>
          </a:extLst>
        </xdr:cNvPr>
        <xdr:cNvSpPr/>
      </xdr:nvSpPr>
      <xdr:spPr>
        <a:xfrm>
          <a:off x="5921828" y="2260600"/>
          <a:ext cx="1143000" cy="203200"/>
        </a:xfrm>
        <a:prstGeom prst="roundRect">
          <a:avLst/>
        </a:prstGeom>
        <a:solidFill>
          <a:srgbClr val="F6F9FC"/>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a-DK" sz="700">
              <a:solidFill>
                <a:srgbClr val="0D1B2A"/>
              </a:solidFill>
            </a:rPr>
            <a:t>No WIP limits enforced</a:t>
          </a:r>
        </a:p>
      </xdr:txBody>
    </xdr:sp>
    <xdr:clientData/>
  </xdr:twoCellAnchor>
  <xdr:twoCellAnchor>
    <xdr:from>
      <xdr:col>11</xdr:col>
      <xdr:colOff>587828</xdr:colOff>
      <xdr:row>13</xdr:row>
      <xdr:rowOff>133350</xdr:rowOff>
    </xdr:from>
    <xdr:to>
      <xdr:col>12</xdr:col>
      <xdr:colOff>283028</xdr:colOff>
      <xdr:row>15</xdr:row>
      <xdr:rowOff>146050</xdr:rowOff>
    </xdr:to>
    <xdr:cxnSp macro="">
      <xdr:nvCxnSpPr>
        <xdr:cNvPr id="26" name="Lige forbindelse 25">
          <a:extLst>
            <a:ext uri="{FF2B5EF4-FFF2-40B4-BE49-F238E27FC236}">
              <a16:creationId xmlns:a16="http://schemas.microsoft.com/office/drawing/2014/main" id="{2D37B132-26E7-09A4-58DE-19D59CAE6EA0}"/>
            </a:ext>
          </a:extLst>
        </xdr:cNvPr>
        <xdr:cNvCxnSpPr/>
      </xdr:nvCxnSpPr>
      <xdr:spPr>
        <a:xfrm>
          <a:off x="7293428" y="2743200"/>
          <a:ext cx="304800" cy="381000"/>
        </a:xfrm>
        <a:prstGeom prst="line">
          <a:avLst/>
        </a:prstGeom>
        <a:ln w="15240" cap="sq">
          <a:solidFill>
            <a:srgbClr val="1E8449"/>
          </a:solidFill>
          <a:prstDash val="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79828</xdr:colOff>
      <xdr:row>12</xdr:row>
      <xdr:rowOff>114300</xdr:rowOff>
    </xdr:from>
    <xdr:to>
      <xdr:col>12</xdr:col>
      <xdr:colOff>3628</xdr:colOff>
      <xdr:row>13</xdr:row>
      <xdr:rowOff>133350</xdr:rowOff>
    </xdr:to>
    <xdr:sp macro="" textlink="">
      <xdr:nvSpPr>
        <xdr:cNvPr id="27" name="Rektangel: afrundede hjørner 26">
          <a:extLst>
            <a:ext uri="{FF2B5EF4-FFF2-40B4-BE49-F238E27FC236}">
              <a16:creationId xmlns:a16="http://schemas.microsoft.com/office/drawing/2014/main" id="{348706A9-763C-B87F-D236-02EB88CBF62D}"/>
            </a:ext>
          </a:extLst>
        </xdr:cNvPr>
        <xdr:cNvSpPr/>
      </xdr:nvSpPr>
      <xdr:spPr>
        <a:xfrm>
          <a:off x="6175828" y="2540000"/>
          <a:ext cx="1143000" cy="203200"/>
        </a:xfrm>
        <a:prstGeom prst="roundRect">
          <a:avLst/>
        </a:prstGeom>
        <a:solidFill>
          <a:srgbClr val="F6F9FC"/>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a-DK" sz="700">
              <a:solidFill>
                <a:srgbClr val="0D1B2A"/>
              </a:solidFill>
            </a:rPr>
            <a:t>Rework loop not captur...</a:t>
          </a:r>
        </a:p>
      </xdr:txBody>
    </xdr:sp>
    <xdr:clientData/>
  </xdr:twoCellAnchor>
  <xdr:twoCellAnchor>
    <xdr:from>
      <xdr:col>3</xdr:col>
      <xdr:colOff>48986</xdr:colOff>
      <xdr:row>17</xdr:row>
      <xdr:rowOff>82550</xdr:rowOff>
    </xdr:from>
    <xdr:to>
      <xdr:col>4</xdr:col>
      <xdr:colOff>264886</xdr:colOff>
      <xdr:row>23</xdr:row>
      <xdr:rowOff>57150</xdr:rowOff>
    </xdr:to>
    <xdr:cxnSp macro="">
      <xdr:nvCxnSpPr>
        <xdr:cNvPr id="28" name="Lige forbindelse 27">
          <a:extLst>
            <a:ext uri="{FF2B5EF4-FFF2-40B4-BE49-F238E27FC236}">
              <a16:creationId xmlns:a16="http://schemas.microsoft.com/office/drawing/2014/main" id="{6E8AF612-F5C2-0ACC-5E60-E51B3DAE74A2}"/>
            </a:ext>
          </a:extLst>
        </xdr:cNvPr>
        <xdr:cNvCxnSpPr/>
      </xdr:nvCxnSpPr>
      <xdr:spPr>
        <a:xfrm flipV="1">
          <a:off x="1877786" y="3429000"/>
          <a:ext cx="825500" cy="1079500"/>
        </a:xfrm>
        <a:prstGeom prst="line">
          <a:avLst/>
        </a:prstGeom>
        <a:ln w="31750">
          <a:solidFill>
            <a:srgbClr val="D4AC0D"/>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277586</xdr:colOff>
      <xdr:row>23</xdr:row>
      <xdr:rowOff>120650</xdr:rowOff>
    </xdr:from>
    <xdr:to>
      <xdr:col>4</xdr:col>
      <xdr:colOff>582386</xdr:colOff>
      <xdr:row>25</xdr:row>
      <xdr:rowOff>6350</xdr:rowOff>
    </xdr:to>
    <xdr:sp macro="" textlink="">
      <xdr:nvSpPr>
        <xdr:cNvPr id="29" name="Rektangel 28">
          <a:extLst>
            <a:ext uri="{FF2B5EF4-FFF2-40B4-BE49-F238E27FC236}">
              <a16:creationId xmlns:a16="http://schemas.microsoft.com/office/drawing/2014/main" id="{8A984B4F-8FD6-C4FB-98F7-1A3EE1A2ABB5}"/>
            </a:ext>
          </a:extLst>
        </xdr:cNvPr>
        <xdr:cNvSpPr/>
      </xdr:nvSpPr>
      <xdr:spPr>
        <a:xfrm>
          <a:off x="1496786" y="4572000"/>
          <a:ext cx="1524000" cy="254000"/>
        </a:xfrm>
        <a:prstGeom prst="rect">
          <a:avLst/>
        </a:prstGeom>
        <a:solidFill>
          <a:srgbClr val="D4AC0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a-DK" sz="800" b="1">
              <a:solidFill>
                <a:srgbClr val="FFFFFF"/>
              </a:solidFill>
            </a:rPr>
            <a:t>MATERIAL</a:t>
          </a:r>
        </a:p>
      </xdr:txBody>
    </xdr:sp>
    <xdr:clientData/>
  </xdr:twoCellAnchor>
  <xdr:twoCellAnchor>
    <xdr:from>
      <xdr:col>3</xdr:col>
      <xdr:colOff>239486</xdr:colOff>
      <xdr:row>22</xdr:row>
      <xdr:rowOff>25400</xdr:rowOff>
    </xdr:from>
    <xdr:to>
      <xdr:col>3</xdr:col>
      <xdr:colOff>544286</xdr:colOff>
      <xdr:row>24</xdr:row>
      <xdr:rowOff>38100</xdr:rowOff>
    </xdr:to>
    <xdr:cxnSp macro="">
      <xdr:nvCxnSpPr>
        <xdr:cNvPr id="30" name="Lige forbindelse 29">
          <a:extLst>
            <a:ext uri="{FF2B5EF4-FFF2-40B4-BE49-F238E27FC236}">
              <a16:creationId xmlns:a16="http://schemas.microsoft.com/office/drawing/2014/main" id="{5949C428-DAD0-17B8-C7BF-079CA153A1B0}"/>
            </a:ext>
          </a:extLst>
        </xdr:cNvPr>
        <xdr:cNvCxnSpPr/>
      </xdr:nvCxnSpPr>
      <xdr:spPr>
        <a:xfrm flipV="1">
          <a:off x="2068286" y="4292600"/>
          <a:ext cx="304800" cy="381000"/>
        </a:xfrm>
        <a:prstGeom prst="line">
          <a:avLst/>
        </a:prstGeom>
        <a:ln w="15240" cap="sq">
          <a:solidFill>
            <a:srgbClr val="D4AC0D"/>
          </a:solidFill>
          <a:prstDash val="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341086</xdr:colOff>
      <xdr:row>24</xdr:row>
      <xdr:rowOff>38100</xdr:rowOff>
    </xdr:from>
    <xdr:to>
      <xdr:col>3</xdr:col>
      <xdr:colOff>264886</xdr:colOff>
      <xdr:row>25</xdr:row>
      <xdr:rowOff>57150</xdr:rowOff>
    </xdr:to>
    <xdr:sp macro="" textlink="">
      <xdr:nvSpPr>
        <xdr:cNvPr id="31" name="Rektangel: afrundede hjørner 30">
          <a:extLst>
            <a:ext uri="{FF2B5EF4-FFF2-40B4-BE49-F238E27FC236}">
              <a16:creationId xmlns:a16="http://schemas.microsoft.com/office/drawing/2014/main" id="{9E167440-84E8-A63D-ADEE-16E21D683FF8}"/>
            </a:ext>
          </a:extLst>
        </xdr:cNvPr>
        <xdr:cNvSpPr/>
      </xdr:nvSpPr>
      <xdr:spPr>
        <a:xfrm>
          <a:off x="950686" y="4673600"/>
          <a:ext cx="1143000" cy="203200"/>
        </a:xfrm>
        <a:prstGeom prst="roundRect">
          <a:avLst/>
        </a:prstGeom>
        <a:solidFill>
          <a:srgbClr val="F6F9FC"/>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a-DK" sz="700">
              <a:solidFill>
                <a:srgbClr val="0D1B2A"/>
              </a:solidFill>
            </a:rPr>
            <a:t>Incomplete specs passe...</a:t>
          </a:r>
        </a:p>
      </xdr:txBody>
    </xdr:sp>
    <xdr:clientData/>
  </xdr:twoCellAnchor>
  <xdr:twoCellAnchor>
    <xdr:from>
      <xdr:col>3</xdr:col>
      <xdr:colOff>493486</xdr:colOff>
      <xdr:row>20</xdr:row>
      <xdr:rowOff>114300</xdr:rowOff>
    </xdr:from>
    <xdr:to>
      <xdr:col>4</xdr:col>
      <xdr:colOff>188686</xdr:colOff>
      <xdr:row>22</xdr:row>
      <xdr:rowOff>127000</xdr:rowOff>
    </xdr:to>
    <xdr:cxnSp macro="">
      <xdr:nvCxnSpPr>
        <xdr:cNvPr id="32" name="Lige forbindelse 31">
          <a:extLst>
            <a:ext uri="{FF2B5EF4-FFF2-40B4-BE49-F238E27FC236}">
              <a16:creationId xmlns:a16="http://schemas.microsoft.com/office/drawing/2014/main" id="{D6BE07CB-D772-9990-8242-2C193C909A15}"/>
            </a:ext>
          </a:extLst>
        </xdr:cNvPr>
        <xdr:cNvCxnSpPr/>
      </xdr:nvCxnSpPr>
      <xdr:spPr>
        <a:xfrm flipV="1">
          <a:off x="2322286" y="4013200"/>
          <a:ext cx="304800" cy="381000"/>
        </a:xfrm>
        <a:prstGeom prst="line">
          <a:avLst/>
        </a:prstGeom>
        <a:ln w="15240" cap="sq">
          <a:solidFill>
            <a:srgbClr val="D4AC0D"/>
          </a:solidFill>
          <a:prstDash val="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595086</xdr:colOff>
      <xdr:row>22</xdr:row>
      <xdr:rowOff>127000</xdr:rowOff>
    </xdr:from>
    <xdr:to>
      <xdr:col>3</xdr:col>
      <xdr:colOff>518886</xdr:colOff>
      <xdr:row>23</xdr:row>
      <xdr:rowOff>146050</xdr:rowOff>
    </xdr:to>
    <xdr:sp macro="" textlink="">
      <xdr:nvSpPr>
        <xdr:cNvPr id="33" name="Rektangel: afrundede hjørner 32">
          <a:extLst>
            <a:ext uri="{FF2B5EF4-FFF2-40B4-BE49-F238E27FC236}">
              <a16:creationId xmlns:a16="http://schemas.microsoft.com/office/drawing/2014/main" id="{5C774474-B17F-8C14-780B-0B07C0228F9B}"/>
            </a:ext>
          </a:extLst>
        </xdr:cNvPr>
        <xdr:cNvSpPr/>
      </xdr:nvSpPr>
      <xdr:spPr>
        <a:xfrm>
          <a:off x="1204686" y="4394200"/>
          <a:ext cx="1143000" cy="203200"/>
        </a:xfrm>
        <a:prstGeom prst="roundRect">
          <a:avLst/>
        </a:prstGeom>
        <a:solidFill>
          <a:srgbClr val="F6F9FC"/>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a-DK" sz="700">
              <a:solidFill>
                <a:srgbClr val="0D1B2A"/>
              </a:solidFill>
            </a:rPr>
            <a:t>No template for common...</a:t>
          </a:r>
        </a:p>
      </xdr:txBody>
    </xdr:sp>
    <xdr:clientData/>
  </xdr:twoCellAnchor>
  <xdr:twoCellAnchor>
    <xdr:from>
      <xdr:col>6</xdr:col>
      <xdr:colOff>578757</xdr:colOff>
      <xdr:row>17</xdr:row>
      <xdr:rowOff>82550</xdr:rowOff>
    </xdr:from>
    <xdr:to>
      <xdr:col>8</xdr:col>
      <xdr:colOff>185057</xdr:colOff>
      <xdr:row>23</xdr:row>
      <xdr:rowOff>57150</xdr:rowOff>
    </xdr:to>
    <xdr:cxnSp macro="">
      <xdr:nvCxnSpPr>
        <xdr:cNvPr id="34" name="Lige forbindelse 33">
          <a:extLst>
            <a:ext uri="{FF2B5EF4-FFF2-40B4-BE49-F238E27FC236}">
              <a16:creationId xmlns:a16="http://schemas.microsoft.com/office/drawing/2014/main" id="{84C2CF51-52BB-0E57-CA15-DAAAA59D8890}"/>
            </a:ext>
          </a:extLst>
        </xdr:cNvPr>
        <xdr:cNvCxnSpPr/>
      </xdr:nvCxnSpPr>
      <xdr:spPr>
        <a:xfrm flipV="1">
          <a:off x="4236357" y="3429000"/>
          <a:ext cx="825500" cy="1079500"/>
        </a:xfrm>
        <a:prstGeom prst="line">
          <a:avLst/>
        </a:prstGeom>
        <a:ln w="31750">
          <a:solidFill>
            <a:srgbClr val="0E665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197757</xdr:colOff>
      <xdr:row>23</xdr:row>
      <xdr:rowOff>120650</xdr:rowOff>
    </xdr:from>
    <xdr:to>
      <xdr:col>8</xdr:col>
      <xdr:colOff>502557</xdr:colOff>
      <xdr:row>25</xdr:row>
      <xdr:rowOff>6350</xdr:rowOff>
    </xdr:to>
    <xdr:sp macro="" textlink="">
      <xdr:nvSpPr>
        <xdr:cNvPr id="35" name="Rektangel 34">
          <a:extLst>
            <a:ext uri="{FF2B5EF4-FFF2-40B4-BE49-F238E27FC236}">
              <a16:creationId xmlns:a16="http://schemas.microsoft.com/office/drawing/2014/main" id="{D3235736-7B6C-A952-4E4E-FFCC006F5B91}"/>
            </a:ext>
          </a:extLst>
        </xdr:cNvPr>
        <xdr:cNvSpPr/>
      </xdr:nvSpPr>
      <xdr:spPr>
        <a:xfrm>
          <a:off x="3855357" y="4572000"/>
          <a:ext cx="1524000" cy="254000"/>
        </a:xfrm>
        <a:prstGeom prst="rect">
          <a:avLst/>
        </a:prstGeom>
        <a:solidFill>
          <a:srgbClr val="0E665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a-DK" sz="800" b="1">
              <a:solidFill>
                <a:srgbClr val="FFFFFF"/>
              </a:solidFill>
            </a:rPr>
            <a:t>MEASUREMENT</a:t>
          </a:r>
        </a:p>
      </xdr:txBody>
    </xdr:sp>
    <xdr:clientData/>
  </xdr:twoCellAnchor>
  <xdr:twoCellAnchor>
    <xdr:from>
      <xdr:col>7</xdr:col>
      <xdr:colOff>159657</xdr:colOff>
      <xdr:row>22</xdr:row>
      <xdr:rowOff>25400</xdr:rowOff>
    </xdr:from>
    <xdr:to>
      <xdr:col>7</xdr:col>
      <xdr:colOff>464457</xdr:colOff>
      <xdr:row>24</xdr:row>
      <xdr:rowOff>38100</xdr:rowOff>
    </xdr:to>
    <xdr:cxnSp macro="">
      <xdr:nvCxnSpPr>
        <xdr:cNvPr id="36" name="Lige forbindelse 35">
          <a:extLst>
            <a:ext uri="{FF2B5EF4-FFF2-40B4-BE49-F238E27FC236}">
              <a16:creationId xmlns:a16="http://schemas.microsoft.com/office/drawing/2014/main" id="{9D7E63D6-17CE-5C59-5034-7E79D096A9B2}"/>
            </a:ext>
          </a:extLst>
        </xdr:cNvPr>
        <xdr:cNvCxnSpPr/>
      </xdr:nvCxnSpPr>
      <xdr:spPr>
        <a:xfrm flipV="1">
          <a:off x="4426857" y="4292600"/>
          <a:ext cx="304800" cy="381000"/>
        </a:xfrm>
        <a:prstGeom prst="line">
          <a:avLst/>
        </a:prstGeom>
        <a:ln w="15240" cap="sq">
          <a:solidFill>
            <a:srgbClr val="0E6655"/>
          </a:solidFill>
          <a:prstDash val="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261257</xdr:colOff>
      <xdr:row>24</xdr:row>
      <xdr:rowOff>38100</xdr:rowOff>
    </xdr:from>
    <xdr:to>
      <xdr:col>7</xdr:col>
      <xdr:colOff>185057</xdr:colOff>
      <xdr:row>25</xdr:row>
      <xdr:rowOff>57150</xdr:rowOff>
    </xdr:to>
    <xdr:sp macro="" textlink="">
      <xdr:nvSpPr>
        <xdr:cNvPr id="37" name="Rektangel: afrundede hjørner 36">
          <a:extLst>
            <a:ext uri="{FF2B5EF4-FFF2-40B4-BE49-F238E27FC236}">
              <a16:creationId xmlns:a16="http://schemas.microsoft.com/office/drawing/2014/main" id="{2A3C1B1E-726E-1152-9457-349C3ECC8A35}"/>
            </a:ext>
          </a:extLst>
        </xdr:cNvPr>
        <xdr:cNvSpPr/>
      </xdr:nvSpPr>
      <xdr:spPr>
        <a:xfrm>
          <a:off x="3309257" y="4673600"/>
          <a:ext cx="1143000" cy="203200"/>
        </a:xfrm>
        <a:prstGeom prst="roundRect">
          <a:avLst/>
        </a:prstGeom>
        <a:solidFill>
          <a:srgbClr val="F6F9FC"/>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a-DK" sz="700">
              <a:solidFill>
                <a:srgbClr val="0D1B2A"/>
              </a:solidFill>
            </a:rPr>
            <a:t>Metrics reviewed month...</a:t>
          </a:r>
        </a:p>
      </xdr:txBody>
    </xdr:sp>
    <xdr:clientData/>
  </xdr:twoCellAnchor>
  <xdr:twoCellAnchor>
    <xdr:from>
      <xdr:col>7</xdr:col>
      <xdr:colOff>413657</xdr:colOff>
      <xdr:row>20</xdr:row>
      <xdr:rowOff>114300</xdr:rowOff>
    </xdr:from>
    <xdr:to>
      <xdr:col>8</xdr:col>
      <xdr:colOff>108857</xdr:colOff>
      <xdr:row>22</xdr:row>
      <xdr:rowOff>127000</xdr:rowOff>
    </xdr:to>
    <xdr:cxnSp macro="">
      <xdr:nvCxnSpPr>
        <xdr:cNvPr id="38" name="Lige forbindelse 37">
          <a:extLst>
            <a:ext uri="{FF2B5EF4-FFF2-40B4-BE49-F238E27FC236}">
              <a16:creationId xmlns:a16="http://schemas.microsoft.com/office/drawing/2014/main" id="{587C1729-6827-36E3-52A4-041E4FF6393B}"/>
            </a:ext>
          </a:extLst>
        </xdr:cNvPr>
        <xdr:cNvCxnSpPr/>
      </xdr:nvCxnSpPr>
      <xdr:spPr>
        <a:xfrm flipV="1">
          <a:off x="4680857" y="4013200"/>
          <a:ext cx="304800" cy="381000"/>
        </a:xfrm>
        <a:prstGeom prst="line">
          <a:avLst/>
        </a:prstGeom>
        <a:ln w="15240" cap="sq">
          <a:solidFill>
            <a:srgbClr val="0E6655"/>
          </a:solidFill>
          <a:prstDash val="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515257</xdr:colOff>
      <xdr:row>22</xdr:row>
      <xdr:rowOff>127000</xdr:rowOff>
    </xdr:from>
    <xdr:to>
      <xdr:col>7</xdr:col>
      <xdr:colOff>439057</xdr:colOff>
      <xdr:row>23</xdr:row>
      <xdr:rowOff>146050</xdr:rowOff>
    </xdr:to>
    <xdr:sp macro="" textlink="">
      <xdr:nvSpPr>
        <xdr:cNvPr id="39" name="Rektangel: afrundede hjørner 38">
          <a:extLst>
            <a:ext uri="{FF2B5EF4-FFF2-40B4-BE49-F238E27FC236}">
              <a16:creationId xmlns:a16="http://schemas.microsoft.com/office/drawing/2014/main" id="{E3A5B34C-7495-5DF1-E531-7F7B32487360}"/>
            </a:ext>
          </a:extLst>
        </xdr:cNvPr>
        <xdr:cNvSpPr/>
      </xdr:nvSpPr>
      <xdr:spPr>
        <a:xfrm>
          <a:off x="3563257" y="4394200"/>
          <a:ext cx="1143000" cy="203200"/>
        </a:xfrm>
        <a:prstGeom prst="roundRect">
          <a:avLst/>
        </a:prstGeom>
        <a:solidFill>
          <a:srgbClr val="F6F9FC"/>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a-DK" sz="700">
              <a:solidFill>
                <a:srgbClr val="0D1B2A"/>
              </a:solidFill>
            </a:rPr>
            <a:t>KPIs don't reflect cus...</a:t>
          </a:r>
        </a:p>
      </xdr:txBody>
    </xdr:sp>
    <xdr:clientData/>
  </xdr:twoCellAnchor>
  <xdr:twoCellAnchor>
    <xdr:from>
      <xdr:col>10</xdr:col>
      <xdr:colOff>498928</xdr:colOff>
      <xdr:row>17</xdr:row>
      <xdr:rowOff>82550</xdr:rowOff>
    </xdr:from>
    <xdr:to>
      <xdr:col>12</xdr:col>
      <xdr:colOff>105228</xdr:colOff>
      <xdr:row>23</xdr:row>
      <xdr:rowOff>57150</xdr:rowOff>
    </xdr:to>
    <xdr:cxnSp macro="">
      <xdr:nvCxnSpPr>
        <xdr:cNvPr id="40" name="Lige forbindelse 39">
          <a:extLst>
            <a:ext uri="{FF2B5EF4-FFF2-40B4-BE49-F238E27FC236}">
              <a16:creationId xmlns:a16="http://schemas.microsoft.com/office/drawing/2014/main" id="{A2DBE3D0-C08F-6850-E3B1-E2EE2FDB80C4}"/>
            </a:ext>
          </a:extLst>
        </xdr:cNvPr>
        <xdr:cNvCxnSpPr/>
      </xdr:nvCxnSpPr>
      <xdr:spPr>
        <a:xfrm flipV="1">
          <a:off x="6594928" y="3429000"/>
          <a:ext cx="825500" cy="1079500"/>
        </a:xfrm>
        <a:prstGeom prst="line">
          <a:avLst/>
        </a:prstGeom>
        <a:ln w="31750">
          <a:solidFill>
            <a:srgbClr val="C0392B"/>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117928</xdr:colOff>
      <xdr:row>23</xdr:row>
      <xdr:rowOff>120650</xdr:rowOff>
    </xdr:from>
    <xdr:to>
      <xdr:col>12</xdr:col>
      <xdr:colOff>422728</xdr:colOff>
      <xdr:row>25</xdr:row>
      <xdr:rowOff>6350</xdr:rowOff>
    </xdr:to>
    <xdr:sp macro="" textlink="">
      <xdr:nvSpPr>
        <xdr:cNvPr id="41" name="Rektangel 40">
          <a:extLst>
            <a:ext uri="{FF2B5EF4-FFF2-40B4-BE49-F238E27FC236}">
              <a16:creationId xmlns:a16="http://schemas.microsoft.com/office/drawing/2014/main" id="{75CAB5CF-BBC1-5498-A7EC-558A326A9A4A}"/>
            </a:ext>
          </a:extLst>
        </xdr:cNvPr>
        <xdr:cNvSpPr/>
      </xdr:nvSpPr>
      <xdr:spPr>
        <a:xfrm>
          <a:off x="6213928" y="4572000"/>
          <a:ext cx="1524000" cy="254000"/>
        </a:xfrm>
        <a:prstGeom prst="rect">
          <a:avLst/>
        </a:prstGeom>
        <a:solidFill>
          <a:srgbClr val="C0392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a-DK" sz="800" b="1">
              <a:solidFill>
                <a:srgbClr val="FFFFFF"/>
              </a:solidFill>
            </a:rPr>
            <a:t>ENVIRONMENT</a:t>
          </a:r>
        </a:p>
      </xdr:txBody>
    </xdr:sp>
    <xdr:clientData/>
  </xdr:twoCellAnchor>
  <xdr:twoCellAnchor>
    <xdr:from>
      <xdr:col>11</xdr:col>
      <xdr:colOff>79828</xdr:colOff>
      <xdr:row>22</xdr:row>
      <xdr:rowOff>25400</xdr:rowOff>
    </xdr:from>
    <xdr:to>
      <xdr:col>11</xdr:col>
      <xdr:colOff>384628</xdr:colOff>
      <xdr:row>24</xdr:row>
      <xdr:rowOff>38100</xdr:rowOff>
    </xdr:to>
    <xdr:cxnSp macro="">
      <xdr:nvCxnSpPr>
        <xdr:cNvPr id="42" name="Lige forbindelse 41">
          <a:extLst>
            <a:ext uri="{FF2B5EF4-FFF2-40B4-BE49-F238E27FC236}">
              <a16:creationId xmlns:a16="http://schemas.microsoft.com/office/drawing/2014/main" id="{9107058F-20BF-129D-065C-AEF93AB90A00}"/>
            </a:ext>
          </a:extLst>
        </xdr:cNvPr>
        <xdr:cNvCxnSpPr/>
      </xdr:nvCxnSpPr>
      <xdr:spPr>
        <a:xfrm flipV="1">
          <a:off x="6785428" y="4292600"/>
          <a:ext cx="304800" cy="381000"/>
        </a:xfrm>
        <a:prstGeom prst="line">
          <a:avLst/>
        </a:prstGeom>
        <a:ln w="15240" cap="sq">
          <a:solidFill>
            <a:srgbClr val="C0392B"/>
          </a:solidFill>
          <a:prstDash val="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181428</xdr:colOff>
      <xdr:row>24</xdr:row>
      <xdr:rowOff>38100</xdr:rowOff>
    </xdr:from>
    <xdr:to>
      <xdr:col>11</xdr:col>
      <xdr:colOff>105228</xdr:colOff>
      <xdr:row>25</xdr:row>
      <xdr:rowOff>57150</xdr:rowOff>
    </xdr:to>
    <xdr:sp macro="" textlink="">
      <xdr:nvSpPr>
        <xdr:cNvPr id="43" name="Rektangel: afrundede hjørner 42">
          <a:extLst>
            <a:ext uri="{FF2B5EF4-FFF2-40B4-BE49-F238E27FC236}">
              <a16:creationId xmlns:a16="http://schemas.microsoft.com/office/drawing/2014/main" id="{77F55A7A-0A47-A83A-EF36-0D32162D0E09}"/>
            </a:ext>
          </a:extLst>
        </xdr:cNvPr>
        <xdr:cNvSpPr/>
      </xdr:nvSpPr>
      <xdr:spPr>
        <a:xfrm>
          <a:off x="5667828" y="4673600"/>
          <a:ext cx="1143000" cy="203200"/>
        </a:xfrm>
        <a:prstGeom prst="roundRect">
          <a:avLst/>
        </a:prstGeom>
        <a:solidFill>
          <a:srgbClr val="F6F9FC"/>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a-DK" sz="700">
              <a:solidFill>
                <a:srgbClr val="0D1B2A"/>
              </a:solidFill>
            </a:rPr>
            <a:t>No dedicated improveme...</a:t>
          </a:r>
        </a:p>
      </xdr:txBody>
    </xdr:sp>
    <xdr:clientData/>
  </xdr:twoCellAnchor>
  <xdr:twoCellAnchor>
    <xdr:from>
      <xdr:col>11</xdr:col>
      <xdr:colOff>333828</xdr:colOff>
      <xdr:row>20</xdr:row>
      <xdr:rowOff>114300</xdr:rowOff>
    </xdr:from>
    <xdr:to>
      <xdr:col>12</xdr:col>
      <xdr:colOff>29028</xdr:colOff>
      <xdr:row>22</xdr:row>
      <xdr:rowOff>127000</xdr:rowOff>
    </xdr:to>
    <xdr:cxnSp macro="">
      <xdr:nvCxnSpPr>
        <xdr:cNvPr id="44" name="Lige forbindelse 43">
          <a:extLst>
            <a:ext uri="{FF2B5EF4-FFF2-40B4-BE49-F238E27FC236}">
              <a16:creationId xmlns:a16="http://schemas.microsoft.com/office/drawing/2014/main" id="{B6D1161A-4980-72E6-4BEF-F09ED5454967}"/>
            </a:ext>
          </a:extLst>
        </xdr:cNvPr>
        <xdr:cNvCxnSpPr/>
      </xdr:nvCxnSpPr>
      <xdr:spPr>
        <a:xfrm flipV="1">
          <a:off x="7039428" y="4013200"/>
          <a:ext cx="304800" cy="381000"/>
        </a:xfrm>
        <a:prstGeom prst="line">
          <a:avLst/>
        </a:prstGeom>
        <a:ln w="15240" cap="sq">
          <a:solidFill>
            <a:srgbClr val="C0392B"/>
          </a:solidFill>
          <a:prstDash val="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435428</xdr:colOff>
      <xdr:row>22</xdr:row>
      <xdr:rowOff>127000</xdr:rowOff>
    </xdr:from>
    <xdr:to>
      <xdr:col>11</xdr:col>
      <xdr:colOff>359228</xdr:colOff>
      <xdr:row>23</xdr:row>
      <xdr:rowOff>146050</xdr:rowOff>
    </xdr:to>
    <xdr:sp macro="" textlink="">
      <xdr:nvSpPr>
        <xdr:cNvPr id="45" name="Rektangel: afrundede hjørner 44">
          <a:extLst>
            <a:ext uri="{FF2B5EF4-FFF2-40B4-BE49-F238E27FC236}">
              <a16:creationId xmlns:a16="http://schemas.microsoft.com/office/drawing/2014/main" id="{0C5FF214-FA4B-9E93-96AC-91A7A54C4A29}"/>
            </a:ext>
          </a:extLst>
        </xdr:cNvPr>
        <xdr:cNvSpPr/>
      </xdr:nvSpPr>
      <xdr:spPr>
        <a:xfrm>
          <a:off x="5921828" y="4394200"/>
          <a:ext cx="1143000" cy="203200"/>
        </a:xfrm>
        <a:prstGeom prst="roundRect">
          <a:avLst/>
        </a:prstGeom>
        <a:solidFill>
          <a:srgbClr val="F6F9FC"/>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a-DK" sz="700">
              <a:solidFill>
                <a:srgbClr val="0D1B2A"/>
              </a:solidFill>
            </a:rPr>
            <a:t>Culture punishes raisi...</a:t>
          </a:r>
        </a:p>
      </xdr:txBody>
    </xdr:sp>
    <xdr:clientData/>
  </xdr:twoCellAnchor>
  <xdr:twoCellAnchor>
    <xdr:from>
      <xdr:col>0</xdr:col>
      <xdr:colOff>254000</xdr:colOff>
      <xdr:row>32</xdr:row>
      <xdr:rowOff>177800</xdr:rowOff>
    </xdr:from>
    <xdr:to>
      <xdr:col>18</xdr:col>
      <xdr:colOff>457200</xdr:colOff>
      <xdr:row>34</xdr:row>
      <xdr:rowOff>88900</xdr:rowOff>
    </xdr:to>
    <xdr:sp macro="" textlink="">
      <xdr:nvSpPr>
        <xdr:cNvPr id="46" name="Tekstfelt 45">
          <a:extLst>
            <a:ext uri="{FF2B5EF4-FFF2-40B4-BE49-F238E27FC236}">
              <a16:creationId xmlns:a16="http://schemas.microsoft.com/office/drawing/2014/main" id="{27D44EAA-8C82-227A-DB52-0D890EADDD25}"/>
            </a:ext>
          </a:extLst>
        </xdr:cNvPr>
        <xdr:cNvSpPr txBox="1"/>
      </xdr:nvSpPr>
      <xdr:spPr>
        <a:xfrm>
          <a:off x="254000" y="6286500"/>
          <a:ext cx="11176000" cy="279400"/>
        </a:xfrm>
        <a:prstGeom prst="rect">
          <a:avLst/>
        </a:prstGeom>
        <a:solidFill>
          <a:srgbClr val="EBF5FB"/>
        </a:solidFill>
        <a:ln w="9525" cmpd="sng">
          <a:solidFill>
            <a:srgbClr val="2E86C1"/>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da-DK" sz="900" i="1">
              <a:solidFill>
                <a:srgbClr val="555555"/>
              </a:solidFill>
            </a:rPr>
            <a:t>  HOW TO USE: Edit causes in the FISHBONE sheet -&gt; Press Alt+F8 -&gt; Run BuildFishboneDiagram to redraw</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27940</xdr:colOff>
      <xdr:row>0</xdr:row>
      <xdr:rowOff>127000</xdr:rowOff>
    </xdr:from>
    <xdr:to>
      <xdr:col>1</xdr:col>
      <xdr:colOff>1170940</xdr:colOff>
      <xdr:row>1</xdr:row>
      <xdr:rowOff>5080</xdr:rowOff>
    </xdr:to>
    <xdr:sp macro="AI_GUIDANCE.ShowSheetHelp" textlink="">
      <xdr:nvSpPr>
        <xdr:cNvPr id="2" name="AI_BTN_SHEET_HELP">
          <a:extLst>
            <a:ext uri="{FF2B5EF4-FFF2-40B4-BE49-F238E27FC236}">
              <a16:creationId xmlns:a16="http://schemas.microsoft.com/office/drawing/2014/main" id="{9AAD6395-9FBA-A7D9-D7F1-8FC8626C5C1C}"/>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1</xdr:col>
      <xdr:colOff>1297940</xdr:colOff>
      <xdr:row>0</xdr:row>
      <xdr:rowOff>127000</xdr:rowOff>
    </xdr:from>
    <xdr:to>
      <xdr:col>3</xdr:col>
      <xdr:colOff>167640</xdr:colOff>
      <xdr:row>1</xdr:row>
      <xdr:rowOff>5080</xdr:rowOff>
    </xdr:to>
    <xdr:sp macro="AI_GUIDANCE.ValidateCurrentSheet" textlink="">
      <xdr:nvSpPr>
        <xdr:cNvPr id="3" name="AI_BTN_VALIDATE">
          <a:extLst>
            <a:ext uri="{FF2B5EF4-FFF2-40B4-BE49-F238E27FC236}">
              <a16:creationId xmlns:a16="http://schemas.microsoft.com/office/drawing/2014/main" id="{17C2F671-2591-F3B4-EC77-1B35916090ED}"/>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27940</xdr:colOff>
      <xdr:row>0</xdr:row>
      <xdr:rowOff>127000</xdr:rowOff>
    </xdr:from>
    <xdr:to>
      <xdr:col>1</xdr:col>
      <xdr:colOff>1170940</xdr:colOff>
      <xdr:row>1</xdr:row>
      <xdr:rowOff>5080</xdr:rowOff>
    </xdr:to>
    <xdr:sp macro="AI_GUIDANCE.ShowSheetHelp" textlink="">
      <xdr:nvSpPr>
        <xdr:cNvPr id="2" name="AI_BTN_SHEET_HELP">
          <a:extLst>
            <a:ext uri="{FF2B5EF4-FFF2-40B4-BE49-F238E27FC236}">
              <a16:creationId xmlns:a16="http://schemas.microsoft.com/office/drawing/2014/main" id="{9EE977FB-900F-834B-7D29-070B67DE5748}"/>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1</xdr:col>
      <xdr:colOff>1297940</xdr:colOff>
      <xdr:row>0</xdr:row>
      <xdr:rowOff>127000</xdr:rowOff>
    </xdr:from>
    <xdr:to>
      <xdr:col>2</xdr:col>
      <xdr:colOff>769620</xdr:colOff>
      <xdr:row>1</xdr:row>
      <xdr:rowOff>5080</xdr:rowOff>
    </xdr:to>
    <xdr:sp macro="AI_GUIDANCE.ValidateCurrentSheet" textlink="">
      <xdr:nvSpPr>
        <xdr:cNvPr id="3" name="AI_BTN_VALIDATE">
          <a:extLst>
            <a:ext uri="{FF2B5EF4-FFF2-40B4-BE49-F238E27FC236}">
              <a16:creationId xmlns:a16="http://schemas.microsoft.com/office/drawing/2014/main" id="{86B924F3-0AC9-65A9-F072-6840C379881B}"/>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27940</xdr:colOff>
      <xdr:row>0</xdr:row>
      <xdr:rowOff>127000</xdr:rowOff>
    </xdr:from>
    <xdr:to>
      <xdr:col>1</xdr:col>
      <xdr:colOff>1170940</xdr:colOff>
      <xdr:row>1</xdr:row>
      <xdr:rowOff>5080</xdr:rowOff>
    </xdr:to>
    <xdr:sp macro="AI_GUIDANCE.ShowSheetHelp" textlink="">
      <xdr:nvSpPr>
        <xdr:cNvPr id="2" name="AI_BTN_SHEET_HELP">
          <a:extLst>
            <a:ext uri="{FF2B5EF4-FFF2-40B4-BE49-F238E27FC236}">
              <a16:creationId xmlns:a16="http://schemas.microsoft.com/office/drawing/2014/main" id="{955DB9C1-5419-14AF-5DB4-87A5FC9F903A}"/>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1</xdr:col>
      <xdr:colOff>1297940</xdr:colOff>
      <xdr:row>0</xdr:row>
      <xdr:rowOff>127000</xdr:rowOff>
    </xdr:from>
    <xdr:to>
      <xdr:col>2</xdr:col>
      <xdr:colOff>784860</xdr:colOff>
      <xdr:row>1</xdr:row>
      <xdr:rowOff>5080</xdr:rowOff>
    </xdr:to>
    <xdr:sp macro="AI_GUIDANCE.ValidateCurrentSheet" textlink="">
      <xdr:nvSpPr>
        <xdr:cNvPr id="3" name="AI_BTN_VALIDATE">
          <a:extLst>
            <a:ext uri="{FF2B5EF4-FFF2-40B4-BE49-F238E27FC236}">
              <a16:creationId xmlns:a16="http://schemas.microsoft.com/office/drawing/2014/main" id="{68A6E62B-3A83-D44F-2026-3B1057D75EC0}"/>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27940</xdr:colOff>
      <xdr:row>0</xdr:row>
      <xdr:rowOff>127000</xdr:rowOff>
    </xdr:from>
    <xdr:to>
      <xdr:col>2</xdr:col>
      <xdr:colOff>347980</xdr:colOff>
      <xdr:row>1</xdr:row>
      <xdr:rowOff>5080</xdr:rowOff>
    </xdr:to>
    <xdr:sp macro="AI_GUIDANCE.ShowSheetHelp" textlink="">
      <xdr:nvSpPr>
        <xdr:cNvPr id="2" name="AI_BTN_SHEET_HELP">
          <a:extLst>
            <a:ext uri="{FF2B5EF4-FFF2-40B4-BE49-F238E27FC236}">
              <a16:creationId xmlns:a16="http://schemas.microsoft.com/office/drawing/2014/main" id="{831623F1-786C-7DB2-F318-27CA1B922027}"/>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2</xdr:col>
      <xdr:colOff>474980</xdr:colOff>
      <xdr:row>0</xdr:row>
      <xdr:rowOff>127000</xdr:rowOff>
    </xdr:from>
    <xdr:to>
      <xdr:col>2</xdr:col>
      <xdr:colOff>1744980</xdr:colOff>
      <xdr:row>1</xdr:row>
      <xdr:rowOff>5080</xdr:rowOff>
    </xdr:to>
    <xdr:sp macro="AI_GUIDANCE.ValidateCurrentSheet" textlink="">
      <xdr:nvSpPr>
        <xdr:cNvPr id="3" name="AI_BTN_VALIDATE">
          <a:extLst>
            <a:ext uri="{FF2B5EF4-FFF2-40B4-BE49-F238E27FC236}">
              <a16:creationId xmlns:a16="http://schemas.microsoft.com/office/drawing/2014/main" id="{15AB6636-CADE-0449-E9AE-BA38E6BF42C6}"/>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0</xdr:col>
      <xdr:colOff>1270000</xdr:colOff>
      <xdr:row>1</xdr:row>
      <xdr:rowOff>50800</xdr:rowOff>
    </xdr:to>
    <xdr:sp macro="AI_GUIDANCE.ShowSheetHelp" textlink="">
      <xdr:nvSpPr>
        <xdr:cNvPr id="2" name="AI_BTN_SHEET_HELP">
          <a:extLst>
            <a:ext uri="{FF2B5EF4-FFF2-40B4-BE49-F238E27FC236}">
              <a16:creationId xmlns:a16="http://schemas.microsoft.com/office/drawing/2014/main" id="{9BB18015-231A-8BCC-44D3-976E1299ACE4}"/>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1</xdr:col>
      <xdr:colOff>25400</xdr:colOff>
      <xdr:row>0</xdr:row>
      <xdr:rowOff>127000</xdr:rowOff>
    </xdr:from>
    <xdr:to>
      <xdr:col>1</xdr:col>
      <xdr:colOff>1295400</xdr:colOff>
      <xdr:row>1</xdr:row>
      <xdr:rowOff>50800</xdr:rowOff>
    </xdr:to>
    <xdr:sp macro="AI_GUIDANCE.ValidateCurrentSheet" textlink="">
      <xdr:nvSpPr>
        <xdr:cNvPr id="3" name="AI_BTN_VALIDATE">
          <a:extLst>
            <a:ext uri="{FF2B5EF4-FFF2-40B4-BE49-F238E27FC236}">
              <a16:creationId xmlns:a16="http://schemas.microsoft.com/office/drawing/2014/main" id="{FC8347DE-245D-A7AE-D007-94D594352EF4}"/>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254000</xdr:colOff>
      <xdr:row>12</xdr:row>
      <xdr:rowOff>7620</xdr:rowOff>
    </xdr:from>
    <xdr:to>
      <xdr:col>3</xdr:col>
      <xdr:colOff>276860</xdr:colOff>
      <xdr:row>14</xdr:row>
      <xdr:rowOff>22860</xdr:rowOff>
    </xdr:to>
    <xdr:sp macro="AI_GUIDANCE.RunChartControl" textlink="">
      <xdr:nvSpPr>
        <xdr:cNvPr id="2" name="AI_BTN_RUNCHARTCONTROL">
          <a:extLst>
            <a:ext uri="{FF2B5EF4-FFF2-40B4-BE49-F238E27FC236}">
              <a16:creationId xmlns:a16="http://schemas.microsoft.com/office/drawing/2014/main" id="{532B1E2A-A7FD-5756-76EA-14EF896F8D27}"/>
            </a:ext>
          </a:extLst>
        </xdr:cNvPr>
        <xdr:cNvSpPr/>
      </xdr:nvSpPr>
      <xdr:spPr>
        <a:xfrm>
          <a:off x="254000" y="2286000"/>
          <a:ext cx="22860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Run Chart Control</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254000</xdr:colOff>
      <xdr:row>7</xdr:row>
      <xdr:rowOff>129540</xdr:rowOff>
    </xdr:from>
    <xdr:to>
      <xdr:col>1</xdr:col>
      <xdr:colOff>429260</xdr:colOff>
      <xdr:row>9</xdr:row>
      <xdr:rowOff>144780</xdr:rowOff>
    </xdr:to>
    <xdr:sp macro="AI_GUIDANCE.ShowSheetHelp" textlink="">
      <xdr:nvSpPr>
        <xdr:cNvPr id="2" name="AI_BTN_SHOWHELP">
          <a:extLst>
            <a:ext uri="{FF2B5EF4-FFF2-40B4-BE49-F238E27FC236}">
              <a16:creationId xmlns:a16="http://schemas.microsoft.com/office/drawing/2014/main" id="{50856F15-5170-0934-093A-166778C54F04}"/>
            </a:ext>
          </a:extLst>
        </xdr:cNvPr>
        <xdr:cNvSpPr/>
      </xdr:nvSpPr>
      <xdr:spPr>
        <a:xfrm>
          <a:off x="254000" y="1524000"/>
          <a:ext cx="22860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Show Current Sheet Help</a:t>
          </a:r>
        </a:p>
      </xdr:txBody>
    </xdr:sp>
    <xdr:clientData/>
  </xdr:twoCellAnchor>
  <xdr:twoCellAnchor>
    <xdr:from>
      <xdr:col>0</xdr:col>
      <xdr:colOff>254000</xdr:colOff>
      <xdr:row>10</xdr:row>
      <xdr:rowOff>88900</xdr:rowOff>
    </xdr:from>
    <xdr:to>
      <xdr:col>1</xdr:col>
      <xdr:colOff>429260</xdr:colOff>
      <xdr:row>12</xdr:row>
      <xdr:rowOff>104140</xdr:rowOff>
    </xdr:to>
    <xdr:sp macro="AI_GUIDANCE.ValidateCurrentSheet" textlink="">
      <xdr:nvSpPr>
        <xdr:cNvPr id="3" name="AI_BTN_VALIDATE">
          <a:extLst>
            <a:ext uri="{FF2B5EF4-FFF2-40B4-BE49-F238E27FC236}">
              <a16:creationId xmlns:a16="http://schemas.microsoft.com/office/drawing/2014/main" id="{1FBAC270-0352-1038-6B71-B75DAA3922C6}"/>
            </a:ext>
          </a:extLst>
        </xdr:cNvPr>
        <xdr:cNvSpPr/>
      </xdr:nvSpPr>
      <xdr:spPr>
        <a:xfrm>
          <a:off x="254000" y="2032000"/>
          <a:ext cx="22860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Current Sheet</a:t>
          </a:r>
        </a:p>
      </xdr:txBody>
    </xdr:sp>
    <xdr:clientData/>
  </xdr:twoCellAnchor>
  <xdr:twoCellAnchor>
    <xdr:from>
      <xdr:col>1</xdr:col>
      <xdr:colOff>683260</xdr:colOff>
      <xdr:row>7</xdr:row>
      <xdr:rowOff>129540</xdr:rowOff>
    </xdr:from>
    <xdr:to>
      <xdr:col>2</xdr:col>
      <xdr:colOff>858520</xdr:colOff>
      <xdr:row>9</xdr:row>
      <xdr:rowOff>144780</xdr:rowOff>
    </xdr:to>
    <xdr:sp macro="AI_GUIDANCE.GenerateAIContent" textlink="">
      <xdr:nvSpPr>
        <xdr:cNvPr id="4" name="AI_BTN_GENERATE">
          <a:extLst>
            <a:ext uri="{FF2B5EF4-FFF2-40B4-BE49-F238E27FC236}">
              <a16:creationId xmlns:a16="http://schemas.microsoft.com/office/drawing/2014/main" id="{3CBAACC6-A7F5-6789-BEA4-D5FEC652D7FA}"/>
            </a:ext>
          </a:extLst>
        </xdr:cNvPr>
        <xdr:cNvSpPr/>
      </xdr:nvSpPr>
      <xdr:spPr>
        <a:xfrm>
          <a:off x="2794000" y="1524000"/>
          <a:ext cx="22860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Generate AI Suggestion</a:t>
          </a:r>
        </a:p>
      </xdr:txBody>
    </xdr:sp>
    <xdr:clientData/>
  </xdr:twoCellAnchor>
  <xdr:twoCellAnchor>
    <xdr:from>
      <xdr:col>1</xdr:col>
      <xdr:colOff>683260</xdr:colOff>
      <xdr:row>10</xdr:row>
      <xdr:rowOff>88900</xdr:rowOff>
    </xdr:from>
    <xdr:to>
      <xdr:col>2</xdr:col>
      <xdr:colOff>858520</xdr:colOff>
      <xdr:row>12</xdr:row>
      <xdr:rowOff>104140</xdr:rowOff>
    </xdr:to>
    <xdr:sp macro="AI_GUIDANCE.RefreshAllCharts" textlink="">
      <xdr:nvSpPr>
        <xdr:cNvPr id="5" name="AI_BTN_REFRESHCHARTS">
          <a:extLst>
            <a:ext uri="{FF2B5EF4-FFF2-40B4-BE49-F238E27FC236}">
              <a16:creationId xmlns:a16="http://schemas.microsoft.com/office/drawing/2014/main" id="{BE4D5E63-BC68-5626-9617-33E7D4F0B78E}"/>
            </a:ext>
          </a:extLst>
        </xdr:cNvPr>
        <xdr:cNvSpPr/>
      </xdr:nvSpPr>
      <xdr:spPr>
        <a:xfrm>
          <a:off x="2794000" y="2032000"/>
          <a:ext cx="22860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Refresh All Charts</a:t>
          </a:r>
        </a:p>
      </xdr:txBody>
    </xdr:sp>
    <xdr:clientData/>
  </xdr:twoCellAnchor>
  <xdr:twoCellAnchor>
    <xdr:from>
      <xdr:col>2</xdr:col>
      <xdr:colOff>1366520</xdr:colOff>
      <xdr:row>7</xdr:row>
      <xdr:rowOff>129540</xdr:rowOff>
    </xdr:from>
    <xdr:to>
      <xdr:col>3</xdr:col>
      <xdr:colOff>1541780</xdr:colOff>
      <xdr:row>9</xdr:row>
      <xdr:rowOff>144780</xdr:rowOff>
    </xdr:to>
    <xdr:sp macro="AI_GUIDANCE.OpenChartControl" textlink="">
      <xdr:nvSpPr>
        <xdr:cNvPr id="6" name="AI_BTN_OPENCHARTCTRL">
          <a:extLst>
            <a:ext uri="{FF2B5EF4-FFF2-40B4-BE49-F238E27FC236}">
              <a16:creationId xmlns:a16="http://schemas.microsoft.com/office/drawing/2014/main" id="{DA404A7B-998D-40B5-8244-71B02B6135CD}"/>
            </a:ext>
          </a:extLst>
        </xdr:cNvPr>
        <xdr:cNvSpPr/>
      </xdr:nvSpPr>
      <xdr:spPr>
        <a:xfrm>
          <a:off x="5588000" y="1524000"/>
          <a:ext cx="22860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Open Chart Control</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1</xdr:col>
      <xdr:colOff>858520</xdr:colOff>
      <xdr:row>1</xdr:row>
      <xdr:rowOff>50800</xdr:rowOff>
    </xdr:to>
    <xdr:sp macro="AI_GUIDANCE.ShowSheetHelp" textlink="">
      <xdr:nvSpPr>
        <xdr:cNvPr id="2" name="AI_BTN_SHEET_HELP">
          <a:extLst>
            <a:ext uri="{FF2B5EF4-FFF2-40B4-BE49-F238E27FC236}">
              <a16:creationId xmlns:a16="http://schemas.microsoft.com/office/drawing/2014/main" id="{3E946038-E1EF-A3CF-8D96-325D1633AD77}"/>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1</xdr:col>
      <xdr:colOff>985520</xdr:colOff>
      <xdr:row>0</xdr:row>
      <xdr:rowOff>127000</xdr:rowOff>
    </xdr:from>
    <xdr:to>
      <xdr:col>2</xdr:col>
      <xdr:colOff>609600</xdr:colOff>
      <xdr:row>1</xdr:row>
      <xdr:rowOff>50800</xdr:rowOff>
    </xdr:to>
    <xdr:sp macro="AI_GUIDANCE.ValidateCurrentSheet" textlink="">
      <xdr:nvSpPr>
        <xdr:cNvPr id="3" name="AI_BTN_VALIDATE">
          <a:extLst>
            <a:ext uri="{FF2B5EF4-FFF2-40B4-BE49-F238E27FC236}">
              <a16:creationId xmlns:a16="http://schemas.microsoft.com/office/drawing/2014/main" id="{DB9F4007-4995-A4C5-91CF-47A239F0258D}"/>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1</xdr:col>
      <xdr:colOff>447040</xdr:colOff>
      <xdr:row>1</xdr:row>
      <xdr:rowOff>50800</xdr:rowOff>
    </xdr:to>
    <xdr:sp macro="AI_GUIDANCE.ShowSheetHelp" textlink="">
      <xdr:nvSpPr>
        <xdr:cNvPr id="2" name="AI_BTN_SHEET_HELP">
          <a:extLst>
            <a:ext uri="{FF2B5EF4-FFF2-40B4-BE49-F238E27FC236}">
              <a16:creationId xmlns:a16="http://schemas.microsoft.com/office/drawing/2014/main" id="{1008131A-4FEF-19C1-8094-89570D2C4B4E}"/>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1</xdr:col>
      <xdr:colOff>574040</xdr:colOff>
      <xdr:row>0</xdr:row>
      <xdr:rowOff>127000</xdr:rowOff>
    </xdr:from>
    <xdr:to>
      <xdr:col>1</xdr:col>
      <xdr:colOff>1844040</xdr:colOff>
      <xdr:row>1</xdr:row>
      <xdr:rowOff>50800</xdr:rowOff>
    </xdr:to>
    <xdr:sp macro="AI_GUIDANCE.ValidateCurrentSheet" textlink="">
      <xdr:nvSpPr>
        <xdr:cNvPr id="3" name="AI_BTN_VALIDATE">
          <a:extLst>
            <a:ext uri="{FF2B5EF4-FFF2-40B4-BE49-F238E27FC236}">
              <a16:creationId xmlns:a16="http://schemas.microsoft.com/office/drawing/2014/main" id="{09401F27-D3F8-552A-5C9E-0D0382F8F442}"/>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1</xdr:col>
      <xdr:colOff>447040</xdr:colOff>
      <xdr:row>1</xdr:row>
      <xdr:rowOff>50800</xdr:rowOff>
    </xdr:to>
    <xdr:sp macro="AI_GUIDANCE.ShowSheetHelp" textlink="">
      <xdr:nvSpPr>
        <xdr:cNvPr id="2" name="AI_BTN_SHEET_HELP">
          <a:extLst>
            <a:ext uri="{FF2B5EF4-FFF2-40B4-BE49-F238E27FC236}">
              <a16:creationId xmlns:a16="http://schemas.microsoft.com/office/drawing/2014/main" id="{DA25F4A5-BDF6-3E42-6B96-B456026E950A}"/>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1</xdr:col>
      <xdr:colOff>574040</xdr:colOff>
      <xdr:row>0</xdr:row>
      <xdr:rowOff>127000</xdr:rowOff>
    </xdr:from>
    <xdr:to>
      <xdr:col>3</xdr:col>
      <xdr:colOff>198120</xdr:colOff>
      <xdr:row>1</xdr:row>
      <xdr:rowOff>50800</xdr:rowOff>
    </xdr:to>
    <xdr:sp macro="AI_GUIDANCE.ValidateCurrentSheet" textlink="">
      <xdr:nvSpPr>
        <xdr:cNvPr id="3" name="AI_BTN_VALIDATE">
          <a:extLst>
            <a:ext uri="{FF2B5EF4-FFF2-40B4-BE49-F238E27FC236}">
              <a16:creationId xmlns:a16="http://schemas.microsoft.com/office/drawing/2014/main" id="{AED0A187-E820-804D-0100-2873DE8F9AFA}"/>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1</xdr:col>
      <xdr:colOff>447040</xdr:colOff>
      <xdr:row>1</xdr:row>
      <xdr:rowOff>50800</xdr:rowOff>
    </xdr:to>
    <xdr:sp macro="AI_GUIDANCE.ShowSheetHelp" textlink="">
      <xdr:nvSpPr>
        <xdr:cNvPr id="2" name="AI_BTN_SHEET_HELP">
          <a:extLst>
            <a:ext uri="{FF2B5EF4-FFF2-40B4-BE49-F238E27FC236}">
              <a16:creationId xmlns:a16="http://schemas.microsoft.com/office/drawing/2014/main" id="{47D4AEDA-8C60-0259-0AE0-F375BD29C7D8}"/>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1</xdr:col>
      <xdr:colOff>574040</xdr:colOff>
      <xdr:row>0</xdr:row>
      <xdr:rowOff>127000</xdr:rowOff>
    </xdr:from>
    <xdr:to>
      <xdr:col>2</xdr:col>
      <xdr:colOff>60960</xdr:colOff>
      <xdr:row>1</xdr:row>
      <xdr:rowOff>50800</xdr:rowOff>
    </xdr:to>
    <xdr:sp macro="AI_GUIDANCE.ValidateCurrentSheet" textlink="">
      <xdr:nvSpPr>
        <xdr:cNvPr id="3" name="AI_BTN_VALIDATE">
          <a:extLst>
            <a:ext uri="{FF2B5EF4-FFF2-40B4-BE49-F238E27FC236}">
              <a16:creationId xmlns:a16="http://schemas.microsoft.com/office/drawing/2014/main" id="{ACA7476B-2846-F31C-93C6-7721E8B83514}"/>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1</xdr:col>
      <xdr:colOff>309880</xdr:colOff>
      <xdr:row>1</xdr:row>
      <xdr:rowOff>50800</xdr:rowOff>
    </xdr:to>
    <xdr:sp macro="AI_GUIDANCE.ShowSheetHelp" textlink="">
      <xdr:nvSpPr>
        <xdr:cNvPr id="2" name="AI_BTN_SHEET_HELP">
          <a:extLst>
            <a:ext uri="{FF2B5EF4-FFF2-40B4-BE49-F238E27FC236}">
              <a16:creationId xmlns:a16="http://schemas.microsoft.com/office/drawing/2014/main" id="{740AEBF2-10D8-68B2-F10A-FE5A3FA4B919}"/>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1</xdr:col>
      <xdr:colOff>436880</xdr:colOff>
      <xdr:row>0</xdr:row>
      <xdr:rowOff>127000</xdr:rowOff>
    </xdr:from>
    <xdr:to>
      <xdr:col>1</xdr:col>
      <xdr:colOff>1706880</xdr:colOff>
      <xdr:row>1</xdr:row>
      <xdr:rowOff>50800</xdr:rowOff>
    </xdr:to>
    <xdr:sp macro="AI_GUIDANCE.ValidateCurrentSheet" textlink="">
      <xdr:nvSpPr>
        <xdr:cNvPr id="3" name="AI_BTN_VALIDATE">
          <a:extLst>
            <a:ext uri="{FF2B5EF4-FFF2-40B4-BE49-F238E27FC236}">
              <a16:creationId xmlns:a16="http://schemas.microsoft.com/office/drawing/2014/main" id="{28EFF4A4-3D99-C44D-2240-8D3FB8BE108E}"/>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1</xdr:col>
      <xdr:colOff>789940</xdr:colOff>
      <xdr:row>1</xdr:row>
      <xdr:rowOff>50800</xdr:rowOff>
    </xdr:to>
    <xdr:sp macro="AI_GUIDANCE.ShowSheetHelp" textlink="">
      <xdr:nvSpPr>
        <xdr:cNvPr id="2" name="AI_BTN_SHEET_HELP">
          <a:extLst>
            <a:ext uri="{FF2B5EF4-FFF2-40B4-BE49-F238E27FC236}">
              <a16:creationId xmlns:a16="http://schemas.microsoft.com/office/drawing/2014/main" id="{008BE847-213D-99AA-74D5-4A6D55DA4ADE}"/>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1</xdr:col>
      <xdr:colOff>916940</xdr:colOff>
      <xdr:row>0</xdr:row>
      <xdr:rowOff>127000</xdr:rowOff>
    </xdr:from>
    <xdr:to>
      <xdr:col>1</xdr:col>
      <xdr:colOff>2186940</xdr:colOff>
      <xdr:row>1</xdr:row>
      <xdr:rowOff>50800</xdr:rowOff>
    </xdr:to>
    <xdr:sp macro="AI_GUIDANCE.ValidateCurrentSheet" textlink="">
      <xdr:nvSpPr>
        <xdr:cNvPr id="3" name="AI_BTN_VALIDATE">
          <a:extLst>
            <a:ext uri="{FF2B5EF4-FFF2-40B4-BE49-F238E27FC236}">
              <a16:creationId xmlns:a16="http://schemas.microsoft.com/office/drawing/2014/main" id="{01ECF06C-4535-C76C-F42C-90B39D6FCC20}"/>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1</xdr:col>
      <xdr:colOff>309880</xdr:colOff>
      <xdr:row>1</xdr:row>
      <xdr:rowOff>50800</xdr:rowOff>
    </xdr:to>
    <xdr:sp macro="AI_GUIDANCE.ShowSheetHelp" textlink="">
      <xdr:nvSpPr>
        <xdr:cNvPr id="2" name="AI_BTN_SHEET_HELP">
          <a:extLst>
            <a:ext uri="{FF2B5EF4-FFF2-40B4-BE49-F238E27FC236}">
              <a16:creationId xmlns:a16="http://schemas.microsoft.com/office/drawing/2014/main" id="{9358E750-DFD0-3FC2-57B0-6687C896356C}"/>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1</xdr:col>
      <xdr:colOff>436880</xdr:colOff>
      <xdr:row>0</xdr:row>
      <xdr:rowOff>127000</xdr:rowOff>
    </xdr:from>
    <xdr:to>
      <xdr:col>2</xdr:col>
      <xdr:colOff>746760</xdr:colOff>
      <xdr:row>1</xdr:row>
      <xdr:rowOff>50800</xdr:rowOff>
    </xdr:to>
    <xdr:sp macro="AI_GUIDANCE.ValidateCurrentSheet" textlink="">
      <xdr:nvSpPr>
        <xdr:cNvPr id="3" name="AI_BTN_VALIDATE">
          <a:extLst>
            <a:ext uri="{FF2B5EF4-FFF2-40B4-BE49-F238E27FC236}">
              <a16:creationId xmlns:a16="http://schemas.microsoft.com/office/drawing/2014/main" id="{D23E1873-1A5E-E4BE-BC07-C2848DF902C8}"/>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1</xdr:col>
      <xdr:colOff>721360</xdr:colOff>
      <xdr:row>1</xdr:row>
      <xdr:rowOff>50800</xdr:rowOff>
    </xdr:to>
    <xdr:sp macro="AI_GUIDANCE.ShowSheetHelp" textlink="">
      <xdr:nvSpPr>
        <xdr:cNvPr id="2" name="AI_BTN_SHEET_HELP">
          <a:extLst>
            <a:ext uri="{FF2B5EF4-FFF2-40B4-BE49-F238E27FC236}">
              <a16:creationId xmlns:a16="http://schemas.microsoft.com/office/drawing/2014/main" id="{DB8F733E-85EF-46FB-5F26-A7CCD750EFE2}"/>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2</xdr:col>
      <xdr:colOff>93980</xdr:colOff>
      <xdr:row>0</xdr:row>
      <xdr:rowOff>127000</xdr:rowOff>
    </xdr:from>
    <xdr:to>
      <xdr:col>2</xdr:col>
      <xdr:colOff>1363980</xdr:colOff>
      <xdr:row>1</xdr:row>
      <xdr:rowOff>50800</xdr:rowOff>
    </xdr:to>
    <xdr:sp macro="AI_GUIDANCE.ValidateCurrentSheet" textlink="">
      <xdr:nvSpPr>
        <xdr:cNvPr id="3" name="AI_BTN_VALIDATE">
          <a:extLst>
            <a:ext uri="{FF2B5EF4-FFF2-40B4-BE49-F238E27FC236}">
              <a16:creationId xmlns:a16="http://schemas.microsoft.com/office/drawing/2014/main" id="{4213D988-7815-F7AC-7F07-B48D83C4F808}"/>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1</xdr:col>
      <xdr:colOff>447040</xdr:colOff>
      <xdr:row>1</xdr:row>
      <xdr:rowOff>50800</xdr:rowOff>
    </xdr:to>
    <xdr:sp macro="AI_GUIDANCE.ShowSheetHelp" textlink="">
      <xdr:nvSpPr>
        <xdr:cNvPr id="2" name="AI_BTN_SHEET_HELP">
          <a:extLst>
            <a:ext uri="{FF2B5EF4-FFF2-40B4-BE49-F238E27FC236}">
              <a16:creationId xmlns:a16="http://schemas.microsoft.com/office/drawing/2014/main" id="{A0330784-1F6D-E62F-4704-0B4904D056E4}"/>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1</xdr:col>
      <xdr:colOff>574040</xdr:colOff>
      <xdr:row>0</xdr:row>
      <xdr:rowOff>127000</xdr:rowOff>
    </xdr:from>
    <xdr:to>
      <xdr:col>3</xdr:col>
      <xdr:colOff>60960</xdr:colOff>
      <xdr:row>1</xdr:row>
      <xdr:rowOff>50800</xdr:rowOff>
    </xdr:to>
    <xdr:sp macro="AI_GUIDANCE.ValidateCurrentSheet" textlink="">
      <xdr:nvSpPr>
        <xdr:cNvPr id="3" name="AI_BTN_VALIDATE">
          <a:extLst>
            <a:ext uri="{FF2B5EF4-FFF2-40B4-BE49-F238E27FC236}">
              <a16:creationId xmlns:a16="http://schemas.microsoft.com/office/drawing/2014/main" id="{2023B09B-1EE9-6F22-9CBB-B7F5AE3FC8A3}"/>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81280</xdr:colOff>
      <xdr:row>2</xdr:row>
      <xdr:rowOff>81280</xdr:rowOff>
    </xdr:to>
    <xdr:sp macro="AI_GUIDANCE.ShowSheetHelp" textlink="">
      <xdr:nvSpPr>
        <xdr:cNvPr id="2" name="AI_BTN_SHEET_HELP">
          <a:extLst>
            <a:ext uri="{FF2B5EF4-FFF2-40B4-BE49-F238E27FC236}">
              <a16:creationId xmlns:a16="http://schemas.microsoft.com/office/drawing/2014/main" id="{9CBC2D63-26CF-3D7E-2691-0FD176963908}"/>
            </a:ext>
          </a:extLst>
        </xdr:cNvPr>
        <xdr:cNvSpPr/>
      </xdr:nvSpPr>
      <xdr:spPr>
        <a:xfrm>
          <a:off x="127000" y="127000"/>
          <a:ext cx="1143000" cy="304800"/>
        </a:xfrm>
        <a:prstGeom prst="rect">
          <a:avLst/>
        </a:prstGeom>
        <a:solidFill>
          <a:srgbClr val="CC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AI Help</a:t>
          </a:r>
        </a:p>
      </xdr:txBody>
    </xdr:sp>
    <xdr:clientData/>
  </xdr:twoCellAnchor>
  <xdr:twoCellAnchor>
    <xdr:from>
      <xdr:col>2</xdr:col>
      <xdr:colOff>208280</xdr:colOff>
      <xdr:row>0</xdr:row>
      <xdr:rowOff>127000</xdr:rowOff>
    </xdr:from>
    <xdr:to>
      <xdr:col>4</xdr:col>
      <xdr:colOff>289560</xdr:colOff>
      <xdr:row>2</xdr:row>
      <xdr:rowOff>81280</xdr:rowOff>
    </xdr:to>
    <xdr:sp macro="AI_GUIDANCE.ValidateCurrentSheet" textlink="">
      <xdr:nvSpPr>
        <xdr:cNvPr id="3" name="AI_BTN_VALIDATE">
          <a:extLst>
            <a:ext uri="{FF2B5EF4-FFF2-40B4-BE49-F238E27FC236}">
              <a16:creationId xmlns:a16="http://schemas.microsoft.com/office/drawing/2014/main" id="{25B4E45A-60A0-22B2-F97E-5D0BCF8BF805}"/>
            </a:ext>
          </a:extLst>
        </xdr:cNvPr>
        <xdr:cNvSpPr/>
      </xdr:nvSpPr>
      <xdr:spPr>
        <a:xfrm>
          <a:off x="1397000" y="127000"/>
          <a:ext cx="1270000" cy="304800"/>
        </a:xfrm>
        <a:prstGeom prst="rect">
          <a:avLst/>
        </a:prstGeom>
        <a:solidFill>
          <a:srgbClr val="CC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Validate Sheet</a:t>
          </a:r>
        </a:p>
      </xdr:txBody>
    </xdr:sp>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AFD41-C8C8-4B13-8AE5-D15E6E35A7E5}">
  <sheetPr codeName="Ark14"/>
  <dimension ref="A1:J50"/>
  <sheetViews>
    <sheetView showGridLines="0" workbookViewId="0">
      <selection activeCell="A44" sqref="A44"/>
    </sheetView>
  </sheetViews>
  <sheetFormatPr defaultRowHeight="14.5" x14ac:dyDescent="0.35"/>
  <cols>
    <col min="1" max="1" width="52.90625" bestFit="1" customWidth="1"/>
  </cols>
  <sheetData>
    <row r="1" spans="1:10" x14ac:dyDescent="0.35">
      <c r="A1" s="261" t="s">
        <v>2192</v>
      </c>
      <c r="B1" s="260"/>
      <c r="C1" s="260"/>
      <c r="D1" s="260"/>
      <c r="E1" s="260"/>
      <c r="F1" s="260"/>
      <c r="G1" s="260"/>
      <c r="H1" s="260"/>
      <c r="I1" s="260"/>
      <c r="J1" s="260"/>
    </row>
    <row r="2" spans="1:10" x14ac:dyDescent="0.35">
      <c r="A2" s="260"/>
      <c r="B2" s="260"/>
      <c r="C2" s="260"/>
      <c r="D2" s="260"/>
      <c r="E2" s="260"/>
      <c r="F2" s="260"/>
      <c r="G2" s="260"/>
      <c r="H2" s="260"/>
      <c r="I2" s="260"/>
      <c r="J2" s="260"/>
    </row>
    <row r="3" spans="1:10" x14ac:dyDescent="0.35">
      <c r="A3" s="258" t="s">
        <v>2193</v>
      </c>
      <c r="B3" s="260"/>
      <c r="C3" s="260"/>
      <c r="D3" s="260"/>
      <c r="E3" s="260"/>
      <c r="F3" s="260"/>
      <c r="G3" s="260"/>
      <c r="H3" s="260"/>
      <c r="I3" s="260"/>
      <c r="J3" s="260"/>
    </row>
    <row r="4" spans="1:10" x14ac:dyDescent="0.35">
      <c r="A4" s="260"/>
      <c r="B4" s="260"/>
      <c r="C4" s="260"/>
      <c r="D4" s="260"/>
      <c r="E4" s="260"/>
      <c r="F4" s="260"/>
      <c r="G4" s="260"/>
      <c r="H4" s="260"/>
      <c r="I4" s="260"/>
      <c r="J4" s="260"/>
    </row>
    <row r="5" spans="1:10" x14ac:dyDescent="0.35">
      <c r="A5" s="260" t="s">
        <v>2194</v>
      </c>
      <c r="B5" s="260"/>
      <c r="C5" s="260"/>
      <c r="D5" s="260"/>
      <c r="E5" s="260"/>
      <c r="F5" s="260"/>
      <c r="G5" s="260"/>
      <c r="H5" s="260"/>
      <c r="I5" s="260"/>
      <c r="J5" s="260"/>
    </row>
    <row r="6" spans="1:10" x14ac:dyDescent="0.35">
      <c r="A6" s="260" t="s">
        <v>2195</v>
      </c>
      <c r="B6" s="260"/>
      <c r="C6" s="260"/>
      <c r="D6" s="260"/>
      <c r="E6" s="260"/>
      <c r="F6" s="260"/>
      <c r="G6" s="260"/>
      <c r="H6" s="260"/>
      <c r="I6" s="260"/>
      <c r="J6" s="260"/>
    </row>
    <row r="7" spans="1:10" x14ac:dyDescent="0.35">
      <c r="A7" s="260" t="s">
        <v>2196</v>
      </c>
      <c r="B7" s="260"/>
      <c r="C7" s="260"/>
      <c r="D7" s="260"/>
      <c r="E7" s="260"/>
      <c r="F7" s="260"/>
      <c r="G7" s="260"/>
      <c r="H7" s="260"/>
      <c r="I7" s="260"/>
      <c r="J7" s="260"/>
    </row>
    <row r="8" spans="1:10" x14ac:dyDescent="0.35">
      <c r="A8" s="260" t="s">
        <v>2197</v>
      </c>
      <c r="B8" s="260"/>
      <c r="C8" s="260"/>
      <c r="D8" s="260"/>
      <c r="E8" s="260"/>
      <c r="F8" s="260"/>
      <c r="G8" s="260"/>
      <c r="H8" s="260"/>
      <c r="I8" s="260"/>
      <c r="J8" s="260"/>
    </row>
    <row r="9" spans="1:10" x14ac:dyDescent="0.35">
      <c r="A9" s="260" t="s">
        <v>2198</v>
      </c>
      <c r="B9" s="260"/>
      <c r="C9" s="260"/>
      <c r="D9" s="260"/>
      <c r="E9" s="260"/>
      <c r="F9" s="260"/>
      <c r="G9" s="260"/>
      <c r="H9" s="260"/>
      <c r="I9" s="260"/>
      <c r="J9" s="260"/>
    </row>
    <row r="10" spans="1:10" x14ac:dyDescent="0.35">
      <c r="A10" s="260" t="s">
        <v>2199</v>
      </c>
      <c r="B10" s="260"/>
      <c r="C10" s="260"/>
      <c r="D10" s="260"/>
      <c r="E10" s="260"/>
      <c r="F10" s="260"/>
      <c r="G10" s="260"/>
      <c r="H10" s="260"/>
      <c r="I10" s="260"/>
      <c r="J10" s="260"/>
    </row>
    <row r="11" spans="1:10" x14ac:dyDescent="0.35">
      <c r="A11" s="260"/>
      <c r="B11" s="260"/>
      <c r="C11" s="260"/>
      <c r="D11" s="260"/>
      <c r="E11" s="260"/>
      <c r="F11" s="260"/>
      <c r="G11" s="260"/>
      <c r="H11" s="260"/>
      <c r="I11" s="260"/>
      <c r="J11" s="260"/>
    </row>
    <row r="12" spans="1:10" x14ac:dyDescent="0.35">
      <c r="A12" s="260" t="s">
        <v>2200</v>
      </c>
      <c r="B12" s="260"/>
      <c r="C12" s="260"/>
      <c r="D12" s="260"/>
      <c r="E12" s="260"/>
      <c r="F12" s="260"/>
      <c r="G12" s="260"/>
      <c r="H12" s="260"/>
      <c r="I12" s="260"/>
      <c r="J12" s="260"/>
    </row>
    <row r="13" spans="1:10" x14ac:dyDescent="0.35">
      <c r="A13" s="260" t="s">
        <v>2201</v>
      </c>
      <c r="B13" s="260"/>
      <c r="C13" s="260"/>
      <c r="D13" s="260"/>
      <c r="E13" s="260"/>
      <c r="F13" s="260"/>
      <c r="G13" s="260"/>
      <c r="H13" s="260"/>
      <c r="I13" s="260"/>
      <c r="J13" s="260"/>
    </row>
    <row r="14" spans="1:10" x14ac:dyDescent="0.35">
      <c r="A14" s="260" t="s">
        <v>2202</v>
      </c>
      <c r="B14" s="260"/>
      <c r="C14" s="260"/>
      <c r="D14" s="260"/>
      <c r="E14" s="260"/>
      <c r="F14" s="260"/>
      <c r="G14" s="260"/>
      <c r="H14" s="260"/>
      <c r="I14" s="260"/>
      <c r="J14" s="260"/>
    </row>
    <row r="15" spans="1:10" x14ac:dyDescent="0.35">
      <c r="A15" s="260" t="s">
        <v>2203</v>
      </c>
      <c r="B15" s="260"/>
      <c r="C15" s="260"/>
      <c r="D15" s="260"/>
      <c r="E15" s="260"/>
      <c r="F15" s="260"/>
      <c r="G15" s="260"/>
      <c r="H15" s="260"/>
      <c r="I15" s="260"/>
      <c r="J15" s="260"/>
    </row>
    <row r="16" spans="1:10" x14ac:dyDescent="0.35">
      <c r="A16" s="260"/>
      <c r="B16" s="260"/>
      <c r="C16" s="260"/>
      <c r="D16" s="260"/>
      <c r="E16" s="260"/>
      <c r="F16" s="260"/>
      <c r="G16" s="260"/>
      <c r="H16" s="260"/>
      <c r="I16" s="260"/>
      <c r="J16" s="260"/>
    </row>
    <row r="17" spans="1:10" x14ac:dyDescent="0.35">
      <c r="A17" s="260" t="s">
        <v>2204</v>
      </c>
      <c r="B17" s="260"/>
      <c r="C17" s="260"/>
      <c r="D17" s="260"/>
      <c r="E17" s="260"/>
      <c r="F17" s="260"/>
      <c r="G17" s="260"/>
      <c r="H17" s="260"/>
      <c r="I17" s="260"/>
      <c r="J17" s="260"/>
    </row>
    <row r="18" spans="1:10" x14ac:dyDescent="0.35">
      <c r="A18" s="260" t="s">
        <v>2205</v>
      </c>
      <c r="B18" s="260"/>
      <c r="C18" s="260"/>
      <c r="D18" s="260"/>
      <c r="E18" s="260"/>
      <c r="F18" s="260"/>
      <c r="G18" s="260"/>
      <c r="H18" s="260"/>
      <c r="I18" s="260"/>
      <c r="J18" s="260"/>
    </row>
    <row r="19" spans="1:10" x14ac:dyDescent="0.35">
      <c r="A19" s="260" t="s">
        <v>2206</v>
      </c>
      <c r="B19" s="260"/>
      <c r="C19" s="260"/>
      <c r="D19" s="260"/>
      <c r="E19" s="260"/>
      <c r="F19" s="260"/>
      <c r="G19" s="260"/>
      <c r="H19" s="260"/>
      <c r="I19" s="260"/>
      <c r="J19" s="260"/>
    </row>
    <row r="20" spans="1:10" x14ac:dyDescent="0.35">
      <c r="A20" s="260" t="s">
        <v>2207</v>
      </c>
      <c r="B20" s="260"/>
      <c r="C20" s="260"/>
      <c r="D20" s="260"/>
      <c r="E20" s="260"/>
      <c r="F20" s="260"/>
      <c r="G20" s="260"/>
      <c r="H20" s="260"/>
      <c r="I20" s="260"/>
      <c r="J20" s="260"/>
    </row>
    <row r="21" spans="1:10" x14ac:dyDescent="0.35">
      <c r="A21" s="260" t="s">
        <v>2208</v>
      </c>
      <c r="B21" s="260"/>
      <c r="C21" s="260"/>
      <c r="D21" s="260"/>
      <c r="E21" s="260"/>
      <c r="F21" s="260"/>
      <c r="G21" s="260"/>
      <c r="H21" s="260"/>
      <c r="I21" s="260"/>
      <c r="J21" s="260"/>
    </row>
    <row r="22" spans="1:10" x14ac:dyDescent="0.35">
      <c r="A22" s="260"/>
      <c r="B22" s="260"/>
      <c r="C22" s="260"/>
      <c r="D22" s="260"/>
      <c r="E22" s="260"/>
      <c r="F22" s="260"/>
      <c r="G22" s="260"/>
      <c r="H22" s="260"/>
      <c r="I22" s="260"/>
      <c r="J22" s="260"/>
    </row>
    <row r="23" spans="1:10" x14ac:dyDescent="0.35">
      <c r="A23" s="260" t="s">
        <v>2209</v>
      </c>
      <c r="B23" s="260"/>
      <c r="C23" s="260"/>
      <c r="D23" s="260"/>
      <c r="E23" s="260"/>
      <c r="F23" s="260"/>
      <c r="G23" s="260"/>
      <c r="H23" s="260"/>
      <c r="I23" s="260"/>
      <c r="J23" s="260"/>
    </row>
    <row r="24" spans="1:10" x14ac:dyDescent="0.35">
      <c r="A24" s="260" t="s">
        <v>2210</v>
      </c>
      <c r="B24" s="260"/>
      <c r="C24" s="260"/>
      <c r="D24" s="260"/>
      <c r="E24" s="260"/>
      <c r="F24" s="260"/>
      <c r="G24" s="260"/>
      <c r="H24" s="260"/>
      <c r="I24" s="260"/>
      <c r="J24" s="260"/>
    </row>
    <row r="25" spans="1:10" x14ac:dyDescent="0.35">
      <c r="A25" s="260" t="s">
        <v>2211</v>
      </c>
      <c r="B25" s="260"/>
      <c r="C25" s="260"/>
      <c r="D25" s="260"/>
      <c r="E25" s="260"/>
      <c r="F25" s="260"/>
      <c r="G25" s="260"/>
      <c r="H25" s="260"/>
      <c r="I25" s="260"/>
      <c r="J25" s="260"/>
    </row>
    <row r="26" spans="1:10" x14ac:dyDescent="0.35">
      <c r="A26" s="260" t="s">
        <v>2212</v>
      </c>
      <c r="B26" s="260"/>
      <c r="C26" s="260"/>
      <c r="D26" s="260"/>
      <c r="E26" s="260"/>
      <c r="F26" s="260"/>
      <c r="G26" s="260"/>
      <c r="H26" s="260"/>
      <c r="I26" s="260"/>
      <c r="J26" s="260"/>
    </row>
    <row r="27" spans="1:10" x14ac:dyDescent="0.35">
      <c r="A27" s="260" t="s">
        <v>2213</v>
      </c>
      <c r="B27" s="260"/>
      <c r="C27" s="260"/>
      <c r="D27" s="260"/>
      <c r="E27" s="260"/>
      <c r="F27" s="260"/>
      <c r="G27" s="260"/>
      <c r="H27" s="260"/>
      <c r="I27" s="260"/>
      <c r="J27" s="260"/>
    </row>
    <row r="28" spans="1:10" x14ac:dyDescent="0.35">
      <c r="A28" s="260"/>
      <c r="B28" s="260"/>
      <c r="C28" s="260"/>
      <c r="D28" s="260"/>
      <c r="E28" s="260"/>
      <c r="F28" s="260"/>
      <c r="G28" s="260"/>
      <c r="H28" s="260"/>
      <c r="I28" s="260"/>
      <c r="J28" s="260"/>
    </row>
    <row r="29" spans="1:10" x14ac:dyDescent="0.35">
      <c r="A29" s="260" t="s">
        <v>2214</v>
      </c>
      <c r="B29" s="260"/>
      <c r="C29" s="260"/>
      <c r="D29" s="260"/>
      <c r="E29" s="260"/>
      <c r="F29" s="260"/>
      <c r="G29" s="260"/>
      <c r="H29" s="260"/>
      <c r="I29" s="260"/>
      <c r="J29" s="260"/>
    </row>
    <row r="30" spans="1:10" x14ac:dyDescent="0.35">
      <c r="A30" s="260" t="s">
        <v>2215</v>
      </c>
      <c r="B30" s="260"/>
      <c r="C30" s="260"/>
      <c r="D30" s="260"/>
      <c r="E30" s="260"/>
      <c r="F30" s="260"/>
      <c r="G30" s="260"/>
      <c r="H30" s="260"/>
      <c r="I30" s="260"/>
      <c r="J30" s="260"/>
    </row>
    <row r="31" spans="1:10" x14ac:dyDescent="0.35">
      <c r="A31" s="260" t="s">
        <v>2216</v>
      </c>
      <c r="B31" s="260"/>
      <c r="C31" s="260"/>
      <c r="D31" s="260"/>
      <c r="E31" s="260"/>
      <c r="F31" s="260"/>
      <c r="G31" s="260"/>
      <c r="H31" s="260"/>
      <c r="I31" s="260"/>
      <c r="J31" s="260"/>
    </row>
    <row r="32" spans="1:10" x14ac:dyDescent="0.35">
      <c r="A32" s="260" t="s">
        <v>2217</v>
      </c>
      <c r="B32" s="260"/>
      <c r="C32" s="260"/>
      <c r="D32" s="260"/>
      <c r="E32" s="260"/>
      <c r="F32" s="260"/>
      <c r="G32" s="260"/>
      <c r="H32" s="260"/>
      <c r="I32" s="260"/>
      <c r="J32" s="260"/>
    </row>
    <row r="33" spans="1:10" x14ac:dyDescent="0.35">
      <c r="A33" s="260" t="s">
        <v>2218</v>
      </c>
      <c r="B33" s="260"/>
      <c r="C33" s="260"/>
      <c r="D33" s="260"/>
      <c r="E33" s="260"/>
      <c r="F33" s="260"/>
      <c r="G33" s="260"/>
      <c r="H33" s="260"/>
      <c r="I33" s="260"/>
      <c r="J33" s="260"/>
    </row>
    <row r="34" spans="1:10" x14ac:dyDescent="0.35">
      <c r="A34" s="260"/>
      <c r="B34" s="260"/>
      <c r="C34" s="260"/>
      <c r="D34" s="260"/>
      <c r="E34" s="260"/>
      <c r="F34" s="260"/>
      <c r="G34" s="260"/>
      <c r="H34" s="260"/>
      <c r="I34" s="260"/>
      <c r="J34" s="260"/>
    </row>
    <row r="35" spans="1:10" x14ac:dyDescent="0.35">
      <c r="A35" s="258" t="s">
        <v>2219</v>
      </c>
      <c r="B35" s="260"/>
      <c r="C35" s="260"/>
      <c r="D35" s="260"/>
      <c r="E35" s="260"/>
      <c r="F35" s="260"/>
      <c r="G35" s="260"/>
      <c r="H35" s="260"/>
      <c r="I35" s="260"/>
      <c r="J35" s="260"/>
    </row>
    <row r="36" spans="1:10" x14ac:dyDescent="0.35">
      <c r="A36" s="260" t="s">
        <v>2220</v>
      </c>
      <c r="B36" s="260"/>
      <c r="C36" s="260"/>
      <c r="D36" s="260"/>
      <c r="E36" s="260"/>
      <c r="F36" s="260"/>
      <c r="G36" s="260"/>
      <c r="H36" s="260"/>
      <c r="I36" s="260"/>
      <c r="J36" s="260"/>
    </row>
    <row r="37" spans="1:10" x14ac:dyDescent="0.35">
      <c r="A37" s="260" t="s">
        <v>2221</v>
      </c>
      <c r="B37" s="260"/>
      <c r="C37" s="260"/>
      <c r="D37" s="260"/>
      <c r="E37" s="260"/>
      <c r="F37" s="260"/>
      <c r="G37" s="260"/>
      <c r="H37" s="260"/>
      <c r="I37" s="260"/>
      <c r="J37" s="260"/>
    </row>
    <row r="38" spans="1:10" x14ac:dyDescent="0.35">
      <c r="A38" s="260" t="s">
        <v>2222</v>
      </c>
      <c r="B38" s="260"/>
      <c r="C38" s="260"/>
      <c r="D38" s="260"/>
      <c r="E38" s="260"/>
      <c r="F38" s="260"/>
      <c r="G38" s="260"/>
      <c r="H38" s="260"/>
      <c r="I38" s="260"/>
      <c r="J38" s="260"/>
    </row>
    <row r="39" spans="1:10" x14ac:dyDescent="0.35">
      <c r="A39" s="260" t="s">
        <v>2223</v>
      </c>
      <c r="B39" s="260"/>
      <c r="C39" s="260"/>
      <c r="D39" s="260"/>
      <c r="E39" s="260"/>
      <c r="F39" s="260"/>
      <c r="G39" s="260"/>
      <c r="H39" s="260"/>
      <c r="I39" s="260"/>
      <c r="J39" s="260"/>
    </row>
    <row r="40" spans="1:10" x14ac:dyDescent="0.35">
      <c r="A40" s="260" t="s">
        <v>2224</v>
      </c>
      <c r="B40" s="260"/>
      <c r="C40" s="260"/>
      <c r="D40" s="260"/>
      <c r="E40" s="260"/>
      <c r="F40" s="260"/>
      <c r="G40" s="260"/>
      <c r="H40" s="260"/>
      <c r="I40" s="260"/>
      <c r="J40" s="260"/>
    </row>
    <row r="41" spans="1:10" x14ac:dyDescent="0.35">
      <c r="A41" s="260" t="s">
        <v>2225</v>
      </c>
      <c r="B41" s="260"/>
      <c r="C41" s="260"/>
      <c r="D41" s="260"/>
      <c r="E41" s="260"/>
      <c r="F41" s="260"/>
      <c r="G41" s="260"/>
      <c r="H41" s="260"/>
      <c r="I41" s="260"/>
      <c r="J41" s="260"/>
    </row>
    <row r="42" spans="1:10" x14ac:dyDescent="0.35">
      <c r="A42" s="260"/>
      <c r="B42" s="260"/>
      <c r="C42" s="260"/>
      <c r="D42" s="260"/>
      <c r="E42" s="260"/>
      <c r="F42" s="260"/>
      <c r="G42" s="260"/>
      <c r="H42" s="260"/>
      <c r="I42" s="260"/>
      <c r="J42" s="260"/>
    </row>
    <row r="43" spans="1:10" x14ac:dyDescent="0.35">
      <c r="A43" s="258" t="s">
        <v>2226</v>
      </c>
      <c r="B43" s="260"/>
      <c r="C43" s="260"/>
      <c r="D43" s="260"/>
      <c r="E43" s="260"/>
      <c r="F43" s="260"/>
      <c r="G43" s="260"/>
      <c r="H43" s="260"/>
      <c r="I43" s="260"/>
      <c r="J43" s="260"/>
    </row>
    <row r="44" spans="1:10" x14ac:dyDescent="0.35">
      <c r="A44" s="260" t="s">
        <v>2227</v>
      </c>
      <c r="B44" s="260"/>
      <c r="C44" s="260"/>
      <c r="D44" s="260"/>
      <c r="E44" s="260"/>
      <c r="F44" s="260"/>
      <c r="G44" s="260"/>
      <c r="H44" s="260"/>
      <c r="I44" s="260"/>
      <c r="J44" s="260"/>
    </row>
    <row r="45" spans="1:10" x14ac:dyDescent="0.35">
      <c r="A45" s="260" t="s">
        <v>2228</v>
      </c>
      <c r="B45" s="260"/>
      <c r="C45" s="260"/>
      <c r="D45" s="260"/>
      <c r="E45" s="260"/>
      <c r="F45" s="260"/>
      <c r="G45" s="260"/>
      <c r="H45" s="260"/>
      <c r="I45" s="260"/>
      <c r="J45" s="260"/>
    </row>
    <row r="46" spans="1:10" x14ac:dyDescent="0.35">
      <c r="A46" s="260" t="s">
        <v>2229</v>
      </c>
      <c r="B46" s="260"/>
      <c r="C46" s="260"/>
      <c r="D46" s="260"/>
      <c r="E46" s="260"/>
      <c r="F46" s="260"/>
      <c r="G46" s="260"/>
      <c r="H46" s="260"/>
      <c r="I46" s="260"/>
      <c r="J46" s="260"/>
    </row>
    <row r="47" spans="1:10" x14ac:dyDescent="0.35">
      <c r="A47" s="260" t="s">
        <v>2230</v>
      </c>
      <c r="B47" s="260"/>
      <c r="C47" s="260"/>
      <c r="D47" s="260"/>
      <c r="E47" s="260"/>
      <c r="F47" s="260"/>
      <c r="G47" s="260"/>
      <c r="H47" s="260"/>
      <c r="I47" s="260"/>
      <c r="J47" s="260"/>
    </row>
    <row r="48" spans="1:10" x14ac:dyDescent="0.35">
      <c r="A48" s="260" t="s">
        <v>2231</v>
      </c>
      <c r="B48" s="260"/>
      <c r="C48" s="260"/>
      <c r="D48" s="260"/>
      <c r="E48" s="260"/>
      <c r="F48" s="260"/>
      <c r="G48" s="260"/>
      <c r="H48" s="260"/>
      <c r="I48" s="260"/>
      <c r="J48" s="260"/>
    </row>
    <row r="49" spans="1:10" x14ac:dyDescent="0.35">
      <c r="A49" s="260"/>
      <c r="B49" s="260"/>
      <c r="C49" s="260"/>
      <c r="D49" s="260"/>
      <c r="E49" s="260"/>
      <c r="F49" s="260"/>
      <c r="G49" s="260"/>
      <c r="H49" s="260"/>
      <c r="I49" s="260"/>
      <c r="J49" s="260"/>
    </row>
    <row r="50" spans="1:10" x14ac:dyDescent="0.35">
      <c r="A50" s="260"/>
      <c r="B50" s="260"/>
      <c r="C50" s="260"/>
      <c r="D50" s="260"/>
      <c r="E50" s="260"/>
      <c r="F50" s="260"/>
      <c r="G50" s="260"/>
      <c r="H50" s="260"/>
      <c r="I50" s="260"/>
      <c r="J50" s="260"/>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1E888-AB21-49A2-96F8-B0F8D347BD5D}">
  <sheetPr codeName="Ark16"/>
  <dimension ref="A1:D3"/>
  <sheetViews>
    <sheetView showGridLines="0" workbookViewId="0">
      <selection activeCell="B4" sqref="B4"/>
    </sheetView>
  </sheetViews>
  <sheetFormatPr defaultRowHeight="14.5" x14ac:dyDescent="0.35"/>
  <cols>
    <col min="1" max="1" width="17.453125" bestFit="1" customWidth="1"/>
    <col min="2" max="2" width="6" bestFit="1" customWidth="1"/>
    <col min="3" max="3" width="6.6328125" bestFit="1" customWidth="1"/>
    <col min="4" max="4" width="9.6328125" bestFit="1" customWidth="1"/>
  </cols>
  <sheetData>
    <row r="1" spans="1:4" x14ac:dyDescent="0.35">
      <c r="A1" s="258" t="s">
        <v>2177</v>
      </c>
    </row>
    <row r="3" spans="1:4" x14ac:dyDescent="0.35">
      <c r="A3" t="s">
        <v>2178</v>
      </c>
      <c r="B3" t="s">
        <v>717</v>
      </c>
      <c r="C3" t="s">
        <v>2179</v>
      </c>
      <c r="D3" t="s">
        <v>2180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7385E-FF74-47A8-B967-C7AEF8AC9E8A}">
  <sheetPr codeName="Ark32"/>
  <dimension ref="A1:B13"/>
  <sheetViews>
    <sheetView showGridLines="0" workbookViewId="0">
      <selection activeCell="A9" sqref="A9"/>
    </sheetView>
  </sheetViews>
  <sheetFormatPr defaultRowHeight="14.5" x14ac:dyDescent="0.35"/>
  <cols>
    <col min="1" max="1" width="34.6328125" bestFit="1" customWidth="1"/>
    <col min="2" max="2" width="3" bestFit="1" customWidth="1"/>
  </cols>
  <sheetData>
    <row r="1" spans="1:2" x14ac:dyDescent="0.35">
      <c r="A1" s="258" t="s">
        <v>2165</v>
      </c>
    </row>
    <row r="2" spans="1:2" x14ac:dyDescent="0.35">
      <c r="A2" t="s">
        <v>2166</v>
      </c>
      <c r="B2">
        <f>COUNTIF(PM_TASKS!G4:G100,"Not Started")</f>
        <v>97</v>
      </c>
    </row>
    <row r="3" spans="1:2" x14ac:dyDescent="0.35">
      <c r="A3" t="s">
        <v>2167</v>
      </c>
      <c r="B3">
        <f>COUNTIF(PM_TASKS!G4:G100,"In Progress")</f>
        <v>0</v>
      </c>
    </row>
    <row r="4" spans="1:2" x14ac:dyDescent="0.35">
      <c r="A4" t="s">
        <v>2168</v>
      </c>
      <c r="B4">
        <f>COUNTIF(PM_TASKS!G4:G100,"Completed")</f>
        <v>0</v>
      </c>
    </row>
    <row r="5" spans="1:2" x14ac:dyDescent="0.35">
      <c r="A5" t="s">
        <v>2157</v>
      </c>
      <c r="B5">
        <f>COUNTIF(PM_RISKS!H4:H100,"Open")</f>
        <v>47</v>
      </c>
    </row>
    <row r="6" spans="1:2" x14ac:dyDescent="0.35">
      <c r="A6" t="s">
        <v>2169</v>
      </c>
      <c r="B6">
        <f>COUNTIF(PM_RISKS!E4:E100,"&gt;=6")</f>
        <v>0</v>
      </c>
    </row>
    <row r="7" spans="1:2" x14ac:dyDescent="0.35">
      <c r="A7" t="s">
        <v>2170</v>
      </c>
      <c r="B7">
        <f>COUNTA(PM_RESOURCES!A4:A100)</f>
        <v>0</v>
      </c>
    </row>
    <row r="8" spans="1:2" x14ac:dyDescent="0.35">
      <c r="A8" t="s">
        <v>2186</v>
      </c>
      <c r="B8">
        <f>COUNTIF(PM_TASKS!G4:G100,"Blocked")</f>
        <v>0</v>
      </c>
    </row>
    <row r="9" spans="1:2" x14ac:dyDescent="0.35">
      <c r="A9" t="s">
        <v>2187</v>
      </c>
      <c r="B9">
        <f>COUNTIF(PM_TASKS!G4:G100,"On Hold")</f>
        <v>0</v>
      </c>
    </row>
    <row r="10" spans="1:2" x14ac:dyDescent="0.35">
      <c r="A10" t="s">
        <v>2188</v>
      </c>
      <c r="B10">
        <f>AVERAGE(PM_TASKS!H4:H100)</f>
        <v>0</v>
      </c>
    </row>
    <row r="11" spans="1:2" x14ac:dyDescent="0.35">
      <c r="A11" t="s">
        <v>2189</v>
      </c>
      <c r="B11">
        <f>COUNTA(PM_RISKS!A4:A50)</f>
        <v>47</v>
      </c>
    </row>
    <row r="12" spans="1:2" x14ac:dyDescent="0.35">
      <c r="A12" t="s">
        <v>2190</v>
      </c>
      <c r="B12">
        <f>COUNTIF(PM_RISKS!H4:H50,"Completed")</f>
        <v>0</v>
      </c>
    </row>
    <row r="13" spans="1:2" x14ac:dyDescent="0.35">
      <c r="A13" t="s">
        <v>2191</v>
      </c>
      <c r="B13">
        <f>COUNTA(PM_RESOURCES!A4:A100)</f>
        <v>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45060-BDDE-4E4A-87E2-7D299D10997B}">
  <sheetPr codeName="Ark33"/>
  <dimension ref="H1"/>
  <sheetViews>
    <sheetView showGridLines="0" workbookViewId="0"/>
  </sheetViews>
  <sheetFormatPr defaultRowHeight="14.5" x14ac:dyDescent="0.35"/>
  <cols>
    <col min="8" max="8" width="8.6328125" bestFit="1" customWidth="1"/>
  </cols>
  <sheetData>
    <row r="1" spans="8:8" x14ac:dyDescent="0.35">
      <c r="H1" s="258" t="s">
        <v>2164</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B7754-C994-4D36-AEDE-A830DCCE6C6F}">
  <sheetPr codeName="Ark34"/>
  <dimension ref="A1:I50"/>
  <sheetViews>
    <sheetView showGridLines="0" workbookViewId="0">
      <selection activeCell="D12" sqref="D12"/>
    </sheetView>
  </sheetViews>
  <sheetFormatPr defaultRowHeight="14.5" x14ac:dyDescent="0.35"/>
  <cols>
    <col min="1" max="1" width="3.08984375" bestFit="1" customWidth="1"/>
    <col min="3" max="4" width="7.81640625" bestFit="1" customWidth="1"/>
    <col min="5" max="5" width="1.81640625" bestFit="1" customWidth="1"/>
    <col min="8" max="8" width="5.36328125" bestFit="1" customWidth="1"/>
    <col min="9" max="9" width="6.453125" bestFit="1" customWidth="1"/>
  </cols>
  <sheetData>
    <row r="1" spans="1:9" x14ac:dyDescent="0.35">
      <c r="I1" s="258" t="s">
        <v>2161</v>
      </c>
    </row>
    <row r="2" spans="1:9" x14ac:dyDescent="0.35">
      <c r="A2" t="s">
        <v>2162</v>
      </c>
      <c r="C2" t="s">
        <v>796</v>
      </c>
      <c r="D2" t="s">
        <v>796</v>
      </c>
      <c r="E2">
        <f>IF(OR(C2="",D2=""),"",CHOOSE(MATCH(C2,{"Low","Medium","High"},0),1,2,3)*CHOOSE(MATCH(D2,{"Low","Medium","High"},0),1,2,3))</f>
        <v>4</v>
      </c>
      <c r="H2" t="s">
        <v>2163</v>
      </c>
    </row>
    <row r="3" spans="1:9" x14ac:dyDescent="0.35">
      <c r="A3" t="s">
        <v>2162</v>
      </c>
      <c r="C3" t="s">
        <v>796</v>
      </c>
      <c r="D3" t="s">
        <v>796</v>
      </c>
      <c r="E3">
        <f>IF(OR(C3="",D3=""),"",CHOOSE(MATCH(C3,{"Low","Medium","High"},0),1,2,3)*CHOOSE(MATCH(D3,{"Low","Medium","High"},0),1,2,3))</f>
        <v>4</v>
      </c>
      <c r="H3" t="s">
        <v>2163</v>
      </c>
    </row>
    <row r="4" spans="1:9" x14ac:dyDescent="0.35">
      <c r="A4" t="s">
        <v>2162</v>
      </c>
      <c r="C4" t="s">
        <v>796</v>
      </c>
      <c r="D4" t="s">
        <v>796</v>
      </c>
      <c r="E4">
        <f>IF(OR(C4="",D4=""),"",CHOOSE(MATCH(C4,{"Low","Medium","High"},0),1,2,3)*CHOOSE(MATCH(D4,{"Low","Medium","High"},0),1,2,3))</f>
        <v>4</v>
      </c>
      <c r="H4" t="s">
        <v>2163</v>
      </c>
    </row>
    <row r="5" spans="1:9" x14ac:dyDescent="0.35">
      <c r="A5" t="s">
        <v>2162</v>
      </c>
      <c r="C5" t="s">
        <v>796</v>
      </c>
      <c r="D5" t="s">
        <v>796</v>
      </c>
      <c r="E5">
        <f>IF(OR(C5="",D5=""),"",CHOOSE(MATCH(C5,{"Low","Medium","High"},0),1,2,3)*CHOOSE(MATCH(D5,{"Low","Medium","High"},0),1,2,3))</f>
        <v>4</v>
      </c>
      <c r="H5" t="s">
        <v>2163</v>
      </c>
    </row>
    <row r="6" spans="1:9" x14ac:dyDescent="0.35">
      <c r="A6" t="s">
        <v>2162</v>
      </c>
      <c r="C6" t="s">
        <v>796</v>
      </c>
      <c r="D6" t="s">
        <v>796</v>
      </c>
      <c r="E6">
        <f>IF(OR(C6="",D6=""),"",CHOOSE(MATCH(C6,{"Low","Medium","High"},0),1,2,3)*CHOOSE(MATCH(D6,{"Low","Medium","High"},0),1,2,3))</f>
        <v>4</v>
      </c>
      <c r="H6" t="s">
        <v>2163</v>
      </c>
    </row>
    <row r="7" spans="1:9" x14ac:dyDescent="0.35">
      <c r="A7" t="s">
        <v>2162</v>
      </c>
      <c r="C7" t="s">
        <v>796</v>
      </c>
      <c r="D7" t="s">
        <v>796</v>
      </c>
      <c r="E7">
        <f>IF(OR(C7="",D7=""),"",CHOOSE(MATCH(C7,{"Low","Medium","High"},0),1,2,3)*CHOOSE(MATCH(D7,{"Low","Medium","High"},0),1,2,3))</f>
        <v>4</v>
      </c>
      <c r="H7" t="s">
        <v>2163</v>
      </c>
    </row>
    <row r="8" spans="1:9" x14ac:dyDescent="0.35">
      <c r="A8" t="s">
        <v>2162</v>
      </c>
      <c r="C8" t="s">
        <v>796</v>
      </c>
      <c r="D8" t="s">
        <v>796</v>
      </c>
      <c r="E8">
        <f>IF(OR(C8="",D8=""),"",CHOOSE(MATCH(C8,{"Low","Medium","High"},0),1,2,3)*CHOOSE(MATCH(D8,{"Low","Medium","High"},0),1,2,3))</f>
        <v>4</v>
      </c>
      <c r="H8" t="s">
        <v>2163</v>
      </c>
    </row>
    <row r="9" spans="1:9" x14ac:dyDescent="0.35">
      <c r="A9" t="s">
        <v>2162</v>
      </c>
      <c r="C9" t="s">
        <v>796</v>
      </c>
      <c r="D9" t="s">
        <v>796</v>
      </c>
      <c r="E9">
        <f>IF(OR(C9="",D9=""),"",CHOOSE(MATCH(C9,{"Low","Medium","High"},0),1,2,3)*CHOOSE(MATCH(D9,{"Low","Medium","High"},0),1,2,3))</f>
        <v>4</v>
      </c>
      <c r="H9" t="s">
        <v>2163</v>
      </c>
    </row>
    <row r="10" spans="1:9" x14ac:dyDescent="0.35">
      <c r="A10" t="s">
        <v>2162</v>
      </c>
      <c r="C10" t="s">
        <v>796</v>
      </c>
      <c r="D10" t="s">
        <v>796</v>
      </c>
      <c r="E10">
        <f>IF(OR(C10="",D10=""),"",CHOOSE(MATCH(C10,{"Low","Medium","High"},0),1,2,3)*CHOOSE(MATCH(D10,{"Low","Medium","High"},0),1,2,3))</f>
        <v>4</v>
      </c>
      <c r="H10" t="s">
        <v>2163</v>
      </c>
    </row>
    <row r="11" spans="1:9" x14ac:dyDescent="0.35">
      <c r="A11" t="s">
        <v>2162</v>
      </c>
      <c r="C11" t="s">
        <v>796</v>
      </c>
      <c r="D11" t="s">
        <v>796</v>
      </c>
      <c r="E11">
        <f>IF(OR(C11="",D11=""),"",CHOOSE(MATCH(C11,{"Low","Medium","High"},0),1,2,3)*CHOOSE(MATCH(D11,{"Low","Medium","High"},0),1,2,3))</f>
        <v>4</v>
      </c>
      <c r="H11" t="s">
        <v>2163</v>
      </c>
    </row>
    <row r="12" spans="1:9" x14ac:dyDescent="0.35">
      <c r="A12" t="s">
        <v>2162</v>
      </c>
      <c r="C12" t="s">
        <v>796</v>
      </c>
      <c r="D12" t="s">
        <v>796</v>
      </c>
      <c r="E12">
        <f>IF(OR(C12="",D12=""),"",CHOOSE(MATCH(C12,{"Low","Medium","High"},0),1,2,3)*CHOOSE(MATCH(D12,{"Low","Medium","High"},0),1,2,3))</f>
        <v>4</v>
      </c>
      <c r="H12" t="s">
        <v>2163</v>
      </c>
    </row>
    <row r="13" spans="1:9" x14ac:dyDescent="0.35">
      <c r="A13" t="s">
        <v>2162</v>
      </c>
      <c r="C13" t="s">
        <v>796</v>
      </c>
      <c r="D13" t="s">
        <v>796</v>
      </c>
      <c r="E13">
        <f>IF(OR(C13="",D13=""),"",CHOOSE(MATCH(C13,{"Low","Medium","High"},0),1,2,3)*CHOOSE(MATCH(D13,{"Low","Medium","High"},0),1,2,3))</f>
        <v>4</v>
      </c>
      <c r="H13" t="s">
        <v>2163</v>
      </c>
    </row>
    <row r="14" spans="1:9" x14ac:dyDescent="0.35">
      <c r="A14" t="s">
        <v>2162</v>
      </c>
      <c r="C14" t="s">
        <v>796</v>
      </c>
      <c r="D14" t="s">
        <v>796</v>
      </c>
      <c r="E14">
        <f>IF(OR(C14="",D14=""),"",CHOOSE(MATCH(C14,{"Low","Medium","High"},0),1,2,3)*CHOOSE(MATCH(D14,{"Low","Medium","High"},0),1,2,3))</f>
        <v>4</v>
      </c>
      <c r="H14" t="s">
        <v>2163</v>
      </c>
    </row>
    <row r="15" spans="1:9" x14ac:dyDescent="0.35">
      <c r="A15" t="s">
        <v>2162</v>
      </c>
      <c r="C15" t="s">
        <v>796</v>
      </c>
      <c r="D15" t="s">
        <v>796</v>
      </c>
      <c r="E15">
        <f>IF(OR(C15="",D15=""),"",CHOOSE(MATCH(C15,{"Low","Medium","High"},0),1,2,3)*CHOOSE(MATCH(D15,{"Low","Medium","High"},0),1,2,3))</f>
        <v>4</v>
      </c>
      <c r="H15" t="s">
        <v>2163</v>
      </c>
    </row>
    <row r="16" spans="1:9" x14ac:dyDescent="0.35">
      <c r="A16" t="s">
        <v>2162</v>
      </c>
      <c r="C16" t="s">
        <v>796</v>
      </c>
      <c r="D16" t="s">
        <v>796</v>
      </c>
      <c r="E16">
        <f>IF(OR(C16="",D16=""),"",CHOOSE(MATCH(C16,{"Low","Medium","High"},0),1,2,3)*CHOOSE(MATCH(D16,{"Low","Medium","High"},0),1,2,3))</f>
        <v>4</v>
      </c>
      <c r="H16" t="s">
        <v>2163</v>
      </c>
    </row>
    <row r="17" spans="1:8" x14ac:dyDescent="0.35">
      <c r="A17" t="s">
        <v>2162</v>
      </c>
      <c r="C17" t="s">
        <v>796</v>
      </c>
      <c r="D17" t="s">
        <v>796</v>
      </c>
      <c r="E17">
        <f>IF(OR(C17="",D17=""),"",CHOOSE(MATCH(C17,{"Low","Medium","High"},0),1,2,3)*CHOOSE(MATCH(D17,{"Low","Medium","High"},0),1,2,3))</f>
        <v>4</v>
      </c>
      <c r="H17" t="s">
        <v>2163</v>
      </c>
    </row>
    <row r="18" spans="1:8" x14ac:dyDescent="0.35">
      <c r="A18" t="s">
        <v>2162</v>
      </c>
      <c r="C18" t="s">
        <v>796</v>
      </c>
      <c r="D18" t="s">
        <v>796</v>
      </c>
      <c r="E18">
        <f>IF(OR(C18="",D18=""),"",CHOOSE(MATCH(C18,{"Low","Medium","High"},0),1,2,3)*CHOOSE(MATCH(D18,{"Low","Medium","High"},0),1,2,3))</f>
        <v>4</v>
      </c>
      <c r="H18" t="s">
        <v>2163</v>
      </c>
    </row>
    <row r="19" spans="1:8" x14ac:dyDescent="0.35">
      <c r="A19" t="s">
        <v>2162</v>
      </c>
      <c r="C19" t="s">
        <v>796</v>
      </c>
      <c r="D19" t="s">
        <v>796</v>
      </c>
      <c r="E19">
        <f>IF(OR(C19="",D19=""),"",CHOOSE(MATCH(C19,{"Low","Medium","High"},0),1,2,3)*CHOOSE(MATCH(D19,{"Low","Medium","High"},0),1,2,3))</f>
        <v>4</v>
      </c>
      <c r="H19" t="s">
        <v>2163</v>
      </c>
    </row>
    <row r="20" spans="1:8" x14ac:dyDescent="0.35">
      <c r="A20" t="s">
        <v>2162</v>
      </c>
      <c r="C20" t="s">
        <v>796</v>
      </c>
      <c r="D20" t="s">
        <v>796</v>
      </c>
      <c r="E20">
        <f>IF(OR(C20="",D20=""),"",CHOOSE(MATCH(C20,{"Low","Medium","High"},0),1,2,3)*CHOOSE(MATCH(D20,{"Low","Medium","High"},0),1,2,3))</f>
        <v>4</v>
      </c>
      <c r="H20" t="s">
        <v>2163</v>
      </c>
    </row>
    <row r="21" spans="1:8" x14ac:dyDescent="0.35">
      <c r="A21" t="s">
        <v>2162</v>
      </c>
      <c r="C21" t="s">
        <v>796</v>
      </c>
      <c r="D21" t="s">
        <v>796</v>
      </c>
      <c r="E21">
        <f>IF(OR(C21="",D21=""),"",CHOOSE(MATCH(C21,{"Low","Medium","High"},0),1,2,3)*CHOOSE(MATCH(D21,{"Low","Medium","High"},0),1,2,3))</f>
        <v>4</v>
      </c>
      <c r="H21" t="s">
        <v>2163</v>
      </c>
    </row>
    <row r="22" spans="1:8" x14ac:dyDescent="0.35">
      <c r="A22" t="s">
        <v>2162</v>
      </c>
      <c r="C22" t="s">
        <v>796</v>
      </c>
      <c r="D22" t="s">
        <v>796</v>
      </c>
      <c r="E22">
        <f>IF(OR(C22="",D22=""),"",CHOOSE(MATCH(C22,{"Low","Medium","High"},0),1,2,3)*CHOOSE(MATCH(D22,{"Low","Medium","High"},0),1,2,3))</f>
        <v>4</v>
      </c>
      <c r="H22" t="s">
        <v>2163</v>
      </c>
    </row>
    <row r="23" spans="1:8" x14ac:dyDescent="0.35">
      <c r="A23" t="s">
        <v>2162</v>
      </c>
      <c r="C23" t="s">
        <v>796</v>
      </c>
      <c r="D23" t="s">
        <v>796</v>
      </c>
      <c r="E23">
        <f>IF(OR(C23="",D23=""),"",CHOOSE(MATCH(C23,{"Low","Medium","High"},0),1,2,3)*CHOOSE(MATCH(D23,{"Low","Medium","High"},0),1,2,3))</f>
        <v>4</v>
      </c>
      <c r="H23" t="s">
        <v>2163</v>
      </c>
    </row>
    <row r="24" spans="1:8" x14ac:dyDescent="0.35">
      <c r="A24" t="s">
        <v>2162</v>
      </c>
      <c r="C24" t="s">
        <v>796</v>
      </c>
      <c r="D24" t="s">
        <v>796</v>
      </c>
      <c r="E24">
        <f>IF(OR(C24="",D24=""),"",CHOOSE(MATCH(C24,{"Low","Medium","High"},0),1,2,3)*CHOOSE(MATCH(D24,{"Low","Medium","High"},0),1,2,3))</f>
        <v>4</v>
      </c>
      <c r="H24" t="s">
        <v>2163</v>
      </c>
    </row>
    <row r="25" spans="1:8" x14ac:dyDescent="0.35">
      <c r="A25" t="s">
        <v>2162</v>
      </c>
      <c r="C25" t="s">
        <v>796</v>
      </c>
      <c r="D25" t="s">
        <v>796</v>
      </c>
      <c r="E25">
        <f>IF(OR(C25="",D25=""),"",CHOOSE(MATCH(C25,{"Low","Medium","High"},0),1,2,3)*CHOOSE(MATCH(D25,{"Low","Medium","High"},0),1,2,3))</f>
        <v>4</v>
      </c>
      <c r="H25" t="s">
        <v>2163</v>
      </c>
    </row>
    <row r="26" spans="1:8" x14ac:dyDescent="0.35">
      <c r="A26" t="s">
        <v>2162</v>
      </c>
      <c r="C26" t="s">
        <v>796</v>
      </c>
      <c r="D26" t="s">
        <v>796</v>
      </c>
      <c r="E26">
        <f>IF(OR(C26="",D26=""),"",CHOOSE(MATCH(C26,{"Low","Medium","High"},0),1,2,3)*CHOOSE(MATCH(D26,{"Low","Medium","High"},0),1,2,3))</f>
        <v>4</v>
      </c>
      <c r="H26" t="s">
        <v>2163</v>
      </c>
    </row>
    <row r="27" spans="1:8" x14ac:dyDescent="0.35">
      <c r="A27" t="s">
        <v>2162</v>
      </c>
      <c r="C27" t="s">
        <v>796</v>
      </c>
      <c r="D27" t="s">
        <v>796</v>
      </c>
      <c r="E27">
        <f>IF(OR(C27="",D27=""),"",CHOOSE(MATCH(C27,{"Low","Medium","High"},0),1,2,3)*CHOOSE(MATCH(D27,{"Low","Medium","High"},0),1,2,3))</f>
        <v>4</v>
      </c>
      <c r="H27" t="s">
        <v>2163</v>
      </c>
    </row>
    <row r="28" spans="1:8" x14ac:dyDescent="0.35">
      <c r="A28" t="s">
        <v>2162</v>
      </c>
      <c r="C28" t="s">
        <v>796</v>
      </c>
      <c r="D28" t="s">
        <v>796</v>
      </c>
      <c r="E28">
        <f>IF(OR(C28="",D28=""),"",CHOOSE(MATCH(C28,{"Low","Medium","High"},0),1,2,3)*CHOOSE(MATCH(D28,{"Low","Medium","High"},0),1,2,3))</f>
        <v>4</v>
      </c>
      <c r="H28" t="s">
        <v>2163</v>
      </c>
    </row>
    <row r="29" spans="1:8" x14ac:dyDescent="0.35">
      <c r="A29" t="s">
        <v>2162</v>
      </c>
      <c r="C29" t="s">
        <v>796</v>
      </c>
      <c r="D29" t="s">
        <v>796</v>
      </c>
      <c r="E29">
        <f>IF(OR(C29="",D29=""),"",CHOOSE(MATCH(C29,{"Low","Medium","High"},0),1,2,3)*CHOOSE(MATCH(D29,{"Low","Medium","High"},0),1,2,3))</f>
        <v>4</v>
      </c>
      <c r="H29" t="s">
        <v>2163</v>
      </c>
    </row>
    <row r="30" spans="1:8" x14ac:dyDescent="0.35">
      <c r="A30" t="s">
        <v>2162</v>
      </c>
      <c r="C30" t="s">
        <v>796</v>
      </c>
      <c r="D30" t="s">
        <v>796</v>
      </c>
      <c r="E30">
        <f>IF(OR(C30="",D30=""),"",CHOOSE(MATCH(C30,{"Low","Medium","High"},0),1,2,3)*CHOOSE(MATCH(D30,{"Low","Medium","High"},0),1,2,3))</f>
        <v>4</v>
      </c>
      <c r="H30" t="s">
        <v>2163</v>
      </c>
    </row>
    <row r="31" spans="1:8" x14ac:dyDescent="0.35">
      <c r="A31" t="s">
        <v>2162</v>
      </c>
      <c r="C31" t="s">
        <v>796</v>
      </c>
      <c r="D31" t="s">
        <v>796</v>
      </c>
      <c r="E31">
        <f>IF(OR(C31="",D31=""),"",CHOOSE(MATCH(C31,{"Low","Medium","High"},0),1,2,3)*CHOOSE(MATCH(D31,{"Low","Medium","High"},0),1,2,3))</f>
        <v>4</v>
      </c>
      <c r="H31" t="s">
        <v>2163</v>
      </c>
    </row>
    <row r="32" spans="1:8" x14ac:dyDescent="0.35">
      <c r="A32" t="s">
        <v>2162</v>
      </c>
      <c r="C32" t="s">
        <v>796</v>
      </c>
      <c r="D32" t="s">
        <v>796</v>
      </c>
      <c r="E32">
        <f>IF(OR(C32="",D32=""),"",CHOOSE(MATCH(C32,{"Low","Medium","High"},0),1,2,3)*CHOOSE(MATCH(D32,{"Low","Medium","High"},0),1,2,3))</f>
        <v>4</v>
      </c>
      <c r="H32" t="s">
        <v>2163</v>
      </c>
    </row>
    <row r="33" spans="1:8" x14ac:dyDescent="0.35">
      <c r="A33" t="s">
        <v>2162</v>
      </c>
      <c r="C33" t="s">
        <v>796</v>
      </c>
      <c r="D33" t="s">
        <v>796</v>
      </c>
      <c r="E33">
        <f>IF(OR(C33="",D33=""),"",CHOOSE(MATCH(C33,{"Low","Medium","High"},0),1,2,3)*CHOOSE(MATCH(D33,{"Low","Medium","High"},0),1,2,3))</f>
        <v>4</v>
      </c>
      <c r="H33" t="s">
        <v>2163</v>
      </c>
    </row>
    <row r="34" spans="1:8" x14ac:dyDescent="0.35">
      <c r="A34" t="s">
        <v>2162</v>
      </c>
      <c r="C34" t="s">
        <v>796</v>
      </c>
      <c r="D34" t="s">
        <v>796</v>
      </c>
      <c r="E34">
        <f>IF(OR(C34="",D34=""),"",CHOOSE(MATCH(C34,{"Low","Medium","High"},0),1,2,3)*CHOOSE(MATCH(D34,{"Low","Medium","High"},0),1,2,3))</f>
        <v>4</v>
      </c>
      <c r="H34" t="s">
        <v>2163</v>
      </c>
    </row>
    <row r="35" spans="1:8" x14ac:dyDescent="0.35">
      <c r="A35" t="s">
        <v>2162</v>
      </c>
      <c r="C35" t="s">
        <v>796</v>
      </c>
      <c r="D35" t="s">
        <v>796</v>
      </c>
      <c r="E35">
        <f>IF(OR(C35="",D35=""),"",CHOOSE(MATCH(C35,{"Low","Medium","High"},0),1,2,3)*CHOOSE(MATCH(D35,{"Low","Medium","High"},0),1,2,3))</f>
        <v>4</v>
      </c>
      <c r="H35" t="s">
        <v>2163</v>
      </c>
    </row>
    <row r="36" spans="1:8" x14ac:dyDescent="0.35">
      <c r="A36" t="s">
        <v>2162</v>
      </c>
      <c r="C36" t="s">
        <v>796</v>
      </c>
      <c r="D36" t="s">
        <v>796</v>
      </c>
      <c r="E36">
        <f>IF(OR(C36="",D36=""),"",CHOOSE(MATCH(C36,{"Low","Medium","High"},0),1,2,3)*CHOOSE(MATCH(D36,{"Low","Medium","High"},0),1,2,3))</f>
        <v>4</v>
      </c>
      <c r="H36" t="s">
        <v>2163</v>
      </c>
    </row>
    <row r="37" spans="1:8" x14ac:dyDescent="0.35">
      <c r="A37" t="s">
        <v>2162</v>
      </c>
      <c r="C37" t="s">
        <v>796</v>
      </c>
      <c r="D37" t="s">
        <v>796</v>
      </c>
      <c r="E37">
        <f>IF(OR(C37="",D37=""),"",CHOOSE(MATCH(C37,{"Low","Medium","High"},0),1,2,3)*CHOOSE(MATCH(D37,{"Low","Medium","High"},0),1,2,3))</f>
        <v>4</v>
      </c>
      <c r="H37" t="s">
        <v>2163</v>
      </c>
    </row>
    <row r="38" spans="1:8" x14ac:dyDescent="0.35">
      <c r="A38" t="s">
        <v>2162</v>
      </c>
      <c r="C38" t="s">
        <v>796</v>
      </c>
      <c r="D38" t="s">
        <v>796</v>
      </c>
      <c r="E38">
        <f>IF(OR(C38="",D38=""),"",CHOOSE(MATCH(C38,{"Low","Medium","High"},0),1,2,3)*CHOOSE(MATCH(D38,{"Low","Medium","High"},0),1,2,3))</f>
        <v>4</v>
      </c>
      <c r="H38" t="s">
        <v>2163</v>
      </c>
    </row>
    <row r="39" spans="1:8" x14ac:dyDescent="0.35">
      <c r="A39" t="s">
        <v>2162</v>
      </c>
      <c r="C39" t="s">
        <v>796</v>
      </c>
      <c r="D39" t="s">
        <v>796</v>
      </c>
      <c r="E39">
        <f>IF(OR(C39="",D39=""),"",CHOOSE(MATCH(C39,{"Low","Medium","High"},0),1,2,3)*CHOOSE(MATCH(D39,{"Low","Medium","High"},0),1,2,3))</f>
        <v>4</v>
      </c>
      <c r="H39" t="s">
        <v>2163</v>
      </c>
    </row>
    <row r="40" spans="1:8" x14ac:dyDescent="0.35">
      <c r="A40" t="s">
        <v>2162</v>
      </c>
      <c r="C40" t="s">
        <v>796</v>
      </c>
      <c r="D40" t="s">
        <v>796</v>
      </c>
      <c r="E40">
        <f>IF(OR(C40="",D40=""),"",CHOOSE(MATCH(C40,{"Low","Medium","High"},0),1,2,3)*CHOOSE(MATCH(D40,{"Low","Medium","High"},0),1,2,3))</f>
        <v>4</v>
      </c>
      <c r="H40" t="s">
        <v>2163</v>
      </c>
    </row>
    <row r="41" spans="1:8" x14ac:dyDescent="0.35">
      <c r="A41" t="s">
        <v>2162</v>
      </c>
      <c r="C41" t="s">
        <v>796</v>
      </c>
      <c r="D41" t="s">
        <v>796</v>
      </c>
      <c r="E41">
        <f>IF(OR(C41="",D41=""),"",CHOOSE(MATCH(C41,{"Low","Medium","High"},0),1,2,3)*CHOOSE(MATCH(D41,{"Low","Medium","High"},0),1,2,3))</f>
        <v>4</v>
      </c>
      <c r="H41" t="s">
        <v>2163</v>
      </c>
    </row>
    <row r="42" spans="1:8" x14ac:dyDescent="0.35">
      <c r="A42" t="s">
        <v>2162</v>
      </c>
      <c r="C42" t="s">
        <v>796</v>
      </c>
      <c r="D42" t="s">
        <v>796</v>
      </c>
      <c r="E42">
        <f>IF(OR(C42="",D42=""),"",CHOOSE(MATCH(C42,{"Low","Medium","High"},0),1,2,3)*CHOOSE(MATCH(D42,{"Low","Medium","High"},0),1,2,3))</f>
        <v>4</v>
      </c>
      <c r="H42" t="s">
        <v>2163</v>
      </c>
    </row>
    <row r="43" spans="1:8" x14ac:dyDescent="0.35">
      <c r="A43" t="s">
        <v>2162</v>
      </c>
      <c r="C43" t="s">
        <v>796</v>
      </c>
      <c r="D43" t="s">
        <v>796</v>
      </c>
      <c r="E43">
        <f>IF(OR(C43="",D43=""),"",CHOOSE(MATCH(C43,{"Low","Medium","High"},0),1,2,3)*CHOOSE(MATCH(D43,{"Low","Medium","High"},0),1,2,3))</f>
        <v>4</v>
      </c>
      <c r="H43" t="s">
        <v>2163</v>
      </c>
    </row>
    <row r="44" spans="1:8" x14ac:dyDescent="0.35">
      <c r="A44" t="s">
        <v>2162</v>
      </c>
      <c r="C44" t="s">
        <v>796</v>
      </c>
      <c r="D44" t="s">
        <v>796</v>
      </c>
      <c r="E44">
        <f>IF(OR(C44="",D44=""),"",CHOOSE(MATCH(C44,{"Low","Medium","High"},0),1,2,3)*CHOOSE(MATCH(D44,{"Low","Medium","High"},0),1,2,3))</f>
        <v>4</v>
      </c>
      <c r="H44" t="s">
        <v>2163</v>
      </c>
    </row>
    <row r="45" spans="1:8" x14ac:dyDescent="0.35">
      <c r="A45" t="s">
        <v>2162</v>
      </c>
      <c r="C45" t="s">
        <v>796</v>
      </c>
      <c r="D45" t="s">
        <v>796</v>
      </c>
      <c r="E45">
        <f>IF(OR(C45="",D45=""),"",CHOOSE(MATCH(C45,{"Low","Medium","High"},0),1,2,3)*CHOOSE(MATCH(D45,{"Low","Medium","High"},0),1,2,3))</f>
        <v>4</v>
      </c>
      <c r="H45" t="s">
        <v>2163</v>
      </c>
    </row>
    <row r="46" spans="1:8" x14ac:dyDescent="0.35">
      <c r="A46" t="s">
        <v>2162</v>
      </c>
      <c r="C46" t="s">
        <v>796</v>
      </c>
      <c r="D46" t="s">
        <v>796</v>
      </c>
      <c r="E46">
        <f>IF(OR(C46="",D46=""),"",CHOOSE(MATCH(C46,{"Low","Medium","High"},0),1,2,3)*CHOOSE(MATCH(D46,{"Low","Medium","High"},0),1,2,3))</f>
        <v>4</v>
      </c>
      <c r="H46" t="s">
        <v>2163</v>
      </c>
    </row>
    <row r="47" spans="1:8" x14ac:dyDescent="0.35">
      <c r="A47" t="s">
        <v>2162</v>
      </c>
      <c r="C47" t="s">
        <v>796</v>
      </c>
      <c r="D47" t="s">
        <v>796</v>
      </c>
      <c r="E47">
        <f>IF(OR(C47="",D47=""),"",CHOOSE(MATCH(C47,{"Low","Medium","High"},0),1,2,3)*CHOOSE(MATCH(D47,{"Low","Medium","High"},0),1,2,3))</f>
        <v>4</v>
      </c>
      <c r="H47" t="s">
        <v>2163</v>
      </c>
    </row>
    <row r="48" spans="1:8" x14ac:dyDescent="0.35">
      <c r="A48" t="s">
        <v>2162</v>
      </c>
      <c r="C48" t="s">
        <v>796</v>
      </c>
      <c r="D48" t="s">
        <v>796</v>
      </c>
      <c r="E48">
        <f>IF(OR(C48="",D48=""),"",CHOOSE(MATCH(C48,{"Low","Medium","High"},0),1,2,3)*CHOOSE(MATCH(D48,{"Low","Medium","High"},0),1,2,3))</f>
        <v>4</v>
      </c>
      <c r="H48" t="s">
        <v>2163</v>
      </c>
    </row>
    <row r="49" spans="1:8" x14ac:dyDescent="0.35">
      <c r="A49" t="s">
        <v>2162</v>
      </c>
      <c r="C49" t="s">
        <v>796</v>
      </c>
      <c r="D49" t="s">
        <v>796</v>
      </c>
      <c r="E49">
        <f>IF(OR(C49="",D49=""),"",CHOOSE(MATCH(C49,{"Low","Medium","High"},0),1,2,3)*CHOOSE(MATCH(D49,{"Low","Medium","High"},0),1,2,3))</f>
        <v>4</v>
      </c>
      <c r="H49" t="s">
        <v>2163</v>
      </c>
    </row>
    <row r="50" spans="1:8" x14ac:dyDescent="0.35">
      <c r="A50" t="s">
        <v>2162</v>
      </c>
      <c r="C50" t="s">
        <v>796</v>
      </c>
      <c r="D50" t="s">
        <v>796</v>
      </c>
      <c r="E50">
        <f>IF(OR(C50="",D50=""),"",CHOOSE(MATCH(C50,{"Low","Medium","High"},0),1,2,3)*CHOOSE(MATCH(D50,{"Low","Medium","High"},0),1,2,3))</f>
        <v>4</v>
      </c>
      <c r="H50" t="s">
        <v>2163</v>
      </c>
    </row>
  </sheetData>
  <dataValidations count="1">
    <dataValidation type="list" errorStyle="warning" operator="notBetween" allowBlank="1" showInputMessage="1" showErrorMessage="1" sqref="C2:C50 D2:D50 H2:H50" xr:uid="{7FD189F2-897B-4814-9B6A-E5A0FADE4BB1}">
      <formula1>"1"</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27D20-0F9B-4CE2-BD5D-ECFB684DA341}">
  <sheetPr codeName="Ark35"/>
  <dimension ref="F1:J100"/>
  <sheetViews>
    <sheetView showGridLines="0" workbookViewId="0">
      <selection activeCell="F7" sqref="F7"/>
    </sheetView>
  </sheetViews>
  <sheetFormatPr defaultRowHeight="14.5" x14ac:dyDescent="0.35"/>
  <cols>
    <col min="10" max="10" width="7" bestFit="1" customWidth="1"/>
  </cols>
  <sheetData>
    <row r="1" spans="6:10" x14ac:dyDescent="0.35">
      <c r="J1" s="258" t="s">
        <v>2159</v>
      </c>
    </row>
    <row r="2" spans="6:10" x14ac:dyDescent="0.35">
      <c r="F2" t="s">
        <v>796</v>
      </c>
      <c r="G2" t="s">
        <v>2160</v>
      </c>
      <c r="H2">
        <v>0</v>
      </c>
    </row>
    <row r="3" spans="6:10" x14ac:dyDescent="0.35">
      <c r="F3" t="s">
        <v>796</v>
      </c>
      <c r="G3" t="s">
        <v>2160</v>
      </c>
      <c r="H3">
        <v>0</v>
      </c>
    </row>
    <row r="4" spans="6:10" x14ac:dyDescent="0.35">
      <c r="F4" t="s">
        <v>796</v>
      </c>
      <c r="G4" t="s">
        <v>2160</v>
      </c>
      <c r="H4">
        <v>0</v>
      </c>
    </row>
    <row r="5" spans="6:10" x14ac:dyDescent="0.35">
      <c r="F5" t="s">
        <v>796</v>
      </c>
      <c r="G5" t="s">
        <v>2160</v>
      </c>
      <c r="H5">
        <v>0</v>
      </c>
    </row>
    <row r="6" spans="6:10" x14ac:dyDescent="0.35">
      <c r="F6" t="s">
        <v>796</v>
      </c>
      <c r="G6" t="s">
        <v>2160</v>
      </c>
      <c r="H6">
        <v>0</v>
      </c>
    </row>
    <row r="7" spans="6:10" x14ac:dyDescent="0.35">
      <c r="F7" t="s">
        <v>796</v>
      </c>
      <c r="G7" t="s">
        <v>2160</v>
      </c>
      <c r="H7">
        <v>0</v>
      </c>
    </row>
    <row r="8" spans="6:10" x14ac:dyDescent="0.35">
      <c r="F8" t="s">
        <v>796</v>
      </c>
      <c r="G8" t="s">
        <v>2160</v>
      </c>
      <c r="H8">
        <v>0</v>
      </c>
    </row>
    <row r="9" spans="6:10" x14ac:dyDescent="0.35">
      <c r="F9" t="s">
        <v>796</v>
      </c>
      <c r="G9" t="s">
        <v>2160</v>
      </c>
      <c r="H9">
        <v>0</v>
      </c>
    </row>
    <row r="10" spans="6:10" x14ac:dyDescent="0.35">
      <c r="F10" t="s">
        <v>796</v>
      </c>
      <c r="G10" t="s">
        <v>2160</v>
      </c>
      <c r="H10">
        <v>0</v>
      </c>
    </row>
    <row r="11" spans="6:10" x14ac:dyDescent="0.35">
      <c r="F11" t="s">
        <v>796</v>
      </c>
      <c r="G11" t="s">
        <v>2160</v>
      </c>
      <c r="H11">
        <v>0</v>
      </c>
    </row>
    <row r="12" spans="6:10" x14ac:dyDescent="0.35">
      <c r="F12" t="s">
        <v>796</v>
      </c>
      <c r="G12" t="s">
        <v>2160</v>
      </c>
      <c r="H12">
        <v>0</v>
      </c>
    </row>
    <row r="13" spans="6:10" x14ac:dyDescent="0.35">
      <c r="F13" t="s">
        <v>796</v>
      </c>
      <c r="G13" t="s">
        <v>2160</v>
      </c>
      <c r="H13">
        <v>0</v>
      </c>
    </row>
    <row r="14" spans="6:10" x14ac:dyDescent="0.35">
      <c r="F14" t="s">
        <v>796</v>
      </c>
      <c r="G14" t="s">
        <v>2160</v>
      </c>
      <c r="H14">
        <v>0</v>
      </c>
    </row>
    <row r="15" spans="6:10" x14ac:dyDescent="0.35">
      <c r="F15" t="s">
        <v>796</v>
      </c>
      <c r="G15" t="s">
        <v>2160</v>
      </c>
      <c r="H15">
        <v>0</v>
      </c>
    </row>
    <row r="16" spans="6:10" x14ac:dyDescent="0.35">
      <c r="F16" t="s">
        <v>796</v>
      </c>
      <c r="G16" t="s">
        <v>2160</v>
      </c>
      <c r="H16">
        <v>0</v>
      </c>
    </row>
    <row r="17" spans="6:8" x14ac:dyDescent="0.35">
      <c r="F17" t="s">
        <v>796</v>
      </c>
      <c r="G17" t="s">
        <v>2160</v>
      </c>
      <c r="H17">
        <v>0</v>
      </c>
    </row>
    <row r="18" spans="6:8" x14ac:dyDescent="0.35">
      <c r="F18" t="s">
        <v>796</v>
      </c>
      <c r="G18" t="s">
        <v>2160</v>
      </c>
      <c r="H18">
        <v>0</v>
      </c>
    </row>
    <row r="19" spans="6:8" x14ac:dyDescent="0.35">
      <c r="F19" t="s">
        <v>796</v>
      </c>
      <c r="G19" t="s">
        <v>2160</v>
      </c>
      <c r="H19">
        <v>0</v>
      </c>
    </row>
    <row r="20" spans="6:8" x14ac:dyDescent="0.35">
      <c r="F20" t="s">
        <v>796</v>
      </c>
      <c r="G20" t="s">
        <v>2160</v>
      </c>
      <c r="H20">
        <v>0</v>
      </c>
    </row>
    <row r="21" spans="6:8" x14ac:dyDescent="0.35">
      <c r="F21" t="s">
        <v>796</v>
      </c>
      <c r="G21" t="s">
        <v>2160</v>
      </c>
      <c r="H21">
        <v>0</v>
      </c>
    </row>
    <row r="22" spans="6:8" x14ac:dyDescent="0.35">
      <c r="F22" t="s">
        <v>796</v>
      </c>
      <c r="G22" t="s">
        <v>2160</v>
      </c>
      <c r="H22">
        <v>0</v>
      </c>
    </row>
    <row r="23" spans="6:8" x14ac:dyDescent="0.35">
      <c r="F23" t="s">
        <v>796</v>
      </c>
      <c r="G23" t="s">
        <v>2160</v>
      </c>
      <c r="H23">
        <v>0</v>
      </c>
    </row>
    <row r="24" spans="6:8" x14ac:dyDescent="0.35">
      <c r="F24" t="s">
        <v>796</v>
      </c>
      <c r="G24" t="s">
        <v>2160</v>
      </c>
      <c r="H24">
        <v>0</v>
      </c>
    </row>
    <row r="25" spans="6:8" x14ac:dyDescent="0.35">
      <c r="F25" t="s">
        <v>796</v>
      </c>
      <c r="G25" t="s">
        <v>2160</v>
      </c>
      <c r="H25">
        <v>0</v>
      </c>
    </row>
    <row r="26" spans="6:8" x14ac:dyDescent="0.35">
      <c r="F26" t="s">
        <v>796</v>
      </c>
      <c r="G26" t="s">
        <v>2160</v>
      </c>
      <c r="H26">
        <v>0</v>
      </c>
    </row>
    <row r="27" spans="6:8" x14ac:dyDescent="0.35">
      <c r="F27" t="s">
        <v>796</v>
      </c>
      <c r="G27" t="s">
        <v>2160</v>
      </c>
      <c r="H27">
        <v>0</v>
      </c>
    </row>
    <row r="28" spans="6:8" x14ac:dyDescent="0.35">
      <c r="F28" t="s">
        <v>796</v>
      </c>
      <c r="G28" t="s">
        <v>2160</v>
      </c>
      <c r="H28">
        <v>0</v>
      </c>
    </row>
    <row r="29" spans="6:8" x14ac:dyDescent="0.35">
      <c r="F29" t="s">
        <v>796</v>
      </c>
      <c r="G29" t="s">
        <v>2160</v>
      </c>
      <c r="H29">
        <v>0</v>
      </c>
    </row>
    <row r="30" spans="6:8" x14ac:dyDescent="0.35">
      <c r="F30" t="s">
        <v>796</v>
      </c>
      <c r="G30" t="s">
        <v>2160</v>
      </c>
      <c r="H30">
        <v>0</v>
      </c>
    </row>
    <row r="31" spans="6:8" x14ac:dyDescent="0.35">
      <c r="F31" t="s">
        <v>796</v>
      </c>
      <c r="G31" t="s">
        <v>2160</v>
      </c>
      <c r="H31">
        <v>0</v>
      </c>
    </row>
    <row r="32" spans="6:8" x14ac:dyDescent="0.35">
      <c r="F32" t="s">
        <v>796</v>
      </c>
      <c r="G32" t="s">
        <v>2160</v>
      </c>
      <c r="H32">
        <v>0</v>
      </c>
    </row>
    <row r="33" spans="6:8" x14ac:dyDescent="0.35">
      <c r="F33" t="s">
        <v>796</v>
      </c>
      <c r="G33" t="s">
        <v>2160</v>
      </c>
      <c r="H33">
        <v>0</v>
      </c>
    </row>
    <row r="34" spans="6:8" x14ac:dyDescent="0.35">
      <c r="F34" t="s">
        <v>796</v>
      </c>
      <c r="G34" t="s">
        <v>2160</v>
      </c>
      <c r="H34">
        <v>0</v>
      </c>
    </row>
    <row r="35" spans="6:8" x14ac:dyDescent="0.35">
      <c r="F35" t="s">
        <v>796</v>
      </c>
      <c r="G35" t="s">
        <v>2160</v>
      </c>
      <c r="H35">
        <v>0</v>
      </c>
    </row>
    <row r="36" spans="6:8" x14ac:dyDescent="0.35">
      <c r="F36" t="s">
        <v>796</v>
      </c>
      <c r="G36" t="s">
        <v>2160</v>
      </c>
      <c r="H36">
        <v>0</v>
      </c>
    </row>
    <row r="37" spans="6:8" x14ac:dyDescent="0.35">
      <c r="F37" t="s">
        <v>796</v>
      </c>
      <c r="G37" t="s">
        <v>2160</v>
      </c>
      <c r="H37">
        <v>0</v>
      </c>
    </row>
    <row r="38" spans="6:8" x14ac:dyDescent="0.35">
      <c r="F38" t="s">
        <v>796</v>
      </c>
      <c r="G38" t="s">
        <v>2160</v>
      </c>
      <c r="H38">
        <v>0</v>
      </c>
    </row>
    <row r="39" spans="6:8" x14ac:dyDescent="0.35">
      <c r="F39" t="s">
        <v>796</v>
      </c>
      <c r="G39" t="s">
        <v>2160</v>
      </c>
      <c r="H39">
        <v>0</v>
      </c>
    </row>
    <row r="40" spans="6:8" x14ac:dyDescent="0.35">
      <c r="F40" t="s">
        <v>796</v>
      </c>
      <c r="G40" t="s">
        <v>2160</v>
      </c>
      <c r="H40">
        <v>0</v>
      </c>
    </row>
    <row r="41" spans="6:8" x14ac:dyDescent="0.35">
      <c r="F41" t="s">
        <v>796</v>
      </c>
      <c r="G41" t="s">
        <v>2160</v>
      </c>
      <c r="H41">
        <v>0</v>
      </c>
    </row>
    <row r="42" spans="6:8" x14ac:dyDescent="0.35">
      <c r="F42" t="s">
        <v>796</v>
      </c>
      <c r="G42" t="s">
        <v>2160</v>
      </c>
      <c r="H42">
        <v>0</v>
      </c>
    </row>
    <row r="43" spans="6:8" x14ac:dyDescent="0.35">
      <c r="F43" t="s">
        <v>796</v>
      </c>
      <c r="G43" t="s">
        <v>2160</v>
      </c>
      <c r="H43">
        <v>0</v>
      </c>
    </row>
    <row r="44" spans="6:8" x14ac:dyDescent="0.35">
      <c r="F44" t="s">
        <v>796</v>
      </c>
      <c r="G44" t="s">
        <v>2160</v>
      </c>
      <c r="H44">
        <v>0</v>
      </c>
    </row>
    <row r="45" spans="6:8" x14ac:dyDescent="0.35">
      <c r="F45" t="s">
        <v>796</v>
      </c>
      <c r="G45" t="s">
        <v>2160</v>
      </c>
      <c r="H45">
        <v>0</v>
      </c>
    </row>
    <row r="46" spans="6:8" x14ac:dyDescent="0.35">
      <c r="F46" t="s">
        <v>796</v>
      </c>
      <c r="G46" t="s">
        <v>2160</v>
      </c>
      <c r="H46">
        <v>0</v>
      </c>
    </row>
    <row r="47" spans="6:8" x14ac:dyDescent="0.35">
      <c r="F47" t="s">
        <v>796</v>
      </c>
      <c r="G47" t="s">
        <v>2160</v>
      </c>
      <c r="H47">
        <v>0</v>
      </c>
    </row>
    <row r="48" spans="6:8" x14ac:dyDescent="0.35">
      <c r="F48" t="s">
        <v>796</v>
      </c>
      <c r="G48" t="s">
        <v>2160</v>
      </c>
      <c r="H48">
        <v>0</v>
      </c>
    </row>
    <row r="49" spans="6:8" x14ac:dyDescent="0.35">
      <c r="F49" t="s">
        <v>796</v>
      </c>
      <c r="G49" t="s">
        <v>2160</v>
      </c>
      <c r="H49">
        <v>0</v>
      </c>
    </row>
    <row r="50" spans="6:8" x14ac:dyDescent="0.35">
      <c r="F50" t="s">
        <v>796</v>
      </c>
      <c r="G50" t="s">
        <v>2160</v>
      </c>
      <c r="H50">
        <v>0</v>
      </c>
    </row>
    <row r="51" spans="6:8" x14ac:dyDescent="0.35">
      <c r="F51" t="s">
        <v>796</v>
      </c>
      <c r="G51" t="s">
        <v>2160</v>
      </c>
      <c r="H51">
        <v>0</v>
      </c>
    </row>
    <row r="52" spans="6:8" x14ac:dyDescent="0.35">
      <c r="F52" t="s">
        <v>796</v>
      </c>
      <c r="G52" t="s">
        <v>2160</v>
      </c>
      <c r="H52">
        <v>0</v>
      </c>
    </row>
    <row r="53" spans="6:8" x14ac:dyDescent="0.35">
      <c r="F53" t="s">
        <v>796</v>
      </c>
      <c r="G53" t="s">
        <v>2160</v>
      </c>
      <c r="H53">
        <v>0</v>
      </c>
    </row>
    <row r="54" spans="6:8" x14ac:dyDescent="0.35">
      <c r="F54" t="s">
        <v>796</v>
      </c>
      <c r="G54" t="s">
        <v>2160</v>
      </c>
      <c r="H54">
        <v>0</v>
      </c>
    </row>
    <row r="55" spans="6:8" x14ac:dyDescent="0.35">
      <c r="F55" t="s">
        <v>796</v>
      </c>
      <c r="G55" t="s">
        <v>2160</v>
      </c>
      <c r="H55">
        <v>0</v>
      </c>
    </row>
    <row r="56" spans="6:8" x14ac:dyDescent="0.35">
      <c r="F56" t="s">
        <v>796</v>
      </c>
      <c r="G56" t="s">
        <v>2160</v>
      </c>
      <c r="H56">
        <v>0</v>
      </c>
    </row>
    <row r="57" spans="6:8" x14ac:dyDescent="0.35">
      <c r="F57" t="s">
        <v>796</v>
      </c>
      <c r="G57" t="s">
        <v>2160</v>
      </c>
      <c r="H57">
        <v>0</v>
      </c>
    </row>
    <row r="58" spans="6:8" x14ac:dyDescent="0.35">
      <c r="F58" t="s">
        <v>796</v>
      </c>
      <c r="G58" t="s">
        <v>2160</v>
      </c>
      <c r="H58">
        <v>0</v>
      </c>
    </row>
    <row r="59" spans="6:8" x14ac:dyDescent="0.35">
      <c r="F59" t="s">
        <v>796</v>
      </c>
      <c r="G59" t="s">
        <v>2160</v>
      </c>
      <c r="H59">
        <v>0</v>
      </c>
    </row>
    <row r="60" spans="6:8" x14ac:dyDescent="0.35">
      <c r="F60" t="s">
        <v>796</v>
      </c>
      <c r="G60" t="s">
        <v>2160</v>
      </c>
      <c r="H60">
        <v>0</v>
      </c>
    </row>
    <row r="61" spans="6:8" x14ac:dyDescent="0.35">
      <c r="F61" t="s">
        <v>796</v>
      </c>
      <c r="G61" t="s">
        <v>2160</v>
      </c>
      <c r="H61">
        <v>0</v>
      </c>
    </row>
    <row r="62" spans="6:8" x14ac:dyDescent="0.35">
      <c r="F62" t="s">
        <v>796</v>
      </c>
      <c r="G62" t="s">
        <v>2160</v>
      </c>
      <c r="H62">
        <v>0</v>
      </c>
    </row>
    <row r="63" spans="6:8" x14ac:dyDescent="0.35">
      <c r="F63" t="s">
        <v>796</v>
      </c>
      <c r="G63" t="s">
        <v>2160</v>
      </c>
      <c r="H63">
        <v>0</v>
      </c>
    </row>
    <row r="64" spans="6:8" x14ac:dyDescent="0.35">
      <c r="F64" t="s">
        <v>796</v>
      </c>
      <c r="G64" t="s">
        <v>2160</v>
      </c>
      <c r="H64">
        <v>0</v>
      </c>
    </row>
    <row r="65" spans="6:8" x14ac:dyDescent="0.35">
      <c r="F65" t="s">
        <v>796</v>
      </c>
      <c r="G65" t="s">
        <v>2160</v>
      </c>
      <c r="H65">
        <v>0</v>
      </c>
    </row>
    <row r="66" spans="6:8" x14ac:dyDescent="0.35">
      <c r="F66" t="s">
        <v>796</v>
      </c>
      <c r="G66" t="s">
        <v>2160</v>
      </c>
      <c r="H66">
        <v>0</v>
      </c>
    </row>
    <row r="67" spans="6:8" x14ac:dyDescent="0.35">
      <c r="F67" t="s">
        <v>796</v>
      </c>
      <c r="G67" t="s">
        <v>2160</v>
      </c>
      <c r="H67">
        <v>0</v>
      </c>
    </row>
    <row r="68" spans="6:8" x14ac:dyDescent="0.35">
      <c r="F68" t="s">
        <v>796</v>
      </c>
      <c r="G68" t="s">
        <v>2160</v>
      </c>
      <c r="H68">
        <v>0</v>
      </c>
    </row>
    <row r="69" spans="6:8" x14ac:dyDescent="0.35">
      <c r="F69" t="s">
        <v>796</v>
      </c>
      <c r="G69" t="s">
        <v>2160</v>
      </c>
      <c r="H69">
        <v>0</v>
      </c>
    </row>
    <row r="70" spans="6:8" x14ac:dyDescent="0.35">
      <c r="F70" t="s">
        <v>796</v>
      </c>
      <c r="G70" t="s">
        <v>2160</v>
      </c>
      <c r="H70">
        <v>0</v>
      </c>
    </row>
    <row r="71" spans="6:8" x14ac:dyDescent="0.35">
      <c r="F71" t="s">
        <v>796</v>
      </c>
      <c r="G71" t="s">
        <v>2160</v>
      </c>
      <c r="H71">
        <v>0</v>
      </c>
    </row>
    <row r="72" spans="6:8" x14ac:dyDescent="0.35">
      <c r="F72" t="s">
        <v>796</v>
      </c>
      <c r="G72" t="s">
        <v>2160</v>
      </c>
      <c r="H72">
        <v>0</v>
      </c>
    </row>
    <row r="73" spans="6:8" x14ac:dyDescent="0.35">
      <c r="F73" t="s">
        <v>796</v>
      </c>
      <c r="G73" t="s">
        <v>2160</v>
      </c>
      <c r="H73">
        <v>0</v>
      </c>
    </row>
    <row r="74" spans="6:8" x14ac:dyDescent="0.35">
      <c r="F74" t="s">
        <v>796</v>
      </c>
      <c r="G74" t="s">
        <v>2160</v>
      </c>
      <c r="H74">
        <v>0</v>
      </c>
    </row>
    <row r="75" spans="6:8" x14ac:dyDescent="0.35">
      <c r="F75" t="s">
        <v>796</v>
      </c>
      <c r="G75" t="s">
        <v>2160</v>
      </c>
      <c r="H75">
        <v>0</v>
      </c>
    </row>
    <row r="76" spans="6:8" x14ac:dyDescent="0.35">
      <c r="F76" t="s">
        <v>796</v>
      </c>
      <c r="G76" t="s">
        <v>2160</v>
      </c>
      <c r="H76">
        <v>0</v>
      </c>
    </row>
    <row r="77" spans="6:8" x14ac:dyDescent="0.35">
      <c r="F77" t="s">
        <v>796</v>
      </c>
      <c r="G77" t="s">
        <v>2160</v>
      </c>
      <c r="H77">
        <v>0</v>
      </c>
    </row>
    <row r="78" spans="6:8" x14ac:dyDescent="0.35">
      <c r="F78" t="s">
        <v>796</v>
      </c>
      <c r="G78" t="s">
        <v>2160</v>
      </c>
      <c r="H78">
        <v>0</v>
      </c>
    </row>
    <row r="79" spans="6:8" x14ac:dyDescent="0.35">
      <c r="F79" t="s">
        <v>796</v>
      </c>
      <c r="G79" t="s">
        <v>2160</v>
      </c>
      <c r="H79">
        <v>0</v>
      </c>
    </row>
    <row r="80" spans="6:8" x14ac:dyDescent="0.35">
      <c r="F80" t="s">
        <v>796</v>
      </c>
      <c r="G80" t="s">
        <v>2160</v>
      </c>
      <c r="H80">
        <v>0</v>
      </c>
    </row>
    <row r="81" spans="6:8" x14ac:dyDescent="0.35">
      <c r="F81" t="s">
        <v>796</v>
      </c>
      <c r="G81" t="s">
        <v>2160</v>
      </c>
      <c r="H81">
        <v>0</v>
      </c>
    </row>
    <row r="82" spans="6:8" x14ac:dyDescent="0.35">
      <c r="F82" t="s">
        <v>796</v>
      </c>
      <c r="G82" t="s">
        <v>2160</v>
      </c>
      <c r="H82">
        <v>0</v>
      </c>
    </row>
    <row r="83" spans="6:8" x14ac:dyDescent="0.35">
      <c r="F83" t="s">
        <v>796</v>
      </c>
      <c r="G83" t="s">
        <v>2160</v>
      </c>
      <c r="H83">
        <v>0</v>
      </c>
    </row>
    <row r="84" spans="6:8" x14ac:dyDescent="0.35">
      <c r="F84" t="s">
        <v>796</v>
      </c>
      <c r="G84" t="s">
        <v>2160</v>
      </c>
      <c r="H84">
        <v>0</v>
      </c>
    </row>
    <row r="85" spans="6:8" x14ac:dyDescent="0.35">
      <c r="F85" t="s">
        <v>796</v>
      </c>
      <c r="G85" t="s">
        <v>2160</v>
      </c>
      <c r="H85">
        <v>0</v>
      </c>
    </row>
    <row r="86" spans="6:8" x14ac:dyDescent="0.35">
      <c r="F86" t="s">
        <v>796</v>
      </c>
      <c r="G86" t="s">
        <v>2160</v>
      </c>
      <c r="H86">
        <v>0</v>
      </c>
    </row>
    <row r="87" spans="6:8" x14ac:dyDescent="0.35">
      <c r="F87" t="s">
        <v>796</v>
      </c>
      <c r="G87" t="s">
        <v>2160</v>
      </c>
      <c r="H87">
        <v>0</v>
      </c>
    </row>
    <row r="88" spans="6:8" x14ac:dyDescent="0.35">
      <c r="F88" t="s">
        <v>796</v>
      </c>
      <c r="G88" t="s">
        <v>2160</v>
      </c>
      <c r="H88">
        <v>0</v>
      </c>
    </row>
    <row r="89" spans="6:8" x14ac:dyDescent="0.35">
      <c r="F89" t="s">
        <v>796</v>
      </c>
      <c r="G89" t="s">
        <v>2160</v>
      </c>
      <c r="H89">
        <v>0</v>
      </c>
    </row>
    <row r="90" spans="6:8" x14ac:dyDescent="0.35">
      <c r="F90" t="s">
        <v>796</v>
      </c>
      <c r="G90" t="s">
        <v>2160</v>
      </c>
      <c r="H90">
        <v>0</v>
      </c>
    </row>
    <row r="91" spans="6:8" x14ac:dyDescent="0.35">
      <c r="F91" t="s">
        <v>796</v>
      </c>
      <c r="G91" t="s">
        <v>2160</v>
      </c>
      <c r="H91">
        <v>0</v>
      </c>
    </row>
    <row r="92" spans="6:8" x14ac:dyDescent="0.35">
      <c r="F92" t="s">
        <v>796</v>
      </c>
      <c r="G92" t="s">
        <v>2160</v>
      </c>
      <c r="H92">
        <v>0</v>
      </c>
    </row>
    <row r="93" spans="6:8" x14ac:dyDescent="0.35">
      <c r="F93" t="s">
        <v>796</v>
      </c>
      <c r="G93" t="s">
        <v>2160</v>
      </c>
      <c r="H93">
        <v>0</v>
      </c>
    </row>
    <row r="94" spans="6:8" x14ac:dyDescent="0.35">
      <c r="F94" t="s">
        <v>796</v>
      </c>
      <c r="G94" t="s">
        <v>2160</v>
      </c>
      <c r="H94">
        <v>0</v>
      </c>
    </row>
    <row r="95" spans="6:8" x14ac:dyDescent="0.35">
      <c r="F95" t="s">
        <v>796</v>
      </c>
      <c r="G95" t="s">
        <v>2160</v>
      </c>
      <c r="H95">
        <v>0</v>
      </c>
    </row>
    <row r="96" spans="6:8" x14ac:dyDescent="0.35">
      <c r="F96" t="s">
        <v>796</v>
      </c>
      <c r="G96" t="s">
        <v>2160</v>
      </c>
      <c r="H96">
        <v>0</v>
      </c>
    </row>
    <row r="97" spans="6:8" x14ac:dyDescent="0.35">
      <c r="F97" t="s">
        <v>796</v>
      </c>
      <c r="G97" t="s">
        <v>2160</v>
      </c>
      <c r="H97">
        <v>0</v>
      </c>
    </row>
    <row r="98" spans="6:8" x14ac:dyDescent="0.35">
      <c r="F98" t="s">
        <v>796</v>
      </c>
      <c r="G98" t="s">
        <v>2160</v>
      </c>
      <c r="H98">
        <v>0</v>
      </c>
    </row>
    <row r="99" spans="6:8" x14ac:dyDescent="0.35">
      <c r="F99" t="s">
        <v>796</v>
      </c>
      <c r="G99" t="s">
        <v>2160</v>
      </c>
      <c r="H99">
        <v>0</v>
      </c>
    </row>
    <row r="100" spans="6:8" x14ac:dyDescent="0.35">
      <c r="F100" t="s">
        <v>796</v>
      </c>
      <c r="G100" t="s">
        <v>2160</v>
      </c>
      <c r="H100">
        <v>0</v>
      </c>
    </row>
  </sheetData>
  <dataValidations count="1">
    <dataValidation type="list" errorStyle="warning" operator="notBetween" allowBlank="1" showInputMessage="1" showErrorMessage="1" sqref="F2:F100 G2:G100" xr:uid="{C446AF83-46C1-4C9B-8A3A-8833CA2AB9B6}">
      <formula1>"1"</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71E66-7854-429C-86DC-FA8CE2A9D5C4}">
  <sheetPr codeName="Ark36"/>
  <dimension ref="A1:B14"/>
  <sheetViews>
    <sheetView showGridLines="0" workbookViewId="0"/>
  </sheetViews>
  <sheetFormatPr defaultRowHeight="14.5" x14ac:dyDescent="0.35"/>
  <cols>
    <col min="1" max="1" width="27.54296875" bestFit="1" customWidth="1"/>
    <col min="2" max="2" width="22.54296875" bestFit="1" customWidth="1"/>
  </cols>
  <sheetData>
    <row r="1" spans="1:2" x14ac:dyDescent="0.35">
      <c r="A1" s="258" t="s">
        <v>2148</v>
      </c>
    </row>
    <row r="2" spans="1:2" x14ac:dyDescent="0.35">
      <c r="A2" t="s">
        <v>2149</v>
      </c>
    </row>
    <row r="3" spans="1:2" x14ac:dyDescent="0.35">
      <c r="A3" t="s">
        <v>2150</v>
      </c>
    </row>
    <row r="4" spans="1:2" x14ac:dyDescent="0.35">
      <c r="A4" t="s">
        <v>2151</v>
      </c>
    </row>
    <row r="5" spans="1:2" x14ac:dyDescent="0.35">
      <c r="A5" t="s">
        <v>2152</v>
      </c>
    </row>
    <row r="6" spans="1:2" x14ac:dyDescent="0.35">
      <c r="A6" t="s">
        <v>2153</v>
      </c>
      <c r="B6" t="s">
        <v>2154</v>
      </c>
    </row>
    <row r="7" spans="1:2" x14ac:dyDescent="0.35">
      <c r="A7" t="s">
        <v>2155</v>
      </c>
      <c r="B7">
        <f>IFERROR(AVERAGE(PM_TASKS!H4:H100),0)</f>
        <v>0</v>
      </c>
    </row>
    <row r="8" spans="1:2" x14ac:dyDescent="0.35">
      <c r="A8" t="s">
        <v>2156</v>
      </c>
      <c r="B8">
        <f>COUNTIF(PM_TASKS!G4:G100,"&lt;&gt;Completed")</f>
        <v>97</v>
      </c>
    </row>
    <row r="9" spans="1:2" x14ac:dyDescent="0.35">
      <c r="A9" t="s">
        <v>2157</v>
      </c>
      <c r="B9">
        <f>COUNTIF(PM_RISKS!H4:H100,"Open")</f>
        <v>47</v>
      </c>
    </row>
    <row r="10" spans="1:2" x14ac:dyDescent="0.35">
      <c r="A10" t="s">
        <v>2158</v>
      </c>
    </row>
    <row r="11" spans="1:2" x14ac:dyDescent="0.35">
      <c r="A11" t="s">
        <v>2181</v>
      </c>
      <c r="B11">
        <f ca="1">COUNTIFS(PM_TASKS!E4:E100,"&lt;"&amp;TODAY(),PM_TASKS!G4:G100,"&lt;&gt;Completed")</f>
        <v>0</v>
      </c>
    </row>
    <row r="12" spans="1:2" x14ac:dyDescent="0.35">
      <c r="A12" t="s">
        <v>2182</v>
      </c>
      <c r="B12">
        <f>COUNTIF(PM_TASKS!F4:F100,"High")+COUNTIF(PM_TASKS!F4:F100,"Critical")</f>
        <v>0</v>
      </c>
    </row>
    <row r="13" spans="1:2" x14ac:dyDescent="0.35">
      <c r="A13" t="s">
        <v>2183</v>
      </c>
      <c r="B13">
        <f>IFERROR(COUNTA(PM_RESOURCES!A4:A100)/COUNTA(PM_RESOURCES!A4:A10000)*100,0)</f>
        <v>0</v>
      </c>
    </row>
    <row r="14" spans="1:2" x14ac:dyDescent="0.35">
      <c r="A14" t="s">
        <v>2184</v>
      </c>
      <c r="B14" t="s">
        <v>2185</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1E961-5BA9-4051-A539-1A56E07D3323}">
  <sheetPr codeName="Ark9"/>
  <dimension ref="A1:A10"/>
  <sheetViews>
    <sheetView showGridLines="0" workbookViewId="0"/>
  </sheetViews>
  <sheetFormatPr defaultRowHeight="14.5" x14ac:dyDescent="0.35"/>
  <sheetData>
    <row r="1" spans="1:1" x14ac:dyDescent="0.35">
      <c r="A1" t="s">
        <v>2147</v>
      </c>
    </row>
    <row r="4" spans="1:1" x14ac:dyDescent="0.35">
      <c r="A4" s="259" t="s">
        <v>2171</v>
      </c>
    </row>
    <row r="5" spans="1:1" x14ac:dyDescent="0.35">
      <c r="A5" s="259" t="s">
        <v>2172</v>
      </c>
    </row>
    <row r="6" spans="1:1" x14ac:dyDescent="0.35">
      <c r="A6" s="259" t="s">
        <v>2173</v>
      </c>
    </row>
    <row r="7" spans="1:1" x14ac:dyDescent="0.35">
      <c r="A7" s="259" t="s">
        <v>2174</v>
      </c>
    </row>
    <row r="8" spans="1:1" x14ac:dyDescent="0.35">
      <c r="A8" s="259" t="s">
        <v>2175</v>
      </c>
    </row>
    <row r="9" spans="1:1" x14ac:dyDescent="0.35">
      <c r="A9" s="259" t="s">
        <v>2176</v>
      </c>
    </row>
    <row r="10" spans="1:1" x14ac:dyDescent="0.35">
      <c r="A10" s="262" t="s">
        <v>2232</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10">
    <tabColor rgb="FF0D1B2A"/>
  </sheetPr>
  <dimension ref="A1:I60"/>
  <sheetViews>
    <sheetView showGridLines="0" topLeftCell="A23" zoomScaleNormal="100" workbookViewId="0">
      <selection activeCell="E57" sqref="E57"/>
    </sheetView>
  </sheetViews>
  <sheetFormatPr defaultColWidth="8.6328125" defaultRowHeight="14.5" x14ac:dyDescent="0.35"/>
  <cols>
    <col min="1" max="1" width="18.26953125" bestFit="1" customWidth="1"/>
    <col min="2" max="2" width="24.453125" bestFit="1" customWidth="1"/>
    <col min="3" max="3" width="11" bestFit="1" customWidth="1"/>
    <col min="4" max="4" width="42.1796875" bestFit="1" customWidth="1"/>
    <col min="5" max="7" width="12" customWidth="1"/>
    <col min="8" max="8" width="10.26953125" bestFit="1" customWidth="1"/>
    <col min="9" max="9" width="20" customWidth="1"/>
  </cols>
  <sheetData>
    <row r="1" spans="1:9" ht="15.75" customHeight="1" x14ac:dyDescent="0.35">
      <c r="A1" s="1"/>
      <c r="B1" s="1"/>
      <c r="C1" s="1"/>
      <c r="D1" s="1"/>
      <c r="E1" s="1"/>
      <c r="F1" s="1"/>
      <c r="G1" s="1"/>
      <c r="H1" s="1"/>
      <c r="I1" s="1"/>
    </row>
    <row r="2" spans="1:9" ht="31.5" customHeight="1" x14ac:dyDescent="0.35">
      <c r="A2" s="1"/>
      <c r="B2" s="304" t="s">
        <v>0</v>
      </c>
      <c r="C2" s="304"/>
      <c r="D2" s="304"/>
      <c r="E2" s="304"/>
      <c r="F2" s="304"/>
      <c r="G2" s="304"/>
      <c r="H2" s="304"/>
      <c r="I2" s="1"/>
    </row>
    <row r="3" spans="1:9" ht="15.75" customHeight="1" x14ac:dyDescent="0.35">
      <c r="A3" s="1"/>
      <c r="B3" s="305" t="s">
        <v>1</v>
      </c>
      <c r="C3" s="305"/>
      <c r="D3" s="305"/>
      <c r="E3" s="305"/>
      <c r="F3" s="305"/>
      <c r="G3" s="305"/>
      <c r="H3" s="306"/>
      <c r="I3" s="1"/>
    </row>
    <row r="5" spans="1:9" ht="27.75" customHeight="1" x14ac:dyDescent="0.35">
      <c r="B5" s="2" t="s">
        <v>2</v>
      </c>
      <c r="C5" s="3" t="s">
        <v>3</v>
      </c>
      <c r="D5" s="4" t="s">
        <v>4</v>
      </c>
      <c r="E5" s="5" t="s">
        <v>5</v>
      </c>
      <c r="F5" s="6" t="s">
        <v>6</v>
      </c>
      <c r="G5" s="7" t="s">
        <v>7</v>
      </c>
    </row>
    <row r="7" spans="1:9" ht="19.5" customHeight="1" x14ac:dyDescent="0.35">
      <c r="B7" s="307" t="s">
        <v>8</v>
      </c>
      <c r="C7" s="307"/>
      <c r="D7" s="307"/>
      <c r="E7" s="307"/>
      <c r="F7" s="307"/>
      <c r="G7" s="307"/>
      <c r="H7" s="307"/>
    </row>
    <row r="8" spans="1:9" ht="13.5" customHeight="1" x14ac:dyDescent="0.35">
      <c r="B8" s="8" t="s">
        <v>9</v>
      </c>
      <c r="C8" s="9" t="s">
        <v>10</v>
      </c>
      <c r="D8" s="10" t="s">
        <v>11</v>
      </c>
      <c r="E8" s="11" t="s">
        <v>12</v>
      </c>
      <c r="F8" s="12" t="s">
        <v>13</v>
      </c>
      <c r="G8" s="13" t="s">
        <v>14</v>
      </c>
    </row>
    <row r="9" spans="1:9" ht="21.75" customHeight="1" x14ac:dyDescent="0.35">
      <c r="B9" s="14">
        <f>COUNTIF(WASTE_DATA!C4:C11,"YES")</f>
        <v>6</v>
      </c>
      <c r="C9" s="15">
        <f>COUNTIF(CASE_DATA!G4:G23,"OPEN")</f>
        <v>18</v>
      </c>
      <c r="D9" s="16">
        <f>COUNTIF(CASE_DATA!G4:G23,"RESOLVED")</f>
        <v>0</v>
      </c>
      <c r="E9" s="17">
        <f>COUNTIF(PDCA_DATA!F4:F60,"COMPLETE")</f>
        <v>0</v>
      </c>
      <c r="F9" s="18">
        <f>COUNTA(LOG_DATA!B4:B53)-COUNTIF(LOG_DATA!B4:B53,"")</f>
        <v>-38</v>
      </c>
      <c r="G9" s="19" t="str">
        <f>IFERROR(INDEX(WASTE_DATA!B4:B11,MATCH(MAX(WASTE_DATA!H4:H11),WASTE_DATA!H4:H11,0)),"-")</f>
        <v>WAITING</v>
      </c>
    </row>
    <row r="10" spans="1:9" ht="13.5" customHeight="1" x14ac:dyDescent="0.35">
      <c r="B10" s="20" t="s">
        <v>15</v>
      </c>
      <c r="C10" s="21" t="s">
        <v>16</v>
      </c>
      <c r="D10" s="22" t="s">
        <v>17</v>
      </c>
      <c r="E10" s="23" t="s">
        <v>18</v>
      </c>
      <c r="F10" s="24" t="s">
        <v>19</v>
      </c>
      <c r="G10" s="25" t="s">
        <v>20</v>
      </c>
    </row>
    <row r="12" spans="1:9" ht="19.5" customHeight="1" x14ac:dyDescent="0.35">
      <c r="B12" s="307" t="s">
        <v>21</v>
      </c>
      <c r="C12" s="307"/>
      <c r="D12" s="307"/>
      <c r="E12" s="307"/>
      <c r="F12" s="307"/>
      <c r="G12" s="307"/>
      <c r="H12" s="307"/>
    </row>
    <row r="13" spans="1:9" ht="18" customHeight="1" x14ac:dyDescent="0.35">
      <c r="B13" s="26" t="s">
        <v>22</v>
      </c>
      <c r="C13" s="27">
        <f>ROUND((METRICS!C4+METRICS!D4)/2,0)</f>
        <v>40</v>
      </c>
      <c r="D13" s="302"/>
      <c r="E13" s="302"/>
      <c r="F13" s="302"/>
      <c r="G13" s="302"/>
      <c r="H13" s="302"/>
    </row>
    <row r="14" spans="1:9" ht="18" customHeight="1" x14ac:dyDescent="0.35">
      <c r="B14" s="26" t="s">
        <v>23</v>
      </c>
      <c r="C14" s="28">
        <f>ROUND((METRICS!C5+METRICS!D5)/2,0)</f>
        <v>35</v>
      </c>
      <c r="D14" s="302"/>
      <c r="E14" s="302"/>
      <c r="F14" s="302"/>
      <c r="G14" s="302"/>
      <c r="H14" s="302"/>
    </row>
    <row r="15" spans="1:9" ht="18" customHeight="1" x14ac:dyDescent="0.35">
      <c r="B15" s="26" t="s">
        <v>24</v>
      </c>
      <c r="C15" s="29">
        <f>ROUND((METRICS!C6+METRICS!D6)/2,0)</f>
        <v>30</v>
      </c>
      <c r="D15" s="302"/>
      <c r="E15" s="302"/>
      <c r="F15" s="302"/>
      <c r="G15" s="302"/>
      <c r="H15" s="302"/>
    </row>
    <row r="16" spans="1:9" ht="18" customHeight="1" x14ac:dyDescent="0.35">
      <c r="B16" s="26" t="s">
        <v>25</v>
      </c>
      <c r="C16" s="30">
        <f>ROUND((METRICS!C7+METRICS!D7)/2,0)</f>
        <v>25</v>
      </c>
      <c r="D16" s="302"/>
      <c r="E16" s="302"/>
      <c r="F16" s="302"/>
      <c r="G16" s="302"/>
      <c r="H16" s="302"/>
    </row>
    <row r="17" spans="1:8" ht="18" customHeight="1" x14ac:dyDescent="0.35">
      <c r="B17" s="26" t="s">
        <v>26</v>
      </c>
      <c r="C17" s="31">
        <f>ROUND((METRICS!C8+METRICS!D8)/2,0)</f>
        <v>15</v>
      </c>
      <c r="D17" s="302"/>
      <c r="E17" s="302"/>
      <c r="F17" s="302"/>
      <c r="G17" s="302"/>
      <c r="H17" s="302"/>
    </row>
    <row r="19" spans="1:8" ht="19.5" customHeight="1" x14ac:dyDescent="0.35">
      <c r="B19" s="303" t="s">
        <v>27</v>
      </c>
      <c r="C19" s="303"/>
      <c r="D19" s="303"/>
      <c r="E19" s="303"/>
      <c r="F19" s="303"/>
      <c r="G19" s="303"/>
      <c r="H19" s="303"/>
    </row>
    <row r="20" spans="1:8" ht="48" customHeight="1" x14ac:dyDescent="0.35">
      <c r="B20" s="300" t="s">
        <v>28</v>
      </c>
      <c r="C20" s="300"/>
      <c r="D20" s="300"/>
      <c r="E20" s="300"/>
      <c r="F20" s="300"/>
      <c r="G20" s="300"/>
      <c r="H20" s="300"/>
    </row>
    <row r="30" spans="1:8" ht="19.5" customHeight="1" x14ac:dyDescent="0.35">
      <c r="A30" s="301" t="s">
        <v>29</v>
      </c>
      <c r="B30" s="301"/>
      <c r="C30" s="301"/>
      <c r="D30" s="301"/>
      <c r="E30" s="301"/>
      <c r="F30" s="301"/>
      <c r="G30" s="301"/>
      <c r="H30" s="301"/>
    </row>
    <row r="31" spans="1:8" ht="21.75" customHeight="1" x14ac:dyDescent="0.35">
      <c r="A31" s="32" t="s">
        <v>30</v>
      </c>
      <c r="B31" s="33" t="s">
        <v>31</v>
      </c>
      <c r="C31" s="296" t="s">
        <v>32</v>
      </c>
      <c r="D31" s="296"/>
      <c r="E31" s="296"/>
      <c r="F31" s="296"/>
      <c r="G31" s="296"/>
      <c r="H31" s="296"/>
    </row>
    <row r="32" spans="1:8" ht="21.75" customHeight="1" x14ac:dyDescent="0.35">
      <c r="A32" s="32" t="s">
        <v>33</v>
      </c>
      <c r="B32" s="34" t="s">
        <v>34</v>
      </c>
      <c r="C32" s="296" t="s">
        <v>35</v>
      </c>
      <c r="D32" s="296"/>
      <c r="E32" s="296"/>
      <c r="F32" s="296"/>
      <c r="G32" s="296"/>
      <c r="H32" s="296"/>
    </row>
    <row r="33" spans="1:9" ht="21.75" customHeight="1" x14ac:dyDescent="0.35">
      <c r="A33" s="32" t="s">
        <v>36</v>
      </c>
      <c r="B33" s="35" t="s">
        <v>37</v>
      </c>
      <c r="C33" s="296" t="s">
        <v>38</v>
      </c>
      <c r="D33" s="296"/>
      <c r="E33" s="296"/>
      <c r="F33" s="296"/>
      <c r="G33" s="296"/>
      <c r="H33" s="296"/>
    </row>
    <row r="34" spans="1:9" ht="21.75" customHeight="1" x14ac:dyDescent="0.35">
      <c r="A34" s="32" t="s">
        <v>39</v>
      </c>
      <c r="B34" s="36" t="s">
        <v>40</v>
      </c>
      <c r="C34" s="296" t="s">
        <v>41</v>
      </c>
      <c r="D34" s="296"/>
      <c r="E34" s="296"/>
      <c r="F34" s="296"/>
      <c r="G34" s="296"/>
      <c r="H34" s="296"/>
    </row>
    <row r="35" spans="1:9" ht="21.75" customHeight="1" x14ac:dyDescent="0.35">
      <c r="A35" s="32" t="s">
        <v>42</v>
      </c>
      <c r="B35" s="37" t="s">
        <v>43</v>
      </c>
      <c r="C35" s="296" t="s">
        <v>44</v>
      </c>
      <c r="D35" s="296"/>
      <c r="E35" s="296"/>
      <c r="F35" s="296"/>
      <c r="G35" s="296"/>
      <c r="H35" s="296"/>
    </row>
    <row r="37" spans="1:9" ht="24" customHeight="1" x14ac:dyDescent="0.35">
      <c r="A37" s="297" t="s">
        <v>45</v>
      </c>
      <c r="B37" s="297"/>
      <c r="C37" s="297"/>
      <c r="D37" s="297"/>
      <c r="E37" s="297"/>
      <c r="F37" s="297"/>
      <c r="G37" s="297"/>
      <c r="H37" s="297"/>
    </row>
    <row r="38" spans="1:9" ht="36" customHeight="1" x14ac:dyDescent="0.35">
      <c r="A38" s="38" t="s">
        <v>46</v>
      </c>
      <c r="B38" s="38" t="s">
        <v>47</v>
      </c>
      <c r="C38" s="38" t="s">
        <v>48</v>
      </c>
      <c r="D38" s="38" t="s">
        <v>49</v>
      </c>
      <c r="E38" s="38" t="s">
        <v>50</v>
      </c>
      <c r="F38" s="38" t="s">
        <v>51</v>
      </c>
      <c r="G38" s="38" t="s">
        <v>52</v>
      </c>
      <c r="H38" s="38" t="s">
        <v>53</v>
      </c>
    </row>
    <row r="39" spans="1:9" ht="48" customHeight="1" x14ac:dyDescent="0.35">
      <c r="A39" s="39">
        <f>COUNTIF(FMEA_DATA!J4:J18,"1-CRITICAL*")</f>
        <v>5</v>
      </c>
      <c r="B39" s="40" t="str">
        <f ca="1">IFERROR(SS_DATA!C15,"—")</f>
        <v/>
      </c>
      <c r="C39" s="39">
        <f>COUNTIF(SDLC_DATA!G4:G19,"BLOCKED")</f>
        <v>1</v>
      </c>
      <c r="D39" s="39">
        <f>COUNTIF(AGILE_DATA!H9:H23,"DONE")</f>
        <v>3</v>
      </c>
      <c r="E39" s="39">
        <f>COUNTIFS(AZ_DATA!B17:B28,"Bug",AZ_DATA!K17:K28,"Active")</f>
        <v>1</v>
      </c>
      <c r="F39" s="41" t="str">
        <f>IFERROR(TEXT(AZ_DATA!H14,"0%"),"—")</f>
        <v>86%</v>
      </c>
      <c r="G39" s="39">
        <f>COUNTIF(FMEA_DATA!M4:M18,"OPEN")</f>
        <v>12</v>
      </c>
      <c r="H39" s="41">
        <f>IFERROR(COUNTIF(AGILE_DATA!H9:H23,"DONE")/MAX(1,COUNTA(AGILE_DATA!A9:A23)-COUNTBLANK(AGILE_DATA!A9:A23)),0)</f>
        <v>0.2</v>
      </c>
    </row>
    <row r="41" spans="1:9" ht="21.75" customHeight="1" x14ac:dyDescent="0.35">
      <c r="A41" s="298" t="s">
        <v>54</v>
      </c>
      <c r="B41" s="298"/>
      <c r="C41" s="298"/>
      <c r="D41" s="298"/>
      <c r="E41" s="298"/>
      <c r="F41" s="298"/>
      <c r="G41" s="298"/>
      <c r="H41" s="298"/>
      <c r="I41" s="298"/>
    </row>
    <row r="42" spans="1:9" ht="27.75" customHeight="1" x14ac:dyDescent="0.35">
      <c r="A42" s="38" t="s">
        <v>55</v>
      </c>
      <c r="B42" s="38" t="s">
        <v>56</v>
      </c>
      <c r="C42" s="38" t="s">
        <v>57</v>
      </c>
      <c r="D42" s="38" t="s">
        <v>58</v>
      </c>
      <c r="E42" s="38" t="s">
        <v>59</v>
      </c>
      <c r="F42" s="38" t="s">
        <v>60</v>
      </c>
      <c r="G42" s="38" t="s">
        <v>61</v>
      </c>
      <c r="H42" s="38" t="s">
        <v>62</v>
      </c>
    </row>
    <row r="43" spans="1:9" ht="43.5" customHeight="1" x14ac:dyDescent="0.35">
      <c r="A43" s="42">
        <f>COUNTIF(FMEA_DATA!J4:J18,"1-CRITICAL*")</f>
        <v>5</v>
      </c>
      <c r="B43" s="42">
        <f>COUNTIF(FMEA_DATA!M4:M18,"OPEN")</f>
        <v>12</v>
      </c>
      <c r="C43" s="43" t="str">
        <f ca="1">IFERROR(SS_DATA!C15,"—")</f>
        <v/>
      </c>
      <c r="D43" s="44" t="str">
        <f ca="1">IFERROR(IF(SS_DATA!C15&gt;=SS_DATA!D15,"✓ ON TARGET","⚠ BELOW"),"—")</f>
        <v>✓ ON TARGET</v>
      </c>
      <c r="E43" s="42">
        <f>COUNTIF(SDLC_DATA!G4:G19,"BLOCKED")</f>
        <v>1</v>
      </c>
      <c r="F43" s="45">
        <f>IFERROR(SDLC_DATA!C30,0)</f>
        <v>0.36249999999999999</v>
      </c>
      <c r="G43" s="44">
        <f>COUNTIF(AGILE_DATA!H9:H23,"DONE")</f>
        <v>3</v>
      </c>
      <c r="H43" s="42">
        <f>COUNTIF(AGILE_DATA!H9:H23,"BLOCKED")</f>
        <v>0</v>
      </c>
    </row>
    <row r="44" spans="1:9" ht="27.75" customHeight="1" x14ac:dyDescent="0.35">
      <c r="A44" s="38" t="s">
        <v>63</v>
      </c>
      <c r="B44" s="38" t="s">
        <v>64</v>
      </c>
      <c r="C44" s="38" t="s">
        <v>65</v>
      </c>
      <c r="D44" s="38" t="s">
        <v>66</v>
      </c>
      <c r="E44" s="38" t="s">
        <v>67</v>
      </c>
      <c r="F44" s="38" t="s">
        <v>68</v>
      </c>
      <c r="G44" s="38" t="s">
        <v>69</v>
      </c>
      <c r="H44" s="38" t="s">
        <v>70</v>
      </c>
    </row>
    <row r="45" spans="1:9" ht="43.5" customHeight="1" x14ac:dyDescent="0.35">
      <c r="A45" s="42">
        <f>COUNTIFS(AZ_DATA!B17:B28,"Bug",AZ_DATA!K17:K28,"Active")</f>
        <v>1</v>
      </c>
      <c r="B45" s="43" t="str">
        <f>IFERROR(TEXT(AZ_DATA!H14,"0%"),"—")</f>
        <v>86%</v>
      </c>
      <c r="C45" s="44">
        <f>COUNTIF(PDCA_DATA!F6:F38,"COMPLETE")</f>
        <v>0</v>
      </c>
      <c r="D45" s="42">
        <f>COUNTIF(PDCA_DATA!F6:F38,"BLOCKED")</f>
        <v>0</v>
      </c>
      <c r="E45" s="42">
        <f>COUNTIFS(CASE_DATA!B4:B23,"1-CRITICAL",CASE_DATA!G4:G23,"OPEN")</f>
        <v>0</v>
      </c>
      <c r="F45" s="43" t="str">
        <f>IFERROR(ROUND(AVERAGE(METRICS!E4:E8),0)&amp;"%","—")</f>
        <v>29%</v>
      </c>
      <c r="G45" s="42" t="str">
        <f>COUNTIF(WASTE_DATA!C4:C11,"YES")&amp;" of 8"</f>
        <v>6 of 8</v>
      </c>
      <c r="H45" s="44">
        <f>COUNTIF(LOG_DATA!H4:H53,"DONE")</f>
        <v>4</v>
      </c>
    </row>
    <row r="47" spans="1:9" ht="19.5" customHeight="1" x14ac:dyDescent="0.35">
      <c r="A47" s="299" t="s">
        <v>71</v>
      </c>
      <c r="B47" s="299"/>
      <c r="C47" s="299"/>
      <c r="D47" s="299"/>
      <c r="E47" s="299"/>
      <c r="F47" s="299"/>
      <c r="G47" s="299"/>
      <c r="H47" s="299"/>
      <c r="I47" s="299"/>
    </row>
    <row r="48" spans="1:9" ht="18" customHeight="1" x14ac:dyDescent="0.35">
      <c r="A48" s="46" t="s">
        <v>72</v>
      </c>
      <c r="B48" s="46" t="s">
        <v>73</v>
      </c>
      <c r="C48" s="46" t="s">
        <v>74</v>
      </c>
      <c r="D48" s="46" t="s">
        <v>75</v>
      </c>
      <c r="E48" s="46" t="s">
        <v>76</v>
      </c>
      <c r="F48" s="46" t="s">
        <v>77</v>
      </c>
    </row>
    <row r="49" spans="1:6" ht="19.5" customHeight="1" x14ac:dyDescent="0.35">
      <c r="A49" s="47" t="s">
        <v>78</v>
      </c>
      <c r="B49" s="48">
        <f>COUNTIF(FMEA_DATA!J4:J18,"1-CRITICAL*")</f>
        <v>5</v>
      </c>
      <c r="C49" s="48" t="s">
        <v>79</v>
      </c>
      <c r="D49" s="47" t="s">
        <v>80</v>
      </c>
      <c r="E49" s="47" t="s">
        <v>81</v>
      </c>
      <c r="F49" s="48" t="s">
        <v>82</v>
      </c>
    </row>
    <row r="50" spans="1:6" ht="19.5" customHeight="1" x14ac:dyDescent="0.35">
      <c r="A50" s="49" t="s">
        <v>83</v>
      </c>
      <c r="B50" s="50">
        <f>COUNTIFS(FMEA_DATA!J4:J18,"2-HIGH*",FMEA_DATA!M4:M18,"OPEN")</f>
        <v>8</v>
      </c>
      <c r="C50" s="50" t="s">
        <v>84</v>
      </c>
      <c r="D50" s="49" t="s">
        <v>85</v>
      </c>
      <c r="E50" s="49" t="s">
        <v>81</v>
      </c>
      <c r="F50" s="50" t="s">
        <v>86</v>
      </c>
    </row>
    <row r="51" spans="1:6" ht="19.5" customHeight="1" x14ac:dyDescent="0.35">
      <c r="A51" s="47" t="s">
        <v>67</v>
      </c>
      <c r="B51" s="48">
        <f>COUNTIFS(CASE_DATA!B4:B23,"1-CRITICAL",CASE_DATA!G4:G23,"OPEN")</f>
        <v>0</v>
      </c>
      <c r="C51" s="48" t="s">
        <v>87</v>
      </c>
      <c r="D51" s="47" t="s">
        <v>88</v>
      </c>
      <c r="E51" s="47" t="s">
        <v>89</v>
      </c>
      <c r="F51" s="48" t="s">
        <v>90</v>
      </c>
    </row>
    <row r="52" spans="1:6" ht="19.5" customHeight="1" x14ac:dyDescent="0.35">
      <c r="A52" s="49" t="s">
        <v>91</v>
      </c>
      <c r="B52" s="50">
        <f>COUNTIF(SDLC_DATA!G4:G19,"BLOCKED")</f>
        <v>1</v>
      </c>
      <c r="C52" s="50" t="s">
        <v>79</v>
      </c>
      <c r="D52" s="49" t="s">
        <v>92</v>
      </c>
      <c r="E52" s="49" t="s">
        <v>93</v>
      </c>
      <c r="F52" s="50" t="s">
        <v>94</v>
      </c>
    </row>
    <row r="53" spans="1:6" ht="19.5" customHeight="1" x14ac:dyDescent="0.35">
      <c r="A53" s="47" t="s">
        <v>95</v>
      </c>
      <c r="B53" s="48">
        <f>COUNTIF(AGILE_DATA!H9:H23,"BLOCKED")</f>
        <v>0</v>
      </c>
      <c r="C53" s="48" t="s">
        <v>79</v>
      </c>
      <c r="D53" s="47" t="s">
        <v>96</v>
      </c>
      <c r="E53" s="47" t="s">
        <v>97</v>
      </c>
      <c r="F53" s="48" t="s">
        <v>98</v>
      </c>
    </row>
    <row r="54" spans="1:6" ht="19.5" customHeight="1" x14ac:dyDescent="0.35">
      <c r="A54" s="49" t="s">
        <v>63</v>
      </c>
      <c r="B54" s="50">
        <f>COUNTIFS(AZ_DATA!B17:B28,"Bug",AZ_DATA!K17:K28,"Active")</f>
        <v>1</v>
      </c>
      <c r="C54" s="50" t="s">
        <v>99</v>
      </c>
      <c r="D54" s="49" t="s">
        <v>100</v>
      </c>
      <c r="E54" s="49" t="s">
        <v>101</v>
      </c>
      <c r="F54" s="50" t="s">
        <v>102</v>
      </c>
    </row>
    <row r="55" spans="1:6" ht="19.5" customHeight="1" x14ac:dyDescent="0.35">
      <c r="A55" s="47" t="s">
        <v>103</v>
      </c>
      <c r="B55" s="48">
        <f ca="1">IF(ISNUMBER(SS_DATA!C15),IF(SS_DATA!C15&lt;SS_DATA!D15,1,0),0)</f>
        <v>0</v>
      </c>
      <c r="C55" s="48" t="s">
        <v>79</v>
      </c>
      <c r="D55" s="354" t="s">
        <v>104</v>
      </c>
      <c r="E55" s="354" t="s">
        <v>105</v>
      </c>
      <c r="F55" s="355" t="s">
        <v>106</v>
      </c>
    </row>
    <row r="56" spans="1:6" ht="19.5" customHeight="1" x14ac:dyDescent="0.35">
      <c r="A56" s="49" t="s">
        <v>66</v>
      </c>
      <c r="B56" s="50">
        <f>COUNTIF(PDCA_DATA!F6:F38,"BLOCKED")</f>
        <v>0</v>
      </c>
      <c r="C56" s="50" t="s">
        <v>79</v>
      </c>
      <c r="D56" s="49" t="s">
        <v>107</v>
      </c>
      <c r="E56" s="49" t="s">
        <v>108</v>
      </c>
      <c r="F56" s="50" t="s">
        <v>86</v>
      </c>
    </row>
    <row r="57" spans="1:6" ht="19.5" customHeight="1" x14ac:dyDescent="0.35">
      <c r="A57" s="47" t="s">
        <v>109</v>
      </c>
      <c r="B57" s="48">
        <f>COUNTIF(LOG_DATA!H4:H53,"OPEN")</f>
        <v>0</v>
      </c>
      <c r="C57" s="48" t="s">
        <v>110</v>
      </c>
      <c r="D57" s="47" t="s">
        <v>111</v>
      </c>
      <c r="E57" s="354" t="s">
        <v>112</v>
      </c>
      <c r="F57" s="48" t="s">
        <v>113</v>
      </c>
    </row>
    <row r="58" spans="1:6" ht="19.5" customHeight="1" x14ac:dyDescent="0.35">
      <c r="A58" s="49" t="s">
        <v>114</v>
      </c>
      <c r="B58" s="50">
        <f>COUNTIF(SS_DATA!E20:E31,"BLOCKED")</f>
        <v>0</v>
      </c>
      <c r="C58" s="50" t="s">
        <v>79</v>
      </c>
      <c r="D58" s="49" t="s">
        <v>115</v>
      </c>
      <c r="E58" s="49" t="s">
        <v>105</v>
      </c>
      <c r="F58" s="50" t="s">
        <v>106</v>
      </c>
    </row>
    <row r="59" spans="1:6" ht="19.5" customHeight="1" x14ac:dyDescent="0.35">
      <c r="A59" s="47" t="s">
        <v>116</v>
      </c>
      <c r="B59" s="48">
        <f>COUNTIFS(WASTE_DATA!C4:C11,"YES",WASTE_DATA!F4:F11,"&gt;=4")</f>
        <v>5</v>
      </c>
      <c r="C59" s="48" t="s">
        <v>117</v>
      </c>
      <c r="D59" s="47" t="s">
        <v>118</v>
      </c>
      <c r="E59" s="47" t="s">
        <v>119</v>
      </c>
      <c r="F59" s="48" t="s">
        <v>120</v>
      </c>
    </row>
    <row r="60" spans="1:6" ht="19.5" customHeight="1" x14ac:dyDescent="0.35">
      <c r="A60" s="49" t="s">
        <v>121</v>
      </c>
      <c r="B60" s="50">
        <f>COUNTIFS(CASE_DATA!G4:G23,"OPEN",CASE_DATA!F4:F23,"")</f>
        <v>14</v>
      </c>
      <c r="C60" s="50" t="s">
        <v>79</v>
      </c>
      <c r="D60" s="49" t="s">
        <v>122</v>
      </c>
      <c r="E60" s="49" t="s">
        <v>89</v>
      </c>
      <c r="F60" s="50" t="s">
        <v>90</v>
      </c>
    </row>
  </sheetData>
  <mergeCells count="20">
    <mergeCell ref="B2:H2"/>
    <mergeCell ref="B3:H3"/>
    <mergeCell ref="B7:H7"/>
    <mergeCell ref="B12:H12"/>
    <mergeCell ref="D13:H13"/>
    <mergeCell ref="D14:H14"/>
    <mergeCell ref="D15:H15"/>
    <mergeCell ref="D16:H16"/>
    <mergeCell ref="D17:H17"/>
    <mergeCell ref="B19:H19"/>
    <mergeCell ref="B20:H20"/>
    <mergeCell ref="A30:H30"/>
    <mergeCell ref="C31:H31"/>
    <mergeCell ref="C32:H32"/>
    <mergeCell ref="C33:H33"/>
    <mergeCell ref="C34:H34"/>
    <mergeCell ref="C35:H35"/>
    <mergeCell ref="A37:H37"/>
    <mergeCell ref="A41:I41"/>
    <mergeCell ref="A47:I47"/>
  </mergeCells>
  <conditionalFormatting sqref="C13">
    <cfRule type="dataBar" priority="2">
      <dataBar>
        <cfvo type="num" val="0"/>
        <cfvo type="num" val="100"/>
        <color rgb="FF2E86C1"/>
      </dataBar>
      <extLst>
        <ext xmlns:x14="http://schemas.microsoft.com/office/spreadsheetml/2009/9/main" uri="{B025F937-C7B1-47D3-B67F-A62EFF666E3E}">
          <x14:id>{BBA5B93A-17F4-4FD1-996C-F76C30C4712B}</x14:id>
        </ext>
      </extLst>
    </cfRule>
  </conditionalFormatting>
  <conditionalFormatting sqref="C14">
    <cfRule type="dataBar" priority="3">
      <dataBar>
        <cfvo type="num" val="0"/>
        <cfvo type="num" val="100"/>
        <color rgb="FF1E8449"/>
      </dataBar>
      <extLst>
        <ext xmlns:x14="http://schemas.microsoft.com/office/spreadsheetml/2009/9/main" uri="{B025F937-C7B1-47D3-B67F-A62EFF666E3E}">
          <x14:id>{B9D33C20-41B9-4236-8350-2979DB17B880}</x14:id>
        </ext>
      </extLst>
    </cfRule>
  </conditionalFormatting>
  <conditionalFormatting sqref="C15">
    <cfRule type="dataBar" priority="4">
      <dataBar>
        <cfvo type="num" val="0"/>
        <cfvo type="num" val="100"/>
        <color rgb="FF6C3483"/>
      </dataBar>
      <extLst>
        <ext xmlns:x14="http://schemas.microsoft.com/office/spreadsheetml/2009/9/main" uri="{B025F937-C7B1-47D3-B67F-A62EFF666E3E}">
          <x14:id>{833E6052-817F-4D40-8339-3599793033D7}</x14:id>
        </ext>
      </extLst>
    </cfRule>
  </conditionalFormatting>
  <conditionalFormatting sqref="C16">
    <cfRule type="dataBar" priority="5">
      <dataBar>
        <cfvo type="num" val="0"/>
        <cfvo type="num" val="100"/>
        <color rgb="FF0E6655"/>
      </dataBar>
      <extLst>
        <ext xmlns:x14="http://schemas.microsoft.com/office/spreadsheetml/2009/9/main" uri="{B025F937-C7B1-47D3-B67F-A62EFF666E3E}">
          <x14:id>{6F722738-F8BA-43DE-BE30-88555419E6FB}</x14:id>
        </ext>
      </extLst>
    </cfRule>
  </conditionalFormatting>
  <conditionalFormatting sqref="C17">
    <cfRule type="dataBar" priority="6">
      <dataBar>
        <cfvo type="num" val="0"/>
        <cfvo type="num" val="100"/>
        <color rgb="FF7D6608"/>
      </dataBar>
      <extLst>
        <ext xmlns:x14="http://schemas.microsoft.com/office/spreadsheetml/2009/9/main" uri="{B025F937-C7B1-47D3-B67F-A62EFF666E3E}">
          <x14:id>{A633D354-6C96-456C-8786-AA3B807577A3}</x14:id>
        </ext>
      </extLst>
    </cfRule>
  </conditionalFormatting>
  <conditionalFormatting sqref="B49">
    <cfRule type="cellIs" dxfId="38" priority="7" operator="greaterThan">
      <formula>0</formula>
    </cfRule>
    <cfRule type="cellIs" dxfId="37" priority="8" operator="equal">
      <formula>0</formula>
    </cfRule>
  </conditionalFormatting>
  <conditionalFormatting sqref="B50">
    <cfRule type="cellIs" dxfId="36" priority="9" operator="greaterThan">
      <formula>0</formula>
    </cfRule>
    <cfRule type="cellIs" dxfId="35" priority="10" operator="equal">
      <formula>0</formula>
    </cfRule>
  </conditionalFormatting>
  <conditionalFormatting sqref="B51">
    <cfRule type="cellIs" dxfId="34" priority="11" operator="greaterThan">
      <formula>0</formula>
    </cfRule>
    <cfRule type="cellIs" dxfId="33" priority="12" operator="equal">
      <formula>0</formula>
    </cfRule>
  </conditionalFormatting>
  <conditionalFormatting sqref="B52">
    <cfRule type="cellIs" dxfId="32" priority="13" operator="greaterThan">
      <formula>0</formula>
    </cfRule>
    <cfRule type="cellIs" dxfId="31" priority="14" operator="equal">
      <formula>0</formula>
    </cfRule>
  </conditionalFormatting>
  <conditionalFormatting sqref="B53">
    <cfRule type="cellIs" dxfId="30" priority="15" operator="greaterThan">
      <formula>0</formula>
    </cfRule>
    <cfRule type="cellIs" dxfId="29" priority="16" operator="equal">
      <formula>0</formula>
    </cfRule>
  </conditionalFormatting>
  <conditionalFormatting sqref="B54">
    <cfRule type="cellIs" dxfId="28" priority="17" operator="greaterThan">
      <formula>0</formula>
    </cfRule>
    <cfRule type="cellIs" dxfId="27" priority="18" operator="equal">
      <formula>0</formula>
    </cfRule>
  </conditionalFormatting>
  <conditionalFormatting sqref="B55">
    <cfRule type="cellIs" dxfId="26" priority="19" operator="greaterThan">
      <formula>0</formula>
    </cfRule>
    <cfRule type="cellIs" dxfId="25" priority="20" operator="equal">
      <formula>0</formula>
    </cfRule>
  </conditionalFormatting>
  <conditionalFormatting sqref="B56">
    <cfRule type="cellIs" dxfId="24" priority="21" operator="greaterThan">
      <formula>0</formula>
    </cfRule>
    <cfRule type="cellIs" dxfId="23" priority="22" operator="equal">
      <formula>0</formula>
    </cfRule>
  </conditionalFormatting>
  <conditionalFormatting sqref="B57">
    <cfRule type="cellIs" dxfId="22" priority="23" operator="greaterThan">
      <formula>0</formula>
    </cfRule>
    <cfRule type="cellIs" dxfId="21" priority="24" operator="equal">
      <formula>0</formula>
    </cfRule>
  </conditionalFormatting>
  <conditionalFormatting sqref="B58">
    <cfRule type="cellIs" dxfId="20" priority="25" operator="greaterThan">
      <formula>0</formula>
    </cfRule>
    <cfRule type="cellIs" dxfId="19" priority="26" operator="equal">
      <formula>0</formula>
    </cfRule>
  </conditionalFormatting>
  <conditionalFormatting sqref="B59">
    <cfRule type="cellIs" dxfId="18" priority="27" operator="greaterThan">
      <formula>0</formula>
    </cfRule>
    <cfRule type="cellIs" dxfId="17" priority="28" operator="equal">
      <formula>0</formula>
    </cfRule>
  </conditionalFormatting>
  <conditionalFormatting sqref="B60">
    <cfRule type="cellIs" dxfId="16" priority="29" operator="greaterThan">
      <formula>0</formula>
    </cfRule>
    <cfRule type="cellIs" dxfId="15" priority="30" operator="equal">
      <formula>0</formula>
    </cfRule>
  </conditionalFormatting>
  <pageMargins left="0.75" right="0.75" top="1" bottom="1" header="0.511811023622047" footer="0.511811023622047"/>
  <pageSetup paperSize="9" orientation="portrait" horizontalDpi="300" verticalDpi="300"/>
  <drawing r:id="rId1"/>
  <extLst>
    <ext xmlns:x14="http://schemas.microsoft.com/office/spreadsheetml/2009/9/main" uri="{78C0D931-6437-407d-A8EE-F0AAD7539E65}">
      <x14:conditionalFormattings>
        <x14:conditionalFormatting xmlns:xm="http://schemas.microsoft.com/office/excel/2006/main">
          <x14:cfRule type="dataBar" id="{BBA5B93A-17F4-4FD1-996C-F76C30C4712B}">
            <x14:dataBar axisPosition="none">
              <x14:cfvo type="num">
                <xm:f>0</xm:f>
              </x14:cfvo>
              <x14:cfvo type="num">
                <xm:f>100</xm:f>
              </x14:cfvo>
              <x14:negativeFillColor rgb="FF2E86C1"/>
            </x14:dataBar>
          </x14:cfRule>
          <xm:sqref>C13</xm:sqref>
        </x14:conditionalFormatting>
        <x14:conditionalFormatting xmlns:xm="http://schemas.microsoft.com/office/excel/2006/main">
          <x14:cfRule type="dataBar" id="{B9D33C20-41B9-4236-8350-2979DB17B880}">
            <x14:dataBar axisPosition="none">
              <x14:cfvo type="num">
                <xm:f>0</xm:f>
              </x14:cfvo>
              <x14:cfvo type="num">
                <xm:f>100</xm:f>
              </x14:cfvo>
              <x14:negativeFillColor rgb="FF1E8449"/>
            </x14:dataBar>
          </x14:cfRule>
          <xm:sqref>C14</xm:sqref>
        </x14:conditionalFormatting>
        <x14:conditionalFormatting xmlns:xm="http://schemas.microsoft.com/office/excel/2006/main">
          <x14:cfRule type="dataBar" id="{833E6052-817F-4D40-8339-3599793033D7}">
            <x14:dataBar axisPosition="none">
              <x14:cfvo type="num">
                <xm:f>0</xm:f>
              </x14:cfvo>
              <x14:cfvo type="num">
                <xm:f>100</xm:f>
              </x14:cfvo>
              <x14:negativeFillColor rgb="FF6C3483"/>
            </x14:dataBar>
          </x14:cfRule>
          <xm:sqref>C15</xm:sqref>
        </x14:conditionalFormatting>
        <x14:conditionalFormatting xmlns:xm="http://schemas.microsoft.com/office/excel/2006/main">
          <x14:cfRule type="dataBar" id="{6F722738-F8BA-43DE-BE30-88555419E6FB}">
            <x14:dataBar axisPosition="none">
              <x14:cfvo type="num">
                <xm:f>0</xm:f>
              </x14:cfvo>
              <x14:cfvo type="num">
                <xm:f>100</xm:f>
              </x14:cfvo>
              <x14:negativeFillColor rgb="FF0E6655"/>
            </x14:dataBar>
          </x14:cfRule>
          <xm:sqref>C16</xm:sqref>
        </x14:conditionalFormatting>
        <x14:conditionalFormatting xmlns:xm="http://schemas.microsoft.com/office/excel/2006/main">
          <x14:cfRule type="dataBar" id="{A633D354-6C96-456C-8786-AA3B807577A3}">
            <x14:dataBar axisPosition="none">
              <x14:cfvo type="num">
                <xm:f>0</xm:f>
              </x14:cfvo>
              <x14:cfvo type="num">
                <xm:f>100</xm:f>
              </x14:cfvo>
              <x14:negativeFillColor rgb="FF7D6608"/>
            </x14:dataBar>
          </x14:cfRule>
          <xm:sqref>C17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11">
    <tabColor rgb="FFC00000"/>
  </sheetPr>
  <dimension ref="A1:G88"/>
  <sheetViews>
    <sheetView showGridLines="0" topLeftCell="A80" zoomScaleNormal="100" workbookViewId="0">
      <selection activeCell="A88" sqref="A88"/>
    </sheetView>
  </sheetViews>
  <sheetFormatPr defaultColWidth="8.6328125" defaultRowHeight="14.5" x14ac:dyDescent="0.35"/>
  <cols>
    <col min="1" max="1" width="46" style="272" customWidth="1"/>
    <col min="2" max="2" width="14" style="272" customWidth="1"/>
    <col min="3" max="3" width="16" style="272" customWidth="1"/>
    <col min="4" max="4" width="18" style="272" customWidth="1"/>
    <col min="5" max="6" width="22" style="272" customWidth="1"/>
    <col min="7" max="7" width="44.81640625" style="272" bestFit="1" customWidth="1"/>
    <col min="8" max="16384" width="8.6328125" style="272"/>
  </cols>
  <sheetData>
    <row r="1" spans="1:7" ht="36" customHeight="1" x14ac:dyDescent="0.35">
      <c r="A1" s="309" t="s">
        <v>123</v>
      </c>
      <c r="B1" s="309"/>
      <c r="C1" s="309"/>
      <c r="D1" s="309"/>
      <c r="E1" s="309"/>
      <c r="F1" s="309"/>
      <c r="G1" s="309"/>
    </row>
    <row r="2" spans="1:7" ht="18" customHeight="1" x14ac:dyDescent="0.35">
      <c r="A2" s="310" t="s">
        <v>124</v>
      </c>
      <c r="B2" s="310"/>
      <c r="C2" s="310"/>
      <c r="D2" s="310"/>
      <c r="E2" s="310"/>
      <c r="F2" s="310"/>
      <c r="G2" s="310"/>
    </row>
    <row r="3" spans="1:7" ht="7.5" customHeight="1" x14ac:dyDescent="0.35"/>
    <row r="4" spans="1:7" ht="25.5" customHeight="1" x14ac:dyDescent="0.35">
      <c r="A4" s="308" t="s">
        <v>125</v>
      </c>
      <c r="B4" s="308"/>
      <c r="C4" s="308"/>
      <c r="D4" s="308"/>
      <c r="E4" s="308"/>
      <c r="F4" s="308"/>
      <c r="G4" s="308"/>
    </row>
    <row r="5" spans="1:7" ht="21.75" customHeight="1" x14ac:dyDescent="0.35">
      <c r="A5" s="273" t="s">
        <v>126</v>
      </c>
      <c r="B5" s="273" t="s">
        <v>127</v>
      </c>
      <c r="C5" s="273" t="s">
        <v>76</v>
      </c>
      <c r="D5" s="273" t="s">
        <v>128</v>
      </c>
      <c r="E5" s="273" t="s">
        <v>129</v>
      </c>
      <c r="F5" s="273" t="s">
        <v>130</v>
      </c>
      <c r="G5" s="273" t="s">
        <v>131</v>
      </c>
    </row>
    <row r="6" spans="1:7" ht="24" customHeight="1" x14ac:dyDescent="0.35">
      <c r="A6" s="274" t="s">
        <v>132</v>
      </c>
      <c r="B6" s="275">
        <f>COUNTIFS(FMEA_DATA!$I$4:$I$18,"&gt;="&amp;200,FMEA_DATA!$M$4:$M$18,"OPEN")</f>
        <v>3</v>
      </c>
      <c r="C6" s="276" t="s">
        <v>81</v>
      </c>
      <c r="D6" s="277" t="str">
        <f>IF(B6=0,"✓ ALL CLEAR",IF(B6&lt;=1,"⚠  REVIEW","🔴 ESCALATE"))</f>
        <v>🔴 ESCALATE</v>
      </c>
      <c r="E6" s="276" t="s">
        <v>133</v>
      </c>
      <c r="F6" s="278" t="s">
        <v>134</v>
      </c>
      <c r="G6" s="278" t="s">
        <v>135</v>
      </c>
    </row>
    <row r="7" spans="1:7" ht="24" customHeight="1" x14ac:dyDescent="0.35">
      <c r="A7" s="274" t="s">
        <v>136</v>
      </c>
      <c r="B7" s="275">
        <f>COUNTIFS(FMEA_DATA!$I$4:$I$18,"&gt;="&amp;100,FMEA_DATA!$I$4:$I$18,"&lt;"&amp;200,FMEA_DATA!$M$4:$M$18,"OPEN")</f>
        <v>8</v>
      </c>
      <c r="C7" s="276" t="s">
        <v>81</v>
      </c>
      <c r="D7" s="277" t="str">
        <f>IF(B7=0,"✓ ALL CLEAR","🔴 ESCALATE")</f>
        <v>🔴 ESCALATE</v>
      </c>
      <c r="E7" s="276" t="s">
        <v>137</v>
      </c>
      <c r="F7" s="278" t="s">
        <v>138</v>
      </c>
      <c r="G7" s="278" t="s">
        <v>139</v>
      </c>
    </row>
    <row r="8" spans="1:7" ht="24" customHeight="1" x14ac:dyDescent="0.35">
      <c r="A8" s="274" t="s">
        <v>140</v>
      </c>
      <c r="B8" s="275">
        <f ca="1">IFERROR(_xludf.maxifs(FMEA_DATA!$I$4:$I$18,FMEA_DATA!$M$4:$M$18,"OPEN"),0)</f>
        <v>0</v>
      </c>
      <c r="C8" s="276" t="s">
        <v>81</v>
      </c>
      <c r="D8" s="277" t="str">
        <f ca="1">IF(ISNUMBER(B8),IF(B8&lt;100,"✓ WITHIN LIMIT","🔴 ABOVE LIMIT"),"—")</f>
        <v>✓ WITHIN LIMIT</v>
      </c>
      <c r="E8" s="276" t="s">
        <v>141</v>
      </c>
      <c r="F8" s="278" t="s">
        <v>142</v>
      </c>
      <c r="G8" s="278" t="s">
        <v>81</v>
      </c>
    </row>
    <row r="9" spans="1:7" ht="24" customHeight="1" x14ac:dyDescent="0.35">
      <c r="A9" s="274" t="s">
        <v>143</v>
      </c>
      <c r="B9" s="275">
        <f>COUNTIFS(CASE_DATA!$B$4:$B$23,"1-CRITICAL",CASE_DATA!$G$4:$G$23,"OPEN")</f>
        <v>0</v>
      </c>
      <c r="C9" s="276" t="s">
        <v>89</v>
      </c>
      <c r="D9" s="277" t="str">
        <f>IF(B9=0,"✓ ALL CLEAR","🔴 ESCALATE")</f>
        <v>✓ ALL CLEAR</v>
      </c>
      <c r="E9" s="276" t="s">
        <v>133</v>
      </c>
      <c r="F9" s="278" t="s">
        <v>144</v>
      </c>
      <c r="G9" s="278" t="s">
        <v>145</v>
      </c>
    </row>
    <row r="10" spans="1:7" ht="24" customHeight="1" x14ac:dyDescent="0.35">
      <c r="A10" s="274" t="s">
        <v>146</v>
      </c>
      <c r="B10" s="275">
        <f>COUNTIFS(CASE_DATA!$B$4:$B$23,"2-HIGH",CASE_DATA!$G$4:$G$23,"OPEN")</f>
        <v>0</v>
      </c>
      <c r="C10" s="276" t="s">
        <v>89</v>
      </c>
      <c r="D10" s="277" t="str">
        <f>IF(B10=0,"✓ ALL CLEAR","🔴 ESCALATE")</f>
        <v>✓ ALL CLEAR</v>
      </c>
      <c r="E10" s="276" t="s">
        <v>147</v>
      </c>
      <c r="F10" s="278" t="s">
        <v>148</v>
      </c>
      <c r="G10" s="278" t="s">
        <v>149</v>
      </c>
    </row>
    <row r="11" spans="1:7" ht="24" customHeight="1" x14ac:dyDescent="0.35">
      <c r="A11" s="274" t="s">
        <v>150</v>
      </c>
      <c r="B11" s="275">
        <f>COUNTIF(CASE_DATA!$G$4:$G$23,"OPEN")</f>
        <v>18</v>
      </c>
      <c r="C11" s="276" t="s">
        <v>89</v>
      </c>
      <c r="D11" s="277" t="str">
        <f>IF(ISNUMBER(B11),IF(B11&lt;5,"✓ WITHIN LIMIT","🔴 ABOVE LIMIT"),"—")</f>
        <v>🔴 ABOVE LIMIT</v>
      </c>
      <c r="E11" s="276" t="s">
        <v>151</v>
      </c>
      <c r="F11" s="278" t="s">
        <v>152</v>
      </c>
      <c r="G11" s="278" t="s">
        <v>153</v>
      </c>
    </row>
    <row r="12" spans="1:7" ht="24" customHeight="1" x14ac:dyDescent="0.35">
      <c r="A12" s="274" t="s">
        <v>154</v>
      </c>
      <c r="B12" s="275">
        <f>COUNTIF(SDLC_DATA!$G$4:$G$19,"BLOCKED")</f>
        <v>1</v>
      </c>
      <c r="C12" s="276" t="s">
        <v>93</v>
      </c>
      <c r="D12" s="277" t="str">
        <f>IF(B12=0,"✓ ALL CLEAR","🔴 ESCALATE")</f>
        <v>🔴 ESCALATE</v>
      </c>
      <c r="E12" s="276" t="s">
        <v>133</v>
      </c>
      <c r="F12" s="278" t="s">
        <v>155</v>
      </c>
      <c r="G12" s="278" t="s">
        <v>156</v>
      </c>
    </row>
    <row r="13" spans="1:7" ht="24" customHeight="1" x14ac:dyDescent="0.35">
      <c r="A13" s="274" t="s">
        <v>157</v>
      </c>
      <c r="B13" s="275">
        <f>IFERROR(ROUND(AVERAGEIF(SDLC_DATA!$F$4:$F$19,"&gt;"&amp;0)*100,1),0)</f>
        <v>72.5</v>
      </c>
      <c r="C13" s="276" t="s">
        <v>93</v>
      </c>
      <c r="D13" s="277" t="str">
        <f>IF(ISNUMBER(B13),IF(B13&gt;=80,"✓ TARGET MET","⚠  BELOW TARGET"),"—")</f>
        <v>⚠  BELOW TARGET</v>
      </c>
      <c r="E13" s="276" t="s">
        <v>158</v>
      </c>
      <c r="F13" s="278" t="s">
        <v>159</v>
      </c>
      <c r="G13" s="278" t="s">
        <v>160</v>
      </c>
    </row>
    <row r="14" spans="1:7" ht="24" customHeight="1" x14ac:dyDescent="0.35">
      <c r="A14" s="274" t="s">
        <v>161</v>
      </c>
      <c r="B14" s="275">
        <f>COUNTIF(PDCA_DATA!$F$6:$F$38,"COMPLETE")</f>
        <v>0</v>
      </c>
      <c r="C14" s="276" t="s">
        <v>108</v>
      </c>
      <c r="D14" s="277" t="str">
        <f>IF(ISNUMBER(B14),IF(B14&gt;=3,"✓ TARGET MET","⚠  BELOW TARGET"),"—")</f>
        <v>⚠  BELOW TARGET</v>
      </c>
      <c r="E14" s="276" t="s">
        <v>162</v>
      </c>
      <c r="F14" s="278" t="s">
        <v>163</v>
      </c>
      <c r="G14" s="278" t="s">
        <v>153</v>
      </c>
    </row>
    <row r="15" spans="1:7" ht="24" customHeight="1" x14ac:dyDescent="0.35">
      <c r="A15" s="274" t="s">
        <v>164</v>
      </c>
      <c r="B15" s="275">
        <f>COUNTIF(PDCA_DATA!$F$6:$F$38,"BLOCKED")</f>
        <v>0</v>
      </c>
      <c r="C15" s="276" t="s">
        <v>108</v>
      </c>
      <c r="D15" s="277" t="str">
        <f>IF(B15=0,"✓ ALL CLEAR","🔴 ESCALATE")</f>
        <v>✓ ALL CLEAR</v>
      </c>
      <c r="E15" s="276" t="s">
        <v>133</v>
      </c>
      <c r="F15" s="278" t="s">
        <v>165</v>
      </c>
      <c r="G15" s="278" t="s">
        <v>166</v>
      </c>
    </row>
    <row r="16" spans="1:7" ht="24" customHeight="1" x14ac:dyDescent="0.35">
      <c r="A16" s="274" t="s">
        <v>167</v>
      </c>
      <c r="B16" s="275" t="str">
        <f ca="1">IFERROR(LOOKUP(2,1/(SS_DATA!$G$5:$G$12&lt;&gt;""),SS_DATA!$G$5:$G$12),"No data")</f>
        <v>No data</v>
      </c>
      <c r="C16" s="276" t="s">
        <v>105</v>
      </c>
      <c r="D16" s="277" t="str">
        <f ca="1">IF(B16=0,"✓ ALL CLEAR","🔴 ESCALATE")</f>
        <v>🔴 ESCALATE</v>
      </c>
      <c r="E16" s="276" t="str">
        <f>IFERROR(SS_DATA!$H$5&amp;"σ","4.5σ")</f>
        <v>4.5σ</v>
      </c>
      <c r="F16" s="278" t="s">
        <v>168</v>
      </c>
      <c r="G16" s="278" t="s">
        <v>169</v>
      </c>
    </row>
    <row r="17" spans="1:7" ht="24" customHeight="1" x14ac:dyDescent="0.35">
      <c r="A17" s="274" t="s">
        <v>170</v>
      </c>
      <c r="B17" s="275">
        <f ca="1">COUNTIFS(SS_DATA!$G$5:$G$12,"&lt;"&amp;SS_DATA!$H$5,SS_DATA!$G$5:$G$12,"&gt;"&amp;0)</f>
        <v>0</v>
      </c>
      <c r="C17" s="276" t="s">
        <v>105</v>
      </c>
      <c r="D17" s="277" t="str">
        <f ca="1">IF(B17=0,"✓ ALL CLEAR","🔴 ESCALATE")</f>
        <v>✓ ALL CLEAR</v>
      </c>
      <c r="E17" s="276" t="s">
        <v>133</v>
      </c>
      <c r="F17" s="278" t="s">
        <v>171</v>
      </c>
      <c r="G17" s="278" t="s">
        <v>172</v>
      </c>
    </row>
    <row r="18" spans="1:7" ht="24" customHeight="1" x14ac:dyDescent="0.35">
      <c r="A18" s="274" t="s">
        <v>173</v>
      </c>
      <c r="B18" s="275">
        <f>COUNTIF(WASTE_DATA!$C$4:$C$11,"YES")</f>
        <v>6</v>
      </c>
      <c r="C18" s="276" t="s">
        <v>119</v>
      </c>
      <c r="D18" s="277" t="str">
        <f>IF(ISNUMBER(B18),IF(B18&lt;3,"✓ WITHIN LIMIT","🔴 ABOVE LIMIT"),"—")</f>
        <v>🔴 ABOVE LIMIT</v>
      </c>
      <c r="E18" s="276" t="s">
        <v>174</v>
      </c>
      <c r="F18" s="278" t="s">
        <v>175</v>
      </c>
      <c r="G18" s="278" t="s">
        <v>176</v>
      </c>
    </row>
    <row r="19" spans="1:7" ht="24" customHeight="1" x14ac:dyDescent="0.35">
      <c r="A19" s="274" t="s">
        <v>177</v>
      </c>
      <c r="B19" s="275">
        <f>COUNTIFS(WASTE_DATA!$C$4:$C$11,"YES",WASTE_DATA!$F$4:$F$11,"&gt;="&amp;4)</f>
        <v>5</v>
      </c>
      <c r="C19" s="276" t="s">
        <v>119</v>
      </c>
      <c r="D19" s="277" t="str">
        <f>IF(B19=0,"✓ ALL CLEAR","🔴 ESCALATE")</f>
        <v>🔴 ESCALATE</v>
      </c>
      <c r="E19" s="276" t="s">
        <v>133</v>
      </c>
      <c r="F19" s="278" t="s">
        <v>178</v>
      </c>
      <c r="G19" s="278" t="s">
        <v>179</v>
      </c>
    </row>
    <row r="20" spans="1:7" ht="24" customHeight="1" x14ac:dyDescent="0.35">
      <c r="A20" s="274" t="s">
        <v>180</v>
      </c>
      <c r="B20" s="275">
        <f>COUNTIF(AGILE_DATA!$H$9:$H$23,"BLOCKED")</f>
        <v>0</v>
      </c>
      <c r="C20" s="276" t="s">
        <v>97</v>
      </c>
      <c r="D20" s="277" t="str">
        <f>IF(B20=0,"✓ ALL CLEAR","🔴 ESCALATE")</f>
        <v>✓ ALL CLEAR</v>
      </c>
      <c r="E20" s="276" t="s">
        <v>133</v>
      </c>
      <c r="F20" s="278" t="s">
        <v>181</v>
      </c>
      <c r="G20" s="278" t="s">
        <v>182</v>
      </c>
    </row>
    <row r="21" spans="1:7" ht="24" customHeight="1" x14ac:dyDescent="0.35">
      <c r="A21" s="274" t="s">
        <v>183</v>
      </c>
      <c r="B21" s="275">
        <f>COUNTIF(AGILE_DATA!$I$9:$I$23,"YES")</f>
        <v>3</v>
      </c>
      <c r="C21" s="276" t="s">
        <v>97</v>
      </c>
      <c r="D21" s="277" t="str">
        <f>IF(ISNUMBER(B21),IF(B21&gt;0,"✓ ACTIVE","⚠  NONE YET"),"—")</f>
        <v>✓ ACTIVE</v>
      </c>
      <c r="E21" s="276" t="s">
        <v>184</v>
      </c>
      <c r="F21" s="278" t="s">
        <v>185</v>
      </c>
      <c r="G21" s="278" t="s">
        <v>186</v>
      </c>
    </row>
    <row r="22" spans="1:7" ht="24" customHeight="1" x14ac:dyDescent="0.35">
      <c r="A22" s="274" t="s">
        <v>187</v>
      </c>
      <c r="B22" s="275">
        <f>COUNTIF(AZ_DATA!$K$17:$K$28,"Active")</f>
        <v>7</v>
      </c>
      <c r="C22" s="276" t="s">
        <v>101</v>
      </c>
      <c r="D22" s="277" t="str">
        <f>IF(B22=0,"✓ ALL CLEAR","🔴 ESCALATE")</f>
        <v>🔴 ESCALATE</v>
      </c>
      <c r="E22" s="276" t="s">
        <v>188</v>
      </c>
      <c r="F22" s="278" t="s">
        <v>189</v>
      </c>
      <c r="G22" s="278" t="s">
        <v>101</v>
      </c>
    </row>
    <row r="23" spans="1:7" ht="24" customHeight="1" x14ac:dyDescent="0.35">
      <c r="A23" s="274" t="s">
        <v>190</v>
      </c>
      <c r="B23" s="275">
        <f>COUNTIFS(AZ_DATA!$B$17:$B$28,"Bug",AZ_DATA!$K$17:$K$28,"Active")</f>
        <v>1</v>
      </c>
      <c r="C23" s="276" t="s">
        <v>101</v>
      </c>
      <c r="D23" s="277" t="str">
        <f>IF(ISNUMBER(B23),IF(B23&lt;3,"✓ WITHIN LIMIT","🔴 ABOVE LIMIT"),"—")</f>
        <v>✓ WITHIN LIMIT</v>
      </c>
      <c r="E23" s="276" t="s">
        <v>174</v>
      </c>
      <c r="F23" s="278" t="s">
        <v>191</v>
      </c>
      <c r="G23" s="278" t="s">
        <v>192</v>
      </c>
    </row>
    <row r="24" spans="1:7" ht="24" customHeight="1" x14ac:dyDescent="0.35">
      <c r="A24" s="274" t="s">
        <v>193</v>
      </c>
      <c r="B24" s="275">
        <f>COUNTA(LOG_DATA!$C$4:$C$53)</f>
        <v>6</v>
      </c>
      <c r="C24" s="276" t="s">
        <v>112</v>
      </c>
      <c r="D24" s="277" t="str">
        <f>IF(ISNUMBER(B24),IF(B24&gt;=10,"✓ TARGET MET","⚠  BELOW TARGET"),"—")</f>
        <v>⚠  BELOW TARGET</v>
      </c>
      <c r="E24" s="276" t="s">
        <v>194</v>
      </c>
      <c r="F24" s="278" t="s">
        <v>195</v>
      </c>
      <c r="G24" s="278" t="s">
        <v>112</v>
      </c>
    </row>
    <row r="25" spans="1:7" ht="24" customHeight="1" x14ac:dyDescent="0.35">
      <c r="A25" s="274" t="s">
        <v>196</v>
      </c>
      <c r="B25" s="275">
        <f>COUNTIF(LOG_DATA!$H$4:$H$53,"DONE")</f>
        <v>4</v>
      </c>
      <c r="C25" s="276" t="s">
        <v>112</v>
      </c>
      <c r="D25" s="277" t="str">
        <f>IF(ISNUMBER(B25),IF(B25&gt;0,"✓ ACTIVE","⚠  NONE YET"),"—")</f>
        <v>✓ ACTIVE</v>
      </c>
      <c r="E25" s="276" t="s">
        <v>197</v>
      </c>
      <c r="F25" s="278" t="s">
        <v>198</v>
      </c>
      <c r="G25" s="278" t="s">
        <v>199</v>
      </c>
    </row>
    <row r="26" spans="1:7" ht="24" customHeight="1" x14ac:dyDescent="0.35">
      <c r="A26" s="274" t="s">
        <v>200</v>
      </c>
      <c r="B26" s="275">
        <f>COUNTA(FISHBONE!$B$9:$B$47)-COUNTBLANK(FISHBONE!$B$9:$B$47)</f>
        <v>29</v>
      </c>
      <c r="C26" s="276" t="s">
        <v>201</v>
      </c>
      <c r="D26" s="277" t="str">
        <f>IF(ISNUMBER(B26),IF(B26&gt;=10,"✓ TARGET MET","⚠  BELOW TARGET"),"—")</f>
        <v>✓ TARGET MET</v>
      </c>
      <c r="E26" s="276" t="s">
        <v>194</v>
      </c>
      <c r="F26" s="278" t="s">
        <v>202</v>
      </c>
      <c r="G26" s="278" t="s">
        <v>203</v>
      </c>
    </row>
    <row r="27" spans="1:7" ht="24" customHeight="1" x14ac:dyDescent="0.35">
      <c r="A27" s="274" t="s">
        <v>204</v>
      </c>
      <c r="B27" s="275">
        <f>IFERROR(ROUND(AVERAGE(METRICS!$E$4:$E$8),0),"—")</f>
        <v>29</v>
      </c>
      <c r="C27" s="276" t="s">
        <v>205</v>
      </c>
      <c r="D27" s="277" t="str">
        <f>IF(ISNUMBER(B27),IF(B27&gt;=60,"✓ TARGET MET","⚠  BELOW TARGET"),"—")</f>
        <v>⚠  BELOW TARGET</v>
      </c>
      <c r="E27" s="276" t="s">
        <v>206</v>
      </c>
      <c r="F27" s="278" t="s">
        <v>207</v>
      </c>
      <c r="G27" s="278" t="s">
        <v>208</v>
      </c>
    </row>
    <row r="29" spans="1:7" ht="25.5" customHeight="1" x14ac:dyDescent="0.35">
      <c r="A29" s="308" t="s">
        <v>209</v>
      </c>
      <c r="B29" s="308"/>
      <c r="C29" s="308"/>
      <c r="D29" s="308"/>
      <c r="E29" s="308"/>
      <c r="F29" s="308"/>
      <c r="G29" s="308"/>
    </row>
    <row r="30" spans="1:7" ht="21.75" customHeight="1" x14ac:dyDescent="0.35">
      <c r="A30" s="273" t="s">
        <v>210</v>
      </c>
      <c r="B30" s="273" t="s">
        <v>73</v>
      </c>
      <c r="C30" s="273" t="s">
        <v>211</v>
      </c>
      <c r="D30" s="273" t="s">
        <v>212</v>
      </c>
      <c r="E30" s="273" t="s">
        <v>213</v>
      </c>
      <c r="F30" s="273" t="s">
        <v>214</v>
      </c>
      <c r="G30" s="273" t="s">
        <v>215</v>
      </c>
    </row>
    <row r="31" spans="1:7" ht="19.5" customHeight="1" x14ac:dyDescent="0.35">
      <c r="A31" s="274" t="s">
        <v>216</v>
      </c>
      <c r="B31" s="276">
        <f>COUNTIF(FMEA_DATA!$J$4:$J$18,"1-CRITICAL*")</f>
        <v>5</v>
      </c>
      <c r="C31" s="279">
        <f>IFERROR(B31/COUNTA(FMEA_DATA!$B$4:$B$18)*100,0)</f>
        <v>50</v>
      </c>
      <c r="D31" s="276">
        <f>COUNTIFS(FMEA_DATA!$J$4:$J$18,"1-CRITICAL*",FMEA_DATA!$M$4:$M$18,"OPEN")</f>
        <v>3</v>
      </c>
      <c r="E31" s="276">
        <f>COUNTIFS(FMEA_DATA!$J$4:$J$18,"1-CRITICAL*",FMEA_DATA!$M$4:$M$18,"IN PROGRESS")</f>
        <v>2</v>
      </c>
      <c r="F31" s="276">
        <f>COUNTIFS(FMEA_DATA!$J$4:$J$18,"1-CRITICAL*",FMEA_DATA!$M$4:$M$18,"RESOLVED")+COUNTIFS(FMEA_DATA!$J$4:$J$18,"1-CRITICAL*",FMEA_DATA!$M$4:$M$18,"CLOSED")</f>
        <v>0</v>
      </c>
      <c r="G31" s="278" t="s">
        <v>217</v>
      </c>
    </row>
    <row r="32" spans="1:7" ht="19.5" customHeight="1" x14ac:dyDescent="0.35">
      <c r="A32" s="274" t="s">
        <v>218</v>
      </c>
      <c r="B32" s="276">
        <f>COUNTIF(FMEA_DATA!$J$4:$J$18,"2-HIGH*")</f>
        <v>9</v>
      </c>
      <c r="C32" s="279">
        <f>IFERROR(B32/COUNTA(FMEA_DATA!$B$4:$B$18)*100,0)</f>
        <v>90</v>
      </c>
      <c r="D32" s="276">
        <f>COUNTIFS(FMEA_DATA!$J$4:$J$18,"2-HIGH*",FMEA_DATA!$M$4:$M$18,"OPEN")</f>
        <v>8</v>
      </c>
      <c r="E32" s="276">
        <f>COUNTIFS(FMEA_DATA!$J$4:$J$18,"2-HIGH*",FMEA_DATA!$M$4:$M$18,"IN PROGRESS")</f>
        <v>1</v>
      </c>
      <c r="F32" s="276">
        <f>COUNTIFS(FMEA_DATA!$J$4:$J$18,"2-HIGH*",FMEA_DATA!$M$4:$M$18,"RESOLVED")+COUNTIFS(FMEA_DATA!$J$4:$J$18,"2-HIGH*",FMEA_DATA!$M$4:$M$18,"CLOSED")</f>
        <v>0</v>
      </c>
      <c r="G32" s="278" t="s">
        <v>219</v>
      </c>
    </row>
    <row r="33" spans="1:7" ht="19.5" customHeight="1" x14ac:dyDescent="0.35">
      <c r="A33" s="274" t="s">
        <v>220</v>
      </c>
      <c r="B33" s="276">
        <f>COUNTIF(FMEA_DATA!$J$4:$J$18,"3-MEDIUM*")</f>
        <v>1</v>
      </c>
      <c r="C33" s="279">
        <f>IFERROR(B33/COUNTA(FMEA_DATA!$B$4:$B$18)*100,0)</f>
        <v>10</v>
      </c>
      <c r="D33" s="276">
        <f>COUNTIFS(FMEA_DATA!$J$4:$J$18,"3-MEDIUM*",FMEA_DATA!$M$4:$M$18,"OPEN")</f>
        <v>1</v>
      </c>
      <c r="E33" s="276">
        <f>COUNTIFS(FMEA_DATA!$J$4:$J$18,"3-MEDIUM*",FMEA_DATA!$M$4:$M$18,"IN PROGRESS")</f>
        <v>0</v>
      </c>
      <c r="F33" s="276">
        <f>COUNTIFS(FMEA_DATA!$J$4:$J$18,"3-MEDIUM*",FMEA_DATA!$M$4:$M$18,"RESOLVED")+COUNTIFS(FMEA_DATA!$J$4:$J$18,"3-MEDIUM*",FMEA_DATA!$M$4:$M$18,"CLOSED")</f>
        <v>0</v>
      </c>
      <c r="G33" s="278" t="s">
        <v>221</v>
      </c>
    </row>
    <row r="34" spans="1:7" ht="19.5" customHeight="1" x14ac:dyDescent="0.35">
      <c r="A34" s="274" t="s">
        <v>222</v>
      </c>
      <c r="B34" s="276">
        <f>COUNTIF(FMEA_DATA!$J$4:$J$18,"4-LOW*")</f>
        <v>0</v>
      </c>
      <c r="C34" s="279">
        <f>IFERROR(B34/COUNTA(FMEA_DATA!$B$4:$B$18)*100,0)</f>
        <v>0</v>
      </c>
      <c r="D34" s="276">
        <f>COUNTIFS(FMEA_DATA!$J$4:$J$18,"4-LOW*",FMEA_DATA!$M$4:$M$18,"OPEN")</f>
        <v>0</v>
      </c>
      <c r="E34" s="276">
        <f>COUNTIFS(FMEA_DATA!$J$4:$J$18,"4-LOW*",FMEA_DATA!$M$4:$M$18,"IN PROGRESS")</f>
        <v>0</v>
      </c>
      <c r="F34" s="276">
        <f>COUNTIFS(FMEA_DATA!$J$4:$J$18,"4-LOW*",FMEA_DATA!$M$4:$M$18,"RESOLVED")+COUNTIFS(FMEA_DATA!$J$4:$J$18,"4-LOW*",FMEA_DATA!$M$4:$M$18,"CLOSED")</f>
        <v>0</v>
      </c>
      <c r="G34" s="278" t="s">
        <v>223</v>
      </c>
    </row>
    <row r="35" spans="1:7" ht="21.75" customHeight="1" x14ac:dyDescent="0.35">
      <c r="A35" s="274" t="s">
        <v>224</v>
      </c>
      <c r="B35" s="273">
        <f>COUNTA(FMEA_DATA!$B$4:$B$18)</f>
        <v>10</v>
      </c>
      <c r="C35" s="273" t="s">
        <v>225</v>
      </c>
      <c r="D35" s="273">
        <f>COUNTIF(FMEA_DATA!$M$4:$M$18,"OPEN")</f>
        <v>12</v>
      </c>
      <c r="E35" s="273">
        <f>COUNTIF(FMEA_DATA!$M$4:$M$18,"IN PROGRESS")</f>
        <v>3</v>
      </c>
      <c r="F35" s="273">
        <f>COUNTIF(FMEA_DATA!$M$4:$M$18,"RESOLVED")+COUNTIF(FMEA_DATA!$M$4:$M$18,"CLOSED")</f>
        <v>0</v>
      </c>
      <c r="G35" s="273" t="str">
        <f>IF(COUNTIF(FMEA_DATA!$M$4:$M$18,"OPEN")=0,"✓ All risks resolved or closed","⚠ "&amp;COUNTIF(FMEA_DATA!$M$4:$M$18,"OPEN")&amp;" open — review FMEA register")</f>
        <v>⚠ 12 open — review FMEA register</v>
      </c>
    </row>
    <row r="37" spans="1:7" ht="25.5" customHeight="1" x14ac:dyDescent="0.35">
      <c r="A37" s="308" t="s">
        <v>226</v>
      </c>
      <c r="B37" s="308"/>
      <c r="C37" s="308"/>
      <c r="D37" s="308"/>
      <c r="E37" s="308"/>
      <c r="F37" s="308"/>
      <c r="G37" s="308"/>
    </row>
    <row r="38" spans="1:7" ht="21.75" customHeight="1" x14ac:dyDescent="0.35">
      <c r="A38" s="273" t="s">
        <v>227</v>
      </c>
      <c r="B38" s="273" t="s">
        <v>228</v>
      </c>
      <c r="C38" s="273" t="s">
        <v>229</v>
      </c>
      <c r="D38" s="273" t="s">
        <v>230</v>
      </c>
      <c r="E38" s="273" t="s">
        <v>231</v>
      </c>
      <c r="F38" s="273" t="s">
        <v>232</v>
      </c>
      <c r="G38" s="273" t="s">
        <v>233</v>
      </c>
    </row>
    <row r="39" spans="1:7" ht="19.5" customHeight="1" x14ac:dyDescent="0.35">
      <c r="A39" s="280" t="s">
        <v>234</v>
      </c>
      <c r="B39" s="281">
        <f>COUNTIF(SDLC_DATA!$A$4:$A$19,"Planning")</f>
        <v>3</v>
      </c>
      <c r="C39" s="281" t="str">
        <f>IF(COUNTIFS(SDLC_DATA!$A$4:$A$19,"Planning",SDLC_DATA!$G$4:$G$19,"BLOCKED")&gt;0,"🔴 BLOCKED","✓ OK")</f>
        <v>✓ OK</v>
      </c>
      <c r="D39" s="281" t="str">
        <f>IFERROR(ROUND(AVERAGEIFS(SDLC_DATA!$F$4:$F$19,SDLC_DATA!$A$4:$A$19,"Planning")*100,0)&amp;" %","—")</f>
        <v>95 %</v>
      </c>
      <c r="E39" s="281">
        <f>COUNTIF(FMEA_DATA!$M$4:$M$18,"OPEN")</f>
        <v>12</v>
      </c>
      <c r="F39" s="281">
        <f>COUNTIF(AGILE_DATA!$H$9:$H$23,"BLOCKED")</f>
        <v>0</v>
      </c>
      <c r="G39" s="281">
        <f>COUNTIF(AZ_DATA!$K$17:$K$28,"Active")</f>
        <v>7</v>
      </c>
    </row>
    <row r="40" spans="1:7" ht="19.5" customHeight="1" x14ac:dyDescent="0.35">
      <c r="A40" s="280" t="s">
        <v>235</v>
      </c>
      <c r="B40" s="281">
        <f>COUNTIF(SDLC_DATA!$A$4:$A$19,"Design")</f>
        <v>3</v>
      </c>
      <c r="C40" s="281" t="str">
        <f>IF(COUNTIFS(SDLC_DATA!$A$4:$A$19,"Design",SDLC_DATA!$G$4:$G$19,"BLOCKED")&gt;0,"🔴 BLOCKED","✓ OK")</f>
        <v>✓ OK</v>
      </c>
      <c r="D40" s="281" t="str">
        <f>IFERROR(ROUND(AVERAGEIFS(SDLC_DATA!$F$4:$F$19,SDLC_DATA!$A$4:$A$19,"Design")*100,0)&amp;" %","—")</f>
        <v>73 %</v>
      </c>
      <c r="E40" s="281">
        <f>COUNTIF(FMEA_DATA!$M$4:$M$18,"OPEN")</f>
        <v>12</v>
      </c>
      <c r="F40" s="281">
        <f>COUNTIF(AGILE_DATA!$H$9:$H$23,"BLOCKED")</f>
        <v>0</v>
      </c>
      <c r="G40" s="281">
        <f>COUNTIF(AZ_DATA!$K$17:$K$28,"Active")</f>
        <v>7</v>
      </c>
    </row>
    <row r="41" spans="1:7" ht="19.5" customHeight="1" x14ac:dyDescent="0.35">
      <c r="A41" s="280" t="s">
        <v>236</v>
      </c>
      <c r="B41" s="281">
        <f>COUNTIF(SDLC_DATA!$A$4:$A$19,"Development")</f>
        <v>3</v>
      </c>
      <c r="C41" s="281" t="str">
        <f>IF(COUNTIFS(SDLC_DATA!$A$4:$A$19,"Development",SDLC_DATA!$G$4:$G$19,"BLOCKED")&gt;0,"🔴 BLOCKED","✓ OK")</f>
        <v>🔴 BLOCKED</v>
      </c>
      <c r="D41" s="281" t="str">
        <f>IFERROR(ROUND(AVERAGEIFS(SDLC_DATA!$F$4:$F$19,SDLC_DATA!$A$4:$A$19,"Development")*100,0)&amp;" %","—")</f>
        <v>25 %</v>
      </c>
      <c r="E41" s="281">
        <f>COUNTIF(FMEA_DATA!$M$4:$M$18,"OPEN")</f>
        <v>12</v>
      </c>
      <c r="F41" s="281">
        <f>COUNTIF(AGILE_DATA!$H$9:$H$23,"BLOCKED")</f>
        <v>0</v>
      </c>
      <c r="G41" s="281">
        <f>COUNTIF(AZ_DATA!$K$17:$K$28,"Active")</f>
        <v>7</v>
      </c>
    </row>
    <row r="42" spans="1:7" ht="19.5" customHeight="1" x14ac:dyDescent="0.35">
      <c r="A42" s="280" t="s">
        <v>237</v>
      </c>
      <c r="B42" s="281">
        <f>COUNTIF(SDLC_DATA!$A$4:$A$19,"Testing")</f>
        <v>3</v>
      </c>
      <c r="C42" s="281" t="str">
        <f>IF(COUNTIFS(SDLC_DATA!$A$4:$A$19,"Testing",SDLC_DATA!$G$4:$G$19,"BLOCKED")&gt;0,"🔴 BLOCKED","✓ OK")</f>
        <v>✓ OK</v>
      </c>
      <c r="D42" s="281" t="str">
        <f>IFERROR(ROUND(AVERAGEIFS(SDLC_DATA!$F$4:$F$19,SDLC_DATA!$A$4:$A$19,"Testing")*100,0)&amp;" %","—")</f>
        <v>0 %</v>
      </c>
      <c r="E42" s="281">
        <f>COUNTIF(FMEA_DATA!$M$4:$M$18,"OPEN")</f>
        <v>12</v>
      </c>
      <c r="F42" s="281">
        <f>COUNTIF(AGILE_DATA!$H$9:$H$23,"BLOCKED")</f>
        <v>0</v>
      </c>
      <c r="G42" s="281">
        <f>COUNTIF(AZ_DATA!$K$17:$K$28,"Active")</f>
        <v>7</v>
      </c>
    </row>
    <row r="43" spans="1:7" ht="19.5" customHeight="1" x14ac:dyDescent="0.35">
      <c r="A43" s="280" t="s">
        <v>238</v>
      </c>
      <c r="B43" s="281">
        <f>COUNTIF(SDLC_DATA!$A$4:$A$19,"Deployment")</f>
        <v>2</v>
      </c>
      <c r="C43" s="281" t="str">
        <f>IF(COUNTIFS(SDLC_DATA!$A$4:$A$19,"Deployment",SDLC_DATA!$G$4:$G$19,"BLOCKED")&gt;0,"🔴 BLOCKED","✓ OK")</f>
        <v>✓ OK</v>
      </c>
      <c r="D43" s="281" t="str">
        <f>IFERROR(ROUND(AVERAGEIFS(SDLC_DATA!$F$4:$F$19,SDLC_DATA!$A$4:$A$19,"Deployment")*100,0)&amp;" %","—")</f>
        <v>0 %</v>
      </c>
      <c r="E43" s="281">
        <f>COUNTIF(FMEA_DATA!$M$4:$M$18,"OPEN")</f>
        <v>12</v>
      </c>
      <c r="F43" s="281">
        <f>COUNTIF(AGILE_DATA!$H$9:$H$23,"BLOCKED")</f>
        <v>0</v>
      </c>
      <c r="G43" s="281">
        <f>COUNTIF(AZ_DATA!$K$17:$K$28,"Active")</f>
        <v>7</v>
      </c>
    </row>
    <row r="44" spans="1:7" ht="19.5" customHeight="1" x14ac:dyDescent="0.35">
      <c r="A44" s="280" t="s">
        <v>239</v>
      </c>
      <c r="B44" s="281">
        <f>COUNTIF(SDLC_DATA!$A$4:$A$19,"Hypercare")</f>
        <v>1</v>
      </c>
      <c r="C44" s="281" t="str">
        <f>IF(COUNTIFS(SDLC_DATA!$A$4:$A$19,"Hypercare",SDLC_DATA!$G$4:$G$19,"BLOCKED")&gt;0,"🔴 BLOCKED","✓ OK")</f>
        <v>✓ OK</v>
      </c>
      <c r="D44" s="281" t="str">
        <f>IFERROR(ROUND(AVERAGEIFS(SDLC_DATA!$F$4:$F$19,SDLC_DATA!$A$4:$A$19,"Hypercare")*100,0)&amp;" %","—")</f>
        <v>0 %</v>
      </c>
      <c r="E44" s="281">
        <f>COUNTIF(FMEA_DATA!$M$4:$M$18,"OPEN")</f>
        <v>12</v>
      </c>
      <c r="F44" s="281">
        <f>COUNTIF(AGILE_DATA!$H$9:$H$23,"BLOCKED")</f>
        <v>0</v>
      </c>
      <c r="G44" s="281">
        <f>COUNTIF(AZ_DATA!$K$17:$K$28,"Active")</f>
        <v>7</v>
      </c>
    </row>
    <row r="45" spans="1:7" ht="19.5" customHeight="1" x14ac:dyDescent="0.35">
      <c r="A45" s="280" t="s">
        <v>240</v>
      </c>
      <c r="B45" s="281">
        <f>COUNTIF(SDLC_DATA!$A$4:$A$19,"Closure")</f>
        <v>1</v>
      </c>
      <c r="C45" s="281" t="str">
        <f>IF(COUNTIFS(SDLC_DATA!$A$4:$A$19,"Closure",SDLC_DATA!$G$4:$G$19,"BLOCKED")&gt;0,"🔴 BLOCKED","✓ OK")</f>
        <v>✓ OK</v>
      </c>
      <c r="D45" s="281" t="str">
        <f>IFERROR(ROUND(AVERAGEIFS(SDLC_DATA!$F$4:$F$19,SDLC_DATA!$A$4:$A$19,"Closure")*100,0)&amp;" %","—")</f>
        <v>0 %</v>
      </c>
      <c r="E45" s="281">
        <f>COUNTIF(FMEA_DATA!$M$4:$M$18,"OPEN")</f>
        <v>12</v>
      </c>
      <c r="F45" s="281">
        <f>COUNTIF(AGILE_DATA!$H$9:$H$23,"BLOCKED")</f>
        <v>0</v>
      </c>
      <c r="G45" s="281">
        <f>COUNTIF(AZ_DATA!$K$17:$K$28,"Active")</f>
        <v>7</v>
      </c>
    </row>
    <row r="47" spans="1:7" ht="25.5" customHeight="1" x14ac:dyDescent="0.35">
      <c r="A47" s="308" t="s">
        <v>241</v>
      </c>
      <c r="B47" s="308"/>
      <c r="C47" s="308"/>
      <c r="D47" s="308"/>
      <c r="E47" s="308"/>
      <c r="F47" s="308"/>
      <c r="G47" s="308"/>
    </row>
    <row r="48" spans="1:7" ht="21.75" customHeight="1" x14ac:dyDescent="0.35">
      <c r="A48" s="273" t="s">
        <v>242</v>
      </c>
      <c r="B48" s="273" t="s">
        <v>243</v>
      </c>
      <c r="C48" s="273" t="s">
        <v>244</v>
      </c>
      <c r="D48" s="273" t="s">
        <v>245</v>
      </c>
      <c r="E48" s="273" t="s">
        <v>246</v>
      </c>
      <c r="F48" s="273" t="s">
        <v>247</v>
      </c>
      <c r="G48" s="273" t="s">
        <v>248</v>
      </c>
    </row>
    <row r="49" spans="1:7" ht="18" customHeight="1" x14ac:dyDescent="0.35">
      <c r="A49" s="280" t="s">
        <v>90</v>
      </c>
      <c r="B49" s="281">
        <f>COUNTIF(FMEA_DATA!$L$4:$L$18,"PM")</f>
        <v>3</v>
      </c>
      <c r="C49" s="281">
        <f>COUNTIF(SDLC_DATA!$C$4:$C$19,"PM")</f>
        <v>5</v>
      </c>
      <c r="D49" s="281">
        <f>COUNTIF(LOG_DATA!$F$4:$F$53,"PM")</f>
        <v>0</v>
      </c>
      <c r="E49" s="281">
        <f>COUNTIF(AGILE_DATA!$G$9:$G$23,"PM")</f>
        <v>2</v>
      </c>
      <c r="F49" s="281">
        <f>COUNTIF(AZ_DATA!$E$17:$E$28,"PM")</f>
        <v>0</v>
      </c>
      <c r="G49" s="282">
        <f t="shared" ref="G49:G67" si="0">B49+C49+D49+E49+F49</f>
        <v>10</v>
      </c>
    </row>
    <row r="50" spans="1:7" ht="18" customHeight="1" x14ac:dyDescent="0.35">
      <c r="A50" s="280" t="s">
        <v>102</v>
      </c>
      <c r="B50" s="281">
        <f>COUNTIF(FMEA_DATA!$L$4:$L$18,"Dev Lead")</f>
        <v>3</v>
      </c>
      <c r="C50" s="281">
        <f>COUNTIF(SDLC_DATA!$C$4:$C$19,"Dev Lead")</f>
        <v>2</v>
      </c>
      <c r="D50" s="281">
        <f>COUNTIF(LOG_DATA!$F$4:$F$53,"Dev Lead")</f>
        <v>0</v>
      </c>
      <c r="E50" s="281">
        <f>COUNTIF(AGILE_DATA!$G$9:$G$23,"Dev Lead")</f>
        <v>5</v>
      </c>
      <c r="F50" s="281">
        <f>COUNTIF(AZ_DATA!$E$17:$E$28,"Dev Lead")</f>
        <v>0</v>
      </c>
      <c r="G50" s="282">
        <f t="shared" si="0"/>
        <v>10</v>
      </c>
    </row>
    <row r="51" spans="1:7" ht="18" customHeight="1" x14ac:dyDescent="0.35">
      <c r="A51" s="280" t="s">
        <v>106</v>
      </c>
      <c r="B51" s="281">
        <f>COUNTIF(FMEA_DATA!$L$4:$L$18,"QA Lead")</f>
        <v>2</v>
      </c>
      <c r="C51" s="281">
        <f>COUNTIF(SDLC_DATA!$C$4:$C$19,"QA Lead")</f>
        <v>2</v>
      </c>
      <c r="D51" s="281">
        <f>COUNTIF(LOG_DATA!$F$4:$F$53,"QA Lead")</f>
        <v>0</v>
      </c>
      <c r="E51" s="281">
        <f>COUNTIF(AGILE_DATA!$G$9:$G$23,"QA Lead")</f>
        <v>3</v>
      </c>
      <c r="F51" s="281">
        <f>COUNTIF(AZ_DATA!$E$17:$E$28,"QA Lead")</f>
        <v>0</v>
      </c>
      <c r="G51" s="282">
        <f t="shared" si="0"/>
        <v>7</v>
      </c>
    </row>
    <row r="52" spans="1:7" ht="18" customHeight="1" x14ac:dyDescent="0.35">
      <c r="A52" s="280" t="s">
        <v>249</v>
      </c>
      <c r="B52" s="281">
        <f>COUNTIF(FMEA_DATA!$L$4:$L$18,"Ops Lead")</f>
        <v>2</v>
      </c>
      <c r="C52" s="281">
        <f>COUNTIF(SDLC_DATA!$C$4:$C$19,"Ops Lead")</f>
        <v>1</v>
      </c>
      <c r="D52" s="281">
        <f>COUNTIF(LOG_DATA!$F$4:$F$53,"Ops Lead")</f>
        <v>1</v>
      </c>
      <c r="E52" s="281">
        <f>COUNTIF(AGILE_DATA!$G$9:$G$23,"Ops Lead")</f>
        <v>0</v>
      </c>
      <c r="F52" s="281">
        <f>COUNTIF(AZ_DATA!$E$17:$E$28,"Ops Lead")</f>
        <v>0</v>
      </c>
      <c r="G52" s="282">
        <f t="shared" si="0"/>
        <v>4</v>
      </c>
    </row>
    <row r="53" spans="1:7" ht="18" customHeight="1" x14ac:dyDescent="0.35">
      <c r="A53" s="280" t="s">
        <v>250</v>
      </c>
      <c r="B53" s="281">
        <f>COUNTIF(FMEA_DATA!$L$4:$L$18,"Architect")</f>
        <v>1</v>
      </c>
      <c r="C53" s="281">
        <f>COUNTIF(SDLC_DATA!$C$4:$C$19,"Architect")</f>
        <v>1</v>
      </c>
      <c r="D53" s="281">
        <f>COUNTIF(LOG_DATA!$F$4:$F$53,"Architect")</f>
        <v>0</v>
      </c>
      <c r="E53" s="281">
        <f>COUNTIF(AGILE_DATA!$G$9:$G$23,"Architect")</f>
        <v>0</v>
      </c>
      <c r="F53" s="281">
        <f>COUNTIF(AZ_DATA!$E$17:$E$28,"Architect")</f>
        <v>0</v>
      </c>
      <c r="G53" s="282">
        <f t="shared" si="0"/>
        <v>2</v>
      </c>
    </row>
    <row r="54" spans="1:7" ht="18" customHeight="1" x14ac:dyDescent="0.35">
      <c r="A54" s="280" t="s">
        <v>251</v>
      </c>
      <c r="B54" s="281">
        <f>COUNTIF(FMEA_DATA!$L$4:$L$18,"DevOps")</f>
        <v>1</v>
      </c>
      <c r="C54" s="281">
        <f>COUNTIF(SDLC_DATA!$C$4:$C$19,"DevOps")</f>
        <v>1</v>
      </c>
      <c r="D54" s="281">
        <f>COUNTIF(LOG_DATA!$F$4:$F$53,"DevOps")</f>
        <v>0</v>
      </c>
      <c r="E54" s="281">
        <f>COUNTIF(AGILE_DATA!$G$9:$G$23,"DevOps")</f>
        <v>0</v>
      </c>
      <c r="F54" s="281">
        <f>COUNTIF(AZ_DATA!$E$17:$E$28,"DevOps")</f>
        <v>0</v>
      </c>
      <c r="G54" s="282">
        <f t="shared" si="0"/>
        <v>2</v>
      </c>
    </row>
    <row r="55" spans="1:7" ht="18" customHeight="1" x14ac:dyDescent="0.35">
      <c r="A55" s="280" t="s">
        <v>252</v>
      </c>
      <c r="B55" s="281">
        <f>COUNTIF(FMEA_DATA!$L$4:$L$18,"BA")</f>
        <v>0</v>
      </c>
      <c r="C55" s="281">
        <f>COUNTIF(SDLC_DATA!$C$4:$C$19,"BA")</f>
        <v>1</v>
      </c>
      <c r="D55" s="281">
        <f>COUNTIF(LOG_DATA!$F$4:$F$53,"BA")</f>
        <v>0</v>
      </c>
      <c r="E55" s="281">
        <f>COUNTIF(AGILE_DATA!$G$9:$G$23,"BA")</f>
        <v>0</v>
      </c>
      <c r="F55" s="281">
        <f>COUNTIF(AZ_DATA!$E$17:$E$28,"BA")</f>
        <v>0</v>
      </c>
      <c r="G55" s="282">
        <f t="shared" si="0"/>
        <v>1</v>
      </c>
    </row>
    <row r="56" spans="1:7" ht="18" customHeight="1" x14ac:dyDescent="0.35">
      <c r="A56" s="280" t="s">
        <v>253</v>
      </c>
      <c r="B56" s="281">
        <f>COUNTIF(FMEA_DATA!$L$4:$L$18,"Tech Lead")</f>
        <v>1</v>
      </c>
      <c r="C56" s="281">
        <f>COUNTIF(SDLC_DATA!$C$4:$C$19,"Tech Lead")</f>
        <v>0</v>
      </c>
      <c r="D56" s="281">
        <f>COUNTIF(LOG_DATA!$F$4:$F$53,"Tech Lead")</f>
        <v>0</v>
      </c>
      <c r="E56" s="281">
        <f>COUNTIF(AGILE_DATA!$G$9:$G$23,"Tech Lead")</f>
        <v>0</v>
      </c>
      <c r="F56" s="281">
        <f>COUNTIF(AZ_DATA!$E$17:$E$28,"Tech Lead")</f>
        <v>0</v>
      </c>
      <c r="G56" s="282">
        <f t="shared" si="0"/>
        <v>1</v>
      </c>
    </row>
    <row r="57" spans="1:7" ht="18" customHeight="1" x14ac:dyDescent="0.35">
      <c r="A57" s="280" t="s">
        <v>86</v>
      </c>
      <c r="B57" s="281">
        <f>COUNTIF(FMEA_DATA!$L$4:$L$18,"Process Owner")</f>
        <v>1</v>
      </c>
      <c r="C57" s="281">
        <f>COUNTIF(SDLC_DATA!$C$4:$C$19,"Process Owner")</f>
        <v>0</v>
      </c>
      <c r="D57" s="281">
        <f>COUNTIF(LOG_DATA!$F$4:$F$53,"Process Owner")</f>
        <v>0</v>
      </c>
      <c r="E57" s="281">
        <f>COUNTIF(AGILE_DATA!$G$9:$G$23,"Process Owner")</f>
        <v>0</v>
      </c>
      <c r="F57" s="281">
        <f>COUNTIF(AZ_DATA!$E$17:$E$28,"Process Owner")</f>
        <v>0</v>
      </c>
      <c r="G57" s="282">
        <f t="shared" si="0"/>
        <v>1</v>
      </c>
    </row>
    <row r="58" spans="1:7" ht="18" customHeight="1" x14ac:dyDescent="0.35">
      <c r="A58" s="280" t="s">
        <v>120</v>
      </c>
      <c r="B58" s="281">
        <f>COUNTIF(FMEA_DATA!$L$4:$L$18,"Team Lead")</f>
        <v>1</v>
      </c>
      <c r="C58" s="281">
        <f>COUNTIF(SDLC_DATA!$C$4:$C$19,"Team Lead")</f>
        <v>0</v>
      </c>
      <c r="D58" s="281">
        <f>COUNTIF(LOG_DATA!$F$4:$F$53,"Team Lead")</f>
        <v>2</v>
      </c>
      <c r="E58" s="281">
        <f>COUNTIF(AGILE_DATA!$G$9:$G$23,"Team Lead")</f>
        <v>0</v>
      </c>
      <c r="F58" s="281">
        <f>COUNTIF(AZ_DATA!$E$17:$E$28,"Team Lead")</f>
        <v>0</v>
      </c>
      <c r="G58" s="282">
        <f t="shared" si="0"/>
        <v>3</v>
      </c>
    </row>
    <row r="59" spans="1:7" ht="18" customHeight="1" x14ac:dyDescent="0.35">
      <c r="A59" s="280" t="s">
        <v>98</v>
      </c>
      <c r="B59" s="281">
        <f>COUNTIF(FMEA_DATA!$L$4:$L$18,"Scrum Master")</f>
        <v>0</v>
      </c>
      <c r="C59" s="281">
        <f>COUNTIF(SDLC_DATA!$C$4:$C$19,"Scrum Master")</f>
        <v>0</v>
      </c>
      <c r="D59" s="281">
        <f>COUNTIF(LOG_DATA!$F$4:$F$53,"Scrum Master")</f>
        <v>0</v>
      </c>
      <c r="E59" s="281">
        <f>COUNTIF(AGILE_DATA!$G$9:$G$23,"Scrum Master")</f>
        <v>0</v>
      </c>
      <c r="F59" s="281">
        <f>COUNTIF(AZ_DATA!$E$17:$E$28,"Scrum Master")</f>
        <v>0</v>
      </c>
      <c r="G59" s="282">
        <f t="shared" si="0"/>
        <v>0</v>
      </c>
    </row>
    <row r="60" spans="1:7" ht="18" customHeight="1" x14ac:dyDescent="0.35">
      <c r="A60" s="280" t="s">
        <v>254</v>
      </c>
      <c r="B60" s="281">
        <f>COUNTIF(FMEA_DATA!$L$4:$L$18,"Commissioning Engineer")</f>
        <v>0</v>
      </c>
      <c r="C60" s="281">
        <f>COUNTIF(SDLC_DATA!$C$4:$C$19,"Commissioning Engineer")</f>
        <v>0</v>
      </c>
      <c r="D60" s="281">
        <f>COUNTIF(LOG_DATA!$F$4:$F$53,"Commissioning Engineer")</f>
        <v>0</v>
      </c>
      <c r="E60" s="281">
        <f>COUNTIF(AGILE_DATA!$G$9:$G$23,"Commissioning Engineer")</f>
        <v>0</v>
      </c>
      <c r="F60" s="281">
        <f>COUNTIF(AZ_DATA!$E$17:$E$28,"Commissioning Engineer")</f>
        <v>0</v>
      </c>
      <c r="G60" s="282">
        <f t="shared" si="0"/>
        <v>0</v>
      </c>
    </row>
    <row r="61" spans="1:7" ht="18" customHeight="1" x14ac:dyDescent="0.35">
      <c r="A61" s="280" t="s">
        <v>255</v>
      </c>
      <c r="B61" s="281">
        <f>COUNTIF(FMEA_DATA!$L$4:$L$18,"Electrical Engineer")</f>
        <v>0</v>
      </c>
      <c r="C61" s="281">
        <f>COUNTIF(SDLC_DATA!$C$4:$C$19,"Electrical Engineer")</f>
        <v>0</v>
      </c>
      <c r="D61" s="281">
        <f>COUNTIF(LOG_DATA!$F$4:$F$53,"Electrical Engineer")</f>
        <v>0</v>
      </c>
      <c r="E61" s="281">
        <f>COUNTIF(AGILE_DATA!$G$9:$G$23,"Electrical Engineer")</f>
        <v>0</v>
      </c>
      <c r="F61" s="281">
        <f>COUNTIF(AZ_DATA!$E$17:$E$28,"Electrical Engineer")</f>
        <v>0</v>
      </c>
      <c r="G61" s="282">
        <f t="shared" si="0"/>
        <v>0</v>
      </c>
    </row>
    <row r="62" spans="1:7" ht="18" customHeight="1" x14ac:dyDescent="0.35">
      <c r="A62" s="280" t="s">
        <v>256</v>
      </c>
      <c r="B62" s="281">
        <f>COUNTIF(FMEA_DATA!$L$4:$L$18,"Instrument Engineer")</f>
        <v>0</v>
      </c>
      <c r="C62" s="281">
        <f>COUNTIF(SDLC_DATA!$C$4:$C$19,"Instrument Engineer")</f>
        <v>0</v>
      </c>
      <c r="D62" s="281">
        <f>COUNTIF(LOG_DATA!$F$4:$F$53,"Instrument Engineer")</f>
        <v>0</v>
      </c>
      <c r="E62" s="281">
        <f>COUNTIF(AGILE_DATA!$G$9:$G$23,"Instrument Engineer")</f>
        <v>0</v>
      </c>
      <c r="F62" s="281">
        <f>COUNTIF(AZ_DATA!$E$17:$E$28,"Instrument Engineer")</f>
        <v>0</v>
      </c>
      <c r="G62" s="282">
        <f t="shared" si="0"/>
        <v>0</v>
      </c>
    </row>
    <row r="63" spans="1:7" ht="18" customHeight="1" x14ac:dyDescent="0.35">
      <c r="A63" s="280" t="s">
        <v>257</v>
      </c>
      <c r="B63" s="281">
        <f>COUNTIF(FMEA_DATA!$L$4:$L$18,"Mechanical Engineer")</f>
        <v>0</v>
      </c>
      <c r="C63" s="281">
        <f>COUNTIF(SDLC_DATA!$C$4:$C$19,"Mechanical Engineer")</f>
        <v>0</v>
      </c>
      <c r="D63" s="281">
        <f>COUNTIF(LOG_DATA!$F$4:$F$53,"Mechanical Engineer")</f>
        <v>0</v>
      </c>
      <c r="E63" s="281">
        <f>COUNTIF(AGILE_DATA!$G$9:$G$23,"Mechanical Engineer")</f>
        <v>0</v>
      </c>
      <c r="F63" s="281">
        <f>COUNTIF(AZ_DATA!$E$17:$E$28,"Mechanical Engineer")</f>
        <v>0</v>
      </c>
      <c r="G63" s="282">
        <f t="shared" si="0"/>
        <v>0</v>
      </c>
    </row>
    <row r="64" spans="1:7" ht="18" customHeight="1" x14ac:dyDescent="0.35">
      <c r="A64" s="280" t="s">
        <v>258</v>
      </c>
      <c r="B64" s="281">
        <f>COUNTIF(FMEA_DATA!$L$4:$L$18,"Control Systems Engineer")</f>
        <v>0</v>
      </c>
      <c r="C64" s="281">
        <f>COUNTIF(SDLC_DATA!$C$4:$C$19,"Control Systems Engineer")</f>
        <v>0</v>
      </c>
      <c r="D64" s="281">
        <f>COUNTIF(LOG_DATA!$F$4:$F$53,"Control Systems Engineer")</f>
        <v>0</v>
      </c>
      <c r="E64" s="281">
        <f>COUNTIF(AGILE_DATA!$G$9:$G$23,"Control Systems Engineer")</f>
        <v>0</v>
      </c>
      <c r="F64" s="281">
        <f>COUNTIF(AZ_DATA!$E$17:$E$28,"Control Systems Engineer")</f>
        <v>0</v>
      </c>
      <c r="G64" s="282">
        <f t="shared" si="0"/>
        <v>0</v>
      </c>
    </row>
    <row r="65" spans="1:7" ht="18" customHeight="1" x14ac:dyDescent="0.35">
      <c r="A65" s="280" t="s">
        <v>259</v>
      </c>
      <c r="B65" s="281">
        <f>COUNTIF(FMEA_DATA!$L$4:$L$18,"Site Manager")</f>
        <v>0</v>
      </c>
      <c r="C65" s="281">
        <f>COUNTIF(SDLC_DATA!$C$4:$C$19,"Site Manager")</f>
        <v>0</v>
      </c>
      <c r="D65" s="281">
        <f>COUNTIF(LOG_DATA!$F$4:$F$53,"Site Manager")</f>
        <v>0</v>
      </c>
      <c r="E65" s="281">
        <f>COUNTIF(AGILE_DATA!$G$9:$G$23,"Site Manager")</f>
        <v>0</v>
      </c>
      <c r="F65" s="281">
        <f>COUNTIF(AZ_DATA!$E$17:$E$28,"Site Manager")</f>
        <v>0</v>
      </c>
      <c r="G65" s="282">
        <f t="shared" si="0"/>
        <v>0</v>
      </c>
    </row>
    <row r="66" spans="1:7" ht="18" customHeight="1" x14ac:dyDescent="0.35">
      <c r="A66" s="280" t="s">
        <v>260</v>
      </c>
      <c r="B66" s="281">
        <f>COUNTIF(FMEA_DATA!$L$4:$L$18,"HSE Engineer")</f>
        <v>0</v>
      </c>
      <c r="C66" s="281">
        <f>COUNTIF(SDLC_DATA!$C$4:$C$19,"HSE Engineer")</f>
        <v>0</v>
      </c>
      <c r="D66" s="281">
        <f>COUNTIF(LOG_DATA!$F$4:$F$53,"HSE Engineer")</f>
        <v>0</v>
      </c>
      <c r="E66" s="281">
        <f>COUNTIF(AGILE_DATA!$G$9:$G$23,"HSE Engineer")</f>
        <v>0</v>
      </c>
      <c r="F66" s="281">
        <f>COUNTIF(AZ_DATA!$E$17:$E$28,"HSE Engineer")</f>
        <v>0</v>
      </c>
      <c r="G66" s="282">
        <f t="shared" si="0"/>
        <v>0</v>
      </c>
    </row>
    <row r="67" spans="1:7" ht="18" customHeight="1" x14ac:dyDescent="0.35">
      <c r="A67" s="280" t="s">
        <v>261</v>
      </c>
      <c r="B67" s="281">
        <f>COUNTIF(FMEA_DATA!$L$4:$L$18,"Test Engineer")</f>
        <v>0</v>
      </c>
      <c r="C67" s="281">
        <f>COUNTIF(SDLC_DATA!$C$4:$C$19,"Test Engineer")</f>
        <v>0</v>
      </c>
      <c r="D67" s="281">
        <f>COUNTIF(LOG_DATA!$F$4:$F$53,"Test Engineer")</f>
        <v>0</v>
      </c>
      <c r="E67" s="281">
        <f>COUNTIF(AGILE_DATA!$G$9:$G$23,"Test Engineer")</f>
        <v>0</v>
      </c>
      <c r="F67" s="281">
        <f>COUNTIF(AZ_DATA!$E$17:$E$28,"Test Engineer")</f>
        <v>0</v>
      </c>
      <c r="G67" s="282">
        <f t="shared" si="0"/>
        <v>0</v>
      </c>
    </row>
    <row r="69" spans="1:7" ht="25.5" customHeight="1" x14ac:dyDescent="0.35">
      <c r="A69" s="308" t="s">
        <v>262</v>
      </c>
      <c r="B69" s="308"/>
      <c r="C69" s="308"/>
      <c r="D69" s="308"/>
      <c r="E69" s="308"/>
      <c r="F69" s="308"/>
      <c r="G69" s="308"/>
    </row>
    <row r="70" spans="1:7" ht="21.75" customHeight="1" x14ac:dyDescent="0.35">
      <c r="A70" s="273" t="s">
        <v>263</v>
      </c>
      <c r="B70" s="273" t="s">
        <v>264</v>
      </c>
      <c r="C70" s="273" t="s">
        <v>265</v>
      </c>
      <c r="D70" s="273" t="s">
        <v>266</v>
      </c>
      <c r="E70" s="273" t="s">
        <v>267</v>
      </c>
      <c r="F70" s="273" t="s">
        <v>268</v>
      </c>
      <c r="G70" s="273" t="s">
        <v>269</v>
      </c>
    </row>
    <row r="71" spans="1:7" ht="18" customHeight="1" x14ac:dyDescent="0.35">
      <c r="A71" s="283" t="str">
        <f>SS_DATA!$A$5</f>
        <v>Week 1</v>
      </c>
      <c r="B71" s="281">
        <f>SS_DATA!$B$5</f>
        <v>600</v>
      </c>
      <c r="C71" s="281">
        <f>SS_DATA!$C$5</f>
        <v>72</v>
      </c>
      <c r="D71" s="281" t="str">
        <f ca="1">IFERROR(SS_DATA!$G$5,"—")</f>
        <v/>
      </c>
      <c r="E71" s="281" t="str">
        <f>IFERROR(SS_DATA!$H$5,"—")</f>
        <v>4.5</v>
      </c>
      <c r="F71" s="281" t="str">
        <f ca="1">IFERROR(SS_DATA!$I$5,"—")</f>
        <v/>
      </c>
      <c r="G71" s="281" t="str">
        <f ca="1">IFERROR(IF(SS_DATA!$G$5&lt;SS_DATA!$H$5,"→ Add defect to FMEA + open CASE + PDCA","✓ On target"),"—")</f>
        <v>→ Add defect to FMEA + open CASE + PDCA</v>
      </c>
    </row>
    <row r="72" spans="1:7" ht="18" customHeight="1" x14ac:dyDescent="0.35">
      <c r="A72" s="283" t="str">
        <f>SS_DATA!$A$6</f>
        <v>Week 2</v>
      </c>
      <c r="B72" s="281">
        <f>SS_DATA!$B$6</f>
        <v>580</v>
      </c>
      <c r="C72" s="281">
        <f>SS_DATA!$C$6</f>
        <v>65</v>
      </c>
      <c r="D72" s="281" t="str">
        <f ca="1">IFERROR(SS_DATA!$G$6,"—")</f>
        <v/>
      </c>
      <c r="E72" s="281" t="str">
        <f>IFERROR(SS_DATA!$H$6,"—")</f>
        <v>4.5</v>
      </c>
      <c r="F72" s="281" t="str">
        <f ca="1">IFERROR(SS_DATA!$I$6,"—")</f>
        <v/>
      </c>
      <c r="G72" s="281" t="str">
        <f ca="1">IFERROR(IF(SS_DATA!$G$6&lt;SS_DATA!$H$6,"→ Add defect to FMEA + open CASE + PDCA","✓ On target"),"—")</f>
        <v>→ Add defect to FMEA + open CASE + PDCA</v>
      </c>
    </row>
    <row r="73" spans="1:7" ht="18" customHeight="1" x14ac:dyDescent="0.35">
      <c r="A73" s="283" t="str">
        <f>SS_DATA!$A$7</f>
        <v>Week 3</v>
      </c>
      <c r="B73" s="281">
        <f>SS_DATA!$B$7</f>
        <v>610</v>
      </c>
      <c r="C73" s="281">
        <f>SS_DATA!$C$7</f>
        <v>58</v>
      </c>
      <c r="D73" s="281" t="str">
        <f ca="1">IFERROR(SS_DATA!$G$7,"—")</f>
        <v/>
      </c>
      <c r="E73" s="281" t="str">
        <f>IFERROR(SS_DATA!$H$7,"—")</f>
        <v>4.5</v>
      </c>
      <c r="F73" s="281" t="str">
        <f ca="1">IFERROR(SS_DATA!$I$7,"—")</f>
        <v/>
      </c>
      <c r="G73" s="281" t="str">
        <f ca="1">IFERROR(IF(SS_DATA!$G$7&lt;SS_DATA!$H$7,"→ Add defect to FMEA + open CASE + PDCA","✓ On target"),"—")</f>
        <v>→ Add defect to FMEA + open CASE + PDCA</v>
      </c>
    </row>
    <row r="74" spans="1:7" ht="18" customHeight="1" x14ac:dyDescent="0.35">
      <c r="A74" s="283" t="str">
        <f>SS_DATA!$A$8</f>
        <v>Week 4</v>
      </c>
      <c r="B74" s="281">
        <f>SS_DATA!$B$8</f>
        <v>595</v>
      </c>
      <c r="C74" s="281">
        <f>SS_DATA!$C$8</f>
        <v>50</v>
      </c>
      <c r="D74" s="281" t="str">
        <f ca="1">IFERROR(SS_DATA!$G$8,"—")</f>
        <v/>
      </c>
      <c r="E74" s="281" t="str">
        <f>IFERROR(SS_DATA!$H$8,"—")</f>
        <v>4.5</v>
      </c>
      <c r="F74" s="281" t="str">
        <f ca="1">IFERROR(SS_DATA!$I$8,"—")</f>
        <v/>
      </c>
      <c r="G74" s="281" t="str">
        <f ca="1">IFERROR(IF(SS_DATA!$G$8&lt;SS_DATA!$H$8,"→ Add defect to FMEA + open CASE + PDCA","✓ On target"),"—")</f>
        <v>→ Add defect to FMEA + open CASE + PDCA</v>
      </c>
    </row>
    <row r="75" spans="1:7" ht="18" customHeight="1" x14ac:dyDescent="0.35">
      <c r="A75" s="283" t="str">
        <f>SS_DATA!$A$9</f>
        <v>Week 5</v>
      </c>
      <c r="B75" s="281">
        <f>SS_DATA!$B$9</f>
        <v>620</v>
      </c>
      <c r="C75" s="281">
        <f>SS_DATA!$C$9</f>
        <v>45</v>
      </c>
      <c r="D75" s="281" t="str">
        <f ca="1">IFERROR(SS_DATA!$G$9,"—")</f>
        <v/>
      </c>
      <c r="E75" s="281" t="str">
        <f>IFERROR(SS_DATA!$H$9,"—")</f>
        <v>4.5</v>
      </c>
      <c r="F75" s="281" t="str">
        <f ca="1">IFERROR(SS_DATA!$I$9,"—")</f>
        <v/>
      </c>
      <c r="G75" s="281" t="str">
        <f ca="1">IFERROR(IF(SS_DATA!$G$9&lt;SS_DATA!$H$9,"→ Add defect to FMEA + open CASE + PDCA","✓ On target"),"—")</f>
        <v>→ Add defect to FMEA + open CASE + PDCA</v>
      </c>
    </row>
    <row r="76" spans="1:7" ht="18" customHeight="1" x14ac:dyDescent="0.35">
      <c r="A76" s="283" t="str">
        <f>SS_DATA!$A$10</f>
        <v>Week 6</v>
      </c>
      <c r="B76" s="281">
        <f>SS_DATA!$B$10</f>
        <v>605</v>
      </c>
      <c r="C76" s="281">
        <f>SS_DATA!$C$10</f>
        <v>38</v>
      </c>
      <c r="D76" s="281" t="str">
        <f ca="1">IFERROR(SS_DATA!$G$10,"—")</f>
        <v/>
      </c>
      <c r="E76" s="281" t="str">
        <f>IFERROR(SS_DATA!$H$10,"—")</f>
        <v>4.5</v>
      </c>
      <c r="F76" s="281" t="str">
        <f ca="1">IFERROR(SS_DATA!$I$10,"—")</f>
        <v/>
      </c>
      <c r="G76" s="281" t="str">
        <f ca="1">IFERROR(IF(SS_DATA!$G$10&lt;SS_DATA!$H$10,"→ Add defect to FMEA + open CASE + PDCA","✓ On target"),"—")</f>
        <v>→ Add defect to FMEA + open CASE + PDCA</v>
      </c>
    </row>
    <row r="77" spans="1:7" ht="18" customHeight="1" x14ac:dyDescent="0.35">
      <c r="A77" s="283" t="str">
        <f>SS_DATA!$A$11</f>
        <v>Week 7</v>
      </c>
      <c r="B77" s="281">
        <f>SS_DATA!$B$11</f>
        <v>615</v>
      </c>
      <c r="C77" s="281">
        <f>SS_DATA!$C$11</f>
        <v>0</v>
      </c>
      <c r="D77" s="281" t="str">
        <f ca="1">IFERROR(SS_DATA!$G$11,"—")</f>
        <v/>
      </c>
      <c r="E77" s="281" t="str">
        <f>IFERROR(SS_DATA!$H$11,"—")</f>
        <v>4.5</v>
      </c>
      <c r="F77" s="281" t="str">
        <f ca="1">IFERROR(SS_DATA!$I$11,"—")</f>
        <v/>
      </c>
      <c r="G77" s="281" t="str">
        <f ca="1">IFERROR(IF(SS_DATA!$G$11&lt;SS_DATA!$H$11,"→ Add defect to FMEA + open CASE + PDCA","✓ On target"),"—")</f>
        <v>→ Add defect to FMEA + open CASE + PDCA</v>
      </c>
    </row>
    <row r="78" spans="1:7" ht="18" customHeight="1" x14ac:dyDescent="0.35">
      <c r="A78" s="283" t="str">
        <f>SS_DATA!$A$12</f>
        <v>Week 8</v>
      </c>
      <c r="B78" s="281">
        <f>SS_DATA!$B$12</f>
        <v>0</v>
      </c>
      <c r="C78" s="281">
        <f>SS_DATA!$C$12</f>
        <v>0</v>
      </c>
      <c r="D78" s="281" t="str">
        <f ca="1">IFERROR(SS_DATA!$G$12,"—")</f>
        <v/>
      </c>
      <c r="E78" s="281" t="str">
        <f>IFERROR(SS_DATA!$H$12,"—")</f>
        <v>4.5</v>
      </c>
      <c r="F78" s="281" t="str">
        <f ca="1">IFERROR(SS_DATA!$I$12,"—")</f>
        <v/>
      </c>
      <c r="G78" s="281" t="str">
        <f ca="1">IFERROR(IF(SS_DATA!$G$12&lt;SS_DATA!$H$12,"→ Add defect to FMEA + open CASE + PDCA","✓ On target"),"—")</f>
        <v>→ Add defect to FMEA + open CASE + PDCA</v>
      </c>
    </row>
    <row r="80" spans="1:7" ht="25.5" customHeight="1" x14ac:dyDescent="0.35">
      <c r="A80" s="308" t="s">
        <v>270</v>
      </c>
      <c r="B80" s="308"/>
      <c r="C80" s="308"/>
      <c r="D80" s="308"/>
      <c r="E80" s="308"/>
      <c r="F80" s="308"/>
      <c r="G80" s="308"/>
    </row>
    <row r="81" spans="1:7" ht="21.75" customHeight="1" x14ac:dyDescent="0.35">
      <c r="A81" s="273" t="s">
        <v>271</v>
      </c>
      <c r="B81" s="273" t="s">
        <v>272</v>
      </c>
      <c r="C81" s="273" t="s">
        <v>273</v>
      </c>
      <c r="D81" s="273" t="s">
        <v>274</v>
      </c>
      <c r="E81" s="273" t="s">
        <v>275</v>
      </c>
      <c r="F81" s="273" t="s">
        <v>76</v>
      </c>
      <c r="G81" s="273" t="s">
        <v>276</v>
      </c>
    </row>
    <row r="82" spans="1:7" ht="21.75" customHeight="1" x14ac:dyDescent="0.35">
      <c r="A82" s="274" t="s">
        <v>277</v>
      </c>
      <c r="B82" s="284">
        <v>0.25</v>
      </c>
      <c r="C82" s="276">
        <f>COUNTIFS(FMEA_DATA!$J$4:$J$18,"1-CRITICAL*",FMEA_DATA!$M$4:$M$18,"OPEN")+COUNTIFS(FMEA_DATA!$J$4:$J$18,"2-HIGH*",FMEA_DATA!$M$4:$M$18,"OPEN")</f>
        <v>11</v>
      </c>
      <c r="D82" s="279">
        <f>MIN(C82*20,100)</f>
        <v>100</v>
      </c>
      <c r="E82" s="285">
        <f t="shared" ref="E82:E87" si="1">D82*B82</f>
        <v>25</v>
      </c>
      <c r="F82" s="278" t="s">
        <v>81</v>
      </c>
      <c r="G82" s="278" t="s">
        <v>278</v>
      </c>
    </row>
    <row r="83" spans="1:7" ht="21.75" customHeight="1" x14ac:dyDescent="0.35">
      <c r="A83" s="274" t="s">
        <v>279</v>
      </c>
      <c r="B83" s="284">
        <v>0.2</v>
      </c>
      <c r="C83" s="276">
        <f>COUNTIFS(CASE_DATA!$B$4:$B$23,"1-CRITICAL",CASE_DATA!$G$4:$G$23,"OPEN")+COUNTIFS(CASE_DATA!$B$4:$B$23,"2-HIGH",CASE_DATA!$G$4:$G$23,"OPEN")</f>
        <v>0</v>
      </c>
      <c r="D83" s="279">
        <f>MIN(C83*20,100)</f>
        <v>0</v>
      </c>
      <c r="E83" s="285">
        <f t="shared" si="1"/>
        <v>0</v>
      </c>
      <c r="F83" s="278" t="s">
        <v>89</v>
      </c>
      <c r="G83" s="278" t="s">
        <v>280</v>
      </c>
    </row>
    <row r="84" spans="1:7" ht="21.75" customHeight="1" x14ac:dyDescent="0.35">
      <c r="A84" s="274" t="s">
        <v>281</v>
      </c>
      <c r="B84" s="284">
        <v>0.2</v>
      </c>
      <c r="C84" s="276">
        <f>COUNTIF(SDLC_DATA!$G$4:$G$19,"BLOCKED")</f>
        <v>1</v>
      </c>
      <c r="D84" s="279">
        <f>MIN(C84*33,100)</f>
        <v>33</v>
      </c>
      <c r="E84" s="285">
        <f t="shared" si="1"/>
        <v>6.6000000000000005</v>
      </c>
      <c r="F84" s="278" t="s">
        <v>93</v>
      </c>
      <c r="G84" s="278" t="s">
        <v>282</v>
      </c>
    </row>
    <row r="85" spans="1:7" ht="21.75" customHeight="1" x14ac:dyDescent="0.35">
      <c r="A85" s="274" t="s">
        <v>283</v>
      </c>
      <c r="B85" s="284">
        <v>0.15</v>
      </c>
      <c r="C85" s="276">
        <f ca="1">COUNTIFS(SS_DATA!$G$5:$G$12,"&lt;"&amp;SS_DATA!$H$5,SS_DATA!$G$5:$G$12,"&gt;"&amp;0)</f>
        <v>0</v>
      </c>
      <c r="D85" s="279">
        <f ca="1">MIN(C85*12.5,100)</f>
        <v>0</v>
      </c>
      <c r="E85" s="285">
        <f t="shared" ca="1" si="1"/>
        <v>0</v>
      </c>
      <c r="F85" s="278" t="s">
        <v>105</v>
      </c>
      <c r="G85" s="278" t="s">
        <v>284</v>
      </c>
    </row>
    <row r="86" spans="1:7" ht="21.75" customHeight="1" x14ac:dyDescent="0.35">
      <c r="A86" s="274" t="s">
        <v>285</v>
      </c>
      <c r="B86" s="284">
        <v>0.1</v>
      </c>
      <c r="C86" s="276">
        <f>COUNTIFS(WASTE_DATA!$C$4:$C$11,"YES",WASTE_DATA!$F$4:$F$11,"&gt;="&amp;4)</f>
        <v>5</v>
      </c>
      <c r="D86" s="279">
        <f>MIN(C86*12.5,100)</f>
        <v>62.5</v>
      </c>
      <c r="E86" s="285">
        <f t="shared" si="1"/>
        <v>6.25</v>
      </c>
      <c r="F86" s="278" t="s">
        <v>119</v>
      </c>
      <c r="G86" s="278" t="s">
        <v>286</v>
      </c>
    </row>
    <row r="87" spans="1:7" ht="21.75" customHeight="1" x14ac:dyDescent="0.35">
      <c r="A87" s="274" t="s">
        <v>287</v>
      </c>
      <c r="B87" s="284">
        <v>0.1</v>
      </c>
      <c r="C87" s="276">
        <f>COUNTIF(AGILE_DATA!$H$9:$H$23,"BLOCKED")+COUNTIF(AZ_DATA!$K$17:$K$28,"Removed")</f>
        <v>0</v>
      </c>
      <c r="D87" s="279">
        <f>MIN(C87*20,100)</f>
        <v>0</v>
      </c>
      <c r="E87" s="285">
        <f t="shared" si="1"/>
        <v>0</v>
      </c>
      <c r="F87" s="278" t="s">
        <v>288</v>
      </c>
      <c r="G87" s="278" t="s">
        <v>289</v>
      </c>
    </row>
    <row r="88" spans="1:7" ht="30" customHeight="1" x14ac:dyDescent="0.35">
      <c r="A88" s="274" t="s">
        <v>290</v>
      </c>
      <c r="B88" s="286">
        <f>100 %</f>
        <v>1</v>
      </c>
      <c r="C88" s="274" t="s">
        <v>291</v>
      </c>
      <c r="D88" s="274" t="s">
        <v>291</v>
      </c>
      <c r="E88" s="287">
        <f ca="1">ROUND(SUM(E82:E87),1)</f>
        <v>37.9</v>
      </c>
      <c r="F88" s="274" t="s">
        <v>292</v>
      </c>
      <c r="G88" s="274" t="str">
        <f ca="1">IF(E88&lt;30,"✓ LOW RISK — maintain pace",IF(E88&lt;50,"⚠  MEDIUM — schedule improvement sprint",IF(E88&lt;70,"🔴 HIGH — immediate review all open items","🔴 CRITICAL — escalate to senior leadership NOW")))</f>
        <v>⚠  MEDIUM — schedule improvement sprint</v>
      </c>
    </row>
  </sheetData>
  <mergeCells count="8">
    <mergeCell ref="A47:G47"/>
    <mergeCell ref="A69:G69"/>
    <mergeCell ref="A80:G80"/>
    <mergeCell ref="A1:G1"/>
    <mergeCell ref="A2:G2"/>
    <mergeCell ref="A4:G4"/>
    <mergeCell ref="A29:G29"/>
    <mergeCell ref="A37:G37"/>
  </mergeCells>
  <pageMargins left="0.75" right="0.75" top="1" bottom="1" header="0.511811023622047" footer="0.511811023622047"/>
  <pageSetup paperSize="9" orientation="portrait" horizontalDpi="300" verticalDpi="30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12">
    <tabColor rgb="FFC0392B"/>
  </sheetPr>
  <dimension ref="A1:E45"/>
  <sheetViews>
    <sheetView showGridLines="0" zoomScaleNormal="100" workbookViewId="0">
      <selection activeCell="Q9" sqref="Q9"/>
    </sheetView>
  </sheetViews>
  <sheetFormatPr defaultColWidth="8.6328125" defaultRowHeight="14.5" x14ac:dyDescent="0.35"/>
  <cols>
    <col min="1" max="1" width="1.453125" customWidth="1"/>
    <col min="2" max="2" width="17.1796875" bestFit="1" customWidth="1"/>
    <col min="3" max="3" width="52" customWidth="1"/>
    <col min="4" max="4" width="22" customWidth="1"/>
    <col min="5" max="5" width="1.453125" customWidth="1"/>
  </cols>
  <sheetData>
    <row r="1" spans="1:5" ht="39.75" customHeight="1" x14ac:dyDescent="0.35">
      <c r="A1" s="1"/>
      <c r="B1" s="325" t="s">
        <v>293</v>
      </c>
      <c r="C1" s="325"/>
      <c r="D1" s="325"/>
      <c r="E1" s="1"/>
    </row>
    <row r="2" spans="1:5" ht="13.5" customHeight="1" x14ac:dyDescent="0.35">
      <c r="B2" s="326" t="s">
        <v>294</v>
      </c>
      <c r="C2" s="326"/>
      <c r="D2" s="326"/>
    </row>
    <row r="4" spans="1:5" ht="30" customHeight="1" x14ac:dyDescent="0.35">
      <c r="B4" s="51" t="s">
        <v>295</v>
      </c>
      <c r="C4" s="327" t="s">
        <v>296</v>
      </c>
      <c r="D4" s="327"/>
    </row>
    <row r="5" spans="1:5" ht="21.75" customHeight="1" x14ac:dyDescent="0.35">
      <c r="B5" s="52"/>
      <c r="C5" s="315" t="s">
        <v>297</v>
      </c>
      <c r="D5" s="315"/>
    </row>
    <row r="6" spans="1:5" ht="21.75" customHeight="1" x14ac:dyDescent="0.35">
      <c r="B6" s="52"/>
      <c r="C6" s="315" t="s">
        <v>298</v>
      </c>
      <c r="D6" s="315"/>
    </row>
    <row r="7" spans="1:5" ht="21.75" customHeight="1" x14ac:dyDescent="0.35">
      <c r="B7" s="52"/>
      <c r="C7" s="315" t="s">
        <v>299</v>
      </c>
      <c r="D7" s="315"/>
    </row>
    <row r="8" spans="1:5" ht="4.5" customHeight="1" x14ac:dyDescent="0.35">
      <c r="A8" s="53"/>
      <c r="B8" s="53"/>
      <c r="C8" s="53"/>
      <c r="D8" s="53"/>
      <c r="E8" s="53"/>
    </row>
    <row r="9" spans="1:5" ht="30" customHeight="1" x14ac:dyDescent="0.35">
      <c r="B9" s="54" t="s">
        <v>300</v>
      </c>
      <c r="C9" s="323" t="s">
        <v>301</v>
      </c>
      <c r="D9" s="323"/>
    </row>
    <row r="10" spans="1:5" ht="21.75" customHeight="1" x14ac:dyDescent="0.35">
      <c r="B10" s="55"/>
      <c r="C10" s="324" t="s">
        <v>302</v>
      </c>
      <c r="D10" s="324"/>
    </row>
    <row r="11" spans="1:5" ht="21.75" customHeight="1" x14ac:dyDescent="0.35">
      <c r="B11" s="55"/>
      <c r="C11" s="324" t="s">
        <v>303</v>
      </c>
      <c r="D11" s="324"/>
    </row>
    <row r="12" spans="1:5" ht="21.75" customHeight="1" x14ac:dyDescent="0.35">
      <c r="B12" s="55"/>
      <c r="C12" s="324" t="s">
        <v>304</v>
      </c>
      <c r="D12" s="324"/>
    </row>
    <row r="13" spans="1:5" ht="4.5" customHeight="1" x14ac:dyDescent="0.35">
      <c r="A13" s="53"/>
      <c r="B13" s="53"/>
      <c r="C13" s="53"/>
      <c r="D13" s="53"/>
      <c r="E13" s="53"/>
    </row>
    <row r="14" spans="1:5" ht="30" customHeight="1" x14ac:dyDescent="0.35">
      <c r="B14" s="56" t="s">
        <v>305</v>
      </c>
      <c r="C14" s="320" t="s">
        <v>306</v>
      </c>
      <c r="D14" s="320"/>
    </row>
    <row r="15" spans="1:5" ht="21.75" customHeight="1" x14ac:dyDescent="0.35">
      <c r="B15" s="57"/>
      <c r="C15" s="321" t="s">
        <v>307</v>
      </c>
      <c r="D15" s="321"/>
    </row>
    <row r="16" spans="1:5" ht="21.75" customHeight="1" x14ac:dyDescent="0.35">
      <c r="B16" s="57"/>
      <c r="C16" s="321" t="s">
        <v>308</v>
      </c>
      <c r="D16" s="321"/>
    </row>
    <row r="17" spans="1:5" ht="21.75" customHeight="1" x14ac:dyDescent="0.35">
      <c r="B17" s="57"/>
      <c r="C17" s="321" t="s">
        <v>309</v>
      </c>
      <c r="D17" s="321"/>
    </row>
    <row r="18" spans="1:5" ht="4.5" customHeight="1" x14ac:dyDescent="0.35">
      <c r="A18" s="53"/>
      <c r="B18" s="53"/>
      <c r="C18" s="53"/>
      <c r="D18" s="53"/>
      <c r="E18" s="53"/>
    </row>
    <row r="19" spans="1:5" ht="30" customHeight="1" x14ac:dyDescent="0.35">
      <c r="B19" s="58" t="s">
        <v>310</v>
      </c>
      <c r="C19" s="322" t="s">
        <v>311</v>
      </c>
      <c r="D19" s="322"/>
    </row>
    <row r="20" spans="1:5" ht="21.75" customHeight="1" x14ac:dyDescent="0.35">
      <c r="B20" s="59"/>
      <c r="C20" s="319" t="s">
        <v>312</v>
      </c>
      <c r="D20" s="319"/>
    </row>
    <row r="21" spans="1:5" ht="21.75" customHeight="1" x14ac:dyDescent="0.35">
      <c r="B21" s="59"/>
      <c r="C21" s="319" t="s">
        <v>313</v>
      </c>
      <c r="D21" s="319"/>
    </row>
    <row r="22" spans="1:5" ht="21.75" customHeight="1" x14ac:dyDescent="0.35">
      <c r="B22" s="59"/>
      <c r="C22" s="319" t="s">
        <v>314</v>
      </c>
      <c r="D22" s="319"/>
    </row>
    <row r="23" spans="1:5" ht="21.75" customHeight="1" x14ac:dyDescent="0.35">
      <c r="B23" s="59"/>
      <c r="C23" s="319" t="s">
        <v>315</v>
      </c>
      <c r="D23" s="319"/>
    </row>
    <row r="24" spans="1:5" ht="21.75" customHeight="1" x14ac:dyDescent="0.35">
      <c r="B24" s="59"/>
      <c r="C24" s="319" t="s">
        <v>316</v>
      </c>
      <c r="D24" s="319"/>
    </row>
    <row r="25" spans="1:5" ht="4.5" customHeight="1" x14ac:dyDescent="0.35">
      <c r="A25" s="53"/>
      <c r="B25" s="53"/>
      <c r="C25" s="53"/>
      <c r="D25" s="53"/>
      <c r="E25" s="53"/>
    </row>
    <row r="26" spans="1:5" ht="30" customHeight="1" x14ac:dyDescent="0.35">
      <c r="B26" s="60" t="s">
        <v>317</v>
      </c>
      <c r="C26" s="318" t="s">
        <v>318</v>
      </c>
      <c r="D26" s="318"/>
    </row>
    <row r="27" spans="1:5" ht="21.75" customHeight="1" x14ac:dyDescent="0.35">
      <c r="B27" s="52"/>
      <c r="C27" s="315" t="s">
        <v>319</v>
      </c>
      <c r="D27" s="315"/>
    </row>
    <row r="28" spans="1:5" ht="21.75" customHeight="1" x14ac:dyDescent="0.35">
      <c r="B28" s="52"/>
      <c r="C28" s="315" t="s">
        <v>320</v>
      </c>
      <c r="D28" s="315"/>
    </row>
    <row r="29" spans="1:5" ht="21.75" customHeight="1" x14ac:dyDescent="0.35">
      <c r="B29" s="52"/>
      <c r="C29" s="315" t="s">
        <v>321</v>
      </c>
      <c r="D29" s="315"/>
    </row>
    <row r="30" spans="1:5" ht="21.75" customHeight="1" x14ac:dyDescent="0.35">
      <c r="B30" s="52"/>
      <c r="C30" s="315" t="s">
        <v>322</v>
      </c>
      <c r="D30" s="315"/>
    </row>
    <row r="31" spans="1:5" ht="21.75" customHeight="1" x14ac:dyDescent="0.35">
      <c r="B31" s="52"/>
      <c r="C31" s="315" t="s">
        <v>323</v>
      </c>
      <c r="D31" s="315"/>
    </row>
    <row r="32" spans="1:5" ht="4.5" customHeight="1" x14ac:dyDescent="0.35">
      <c r="A32" s="53"/>
      <c r="B32" s="53"/>
      <c r="C32" s="53"/>
      <c r="D32" s="53"/>
      <c r="E32" s="53"/>
    </row>
    <row r="33" spans="1:5" ht="30" customHeight="1" x14ac:dyDescent="0.35">
      <c r="B33" s="61" t="s">
        <v>324</v>
      </c>
      <c r="C33" s="316" t="s">
        <v>325</v>
      </c>
      <c r="D33" s="316"/>
    </row>
    <row r="34" spans="1:5" ht="21.75" customHeight="1" x14ac:dyDescent="0.35">
      <c r="B34" s="62"/>
      <c r="C34" s="317" t="s">
        <v>326</v>
      </c>
      <c r="D34" s="317"/>
    </row>
    <row r="35" spans="1:5" ht="21.75" customHeight="1" x14ac:dyDescent="0.35">
      <c r="B35" s="62"/>
      <c r="C35" s="317" t="s">
        <v>327</v>
      </c>
      <c r="D35" s="317"/>
    </row>
    <row r="36" spans="1:5" ht="21.75" customHeight="1" x14ac:dyDescent="0.35">
      <c r="B36" s="62"/>
      <c r="C36" s="317" t="s">
        <v>328</v>
      </c>
      <c r="D36" s="317"/>
    </row>
    <row r="37" spans="1:5" ht="21.75" customHeight="1" x14ac:dyDescent="0.35">
      <c r="B37" s="62"/>
      <c r="C37" s="313" t="s">
        <v>329</v>
      </c>
      <c r="D37" s="313"/>
    </row>
    <row r="38" spans="1:5" ht="4.5" customHeight="1" x14ac:dyDescent="0.35">
      <c r="A38" s="53"/>
      <c r="B38" s="53"/>
      <c r="C38" s="53"/>
      <c r="D38" s="53"/>
      <c r="E38" s="53"/>
    </row>
    <row r="39" spans="1:5" ht="13.5" customHeight="1" x14ac:dyDescent="0.35">
      <c r="B39" s="314" t="s">
        <v>330</v>
      </c>
      <c r="C39" s="314"/>
      <c r="D39" s="314"/>
    </row>
    <row r="40" spans="1:5" ht="21.75" customHeight="1" x14ac:dyDescent="0.35">
      <c r="B40" s="63" t="s">
        <v>331</v>
      </c>
      <c r="C40" s="312" t="s">
        <v>332</v>
      </c>
      <c r="D40" s="312"/>
    </row>
    <row r="41" spans="1:5" ht="21.75" customHeight="1" x14ac:dyDescent="0.35">
      <c r="B41" s="64" t="s">
        <v>333</v>
      </c>
      <c r="C41" s="311" t="s">
        <v>334</v>
      </c>
      <c r="D41" s="311"/>
    </row>
    <row r="42" spans="1:5" ht="21.75" customHeight="1" x14ac:dyDescent="0.35">
      <c r="B42" s="63" t="s">
        <v>335</v>
      </c>
      <c r="C42" s="312" t="s">
        <v>336</v>
      </c>
      <c r="D42" s="312"/>
    </row>
    <row r="43" spans="1:5" ht="21.75" customHeight="1" x14ac:dyDescent="0.35">
      <c r="B43" s="64" t="s">
        <v>337</v>
      </c>
      <c r="C43" s="311" t="s">
        <v>338</v>
      </c>
      <c r="D43" s="311"/>
    </row>
    <row r="44" spans="1:5" ht="21.75" customHeight="1" x14ac:dyDescent="0.35">
      <c r="B44" s="63" t="s">
        <v>339</v>
      </c>
      <c r="C44" s="312" t="s">
        <v>340</v>
      </c>
      <c r="D44" s="312"/>
    </row>
    <row r="45" spans="1:5" ht="21.75" customHeight="1" x14ac:dyDescent="0.35">
      <c r="B45" s="64" t="s">
        <v>341</v>
      </c>
      <c r="C45" s="311" t="s">
        <v>342</v>
      </c>
      <c r="D45" s="311"/>
    </row>
  </sheetData>
  <mergeCells count="38">
    <mergeCell ref="B1:D1"/>
    <mergeCell ref="B2:D2"/>
    <mergeCell ref="C4:D4"/>
    <mergeCell ref="C5:D5"/>
    <mergeCell ref="C6:D6"/>
    <mergeCell ref="C7:D7"/>
    <mergeCell ref="C9:D9"/>
    <mergeCell ref="C10:D10"/>
    <mergeCell ref="C11:D11"/>
    <mergeCell ref="C12:D12"/>
    <mergeCell ref="C14:D14"/>
    <mergeCell ref="C15:D15"/>
    <mergeCell ref="C16:D16"/>
    <mergeCell ref="C17:D17"/>
    <mergeCell ref="C19:D19"/>
    <mergeCell ref="C20:D20"/>
    <mergeCell ref="C21:D21"/>
    <mergeCell ref="C22:D22"/>
    <mergeCell ref="C23:D23"/>
    <mergeCell ref="C24:D24"/>
    <mergeCell ref="C26:D26"/>
    <mergeCell ref="C27:D27"/>
    <mergeCell ref="C28:D28"/>
    <mergeCell ref="C29:D29"/>
    <mergeCell ref="C30:D30"/>
    <mergeCell ref="C31:D31"/>
    <mergeCell ref="C33:D33"/>
    <mergeCell ref="C34:D34"/>
    <mergeCell ref="C35:D35"/>
    <mergeCell ref="C36:D36"/>
    <mergeCell ref="C43:D43"/>
    <mergeCell ref="C44:D44"/>
    <mergeCell ref="C45:D45"/>
    <mergeCell ref="C37:D37"/>
    <mergeCell ref="B39:D39"/>
    <mergeCell ref="C40:D40"/>
    <mergeCell ref="C41:D41"/>
    <mergeCell ref="C42:D42"/>
  </mergeCells>
  <pageMargins left="0.75" right="0.75" top="1" bottom="1" header="0.511811023622047" footer="0.511811023622047"/>
  <pageSetup paperSize="9" orientation="portrait" horizontalDpi="300" verticalDpi="30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13">
    <tabColor rgb="FF2E86C1"/>
  </sheetPr>
  <dimension ref="A1:K35"/>
  <sheetViews>
    <sheetView showGridLines="0" topLeftCell="A14" zoomScaleNormal="100" workbookViewId="0">
      <selection activeCell="G19" sqref="G19"/>
    </sheetView>
  </sheetViews>
  <sheetFormatPr defaultColWidth="8.6328125" defaultRowHeight="14.5" x14ac:dyDescent="0.35"/>
  <cols>
    <col min="1" max="1" width="1.453125" customWidth="1"/>
    <col min="2" max="2" width="22" customWidth="1"/>
    <col min="3" max="3" width="9" customWidth="1"/>
    <col min="4" max="4" width="32" customWidth="1"/>
    <col min="5" max="5" width="24" customWidth="1"/>
    <col min="6" max="6" width="12" customWidth="1"/>
    <col min="7" max="8" width="16" customWidth="1"/>
    <col min="9" max="9" width="13" customWidth="1"/>
    <col min="10" max="10" width="10" customWidth="1"/>
    <col min="11" max="11" width="30" customWidth="1"/>
  </cols>
  <sheetData>
    <row r="1" spans="1:11" ht="33.75" customHeight="1" x14ac:dyDescent="0.35">
      <c r="A1" s="1"/>
      <c r="B1" s="328" t="s">
        <v>343</v>
      </c>
      <c r="C1" s="328"/>
      <c r="D1" s="328"/>
      <c r="E1" s="328"/>
      <c r="F1" s="328"/>
      <c r="G1" s="328"/>
      <c r="H1" s="328"/>
      <c r="I1" s="1"/>
    </row>
    <row r="2" spans="1:11" ht="15.75" customHeight="1" x14ac:dyDescent="0.35">
      <c r="B2" s="329" t="s">
        <v>344</v>
      </c>
      <c r="C2" s="329"/>
      <c r="D2" s="329"/>
      <c r="E2" s="329"/>
      <c r="F2" s="329"/>
      <c r="G2" s="329"/>
      <c r="H2" s="329"/>
    </row>
    <row r="3" spans="1:11" ht="21.75" customHeight="1" x14ac:dyDescent="0.35">
      <c r="B3" s="66" t="s">
        <v>345</v>
      </c>
      <c r="C3" s="66" t="s">
        <v>346</v>
      </c>
      <c r="D3" s="66" t="s">
        <v>347</v>
      </c>
      <c r="E3" s="66" t="s">
        <v>348</v>
      </c>
      <c r="F3" s="66" t="s">
        <v>349</v>
      </c>
      <c r="G3" s="66" t="s">
        <v>350</v>
      </c>
      <c r="H3" s="66" t="s">
        <v>351</v>
      </c>
      <c r="I3" s="67" t="s">
        <v>352</v>
      </c>
      <c r="J3" s="67" t="s">
        <v>353</v>
      </c>
      <c r="K3" s="67" t="s">
        <v>354</v>
      </c>
    </row>
    <row r="4" spans="1:11" ht="36" customHeight="1" x14ac:dyDescent="0.35">
      <c r="B4" s="68" t="s">
        <v>355</v>
      </c>
      <c r="C4" s="69" t="s">
        <v>356</v>
      </c>
      <c r="D4" s="70" t="s">
        <v>357</v>
      </c>
      <c r="E4" s="71" t="s">
        <v>358</v>
      </c>
      <c r="F4" s="72">
        <v>4</v>
      </c>
      <c r="G4" s="73" t="s">
        <v>359</v>
      </c>
      <c r="H4" s="74">
        <f t="shared" ref="H4:H11" si="0">IF(C4="YES",F4*IF(G4="DAILY",5,IF(G4="WEEKLY",3,IF(G4="MONTHLY",2,1))),0)</f>
        <v>20</v>
      </c>
      <c r="I4" s="75">
        <f>COUNTIF(FMEA_DATA!$M$4:$M$18,"OPEN")</f>
        <v>12</v>
      </c>
      <c r="J4" s="76">
        <f>COUNTIF(CASE_DATA!$G$4:$G$23,"OPEN")+COUNTIF(CASE_DATA!$G$4:$G$23,"IN PROGRESS")</f>
        <v>20</v>
      </c>
      <c r="K4" s="77"/>
    </row>
    <row r="5" spans="1:11" ht="36" customHeight="1" x14ac:dyDescent="0.35">
      <c r="B5" s="78" t="s">
        <v>360</v>
      </c>
      <c r="C5" s="69" t="s">
        <v>356</v>
      </c>
      <c r="D5" s="70" t="s">
        <v>361</v>
      </c>
      <c r="E5" s="71" t="s">
        <v>362</v>
      </c>
      <c r="F5" s="72">
        <v>4</v>
      </c>
      <c r="G5" s="73" t="s">
        <v>359</v>
      </c>
      <c r="H5" s="74">
        <f t="shared" si="0"/>
        <v>20</v>
      </c>
      <c r="I5" s="75">
        <f>COUNTIF(FMEA_DATA!$M$4:$M$18,"OPEN")</f>
        <v>12</v>
      </c>
      <c r="J5" s="76">
        <f>COUNTIF(CASE_DATA!$G$4:$G$23,"OPEN")+COUNTIF(CASE_DATA!$G$4:$G$23,"IN PROGRESS")</f>
        <v>20</v>
      </c>
      <c r="K5" s="77"/>
    </row>
    <row r="6" spans="1:11" ht="36" customHeight="1" x14ac:dyDescent="0.35">
      <c r="B6" s="79" t="s">
        <v>363</v>
      </c>
      <c r="C6" s="69" t="s">
        <v>364</v>
      </c>
      <c r="D6" s="70"/>
      <c r="E6" s="71" t="s">
        <v>365</v>
      </c>
      <c r="F6" s="72">
        <v>2</v>
      </c>
      <c r="G6" s="73" t="s">
        <v>366</v>
      </c>
      <c r="H6" s="74">
        <f t="shared" si="0"/>
        <v>0</v>
      </c>
      <c r="I6" s="75">
        <f>COUNTIF(FMEA_DATA!$M$4:$M$18,"OPEN")</f>
        <v>12</v>
      </c>
      <c r="J6" s="76">
        <f>COUNTIF(CASE_DATA!$G$4:$G$23,"OPEN")+COUNTIF(CASE_DATA!$G$4:$G$23,"IN PROGRESS")</f>
        <v>20</v>
      </c>
      <c r="K6" s="77"/>
    </row>
    <row r="7" spans="1:11" ht="36" customHeight="1" x14ac:dyDescent="0.35">
      <c r="B7" s="80" t="s">
        <v>367</v>
      </c>
      <c r="C7" s="69" t="s">
        <v>356</v>
      </c>
      <c r="D7" s="70" t="s">
        <v>368</v>
      </c>
      <c r="E7" s="71" t="s">
        <v>369</v>
      </c>
      <c r="F7" s="72">
        <v>5</v>
      </c>
      <c r="G7" s="73" t="s">
        <v>359</v>
      </c>
      <c r="H7" s="74">
        <f t="shared" si="0"/>
        <v>25</v>
      </c>
      <c r="I7" s="75">
        <f>COUNTIF(FMEA_DATA!$M$4:$M$18,"OPEN")</f>
        <v>12</v>
      </c>
      <c r="J7" s="76">
        <f>COUNTIF(CASE_DATA!$G$4:$G$23,"OPEN")+COUNTIF(CASE_DATA!$G$4:$G$23,"IN PROGRESS")</f>
        <v>20</v>
      </c>
      <c r="K7" s="77"/>
    </row>
    <row r="8" spans="1:11" ht="36" customHeight="1" x14ac:dyDescent="0.35">
      <c r="B8" s="81" t="s">
        <v>370</v>
      </c>
      <c r="C8" s="69" t="s">
        <v>364</v>
      </c>
      <c r="D8" s="70"/>
      <c r="E8" s="71" t="s">
        <v>371</v>
      </c>
      <c r="F8" s="72">
        <v>3</v>
      </c>
      <c r="G8" s="73" t="s">
        <v>366</v>
      </c>
      <c r="H8" s="74">
        <f t="shared" si="0"/>
        <v>0</v>
      </c>
      <c r="I8" s="75">
        <f>COUNTIF(FMEA_DATA!$M$4:$M$18,"OPEN")</f>
        <v>12</v>
      </c>
      <c r="J8" s="76">
        <f>COUNTIF(CASE_DATA!$G$4:$G$23,"OPEN")+COUNTIF(CASE_DATA!$G$4:$G$23,"IN PROGRESS")</f>
        <v>20</v>
      </c>
      <c r="K8" s="77"/>
    </row>
    <row r="9" spans="1:11" ht="36" customHeight="1" x14ac:dyDescent="0.35">
      <c r="B9" s="82" t="s">
        <v>372</v>
      </c>
      <c r="C9" s="69" t="s">
        <v>356</v>
      </c>
      <c r="D9" s="70" t="s">
        <v>373</v>
      </c>
      <c r="E9" s="288" t="s">
        <v>374</v>
      </c>
      <c r="F9" s="72">
        <v>3</v>
      </c>
      <c r="G9" s="73" t="s">
        <v>366</v>
      </c>
      <c r="H9" s="74">
        <f t="shared" si="0"/>
        <v>9</v>
      </c>
      <c r="I9" s="75">
        <f>COUNTIF(FMEA_DATA!$M$4:$M$18,"OPEN")</f>
        <v>12</v>
      </c>
      <c r="J9" s="76">
        <f>COUNTIF(CASE_DATA!$G$4:$G$23,"OPEN")+COUNTIF(CASE_DATA!$G$4:$G$23,"IN PROGRESS")</f>
        <v>20</v>
      </c>
      <c r="K9" s="77"/>
    </row>
    <row r="10" spans="1:11" ht="36" customHeight="1" x14ac:dyDescent="0.35">
      <c r="B10" s="83" t="s">
        <v>265</v>
      </c>
      <c r="C10" s="69" t="s">
        <v>356</v>
      </c>
      <c r="D10" s="70" t="s">
        <v>375</v>
      </c>
      <c r="E10" s="71" t="s">
        <v>376</v>
      </c>
      <c r="F10" s="72">
        <v>5</v>
      </c>
      <c r="G10" s="73" t="s">
        <v>366</v>
      </c>
      <c r="H10" s="74">
        <f t="shared" si="0"/>
        <v>15</v>
      </c>
      <c r="I10" s="75">
        <f>COUNTIF(FMEA_DATA!$M$4:$M$18,"OPEN")</f>
        <v>12</v>
      </c>
      <c r="J10" s="76">
        <f>COUNTIF(CASE_DATA!$G$4:$G$23,"OPEN")+COUNTIF(CASE_DATA!$G$4:$G$23,"IN PROGRESS")</f>
        <v>20</v>
      </c>
      <c r="K10" s="77"/>
    </row>
    <row r="11" spans="1:11" ht="36" customHeight="1" x14ac:dyDescent="0.35">
      <c r="B11" s="84" t="s">
        <v>377</v>
      </c>
      <c r="C11" s="69" t="s">
        <v>356</v>
      </c>
      <c r="D11" s="70" t="s">
        <v>378</v>
      </c>
      <c r="E11" s="71" t="s">
        <v>379</v>
      </c>
      <c r="F11" s="72">
        <v>4</v>
      </c>
      <c r="G11" s="73" t="s">
        <v>380</v>
      </c>
      <c r="H11" s="74">
        <f t="shared" si="0"/>
        <v>8</v>
      </c>
      <c r="I11" s="75">
        <f>COUNTIF(FMEA_DATA!$M$4:$M$18,"OPEN")</f>
        <v>12</v>
      </c>
      <c r="J11" s="76">
        <f>COUNTIF(CASE_DATA!$G$4:$G$23,"OPEN")+COUNTIF(CASE_DATA!$G$4:$G$23,"IN PROGRESS")</f>
        <v>20</v>
      </c>
      <c r="K11" s="77"/>
    </row>
    <row r="13" spans="1:11" ht="19.5" customHeight="1" x14ac:dyDescent="0.35">
      <c r="B13" s="303" t="s">
        <v>381</v>
      </c>
      <c r="C13" s="303"/>
      <c r="D13" s="303"/>
      <c r="E13" s="303"/>
      <c r="F13" s="303"/>
      <c r="G13" s="303"/>
    </row>
    <row r="14" spans="1:11" ht="19.5" customHeight="1" x14ac:dyDescent="0.35">
      <c r="B14" s="85" t="s">
        <v>382</v>
      </c>
      <c r="C14" s="85" t="s">
        <v>351</v>
      </c>
      <c r="D14" s="85" t="s">
        <v>383</v>
      </c>
      <c r="E14" s="85" t="s">
        <v>384</v>
      </c>
    </row>
    <row r="15" spans="1:11" ht="19.5" customHeight="1" x14ac:dyDescent="0.35">
      <c r="B15" s="86" t="str">
        <f>IFERROR(INDEX($B$4:$B$11,MATCH(LARGE($H$4:$H$11,1),$H$4:$H$11,0)),"")</f>
        <v>WAITING</v>
      </c>
      <c r="C15" s="87">
        <f>IFERROR(LARGE($H$4:$H$11,1),0)</f>
        <v>25</v>
      </c>
      <c r="D15" s="88">
        <f>IFERROR(SUM($C$15:C15)/SUM($C$15:$C$22),0)</f>
        <v>0.25773195876288657</v>
      </c>
      <c r="E15" s="89">
        <f>1</f>
        <v>1</v>
      </c>
    </row>
    <row r="16" spans="1:11" ht="19.5" customHeight="1" x14ac:dyDescent="0.35">
      <c r="B16" s="86" t="str">
        <f>IFERROR(INDEX($B$4:$B$11,MATCH(LARGE($H$4:$H$11,2),$H$4:$H$11,0)),"")</f>
        <v>TRANSPORT</v>
      </c>
      <c r="C16" s="87">
        <f>IFERROR(LARGE($H$4:$H$11,2),0)</f>
        <v>20</v>
      </c>
      <c r="D16" s="88">
        <f>IFERROR(SUM($C$15:C16)/SUM($C$15:$C$22),0)</f>
        <v>0.46391752577319589</v>
      </c>
      <c r="E16" s="89">
        <f>2</f>
        <v>2</v>
      </c>
    </row>
    <row r="17" spans="2:5" ht="19.5" customHeight="1" x14ac:dyDescent="0.35">
      <c r="B17" s="86" t="str">
        <f>IFERROR(INDEX($B$4:$B$11,MATCH(LARGE($H$4:$H$11,3),$H$4:$H$11,0)),"")</f>
        <v>TRANSPORT</v>
      </c>
      <c r="C17" s="87">
        <f>IFERROR(LARGE($H$4:$H$11,3),0)</f>
        <v>20</v>
      </c>
      <c r="D17" s="88">
        <f>IFERROR(SUM($C$15:C17)/SUM($C$15:$C$22),0)</f>
        <v>0.67010309278350511</v>
      </c>
      <c r="E17" s="89">
        <f>3</f>
        <v>3</v>
      </c>
    </row>
    <row r="18" spans="2:5" ht="19.5" customHeight="1" x14ac:dyDescent="0.35">
      <c r="B18" s="86" t="str">
        <f>IFERROR(INDEX($B$4:$B$11,MATCH(LARGE($H$4:$H$11,4),$H$4:$H$11,0)),"")</f>
        <v>DEFECTS</v>
      </c>
      <c r="C18" s="87">
        <f>IFERROR(LARGE($H$4:$H$11,4),0)</f>
        <v>15</v>
      </c>
      <c r="D18" s="88">
        <f>IFERROR(SUM($C$15:C18)/SUM($C$15:$C$22),0)</f>
        <v>0.82474226804123707</v>
      </c>
      <c r="E18" s="89">
        <f>4</f>
        <v>4</v>
      </c>
    </row>
    <row r="19" spans="2:5" ht="19.5" customHeight="1" x14ac:dyDescent="0.35">
      <c r="B19" s="86" t="str">
        <f>IFERROR(INDEX($B$4:$B$11,MATCH(LARGE($H$4:$H$11,5),$H$4:$H$11,0)),"")</f>
        <v>OVER-PROCESSING</v>
      </c>
      <c r="C19" s="87">
        <f>IFERROR(LARGE($H$4:$H$11,5),0)</f>
        <v>9</v>
      </c>
      <c r="D19" s="88">
        <f>IFERROR(SUM($C$15:C19)/SUM($C$15:$C$22),0)</f>
        <v>0.91752577319587625</v>
      </c>
      <c r="E19" s="89">
        <f>5</f>
        <v>5</v>
      </c>
    </row>
    <row r="20" spans="2:5" ht="19.5" customHeight="1" x14ac:dyDescent="0.35">
      <c r="B20" s="86" t="str">
        <f>IFERROR(INDEX($B$4:$B$11,MATCH(LARGE($H$4:$H$11,6),$H$4:$H$11,0)),"")</f>
        <v>UNUSED SKILLS</v>
      </c>
      <c r="C20" s="87">
        <f>IFERROR(LARGE($H$4:$H$11,6),0)</f>
        <v>8</v>
      </c>
      <c r="D20" s="88">
        <f>IFERROR(SUM($C$15:C20)/SUM($C$15:$C$22),0)</f>
        <v>1</v>
      </c>
      <c r="E20" s="89">
        <f>6</f>
        <v>6</v>
      </c>
    </row>
    <row r="21" spans="2:5" ht="19.5" customHeight="1" x14ac:dyDescent="0.35">
      <c r="B21" s="86" t="str">
        <f>IFERROR(INDEX($B$4:$B$11,MATCH(LARGE($H$4:$H$11,7),$H$4:$H$11,0)),"")</f>
        <v>MOTION</v>
      </c>
      <c r="C21" s="87">
        <f>IFERROR(LARGE($H$4:$H$11,7),0)</f>
        <v>0</v>
      </c>
      <c r="D21" s="88">
        <f>IFERROR(SUM($C$15:C21)/SUM($C$15:$C$22),0)</f>
        <v>1</v>
      </c>
      <c r="E21" s="89">
        <f>7</f>
        <v>7</v>
      </c>
    </row>
    <row r="22" spans="2:5" ht="19.5" customHeight="1" x14ac:dyDescent="0.35">
      <c r="B22" s="86" t="str">
        <f>IFERROR(INDEX($B$4:$B$11,MATCH(LARGE($H$4:$H$11,8),$H$4:$H$11,0)),"")</f>
        <v>MOTION</v>
      </c>
      <c r="C22" s="87">
        <f>IFERROR(LARGE($H$4:$H$11,8),0)</f>
        <v>0</v>
      </c>
      <c r="D22" s="88">
        <f>IFERROR(SUM($C$15:C22)/SUM($C$15:$C$22),0)</f>
        <v>1</v>
      </c>
      <c r="E22" s="89">
        <f>8</f>
        <v>8</v>
      </c>
    </row>
    <row r="35" spans="2:2" ht="14.25" customHeight="1" x14ac:dyDescent="0.35">
      <c r="B35">
        <f>COUNTIF(C4:C11,"YES")</f>
        <v>6</v>
      </c>
    </row>
  </sheetData>
  <mergeCells count="3">
    <mergeCell ref="B1:H1"/>
    <mergeCell ref="B2:H2"/>
    <mergeCell ref="B13:G13"/>
  </mergeCells>
  <conditionalFormatting sqref="C4:C11">
    <cfRule type="cellIs" dxfId="14" priority="2" operator="equal">
      <formula>"YES"</formula>
    </cfRule>
    <cfRule type="cellIs" dxfId="13" priority="3" operator="equal">
      <formula>"NO"</formula>
    </cfRule>
    <cfRule type="cellIs" dxfId="12" priority="4" operator="equal">
      <formula>"SUSPECTED"</formula>
    </cfRule>
  </conditionalFormatting>
  <dataValidations count="12">
    <dataValidation type="list" allowBlank="1" showInputMessage="1" showErrorMessage="1" errorTitle="Invalid Entry" error="Select from dropdown list." promptTitle="Present?" prompt="Is this waste present in the process?" sqref="C4:C11" xr:uid="{00000000-0002-0000-0300-000000000000}">
      <formula1>"YES,NO,SUSPECTED"</formula1>
      <formula2>0</formula2>
    </dataValidation>
    <dataValidation type="list" allowBlank="1" showInputMessage="1" showErrorMessage="1" errorTitle="Invalid Entry" error="Select from dropdown list." promptTitle="Severity" prompt="1=Negligible → 5=Critical" sqref="F4:F11" xr:uid="{00000000-0002-0000-0300-000001000000}">
      <formula1>"1,2,3,4,5"</formula1>
      <formula2>0</formula2>
    </dataValidation>
    <dataValidation type="list" allowBlank="1" showInputMessage="1" showErrorMessage="1" errorTitle="Invalid Entry" error="Select from dropdown list." promptTitle="Frequency" prompt="How often does this waste occur?" sqref="G4:G11" xr:uid="{00000000-0002-0000-0300-000002000000}">
      <formula1>"DAILY,WEEKLY,MONTHLY,RARELY"</formula1>
      <formula2>0</formula2>
    </dataValidation>
    <dataValidation type="list" allowBlank="1" showInputMessage="1" showErrorMessage="1" errorTitle="Invalid Entry" error="Select from dropdown list." promptTitle="Observation" prompt="Select or type your observation" sqref="D4" xr:uid="{00000000-0002-0000-0300-000003000000}">
      <formula1>"Unnecessary handoffs between 3+ departments,Items/info physically moved without adding value,Digital files emailed instead of shared in system,Documents printed then re-entered digitally,Work items passed through unnecessary queues"</formula1>
      <formula2>0</formula2>
    </dataValidation>
    <dataValidation type="list" allowBlank="1" showInputMessage="1" showErrorMessage="1" errorTitle="Invalid Entry" error="Select from dropdown list." promptTitle="Observation" prompt="Select or type your observation" sqref="D5" xr:uid="{00000000-0002-0000-0300-000004000000}">
      <formula1>"Backlog of 40+ open tickets at any time,More WIP than process can handle or resolve,Unactioned email backlog &gt; 100 items,Parts/materials waiting with no next step,Completed work not yet deployed or used"</formula1>
      <formula2>0</formula2>
    </dataValidation>
    <dataValidation type="list" allowBlank="1" showInputMessage="1" showErrorMessage="1" errorTitle="Invalid Entry" error="Select from dropdown list." promptTitle="Observation" prompt="Select or type your observation" sqref="D6" xr:uid="{00000000-0002-0000-0300-000005000000}">
      <formula1>"People searching for files or information,Switching between 5+ tools in one day,Walking to get approvals that could be digital,Navigating complex menus to find data,Context-switching between unrelated tasks"</formula1>
      <formula2>0</formula2>
    </dataValidation>
    <dataValidation type="list" allowBlank="1" showInputMessage="1" showErrorMessage="1" errorTitle="Invalid Entry" error="Select from dropdown list." promptTitle="Observation" prompt="Select or type your observation" sqref="D7" xr:uid="{00000000-0002-0000-0300-000006000000}">
      <formula1>"Avg 2+ days waiting for approvals,Waiting for decision-maker availability,Blocking dependency on another team,System access request waiting &gt; 3 days,Waiting for test environment availability"</formula1>
      <formula2>0</formula2>
    </dataValidation>
    <dataValidation type="list" allowBlank="1" showInputMessage="1" showErrorMessage="1" errorTitle="Invalid Entry" error="Select from dropdown list." promptTitle="Observation" prompt="Select or type your observation" sqref="D8" xr:uid="{00000000-0002-0000-0300-000007000000}">
      <formula1>"Making more than needed right now,Building features not yet requested,Reporting data nobody reads,Running batch processes larger than needed,Pre-building inventory that may not be used"</formula1>
      <formula2>0</formula2>
    </dataValidation>
    <dataValidation type="list" allowBlank="1" showInputMessage="1" showErrorMessage="1" errorTitle="Invalid Entry" error="Select from dropdown list." promptTitle="Observation" prompt="Select or type your observation" sqref="D9" xr:uid="{00000000-0002-0000-0300-000008000000}">
      <formula1>"3 sign-offs where 1 would suffice,Gold-plating deliverables beyond requirements,Reformatting same data for different audiences,Multiple review rounds without added value,Excessive documentation beyond what is needed"</formula1>
      <formula2>0</formula2>
    </dataValidation>
    <dataValidation type="list" allowBlank="1" showInputMessage="1" showErrorMessage="1" errorTitle="Invalid Entry" error="Select from dropdown list." promptTitle="Observation" prompt="Select or type your observation" sqref="D10" xr:uid="{00000000-0002-0000-0300-000009000000}">
      <formula1>"12% rework rate on deliverables,Errors escaping to next process step,Defects found in UAT that could be caught earlier,Bug count in production &gt; 5 per sprint,Customer-reported defects per month &gt; 3"</formula1>
      <formula2>0</formula2>
    </dataValidation>
    <dataValidation type="list" allowBlank="1" showInputMessage="1" showErrorMessage="1" errorTitle="Invalid Entry" error="Select from dropdown list." promptTitle="Observation" prompt="Select or type your observation" sqref="D11" xr:uid="{00000000-0002-0000-0300-00000A000000}">
      <formula1>"Team ideas rarely heard or acted on,Technical expertise not matched to tasks,SMEs doing administrative work,Improvement suggestions not followed up,Capability and knowledge not fully utilised"</formula1>
      <formula2>0</formula2>
    </dataValidation>
    <dataValidation type="list" allowBlank="1" showInputMessage="1" showErrorMessage="1" errorTitle="Invalid Entry" error="Select from dropdown list." promptTitle="Lean Action" prompt="Select the recommended lean action for this waste" sqref="K4:K11" xr:uid="{00000000-0002-0000-0300-00000B000000}">
      <formula1>"Raise improvement case in CASE_DATA,Add to FMEA risk register,Launch PDCA cycle to address root cause,Run Kaizen event this sprint,Apply 5S to eliminate this waste,Implement standard work to prevent recurrence,Add to Six Sigma DMAIC project,Map on Value S"</formula1>
      <formula2>0</formula2>
    </dataValidation>
  </dataValidations>
  <pageMargins left="0.75" right="0.75" top="1" bottom="1" header="0.511811023622047" footer="0.511811023622047"/>
  <pageSetup paperSize="9" orientation="portrait" horizontalDpi="300" verticalDpi="30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83E0F7-95AE-45F4-B03E-49D3CA31D4A3}">
  <sheetPr codeName="Ark37">
    <tabColor rgb="FF2E86C1"/>
  </sheetPr>
  <dimension ref="B1:L31"/>
  <sheetViews>
    <sheetView showGridLines="0" workbookViewId="0"/>
  </sheetViews>
  <sheetFormatPr defaultRowHeight="14.5" x14ac:dyDescent="0.35"/>
  <cols>
    <col min="1" max="1" width="2.6328125" customWidth="1"/>
    <col min="2" max="2" width="6.6328125" customWidth="1"/>
    <col min="3" max="3" width="22.6328125" customWidth="1"/>
    <col min="4" max="5" width="14.6328125" customWidth="1"/>
    <col min="6" max="7" width="24.6328125" customWidth="1"/>
  </cols>
  <sheetData>
    <row r="1" spans="2:12" ht="34" customHeight="1" x14ac:dyDescent="0.35">
      <c r="B1" s="330" t="s">
        <v>2260</v>
      </c>
      <c r="C1" s="330"/>
      <c r="D1" s="330"/>
      <c r="E1" s="330"/>
      <c r="F1" s="330"/>
      <c r="G1" s="330"/>
      <c r="H1" s="330"/>
      <c r="I1" s="330"/>
      <c r="J1" s="330"/>
      <c r="K1" s="330"/>
      <c r="L1" s="330"/>
    </row>
    <row r="2" spans="2:12" ht="16" customHeight="1" x14ac:dyDescent="0.35">
      <c r="B2" s="331" t="s">
        <v>385</v>
      </c>
      <c r="C2" s="331"/>
      <c r="D2" s="331"/>
      <c r="E2" s="331"/>
      <c r="F2" s="331"/>
      <c r="G2" s="331"/>
      <c r="H2" s="331"/>
      <c r="I2" s="331"/>
      <c r="J2" s="331"/>
      <c r="K2" s="331"/>
      <c r="L2" s="331"/>
    </row>
    <row r="22" spans="2:7" ht="14" customHeight="1" x14ac:dyDescent="0.35">
      <c r="B22" s="332" t="s">
        <v>386</v>
      </c>
      <c r="C22" s="332"/>
      <c r="D22" s="332"/>
      <c r="E22" s="332"/>
      <c r="F22" s="332"/>
      <c r="G22" s="332"/>
    </row>
    <row r="23" spans="2:7" ht="20" customHeight="1" x14ac:dyDescent="0.35">
      <c r="B23" s="263" t="s">
        <v>384</v>
      </c>
      <c r="C23" s="263" t="s">
        <v>382</v>
      </c>
      <c r="D23" s="263" t="s">
        <v>351</v>
      </c>
      <c r="E23" s="263" t="s">
        <v>383</v>
      </c>
      <c r="F23" s="263" t="s">
        <v>387</v>
      </c>
      <c r="G23" s="263" t="s">
        <v>388</v>
      </c>
    </row>
    <row r="24" spans="2:7" ht="20" customHeight="1" x14ac:dyDescent="0.35">
      <c r="B24" s="264">
        <v>1</v>
      </c>
      <c r="C24" s="265" t="str">
        <f>WASTE_DATA!B15</f>
        <v>WAITING</v>
      </c>
      <c r="D24" s="266">
        <f>WASTE_DATA!C15</f>
        <v>25</v>
      </c>
      <c r="E24" s="267">
        <f>WASTE_DATA!D15</f>
        <v>0.25773195876288657</v>
      </c>
      <c r="F24" s="265" t="str">
        <f>IF(WASTE_DATA!D15&lt;=0.8,"VITAL FEW - Fix NOW","Useful Many")</f>
        <v>VITAL FEW - Fix NOW</v>
      </c>
      <c r="G24" s="265" t="str">
        <f>IF(WASTE_DATA!D15&lt;=0.8,"CRITICAL - Act this sprint","Monitor &amp; queue")</f>
        <v>CRITICAL - Act this sprint</v>
      </c>
    </row>
    <row r="25" spans="2:7" ht="20" customHeight="1" x14ac:dyDescent="0.35">
      <c r="B25" s="268">
        <v>2</v>
      </c>
      <c r="C25" s="269" t="str">
        <f>WASTE_DATA!B16</f>
        <v>TRANSPORT</v>
      </c>
      <c r="D25" s="270">
        <f>WASTE_DATA!C16</f>
        <v>20</v>
      </c>
      <c r="E25" s="271">
        <f>WASTE_DATA!D16</f>
        <v>0.46391752577319589</v>
      </c>
      <c r="F25" s="269" t="str">
        <f>IF(WASTE_DATA!D16&lt;=0.8,"VITAL FEW - Fix NOW","Useful Many")</f>
        <v>VITAL FEW - Fix NOW</v>
      </c>
      <c r="G25" s="269" t="str">
        <f>IF(WASTE_DATA!D16&lt;=0.8,"CRITICAL - Act this sprint","Monitor &amp; queue")</f>
        <v>CRITICAL - Act this sprint</v>
      </c>
    </row>
    <row r="26" spans="2:7" ht="20" customHeight="1" x14ac:dyDescent="0.35">
      <c r="B26" s="264">
        <v>3</v>
      </c>
      <c r="C26" s="265" t="str">
        <f>WASTE_DATA!B17</f>
        <v>TRANSPORT</v>
      </c>
      <c r="D26" s="266">
        <f>WASTE_DATA!C17</f>
        <v>20</v>
      </c>
      <c r="E26" s="267">
        <f>WASTE_DATA!D17</f>
        <v>0.67010309278350511</v>
      </c>
      <c r="F26" s="265" t="str">
        <f>IF(WASTE_DATA!D17&lt;=0.8,"VITAL FEW - Fix NOW","Useful Many")</f>
        <v>VITAL FEW - Fix NOW</v>
      </c>
      <c r="G26" s="265" t="str">
        <f>IF(WASTE_DATA!D17&lt;=0.8,"CRITICAL - Act this sprint","Monitor &amp; queue")</f>
        <v>CRITICAL - Act this sprint</v>
      </c>
    </row>
    <row r="27" spans="2:7" ht="20" customHeight="1" x14ac:dyDescent="0.35">
      <c r="B27" s="268">
        <v>4</v>
      </c>
      <c r="C27" s="269" t="str">
        <f>WASTE_DATA!B18</f>
        <v>DEFECTS</v>
      </c>
      <c r="D27" s="270">
        <f>WASTE_DATA!C18</f>
        <v>15</v>
      </c>
      <c r="E27" s="271">
        <f>WASTE_DATA!D18</f>
        <v>0.82474226804123707</v>
      </c>
      <c r="F27" s="269" t="str">
        <f>IF(WASTE_DATA!D18&lt;=0.8,"VITAL FEW - Fix NOW","Useful Many")</f>
        <v>Useful Many</v>
      </c>
      <c r="G27" s="269" t="str">
        <f>IF(WASTE_DATA!D18&lt;=0.8,"CRITICAL - Act this sprint","Monitor &amp; queue")</f>
        <v>Monitor &amp; queue</v>
      </c>
    </row>
    <row r="28" spans="2:7" ht="20" customHeight="1" x14ac:dyDescent="0.35">
      <c r="B28" s="264">
        <v>5</v>
      </c>
      <c r="C28" s="265" t="str">
        <f>WASTE_DATA!B19</f>
        <v>OVER-PROCESSING</v>
      </c>
      <c r="D28" s="266">
        <f>WASTE_DATA!C19</f>
        <v>9</v>
      </c>
      <c r="E28" s="267">
        <f>WASTE_DATA!D19</f>
        <v>0.91752577319587625</v>
      </c>
      <c r="F28" s="265" t="str">
        <f>IF(WASTE_DATA!D19&lt;=0.8,"VITAL FEW - Fix NOW","Useful Many")</f>
        <v>Useful Many</v>
      </c>
      <c r="G28" s="265" t="str">
        <f>IF(WASTE_DATA!D19&lt;=0.8,"CRITICAL - Act this sprint","Monitor &amp; queue")</f>
        <v>Monitor &amp; queue</v>
      </c>
    </row>
    <row r="29" spans="2:7" ht="20" customHeight="1" x14ac:dyDescent="0.35">
      <c r="B29" s="268">
        <v>6</v>
      </c>
      <c r="C29" s="269" t="str">
        <f>WASTE_DATA!B20</f>
        <v>UNUSED SKILLS</v>
      </c>
      <c r="D29" s="270">
        <f>WASTE_DATA!C20</f>
        <v>8</v>
      </c>
      <c r="E29" s="271">
        <f>WASTE_DATA!D20</f>
        <v>1</v>
      </c>
      <c r="F29" s="269" t="str">
        <f>IF(WASTE_DATA!D20&lt;=0.8,"VITAL FEW - Fix NOW","Useful Many")</f>
        <v>Useful Many</v>
      </c>
      <c r="G29" s="269" t="str">
        <f>IF(WASTE_DATA!D20&lt;=0.8,"CRITICAL - Act this sprint","Monitor &amp; queue")</f>
        <v>Monitor &amp; queue</v>
      </c>
    </row>
    <row r="30" spans="2:7" ht="20" customHeight="1" x14ac:dyDescent="0.35">
      <c r="B30" s="264">
        <v>7</v>
      </c>
      <c r="C30" s="265" t="str">
        <f>WASTE_DATA!B21</f>
        <v>MOTION</v>
      </c>
      <c r="D30" s="266">
        <f>WASTE_DATA!C21</f>
        <v>0</v>
      </c>
      <c r="E30" s="267">
        <f>WASTE_DATA!D21</f>
        <v>1</v>
      </c>
      <c r="F30" s="265" t="str">
        <f>IF(WASTE_DATA!D21&lt;=0.8,"VITAL FEW - Fix NOW","Useful Many")</f>
        <v>Useful Many</v>
      </c>
      <c r="G30" s="265" t="str">
        <f>IF(WASTE_DATA!D21&lt;=0.8,"CRITICAL - Act this sprint","Monitor &amp; queue")</f>
        <v>Monitor &amp; queue</v>
      </c>
    </row>
    <row r="31" spans="2:7" ht="20" customHeight="1" x14ac:dyDescent="0.35">
      <c r="B31" s="268">
        <v>8</v>
      </c>
      <c r="C31" s="269" t="str">
        <f>WASTE_DATA!B22</f>
        <v>MOTION</v>
      </c>
      <c r="D31" s="270">
        <f>WASTE_DATA!C22</f>
        <v>0</v>
      </c>
      <c r="E31" s="271">
        <f>WASTE_DATA!D22</f>
        <v>1</v>
      </c>
      <c r="F31" s="269" t="str">
        <f>IF(WASTE_DATA!D22&lt;=0.8,"VITAL FEW - Fix NOW","Useful Many")</f>
        <v>Useful Many</v>
      </c>
      <c r="G31" s="269" t="str">
        <f>IF(WASTE_DATA!D22&lt;=0.8,"CRITICAL - Act this sprint","Monitor &amp; queue")</f>
        <v>Monitor &amp; queue</v>
      </c>
    </row>
  </sheetData>
  <mergeCells count="3">
    <mergeCell ref="B1:L1"/>
    <mergeCell ref="B2:L2"/>
    <mergeCell ref="B22:G22"/>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15">
    <tabColor rgb="FF1E8449"/>
  </sheetPr>
  <dimension ref="A1:F55"/>
  <sheetViews>
    <sheetView showGridLines="0" topLeftCell="A46" zoomScaleNormal="100" workbookViewId="0">
      <selection activeCell="B32" sqref="B32"/>
    </sheetView>
  </sheetViews>
  <sheetFormatPr defaultColWidth="8.6328125" defaultRowHeight="14.5" x14ac:dyDescent="0.35"/>
  <cols>
    <col min="1" max="1" width="1.453125" customWidth="1"/>
    <col min="2" max="2" width="20" customWidth="1"/>
    <col min="3" max="4" width="30" customWidth="1"/>
    <col min="5" max="5" width="22" customWidth="1"/>
    <col min="6" max="6" width="8.6328125" bestFit="1" customWidth="1"/>
  </cols>
  <sheetData>
    <row r="1" spans="1:6" ht="33.75" customHeight="1" x14ac:dyDescent="0.35">
      <c r="A1" s="1"/>
      <c r="B1" s="328" t="s">
        <v>389</v>
      </c>
      <c r="C1" s="328"/>
      <c r="D1" s="328"/>
      <c r="E1" s="328"/>
      <c r="F1" s="1"/>
    </row>
    <row r="2" spans="1:6" ht="15.75" customHeight="1" x14ac:dyDescent="0.35">
      <c r="B2" s="338" t="s">
        <v>390</v>
      </c>
      <c r="C2" s="338"/>
      <c r="D2" s="338"/>
      <c r="E2" s="338"/>
    </row>
    <row r="4" spans="1:6" ht="19.5" customHeight="1" x14ac:dyDescent="0.35">
      <c r="B4" s="334" t="s">
        <v>391</v>
      </c>
      <c r="C4" s="334"/>
      <c r="D4" s="334"/>
      <c r="E4" s="334"/>
    </row>
    <row r="5" spans="1:6" ht="31.5" customHeight="1" x14ac:dyDescent="0.35">
      <c r="B5" s="339" t="s">
        <v>392</v>
      </c>
      <c r="C5" s="339"/>
      <c r="D5" s="339"/>
      <c r="E5" s="339"/>
    </row>
    <row r="7" spans="1:6" ht="19.5" customHeight="1" x14ac:dyDescent="0.35">
      <c r="B7" s="340" t="s">
        <v>393</v>
      </c>
      <c r="C7" s="340"/>
      <c r="D7" s="340"/>
      <c r="E7" s="340"/>
    </row>
    <row r="8" spans="1:6" ht="15.75" customHeight="1" x14ac:dyDescent="0.35">
      <c r="B8" s="66" t="s">
        <v>394</v>
      </c>
      <c r="C8" s="66" t="s">
        <v>395</v>
      </c>
      <c r="D8" s="66" t="s">
        <v>396</v>
      </c>
      <c r="E8" s="67" t="s">
        <v>397</v>
      </c>
      <c r="F8" s="67" t="s">
        <v>398</v>
      </c>
    </row>
    <row r="9" spans="1:6" ht="27.75" customHeight="1" x14ac:dyDescent="0.35">
      <c r="B9" s="90">
        <v>1</v>
      </c>
      <c r="C9" s="70" t="s">
        <v>399</v>
      </c>
      <c r="D9" s="91"/>
      <c r="E9" s="65"/>
      <c r="F9" s="75">
        <f>COUNTIF(FMEA_DATA!$M$4:$M$18,"OPEN")</f>
        <v>12</v>
      </c>
    </row>
    <row r="10" spans="1:6" ht="27.75" customHeight="1" x14ac:dyDescent="0.35">
      <c r="B10" s="90">
        <v>2</v>
      </c>
      <c r="C10" s="70" t="s">
        <v>400</v>
      </c>
      <c r="D10" s="91"/>
      <c r="E10" s="65"/>
      <c r="F10" s="75">
        <f>COUNTIF(FMEA_DATA!$M$4:$M$18,"OPEN")</f>
        <v>12</v>
      </c>
    </row>
    <row r="11" spans="1:6" ht="27.75" customHeight="1" x14ac:dyDescent="0.35">
      <c r="B11" s="90">
        <v>3</v>
      </c>
      <c r="C11" s="70" t="s">
        <v>401</v>
      </c>
      <c r="D11" s="91"/>
      <c r="E11" s="65"/>
      <c r="F11" s="75">
        <f>COUNTIF(FMEA_DATA!$M$4:$M$18,"OPEN")</f>
        <v>12</v>
      </c>
    </row>
    <row r="12" spans="1:6" ht="27.75" customHeight="1" x14ac:dyDescent="0.35">
      <c r="B12" s="90">
        <v>4</v>
      </c>
      <c r="C12" s="70" t="s">
        <v>402</v>
      </c>
      <c r="D12" s="91"/>
      <c r="E12" s="65"/>
      <c r="F12" s="75">
        <f>COUNTIF(FMEA_DATA!$M$4:$M$18,"OPEN")</f>
        <v>12</v>
      </c>
    </row>
    <row r="13" spans="1:6" ht="6" customHeight="1" x14ac:dyDescent="0.35">
      <c r="B13" s="53"/>
      <c r="C13" s="53"/>
      <c r="D13" s="53"/>
      <c r="E13" s="53"/>
    </row>
    <row r="14" spans="1:6" ht="19.5" customHeight="1" x14ac:dyDescent="0.35">
      <c r="B14" s="333" t="s">
        <v>403</v>
      </c>
      <c r="C14" s="333"/>
      <c r="D14" s="333"/>
      <c r="E14" s="333"/>
    </row>
    <row r="15" spans="1:6" ht="15.75" customHeight="1" x14ac:dyDescent="0.35">
      <c r="B15" s="92" t="s">
        <v>394</v>
      </c>
      <c r="C15" s="92" t="s">
        <v>395</v>
      </c>
      <c r="D15" s="92" t="s">
        <v>396</v>
      </c>
      <c r="E15" s="67" t="s">
        <v>397</v>
      </c>
      <c r="F15" s="67" t="s">
        <v>398</v>
      </c>
    </row>
    <row r="16" spans="1:6" ht="27.75" customHeight="1" x14ac:dyDescent="0.35">
      <c r="B16" s="93">
        <v>1</v>
      </c>
      <c r="C16" s="70" t="s">
        <v>404</v>
      </c>
      <c r="D16" s="91"/>
      <c r="E16" s="65"/>
      <c r="F16" s="75">
        <f>COUNTIF(FMEA_DATA!$M$4:$M$18,"OPEN")</f>
        <v>12</v>
      </c>
    </row>
    <row r="17" spans="2:6" ht="27.75" customHeight="1" x14ac:dyDescent="0.35">
      <c r="B17" s="93">
        <v>2</v>
      </c>
      <c r="C17" s="70" t="s">
        <v>405</v>
      </c>
      <c r="D17" s="91"/>
      <c r="E17" s="65"/>
      <c r="F17" s="75">
        <f>COUNTIF(FMEA_DATA!$M$4:$M$18,"OPEN")</f>
        <v>12</v>
      </c>
    </row>
    <row r="18" spans="2:6" ht="27.75" customHeight="1" x14ac:dyDescent="0.35">
      <c r="B18" s="93">
        <v>3</v>
      </c>
      <c r="C18" s="70" t="s">
        <v>406</v>
      </c>
      <c r="D18" s="91"/>
      <c r="E18" s="65"/>
      <c r="F18" s="75">
        <f>COUNTIF(FMEA_DATA!$M$4:$M$18,"OPEN")</f>
        <v>12</v>
      </c>
    </row>
    <row r="19" spans="2:6" ht="27.75" customHeight="1" x14ac:dyDescent="0.35">
      <c r="B19" s="93">
        <v>4</v>
      </c>
      <c r="C19" s="70" t="s">
        <v>407</v>
      </c>
      <c r="D19" s="91"/>
      <c r="E19" s="65"/>
      <c r="F19" s="75">
        <f>COUNTIF(FMEA_DATA!$M$4:$M$18,"OPEN")</f>
        <v>12</v>
      </c>
    </row>
    <row r="20" spans="2:6" x14ac:dyDescent="0.35">
      <c r="B20" s="53"/>
      <c r="C20" s="53"/>
      <c r="D20" s="53"/>
      <c r="E20" s="53"/>
    </row>
    <row r="21" spans="2:6" x14ac:dyDescent="0.35">
      <c r="B21" s="334" t="s">
        <v>408</v>
      </c>
      <c r="C21" s="334"/>
      <c r="D21" s="334"/>
      <c r="E21" s="334"/>
    </row>
    <row r="22" spans="2:6" ht="24" customHeight="1" x14ac:dyDescent="0.35">
      <c r="B22" s="94" t="s">
        <v>394</v>
      </c>
      <c r="C22" s="94" t="s">
        <v>395</v>
      </c>
      <c r="D22" s="94" t="s">
        <v>396</v>
      </c>
      <c r="E22" s="67" t="s">
        <v>397</v>
      </c>
      <c r="F22" s="67" t="s">
        <v>398</v>
      </c>
    </row>
    <row r="23" spans="2:6" ht="27.75" customHeight="1" x14ac:dyDescent="0.35">
      <c r="B23" s="95">
        <v>1</v>
      </c>
      <c r="C23" s="70" t="s">
        <v>409</v>
      </c>
      <c r="D23" s="91"/>
      <c r="E23" s="65"/>
      <c r="F23" s="75">
        <f>COUNTIF(FMEA_DATA!$M$4:$M$18,"OPEN")</f>
        <v>12</v>
      </c>
    </row>
    <row r="24" spans="2:6" ht="27.75" customHeight="1" x14ac:dyDescent="0.35">
      <c r="B24" s="95">
        <v>2</v>
      </c>
      <c r="C24" s="70" t="s">
        <v>410</v>
      </c>
      <c r="D24" s="91"/>
      <c r="E24" s="65"/>
      <c r="F24" s="75">
        <f>COUNTIF(FMEA_DATA!$M$4:$M$18,"OPEN")</f>
        <v>12</v>
      </c>
    </row>
    <row r="25" spans="2:6" ht="27.75" customHeight="1" x14ac:dyDescent="0.35">
      <c r="B25" s="95">
        <v>3</v>
      </c>
      <c r="C25" s="70" t="s">
        <v>411</v>
      </c>
      <c r="D25" s="91"/>
      <c r="E25" s="65"/>
      <c r="F25" s="75">
        <f>COUNTIF(FMEA_DATA!$M$4:$M$18,"OPEN")</f>
        <v>12</v>
      </c>
    </row>
    <row r="26" spans="2:6" ht="27.75" customHeight="1" x14ac:dyDescent="0.35">
      <c r="B26" s="95">
        <v>4</v>
      </c>
      <c r="C26" s="70" t="s">
        <v>412</v>
      </c>
      <c r="D26" s="91"/>
      <c r="E26" s="65"/>
      <c r="F26" s="75">
        <f>COUNTIF(FMEA_DATA!$M$4:$M$18,"OPEN")</f>
        <v>12</v>
      </c>
    </row>
    <row r="27" spans="2:6" ht="6" customHeight="1" x14ac:dyDescent="0.35">
      <c r="B27" s="53"/>
      <c r="C27" s="53"/>
      <c r="D27" s="53"/>
      <c r="E27" s="53"/>
    </row>
    <row r="28" spans="2:6" ht="19.5" customHeight="1" x14ac:dyDescent="0.35">
      <c r="B28" s="335" t="s">
        <v>413</v>
      </c>
      <c r="C28" s="335"/>
      <c r="D28" s="335"/>
      <c r="E28" s="335"/>
    </row>
    <row r="29" spans="2:6" ht="15.75" customHeight="1" x14ac:dyDescent="0.35">
      <c r="B29" s="96" t="s">
        <v>394</v>
      </c>
      <c r="C29" s="96" t="s">
        <v>395</v>
      </c>
      <c r="D29" s="96" t="s">
        <v>396</v>
      </c>
      <c r="E29" s="96" t="s">
        <v>414</v>
      </c>
    </row>
    <row r="30" spans="2:6" ht="27.75" customHeight="1" x14ac:dyDescent="0.35">
      <c r="B30" s="97">
        <v>1</v>
      </c>
      <c r="C30" s="70" t="s">
        <v>415</v>
      </c>
      <c r="D30" s="91"/>
      <c r="E30" s="65"/>
      <c r="F30" s="75">
        <f>COUNTIF(FMEA_DATA!$M$4:$M$18,"OPEN")</f>
        <v>12</v>
      </c>
    </row>
    <row r="31" spans="2:6" ht="27.75" customHeight="1" x14ac:dyDescent="0.35">
      <c r="B31" s="97">
        <v>2</v>
      </c>
      <c r="C31" s="70" t="s">
        <v>416</v>
      </c>
      <c r="D31" s="91"/>
      <c r="E31" s="65"/>
      <c r="F31" s="75">
        <f>COUNTIF(FMEA_DATA!$M$4:$M$18,"OPEN")</f>
        <v>12</v>
      </c>
    </row>
    <row r="32" spans="2:6" ht="27.75" customHeight="1" x14ac:dyDescent="0.35">
      <c r="B32" s="97">
        <v>3</v>
      </c>
      <c r="C32" s="70" t="s">
        <v>417</v>
      </c>
      <c r="D32" s="91"/>
      <c r="E32" s="65"/>
      <c r="F32" s="75">
        <f>COUNTIF(FMEA_DATA!$M$4:$M$18,"OPEN")</f>
        <v>12</v>
      </c>
    </row>
    <row r="33" spans="2:6" ht="27.75" customHeight="1" x14ac:dyDescent="0.35">
      <c r="B33" s="97">
        <v>4</v>
      </c>
      <c r="C33" s="70"/>
      <c r="D33" s="91"/>
      <c r="E33" s="65"/>
      <c r="F33" s="75">
        <f>COUNTIF(FMEA_DATA!$M$4:$M$18,"OPEN")</f>
        <v>12</v>
      </c>
    </row>
    <row r="34" spans="2:6" ht="6" customHeight="1" x14ac:dyDescent="0.35">
      <c r="B34" s="53"/>
      <c r="C34" s="53"/>
      <c r="D34" s="53"/>
      <c r="E34" s="53"/>
    </row>
    <row r="35" spans="2:6" ht="19.5" customHeight="1" x14ac:dyDescent="0.35">
      <c r="B35" s="336" t="s">
        <v>418</v>
      </c>
      <c r="C35" s="336"/>
      <c r="D35" s="336"/>
      <c r="E35" s="336"/>
    </row>
    <row r="36" spans="2:6" ht="15.75" customHeight="1" x14ac:dyDescent="0.35">
      <c r="B36" s="98" t="s">
        <v>394</v>
      </c>
      <c r="C36" s="98" t="s">
        <v>395</v>
      </c>
      <c r="D36" s="98" t="s">
        <v>396</v>
      </c>
      <c r="E36" s="98" t="s">
        <v>414</v>
      </c>
    </row>
    <row r="37" spans="2:6" ht="27.75" customHeight="1" x14ac:dyDescent="0.35">
      <c r="B37" s="99">
        <v>1</v>
      </c>
      <c r="C37" s="70" t="s">
        <v>419</v>
      </c>
      <c r="D37" s="91"/>
      <c r="E37" s="65"/>
      <c r="F37" s="75">
        <f>COUNTIF(FMEA_DATA!$M$4:$M$18,"OPEN")</f>
        <v>12</v>
      </c>
    </row>
    <row r="38" spans="2:6" ht="27.75" customHeight="1" x14ac:dyDescent="0.35">
      <c r="B38" s="99">
        <v>2</v>
      </c>
      <c r="C38" s="70" t="s">
        <v>420</v>
      </c>
      <c r="D38" s="91"/>
      <c r="E38" s="65"/>
      <c r="F38" s="75">
        <f>COUNTIF(FMEA_DATA!$M$4:$M$18,"OPEN")</f>
        <v>12</v>
      </c>
    </row>
    <row r="39" spans="2:6" ht="27.75" customHeight="1" x14ac:dyDescent="0.35">
      <c r="B39" s="99">
        <v>3</v>
      </c>
      <c r="C39" s="70" t="s">
        <v>421</v>
      </c>
      <c r="D39" s="91"/>
      <c r="E39" s="65"/>
      <c r="F39" s="75">
        <f>COUNTIF(FMEA_DATA!$M$4:$M$18,"OPEN")</f>
        <v>12</v>
      </c>
    </row>
    <row r="40" spans="2:6" ht="27.75" customHeight="1" x14ac:dyDescent="0.35">
      <c r="B40" s="99">
        <v>4</v>
      </c>
      <c r="C40" s="70"/>
      <c r="D40" s="91"/>
      <c r="E40" s="65"/>
      <c r="F40" s="75">
        <f>COUNTIF(FMEA_DATA!$M$4:$M$18,"OPEN")</f>
        <v>12</v>
      </c>
    </row>
    <row r="41" spans="2:6" ht="6" customHeight="1" x14ac:dyDescent="0.35">
      <c r="B41" s="53"/>
      <c r="C41" s="53"/>
      <c r="D41" s="53"/>
      <c r="E41" s="53"/>
    </row>
    <row r="42" spans="2:6" ht="19.5" customHeight="1" x14ac:dyDescent="0.35">
      <c r="B42" s="337" t="s">
        <v>422</v>
      </c>
      <c r="C42" s="337"/>
      <c r="D42" s="337"/>
      <c r="E42" s="337"/>
    </row>
    <row r="43" spans="2:6" ht="15.75" customHeight="1" x14ac:dyDescent="0.35">
      <c r="B43" s="100" t="s">
        <v>394</v>
      </c>
      <c r="C43" s="100" t="s">
        <v>395</v>
      </c>
      <c r="D43" s="100" t="s">
        <v>396</v>
      </c>
      <c r="E43" s="100" t="s">
        <v>414</v>
      </c>
    </row>
    <row r="44" spans="2:6" ht="27.75" customHeight="1" x14ac:dyDescent="0.35">
      <c r="B44" s="101">
        <v>1</v>
      </c>
      <c r="C44" s="70" t="s">
        <v>423</v>
      </c>
      <c r="D44" s="91"/>
      <c r="E44" s="65"/>
      <c r="F44" s="75">
        <f>COUNTIF(FMEA_DATA!$M$4:$M$18,"OPEN")</f>
        <v>12</v>
      </c>
    </row>
    <row r="45" spans="2:6" ht="27.75" customHeight="1" x14ac:dyDescent="0.35">
      <c r="B45" s="101">
        <v>2</v>
      </c>
      <c r="C45" s="70" t="s">
        <v>424</v>
      </c>
      <c r="D45" s="91"/>
      <c r="E45" s="65"/>
      <c r="F45" s="75">
        <f>COUNTIF(FMEA_DATA!$M$4:$M$18,"OPEN")</f>
        <v>12</v>
      </c>
    </row>
    <row r="46" spans="2:6" ht="27.75" customHeight="1" x14ac:dyDescent="0.35">
      <c r="B46" s="101">
        <v>3</v>
      </c>
      <c r="C46" s="70" t="s">
        <v>425</v>
      </c>
      <c r="D46" s="91"/>
      <c r="E46" s="65"/>
      <c r="F46" s="75">
        <f>COUNTIF(FMEA_DATA!$M$4:$M$18,"OPEN")</f>
        <v>12</v>
      </c>
    </row>
    <row r="47" spans="2:6" ht="27.75" customHeight="1" x14ac:dyDescent="0.35">
      <c r="B47" s="101">
        <v>4</v>
      </c>
      <c r="C47" s="70"/>
      <c r="D47" s="91"/>
      <c r="E47" s="65"/>
      <c r="F47" s="75">
        <f>COUNTIF(FMEA_DATA!$M$4:$M$18,"OPEN")</f>
        <v>12</v>
      </c>
    </row>
    <row r="48" spans="2:6" ht="6" customHeight="1" x14ac:dyDescent="0.35">
      <c r="B48" s="53"/>
      <c r="C48" s="53"/>
      <c r="D48" s="53"/>
      <c r="E48" s="53"/>
    </row>
    <row r="49" spans="2:5" ht="19.5" customHeight="1" x14ac:dyDescent="0.35">
      <c r="B49" s="303" t="s">
        <v>426</v>
      </c>
      <c r="C49" s="303"/>
      <c r="D49" s="303"/>
      <c r="E49" s="303"/>
    </row>
    <row r="50" spans="2:5" ht="19.5" customHeight="1" x14ac:dyDescent="0.35">
      <c r="B50" s="102" t="s">
        <v>427</v>
      </c>
      <c r="C50" s="103" t="s">
        <v>428</v>
      </c>
    </row>
    <row r="51" spans="2:5" ht="19.5" customHeight="1" x14ac:dyDescent="0.35">
      <c r="B51" s="104" t="s">
        <v>429</v>
      </c>
      <c r="C51" s="105" t="s">
        <v>428</v>
      </c>
    </row>
    <row r="52" spans="2:5" ht="19.5" customHeight="1" x14ac:dyDescent="0.35">
      <c r="B52" s="106" t="s">
        <v>430</v>
      </c>
      <c r="C52" s="107" t="s">
        <v>428</v>
      </c>
    </row>
    <row r="53" spans="2:5" ht="19.5" customHeight="1" x14ac:dyDescent="0.35">
      <c r="B53" s="108" t="s">
        <v>431</v>
      </c>
      <c r="C53" s="109" t="s">
        <v>432</v>
      </c>
    </row>
    <row r="54" spans="2:5" ht="19.5" customHeight="1" x14ac:dyDescent="0.35">
      <c r="B54" s="110" t="s">
        <v>433</v>
      </c>
      <c r="C54" s="111" t="s">
        <v>432</v>
      </c>
    </row>
    <row r="55" spans="2:5" ht="19.5" customHeight="1" x14ac:dyDescent="0.35">
      <c r="B55" s="112" t="s">
        <v>434</v>
      </c>
      <c r="C55" s="113" t="s">
        <v>432</v>
      </c>
    </row>
  </sheetData>
  <mergeCells count="11">
    <mergeCell ref="B1:E1"/>
    <mergeCell ref="B2:E2"/>
    <mergeCell ref="B4:E4"/>
    <mergeCell ref="B5:E5"/>
    <mergeCell ref="B7:E7"/>
    <mergeCell ref="B49:E49"/>
    <mergeCell ref="B14:E14"/>
    <mergeCell ref="B21:E21"/>
    <mergeCell ref="B28:E28"/>
    <mergeCell ref="B35:E35"/>
    <mergeCell ref="B42:E42"/>
  </mergeCells>
  <dataValidations count="15">
    <dataValidation type="list" allowBlank="1" showInputMessage="1" showErrorMessage="1" errorTitle="Invalid Entry" error="Select from dropdown list." promptTitle="Problem Statement" prompt="Select the problem statement (head of the fish)" sqref="B5" xr:uid="{00000000-0002-0000-0500-000000000000}">
      <formula1>"Delivery targets missed by 20% — quality defects reaching customers,Defect rate at 12% — rework consuming 30% of team capacity,Approval bottleneck adding 2.3 days average delay per case,Team overwhelmed — WIP &gt; 8 tasks per person consistently,Customer com"</formula1>
      <formula2>0</formula2>
    </dataValidation>
    <dataValidation type="list" allowBlank="1" showInputMessage="1" showErrorMessage="1" errorTitle="Invalid Entry" error="Select from dropdown list." promptTitle="Sub-Cause (Man)" prompt="Select sub-cause detail for Man/People" sqref="C9:C12" xr:uid="{00000000-0002-0000-0500-000001000000}">
      <formula1>"Insufficient training on standard process,No competency framework in place,Team unclear on priorities and goals,High turnover causing knowledge loss,Leader not visible enough on floor,Role responsibilities not clearly defined,Fatigue and workload pressure"</formula1>
      <formula2>0</formula2>
    </dataValidation>
    <dataValidation type="list" allowBlank="1" showInputMessage="1" showErrorMessage="1" errorTitle="Invalid Entry" error="Select from dropdown list." promptTitle="Priority Action" prompt="Select priority action for this cause" sqref="D9:D12 D44:D47 D37:D40 D30:D33 D23:D26 D16:D19" xr:uid="{00000000-0002-0000-0500-000002000000}">
      <formula1>"Immediate — this sprint,Schedule for next sprint,Plan within 2 weeks,Monitor and review monthly,Escalate to management,Root cause confirmed — act now,Nice to have — low priority"</formula1>
      <formula2>0</formula2>
    </dataValidation>
    <dataValidation type="list" allowBlank="1" showInputMessage="1" showErrorMessage="1" errorTitle="Invalid Entry" error="Select from dropdown list." promptTitle="Sub-Cause (Machine)" prompt="Select sub-cause detail for Machine/Tools" sqref="C16:C19" xr:uid="{00000000-0002-0000-0500-000003000000}">
      <formula1>"Legacy systems causing manual workarounds,No real-time status visibility,Tools not integrated — double entry required,System downtime during peak hours,Calibration not maintained to schedule,Equipment not fit for purpose,Software version mismatch between "</formula1>
      <formula2>0</formula2>
    </dataValidation>
    <dataValidation type="list" allowBlank="1" showInputMessage="1" showErrorMessage="1" errorTitle="Invalid Entry" error="Select from dropdown list." promptTitle="Sub-Cause (Method)" prompt="Select sub-cause detail for Method/Process" sqref="C23:C26" xr:uid="{00000000-0002-0000-0500-000005000000}">
      <formula1>"No standard handoff checklist,Approvals routed to wrong person,No WIP limits enforced in process,Rework loop not captured in standard work,Inconsistent process between teams,No error detection at step boundary,Batch processing causes delays,No pull system"</formula1>
      <formula2>0</formula2>
    </dataValidation>
    <dataValidation type="list" allowBlank="1" showInputMessage="1" showErrorMessage="1" errorTitle="Invalid Entry" error="Select from dropdown list." promptTitle="Sub-Cause (Material)" prompt="Select sub-cause detail for Material/Inputs" sqref="C30:C33" xr:uid="{00000000-0002-0000-0500-000007000000}">
      <formula1>"Requirements unclear at intake,Incomplete specs passed to next step,No template for common request types,Data quality issues at source,Inputs not validated before use,Supplier material non-conformance,Documentation missing or out of date,Version control n"</formula1>
      <formula2>0</formula2>
    </dataValidation>
    <dataValidation type="list" allowBlank="1" showInputMessage="1" showErrorMessage="1" errorTitle="Invalid Entry" error="Select from dropdown list." promptTitle="Sub-Cause (Measurement)" prompt="Select sub-cause detail for Measurement" sqref="C37:C40" xr:uid="{00000000-0002-0000-0500-000009000000}">
      <formula1>"No real-time defect tracking,Metrics reviewed monthly not daily,KPIs do not reflect customer experience,No baseline measurement established,Data collected manually — error-prone,Wrong metric used to drive behaviour,No control chart or statistical monitori"</formula1>
      <formula2>0</formula2>
    </dataValidation>
    <dataValidation type="list" allowBlank="1" showInputMessage="1" showErrorMessage="1" errorTitle="Invalid Entry" error="Select from dropdown list." promptTitle="Sub-Cause (Environment)" prompt="Select sub-cause detail for Environment" sqref="C44:C47" xr:uid="{00000000-0002-0000-0500-00000B000000}">
      <formula1>"Open office causes frequent interruptions,No dedicated improvement time allocated,Culture punishes raising problems,Pressure to deliver suppresses quality,Physical layout creates motion waste,Remote team coordination gaps,Shift handover not structured,No "</formula1>
      <formula2>0</formula2>
    </dataValidation>
    <dataValidation type="list" allowBlank="1" showInputMessage="1" showErrorMessage="1" errorTitle="Invalid Entry" error="Select from dropdown list." promptTitle="Root Cause (Man)" prompt="Select root cause observation" sqref="B9:B12" xr:uid="{00000000-0002-0000-0500-00000D000000}">
      <formula1>"Insufficient training on process,Team unclear on priorities,High turnover causing knowledge loss,Leader not visible enough on floor,Role not clearly defined,Staff not empowered to raise issues"</formula1>
      <formula2>0</formula2>
    </dataValidation>
    <dataValidation type="list" allowBlank="1" showInputMessage="1" showErrorMessage="1" errorTitle="Invalid Entry" error="Select from dropdown list." promptTitle="Root Cause (Machine)" prompt="Select root cause observation" sqref="B16:B19" xr:uid="{00000000-0002-0000-0500-00000E000000}">
      <formula1>"Legacy systems causing manual workarounds,No real-time status visibility,Tools not integrated — double entry,System downtime during peak hours,Calibration not maintained,Equipment not fit for purpose"</formula1>
      <formula2>0</formula2>
    </dataValidation>
    <dataValidation type="list" allowBlank="1" showInputMessage="1" showErrorMessage="1" errorTitle="Invalid Entry" error="Select from dropdown list." promptTitle="Root Cause (Method)" prompt="Select root cause observation" sqref="B23:B26" xr:uid="{00000000-0002-0000-0500-00000F000000}">
      <formula1>"No standard handoff checklist,Approvals routed to wrong person,No WIP limits enforced,Rework loop not captured,Inconsistent process between teams,Over-processing — too many sign-offs"</formula1>
      <formula2>0</formula2>
    </dataValidation>
    <dataValidation type="list" allowBlank="1" showInputMessage="1" showErrorMessage="1" errorTitle="Invalid Entry" error="Select from dropdown list." promptTitle="Root Cause (Material)" prompt="Select root cause observation" sqref="B30:B33" xr:uid="{00000000-0002-0000-0500-000010000000}">
      <formula1>"Requirements unclear at intake,Incomplete specs passed to next step,No template for common requests,Data quality issues at source,Documentation missing or out of date"</formula1>
      <formula2>0</formula2>
    </dataValidation>
    <dataValidation type="list" allowBlank="1" showInputMessage="1" showErrorMessage="1" errorTitle="Invalid Entry" error="Select from dropdown list." promptTitle="Root Cause (Measurement)" prompt="Select root cause observation" sqref="B37:B40" xr:uid="{00000000-0002-0000-0500-000011000000}">
      <formula1>"No real-time defect tracking,Metrics reviewed monthly not daily,KPIs do not reflect customer experience,No baseline measurement,Wrong metric driving wrong behaviour"</formula1>
      <formula2>0</formula2>
    </dataValidation>
    <dataValidation type="list" allowBlank="1" showInputMessage="1" showErrorMessage="1" errorTitle="Invalid Entry" error="Select from dropdown list." promptTitle="Root Cause (Environment)" prompt="Select root cause observation" sqref="B44:B47" xr:uid="{00000000-0002-0000-0500-000012000000}">
      <formula1>"Open office causes interruptions,No dedicated improvement time,Culture punishes raising problems,Pressure to deliver suppresses quality,Remote team coordination gaps"</formula1>
      <formula2>0</formula2>
    </dataValidation>
    <dataValidation type="list" allowBlank="1" showInputMessage="1" showErrorMessage="1" errorTitle="Invalid Entry" error="Select from dropdown list." promptTitle="Linked Case" prompt="Select linked case from CASE_DATA" sqref="E9:E12 E44:E47 E37:E40 E30:E33 E23:E26 E16:E19" xr:uid="{00000000-0002-0000-0500-000013000000}">
      <formula1>"Delivery 20% miss,Defect rate 12%,Team overwhelmed,Approval delay,Onboarding 6wks,Leader visibility,FMEA open risks,Six Sigma below target,SDLC gate blocked,Sprint velocity declining,None"</formula1>
      <formula2>0</formula2>
    </dataValidation>
  </dataValidations>
  <pageMargins left="0.75" right="0.75" top="1" bottom="1" header="0.511811023622047" footer="0.511811023622047"/>
  <pageSetup paperSize="9" orientation="portrait" horizontalDpi="300" verticalDpi="300"/>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0FC91-BCED-4798-B580-71AFF393BF4D}">
  <sheetPr codeName="Ark38">
    <tabColor rgb="FF1E8449"/>
  </sheetPr>
  <dimension ref="A1:Z2"/>
  <sheetViews>
    <sheetView showGridLines="0" workbookViewId="0">
      <selection sqref="A1:Z1"/>
    </sheetView>
  </sheetViews>
  <sheetFormatPr defaultRowHeight="14.5" x14ac:dyDescent="0.35"/>
  <sheetData>
    <row r="1" spans="1:26" ht="34" customHeight="1" x14ac:dyDescent="0.35">
      <c r="A1" s="330" t="s">
        <v>435</v>
      </c>
      <c r="B1" s="330"/>
      <c r="C1" s="330"/>
      <c r="D1" s="330"/>
      <c r="E1" s="330"/>
      <c r="F1" s="330"/>
      <c r="G1" s="330"/>
      <c r="H1" s="330"/>
      <c r="I1" s="330"/>
      <c r="J1" s="330"/>
      <c r="K1" s="330"/>
      <c r="L1" s="330"/>
      <c r="M1" s="330"/>
      <c r="N1" s="330"/>
      <c r="O1" s="330"/>
      <c r="P1" s="330"/>
      <c r="Q1" s="330"/>
      <c r="R1" s="330"/>
      <c r="S1" s="330"/>
      <c r="T1" s="330"/>
      <c r="U1" s="330"/>
      <c r="V1" s="330"/>
      <c r="W1" s="330"/>
      <c r="X1" s="330"/>
      <c r="Y1" s="330"/>
      <c r="Z1" s="330"/>
    </row>
    <row r="2" spans="1:26" ht="12" customHeight="1" x14ac:dyDescent="0.35"/>
  </sheetData>
  <mergeCells count="1">
    <mergeCell ref="A1:Z1"/>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17">
    <tabColor rgb="FF6C3483"/>
  </sheetPr>
  <dimension ref="A1:K23"/>
  <sheetViews>
    <sheetView showGridLines="0" zoomScaleNormal="100" workbookViewId="0">
      <selection activeCell="E7" sqref="E7"/>
    </sheetView>
  </sheetViews>
  <sheetFormatPr defaultColWidth="8.6328125" defaultRowHeight="14.5" x14ac:dyDescent="0.35"/>
  <cols>
    <col min="1" max="1" width="1.453125" customWidth="1"/>
    <col min="2" max="2" width="22" customWidth="1"/>
    <col min="3" max="3" width="13" customWidth="1"/>
    <col min="4" max="4" width="36" customWidth="1"/>
    <col min="5" max="5" width="28" customWidth="1"/>
    <col min="6" max="6" width="22" customWidth="1"/>
    <col min="7" max="7" width="13" customWidth="1"/>
    <col min="8" max="10" width="10" customWidth="1"/>
    <col min="11" max="11" width="13" customWidth="1"/>
  </cols>
  <sheetData>
    <row r="1" spans="1:11" ht="33.75" customHeight="1" x14ac:dyDescent="0.35">
      <c r="A1" s="1"/>
      <c r="B1" s="328" t="s">
        <v>436</v>
      </c>
      <c r="C1" s="328"/>
      <c r="D1" s="328"/>
      <c r="E1" s="328"/>
      <c r="F1" s="328"/>
      <c r="G1" s="328"/>
      <c r="H1" s="1"/>
    </row>
    <row r="2" spans="1:11" ht="15.75" customHeight="1" x14ac:dyDescent="0.35">
      <c r="A2" t="s">
        <v>437</v>
      </c>
      <c r="B2" s="341" t="s">
        <v>438</v>
      </c>
      <c r="C2" s="341"/>
      <c r="D2" s="341"/>
      <c r="E2" s="341"/>
      <c r="F2" s="341"/>
      <c r="G2" s="341"/>
    </row>
    <row r="3" spans="1:11" ht="21.75" customHeight="1" x14ac:dyDescent="0.35">
      <c r="B3" s="92" t="s">
        <v>439</v>
      </c>
      <c r="C3" s="92" t="s">
        <v>440</v>
      </c>
      <c r="D3" s="92" t="s">
        <v>441</v>
      </c>
      <c r="E3" s="92" t="s">
        <v>442</v>
      </c>
      <c r="F3" s="92" t="s">
        <v>443</v>
      </c>
      <c r="G3" s="92" t="s">
        <v>268</v>
      </c>
      <c r="H3" s="67" t="s">
        <v>444</v>
      </c>
      <c r="I3" s="67" t="s">
        <v>445</v>
      </c>
      <c r="J3" s="67" t="s">
        <v>446</v>
      </c>
      <c r="K3" s="67" t="s">
        <v>447</v>
      </c>
    </row>
    <row r="4" spans="1:11" ht="39.75" customHeight="1" x14ac:dyDescent="0.35">
      <c r="B4" s="114" t="s">
        <v>448</v>
      </c>
      <c r="C4" s="115" t="s">
        <v>449</v>
      </c>
      <c r="D4" s="116" t="s">
        <v>450</v>
      </c>
      <c r="E4" s="117" t="s">
        <v>451</v>
      </c>
      <c r="F4" s="118" t="s">
        <v>452</v>
      </c>
      <c r="G4" s="119" t="s">
        <v>213</v>
      </c>
      <c r="H4" s="120">
        <f>COUNTIF(LOG_DATA!$D$4:$D$53,"*"&amp;LEFT(A4,8)&amp;"*")+COUNTIF(LOG_DATA!$E$4:$E$53,"*"&amp;LEFT(A4,8)&amp;"*")</f>
        <v>12</v>
      </c>
      <c r="I4" s="121">
        <f>COUNTIF(PDCA_DATA!$C$6:$C$38,"*"&amp;LEFT(A4,6)&amp;"*")</f>
        <v>27</v>
      </c>
      <c r="J4" s="76">
        <f>COUNTIF(FMEA_DATA!$M$4:$M$18,"OPEN")</f>
        <v>12</v>
      </c>
      <c r="K4" s="122" t="str">
        <f ca="1">IFERROR(SS_DATA!C15,"—")</f>
        <v/>
      </c>
    </row>
    <row r="5" spans="1:11" ht="39.75" customHeight="1" x14ac:dyDescent="0.35">
      <c r="B5" s="123" t="s">
        <v>453</v>
      </c>
      <c r="C5" s="115" t="s">
        <v>449</v>
      </c>
      <c r="D5" s="70" t="s">
        <v>454</v>
      </c>
      <c r="E5" s="124" t="s">
        <v>455</v>
      </c>
      <c r="F5" s="125" t="s">
        <v>456</v>
      </c>
      <c r="G5" s="126" t="s">
        <v>212</v>
      </c>
      <c r="H5" s="120">
        <f>COUNTIF(LOG_DATA!$D$4:$D$53,"*"&amp;LEFT(A5,8)&amp;"*")+COUNTIF(LOG_DATA!$E$4:$E$53,"*"&amp;LEFT(A5,8)&amp;"*")</f>
        <v>12</v>
      </c>
      <c r="I5" s="121">
        <f>COUNTIF(PDCA_DATA!$C$6:$C$38,"*"&amp;LEFT(A5,6)&amp;"*")</f>
        <v>27</v>
      </c>
      <c r="J5" s="76">
        <f>COUNTIF(FMEA_DATA!$M$4:$M$18,"OPEN")</f>
        <v>12</v>
      </c>
      <c r="K5" s="122" t="str">
        <f ca="1">IFERROR(SS_DATA!C15,"—")</f>
        <v/>
      </c>
    </row>
    <row r="6" spans="1:11" ht="39.75" customHeight="1" x14ac:dyDescent="0.35">
      <c r="B6" s="114" t="s">
        <v>457</v>
      </c>
      <c r="C6" s="119" t="s">
        <v>458</v>
      </c>
      <c r="D6" s="289" t="s">
        <v>459</v>
      </c>
      <c r="E6" s="117" t="s">
        <v>460</v>
      </c>
      <c r="F6" s="118" t="s">
        <v>461</v>
      </c>
      <c r="G6" s="126" t="s">
        <v>212</v>
      </c>
      <c r="H6" s="120">
        <f>COUNTIF(LOG_DATA!$D$4:$D$53,"*"&amp;LEFT(A6,8)&amp;"*")+COUNTIF(LOG_DATA!$E$4:$E$53,"*"&amp;LEFT(A6,8)&amp;"*")</f>
        <v>12</v>
      </c>
      <c r="I6" s="121">
        <f>COUNTIF(PDCA_DATA!$C$6:$C$38,"*"&amp;LEFT(A6,6)&amp;"*")</f>
        <v>27</v>
      </c>
      <c r="J6" s="76">
        <f>COUNTIF(FMEA_DATA!$M$4:$M$18,"OPEN")</f>
        <v>12</v>
      </c>
      <c r="K6" s="122" t="str">
        <f ca="1">IFERROR(SS_DATA!C15,"—")</f>
        <v/>
      </c>
    </row>
    <row r="7" spans="1:11" ht="39.75" customHeight="1" x14ac:dyDescent="0.35">
      <c r="B7" s="123" t="s">
        <v>462</v>
      </c>
      <c r="C7" s="119" t="s">
        <v>458</v>
      </c>
      <c r="D7" s="290" t="s">
        <v>463</v>
      </c>
      <c r="E7" s="124" t="s">
        <v>464</v>
      </c>
      <c r="F7" s="125" t="s">
        <v>465</v>
      </c>
      <c r="G7" s="126" t="s">
        <v>212</v>
      </c>
      <c r="H7" s="120">
        <f>COUNTIF(LOG_DATA!$D$4:$D$53,"*"&amp;LEFT(A7,8)&amp;"*")+COUNTIF(LOG_DATA!$E$4:$E$53,"*"&amp;LEFT(A7,8)&amp;"*")</f>
        <v>12</v>
      </c>
      <c r="I7" s="121">
        <f>COUNTIF(PDCA_DATA!$C$6:$C$38,"*"&amp;LEFT(A7,6)&amp;"*")</f>
        <v>27</v>
      </c>
      <c r="J7" s="76">
        <f>COUNTIF(FMEA_DATA!$M$4:$M$18,"OPEN")</f>
        <v>12</v>
      </c>
      <c r="K7" s="122" t="str">
        <f ca="1">IFERROR(SS_DATA!C15,"—")</f>
        <v/>
      </c>
    </row>
    <row r="8" spans="1:11" ht="39.75" customHeight="1" x14ac:dyDescent="0.35">
      <c r="B8" s="114" t="s">
        <v>466</v>
      </c>
      <c r="C8" s="126" t="s">
        <v>467</v>
      </c>
      <c r="D8" s="289" t="s">
        <v>468</v>
      </c>
      <c r="E8" s="117" t="s">
        <v>469</v>
      </c>
      <c r="F8" s="118" t="s">
        <v>465</v>
      </c>
      <c r="G8" s="126" t="s">
        <v>212</v>
      </c>
      <c r="H8" s="120">
        <f>COUNTIF(LOG_DATA!$D$4:$D$53,"*"&amp;LEFT(A8,8)&amp;"*")+COUNTIF(LOG_DATA!$E$4:$E$53,"*"&amp;LEFT(A8,8)&amp;"*")</f>
        <v>12</v>
      </c>
      <c r="I8" s="121">
        <f>COUNTIF(PDCA_DATA!$C$6:$C$38,"*"&amp;LEFT(A8,6)&amp;"*")</f>
        <v>27</v>
      </c>
      <c r="J8" s="76">
        <f>COUNTIF(FMEA_DATA!$M$4:$M$18,"OPEN")</f>
        <v>12</v>
      </c>
      <c r="K8" s="122" t="str">
        <f ca="1">IFERROR(SS_DATA!C15,"—")</f>
        <v/>
      </c>
    </row>
    <row r="9" spans="1:11" ht="39.75" customHeight="1" x14ac:dyDescent="0.35">
      <c r="B9" s="123" t="s">
        <v>470</v>
      </c>
      <c r="C9" s="119" t="s">
        <v>458</v>
      </c>
      <c r="D9" s="70" t="s">
        <v>471</v>
      </c>
      <c r="E9" s="124" t="s">
        <v>472</v>
      </c>
      <c r="F9" s="125" t="s">
        <v>473</v>
      </c>
      <c r="G9" s="119" t="s">
        <v>213</v>
      </c>
      <c r="H9" s="120">
        <f>COUNTIF(LOG_DATA!$D$4:$D$53,"*"&amp;LEFT(A9,8)&amp;"*")+COUNTIF(LOG_DATA!$E$4:$E$53,"*"&amp;LEFT(A9,8)&amp;"*")</f>
        <v>12</v>
      </c>
      <c r="I9" s="121">
        <f>COUNTIF(PDCA_DATA!$C$6:$C$38,"*"&amp;LEFT(A9,6)&amp;"*")</f>
        <v>27</v>
      </c>
      <c r="J9" s="76">
        <f>COUNTIF(FMEA_DATA!$M$4:$M$18,"OPEN")</f>
        <v>12</v>
      </c>
      <c r="K9" s="122" t="str">
        <f ca="1">IFERROR(SS_DATA!C15,"—")</f>
        <v/>
      </c>
    </row>
    <row r="10" spans="1:11" ht="31.5" customHeight="1" x14ac:dyDescent="0.35">
      <c r="B10" s="127"/>
      <c r="C10" s="127"/>
      <c r="D10" s="127"/>
      <c r="E10" s="127"/>
      <c r="F10" s="127"/>
      <c r="G10" s="126" t="s">
        <v>212</v>
      </c>
      <c r="H10" s="120">
        <f>COUNTIF(LOG_DATA!$D$4:$D$53,"*"&amp;LEFT(A10,8)&amp;"*")+COUNTIF(LOG_DATA!$E$4:$E$53,"*"&amp;LEFT(A10,8)&amp;"*")</f>
        <v>12</v>
      </c>
      <c r="I10" s="121">
        <f>COUNTIF(PDCA_DATA!$C$6:$C$38,"*"&amp;LEFT(A10,6)&amp;"*")</f>
        <v>27</v>
      </c>
      <c r="J10" s="76">
        <f>COUNTIF(FMEA_DATA!$M$4:$M$18,"OPEN")</f>
        <v>12</v>
      </c>
      <c r="K10" s="122" t="str">
        <f ca="1">IFERROR(SS_DATA!C15,"—")</f>
        <v/>
      </c>
    </row>
    <row r="11" spans="1:11" ht="31.5" customHeight="1" x14ac:dyDescent="0.35">
      <c r="B11" s="128"/>
      <c r="C11" s="128"/>
      <c r="D11" s="128"/>
      <c r="E11" s="128"/>
      <c r="F11" s="128"/>
      <c r="G11" s="126" t="s">
        <v>212</v>
      </c>
      <c r="H11" s="120">
        <f>COUNTIF(LOG_DATA!$D$4:$D$53,"*"&amp;LEFT(A11,8)&amp;"*")+COUNTIF(LOG_DATA!$E$4:$E$53,"*"&amp;LEFT(A11,8)&amp;"*")</f>
        <v>12</v>
      </c>
      <c r="I11" s="121">
        <f>COUNTIF(PDCA_DATA!$C$6:$C$38,"*"&amp;LEFT(A11,6)&amp;"*")</f>
        <v>27</v>
      </c>
      <c r="J11" s="76">
        <f>COUNTIF(FMEA_DATA!$M$4:$M$18,"OPEN")</f>
        <v>12</v>
      </c>
      <c r="K11" s="122" t="str">
        <f ca="1">IFERROR(SS_DATA!C15,"—")</f>
        <v/>
      </c>
    </row>
    <row r="12" spans="1:11" ht="31.5" customHeight="1" x14ac:dyDescent="0.35">
      <c r="B12" s="127"/>
      <c r="C12" s="127"/>
      <c r="D12" s="127"/>
      <c r="E12" s="127"/>
      <c r="F12" s="127"/>
      <c r="G12" s="126" t="s">
        <v>212</v>
      </c>
      <c r="H12" s="120">
        <f>COUNTIF(LOG_DATA!$D$4:$D$53,"*"&amp;LEFT(A12,8)&amp;"*")+COUNTIF(LOG_DATA!$E$4:$E$53,"*"&amp;LEFT(A12,8)&amp;"*")</f>
        <v>12</v>
      </c>
      <c r="I12" s="121">
        <f>COUNTIF(PDCA_DATA!$C$6:$C$38,"*"&amp;LEFT(A12,6)&amp;"*")</f>
        <v>27</v>
      </c>
      <c r="J12" s="76">
        <f>COUNTIF(FMEA_DATA!$M$4:$M$18,"OPEN")</f>
        <v>12</v>
      </c>
      <c r="K12" s="122" t="str">
        <f ca="1">IFERROR(SS_DATA!C15,"—")</f>
        <v/>
      </c>
    </row>
    <row r="13" spans="1:11" ht="31.5" customHeight="1" x14ac:dyDescent="0.35">
      <c r="B13" s="128"/>
      <c r="C13" s="128"/>
      <c r="D13" s="128"/>
      <c r="E13" s="128"/>
      <c r="F13" s="128"/>
      <c r="G13" s="126" t="s">
        <v>212</v>
      </c>
      <c r="H13" s="120">
        <f>COUNTIF(LOG_DATA!$D$4:$D$53,"*"&amp;LEFT(A13,8)&amp;"*")+COUNTIF(LOG_DATA!$E$4:$E$53,"*"&amp;LEFT(A13,8)&amp;"*")</f>
        <v>12</v>
      </c>
      <c r="I13" s="121">
        <f>COUNTIF(PDCA_DATA!$C$6:$C$38,"*"&amp;LEFT(A13,6)&amp;"*")</f>
        <v>27</v>
      </c>
      <c r="J13" s="76">
        <f>COUNTIF(FMEA_DATA!$M$4:$M$18,"OPEN")</f>
        <v>12</v>
      </c>
      <c r="K13" s="122" t="str">
        <f ca="1">IFERROR(SS_DATA!C15,"—")</f>
        <v/>
      </c>
    </row>
    <row r="14" spans="1:11" ht="31.5" customHeight="1" x14ac:dyDescent="0.35">
      <c r="B14" s="127"/>
      <c r="C14" s="127"/>
      <c r="D14" s="127"/>
      <c r="E14" s="127"/>
      <c r="F14" s="127"/>
      <c r="G14" s="126" t="s">
        <v>212</v>
      </c>
      <c r="H14" s="120">
        <f>COUNTIF(LOG_DATA!$D$4:$D$53,"*"&amp;LEFT(A14,8)&amp;"*")+COUNTIF(LOG_DATA!$E$4:$E$53,"*"&amp;LEFT(A14,8)&amp;"*")</f>
        <v>12</v>
      </c>
      <c r="I14" s="121">
        <f>COUNTIF(PDCA_DATA!$C$6:$C$38,"*"&amp;LEFT(A14,6)&amp;"*")</f>
        <v>27</v>
      </c>
      <c r="J14" s="76">
        <f>COUNTIF(FMEA_DATA!$M$4:$M$18,"OPEN")</f>
        <v>12</v>
      </c>
      <c r="K14" s="122" t="str">
        <f ca="1">IFERROR(SS_DATA!C15,"—")</f>
        <v/>
      </c>
    </row>
    <row r="15" spans="1:11" ht="31.5" customHeight="1" x14ac:dyDescent="0.35">
      <c r="B15" s="128"/>
      <c r="C15" s="128"/>
      <c r="D15" s="128"/>
      <c r="E15" s="128"/>
      <c r="F15" s="128"/>
      <c r="G15" s="126" t="s">
        <v>212</v>
      </c>
      <c r="H15" s="120">
        <f>COUNTIF(LOG_DATA!$D$4:$D$53,"*"&amp;LEFT(A15,8)&amp;"*")+COUNTIF(LOG_DATA!$E$4:$E$53,"*"&amp;LEFT(A15,8)&amp;"*")</f>
        <v>12</v>
      </c>
      <c r="I15" s="121">
        <f>COUNTIF(PDCA_DATA!$C$6:$C$38,"*"&amp;LEFT(A15,6)&amp;"*")</f>
        <v>27</v>
      </c>
      <c r="J15" s="76">
        <f>COUNTIF(FMEA_DATA!$M$4:$M$18,"OPEN")</f>
        <v>12</v>
      </c>
      <c r="K15" s="122" t="str">
        <f ca="1">IFERROR(SS_DATA!C15,"—")</f>
        <v/>
      </c>
    </row>
    <row r="16" spans="1:11" ht="31.5" customHeight="1" x14ac:dyDescent="0.35">
      <c r="B16" s="127"/>
      <c r="C16" s="127"/>
      <c r="D16" s="127"/>
      <c r="E16" s="127"/>
      <c r="F16" s="127"/>
      <c r="G16" s="126" t="s">
        <v>212</v>
      </c>
      <c r="H16" s="120">
        <f>COUNTIF(LOG_DATA!$D$4:$D$53,"*"&amp;LEFT(A16,8)&amp;"*")+COUNTIF(LOG_DATA!$E$4:$E$53,"*"&amp;LEFT(A16,8)&amp;"*")</f>
        <v>12</v>
      </c>
      <c r="I16" s="121">
        <f>COUNTIF(PDCA_DATA!$C$6:$C$38,"*"&amp;LEFT(A16,6)&amp;"*")</f>
        <v>27</v>
      </c>
      <c r="J16" s="76">
        <f>COUNTIF(FMEA_DATA!$M$4:$M$18,"OPEN")</f>
        <v>12</v>
      </c>
      <c r="K16" s="122" t="str">
        <f ca="1">IFERROR(SS_DATA!C15,"—")</f>
        <v/>
      </c>
    </row>
    <row r="17" spans="2:11" ht="31.5" customHeight="1" x14ac:dyDescent="0.35">
      <c r="B17" s="128"/>
      <c r="C17" s="128"/>
      <c r="D17" s="128"/>
      <c r="E17" s="128"/>
      <c r="F17" s="128"/>
      <c r="G17" s="126" t="s">
        <v>212</v>
      </c>
      <c r="H17" s="120">
        <f>COUNTIF(LOG_DATA!$D$4:$D$53,"*"&amp;LEFT(A17,8)&amp;"*")+COUNTIF(LOG_DATA!$E$4:$E$53,"*"&amp;LEFT(A17,8)&amp;"*")</f>
        <v>12</v>
      </c>
      <c r="I17" s="121">
        <f>COUNTIF(PDCA_DATA!$C$6:$C$38,"*"&amp;LEFT(A17,6)&amp;"*")</f>
        <v>27</v>
      </c>
      <c r="J17" s="76">
        <f>COUNTIF(FMEA_DATA!$M$4:$M$18,"OPEN")</f>
        <v>12</v>
      </c>
      <c r="K17" s="122" t="str">
        <f ca="1">IFERROR(SS_DATA!C15,"—")</f>
        <v/>
      </c>
    </row>
    <row r="18" spans="2:11" ht="31.5" customHeight="1" x14ac:dyDescent="0.35">
      <c r="B18" s="127"/>
      <c r="C18" s="127"/>
      <c r="D18" s="127"/>
      <c r="E18" s="127"/>
      <c r="F18" s="127"/>
      <c r="G18" s="126" t="s">
        <v>212</v>
      </c>
      <c r="H18" s="120">
        <f>COUNTIF(LOG_DATA!$D$4:$D$53,"*"&amp;LEFT(A18,8)&amp;"*")+COUNTIF(LOG_DATA!$E$4:$E$53,"*"&amp;LEFT(A18,8)&amp;"*")</f>
        <v>12</v>
      </c>
      <c r="I18" s="121">
        <f>COUNTIF(PDCA_DATA!$C$6:$C$38,"*"&amp;LEFT(A18,6)&amp;"*")</f>
        <v>27</v>
      </c>
      <c r="J18" s="76">
        <f>COUNTIF(FMEA_DATA!$M$4:$M$18,"OPEN")</f>
        <v>12</v>
      </c>
      <c r="K18" s="122" t="str">
        <f ca="1">IFERROR(SS_DATA!C15,"—")</f>
        <v/>
      </c>
    </row>
    <row r="19" spans="2:11" ht="31.5" customHeight="1" x14ac:dyDescent="0.35">
      <c r="B19" s="128"/>
      <c r="C19" s="128"/>
      <c r="D19" s="128"/>
      <c r="E19" s="128"/>
      <c r="F19" s="128"/>
      <c r="G19" s="126" t="s">
        <v>212</v>
      </c>
      <c r="H19" s="120">
        <f>COUNTIF(LOG_DATA!$D$4:$D$53,"*"&amp;LEFT(A19,8)&amp;"*")+COUNTIF(LOG_DATA!$E$4:$E$53,"*"&amp;LEFT(A19,8)&amp;"*")</f>
        <v>12</v>
      </c>
      <c r="I19" s="121">
        <f>COUNTIF(PDCA_DATA!$C$6:$C$38,"*"&amp;LEFT(A19,6)&amp;"*")</f>
        <v>27</v>
      </c>
      <c r="J19" s="76">
        <f>COUNTIF(FMEA_DATA!$M$4:$M$18,"OPEN")</f>
        <v>12</v>
      </c>
      <c r="K19" s="122" t="str">
        <f ca="1">IFERROR(SS_DATA!C15,"—")</f>
        <v/>
      </c>
    </row>
    <row r="20" spans="2:11" ht="31.5" customHeight="1" x14ac:dyDescent="0.35">
      <c r="B20" s="127"/>
      <c r="C20" s="127"/>
      <c r="D20" s="127"/>
      <c r="E20" s="127"/>
      <c r="F20" s="127"/>
      <c r="G20" s="126" t="s">
        <v>212</v>
      </c>
      <c r="H20" s="120">
        <f>COUNTIF(LOG_DATA!$D$4:$D$53,"*"&amp;LEFT(A20,8)&amp;"*")+COUNTIF(LOG_DATA!$E$4:$E$53,"*"&amp;LEFT(A20,8)&amp;"*")</f>
        <v>12</v>
      </c>
      <c r="I20" s="121">
        <f>COUNTIF(PDCA_DATA!$C$6:$C$38,"*"&amp;LEFT(A20,6)&amp;"*")</f>
        <v>27</v>
      </c>
      <c r="J20" s="76">
        <f>COUNTIF(FMEA_DATA!$M$4:$M$18,"OPEN")</f>
        <v>12</v>
      </c>
      <c r="K20" s="122" t="str">
        <f ca="1">IFERROR(SS_DATA!C15,"—")</f>
        <v/>
      </c>
    </row>
    <row r="21" spans="2:11" ht="31.5" customHeight="1" x14ac:dyDescent="0.35">
      <c r="B21" s="128"/>
      <c r="C21" s="128"/>
      <c r="D21" s="128"/>
      <c r="E21" s="128"/>
      <c r="F21" s="128"/>
      <c r="G21" s="126" t="s">
        <v>212</v>
      </c>
      <c r="H21" s="120">
        <f>COUNTIF(LOG_DATA!$D$4:$D$53,"*"&amp;LEFT(A21,8)&amp;"*")+COUNTIF(LOG_DATA!$E$4:$E$53,"*"&amp;LEFT(A21,8)&amp;"*")</f>
        <v>12</v>
      </c>
      <c r="I21" s="121">
        <f>COUNTIF(PDCA_DATA!$C$6:$C$38,"*"&amp;LEFT(A21,6)&amp;"*")</f>
        <v>27</v>
      </c>
      <c r="J21" s="76">
        <f>COUNTIF(FMEA_DATA!$M$4:$M$18,"OPEN")</f>
        <v>12</v>
      </c>
      <c r="K21" s="122" t="str">
        <f ca="1">IFERROR(SS_DATA!C15,"—")</f>
        <v/>
      </c>
    </row>
    <row r="22" spans="2:11" ht="31.5" customHeight="1" x14ac:dyDescent="0.35">
      <c r="B22" s="127"/>
      <c r="C22" s="127"/>
      <c r="D22" s="127"/>
      <c r="E22" s="127"/>
      <c r="F22" s="127"/>
      <c r="G22" s="126" t="s">
        <v>212</v>
      </c>
      <c r="H22" s="120">
        <f>COUNTIF(LOG_DATA!$D$4:$D$53,"*"&amp;LEFT(A22,8)&amp;"*")+COUNTIF(LOG_DATA!$E$4:$E$53,"*"&amp;LEFT(A22,8)&amp;"*")</f>
        <v>12</v>
      </c>
      <c r="I22" s="121">
        <f>COUNTIF(PDCA_DATA!$C$6:$C$38,"*"&amp;LEFT(A22,6)&amp;"*")</f>
        <v>27</v>
      </c>
      <c r="J22" s="76">
        <f>COUNTIF(FMEA_DATA!$M$4:$M$18,"OPEN")</f>
        <v>12</v>
      </c>
      <c r="K22" s="122" t="str">
        <f ca="1">IFERROR(SS_DATA!C15,"—")</f>
        <v/>
      </c>
    </row>
    <row r="23" spans="2:11" ht="31.5" customHeight="1" x14ac:dyDescent="0.35">
      <c r="B23" s="128"/>
      <c r="C23" s="128"/>
      <c r="D23" s="128"/>
      <c r="E23" s="128"/>
      <c r="F23" s="128"/>
      <c r="G23" s="126" t="s">
        <v>212</v>
      </c>
      <c r="H23" s="120">
        <f>COUNTIF(LOG_DATA!$D$4:$D$53,"*"&amp;LEFT(A23,8)&amp;"*")+COUNTIF(LOG_DATA!$E$4:$E$53,"*"&amp;LEFT(A23,8)&amp;"*")</f>
        <v>12</v>
      </c>
      <c r="I23" s="121">
        <f>COUNTIF(PDCA_DATA!$C$6:$C$38,"*"&amp;LEFT(A23,6)&amp;"*")</f>
        <v>27</v>
      </c>
      <c r="J23" s="76">
        <f>COUNTIF(FMEA_DATA!$M$4:$M$18,"OPEN")</f>
        <v>12</v>
      </c>
      <c r="K23" s="122" t="str">
        <f ca="1">IFERROR(SS_DATA!C15,"—")</f>
        <v/>
      </c>
    </row>
  </sheetData>
  <mergeCells count="2">
    <mergeCell ref="B1:G1"/>
    <mergeCell ref="B2:G2"/>
  </mergeCells>
  <conditionalFormatting sqref="C4:C23">
    <cfRule type="cellIs" dxfId="11" priority="2" operator="equal">
      <formula>"1-CRITICAL"</formula>
    </cfRule>
  </conditionalFormatting>
  <conditionalFormatting sqref="G4:G23">
    <cfRule type="cellIs" dxfId="10" priority="3" operator="equal">
      <formula>"RESOLVED"</formula>
    </cfRule>
    <cfRule type="cellIs" dxfId="9" priority="4" operator="equal">
      <formula>"IN PROGRESS"</formula>
    </cfRule>
  </conditionalFormatting>
  <dataValidations count="6">
    <dataValidation type="list" allowBlank="1" showInputMessage="1" showErrorMessage="1" errorTitle="Invalid Entry" error="Select from dropdown list." promptTitle="Priority" prompt="Select case priority (1=Critical → 5=Negligible)" sqref="B4:B23" xr:uid="{00000000-0002-0000-0700-000000000000}">
      <formula1>"1-CRITICAL,2-HIGH,3-MEDIUM,4-LOW,5-NEGLIGIBLE"</formula1>
      <formula2>0</formula2>
    </dataValidation>
    <dataValidation type="list" allowBlank="1" showInputMessage="1" showErrorMessage="1" errorTitle="Invalid Entry" error="Select from dropdown list." promptTitle="Lean Method" prompt="Select the LEAN/QI method to apply" sqref="F4:F23" xr:uid="{00000000-0002-0000-0700-000001000000}">
      <formula1>"Value Stream Mapping,5S,Kaizen Event,PDCA Cycle,A3 Problem Solving,Kanban,Gemba Walk,Mistake-Proofing / Poka-Yoke,Standard Work,Root Cause Analysis,FMEA,Six Sigma DMAIC,Visual Management,Pull System,Batch Reduction,SPC / Control Chart,Fishbone / Ishikawa"</formula1>
      <formula2>0</formula2>
    </dataValidation>
    <dataValidation type="list" allowBlank="1" showInputMessage="1" showErrorMessage="1" errorTitle="Invalid Entry" error="Select from dropdown list." promptTitle="Status" prompt="Select case status" sqref="G4:G23" xr:uid="{00000000-0002-0000-0700-000002000000}">
      <formula1>"OPEN,IN PROGRESS,RESOLVED,CLOSED,ON HOLD,CANCELLED,BLOCKED"</formula1>
      <formula2>0</formula2>
    </dataValidation>
    <dataValidation type="list" allowBlank="1" showInputMessage="1" showErrorMessage="1" errorTitle="Invalid Entry" error="Select from dropdown list." promptTitle="Challenge" prompt="Select or type challenge statement" sqref="A4:A23" xr:uid="{00000000-0002-0000-0700-000003000000}">
      <formula1>"Delivery targets missed 20%+ consistently,Defect rate at 12% — customers complaining,Team overwhelmed — parallel tasks &gt; 8 each,Approval bottleneck adds 2.3 days per case,New hire onboarding takes 6 weeks,Leader not visible to frontline team,FMEA critical"</formula1>
      <formula2>0</formula2>
    </dataValidation>
    <dataValidation type="list" allowBlank="1" showInputMessage="1" showErrorMessage="1" errorTitle="Invalid Entry" error="Select from dropdown list." promptTitle="Root Cause" prompt="Select root cause hypothesis" sqref="C4:C23" xr:uid="{00000000-0002-0000-0700-000004000000}">
      <formula1>"Handoff delays invisible; no WIP limits,No quality check at source,No WIP limits; everything is priority 1,Wrong routing; unclear decision authority,No documented process; tribal knowledge,No structured Gemba cadence in place,FMEA controls not implemented"</formula1>
      <formula2>0</formula2>
    </dataValidation>
    <dataValidation type="list" allowBlank="1" showInputMessage="1" showErrorMessage="1" errorTitle="Invalid Entry" error="Select from dropdown list." promptTitle="Target Outcome" prompt="Select measurable target outcome" sqref="E4:E23" xr:uid="{00000000-0002-0000-0700-000005000000}">
      <formula1>"On-time delivery &gt;95% in 8 weeks,Zero defect escapes within 4 weeks,Max 3 active tasks per person,Approval time &lt;4 hours,Onboard in 2 weeks with consistent quality,Weekly Gemba walk every leader every week,All FMEA criticals closed within sprint,Sigma lev"</formula1>
      <formula2>0</formula2>
    </dataValidation>
  </dataValidations>
  <pageMargins left="0.75" right="0.75" top="1" bottom="1" header="0.511811023622047" footer="0.511811023622047"/>
  <pageSetup paperSize="9" orientation="portrait" horizontalDpi="300" verticalDpi="300"/>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18">
    <tabColor rgb="FF7D6608"/>
  </sheetPr>
  <dimension ref="A1:H39"/>
  <sheetViews>
    <sheetView showGridLines="0" zoomScaleNormal="100" workbookViewId="0">
      <selection activeCell="K25" sqref="K25"/>
    </sheetView>
  </sheetViews>
  <sheetFormatPr defaultColWidth="8.6328125" defaultRowHeight="14.5" x14ac:dyDescent="0.35"/>
  <cols>
    <col min="1" max="1" width="1.453125" customWidth="1"/>
    <col min="2" max="2" width="26.1796875" bestFit="1" customWidth="1"/>
    <col min="3" max="3" width="12" customWidth="1"/>
    <col min="4" max="4" width="38" customWidth="1"/>
    <col min="5" max="6" width="16" customWidth="1"/>
    <col min="7" max="7" width="13" customWidth="1"/>
    <col min="8" max="8" width="11" customWidth="1"/>
  </cols>
  <sheetData>
    <row r="1" spans="1:8" ht="33.75" customHeight="1" x14ac:dyDescent="0.35">
      <c r="A1" s="1"/>
      <c r="B1" s="328" t="s">
        <v>474</v>
      </c>
      <c r="C1" s="328"/>
      <c r="D1" s="328"/>
      <c r="E1" s="328"/>
      <c r="F1" s="328"/>
      <c r="G1" s="1"/>
    </row>
    <row r="2" spans="1:8" ht="15.75" customHeight="1" x14ac:dyDescent="0.35">
      <c r="B2" s="343" t="s">
        <v>475</v>
      </c>
      <c r="C2" s="343"/>
      <c r="D2" s="343"/>
      <c r="E2" s="343"/>
      <c r="F2" s="343"/>
    </row>
    <row r="4" spans="1:8" ht="27.75" customHeight="1" x14ac:dyDescent="0.35">
      <c r="B4" s="344" t="s">
        <v>476</v>
      </c>
      <c r="C4" s="344"/>
      <c r="D4" s="344"/>
      <c r="E4" s="344"/>
      <c r="F4" s="344"/>
    </row>
    <row r="5" spans="1:8" ht="19.5" customHeight="1" x14ac:dyDescent="0.35">
      <c r="B5" s="66" t="s">
        <v>477</v>
      </c>
      <c r="C5" s="66" t="s">
        <v>478</v>
      </c>
      <c r="D5" s="66" t="s">
        <v>479</v>
      </c>
      <c r="E5" s="66" t="s">
        <v>480</v>
      </c>
      <c r="F5" s="66" t="s">
        <v>268</v>
      </c>
      <c r="G5" s="67" t="s">
        <v>352</v>
      </c>
      <c r="H5" s="67" t="s">
        <v>481</v>
      </c>
    </row>
    <row r="6" spans="1:8" ht="27.75" customHeight="1" x14ac:dyDescent="0.35">
      <c r="B6" s="129" t="s">
        <v>482</v>
      </c>
      <c r="C6" s="89" t="s">
        <v>483</v>
      </c>
      <c r="D6" s="70" t="s">
        <v>484</v>
      </c>
      <c r="E6" s="73"/>
      <c r="F6" s="89" t="s">
        <v>485</v>
      </c>
      <c r="G6" s="75">
        <f>COUNTIF(FMEA_DATA!$M$4:$M$18,"OPEN")</f>
        <v>12</v>
      </c>
      <c r="H6" s="76">
        <f>COUNTIF(CASE_DATA!$G$4:$G$23,"OPEN")+COUNTIF(CASE_DATA!$G$4:$G$23,"IN PROGRESS")</f>
        <v>20</v>
      </c>
    </row>
    <row r="7" spans="1:8" ht="27.75" customHeight="1" x14ac:dyDescent="0.35">
      <c r="B7" s="129" t="s">
        <v>486</v>
      </c>
      <c r="C7" s="89" t="s">
        <v>487</v>
      </c>
      <c r="D7" s="70" t="s">
        <v>488</v>
      </c>
      <c r="E7" s="73"/>
      <c r="F7" s="89" t="s">
        <v>485</v>
      </c>
      <c r="G7" s="75">
        <f>COUNTIF(FMEA_DATA!$M$4:$M$18,"OPEN")</f>
        <v>12</v>
      </c>
      <c r="H7" s="76">
        <f>COUNTIF(CASE_DATA!$G$4:$G$23,"OPEN")+COUNTIF(CASE_DATA!$G$4:$G$23,"IN PROGRESS")</f>
        <v>20</v>
      </c>
    </row>
    <row r="8" spans="1:8" ht="27.75" customHeight="1" x14ac:dyDescent="0.35">
      <c r="B8" s="129" t="s">
        <v>489</v>
      </c>
      <c r="C8" s="89" t="s">
        <v>490</v>
      </c>
      <c r="D8" s="70" t="s">
        <v>491</v>
      </c>
      <c r="E8" s="73"/>
      <c r="F8" s="89" t="s">
        <v>485</v>
      </c>
      <c r="G8" s="75">
        <f>COUNTIF(FMEA_DATA!$M$4:$M$18,"OPEN")</f>
        <v>12</v>
      </c>
      <c r="H8" s="76">
        <f>COUNTIF(CASE_DATA!$G$4:$G$23,"OPEN")+COUNTIF(CASE_DATA!$G$4:$G$23,"IN PROGRESS")</f>
        <v>20</v>
      </c>
    </row>
    <row r="9" spans="1:8" ht="27.75" customHeight="1" x14ac:dyDescent="0.35">
      <c r="B9" s="129" t="s">
        <v>492</v>
      </c>
      <c r="C9" s="89" t="s">
        <v>493</v>
      </c>
      <c r="D9" s="70" t="s">
        <v>494</v>
      </c>
      <c r="E9" s="73"/>
      <c r="F9" s="89" t="s">
        <v>485</v>
      </c>
      <c r="G9" s="75">
        <f>COUNTIF(FMEA_DATA!$M$4:$M$18,"OPEN")</f>
        <v>12</v>
      </c>
      <c r="H9" s="76">
        <f>COUNTIF(CASE_DATA!$G$4:$G$23,"OPEN")+COUNTIF(CASE_DATA!$G$4:$G$23,"IN PROGRESS")</f>
        <v>20</v>
      </c>
    </row>
    <row r="10" spans="1:8" ht="27.75" customHeight="1" x14ac:dyDescent="0.35">
      <c r="B10" s="129" t="s">
        <v>495</v>
      </c>
      <c r="C10" s="89" t="s">
        <v>496</v>
      </c>
      <c r="D10" s="70" t="s">
        <v>497</v>
      </c>
      <c r="E10" s="73"/>
      <c r="F10" s="89" t="s">
        <v>485</v>
      </c>
      <c r="G10" s="75">
        <f>COUNTIF(FMEA_DATA!$M$4:$M$18,"OPEN")</f>
        <v>12</v>
      </c>
      <c r="H10" s="76">
        <f>COUNTIF(CASE_DATA!$G$4:$G$23,"OPEN")+COUNTIF(CASE_DATA!$G$4:$G$23,"IN PROGRESS")</f>
        <v>20</v>
      </c>
    </row>
    <row r="11" spans="1:8" ht="27.75" customHeight="1" x14ac:dyDescent="0.35">
      <c r="B11" s="129" t="s">
        <v>498</v>
      </c>
      <c r="C11" s="89" t="s">
        <v>499</v>
      </c>
      <c r="D11" s="70" t="s">
        <v>500</v>
      </c>
      <c r="E11" s="73"/>
      <c r="F11" s="89" t="s">
        <v>485</v>
      </c>
      <c r="G11" s="75">
        <f>COUNTIF(FMEA_DATA!$M$4:$M$18,"OPEN")</f>
        <v>12</v>
      </c>
      <c r="H11" s="76">
        <f>COUNTIF(CASE_DATA!$G$4:$G$23,"OPEN")+COUNTIF(CASE_DATA!$G$4:$G$23,"IN PROGRESS")</f>
        <v>20</v>
      </c>
    </row>
    <row r="12" spans="1:8" ht="6" customHeight="1" x14ac:dyDescent="0.35">
      <c r="B12" s="53"/>
      <c r="C12" s="53"/>
      <c r="D12" s="53"/>
      <c r="E12" s="53"/>
      <c r="F12" s="53"/>
    </row>
    <row r="13" spans="1:8" ht="27.75" customHeight="1" x14ac:dyDescent="0.35">
      <c r="B13" s="345" t="s">
        <v>501</v>
      </c>
      <c r="C13" s="345"/>
      <c r="D13" s="345"/>
      <c r="E13" s="345"/>
      <c r="F13" s="345"/>
    </row>
    <row r="14" spans="1:8" ht="19.5" customHeight="1" x14ac:dyDescent="0.35">
      <c r="B14" s="94" t="s">
        <v>477</v>
      </c>
      <c r="C14" s="94" t="s">
        <v>478</v>
      </c>
      <c r="D14" s="94" t="s">
        <v>479</v>
      </c>
      <c r="E14" s="94" t="s">
        <v>480</v>
      </c>
      <c r="F14" s="94" t="s">
        <v>268</v>
      </c>
      <c r="G14" s="67" t="s">
        <v>352</v>
      </c>
      <c r="H14" s="67" t="s">
        <v>481</v>
      </c>
    </row>
    <row r="15" spans="1:8" ht="27.75" customHeight="1" x14ac:dyDescent="0.35">
      <c r="B15" s="130" t="s">
        <v>502</v>
      </c>
      <c r="C15" s="89" t="s">
        <v>483</v>
      </c>
      <c r="D15" s="70" t="s">
        <v>503</v>
      </c>
      <c r="E15" s="73"/>
      <c r="F15" s="89" t="s">
        <v>485</v>
      </c>
      <c r="G15" s="75">
        <f>COUNTIF(FMEA_DATA!$M$4:$M$18,"OPEN")</f>
        <v>12</v>
      </c>
      <c r="H15" s="76">
        <f>COUNTIF(CASE_DATA!$G$4:$G$23,"OPEN")+COUNTIF(CASE_DATA!$G$4:$G$23,"IN PROGRESS")</f>
        <v>20</v>
      </c>
    </row>
    <row r="16" spans="1:8" ht="27.75" customHeight="1" x14ac:dyDescent="0.35">
      <c r="B16" s="130" t="s">
        <v>504</v>
      </c>
      <c r="C16" s="89" t="s">
        <v>487</v>
      </c>
      <c r="D16" s="70" t="s">
        <v>505</v>
      </c>
      <c r="E16" s="73"/>
      <c r="F16" s="89" t="s">
        <v>485</v>
      </c>
      <c r="G16" s="75">
        <f>COUNTIF(FMEA_DATA!$M$4:$M$18,"OPEN")</f>
        <v>12</v>
      </c>
      <c r="H16" s="76">
        <f>COUNTIF(CASE_DATA!$G$4:$G$23,"OPEN")+COUNTIF(CASE_DATA!$G$4:$G$23,"IN PROGRESS")</f>
        <v>20</v>
      </c>
    </row>
    <row r="17" spans="2:8" ht="27.75" customHeight="1" x14ac:dyDescent="0.35">
      <c r="B17" s="130" t="s">
        <v>506</v>
      </c>
      <c r="C17" s="89" t="s">
        <v>490</v>
      </c>
      <c r="D17" s="70" t="s">
        <v>507</v>
      </c>
      <c r="E17" s="73"/>
      <c r="F17" s="89" t="s">
        <v>485</v>
      </c>
      <c r="G17" s="75">
        <f>COUNTIF(FMEA_DATA!$M$4:$M$18,"OPEN")</f>
        <v>12</v>
      </c>
      <c r="H17" s="76">
        <f>COUNTIF(CASE_DATA!$G$4:$G$23,"OPEN")+COUNTIF(CASE_DATA!$G$4:$G$23,"IN PROGRESS")</f>
        <v>20</v>
      </c>
    </row>
    <row r="18" spans="2:8" ht="27.75" customHeight="1" x14ac:dyDescent="0.35">
      <c r="B18" s="130" t="s">
        <v>508</v>
      </c>
      <c r="C18" s="89" t="s">
        <v>493</v>
      </c>
      <c r="D18" s="70" t="s">
        <v>509</v>
      </c>
      <c r="E18" s="73"/>
      <c r="F18" s="89" t="s">
        <v>485</v>
      </c>
      <c r="G18" s="75">
        <f>COUNTIF(FMEA_DATA!$M$4:$M$18,"OPEN")</f>
        <v>12</v>
      </c>
      <c r="H18" s="76">
        <f>COUNTIF(CASE_DATA!$G$4:$G$23,"OPEN")+COUNTIF(CASE_DATA!$G$4:$G$23,"IN PROGRESS")</f>
        <v>20</v>
      </c>
    </row>
    <row r="19" spans="2:8" ht="27.75" customHeight="1" x14ac:dyDescent="0.35">
      <c r="B19" s="130" t="s">
        <v>510</v>
      </c>
      <c r="C19" s="89" t="s">
        <v>496</v>
      </c>
      <c r="D19" s="70" t="s">
        <v>511</v>
      </c>
      <c r="E19" s="73"/>
      <c r="F19" s="89" t="s">
        <v>485</v>
      </c>
      <c r="G19" s="75">
        <f>COUNTIF(FMEA_DATA!$M$4:$M$18,"OPEN")</f>
        <v>12</v>
      </c>
      <c r="H19" s="76">
        <f>COUNTIF(CASE_DATA!$G$4:$G$23,"OPEN")+COUNTIF(CASE_DATA!$G$4:$G$23,"IN PROGRESS")</f>
        <v>20</v>
      </c>
    </row>
    <row r="20" spans="2:8" ht="27.75" customHeight="1" x14ac:dyDescent="0.35">
      <c r="B20" s="130" t="s">
        <v>512</v>
      </c>
      <c r="C20" s="89" t="s">
        <v>499</v>
      </c>
      <c r="D20" s="70" t="s">
        <v>513</v>
      </c>
      <c r="E20" s="73"/>
      <c r="F20" s="89" t="s">
        <v>485</v>
      </c>
      <c r="G20" s="75">
        <f>COUNTIF(FMEA_DATA!$M$4:$M$18,"OPEN")</f>
        <v>12</v>
      </c>
      <c r="H20" s="76">
        <f>COUNTIF(CASE_DATA!$G$4:$G$23,"OPEN")+COUNTIF(CASE_DATA!$G$4:$G$23,"IN PROGRESS")</f>
        <v>20</v>
      </c>
    </row>
    <row r="21" spans="2:8" ht="6" customHeight="1" x14ac:dyDescent="0.35">
      <c r="B21" s="53"/>
      <c r="C21" s="53"/>
      <c r="D21" s="53"/>
      <c r="E21" s="53"/>
      <c r="F21" s="53"/>
    </row>
    <row r="22" spans="2:8" ht="27.75" customHeight="1" x14ac:dyDescent="0.35">
      <c r="B22" s="346" t="s">
        <v>514</v>
      </c>
      <c r="C22" s="346"/>
      <c r="D22" s="346"/>
      <c r="E22" s="346"/>
      <c r="F22" s="346"/>
    </row>
    <row r="23" spans="2:8" ht="19.5" customHeight="1" x14ac:dyDescent="0.35">
      <c r="B23" s="96" t="s">
        <v>477</v>
      </c>
      <c r="C23" s="96" t="s">
        <v>478</v>
      </c>
      <c r="D23" s="96" t="s">
        <v>479</v>
      </c>
      <c r="E23" s="96" t="s">
        <v>480</v>
      </c>
      <c r="F23" s="96" t="s">
        <v>268</v>
      </c>
      <c r="G23" s="67" t="s">
        <v>352</v>
      </c>
      <c r="H23" s="67" t="s">
        <v>481</v>
      </c>
    </row>
    <row r="24" spans="2:8" ht="27.75" customHeight="1" x14ac:dyDescent="0.35">
      <c r="B24" s="291" t="s">
        <v>515</v>
      </c>
      <c r="C24" s="89" t="s">
        <v>483</v>
      </c>
      <c r="D24" s="70" t="s">
        <v>516</v>
      </c>
      <c r="E24" s="73"/>
      <c r="F24" s="89" t="s">
        <v>485</v>
      </c>
      <c r="G24" s="75">
        <f>COUNTIF(FMEA_DATA!$M$4:$M$18,"OPEN")</f>
        <v>12</v>
      </c>
      <c r="H24" s="76">
        <f>COUNTIF(CASE_DATA!$G$4:$G$23,"OPEN")+COUNTIF(CASE_DATA!$G$4:$G$23,"IN PROGRESS")</f>
        <v>20</v>
      </c>
    </row>
    <row r="25" spans="2:8" ht="27.75" customHeight="1" x14ac:dyDescent="0.35">
      <c r="B25" s="291" t="s">
        <v>517</v>
      </c>
      <c r="C25" s="89" t="s">
        <v>487</v>
      </c>
      <c r="D25" s="70" t="s">
        <v>518</v>
      </c>
      <c r="E25" s="73"/>
      <c r="F25" s="89" t="s">
        <v>485</v>
      </c>
      <c r="G25" s="75">
        <f>COUNTIF(FMEA_DATA!$M$4:$M$18,"OPEN")</f>
        <v>12</v>
      </c>
      <c r="H25" s="76">
        <f>COUNTIF(CASE_DATA!$G$4:$G$23,"OPEN")+COUNTIF(CASE_DATA!$G$4:$G$23,"IN PROGRESS")</f>
        <v>20</v>
      </c>
    </row>
    <row r="26" spans="2:8" ht="27.75" customHeight="1" x14ac:dyDescent="0.35">
      <c r="B26" s="131" t="s">
        <v>519</v>
      </c>
      <c r="C26" s="89" t="s">
        <v>490</v>
      </c>
      <c r="D26" s="290" t="s">
        <v>520</v>
      </c>
      <c r="E26" s="73"/>
      <c r="F26" s="89" t="s">
        <v>485</v>
      </c>
      <c r="G26" s="75">
        <f>COUNTIF(FMEA_DATA!$M$4:$M$18,"OPEN")</f>
        <v>12</v>
      </c>
      <c r="H26" s="76">
        <f>COUNTIF(CASE_DATA!$G$4:$G$23,"OPEN")+COUNTIF(CASE_DATA!$G$4:$G$23,"IN PROGRESS")</f>
        <v>20</v>
      </c>
    </row>
    <row r="27" spans="2:8" ht="27.75" customHeight="1" x14ac:dyDescent="0.35">
      <c r="B27" s="131" t="s">
        <v>521</v>
      </c>
      <c r="C27" s="89" t="s">
        <v>493</v>
      </c>
      <c r="D27" s="70" t="s">
        <v>522</v>
      </c>
      <c r="E27" s="73"/>
      <c r="F27" s="89" t="s">
        <v>485</v>
      </c>
      <c r="G27" s="75">
        <f>COUNTIF(FMEA_DATA!$M$4:$M$18,"OPEN")</f>
        <v>12</v>
      </c>
      <c r="H27" s="76">
        <f>COUNTIF(CASE_DATA!$G$4:$G$23,"OPEN")+COUNTIF(CASE_DATA!$G$4:$G$23,"IN PROGRESS")</f>
        <v>20</v>
      </c>
    </row>
    <row r="28" spans="2:8" ht="27.75" customHeight="1" x14ac:dyDescent="0.35">
      <c r="B28" s="131" t="s">
        <v>523</v>
      </c>
      <c r="C28" s="89" t="s">
        <v>496</v>
      </c>
      <c r="D28" s="70" t="s">
        <v>524</v>
      </c>
      <c r="E28" s="73"/>
      <c r="F28" s="89" t="s">
        <v>485</v>
      </c>
      <c r="G28" s="75">
        <f>COUNTIF(FMEA_DATA!$M$4:$M$18,"OPEN")</f>
        <v>12</v>
      </c>
      <c r="H28" s="76">
        <f>COUNTIF(CASE_DATA!$G$4:$G$23,"OPEN")+COUNTIF(CASE_DATA!$G$4:$G$23,"IN PROGRESS")</f>
        <v>20</v>
      </c>
    </row>
    <row r="29" spans="2:8" ht="27.75" customHeight="1" x14ac:dyDescent="0.35">
      <c r="B29" s="131" t="s">
        <v>525</v>
      </c>
      <c r="C29" s="89" t="s">
        <v>499</v>
      </c>
      <c r="D29" s="70" t="s">
        <v>526</v>
      </c>
      <c r="E29" s="73"/>
      <c r="F29" s="89" t="s">
        <v>485</v>
      </c>
      <c r="G29" s="75">
        <f>COUNTIF(FMEA_DATA!$M$4:$M$18,"OPEN")</f>
        <v>12</v>
      </c>
      <c r="H29" s="76">
        <f>COUNTIF(CASE_DATA!$G$4:$G$23,"OPEN")+COUNTIF(CASE_DATA!$G$4:$G$23,"IN PROGRESS")</f>
        <v>20</v>
      </c>
    </row>
    <row r="30" spans="2:8" ht="6" customHeight="1" x14ac:dyDescent="0.35">
      <c r="B30" s="53"/>
      <c r="C30" s="53"/>
      <c r="D30" s="53"/>
      <c r="E30" s="53"/>
      <c r="F30" s="53"/>
    </row>
    <row r="31" spans="2:8" ht="27.75" customHeight="1" x14ac:dyDescent="0.35">
      <c r="B31" s="342" t="s">
        <v>527</v>
      </c>
      <c r="C31" s="342"/>
      <c r="D31" s="342"/>
      <c r="E31" s="342"/>
      <c r="F31" s="342"/>
    </row>
    <row r="32" spans="2:8" ht="19.5" customHeight="1" x14ac:dyDescent="0.35">
      <c r="B32" s="100" t="s">
        <v>477</v>
      </c>
      <c r="C32" s="100" t="s">
        <v>478</v>
      </c>
      <c r="D32" s="100" t="s">
        <v>479</v>
      </c>
      <c r="E32" s="100" t="s">
        <v>480</v>
      </c>
      <c r="F32" s="100" t="s">
        <v>268</v>
      </c>
      <c r="G32" s="67" t="s">
        <v>352</v>
      </c>
      <c r="H32" s="67" t="s">
        <v>481</v>
      </c>
    </row>
    <row r="33" spans="2:8" ht="27.75" customHeight="1" x14ac:dyDescent="0.35">
      <c r="B33" s="132" t="s">
        <v>528</v>
      </c>
      <c r="C33" s="89" t="s">
        <v>483</v>
      </c>
      <c r="D33" s="70" t="s">
        <v>529</v>
      </c>
      <c r="E33" s="73"/>
      <c r="F33" s="89" t="s">
        <v>485</v>
      </c>
      <c r="G33" s="75">
        <f>COUNTIF(FMEA_DATA!$M$4:$M$18,"OPEN")</f>
        <v>12</v>
      </c>
      <c r="H33" s="76">
        <f>COUNTIF(CASE_DATA!$G$4:$G$23,"OPEN")+COUNTIF(CASE_DATA!$G$4:$G$23,"IN PROGRESS")</f>
        <v>20</v>
      </c>
    </row>
    <row r="34" spans="2:8" ht="27.75" customHeight="1" x14ac:dyDescent="0.35">
      <c r="B34" s="132" t="s">
        <v>530</v>
      </c>
      <c r="C34" s="89" t="s">
        <v>487</v>
      </c>
      <c r="D34" s="70" t="s">
        <v>531</v>
      </c>
      <c r="E34" s="73"/>
      <c r="F34" s="89" t="s">
        <v>485</v>
      </c>
      <c r="G34" s="75">
        <f>COUNTIF(FMEA_DATA!$M$4:$M$18,"OPEN")</f>
        <v>12</v>
      </c>
      <c r="H34" s="76">
        <f>COUNTIF(CASE_DATA!$G$4:$G$23,"OPEN")+COUNTIF(CASE_DATA!$G$4:$G$23,"IN PROGRESS")</f>
        <v>20</v>
      </c>
    </row>
    <row r="35" spans="2:8" ht="27.75" customHeight="1" x14ac:dyDescent="0.35">
      <c r="B35" s="132" t="s">
        <v>532</v>
      </c>
      <c r="C35" s="89" t="s">
        <v>490</v>
      </c>
      <c r="D35" s="70" t="s">
        <v>533</v>
      </c>
      <c r="E35" s="73"/>
      <c r="F35" s="89">
        <f>COUNTIF(F4:F34,"COMPLETE")</f>
        <v>0</v>
      </c>
      <c r="G35" s="75">
        <f>COUNTIF(FMEA_DATA!$M$4:$M$18,"OPEN")</f>
        <v>12</v>
      </c>
      <c r="H35" s="76">
        <f>COUNTIF(CASE_DATA!$G$4:$G$23,"OPEN")+COUNTIF(CASE_DATA!$G$4:$G$23,"IN PROGRESS")</f>
        <v>20</v>
      </c>
    </row>
    <row r="36" spans="2:8" ht="27.75" customHeight="1" x14ac:dyDescent="0.35">
      <c r="B36" s="132" t="s">
        <v>534</v>
      </c>
      <c r="C36" s="89" t="s">
        <v>493</v>
      </c>
      <c r="D36" s="70" t="s">
        <v>535</v>
      </c>
      <c r="E36" s="73"/>
      <c r="F36" s="89" t="s">
        <v>485</v>
      </c>
      <c r="G36" s="75">
        <f>COUNTIF(FMEA_DATA!$M$4:$M$18,"OPEN")</f>
        <v>12</v>
      </c>
      <c r="H36" s="76">
        <f>COUNTIF(CASE_DATA!$G$4:$G$23,"OPEN")+COUNTIF(CASE_DATA!$G$4:$G$23,"IN PROGRESS")</f>
        <v>20</v>
      </c>
    </row>
    <row r="37" spans="2:8" ht="27.75" customHeight="1" x14ac:dyDescent="0.35">
      <c r="B37" s="132" t="s">
        <v>536</v>
      </c>
      <c r="C37" s="89" t="s">
        <v>496</v>
      </c>
      <c r="D37" s="70" t="s">
        <v>537</v>
      </c>
      <c r="E37" s="73"/>
      <c r="F37" s="89" t="s">
        <v>485</v>
      </c>
      <c r="G37" s="75">
        <f>COUNTIF(FMEA_DATA!$M$4:$M$18,"OPEN")</f>
        <v>12</v>
      </c>
      <c r="H37" s="76">
        <f>COUNTIF(CASE_DATA!$G$4:$G$23,"OPEN")+COUNTIF(CASE_DATA!$G$4:$G$23,"IN PROGRESS")</f>
        <v>20</v>
      </c>
    </row>
    <row r="38" spans="2:8" ht="27.75" customHeight="1" x14ac:dyDescent="0.35">
      <c r="B38" s="132" t="s">
        <v>538</v>
      </c>
      <c r="C38" s="89" t="s">
        <v>499</v>
      </c>
      <c r="D38" s="70" t="s">
        <v>539</v>
      </c>
      <c r="E38" s="73"/>
      <c r="F38" s="89" t="s">
        <v>485</v>
      </c>
      <c r="G38" s="75">
        <f>COUNTIF(FMEA_DATA!$M$4:$M$18,"OPEN")</f>
        <v>12</v>
      </c>
      <c r="H38" s="76">
        <f>COUNTIF(CASE_DATA!$G$4:$G$23,"OPEN")+COUNTIF(CASE_DATA!$G$4:$G$23,"IN PROGRESS")</f>
        <v>20</v>
      </c>
    </row>
    <row r="39" spans="2:8" ht="6" customHeight="1" x14ac:dyDescent="0.35">
      <c r="B39" s="53"/>
      <c r="C39" s="53"/>
      <c r="D39" s="53"/>
      <c r="E39" s="53"/>
      <c r="F39" s="53"/>
    </row>
  </sheetData>
  <mergeCells count="6">
    <mergeCell ref="B31:F31"/>
    <mergeCell ref="B1:F1"/>
    <mergeCell ref="B2:F2"/>
    <mergeCell ref="B4:F4"/>
    <mergeCell ref="B13:F13"/>
    <mergeCell ref="B22:F22"/>
  </mergeCells>
  <conditionalFormatting sqref="F4:F40">
    <cfRule type="cellIs" dxfId="8" priority="2" operator="equal">
      <formula>"COMPLETE"</formula>
    </cfRule>
    <cfRule type="cellIs" dxfId="7" priority="3" operator="equal">
      <formula>"IN PROGRESS"</formula>
    </cfRule>
  </conditionalFormatting>
  <dataValidations count="25">
    <dataValidation type="list" allowBlank="1" showInputMessage="1" showErrorMessage="1" errorTitle="Invalid Entry" error="Select from dropdown list." promptTitle="Problem Statement" prompt="Select from options for: Problem Statement" sqref="C6" xr:uid="{00000000-0002-0000-0800-000000000000}">
      <formula1>"Delivery targets missed by 20%+ consistently,Defect rate &gt; 5% reaching customers,Approval bottleneck &gt; 2 days avg,Team WIP &gt; 8 tasks per person,Knowledge gaps causing rework,High staff turnover impacting quality,Process not standardised across teams,No re"</formula1>
      <formula2>0</formula2>
    </dataValidation>
    <dataValidation type="list" allowBlank="1" showInputMessage="1" showErrorMessage="1" errorTitle="Invalid Entry" error="Select from dropdown list." promptTitle="Root Cause" prompt="Select from options for: Root Cause" sqref="C7" xr:uid="{00000000-0002-0000-0800-000001000000}">
      <formula1>"Handoff delays invisible; no WIP limits,No quality check at source,Wrong routing; unclear decision authority,No documented process; tribal knowledge,No structured Gemba cadence,Manual process with no error-proofing,No intake checklist or standard template"</formula1>
      <formula2>0</formula2>
    </dataValidation>
    <dataValidation type="list" allowBlank="1" showInputMessage="1" showErrorMessage="1" errorTitle="Invalid Entry" error="Select from dropdown list." promptTitle="Target State" prompt="Select from options for: Target State" sqref="C8" xr:uid="{00000000-0002-0000-0800-000002000000}">
      <formula1>"On-time delivery &gt; 95% in 8 weeks,Zero defect escapes within 4 weeks,Approval time &lt; 4 hours,Max 3 active tasks per person,Onboard new hires in &lt; 2 weeks,Weekly Gemba walk every leader,Lead time reduced by 30%,Defect rate &lt; 1%,All FMEA criticals closed wi"</formula1>
      <formula2>0</formula2>
    </dataValidation>
    <dataValidation type="list" allowBlank="1" showInputMessage="1" showErrorMessage="1" errorTitle="Invalid Entry" error="Select from dropdown list." promptTitle="Success KPI" prompt="Select from options for: Success KPI" sqref="C9" xr:uid="{00000000-0002-0000-0800-000003000000}">
      <formula1>"On-time delivery % measured weekly,Defect rate tracked daily,Approval cycle time in days,WIP count per person per day,New hire ramp-up time in days,Gemba walk compliance %,Lead time in hours or days,Customer satisfaction score (CSAT),FMEA open critical co"</formula1>
      <formula2>0</formula2>
    </dataValidation>
    <dataValidation type="list" allowBlank="1" showInputMessage="1" showErrorMessage="1" errorTitle="Invalid Entry" error="Select from dropdown list." promptTitle="Planned Actions" prompt="Select from options for: Planned Actions" sqref="C10" xr:uid="{00000000-0002-0000-0800-000004000000}">
      <formula1>"VSM workshop → Kanban board → WIP limits,Daily standup + Gemba walk cadence,A3 root cause analysis → corrective action,RACI update → approval authority change,Standard work documentation + training,FMEA risk review → PDCA close-out,Six Sigma DMAIC cycle l"</formula1>
      <formula2>0</formula2>
    </dataValidation>
    <dataValidation type="list" allowBlank="1" showInputMessage="1" showErrorMessage="1" errorTitle="Invalid Entry" error="Select from dropdown list." promptTitle="Risks" prompt="Select from options for: Risks" sqref="C11" xr:uid="{00000000-0002-0000-0800-000005000000}">
      <formula1>"Team resistance to new process,Approver unavailable during pilot,Legacy system limits automation,Budget not approved for tooling,Competing priorities delay rollout,Data not available for measurement,Management support withdrawn,Team skill gap for new meth"</formula1>
      <formula2>0</formula2>
    </dataValidation>
    <dataValidation type="list" allowBlank="1" showInputMessage="1" showErrorMessage="1" errorTitle="Invalid Entry" error="Select from dropdown list." promptTitle="Pilot Scope" prompt="Select from options for: Pilot Scope" sqref="C15" xr:uid="{00000000-0002-0000-0800-000006000000}">
      <formula1>"Delivery team only — 6 people,QA function — 4 people,One production line or value stream,Engineering team — sprint team only,Single department pilot,Two teams + PM,Cross-functional team of 8,Management layer only,Customer-facing team first,Highest-volume "</formula1>
      <formula2>0</formula2>
    </dataValidation>
    <dataValidation type="list" allowBlank="1" showInputMessage="1" showErrorMessage="1" errorTitle="Invalid Entry" error="Select from dropdown list." promptTitle="What Was Done" prompt="Select from options for: What Was Done" sqref="C16" xr:uid="{00000000-0002-0000-0800-000007000000}">
      <formula1>"Ran 2-day VSM workshop; built Kanban board,Launched PDCA Cycle with daily standup,A3 analysis completed; root cause confirmed,RACI updated; approval routing changed,Standard work doc drafted and reviewed,FMEA workshop: all risks scored,Six Sigma baseline "</formula1>
      <formula2>0</formula2>
    </dataValidation>
    <dataValidation type="list" allowBlank="1" showInputMessage="1" showErrorMessage="1" errorTitle="Invalid Entry" error="Select from dropdown list." promptTitle="Pilot Period" prompt="Select from options for: Pilot Period" sqref="C17" xr:uid="{00000000-0002-0000-0800-000008000000}">
      <formula1>"Week 1,Week 1-2,Week 2,Week 3,Week 4,Weeks 1-4,Month 1,Month 1-2,This sprint,Next sprint,Ongoing"</formula1>
      <formula2>0</formula2>
    </dataValidation>
    <dataValidation type="list" allowBlank="1" showInputMessage="1" showErrorMessage="1" errorTitle="Invalid Entry" error="Select from dropdown list." promptTitle="Observations" prompt="Select from options for: Observations" sqref="C18" xr:uid="{00000000-0002-0000-0800-000009000000}">
      <formula1>"Team surfaced 2 hidden approval bottlenecks,Defect rate dropped 40% in week 1,WIP limit immediately exposed bottleneck,Engagement scores improved after day 1,Adjacent team requested same process,Unexpected system constraint identified,Customer complaint r"</formula1>
      <formula2>0</formula2>
    </dataValidation>
    <dataValidation type="list" allowBlank="1" showInputMessage="1" showErrorMessage="1" errorTitle="Invalid Entry" error="Select from dropdown list." promptTitle="Blockers/Events" prompt="Select from options for: Blockers/Events" sqref="C19" xr:uid="{00000000-0002-0000-0800-00000A000000}">
      <formula1>"Team resistance to new process,Approver unavailable during pilot,Legacy system limits automation,Budget not approved for tooling,Competing priorities delay rollout,Data not available for measurement,Management support withdrawn,Team skill gap for new meth"</formula1>
      <formula2>0</formula2>
    </dataValidation>
    <dataValidation type="list" allowBlank="1" showInputMessage="1" showErrorMessage="1" errorTitle="Invalid Entry" error="Select from dropdown list." promptTitle="Data Collected" prompt="Select from options for: Data Collected" sqref="C20" xr:uid="{00000000-0002-0000-0800-00000B000000}">
      <formula1>"Lead time; WIP count; defect rate tracked daily,Approval cycle time in days — sampled weekly,Customer satisfaction score before/after,Defect count per unit per week,Employee engagement score monthly,On-time delivery % weekly,FMEA RPN scores before and aft"</formula1>
      <formula2>0</formula2>
    </dataValidation>
    <dataValidation type="list" allowBlank="1" showInputMessage="1" showErrorMessage="1" errorTitle="Invalid Entry" error="Select from dropdown list." promptTitle="Measured Result" prompt="Select from options for: Measured Result" sqref="C24" xr:uid="{00000000-0002-0000-0800-00000C000000}">
      <formula1>"On-time delivery improved 80% → 91% in 2 weeks,Defect rate dropped from 12% to 7% in 4 weeks,Approval time reduced from 2.3 days to 4 hours,WIP dropped from 24 to 16 in one week,New hire ramp-up: 6 weeks → 3 weeks,Gemba walk compliance reached 100% wk 1,L"</formula1>
      <formula2>0</formula2>
    </dataValidation>
    <dataValidation type="list" allowBlank="1" showInputMessage="1" showErrorMessage="1" errorTitle="Invalid Entry" error="Select from dropdown list." promptTitle="vs Hypothesis" prompt="Select from options for: vs Hypothesis" sqref="C25" xr:uid="{00000000-0002-0000-0800-00000D000000}">
      <formula1>"Better than expected,As expected,Worse than expected,No change observed,Partial improvement,Too early to tell"</formula1>
      <formula2>0</formula2>
    </dataValidation>
    <dataValidation type="list" allowBlank="1" showInputMessage="1" showErrorMessage="1" errorTitle="Invalid Entry" error="Select from dropdown list." promptTitle="Side Effects" prompt="Select from options for: Side Effects" sqref="C26" xr:uid="{00000000-0002-0000-0800-00000E000000}">
      <formula1>"Adjacent team now asking for same Kanban,Upstream process exposed as new bottleneck,Increased communication between departments,Metrics visibility triggered more escalations,Team morale visibly improved,Staff proposing their own improvements,One process i"</formula1>
      <formula2>0</formula2>
    </dataValidation>
    <dataValidation type="list" allowBlank="1" showInputMessage="1" showErrorMessage="1" errorTitle="Invalid Entry" error="Select from dropdown list." promptTitle="Remaining Gap" prompt="Select from options for: Remaining Gap" sqref="C27" xr:uid="{00000000-0002-0000-0800-00000F000000}">
      <formula1>"Handoff delays invisible; no WIP limits,No quality check at source,Wrong routing; unclear decision authority,No documented process; tribal knowledge,No structured Gemba cadence,Manual process with no error-proofing,No intake checklist or standard template"</formula1>
      <formula2>0</formula2>
    </dataValidation>
    <dataValidation type="list" allowBlank="1" showInputMessage="1" showErrorMessage="1" errorTitle="Invalid Entry" error="Select from dropdown list." promptTitle="Team Feedback" prompt="Select from options for: Team Feedback" sqref="C28" xr:uid="{00000000-0002-0000-0800-000010000000}">
      <formula1>"Strongly positive,Positive,Neutral,Negative,Mixed reactions,Positive but more time needed"</formula1>
      <formula2>0</formula2>
    </dataValidation>
    <dataValidation type="list" allowBlank="1" showInputMessage="1" showErrorMessage="1" errorTitle="Invalid Entry" error="Select from dropdown list." promptTitle="Scale/Kill/Iterate" prompt="Select from options for: Scale/Kill/Iterate" sqref="C29" xr:uid="{00000000-0002-0000-0800-000011000000}">
      <formula1>"SCALE — roll out to all teams,ITERATE — fix gaps then re-pilot,KILL — not worth scaling,PAUSE — revisit next quarter,SCALE with modifications,ITERATE — one more PDCA cycle,STANDARDISE and document,HAND OFF to process owner,ESCALATE — needs leadership deci"</formula1>
      <formula2>0</formula2>
    </dataValidation>
    <dataValidation type="list" allowBlank="1" showInputMessage="1" showErrorMessage="1" errorTitle="Invalid Entry" error="Select from dropdown list." promptTitle="Standardise" prompt="Select from options for: Standardise" sqref="C33" xr:uid="{00000000-0002-0000-0800-000012000000}">
      <formula1>"Kanban + WIP limits become permanent standard,Standard work document approved and published,RACI updated in company governance,New hire onboarding includes updated process,Visual management board installed permanently,FMEA controls added to standard check"</formula1>
      <formula2>0</formula2>
    </dataValidation>
    <dataValidation type="list" allowBlank="1" showInputMessage="1" showErrorMessage="1" errorTitle="Invalid Entry" error="Select from dropdown list." promptTitle="Doc Updated?" prompt="Select from options for: Doc Updated?" sqref="C34" xr:uid="{00000000-0002-0000-0800-000013000000}">
      <formula1>"YES — fully updated,YES — partially updated,IN PROGRESS — drafting,NO — not yet started,NOT REQUIRED"</formula1>
      <formula2>0</formula2>
    </dataValidation>
    <dataValidation type="list" allowBlank="1" showInputMessage="1" showErrorMessage="1" errorTitle="Invalid Entry" error="Select from dropdown list." promptTitle="Training Plan" prompt="Select from options for: Training Plan" sqref="C35" xr:uid="{00000000-0002-0000-0800-000014000000}">
      <formula1>"30-min session this sprint,1-hour workshop next month,Self-paced module assigned,On-the-job coaching,Train-the-trainer cascade,No training required — process is intuitive"</formula1>
      <formula2>0</formula2>
    </dataValidation>
    <dataValidation type="list" allowBlank="1" showInputMessage="1" showErrorMessage="1" errorTitle="Invalid Entry" error="Select from dropdown list." promptTitle="Scale-up Plan" prompt="Select from options for: Scale-up Plan" sqref="C36" xr:uid="{00000000-0002-0000-0800-000015000000}">
      <formula1>"Roll out to 2 adjacent teams in Month 2,Scale to all departments by end of quarter,Train all team leads — cascade delivery,Integrate into onboarding for all new hires,Expand to next value stream in 30 days,Add to annual improvement cycle,Include in manage"</formula1>
      <formula2>0</formula2>
    </dataValidation>
    <dataValidation type="list" allowBlank="1" showInputMessage="1" showErrorMessage="1" errorTitle="Invalid Entry" error="Select from dropdown list." promptTitle="Next Hypothesis" prompt="Select from options for: Next Hypothesis" sqref="C37" xr:uid="{00000000-0002-0000-0800-000016000000}">
      <formula1>"Fix approval authority — target &lt;4hr decision,Reduce defect rate from 3% to &lt;1%,Eliminate waiting waste in intake process,Automate manual handoff between teams,Reduce lead time by further 20%,Address remaining FMEA high-risk items,Improve Sigma level by 0"</formula1>
      <formula2>0</formula2>
    </dataValidation>
    <dataValidation type="list" allowBlank="1" showInputMessage="1" showErrorMessage="1" errorTitle="Invalid Entry" error="Select from dropdown list." promptTitle="Lessons Learned" prompt="Select from options for: Lessons Learned" sqref="C38" xr:uid="{00000000-0002-0000-0800-000017000000}">
      <formula1>"Visibility alone drives 50%+ of improvement,Start with the people — process follows,WIP limits expose bottlenecks faster than analysis,Pilot small and fast — fail cheap,Involve frontline team from day 1,Metrics must be real-time to drive behaviour,Managem"</formula1>
      <formula2>0</formula2>
    </dataValidation>
    <dataValidation type="list" allowBlank="1" showInputMessage="1" showErrorMessage="1" errorTitle="Invalid Entry" error="Select from dropdown list." promptTitle="Status" prompt="Select PDCA item status" sqref="F33:F38 F24:F29 F15:F20 F6:F11" xr:uid="{00000000-0002-0000-0800-000018000000}">
      <formula1>"NOT STARTED,IN PROGRESS,COMPLETE,BLOCKED,SKIPPED,DEFERRED"</formula1>
      <formula2>0</formula2>
    </dataValidation>
  </dataValidations>
  <pageMargins left="0.75" right="0.75" top="1" bottom="1" header="0.511811023622047" footer="0.511811023622047"/>
  <pageSetup paperSize="9" orientation="portrait" horizontalDpi="300" verticalDpi="300"/>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19">
    <tabColor rgb="FF0E6655"/>
  </sheetPr>
  <dimension ref="A1:J16"/>
  <sheetViews>
    <sheetView showGridLines="0" topLeftCell="A9" zoomScaleNormal="100" workbookViewId="0">
      <selection activeCell="B22" sqref="B22"/>
    </sheetView>
  </sheetViews>
  <sheetFormatPr defaultColWidth="8.6328125" defaultRowHeight="14.5" x14ac:dyDescent="0.35"/>
  <cols>
    <col min="1" max="1" width="1.453125" customWidth="1"/>
    <col min="2" max="2" width="26" customWidth="1"/>
    <col min="3" max="5" width="15" customWidth="1"/>
    <col min="6" max="6" width="22" customWidth="1"/>
    <col min="7" max="7" width="13" customWidth="1"/>
    <col min="8" max="9" width="12" customWidth="1"/>
    <col min="10" max="10" width="14" customWidth="1"/>
  </cols>
  <sheetData>
    <row r="1" spans="1:10" ht="33.75" customHeight="1" x14ac:dyDescent="0.35">
      <c r="A1" s="1"/>
      <c r="B1" s="328" t="s">
        <v>540</v>
      </c>
      <c r="C1" s="328"/>
      <c r="D1" s="328"/>
      <c r="E1" s="328"/>
      <c r="F1" s="328"/>
      <c r="G1" s="328"/>
      <c r="H1" s="1"/>
    </row>
    <row r="2" spans="1:10" ht="19.5" customHeight="1" x14ac:dyDescent="0.35">
      <c r="B2" s="336" t="s">
        <v>541</v>
      </c>
      <c r="C2" s="336"/>
      <c r="D2" s="336"/>
      <c r="E2" s="336"/>
      <c r="F2" s="336"/>
      <c r="G2" s="336"/>
    </row>
    <row r="3" spans="1:10" ht="19.5" customHeight="1" x14ac:dyDescent="0.35">
      <c r="B3" s="98" t="s">
        <v>542</v>
      </c>
      <c r="C3" s="98" t="s">
        <v>543</v>
      </c>
      <c r="D3" s="98" t="s">
        <v>544</v>
      </c>
      <c r="E3" s="98" t="s">
        <v>545</v>
      </c>
      <c r="F3" s="98" t="s">
        <v>546</v>
      </c>
      <c r="G3" s="67" t="s">
        <v>547</v>
      </c>
      <c r="H3" s="67" t="s">
        <v>548</v>
      </c>
      <c r="I3" s="67" t="s">
        <v>549</v>
      </c>
      <c r="J3" s="67" t="s">
        <v>550</v>
      </c>
    </row>
    <row r="4" spans="1:10" ht="25.5" customHeight="1" x14ac:dyDescent="0.35">
      <c r="B4" s="81" t="s">
        <v>22</v>
      </c>
      <c r="C4" s="133">
        <f>IF(COUNTIF(WASTE_DATA!C4:C11,"YES")&gt;3,60,IF(COUNTIF(WASTE_DATA!C4:C11,"YES")&gt;1,40,20))</f>
        <v>60</v>
      </c>
      <c r="D4" s="134">
        <v>20</v>
      </c>
      <c r="E4" s="135">
        <f>ROUND((C4+D4)/2,0)</f>
        <v>40</v>
      </c>
      <c r="F4" s="69" t="str">
        <f>IF(E4&gt;=80,"ADVANCED",IF(E4&gt;=60,"PROFICIENT",IF(E4&gt;=40,"DEVELOPING","BEGINNING")))</f>
        <v>DEVELOPING</v>
      </c>
      <c r="G4" s="76">
        <f>COUNTIF(FMEA_DATA!$J$4:$J$18,"1-CRITICAL*")</f>
        <v>5</v>
      </c>
      <c r="H4" s="121" t="str">
        <f ca="1">IFERROR(SS_DATA!C15,"—")</f>
        <v/>
      </c>
      <c r="I4" s="136">
        <f>IFERROR(SDLC_DATA!C30,0)</f>
        <v>0.36249999999999999</v>
      </c>
      <c r="J4" s="122">
        <f>COUNTIF(AGILE_DATA!$H$9:$H$23,"DONE")</f>
        <v>3</v>
      </c>
    </row>
    <row r="5" spans="1:10" ht="25.5" customHeight="1" x14ac:dyDescent="0.35">
      <c r="B5" s="81" t="s">
        <v>23</v>
      </c>
      <c r="C5" s="133">
        <f>IF(COUNTIF(CASE_DATA!G4:G23,"RESOLVED")&gt;2,65,IF(COUNTIF(CASE_DATA!G4:G23,"IN PROGRESS")&gt;0,45,25))</f>
        <v>45</v>
      </c>
      <c r="D5" s="134">
        <v>25</v>
      </c>
      <c r="E5" s="135">
        <f>ROUND((C5+D5)/2,0)</f>
        <v>35</v>
      </c>
      <c r="F5" s="69" t="str">
        <f>IF(E5&gt;=80,"ADVANCED",IF(E5&gt;=60,"PROFICIENT",IF(E5&gt;=40,"DEVELOPING","BEGINNING")))</f>
        <v>BEGINNING</v>
      </c>
      <c r="G5" s="76">
        <f>COUNTIF(FMEA_DATA!$J$4:$J$18,"1-CRITICAL*")</f>
        <v>5</v>
      </c>
      <c r="H5" s="121" t="str">
        <f ca="1">IFERROR(SS_DATA!C15,"—")</f>
        <v/>
      </c>
      <c r="I5" s="136">
        <f>IFERROR(SDLC_DATA!C30,0)</f>
        <v>0.36249999999999999</v>
      </c>
      <c r="J5" s="122">
        <f>COUNTIF(AGILE_DATA!$H$9:$H$23,"DONE")</f>
        <v>3</v>
      </c>
    </row>
    <row r="6" spans="1:10" ht="25.5" customHeight="1" x14ac:dyDescent="0.35">
      <c r="B6" s="81" t="s">
        <v>24</v>
      </c>
      <c r="C6" s="133">
        <f>IF(COUNTIF(PDCA_DATA!F4:F60,"COMPLETE")&gt;4,70,IF(COUNTIF(PDCA_DATA!F4:F60,"COMPLETE")&gt;0,50,30))</f>
        <v>30</v>
      </c>
      <c r="D6" s="134">
        <v>30</v>
      </c>
      <c r="E6" s="135">
        <f>ROUND((C6+D6)/2,0)</f>
        <v>30</v>
      </c>
      <c r="F6" s="69" t="str">
        <f>IF(E6&gt;=80,"ADVANCED",IF(E6&gt;=60,"PROFICIENT",IF(E6&gt;=40,"DEVELOPING","BEGINNING")))</f>
        <v>BEGINNING</v>
      </c>
      <c r="G6" s="76">
        <f>COUNTIF(FMEA_DATA!$J$4:$J$18,"1-CRITICAL*")</f>
        <v>5</v>
      </c>
      <c r="H6" s="121" t="str">
        <f ca="1">IFERROR(SS_DATA!C15,"—")</f>
        <v/>
      </c>
      <c r="I6" s="136">
        <f>IFERROR(SDLC_DATA!C30,0)</f>
        <v>0.36249999999999999</v>
      </c>
      <c r="J6" s="122">
        <f>COUNTIF(AGILE_DATA!$H$9:$H$23,"DONE")</f>
        <v>3</v>
      </c>
    </row>
    <row r="7" spans="1:10" ht="25.5" customHeight="1" x14ac:dyDescent="0.35">
      <c r="B7" s="81" t="s">
        <v>25</v>
      </c>
      <c r="C7" s="133">
        <f>IF(COUNTIF(WASTE_DATA!C4:C11,"YES")&lt;=3,55,35)</f>
        <v>35</v>
      </c>
      <c r="D7" s="134">
        <v>15</v>
      </c>
      <c r="E7" s="135">
        <f>ROUND((C7+D7)/2,0)</f>
        <v>25</v>
      </c>
      <c r="F7" s="69" t="str">
        <f>IF(E7&gt;=80,"ADVANCED",IF(E7&gt;=60,"PROFICIENT",IF(E7&gt;=40,"DEVELOPING","BEGINNING")))</f>
        <v>BEGINNING</v>
      </c>
      <c r="G7" s="76">
        <f>COUNTIF(FMEA_DATA!$J$4:$J$18,"1-CRITICAL*")</f>
        <v>5</v>
      </c>
      <c r="H7" s="121" t="str">
        <f ca="1">IFERROR(SS_DATA!C15,"—")</f>
        <v/>
      </c>
      <c r="I7" s="136">
        <f>IFERROR(SDLC_DATA!C30,0)</f>
        <v>0.36249999999999999</v>
      </c>
      <c r="J7" s="122">
        <f>COUNTIF(AGILE_DATA!$H$9:$H$23,"DONE")</f>
        <v>3</v>
      </c>
    </row>
    <row r="8" spans="1:10" ht="25.5" customHeight="1" x14ac:dyDescent="0.35">
      <c r="B8" s="81" t="s">
        <v>26</v>
      </c>
      <c r="C8" s="133">
        <f>IF(COUNTIF(PDCA_DATA!F4:F60,"COMPLETE")&gt;3,80,IF(COUNTIF(PDCA_DATA!F4:F60,"COMPLETE")&gt;0,50,20))</f>
        <v>20</v>
      </c>
      <c r="D8" s="134">
        <v>10</v>
      </c>
      <c r="E8" s="135">
        <f>ROUND((C8+D8)/2,0)</f>
        <v>15</v>
      </c>
      <c r="F8" s="69" t="str">
        <f>IF(E8&gt;=80,"ADVANCED",IF(E8&gt;=60,"PROFICIENT",IF(E8&gt;=40,"DEVELOPING","BEGINNING")))</f>
        <v>BEGINNING</v>
      </c>
      <c r="G8" s="76">
        <f>COUNTIF(FMEA_DATA!$J$4:$J$18,"1-CRITICAL*")</f>
        <v>5</v>
      </c>
      <c r="H8" s="121" t="str">
        <f ca="1">IFERROR(SS_DATA!C15,"—")</f>
        <v/>
      </c>
      <c r="I8" s="136">
        <f>IFERROR(SDLC_DATA!C30,0)</f>
        <v>0.36249999999999999</v>
      </c>
      <c r="J8" s="122">
        <f>COUNTIF(AGILE_DATA!$H$9:$H$23,"DONE")</f>
        <v>3</v>
      </c>
    </row>
    <row r="10" spans="1:10" ht="19.5" customHeight="1" x14ac:dyDescent="0.35">
      <c r="B10" s="303" t="s">
        <v>551</v>
      </c>
      <c r="C10" s="303"/>
      <c r="D10" s="303"/>
      <c r="E10" s="303"/>
      <c r="F10" s="303"/>
      <c r="G10" s="303"/>
    </row>
    <row r="11" spans="1:10" ht="19.5" customHeight="1" x14ac:dyDescent="0.35">
      <c r="B11" s="85" t="s">
        <v>552</v>
      </c>
      <c r="C11" s="85" t="s">
        <v>553</v>
      </c>
      <c r="D11" s="85" t="s">
        <v>554</v>
      </c>
      <c r="E11" s="85" t="s">
        <v>555</v>
      </c>
      <c r="F11" s="85" t="s">
        <v>556</v>
      </c>
      <c r="G11" s="85" t="s">
        <v>557</v>
      </c>
      <c r="H11" s="85" t="s">
        <v>558</v>
      </c>
    </row>
    <row r="12" spans="1:10" ht="21.75" customHeight="1" x14ac:dyDescent="0.35">
      <c r="B12" s="26" t="s">
        <v>559</v>
      </c>
      <c r="C12" s="137">
        <v>12</v>
      </c>
      <c r="D12" s="137">
        <v>10</v>
      </c>
      <c r="E12" s="137">
        <v>8</v>
      </c>
      <c r="F12" s="137">
        <v>7</v>
      </c>
      <c r="G12" s="137">
        <v>5</v>
      </c>
      <c r="H12" s="138" t="str">
        <f>IF(G12&lt;C12,"▼ Improving",IF(G12&gt;C12,"▲ Worsening","→ Stable"))</f>
        <v>▼ Improving</v>
      </c>
    </row>
    <row r="13" spans="1:10" ht="21.75" customHeight="1" x14ac:dyDescent="0.35">
      <c r="B13" s="139" t="s">
        <v>560</v>
      </c>
      <c r="C13" s="140">
        <v>24</v>
      </c>
      <c r="D13" s="140">
        <v>22</v>
      </c>
      <c r="E13" s="140">
        <v>19</v>
      </c>
      <c r="F13" s="140">
        <v>18</v>
      </c>
      <c r="G13" s="140">
        <v>15</v>
      </c>
      <c r="H13" s="69" t="str">
        <f>IF(G13&lt;C13,"▼ Improving",IF(G13&gt;C13,"▲ Worsening","→ Stable"))</f>
        <v>▼ Improving</v>
      </c>
    </row>
    <row r="14" spans="1:10" ht="21.75" customHeight="1" x14ac:dyDescent="0.35">
      <c r="B14" s="26" t="s">
        <v>561</v>
      </c>
      <c r="C14" s="137">
        <v>14</v>
      </c>
      <c r="D14" s="137">
        <v>13</v>
      </c>
      <c r="E14" s="137">
        <v>12</v>
      </c>
      <c r="F14" s="137">
        <v>11</v>
      </c>
      <c r="G14" s="137">
        <v>9</v>
      </c>
      <c r="H14" s="138" t="str">
        <f>IF(G14&lt;C14,"▼ Improving",IF(G14&gt;C14,"▲ Worsening","→ Stable"))</f>
        <v>▼ Improving</v>
      </c>
    </row>
    <row r="15" spans="1:10" ht="21.75" customHeight="1" x14ac:dyDescent="0.35">
      <c r="B15" s="139" t="s">
        <v>562</v>
      </c>
      <c r="C15" s="140">
        <v>6</v>
      </c>
      <c r="D15" s="140">
        <v>7</v>
      </c>
      <c r="E15" s="140">
        <v>7</v>
      </c>
      <c r="F15" s="140">
        <v>8</v>
      </c>
      <c r="G15" s="140">
        <v>8</v>
      </c>
      <c r="H15" s="69" t="str">
        <f>IF(G15&lt;C15,"▼ Improving",IF(G15&gt;C15,"▲ Worsening","→ Stable"))</f>
        <v>▲ Worsening</v>
      </c>
    </row>
    <row r="16" spans="1:10" ht="21.75" customHeight="1" x14ac:dyDescent="0.35">
      <c r="B16" s="26" t="s">
        <v>563</v>
      </c>
      <c r="C16" s="137">
        <v>0</v>
      </c>
      <c r="D16" s="137">
        <v>1</v>
      </c>
      <c r="E16" s="137">
        <v>1</v>
      </c>
      <c r="F16" s="137">
        <v>2</v>
      </c>
      <c r="G16" s="137">
        <v>3</v>
      </c>
      <c r="H16" s="138" t="str">
        <f>IF(G16&lt;C16,"▼ Improving",IF(G16&gt;C16,"▲ Worsening","→ Stable"))</f>
        <v>▲ Worsening</v>
      </c>
    </row>
  </sheetData>
  <mergeCells count="3">
    <mergeCell ref="B1:G1"/>
    <mergeCell ref="B2:G2"/>
    <mergeCell ref="B10:G10"/>
  </mergeCells>
  <conditionalFormatting sqref="F4:F8">
    <cfRule type="cellIs" dxfId="6" priority="2" operator="equal">
      <formula>"ADVANCED"</formula>
    </cfRule>
    <cfRule type="cellIs" dxfId="5" priority="3" operator="equal">
      <formula>"PROFICIENT"</formula>
    </cfRule>
    <cfRule type="cellIs" dxfId="4" priority="4" operator="equal">
      <formula>"DEVELOPING"</formula>
    </cfRule>
    <cfRule type="cellIs" dxfId="3" priority="5" operator="equal">
      <formula>"BEGINNING"</formula>
    </cfRule>
  </conditionalFormatting>
  <conditionalFormatting sqref="E4:E8">
    <cfRule type="colorScale" priority="6">
      <colorScale>
        <cfvo type="num" val="0"/>
        <cfvo type="num" val="50"/>
        <cfvo type="num" val="100"/>
        <color rgb="FFFC3C3C"/>
        <color rgb="FFFFFF00"/>
        <color rgb="FF00B050"/>
      </colorScale>
    </cfRule>
  </conditionalFormatting>
  <conditionalFormatting sqref="C12:G16">
    <cfRule type="colorScale" priority="7">
      <colorScale>
        <cfvo type="percentile" val="10"/>
        <cfvo type="percentile" val="50"/>
        <cfvo type="percentile" val="90"/>
        <color rgb="FF00B050"/>
        <color rgb="FFFFFF00"/>
        <color rgb="FFFC3C3C"/>
      </colorScale>
    </cfRule>
  </conditionalFormatting>
  <dataValidations count="1">
    <dataValidation type="list" allowBlank="1" showInputMessage="1" showErrorMessage="1" errorTitle="Invalid Entry" error="Select from dropdown list." promptTitle="Your Score" prompt="Score 0–100 for your lean maturity" sqref="D4:D8" xr:uid="{00000000-0002-0000-0900-000000000000}">
      <formula1>"0,10,20,30,40,50,60,70,80,90,100"</formula1>
      <formula2>0</formula2>
    </dataValidation>
  </dataValidations>
  <pageMargins left="0.75" right="0.75" top="1" bottom="1" header="0.511811023622047" footer="0.511811023622047"/>
  <pageSetup paperSize="9" orientation="portrait" horizontalDpi="300" verticalDpi="300"/>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rk20">
    <tabColor rgb="FFC0392B"/>
  </sheetPr>
  <dimension ref="A1:J53"/>
  <sheetViews>
    <sheetView showGridLines="0" zoomScaleNormal="100" workbookViewId="0">
      <selection activeCell="G6" sqref="G6"/>
    </sheetView>
  </sheetViews>
  <sheetFormatPr defaultColWidth="8.6328125" defaultRowHeight="14.5" x14ac:dyDescent="0.35"/>
  <cols>
    <col min="1" max="1" width="1.453125" customWidth="1"/>
    <col min="2" max="2" width="12" customWidth="1"/>
    <col min="3" max="3" width="28" customWidth="1"/>
    <col min="4" max="4" width="20" customWidth="1"/>
    <col min="5" max="5" width="16" customWidth="1"/>
    <col min="6" max="6" width="14" customWidth="1"/>
    <col min="7" max="7" width="22" customWidth="1"/>
    <col min="8" max="8" width="14" customWidth="1"/>
    <col min="9" max="9" width="10" customWidth="1"/>
    <col min="10" max="10" width="12" customWidth="1"/>
  </cols>
  <sheetData>
    <row r="1" spans="1:10" ht="33.75" customHeight="1" x14ac:dyDescent="0.35">
      <c r="A1" s="1"/>
      <c r="B1" s="328" t="s">
        <v>564</v>
      </c>
      <c r="C1" s="328"/>
      <c r="D1" s="328"/>
      <c r="E1" s="328"/>
      <c r="F1" s="328"/>
      <c r="G1" s="328"/>
      <c r="H1" s="328"/>
      <c r="I1" s="1"/>
    </row>
    <row r="2" spans="1:10" ht="15.75" customHeight="1" x14ac:dyDescent="0.35">
      <c r="B2" s="347" t="s">
        <v>565</v>
      </c>
      <c r="C2" s="347"/>
      <c r="D2" s="347"/>
      <c r="E2" s="347"/>
      <c r="F2" s="347"/>
      <c r="G2" s="347"/>
      <c r="H2" s="347"/>
    </row>
    <row r="3" spans="1:10" ht="21.75" customHeight="1" x14ac:dyDescent="0.35">
      <c r="B3" s="100" t="s">
        <v>566</v>
      </c>
      <c r="C3" s="100" t="s">
        <v>567</v>
      </c>
      <c r="D3" s="100" t="s">
        <v>568</v>
      </c>
      <c r="E3" s="100" t="s">
        <v>443</v>
      </c>
      <c r="F3" s="100" t="s">
        <v>77</v>
      </c>
      <c r="G3" s="100" t="s">
        <v>569</v>
      </c>
      <c r="H3" s="100" t="s">
        <v>268</v>
      </c>
      <c r="I3" s="67" t="s">
        <v>570</v>
      </c>
      <c r="J3" s="67" t="s">
        <v>548</v>
      </c>
    </row>
    <row r="4" spans="1:10" ht="36" customHeight="1" x14ac:dyDescent="0.35">
      <c r="B4" s="89" t="s">
        <v>571</v>
      </c>
      <c r="C4" s="114" t="s">
        <v>572</v>
      </c>
      <c r="D4" s="141" t="s">
        <v>573</v>
      </c>
      <c r="E4" s="89" t="s">
        <v>574</v>
      </c>
      <c r="F4" s="142" t="s">
        <v>575</v>
      </c>
      <c r="G4" s="292" t="s">
        <v>576</v>
      </c>
      <c r="H4" s="144" t="s">
        <v>577</v>
      </c>
      <c r="I4" s="76">
        <f>COUNTIF(FMEA_DATA!$M$4:$M$18,"OPEN")</f>
        <v>12</v>
      </c>
      <c r="J4" s="121" t="str">
        <f ca="1">IFERROR(SS_DATA!C15,"—")</f>
        <v/>
      </c>
    </row>
    <row r="5" spans="1:10" ht="36" customHeight="1" x14ac:dyDescent="0.35">
      <c r="B5" s="145" t="s">
        <v>578</v>
      </c>
      <c r="C5" s="123" t="s">
        <v>579</v>
      </c>
      <c r="D5" s="146" t="s">
        <v>580</v>
      </c>
      <c r="E5" s="145" t="s">
        <v>461</v>
      </c>
      <c r="F5" s="65" t="s">
        <v>120</v>
      </c>
      <c r="G5" s="147" t="s">
        <v>581</v>
      </c>
      <c r="H5" s="144" t="s">
        <v>577</v>
      </c>
      <c r="I5" s="76">
        <f>COUNTIF(FMEA_DATA!$M$4:$M$18,"OPEN")</f>
        <v>12</v>
      </c>
      <c r="J5" s="121" t="str">
        <f ca="1">IFERROR(SS_DATA!C15,"—")</f>
        <v/>
      </c>
    </row>
    <row r="6" spans="1:10" ht="36" customHeight="1" x14ac:dyDescent="0.35">
      <c r="B6" s="89" t="s">
        <v>582</v>
      </c>
      <c r="C6" s="114" t="s">
        <v>583</v>
      </c>
      <c r="D6" s="141" t="s">
        <v>584</v>
      </c>
      <c r="E6" s="89" t="s">
        <v>473</v>
      </c>
      <c r="F6" s="142" t="s">
        <v>585</v>
      </c>
      <c r="G6" s="143" t="s">
        <v>586</v>
      </c>
      <c r="H6" s="144" t="s">
        <v>577</v>
      </c>
      <c r="I6" s="76">
        <f>COUNTIF(FMEA_DATA!$M$4:$M$18,"OPEN")</f>
        <v>12</v>
      </c>
      <c r="J6" s="121" t="str">
        <f ca="1">IFERROR(SS_DATA!C15,"—")</f>
        <v/>
      </c>
    </row>
    <row r="7" spans="1:10" ht="36" customHeight="1" x14ac:dyDescent="0.35">
      <c r="B7" s="145" t="s">
        <v>587</v>
      </c>
      <c r="C7" s="123" t="s">
        <v>588</v>
      </c>
      <c r="D7" s="146" t="s">
        <v>589</v>
      </c>
      <c r="E7" s="145" t="s">
        <v>590</v>
      </c>
      <c r="F7" s="65" t="s">
        <v>591</v>
      </c>
      <c r="G7" s="147" t="s">
        <v>592</v>
      </c>
      <c r="H7" s="119" t="s">
        <v>213</v>
      </c>
      <c r="I7" s="76">
        <f>COUNTIF(FMEA_DATA!$M$4:$M$18,"OPEN")</f>
        <v>12</v>
      </c>
      <c r="J7" s="121" t="str">
        <f ca="1">IFERROR(SS_DATA!C15,"—")</f>
        <v/>
      </c>
    </row>
    <row r="8" spans="1:10" ht="36" customHeight="1" x14ac:dyDescent="0.35">
      <c r="B8" s="89" t="s">
        <v>593</v>
      </c>
      <c r="C8" s="114" t="s">
        <v>594</v>
      </c>
      <c r="D8" s="141" t="s">
        <v>580</v>
      </c>
      <c r="E8" s="89" t="s">
        <v>595</v>
      </c>
      <c r="F8" s="142" t="s">
        <v>120</v>
      </c>
      <c r="G8" s="143" t="s">
        <v>596</v>
      </c>
      <c r="H8" s="144" t="s">
        <v>577</v>
      </c>
      <c r="I8" s="76">
        <f>COUNTIF(FMEA_DATA!$M$4:$M$18,"OPEN")</f>
        <v>12</v>
      </c>
      <c r="J8" s="121" t="str">
        <f ca="1">IFERROR(SS_DATA!C15,"—")</f>
        <v/>
      </c>
    </row>
    <row r="9" spans="1:10" ht="36" customHeight="1" x14ac:dyDescent="0.35">
      <c r="B9" s="145" t="s">
        <v>597</v>
      </c>
      <c r="C9" s="123" t="s">
        <v>598</v>
      </c>
      <c r="D9" s="146" t="s">
        <v>599</v>
      </c>
      <c r="E9" s="145" t="s">
        <v>600</v>
      </c>
      <c r="F9" s="65" t="s">
        <v>249</v>
      </c>
      <c r="G9" s="147" t="s">
        <v>601</v>
      </c>
      <c r="H9" s="119" t="s">
        <v>213</v>
      </c>
      <c r="I9" s="76">
        <f>COUNTIF(FMEA_DATA!$M$4:$M$18,"OPEN")</f>
        <v>12</v>
      </c>
      <c r="J9" s="121" t="str">
        <f ca="1">IFERROR(SS_DATA!C15,"—")</f>
        <v/>
      </c>
    </row>
    <row r="10" spans="1:10" ht="27.75" customHeight="1" x14ac:dyDescent="0.35">
      <c r="B10" s="127"/>
      <c r="C10" s="127"/>
      <c r="D10" s="127"/>
      <c r="E10" s="127"/>
      <c r="F10" s="127"/>
      <c r="G10" s="127"/>
      <c r="H10" s="127"/>
      <c r="I10" s="76">
        <f>COUNTIF(FMEA_DATA!$M$4:$M$18,"OPEN")</f>
        <v>12</v>
      </c>
      <c r="J10" s="121" t="str">
        <f ca="1">IFERROR(SS_DATA!C15,"—")</f>
        <v/>
      </c>
    </row>
    <row r="11" spans="1:10" ht="27.75" customHeight="1" x14ac:dyDescent="0.35">
      <c r="B11" s="128"/>
      <c r="C11" s="128"/>
      <c r="D11" s="128"/>
      <c r="E11" s="128"/>
      <c r="F11" s="128"/>
      <c r="G11" s="128"/>
      <c r="H11" s="128"/>
      <c r="I11" s="76">
        <f>COUNTIF(FMEA_DATA!$M$4:$M$18,"OPEN")</f>
        <v>12</v>
      </c>
      <c r="J11" s="121" t="str">
        <f ca="1">IFERROR(SS_DATA!C15,"—")</f>
        <v/>
      </c>
    </row>
    <row r="12" spans="1:10" ht="27.75" customHeight="1" x14ac:dyDescent="0.35">
      <c r="B12" s="127"/>
      <c r="C12" s="127"/>
      <c r="D12" s="127"/>
      <c r="E12" s="127"/>
      <c r="F12" s="127"/>
      <c r="G12" s="127"/>
      <c r="H12" s="127"/>
      <c r="I12" s="76">
        <f>COUNTIF(FMEA_DATA!$M$4:$M$18,"OPEN")</f>
        <v>12</v>
      </c>
      <c r="J12" s="121" t="str">
        <f ca="1">IFERROR(SS_DATA!C15,"—")</f>
        <v/>
      </c>
    </row>
    <row r="13" spans="1:10" ht="27.75" customHeight="1" x14ac:dyDescent="0.35">
      <c r="B13" s="128"/>
      <c r="C13" s="128"/>
      <c r="D13" s="128"/>
      <c r="E13" s="128"/>
      <c r="F13" s="128"/>
      <c r="G13" s="128"/>
      <c r="H13" s="128"/>
      <c r="I13" s="76">
        <f>COUNTIF(FMEA_DATA!$M$4:$M$18,"OPEN")</f>
        <v>12</v>
      </c>
      <c r="J13" s="121" t="str">
        <f ca="1">IFERROR(SS_DATA!C15,"—")</f>
        <v/>
      </c>
    </row>
    <row r="14" spans="1:10" ht="27.75" customHeight="1" x14ac:dyDescent="0.35">
      <c r="B14" s="127"/>
      <c r="C14" s="127"/>
      <c r="D14" s="127"/>
      <c r="E14" s="127"/>
      <c r="F14" s="127"/>
      <c r="G14" s="127"/>
      <c r="H14" s="127"/>
      <c r="I14" s="76">
        <f>COUNTIF(FMEA_DATA!$M$4:$M$18,"OPEN")</f>
        <v>12</v>
      </c>
      <c r="J14" s="121" t="str">
        <f ca="1">IFERROR(SS_DATA!C15,"—")</f>
        <v/>
      </c>
    </row>
    <row r="15" spans="1:10" ht="27.75" customHeight="1" x14ac:dyDescent="0.35">
      <c r="B15" s="128"/>
      <c r="C15" s="128"/>
      <c r="D15" s="128"/>
      <c r="E15" s="128"/>
      <c r="F15" s="128"/>
      <c r="G15" s="128"/>
      <c r="H15" s="128"/>
      <c r="I15" s="76">
        <f>COUNTIF(FMEA_DATA!$M$4:$M$18,"OPEN")</f>
        <v>12</v>
      </c>
      <c r="J15" s="121" t="str">
        <f ca="1">IFERROR(SS_DATA!C15,"—")</f>
        <v/>
      </c>
    </row>
    <row r="16" spans="1:10" ht="27.75" customHeight="1" x14ac:dyDescent="0.35">
      <c r="B16" s="127"/>
      <c r="C16" s="127"/>
      <c r="D16" s="127"/>
      <c r="E16" s="127"/>
      <c r="F16" s="127"/>
      <c r="G16" s="127"/>
      <c r="H16" s="127"/>
      <c r="I16" s="76">
        <f>COUNTIF(FMEA_DATA!$M$4:$M$18,"OPEN")</f>
        <v>12</v>
      </c>
      <c r="J16" s="121" t="str">
        <f ca="1">IFERROR(SS_DATA!C15,"—")</f>
        <v/>
      </c>
    </row>
    <row r="17" spans="2:10" ht="27.75" customHeight="1" x14ac:dyDescent="0.35">
      <c r="B17" s="128"/>
      <c r="C17" s="128"/>
      <c r="D17" s="128"/>
      <c r="E17" s="128"/>
      <c r="F17" s="128"/>
      <c r="G17" s="128"/>
      <c r="H17" s="128"/>
      <c r="I17" s="76">
        <f>COUNTIF(FMEA_DATA!$M$4:$M$18,"OPEN")</f>
        <v>12</v>
      </c>
      <c r="J17" s="121" t="str">
        <f ca="1">IFERROR(SS_DATA!C15,"—")</f>
        <v/>
      </c>
    </row>
    <row r="18" spans="2:10" ht="27.75" customHeight="1" x14ac:dyDescent="0.35">
      <c r="B18" s="127"/>
      <c r="C18" s="127"/>
      <c r="D18" s="127"/>
      <c r="E18" s="127"/>
      <c r="F18" s="127"/>
      <c r="G18" s="127"/>
      <c r="H18" s="127"/>
      <c r="I18" s="76">
        <f>COUNTIF(FMEA_DATA!$M$4:$M$18,"OPEN")</f>
        <v>12</v>
      </c>
      <c r="J18" s="121" t="str">
        <f ca="1">IFERROR(SS_DATA!C15,"—")</f>
        <v/>
      </c>
    </row>
    <row r="19" spans="2:10" ht="27.75" customHeight="1" x14ac:dyDescent="0.35">
      <c r="B19" s="128"/>
      <c r="C19" s="128"/>
      <c r="D19" s="128"/>
      <c r="E19" s="128"/>
      <c r="F19" s="128"/>
      <c r="G19" s="128"/>
      <c r="H19" s="128"/>
      <c r="I19" s="76">
        <f>COUNTIF(FMEA_DATA!$M$4:$M$18,"OPEN")</f>
        <v>12</v>
      </c>
      <c r="J19" s="121" t="str">
        <f ca="1">IFERROR(SS_DATA!C15,"—")</f>
        <v/>
      </c>
    </row>
    <row r="20" spans="2:10" ht="27.75" customHeight="1" x14ac:dyDescent="0.35">
      <c r="B20" s="127"/>
      <c r="C20" s="127"/>
      <c r="D20" s="127"/>
      <c r="E20" s="127"/>
      <c r="F20" s="127"/>
      <c r="G20" s="127"/>
      <c r="H20" s="127"/>
      <c r="I20" s="76">
        <f>COUNTIF(FMEA_DATA!$M$4:$M$18,"OPEN")</f>
        <v>12</v>
      </c>
      <c r="J20" s="121" t="str">
        <f ca="1">IFERROR(SS_DATA!C15,"—")</f>
        <v/>
      </c>
    </row>
    <row r="21" spans="2:10" ht="27.75" customHeight="1" x14ac:dyDescent="0.35">
      <c r="B21" s="128"/>
      <c r="C21" s="128"/>
      <c r="D21" s="128"/>
      <c r="E21" s="128"/>
      <c r="F21" s="128"/>
      <c r="G21" s="128"/>
      <c r="H21" s="128"/>
      <c r="I21" s="76">
        <f>COUNTIF(FMEA_DATA!$M$4:$M$18,"OPEN")</f>
        <v>12</v>
      </c>
      <c r="J21" s="121" t="str">
        <f ca="1">IFERROR(SS_DATA!C15,"—")</f>
        <v/>
      </c>
    </row>
    <row r="22" spans="2:10" ht="27.75" customHeight="1" x14ac:dyDescent="0.35">
      <c r="B22" s="127"/>
      <c r="C22" s="127"/>
      <c r="D22" s="127"/>
      <c r="E22" s="127"/>
      <c r="F22" s="127"/>
      <c r="G22" s="127"/>
      <c r="H22" s="127"/>
      <c r="I22" s="76">
        <f>COUNTIF(FMEA_DATA!$M$4:$M$18,"OPEN")</f>
        <v>12</v>
      </c>
      <c r="J22" s="121" t="str">
        <f ca="1">IFERROR(SS_DATA!C15,"—")</f>
        <v/>
      </c>
    </row>
    <row r="23" spans="2:10" ht="27.75" customHeight="1" x14ac:dyDescent="0.35">
      <c r="B23" s="128"/>
      <c r="C23" s="128"/>
      <c r="D23" s="128"/>
      <c r="E23" s="128"/>
      <c r="F23" s="128"/>
      <c r="G23" s="128"/>
      <c r="H23" s="128"/>
      <c r="I23" s="76">
        <f>COUNTIF(FMEA_DATA!$M$4:$M$18,"OPEN")</f>
        <v>12</v>
      </c>
      <c r="J23" s="121" t="str">
        <f ca="1">IFERROR(SS_DATA!C15,"—")</f>
        <v/>
      </c>
    </row>
    <row r="24" spans="2:10" ht="27.75" customHeight="1" x14ac:dyDescent="0.35">
      <c r="B24" s="127"/>
      <c r="C24" s="127"/>
      <c r="D24" s="127"/>
      <c r="E24" s="127"/>
      <c r="F24" s="127"/>
      <c r="G24" s="127"/>
      <c r="H24" s="127"/>
      <c r="I24" s="76">
        <f>COUNTIF(FMEA_DATA!$M$4:$M$18,"OPEN")</f>
        <v>12</v>
      </c>
      <c r="J24" s="121" t="str">
        <f ca="1">IFERROR(SS_DATA!C15,"—")</f>
        <v/>
      </c>
    </row>
    <row r="25" spans="2:10" ht="27.75" customHeight="1" x14ac:dyDescent="0.35">
      <c r="B25" s="128"/>
      <c r="C25" s="128"/>
      <c r="D25" s="128"/>
      <c r="E25" s="128"/>
      <c r="F25" s="128"/>
      <c r="G25" s="128"/>
      <c r="H25" s="128"/>
      <c r="I25" s="76">
        <f>COUNTIF(FMEA_DATA!$M$4:$M$18,"OPEN")</f>
        <v>12</v>
      </c>
      <c r="J25" s="121" t="str">
        <f ca="1">IFERROR(SS_DATA!C15,"—")</f>
        <v/>
      </c>
    </row>
    <row r="26" spans="2:10" ht="27.75" customHeight="1" x14ac:dyDescent="0.35">
      <c r="B26" s="127"/>
      <c r="C26" s="127"/>
      <c r="D26" s="127"/>
      <c r="E26" s="127"/>
      <c r="F26" s="127"/>
      <c r="G26" s="127"/>
      <c r="H26" s="127"/>
      <c r="I26" s="76">
        <f>COUNTIF(FMEA_DATA!$M$4:$M$18,"OPEN")</f>
        <v>12</v>
      </c>
      <c r="J26" s="121" t="str">
        <f ca="1">IFERROR(SS_DATA!C15,"—")</f>
        <v/>
      </c>
    </row>
    <row r="27" spans="2:10" ht="27.75" customHeight="1" x14ac:dyDescent="0.35">
      <c r="B27" s="128"/>
      <c r="C27" s="128"/>
      <c r="D27" s="128"/>
      <c r="E27" s="128"/>
      <c r="F27" s="128"/>
      <c r="G27" s="128"/>
      <c r="H27" s="128"/>
      <c r="I27" s="76">
        <f>COUNTIF(FMEA_DATA!$M$4:$M$18,"OPEN")</f>
        <v>12</v>
      </c>
      <c r="J27" s="121" t="str">
        <f ca="1">IFERROR(SS_DATA!C15,"—")</f>
        <v/>
      </c>
    </row>
    <row r="28" spans="2:10" ht="27.75" customHeight="1" x14ac:dyDescent="0.35">
      <c r="B28" s="127"/>
      <c r="C28" s="127"/>
      <c r="D28" s="127"/>
      <c r="E28" s="127"/>
      <c r="F28" s="127"/>
      <c r="G28" s="127"/>
      <c r="H28" s="127"/>
      <c r="I28" s="76">
        <f>COUNTIF(FMEA_DATA!$M$4:$M$18,"OPEN")</f>
        <v>12</v>
      </c>
      <c r="J28" s="121" t="str">
        <f ca="1">IFERROR(SS_DATA!C15,"—")</f>
        <v/>
      </c>
    </row>
    <row r="29" spans="2:10" ht="27.75" customHeight="1" x14ac:dyDescent="0.35">
      <c r="B29" s="128"/>
      <c r="C29" s="128"/>
      <c r="D29" s="128"/>
      <c r="E29" s="128"/>
      <c r="F29" s="128"/>
      <c r="G29" s="128"/>
      <c r="H29" s="128"/>
      <c r="I29" s="76">
        <f>COUNTIF(FMEA_DATA!$M$4:$M$18,"OPEN")</f>
        <v>12</v>
      </c>
      <c r="J29" s="121" t="str">
        <f ca="1">IFERROR(SS_DATA!C15,"—")</f>
        <v/>
      </c>
    </row>
    <row r="30" spans="2:10" ht="27.75" customHeight="1" x14ac:dyDescent="0.35">
      <c r="B30" s="127"/>
      <c r="C30" s="127"/>
      <c r="D30" s="127"/>
      <c r="E30" s="127"/>
      <c r="F30" s="127"/>
      <c r="G30" s="127"/>
      <c r="H30" s="127"/>
      <c r="I30" s="76">
        <f>COUNTIF(FMEA_DATA!$M$4:$M$18,"OPEN")</f>
        <v>12</v>
      </c>
      <c r="J30" s="121" t="str">
        <f ca="1">IFERROR(SS_DATA!C15,"—")</f>
        <v/>
      </c>
    </row>
    <row r="31" spans="2:10" ht="27.75" customHeight="1" x14ac:dyDescent="0.35">
      <c r="B31" s="128"/>
      <c r="C31" s="128"/>
      <c r="D31" s="128"/>
      <c r="E31" s="128"/>
      <c r="F31" s="128"/>
      <c r="G31" s="128"/>
      <c r="H31" s="128"/>
      <c r="I31" s="76">
        <f>COUNTIF(FMEA_DATA!$M$4:$M$18,"OPEN")</f>
        <v>12</v>
      </c>
      <c r="J31" s="121" t="str">
        <f ca="1">IFERROR(SS_DATA!C15,"—")</f>
        <v/>
      </c>
    </row>
    <row r="32" spans="2:10" ht="27.75" customHeight="1" x14ac:dyDescent="0.35">
      <c r="B32" s="127"/>
      <c r="C32" s="127"/>
      <c r="D32" s="127"/>
      <c r="E32" s="127"/>
      <c r="F32" s="127"/>
      <c r="G32" s="127"/>
      <c r="H32" s="127"/>
      <c r="I32" s="76">
        <f>COUNTIF(FMEA_DATA!$M$4:$M$18,"OPEN")</f>
        <v>12</v>
      </c>
      <c r="J32" s="121" t="str">
        <f ca="1">IFERROR(SS_DATA!C15,"—")</f>
        <v/>
      </c>
    </row>
    <row r="33" spans="2:10" ht="27.75" customHeight="1" x14ac:dyDescent="0.35">
      <c r="B33" s="128"/>
      <c r="C33" s="128"/>
      <c r="D33" s="128"/>
      <c r="E33" s="128"/>
      <c r="F33" s="128"/>
      <c r="G33" s="128"/>
      <c r="H33" s="128"/>
      <c r="I33" s="76">
        <f>COUNTIF(FMEA_DATA!$M$4:$M$18,"OPEN")</f>
        <v>12</v>
      </c>
      <c r="J33" s="121" t="str">
        <f ca="1">IFERROR(SS_DATA!C15,"—")</f>
        <v/>
      </c>
    </row>
    <row r="34" spans="2:10" ht="27.75" customHeight="1" x14ac:dyDescent="0.35">
      <c r="B34" s="127"/>
      <c r="C34" s="127"/>
      <c r="D34" s="127"/>
      <c r="E34" s="127"/>
      <c r="F34" s="127"/>
      <c r="G34" s="127"/>
      <c r="H34" s="127"/>
      <c r="I34" s="76">
        <f>COUNTIF(FMEA_DATA!$M$4:$M$18,"OPEN")</f>
        <v>12</v>
      </c>
      <c r="J34" s="121" t="str">
        <f ca="1">IFERROR(SS_DATA!C15,"—")</f>
        <v/>
      </c>
    </row>
    <row r="35" spans="2:10" ht="27.75" customHeight="1" x14ac:dyDescent="0.35">
      <c r="B35" s="128"/>
      <c r="C35" s="128"/>
      <c r="D35" s="128"/>
      <c r="E35" s="128"/>
      <c r="F35" s="128"/>
      <c r="G35" s="128"/>
      <c r="H35" s="128"/>
      <c r="I35" s="76">
        <f>COUNTIF(FMEA_DATA!$M$4:$M$18,"OPEN")</f>
        <v>12</v>
      </c>
      <c r="J35" s="121" t="str">
        <f ca="1">IFERROR(SS_DATA!C15,"—")</f>
        <v/>
      </c>
    </row>
    <row r="36" spans="2:10" ht="27.75" customHeight="1" x14ac:dyDescent="0.35">
      <c r="B36" s="127"/>
      <c r="C36" s="127"/>
      <c r="D36" s="127"/>
      <c r="E36" s="127"/>
      <c r="F36" s="127"/>
      <c r="G36" s="127"/>
      <c r="H36" s="127"/>
      <c r="I36" s="76">
        <f>COUNTIF(FMEA_DATA!$M$4:$M$18,"OPEN")</f>
        <v>12</v>
      </c>
      <c r="J36" s="121" t="str">
        <f ca="1">IFERROR(SS_DATA!C15,"—")</f>
        <v/>
      </c>
    </row>
    <row r="37" spans="2:10" ht="27.75" customHeight="1" x14ac:dyDescent="0.35">
      <c r="B37" s="128"/>
      <c r="C37" s="128"/>
      <c r="D37" s="128"/>
      <c r="E37" s="128"/>
      <c r="F37" s="128"/>
      <c r="G37" s="128"/>
      <c r="H37" s="128"/>
      <c r="I37" s="76">
        <f>COUNTIF(FMEA_DATA!$M$4:$M$18,"OPEN")</f>
        <v>12</v>
      </c>
      <c r="J37" s="121" t="str">
        <f ca="1">IFERROR(SS_DATA!C15,"—")</f>
        <v/>
      </c>
    </row>
    <row r="38" spans="2:10" ht="27.75" customHeight="1" x14ac:dyDescent="0.35">
      <c r="B38" s="127"/>
      <c r="C38" s="127"/>
      <c r="D38" s="127"/>
      <c r="E38" s="127"/>
      <c r="F38" s="127"/>
      <c r="G38" s="127"/>
      <c r="H38" s="127"/>
      <c r="I38" s="76">
        <f>COUNTIF(FMEA_DATA!$M$4:$M$18,"OPEN")</f>
        <v>12</v>
      </c>
      <c r="J38" s="121" t="str">
        <f ca="1">IFERROR(SS_DATA!C15,"—")</f>
        <v/>
      </c>
    </row>
    <row r="39" spans="2:10" ht="27.75" customHeight="1" x14ac:dyDescent="0.35">
      <c r="B39" s="128"/>
      <c r="C39" s="128"/>
      <c r="D39" s="128"/>
      <c r="E39" s="128"/>
      <c r="F39" s="128"/>
      <c r="G39" s="128"/>
      <c r="H39" s="128"/>
      <c r="I39" s="76">
        <f>COUNTIF(FMEA_DATA!$M$4:$M$18,"OPEN")</f>
        <v>12</v>
      </c>
      <c r="J39" s="121" t="str">
        <f ca="1">IFERROR(SS_DATA!C15,"—")</f>
        <v/>
      </c>
    </row>
    <row r="40" spans="2:10" ht="27.75" customHeight="1" x14ac:dyDescent="0.35">
      <c r="B40" s="127"/>
      <c r="C40" s="127"/>
      <c r="D40" s="127"/>
      <c r="E40" s="127"/>
      <c r="F40" s="127"/>
      <c r="G40" s="127"/>
      <c r="H40" s="127"/>
      <c r="I40" s="76">
        <f>COUNTIF(FMEA_DATA!$M$4:$M$18,"OPEN")</f>
        <v>12</v>
      </c>
      <c r="J40" s="121" t="str">
        <f ca="1">IFERROR(SS_DATA!C15,"—")</f>
        <v/>
      </c>
    </row>
    <row r="41" spans="2:10" ht="27.75" customHeight="1" x14ac:dyDescent="0.35">
      <c r="B41" s="128"/>
      <c r="C41" s="128"/>
      <c r="D41" s="128"/>
      <c r="E41" s="128"/>
      <c r="F41" s="128"/>
      <c r="G41" s="128"/>
      <c r="H41" s="128"/>
      <c r="I41" s="76">
        <f>COUNTIF(FMEA_DATA!$M$4:$M$18,"OPEN")</f>
        <v>12</v>
      </c>
      <c r="J41" s="121" t="str">
        <f ca="1">IFERROR(SS_DATA!C15,"—")</f>
        <v/>
      </c>
    </row>
    <row r="42" spans="2:10" ht="27.75" customHeight="1" x14ac:dyDescent="0.35">
      <c r="B42" s="127"/>
      <c r="C42" s="127"/>
      <c r="D42" s="127"/>
      <c r="E42" s="127"/>
      <c r="F42" s="127"/>
      <c r="G42" s="127"/>
      <c r="H42" s="127"/>
      <c r="I42" s="76">
        <f>COUNTIF(FMEA_DATA!$M$4:$M$18,"OPEN")</f>
        <v>12</v>
      </c>
      <c r="J42" s="121" t="str">
        <f ca="1">IFERROR(SS_DATA!C15,"—")</f>
        <v/>
      </c>
    </row>
    <row r="43" spans="2:10" ht="27.75" customHeight="1" x14ac:dyDescent="0.35">
      <c r="B43" s="128"/>
      <c r="C43" s="128"/>
      <c r="D43" s="128"/>
      <c r="E43" s="128"/>
      <c r="F43" s="128"/>
      <c r="G43" s="128"/>
      <c r="H43" s="128"/>
      <c r="I43" s="76">
        <f>COUNTIF(FMEA_DATA!$M$4:$M$18,"OPEN")</f>
        <v>12</v>
      </c>
      <c r="J43" s="121" t="str">
        <f ca="1">IFERROR(SS_DATA!C15,"—")</f>
        <v/>
      </c>
    </row>
    <row r="44" spans="2:10" ht="27.75" customHeight="1" x14ac:dyDescent="0.35">
      <c r="B44" s="127"/>
      <c r="C44" s="127"/>
      <c r="D44" s="127"/>
      <c r="E44" s="127"/>
      <c r="F44" s="127"/>
      <c r="G44" s="127"/>
      <c r="H44" s="127"/>
      <c r="I44" s="76">
        <f>COUNTIF(FMEA_DATA!$M$4:$M$18,"OPEN")</f>
        <v>12</v>
      </c>
      <c r="J44" s="121" t="str">
        <f ca="1">IFERROR(SS_DATA!C15,"—")</f>
        <v/>
      </c>
    </row>
    <row r="45" spans="2:10" ht="27.75" customHeight="1" x14ac:dyDescent="0.35">
      <c r="B45" s="128"/>
      <c r="C45" s="128"/>
      <c r="D45" s="128"/>
      <c r="E45" s="128"/>
      <c r="F45" s="128"/>
      <c r="G45" s="128"/>
      <c r="H45" s="128"/>
      <c r="I45" s="76">
        <f>COUNTIF(FMEA_DATA!$M$4:$M$18,"OPEN")</f>
        <v>12</v>
      </c>
      <c r="J45" s="121" t="str">
        <f ca="1">IFERROR(SS_DATA!C15,"—")</f>
        <v/>
      </c>
    </row>
    <row r="46" spans="2:10" ht="27.75" customHeight="1" x14ac:dyDescent="0.35">
      <c r="B46" s="127"/>
      <c r="C46" s="127"/>
      <c r="D46" s="127"/>
      <c r="E46" s="127"/>
      <c r="F46" s="127"/>
      <c r="G46" s="127"/>
      <c r="H46" s="127"/>
      <c r="I46" s="76">
        <f>COUNTIF(FMEA_DATA!$M$4:$M$18,"OPEN")</f>
        <v>12</v>
      </c>
      <c r="J46" s="121" t="str">
        <f ca="1">IFERROR(SS_DATA!C15,"—")</f>
        <v/>
      </c>
    </row>
    <row r="47" spans="2:10" ht="27.75" customHeight="1" x14ac:dyDescent="0.35">
      <c r="B47" s="128"/>
      <c r="C47" s="128"/>
      <c r="D47" s="128"/>
      <c r="E47" s="128"/>
      <c r="F47" s="128"/>
      <c r="G47" s="128"/>
      <c r="H47" s="128"/>
      <c r="I47" s="76">
        <f>COUNTIF(FMEA_DATA!$M$4:$M$18,"OPEN")</f>
        <v>12</v>
      </c>
      <c r="J47" s="121" t="str">
        <f ca="1">IFERROR(SS_DATA!C15,"—")</f>
        <v/>
      </c>
    </row>
    <row r="48" spans="2:10" ht="27.75" customHeight="1" x14ac:dyDescent="0.35">
      <c r="B48" s="127"/>
      <c r="C48" s="127"/>
      <c r="D48" s="127"/>
      <c r="E48" s="127"/>
      <c r="F48" s="127"/>
      <c r="G48" s="127"/>
      <c r="H48" s="127"/>
      <c r="I48" s="76">
        <f>COUNTIF(FMEA_DATA!$M$4:$M$18,"OPEN")</f>
        <v>12</v>
      </c>
      <c r="J48" s="121" t="str">
        <f ca="1">IFERROR(SS_DATA!C15,"—")</f>
        <v/>
      </c>
    </row>
    <row r="49" spans="2:10" ht="27.75" customHeight="1" x14ac:dyDescent="0.35">
      <c r="B49" s="128"/>
      <c r="C49" s="128"/>
      <c r="D49" s="128"/>
      <c r="E49" s="128"/>
      <c r="F49" s="128"/>
      <c r="G49" s="128"/>
      <c r="H49" s="128"/>
      <c r="I49" s="76">
        <f>COUNTIF(FMEA_DATA!$M$4:$M$18,"OPEN")</f>
        <v>12</v>
      </c>
      <c r="J49" s="121" t="str">
        <f ca="1">IFERROR(SS_DATA!C15,"—")</f>
        <v/>
      </c>
    </row>
    <row r="50" spans="2:10" ht="27.75" customHeight="1" x14ac:dyDescent="0.35">
      <c r="B50" s="127"/>
      <c r="C50" s="127"/>
      <c r="D50" s="127"/>
      <c r="E50" s="127"/>
      <c r="F50" s="127"/>
      <c r="G50" s="127"/>
      <c r="H50" s="127"/>
      <c r="I50" s="76">
        <f>COUNTIF(FMEA_DATA!$M$4:$M$18,"OPEN")</f>
        <v>12</v>
      </c>
      <c r="J50" s="121" t="str">
        <f ca="1">IFERROR(SS_DATA!C15,"—")</f>
        <v/>
      </c>
    </row>
    <row r="51" spans="2:10" ht="27.75" customHeight="1" x14ac:dyDescent="0.35">
      <c r="B51" s="128"/>
      <c r="C51" s="128"/>
      <c r="D51" s="128"/>
      <c r="E51" s="128"/>
      <c r="F51" s="128"/>
      <c r="G51" s="128"/>
      <c r="H51" s="128"/>
      <c r="I51" s="76">
        <f>COUNTIF(FMEA_DATA!$M$4:$M$18,"OPEN")</f>
        <v>12</v>
      </c>
      <c r="J51" s="121" t="str">
        <f ca="1">IFERROR(SS_DATA!C15,"—")</f>
        <v/>
      </c>
    </row>
    <row r="52" spans="2:10" ht="27.75" customHeight="1" x14ac:dyDescent="0.35">
      <c r="B52" s="127"/>
      <c r="C52" s="127"/>
      <c r="D52" s="127"/>
      <c r="E52" s="127"/>
      <c r="F52" s="127"/>
      <c r="G52" s="127"/>
      <c r="H52" s="127"/>
      <c r="I52" s="76">
        <f>COUNTIF(FMEA_DATA!$M$4:$M$18,"OPEN")</f>
        <v>12</v>
      </c>
      <c r="J52" s="121" t="str">
        <f ca="1">IFERROR(SS_DATA!C15,"—")</f>
        <v/>
      </c>
    </row>
    <row r="53" spans="2:10" ht="27.75" customHeight="1" x14ac:dyDescent="0.35">
      <c r="B53" s="128"/>
      <c r="C53" s="128"/>
      <c r="D53" s="128"/>
      <c r="E53" s="128"/>
      <c r="F53" s="128"/>
      <c r="G53" s="128"/>
      <c r="H53" s="128"/>
      <c r="I53" s="76">
        <f>COUNTIF(FMEA_DATA!$M$4:$M$18,"OPEN")</f>
        <v>12</v>
      </c>
      <c r="J53" s="121" t="str">
        <f ca="1">IFERROR(SS_DATA!C15,"—")</f>
        <v/>
      </c>
    </row>
  </sheetData>
  <mergeCells count="2">
    <mergeCell ref="B1:H1"/>
    <mergeCell ref="B2:H2"/>
  </mergeCells>
  <conditionalFormatting sqref="H4:H53">
    <cfRule type="cellIs" dxfId="2" priority="2" operator="equal">
      <formula>"DONE"</formula>
    </cfRule>
    <cfRule type="cellIs" dxfId="1" priority="3" operator="equal">
      <formula>"BLOCKED"</formula>
    </cfRule>
    <cfRule type="cellIs" dxfId="0" priority="4" operator="equal">
      <formula>"IN PROGRESS"</formula>
    </cfRule>
  </conditionalFormatting>
  <dataValidations count="5">
    <dataValidation type="list" allowBlank="1" showInputMessage="1" showErrorMessage="1" errorTitle="Invalid Entry" error="Select from dropdown list." promptTitle="Lean Method" prompt="Select LEAN/QI method used" sqref="D4:D53" xr:uid="{00000000-0002-0000-0A00-000000000000}">
      <formula1>"Value Stream Mapping,5S,Kaizen Event,PDCA Cycle,A3 Problem Solving,Kanban,Gemba Walk,Mistake-Proofing / Poka-Yoke,Standard Work,Root Cause Analysis,FMEA,Six Sigma DMAIC,Visual Management,Pull System,Batch Reduction,SPC / Control Chart,Fishbone / Ishikawa"</formula1>
      <formula2>0</formula2>
    </dataValidation>
    <dataValidation type="list" allowBlank="1" showInputMessage="1" showErrorMessage="1" errorTitle="Invalid Entry" error="Select from dropdown list." promptTitle="Owner" prompt="Select action owner" sqref="E4:E53" xr:uid="{00000000-0002-0000-0A00-000001000000}">
      <formula1>"PM,BA,Dev Lead,Dev,QA Lead,QA,Architect,DBA,Designer,DevOps,Ops Lead,Tech Lead,Scrum Master,Product Owner,Process Owner,Sponsor,Team Lead,Engineering Manager,Project Sponsor,Stakeholder"</formula1>
      <formula2>0</formula2>
    </dataValidation>
    <dataValidation type="list" allowBlank="1" showInputMessage="1" showErrorMessage="1" errorTitle="Invalid Entry" error="Select from dropdown list." promptTitle="Status" prompt="Select action status" sqref="H4:H53" xr:uid="{00000000-0002-0000-0A00-000002000000}">
      <formula1>"PLANNED,IN PROGRESS,DONE,BLOCKED,CANCELLED,ON HOLD"</formula1>
      <formula2>0</formula2>
    </dataValidation>
    <dataValidation type="list" allowBlank="1" showInputMessage="1" showErrorMessage="1" errorTitle="Invalid Entry" error="Select from dropdown list." promptTitle="Linked Case" prompt="Select linked improvement case" sqref="C4:C53" xr:uid="{00000000-0002-0000-0A00-000003000000}">
      <formula1>"Delivery 20% miss,Defect rate 12%,Team overwhelmed,Approval delay,Onboarding 6wks,Leader visibility,FMEA open risks,Six Sigma below target,SDLC gate blocked,Sprint velocity,All cases"</formula1>
      <formula2>0</formula2>
    </dataValidation>
    <dataValidation type="list" allowBlank="1" showInputMessage="1" showErrorMessage="1" errorTitle="Invalid Entry" error="Select from dropdown list." promptTitle="Result / Outcome" prompt="Select the result of this action" sqref="F4:F53" xr:uid="{00000000-0002-0000-0A00-000004000000}">
      <formula1>"Found root cause — corrective action planned,Process improved — metrics trending up,Issue resolved — monitoring for recurrence,Partial improvement — further PDCA needed,No change — escalating to management,Quick win — standardising immediately,Pilot succe"</formula1>
      <formula2>0</formula2>
    </dataValidation>
  </dataValidations>
  <pageMargins left="0.75" right="0.75" top="1" bottom="1" header="0.511811023622047" footer="0.511811023622047"/>
  <pageSetup paperSize="9" orientation="portrait" horizontalDpi="300" verticalDpi="300"/>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rk21">
    <tabColor rgb="FF7030A0"/>
  </sheetPr>
  <dimension ref="A1:Q21"/>
  <sheetViews>
    <sheetView showGridLines="0" zoomScaleNormal="100" workbookViewId="0">
      <pane ySplit="3" topLeftCell="A4" activePane="bottomLeft" state="frozen"/>
      <selection pane="bottomLeft" sqref="A1:M1"/>
    </sheetView>
  </sheetViews>
  <sheetFormatPr defaultColWidth="8.6328125" defaultRowHeight="14.5" x14ac:dyDescent="0.35"/>
  <cols>
    <col min="1" max="1" width="20" customWidth="1"/>
    <col min="2" max="3" width="22" customWidth="1"/>
    <col min="4" max="4" width="7" customWidth="1"/>
    <col min="5" max="5" width="22" customWidth="1"/>
    <col min="6" max="6" width="7" customWidth="1"/>
    <col min="7" max="7" width="22" customWidth="1"/>
    <col min="8" max="8" width="7" customWidth="1"/>
    <col min="9" max="9" width="8" customWidth="1"/>
    <col min="10" max="11" width="24" customWidth="1"/>
    <col min="12" max="13" width="14" customWidth="1"/>
    <col min="14" max="14" width="13" customWidth="1"/>
    <col min="15" max="16" width="11" customWidth="1"/>
    <col min="17" max="17" width="14" customWidth="1"/>
  </cols>
  <sheetData>
    <row r="1" spans="1:17" ht="30" customHeight="1" x14ac:dyDescent="0.35">
      <c r="A1" s="348" t="s">
        <v>602</v>
      </c>
      <c r="B1" s="348"/>
      <c r="C1" s="348"/>
      <c r="D1" s="348"/>
      <c r="E1" s="348"/>
      <c r="F1" s="348"/>
      <c r="G1" s="348"/>
      <c r="H1" s="348"/>
      <c r="I1" s="348"/>
      <c r="J1" s="348"/>
      <c r="K1" s="348"/>
      <c r="L1" s="348"/>
      <c r="M1" s="348"/>
    </row>
    <row r="2" spans="1:17" ht="18" customHeight="1" x14ac:dyDescent="0.35">
      <c r="A2" s="349" t="s">
        <v>603</v>
      </c>
      <c r="B2" s="349"/>
      <c r="C2" s="349"/>
      <c r="D2" s="349"/>
      <c r="E2" s="349"/>
      <c r="F2" s="349"/>
      <c r="G2" s="349"/>
      <c r="H2" s="349"/>
      <c r="I2" s="349"/>
      <c r="J2" s="349"/>
      <c r="K2" s="349"/>
      <c r="L2" s="349"/>
      <c r="M2" s="349"/>
    </row>
    <row r="3" spans="1:17" ht="39.75" customHeight="1" x14ac:dyDescent="0.35">
      <c r="A3" s="148" t="s">
        <v>604</v>
      </c>
      <c r="B3" s="148" t="s">
        <v>605</v>
      </c>
      <c r="C3" s="148" t="s">
        <v>606</v>
      </c>
      <c r="D3" s="148" t="s">
        <v>607</v>
      </c>
      <c r="E3" s="148" t="s">
        <v>608</v>
      </c>
      <c r="F3" s="148" t="s">
        <v>609</v>
      </c>
      <c r="G3" s="148" t="s">
        <v>610</v>
      </c>
      <c r="H3" s="148" t="s">
        <v>611</v>
      </c>
      <c r="I3" s="148" t="s">
        <v>612</v>
      </c>
      <c r="J3" s="148" t="s">
        <v>613</v>
      </c>
      <c r="K3" s="148" t="s">
        <v>614</v>
      </c>
      <c r="L3" s="148" t="s">
        <v>77</v>
      </c>
      <c r="M3" s="148" t="s">
        <v>268</v>
      </c>
      <c r="N3" s="67" t="s">
        <v>615</v>
      </c>
      <c r="O3" s="67" t="s">
        <v>444</v>
      </c>
      <c r="P3" s="67" t="s">
        <v>353</v>
      </c>
      <c r="Q3" s="67" t="s">
        <v>616</v>
      </c>
    </row>
    <row r="4" spans="1:17" ht="27.75" customHeight="1" x14ac:dyDescent="0.35">
      <c r="A4" s="149" t="s">
        <v>617</v>
      </c>
      <c r="B4" s="150" t="s">
        <v>618</v>
      </c>
      <c r="C4" s="150" t="s">
        <v>619</v>
      </c>
      <c r="D4" s="151">
        <v>8</v>
      </c>
      <c r="E4" s="150" t="s">
        <v>620</v>
      </c>
      <c r="F4" s="151">
        <v>7</v>
      </c>
      <c r="G4" s="150" t="s">
        <v>621</v>
      </c>
      <c r="H4" s="151">
        <v>5</v>
      </c>
      <c r="I4" s="152">
        <f t="shared" ref="I4:I18" si="0">IF(AND(ISNUMBER(D4),ISNUMBER(F4),ISNUMBER(H4)),D4*F4*H4,"")</f>
        <v>280</v>
      </c>
      <c r="J4" s="153" t="str">
        <f t="shared" ref="J4:J18" si="1">IF(I4="","",IF(I4&gt;=200,"1-CRITICAL (RPN≥200)",IF(I4&gt;=100,"2-HIGH (RPN≥100)",IF(I4&gt;=50,"3-MEDIUM (RPN≥50)","4-LOW (RPN&lt;50)"))))</f>
        <v>1-CRITICAL (RPN≥200)</v>
      </c>
      <c r="K4" s="150" t="s">
        <v>622</v>
      </c>
      <c r="L4" s="154" t="s">
        <v>102</v>
      </c>
      <c r="M4" s="155" t="s">
        <v>212</v>
      </c>
      <c r="N4" s="121">
        <f>COUNTIF(PDCA_DATA!$C$6:$C$38,"*"&amp;LEFT(B4,6)&amp;"*")</f>
        <v>0</v>
      </c>
      <c r="O4" s="120">
        <f>COUNTIF(LOG_DATA!$D$4:$D$53,"*"&amp;LEFT(A4,6)&amp;"*")+COUNTIF(LOG_DATA!$C$4:$C$53,"*"&amp;LEFT(A4,6)&amp;"*")</f>
        <v>0</v>
      </c>
      <c r="P4" s="76">
        <f>COUNTIF(CASE_DATA!$G$4:$G$23,"OPEN")</f>
        <v>18</v>
      </c>
      <c r="Q4" s="122" t="str">
        <f>IFERROR(INDEX(SDLC_DATA!$A$4:$A$25,MATCH(1,ISNUMBER(SEARCH(A4,SDLC_DATA!$B$4:$B$25)),0)),"—")</f>
        <v>—</v>
      </c>
    </row>
    <row r="5" spans="1:17" ht="27.75" customHeight="1" x14ac:dyDescent="0.35">
      <c r="A5" s="149" t="s">
        <v>623</v>
      </c>
      <c r="B5" s="156" t="s">
        <v>624</v>
      </c>
      <c r="C5" s="156" t="s">
        <v>625</v>
      </c>
      <c r="D5" s="151">
        <v>7</v>
      </c>
      <c r="E5" s="156" t="s">
        <v>626</v>
      </c>
      <c r="F5" s="151">
        <v>6</v>
      </c>
      <c r="G5" s="156" t="s">
        <v>627</v>
      </c>
      <c r="H5" s="151">
        <v>4</v>
      </c>
      <c r="I5" s="152">
        <f t="shared" si="0"/>
        <v>168</v>
      </c>
      <c r="J5" s="153" t="str">
        <f t="shared" si="1"/>
        <v>2-HIGH (RPN≥100)</v>
      </c>
      <c r="K5" s="156" t="s">
        <v>628</v>
      </c>
      <c r="L5" s="154" t="s">
        <v>90</v>
      </c>
      <c r="M5" s="155" t="s">
        <v>213</v>
      </c>
      <c r="N5" s="121">
        <f>COUNTIF(PDCA_DATA!$C$6:$C$38,"*"&amp;LEFT(B5,6)&amp;"*")</f>
        <v>0</v>
      </c>
      <c r="O5" s="120">
        <f>COUNTIF(LOG_DATA!$D$4:$D$53,"*"&amp;LEFT(A5,6)&amp;"*")+COUNTIF(LOG_DATA!$C$4:$C$53,"*"&amp;LEFT(A5,6)&amp;"*")</f>
        <v>0</v>
      </c>
      <c r="P5" s="76">
        <f>COUNTIF(CASE_DATA!$G$4:$G$23,"OPEN")</f>
        <v>18</v>
      </c>
      <c r="Q5" s="122" t="str">
        <f>IFERROR(INDEX(SDLC_DATA!$A$4:$A$25,MATCH(1,ISNUMBER(SEARCH(A5,SDLC_DATA!$B$4:$B$25)),0)),"—")</f>
        <v>—</v>
      </c>
    </row>
    <row r="6" spans="1:17" ht="27.75" customHeight="1" x14ac:dyDescent="0.35">
      <c r="A6" s="149" t="s">
        <v>629</v>
      </c>
      <c r="B6" s="150" t="s">
        <v>630</v>
      </c>
      <c r="C6" s="150" t="s">
        <v>631</v>
      </c>
      <c r="D6" s="151">
        <v>6</v>
      </c>
      <c r="E6" s="150" t="s">
        <v>632</v>
      </c>
      <c r="F6" s="151">
        <v>5</v>
      </c>
      <c r="G6" s="150" t="s">
        <v>633</v>
      </c>
      <c r="H6" s="151">
        <v>5</v>
      </c>
      <c r="I6" s="152">
        <f t="shared" si="0"/>
        <v>150</v>
      </c>
      <c r="J6" s="153" t="str">
        <f t="shared" si="1"/>
        <v>2-HIGH (RPN≥100)</v>
      </c>
      <c r="K6" s="150" t="s">
        <v>634</v>
      </c>
      <c r="L6" s="154" t="s">
        <v>250</v>
      </c>
      <c r="M6" s="155" t="s">
        <v>212</v>
      </c>
      <c r="N6" s="121">
        <f>COUNTIF(PDCA_DATA!$C$6:$C$38,"*"&amp;LEFT(B6,6)&amp;"*")</f>
        <v>0</v>
      </c>
      <c r="O6" s="120">
        <f>COUNTIF(LOG_DATA!$D$4:$D$53,"*"&amp;LEFT(A6,6)&amp;"*")+COUNTIF(LOG_DATA!$C$4:$C$53,"*"&amp;LEFT(A6,6)&amp;"*")</f>
        <v>0</v>
      </c>
      <c r="P6" s="76">
        <f>COUNTIF(CASE_DATA!$G$4:$G$23,"OPEN")</f>
        <v>18</v>
      </c>
      <c r="Q6" s="122" t="str">
        <f>IFERROR(INDEX(SDLC_DATA!$A$4:$A$25,MATCH(1,ISNUMBER(SEARCH(A6,SDLC_DATA!$B$4:$B$25)),0)),"—")</f>
        <v>—</v>
      </c>
    </row>
    <row r="7" spans="1:17" ht="27.75" customHeight="1" x14ac:dyDescent="0.35">
      <c r="A7" s="149" t="s">
        <v>236</v>
      </c>
      <c r="B7" s="156" t="s">
        <v>635</v>
      </c>
      <c r="C7" s="156" t="s">
        <v>636</v>
      </c>
      <c r="D7" s="151">
        <v>7</v>
      </c>
      <c r="E7" s="156" t="s">
        <v>637</v>
      </c>
      <c r="F7" s="151">
        <v>6</v>
      </c>
      <c r="G7" s="156" t="s">
        <v>638</v>
      </c>
      <c r="H7" s="151">
        <v>4</v>
      </c>
      <c r="I7" s="152">
        <f t="shared" si="0"/>
        <v>168</v>
      </c>
      <c r="J7" s="153" t="str">
        <f t="shared" si="1"/>
        <v>2-HIGH (RPN≥100)</v>
      </c>
      <c r="K7" s="156" t="s">
        <v>639</v>
      </c>
      <c r="L7" s="154" t="s">
        <v>102</v>
      </c>
      <c r="M7" s="155" t="s">
        <v>212</v>
      </c>
      <c r="N7" s="121">
        <f>COUNTIF(PDCA_DATA!$C$6:$C$38,"*"&amp;LEFT(B7,6)&amp;"*")</f>
        <v>0</v>
      </c>
      <c r="O7" s="120">
        <f>COUNTIF(LOG_DATA!$D$4:$D$53,"*"&amp;LEFT(A7,6)&amp;"*")+COUNTIF(LOG_DATA!$C$4:$C$53,"*"&amp;LEFT(A7,6)&amp;"*")</f>
        <v>0</v>
      </c>
      <c r="P7" s="76">
        <f>COUNTIF(CASE_DATA!$G$4:$G$23,"OPEN")</f>
        <v>18</v>
      </c>
      <c r="Q7" s="122" t="str">
        <f>IFERROR(INDEX(SDLC_DATA!$A$4:$A$25,MATCH(1,ISNUMBER(SEARCH(A7,SDLC_DATA!$B$4:$B$25)),0)),"—")</f>
        <v>—</v>
      </c>
    </row>
    <row r="8" spans="1:17" ht="27.75" customHeight="1" x14ac:dyDescent="0.35">
      <c r="A8" s="149" t="s">
        <v>237</v>
      </c>
      <c r="B8" s="150" t="s">
        <v>640</v>
      </c>
      <c r="C8" s="150" t="s">
        <v>641</v>
      </c>
      <c r="D8" s="151">
        <v>9</v>
      </c>
      <c r="E8" s="150" t="s">
        <v>642</v>
      </c>
      <c r="F8" s="151">
        <v>7</v>
      </c>
      <c r="G8" s="150" t="s">
        <v>643</v>
      </c>
      <c r="H8" s="151">
        <v>6</v>
      </c>
      <c r="I8" s="152">
        <f t="shared" si="0"/>
        <v>378</v>
      </c>
      <c r="J8" s="153" t="str">
        <f t="shared" si="1"/>
        <v>1-CRITICAL (RPN≥200)</v>
      </c>
      <c r="K8" s="150" t="s">
        <v>644</v>
      </c>
      <c r="L8" s="154" t="s">
        <v>106</v>
      </c>
      <c r="M8" s="155" t="s">
        <v>213</v>
      </c>
      <c r="N8" s="121">
        <f>COUNTIF(PDCA_DATA!$C$6:$C$38,"*"&amp;LEFT(B8,6)&amp;"*")</f>
        <v>0</v>
      </c>
      <c r="O8" s="120">
        <f>COUNTIF(LOG_DATA!$D$4:$D$53,"*"&amp;LEFT(A8,6)&amp;"*")+COUNTIF(LOG_DATA!$C$4:$C$53,"*"&amp;LEFT(A8,6)&amp;"*")</f>
        <v>0</v>
      </c>
      <c r="P8" s="76">
        <f>COUNTIF(CASE_DATA!$G$4:$G$23,"OPEN")</f>
        <v>18</v>
      </c>
      <c r="Q8" s="122" t="str">
        <f>IFERROR(INDEX(SDLC_DATA!$A$4:$A$25,MATCH(1,ISNUMBER(SEARCH(A8,SDLC_DATA!$B$4:$B$25)),0)),"—")</f>
        <v>—</v>
      </c>
    </row>
    <row r="9" spans="1:17" ht="27.75" customHeight="1" x14ac:dyDescent="0.35">
      <c r="A9" s="149" t="s">
        <v>238</v>
      </c>
      <c r="B9" s="156" t="s">
        <v>645</v>
      </c>
      <c r="C9" s="156" t="s">
        <v>646</v>
      </c>
      <c r="D9" s="151">
        <v>10</v>
      </c>
      <c r="E9" s="156" t="s">
        <v>647</v>
      </c>
      <c r="F9" s="151">
        <v>3</v>
      </c>
      <c r="G9" s="156" t="s">
        <v>648</v>
      </c>
      <c r="H9" s="151">
        <v>3</v>
      </c>
      <c r="I9" s="152">
        <f t="shared" si="0"/>
        <v>90</v>
      </c>
      <c r="J9" s="153" t="str">
        <f t="shared" si="1"/>
        <v>3-MEDIUM (RPN≥50)</v>
      </c>
      <c r="K9" s="156" t="s">
        <v>649</v>
      </c>
      <c r="L9" s="154" t="s">
        <v>251</v>
      </c>
      <c r="M9" s="155" t="s">
        <v>212</v>
      </c>
      <c r="N9" s="121">
        <f>COUNTIF(PDCA_DATA!$C$6:$C$38,"*"&amp;LEFT(B9,6)&amp;"*")</f>
        <v>0</v>
      </c>
      <c r="O9" s="120">
        <f>COUNTIF(LOG_DATA!$D$4:$D$53,"*"&amp;LEFT(A9,6)&amp;"*")+COUNTIF(LOG_DATA!$C$4:$C$53,"*"&amp;LEFT(A9,6)&amp;"*")</f>
        <v>0</v>
      </c>
      <c r="P9" s="76">
        <f>COUNTIF(CASE_DATA!$G$4:$G$23,"OPEN")</f>
        <v>18</v>
      </c>
      <c r="Q9" s="122" t="str">
        <f>IFERROR(INDEX(SDLC_DATA!$A$4:$A$25,MATCH(1,ISNUMBER(SEARCH(A9,SDLC_DATA!$B$4:$B$25)),0)),"—")</f>
        <v>—</v>
      </c>
    </row>
    <row r="10" spans="1:17" ht="27.75" customHeight="1" x14ac:dyDescent="0.35">
      <c r="A10" s="149" t="s">
        <v>650</v>
      </c>
      <c r="B10" s="150" t="s">
        <v>651</v>
      </c>
      <c r="C10" s="150" t="s">
        <v>652</v>
      </c>
      <c r="D10" s="151">
        <v>8</v>
      </c>
      <c r="E10" s="150" t="s">
        <v>653</v>
      </c>
      <c r="F10" s="151">
        <v>5</v>
      </c>
      <c r="G10" s="150" t="s">
        <v>654</v>
      </c>
      <c r="H10" s="151">
        <v>7</v>
      </c>
      <c r="I10" s="152">
        <f t="shared" si="0"/>
        <v>280</v>
      </c>
      <c r="J10" s="153" t="str">
        <f t="shared" si="1"/>
        <v>1-CRITICAL (RPN≥200)</v>
      </c>
      <c r="K10" s="150" t="s">
        <v>655</v>
      </c>
      <c r="L10" s="154" t="s">
        <v>249</v>
      </c>
      <c r="M10" s="155" t="s">
        <v>212</v>
      </c>
      <c r="N10" s="121">
        <f>COUNTIF(PDCA_DATA!$C$6:$C$38,"*"&amp;LEFT(B10,6)&amp;"*")</f>
        <v>0</v>
      </c>
      <c r="O10" s="120">
        <f>COUNTIF(LOG_DATA!$D$4:$D$53,"*"&amp;LEFT(A10,6)&amp;"*")+COUNTIF(LOG_DATA!$C$4:$C$53,"*"&amp;LEFT(A10,6)&amp;"*")</f>
        <v>0</v>
      </c>
      <c r="P10" s="76">
        <f>COUNTIF(CASE_DATA!$G$4:$G$23,"OPEN")</f>
        <v>18</v>
      </c>
      <c r="Q10" s="122" t="str">
        <f>IFERROR(INDEX(SDLC_DATA!$A$4:$A$25,MATCH(1,ISNUMBER(SEARCH(A10,SDLC_DATA!$B$4:$B$25)),0)),"—")</f>
        <v>—</v>
      </c>
    </row>
    <row r="11" spans="1:17" ht="27.75" customHeight="1" x14ac:dyDescent="0.35">
      <c r="A11" s="149" t="s">
        <v>656</v>
      </c>
      <c r="B11" s="156" t="s">
        <v>657</v>
      </c>
      <c r="C11" s="156" t="s">
        <v>658</v>
      </c>
      <c r="D11" s="151">
        <v>6</v>
      </c>
      <c r="E11" s="156" t="s">
        <v>659</v>
      </c>
      <c r="F11" s="151">
        <v>6</v>
      </c>
      <c r="G11" s="156" t="s">
        <v>660</v>
      </c>
      <c r="H11" s="151">
        <v>5</v>
      </c>
      <c r="I11" s="152">
        <f t="shared" si="0"/>
        <v>180</v>
      </c>
      <c r="J11" s="153" t="str">
        <f t="shared" si="1"/>
        <v>2-HIGH (RPN≥100)</v>
      </c>
      <c r="K11" s="156" t="s">
        <v>661</v>
      </c>
      <c r="L11" s="154" t="s">
        <v>90</v>
      </c>
      <c r="M11" s="155" t="s">
        <v>212</v>
      </c>
      <c r="N11" s="121">
        <f>COUNTIF(PDCA_DATA!$C$6:$C$38,"*"&amp;LEFT(B11,6)&amp;"*")</f>
        <v>0</v>
      </c>
      <c r="O11" s="120">
        <f>COUNTIF(LOG_DATA!$D$4:$D$53,"*"&amp;LEFT(A11,6)&amp;"*")+COUNTIF(LOG_DATA!$C$4:$C$53,"*"&amp;LEFT(A11,6)&amp;"*")</f>
        <v>0</v>
      </c>
      <c r="P11" s="76">
        <f>COUNTIF(CASE_DATA!$G$4:$G$23,"OPEN")</f>
        <v>18</v>
      </c>
      <c r="Q11" s="122" t="str">
        <f>IFERROR(INDEX(SDLC_DATA!$A$4:$A$25,MATCH(1,ISNUMBER(SEARCH(A11,SDLC_DATA!$B$4:$B$25)),0)),"—")</f>
        <v>—</v>
      </c>
    </row>
    <row r="12" spans="1:17" ht="27.75" customHeight="1" x14ac:dyDescent="0.35">
      <c r="A12" s="149" t="s">
        <v>662</v>
      </c>
      <c r="B12" s="150" t="s">
        <v>663</v>
      </c>
      <c r="C12" s="150" t="s">
        <v>664</v>
      </c>
      <c r="D12" s="151">
        <v>8</v>
      </c>
      <c r="E12" s="150" t="s">
        <v>665</v>
      </c>
      <c r="F12" s="151">
        <v>7</v>
      </c>
      <c r="G12" s="150" t="s">
        <v>666</v>
      </c>
      <c r="H12" s="151">
        <v>4</v>
      </c>
      <c r="I12" s="152">
        <f t="shared" si="0"/>
        <v>224</v>
      </c>
      <c r="J12" s="153" t="str">
        <f t="shared" si="1"/>
        <v>1-CRITICAL (RPN≥200)</v>
      </c>
      <c r="K12" s="150" t="s">
        <v>667</v>
      </c>
      <c r="L12" s="154" t="s">
        <v>86</v>
      </c>
      <c r="M12" s="155" t="s">
        <v>213</v>
      </c>
      <c r="N12" s="121">
        <f>COUNTIF(PDCA_DATA!$C$6:$C$38,"*"&amp;LEFT(B12,6)&amp;"*")</f>
        <v>0</v>
      </c>
      <c r="O12" s="120">
        <f>COUNTIF(LOG_DATA!$D$4:$D$53,"*"&amp;LEFT(A12,6)&amp;"*")+COUNTIF(LOG_DATA!$C$4:$C$53,"*"&amp;LEFT(A12,6)&amp;"*")</f>
        <v>2</v>
      </c>
      <c r="P12" s="76">
        <f>COUNTIF(CASE_DATA!$G$4:$G$23,"OPEN")</f>
        <v>18</v>
      </c>
      <c r="Q12" s="122" t="str">
        <f>IFERROR(INDEX(SDLC_DATA!$A$4:$A$25,MATCH(1,ISNUMBER(SEARCH(A12,SDLC_DATA!$B$4:$B$25)),0)),"—")</f>
        <v>—</v>
      </c>
    </row>
    <row r="13" spans="1:17" ht="27.75" customHeight="1" x14ac:dyDescent="0.35">
      <c r="A13" s="149" t="s">
        <v>668</v>
      </c>
      <c r="B13" s="156" t="s">
        <v>669</v>
      </c>
      <c r="C13" s="156" t="s">
        <v>670</v>
      </c>
      <c r="D13" s="151">
        <v>5</v>
      </c>
      <c r="E13" s="156" t="s">
        <v>671</v>
      </c>
      <c r="F13" s="151">
        <v>8</v>
      </c>
      <c r="G13" s="156" t="s">
        <v>672</v>
      </c>
      <c r="H13" s="151">
        <v>8</v>
      </c>
      <c r="I13" s="152">
        <f t="shared" si="0"/>
        <v>320</v>
      </c>
      <c r="J13" s="153" t="str">
        <f t="shared" si="1"/>
        <v>1-CRITICAL (RPN≥200)</v>
      </c>
      <c r="K13" s="156" t="s">
        <v>673</v>
      </c>
      <c r="L13" s="154" t="s">
        <v>120</v>
      </c>
      <c r="M13" s="155" t="s">
        <v>212</v>
      </c>
      <c r="N13" s="121">
        <f>COUNTIF(PDCA_DATA!$C$6:$C$38,"*"&amp;LEFT(B13,6)&amp;"*")</f>
        <v>0</v>
      </c>
      <c r="O13" s="120">
        <f>COUNTIF(LOG_DATA!$D$4:$D$53,"*"&amp;LEFT(A13,6)&amp;"*")+COUNTIF(LOG_DATA!$C$4:$C$53,"*"&amp;LEFT(A13,6)&amp;"*")</f>
        <v>0</v>
      </c>
      <c r="P13" s="76">
        <f>COUNTIF(CASE_DATA!$G$4:$G$23,"OPEN")</f>
        <v>18</v>
      </c>
      <c r="Q13" s="122" t="str">
        <f>IFERROR(INDEX(SDLC_DATA!$A$4:$A$25,MATCH(1,ISNUMBER(SEARCH(A13,SDLC_DATA!$B$4:$B$25)),0)),"—")</f>
        <v>—</v>
      </c>
    </row>
    <row r="14" spans="1:17" ht="27.75" customHeight="1" x14ac:dyDescent="0.35">
      <c r="A14" s="149"/>
      <c r="B14" s="150"/>
      <c r="C14" s="150"/>
      <c r="D14" s="151">
        <v>5</v>
      </c>
      <c r="E14" s="150"/>
      <c r="F14" s="151">
        <v>5</v>
      </c>
      <c r="G14" s="150"/>
      <c r="H14" s="151">
        <v>5</v>
      </c>
      <c r="I14" s="152">
        <f t="shared" si="0"/>
        <v>125</v>
      </c>
      <c r="J14" s="153" t="str">
        <f t="shared" si="1"/>
        <v>2-HIGH (RPN≥100)</v>
      </c>
      <c r="K14" s="150"/>
      <c r="L14" s="154" t="s">
        <v>249</v>
      </c>
      <c r="M14" s="155" t="s">
        <v>212</v>
      </c>
      <c r="N14" s="121">
        <f>COUNTIF(PDCA_DATA!$C$6:$C$38,"*"&amp;LEFT(B14,6)&amp;"*")</f>
        <v>27</v>
      </c>
      <c r="O14" s="120">
        <f>COUNTIF(LOG_DATA!$D$4:$D$53,"*"&amp;LEFT(A14,6)&amp;"*")+COUNTIF(LOG_DATA!$C$4:$C$53,"*"&amp;LEFT(A14,6)&amp;"*")</f>
        <v>12</v>
      </c>
      <c r="P14" s="76">
        <f>COUNTIF(CASE_DATA!$G$4:$G$23,"OPEN")</f>
        <v>18</v>
      </c>
      <c r="Q14" s="122" t="str">
        <f>IFERROR(INDEX(SDLC_DATA!$A$4:$A$25,MATCH(1,ISNUMBER(SEARCH(A14,SDLC_DATA!$B$4:$B$25)),0)),"—")</f>
        <v>—</v>
      </c>
    </row>
    <row r="15" spans="1:17" ht="27.75" customHeight="1" x14ac:dyDescent="0.35">
      <c r="A15" s="149"/>
      <c r="B15" s="156"/>
      <c r="C15" s="156"/>
      <c r="D15" s="151">
        <v>5</v>
      </c>
      <c r="E15" s="156"/>
      <c r="F15" s="151">
        <v>5</v>
      </c>
      <c r="G15" s="156"/>
      <c r="H15" s="151">
        <v>5</v>
      </c>
      <c r="I15" s="152">
        <f t="shared" si="0"/>
        <v>125</v>
      </c>
      <c r="J15" s="153" t="str">
        <f t="shared" si="1"/>
        <v>2-HIGH (RPN≥100)</v>
      </c>
      <c r="K15" s="156"/>
      <c r="L15" s="154" t="s">
        <v>90</v>
      </c>
      <c r="M15" s="155" t="s">
        <v>212</v>
      </c>
      <c r="N15" s="121">
        <f>COUNTIF(PDCA_DATA!$C$6:$C$38,"*"&amp;LEFT(B15,6)&amp;"*")</f>
        <v>27</v>
      </c>
      <c r="O15" s="120">
        <f>COUNTIF(LOG_DATA!$D$4:$D$53,"*"&amp;LEFT(A15,6)&amp;"*")+COUNTIF(LOG_DATA!$C$4:$C$53,"*"&amp;LEFT(A15,6)&amp;"*")</f>
        <v>12</v>
      </c>
      <c r="P15" s="76">
        <f>COUNTIF(CASE_DATA!$G$4:$G$23,"OPEN")</f>
        <v>18</v>
      </c>
      <c r="Q15" s="122" t="str">
        <f>IFERROR(INDEX(SDLC_DATA!$A$4:$A$25,MATCH(1,ISNUMBER(SEARCH(A15,SDLC_DATA!$B$4:$B$25)),0)),"—")</f>
        <v>—</v>
      </c>
    </row>
    <row r="16" spans="1:17" ht="27.75" customHeight="1" x14ac:dyDescent="0.35">
      <c r="A16" s="149"/>
      <c r="B16" s="150"/>
      <c r="C16" s="150"/>
      <c r="D16" s="151">
        <v>5</v>
      </c>
      <c r="E16" s="150"/>
      <c r="F16" s="151">
        <v>5</v>
      </c>
      <c r="G16" s="150"/>
      <c r="H16" s="151">
        <v>5</v>
      </c>
      <c r="I16" s="152">
        <f t="shared" si="0"/>
        <v>125</v>
      </c>
      <c r="J16" s="153" t="str">
        <f t="shared" si="1"/>
        <v>2-HIGH (RPN≥100)</v>
      </c>
      <c r="K16" s="150"/>
      <c r="L16" s="154" t="s">
        <v>106</v>
      </c>
      <c r="M16" s="155" t="s">
        <v>212</v>
      </c>
      <c r="N16" s="121">
        <f>COUNTIF(PDCA_DATA!$C$6:$C$38,"*"&amp;LEFT(B16,6)&amp;"*")</f>
        <v>27</v>
      </c>
      <c r="O16" s="120">
        <f>COUNTIF(LOG_DATA!$D$4:$D$53,"*"&amp;LEFT(A16,6)&amp;"*")+COUNTIF(LOG_DATA!$C$4:$C$53,"*"&amp;LEFT(A16,6)&amp;"*")</f>
        <v>12</v>
      </c>
      <c r="P16" s="76">
        <f>COUNTIF(CASE_DATA!$G$4:$G$23,"OPEN")</f>
        <v>18</v>
      </c>
      <c r="Q16" s="122" t="str">
        <f>IFERROR(INDEX(SDLC_DATA!$A$4:$A$25,MATCH(1,ISNUMBER(SEARCH(A16,SDLC_DATA!$B$4:$B$25)),0)),"—")</f>
        <v>—</v>
      </c>
    </row>
    <row r="17" spans="1:17" ht="27.75" customHeight="1" x14ac:dyDescent="0.35">
      <c r="A17" s="149"/>
      <c r="B17" s="156"/>
      <c r="C17" s="156"/>
      <c r="D17" s="151">
        <v>5</v>
      </c>
      <c r="E17" s="156"/>
      <c r="F17" s="151">
        <v>5</v>
      </c>
      <c r="G17" s="156"/>
      <c r="H17" s="151">
        <v>5</v>
      </c>
      <c r="I17" s="152">
        <f t="shared" si="0"/>
        <v>125</v>
      </c>
      <c r="J17" s="153" t="str">
        <f t="shared" si="1"/>
        <v>2-HIGH (RPN≥100)</v>
      </c>
      <c r="K17" s="156"/>
      <c r="L17" s="154" t="s">
        <v>102</v>
      </c>
      <c r="M17" s="155" t="s">
        <v>212</v>
      </c>
      <c r="N17" s="121">
        <f>COUNTIF(PDCA_DATA!$C$6:$C$38,"*"&amp;LEFT(B17,6)&amp;"*")</f>
        <v>27</v>
      </c>
      <c r="O17" s="120">
        <f>COUNTIF(LOG_DATA!$D$4:$D$53,"*"&amp;LEFT(A17,6)&amp;"*")+COUNTIF(LOG_DATA!$C$4:$C$53,"*"&amp;LEFT(A17,6)&amp;"*")</f>
        <v>12</v>
      </c>
      <c r="P17" s="76">
        <f>COUNTIF(CASE_DATA!$G$4:$G$23,"OPEN")</f>
        <v>18</v>
      </c>
      <c r="Q17" s="122" t="str">
        <f>IFERROR(INDEX(SDLC_DATA!$A$4:$A$25,MATCH(1,ISNUMBER(SEARCH(A17,SDLC_DATA!$B$4:$B$25)),0)),"—")</f>
        <v>—</v>
      </c>
    </row>
    <row r="18" spans="1:17" ht="27.75" customHeight="1" x14ac:dyDescent="0.35">
      <c r="A18" s="149"/>
      <c r="B18" s="150"/>
      <c r="C18" s="150"/>
      <c r="D18" s="151">
        <v>5</v>
      </c>
      <c r="E18" s="150"/>
      <c r="F18" s="151">
        <v>5</v>
      </c>
      <c r="G18" s="150"/>
      <c r="H18" s="151">
        <v>5</v>
      </c>
      <c r="I18" s="152">
        <f t="shared" si="0"/>
        <v>125</v>
      </c>
      <c r="J18" s="153" t="str">
        <f t="shared" si="1"/>
        <v>2-HIGH (RPN≥100)</v>
      </c>
      <c r="K18" s="150"/>
      <c r="L18" s="154" t="s">
        <v>253</v>
      </c>
      <c r="M18" s="155" t="s">
        <v>212</v>
      </c>
      <c r="N18" s="121">
        <f>COUNTIF(PDCA_DATA!$C$6:$C$38,"*"&amp;LEFT(B18,6)&amp;"*")</f>
        <v>27</v>
      </c>
      <c r="O18" s="120">
        <f>COUNTIF(LOG_DATA!$D$4:$D$53,"*"&amp;LEFT(A18,6)&amp;"*")+COUNTIF(LOG_DATA!$C$4:$C$53,"*"&amp;LEFT(A18,6)&amp;"*")</f>
        <v>12</v>
      </c>
      <c r="P18" s="76">
        <f>COUNTIF(CASE_DATA!$G$4:$G$23,"OPEN")</f>
        <v>18</v>
      </c>
      <c r="Q18" s="122" t="str">
        <f>IFERROR(INDEX(SDLC_DATA!$A$4:$A$25,MATCH(1,ISNUMBER(SEARCH(A18,SDLC_DATA!$B$4:$B$25)),0)),"—")</f>
        <v>—</v>
      </c>
    </row>
    <row r="19" spans="1:17" ht="19.5" customHeight="1" x14ac:dyDescent="0.35">
      <c r="A19" s="350" t="s">
        <v>674</v>
      </c>
      <c r="B19" s="350"/>
      <c r="C19" s="350"/>
      <c r="D19" s="350"/>
      <c r="E19" s="350"/>
      <c r="F19" s="350"/>
      <c r="G19" s="350"/>
      <c r="H19" s="350"/>
      <c r="I19" s="350"/>
      <c r="J19" s="350"/>
      <c r="K19" s="350"/>
      <c r="L19" s="350"/>
      <c r="M19" s="350"/>
    </row>
    <row r="20" spans="1:17" ht="27.75" customHeight="1" x14ac:dyDescent="0.35">
      <c r="A20" s="38" t="s">
        <v>675</v>
      </c>
      <c r="B20" s="38" t="s">
        <v>212</v>
      </c>
      <c r="C20" s="38" t="s">
        <v>213</v>
      </c>
      <c r="D20" s="38" t="s">
        <v>676</v>
      </c>
      <c r="E20" s="38" t="s">
        <v>677</v>
      </c>
      <c r="F20" s="38" t="s">
        <v>678</v>
      </c>
      <c r="G20" s="38" t="s">
        <v>679</v>
      </c>
      <c r="H20" s="38" t="s">
        <v>680</v>
      </c>
    </row>
    <row r="21" spans="1:17" ht="16.5" customHeight="1" x14ac:dyDescent="0.35">
      <c r="A21" s="157">
        <f>COUNTA(A4:A18)</f>
        <v>10</v>
      </c>
      <c r="B21" s="157">
        <f>COUNTIF(M4:M18,"OPEN")</f>
        <v>12</v>
      </c>
      <c r="C21" s="157">
        <f>COUNTIF(M4:M18,"IN PROGRESS")</f>
        <v>3</v>
      </c>
      <c r="D21" s="157">
        <f>COUNTIF(M4:M18,"RESOLVED")</f>
        <v>0</v>
      </c>
      <c r="E21" s="157">
        <f>COUNTIF(I4:I18,"&gt;="&amp;200)</f>
        <v>5</v>
      </c>
      <c r="F21" s="157">
        <f>COUNTIFS(I4:I18,"&gt;="&amp;100,I4:I18,"&lt;"&amp;200)</f>
        <v>9</v>
      </c>
      <c r="G21" s="157">
        <f>IFERROR(AVERAGEIF(I4:I18,"&gt;0"),0)</f>
        <v>190.86666666666667</v>
      </c>
      <c r="H21" s="157" t="str">
        <f>IFERROR(INDEX(B4:B18,MATCH(MAX(I4:I18),I4:I18,0)),"-")</f>
        <v>Test case misses edge cases</v>
      </c>
    </row>
  </sheetData>
  <mergeCells count="3">
    <mergeCell ref="A1:M1"/>
    <mergeCell ref="A2:M2"/>
    <mergeCell ref="A19:M19"/>
  </mergeCells>
  <dataValidations count="2">
    <dataValidation type="list" allowBlank="1" showErrorMessage="1" errorTitle="Invalid Entry" error="Select from list only." sqref="D4:D30 F4:F30 H4:H30" xr:uid="{00000000-0002-0000-0B00-000000000000}">
      <formula1>"1,2,3,4,5,6,7,8,9,10"</formula1>
      <formula2>0</formula2>
    </dataValidation>
    <dataValidation type="list" allowBlank="1" showErrorMessage="1" errorTitle="Invalid Entry" error="Select from list only." sqref="M4:M30" xr:uid="{00000000-0002-0000-0B00-000001000000}">
      <formula1>"OPEN,IN PROGRESS,RESOLVED,CLOSED,ON HOLD"</formula1>
      <formula2>0</formula2>
    </dataValidation>
  </dataValidations>
  <pageMargins left="0.75" right="0.75" top="1" bottom="1" header="0.511811023622047" footer="0.511811023622047"/>
  <pageSetup paperSize="9" orientation="portrait" horizontalDpi="300" verticalDpi="30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67DE9-02EF-42AB-A870-6E6383D812C7}">
  <sheetPr codeName="Ark39">
    <tabColor rgb="FF7030A0"/>
  </sheetPr>
  <dimension ref="A1:G17"/>
  <sheetViews>
    <sheetView showGridLines="0" workbookViewId="0"/>
  </sheetViews>
  <sheetFormatPr defaultRowHeight="14.5" x14ac:dyDescent="0.35"/>
  <cols>
    <col min="1" max="1" width="10.453125" bestFit="1" customWidth="1"/>
    <col min="2" max="2" width="13.6328125" bestFit="1" customWidth="1"/>
    <col min="5" max="7" width="0" hidden="1" customWidth="1"/>
  </cols>
  <sheetData>
    <row r="1" spans="1:7" ht="21" x14ac:dyDescent="0.5">
      <c r="A1" s="295" t="s">
        <v>2240</v>
      </c>
      <c r="E1" t="s">
        <v>2252</v>
      </c>
      <c r="F1" t="s">
        <v>2253</v>
      </c>
      <c r="G1" t="s">
        <v>2254</v>
      </c>
    </row>
    <row r="2" spans="1:7" x14ac:dyDescent="0.35">
      <c r="A2" t="s">
        <v>2258</v>
      </c>
      <c r="E2" t="s">
        <v>2244</v>
      </c>
      <c r="F2" t="s">
        <v>2249</v>
      </c>
      <c r="G2" t="s">
        <v>2237</v>
      </c>
    </row>
    <row r="3" spans="1:7" x14ac:dyDescent="0.35">
      <c r="E3" t="s">
        <v>2245</v>
      </c>
      <c r="F3" t="s">
        <v>2250</v>
      </c>
      <c r="G3" t="s">
        <v>2255</v>
      </c>
    </row>
    <row r="4" spans="1:7" x14ac:dyDescent="0.35">
      <c r="A4" t="s">
        <v>2241</v>
      </c>
      <c r="B4" t="s">
        <v>2244</v>
      </c>
      <c r="E4" t="s">
        <v>2246</v>
      </c>
      <c r="F4" t="s">
        <v>2251</v>
      </c>
      <c r="G4" t="s">
        <v>2256</v>
      </c>
    </row>
    <row r="5" spans="1:7" x14ac:dyDescent="0.35">
      <c r="A5" t="s">
        <v>2242</v>
      </c>
      <c r="B5" t="s">
        <v>2249</v>
      </c>
      <c r="E5" t="s">
        <v>2247</v>
      </c>
      <c r="G5" t="s">
        <v>2257</v>
      </c>
    </row>
    <row r="6" spans="1:7" x14ac:dyDescent="0.35">
      <c r="E6" t="s">
        <v>2248</v>
      </c>
    </row>
    <row r="7" spans="1:7" x14ac:dyDescent="0.35">
      <c r="A7" t="s">
        <v>2243</v>
      </c>
    </row>
    <row r="8" spans="1:7" x14ac:dyDescent="0.35">
      <c r="A8" t="s">
        <v>2244</v>
      </c>
    </row>
    <row r="9" spans="1:7" x14ac:dyDescent="0.35">
      <c r="A9" t="s">
        <v>2245</v>
      </c>
    </row>
    <row r="10" spans="1:7" x14ac:dyDescent="0.35">
      <c r="A10" t="s">
        <v>2246</v>
      </c>
    </row>
    <row r="11" spans="1:7" x14ac:dyDescent="0.35">
      <c r="A11" t="s">
        <v>2247</v>
      </c>
    </row>
    <row r="12" spans="1:7" x14ac:dyDescent="0.35">
      <c r="A12" t="s">
        <v>2248</v>
      </c>
    </row>
    <row r="14" spans="1:7" x14ac:dyDescent="0.35">
      <c r="A14" s="259" t="s">
        <v>2259</v>
      </c>
    </row>
    <row r="15" spans="1:7" x14ac:dyDescent="0.35">
      <c r="A15" t="s">
        <v>2249</v>
      </c>
    </row>
    <row r="16" spans="1:7" x14ac:dyDescent="0.35">
      <c r="A16" t="s">
        <v>2250</v>
      </c>
    </row>
    <row r="17" spans="1:1" x14ac:dyDescent="0.35">
      <c r="A17" t="s">
        <v>2251</v>
      </c>
    </row>
  </sheetData>
  <dataValidations count="2">
    <dataValidation type="list" allowBlank="1" showInputMessage="1" showErrorMessage="1" sqref="B4" xr:uid="{D4D336AD-B96A-4A55-9672-FF8D908F51C8}">
      <formula1>$E$2:$E$6</formula1>
    </dataValidation>
    <dataValidation type="list" allowBlank="1" showInputMessage="1" showErrorMessage="1" sqref="B5" xr:uid="{D17F4467-7E33-48D0-948F-7449497BCBFF}">
      <formula1>$F$2:$F$4</formula1>
    </dataValidation>
  </dataValidation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036293-917E-4B95-A0B3-BF2E1DB6FEF1}">
  <sheetPr codeName="Ark40">
    <tabColor rgb="FF7030A0"/>
  </sheetPr>
  <dimension ref="A1:D21"/>
  <sheetViews>
    <sheetView showGridLines="0" workbookViewId="0"/>
  </sheetViews>
  <sheetFormatPr defaultRowHeight="14.5" x14ac:dyDescent="0.35"/>
  <cols>
    <col min="1" max="1" width="79.81640625" bestFit="1" customWidth="1"/>
    <col min="2" max="2" width="24.1796875" bestFit="1" customWidth="1"/>
    <col min="3" max="4" width="30.81640625" customWidth="1"/>
  </cols>
  <sheetData>
    <row r="1" spans="1:4" ht="23.5" x14ac:dyDescent="0.55000000000000004">
      <c r="A1" s="293" t="s">
        <v>2233</v>
      </c>
    </row>
    <row r="3" spans="1:4" x14ac:dyDescent="0.35">
      <c r="A3" t="s">
        <v>2234</v>
      </c>
    </row>
    <row r="4" spans="1:4" x14ac:dyDescent="0.35">
      <c r="A4" t="s">
        <v>2235</v>
      </c>
    </row>
    <row r="6" spans="1:4" x14ac:dyDescent="0.35">
      <c r="A6" t="s">
        <v>2236</v>
      </c>
      <c r="B6" t="s">
        <v>2237</v>
      </c>
    </row>
    <row r="7" spans="1:4" x14ac:dyDescent="0.35">
      <c r="A7" s="258" t="s">
        <v>2238</v>
      </c>
    </row>
    <row r="8" spans="1:4" x14ac:dyDescent="0.35">
      <c r="A8" s="351" t="s">
        <v>2239</v>
      </c>
      <c r="B8" s="352"/>
      <c r="C8" s="352"/>
      <c r="D8" s="352"/>
    </row>
    <row r="21" spans="4:4" x14ac:dyDescent="0.35">
      <c r="D21" s="294"/>
    </row>
  </sheetData>
  <mergeCells count="1">
    <mergeCell ref="A8:D8"/>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67BECED-9161-4CE3-AE8F-DB01CCBAA5B0}">
          <x14:formula1>
            <xm:f>AI_CHART_CONTROL!$G$2:$G$5</xm:f>
          </x14:formula1>
          <xm:sqref>B6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Ark22">
    <tabColor rgb="FF7030A0"/>
  </sheetPr>
  <dimension ref="A1:J22"/>
  <sheetViews>
    <sheetView showGridLines="0" zoomScaleNormal="100" workbookViewId="0">
      <pane ySplit="3" topLeftCell="A4" activePane="bottomLeft" state="frozen"/>
      <selection pane="bottomLeft" activeCell="B10" sqref="B10"/>
    </sheetView>
  </sheetViews>
  <sheetFormatPr defaultColWidth="8.6328125" defaultRowHeight="14.5" x14ac:dyDescent="0.35"/>
  <cols>
    <col min="1" max="1" width="6" customWidth="1"/>
    <col min="2" max="2" width="24" customWidth="1"/>
    <col min="3" max="3" width="20" customWidth="1"/>
    <col min="4" max="4" width="8" customWidth="1"/>
    <col min="5" max="6" width="26" customWidth="1"/>
    <col min="7" max="8" width="14" customWidth="1"/>
    <col min="9" max="9" width="22" customWidth="1"/>
    <col min="10" max="10" width="26" customWidth="1"/>
  </cols>
  <sheetData>
    <row r="1" spans="1:10" ht="30" customHeight="1" x14ac:dyDescent="0.35">
      <c r="A1" s="348" t="s">
        <v>681</v>
      </c>
      <c r="B1" s="348"/>
      <c r="C1" s="348"/>
      <c r="D1" s="348"/>
      <c r="E1" s="348"/>
      <c r="F1" s="348"/>
      <c r="G1" s="348"/>
      <c r="H1" s="348"/>
      <c r="I1" s="348"/>
      <c r="J1" s="348"/>
    </row>
    <row r="2" spans="1:10" ht="18" customHeight="1" x14ac:dyDescent="0.35">
      <c r="A2" s="349" t="s">
        <v>682</v>
      </c>
      <c r="B2" s="349"/>
      <c r="C2" s="349"/>
      <c r="D2" s="349"/>
      <c r="E2" s="349"/>
      <c r="F2" s="349"/>
      <c r="G2" s="349"/>
      <c r="H2" s="349"/>
      <c r="I2" s="349"/>
      <c r="J2" s="349"/>
    </row>
    <row r="3" spans="1:10" ht="36" customHeight="1" x14ac:dyDescent="0.35">
      <c r="A3" s="38" t="s">
        <v>384</v>
      </c>
      <c r="B3" s="38" t="s">
        <v>605</v>
      </c>
      <c r="C3" s="38" t="s">
        <v>604</v>
      </c>
      <c r="D3" s="38" t="s">
        <v>683</v>
      </c>
      <c r="E3" s="38" t="s">
        <v>440</v>
      </c>
      <c r="F3" s="38" t="s">
        <v>614</v>
      </c>
      <c r="G3" s="38" t="s">
        <v>77</v>
      </c>
      <c r="H3" s="38" t="s">
        <v>268</v>
      </c>
      <c r="I3" s="38" t="s">
        <v>387</v>
      </c>
      <c r="J3" s="38" t="s">
        <v>684</v>
      </c>
    </row>
    <row r="4" spans="1:10" ht="24" customHeight="1" x14ac:dyDescent="0.35">
      <c r="A4" s="158">
        <f>1</f>
        <v>1</v>
      </c>
      <c r="B4" s="159" t="str">
        <f>IFERROR(INDEX(FMEA_DATA!B$4:B$18,MATCH(LARGE(FMEA_DATA!I$4:I$18,1),FMEA_DATA!I$4:I$18,0)),"")</f>
        <v>Test case misses edge cases</v>
      </c>
      <c r="C4" s="159" t="str">
        <f>IFERROR(INDEX(FMEA_DATA!A$4:A$18,MATCH(LARGE(FMEA_DATA!I$4:I$18,1),FMEA_DATA!I$4:I$18,0)),"")</f>
        <v>Testing</v>
      </c>
      <c r="D4" s="152">
        <f>IFERROR(LARGE(FMEA_DATA!I$4:I$18,1),"")</f>
        <v>378</v>
      </c>
      <c r="E4" s="153" t="str">
        <f>IFERROR(INDEX(FMEA_DATA!J$4:J$18,MATCH(LARGE(FMEA_DATA!I$4:I$18,1),FMEA_DATA!I$4:I$18,0)),"")</f>
        <v>1-CRITICAL (RPN≥200)</v>
      </c>
      <c r="F4" s="159" t="str">
        <f>IFERROR(INDEX(FMEA_DATA!K$4:K$18,MATCH(LARGE(FMEA_DATA!I$4:I$18,1),FMEA_DATA!I$4:I$18,0)),"")</f>
        <v>Link tests to AC; automate suite</v>
      </c>
      <c r="G4" s="158" t="str">
        <f>IFERROR(INDEX(FMEA_DATA!L$4:L$18,MATCH(LARGE(FMEA_DATA!I$4:I$18,1),FMEA_DATA!I$4:I$18,0)),"")</f>
        <v>QA Lead</v>
      </c>
      <c r="H4" s="158" t="str">
        <f>IFERROR(INDEX(FMEA_DATA!M$4:M$18,MATCH(LARGE(FMEA_DATA!I$4:I$18,1),FMEA_DATA!I$4:I$18,0)),"")</f>
        <v>IN PROGRESS</v>
      </c>
      <c r="I4" s="160" t="str">
        <f>IFERROR(IF(SUMPRODUCT((FMEA_DATA!I$4:I$18&gt;=LARGE(FMEA_DATA!I$4:I$18,1))*1)/COUNTA(FMEA_DATA!A$4:A$18)&lt;=0.8,"VITAL FEW — Act NOW","Useful Many"),"")</f>
        <v>VITAL FEW — Act NOW</v>
      </c>
      <c r="J4" s="155" t="str">
        <f t="shared" ref="J4:J18" si="0">IF(D4="","",IF(D4&gt;=200,"CRITICAL — This sprint",IF(D4&gt;=100,"HIGH — Plan now",IF(D4&gt;=50,"MEDIUM — Schedule","LOW — Monitor"))))</f>
        <v>CRITICAL — This sprint</v>
      </c>
    </row>
    <row r="5" spans="1:10" ht="24" customHeight="1" x14ac:dyDescent="0.35">
      <c r="A5" s="161">
        <f>2</f>
        <v>2</v>
      </c>
      <c r="B5" s="162" t="str">
        <f>IFERROR(INDEX(FMEA_DATA!B$4:B$18,MATCH(LARGE(FMEA_DATA!I$4:I$18,2),FMEA_DATA!I$4:I$18,0)),"")</f>
        <v>Lessons not captured</v>
      </c>
      <c r="C5" s="162" t="str">
        <f>IFERROR(INDEX(FMEA_DATA!A$4:A$18,MATCH(LARGE(FMEA_DATA!I$4:I$18,2),FMEA_DATA!I$4:I$18,0)),"")</f>
        <v>Post-Go-Live Review</v>
      </c>
      <c r="D5" s="152">
        <f>IFERROR(LARGE(FMEA_DATA!I$4:I$18,2),"")</f>
        <v>320</v>
      </c>
      <c r="E5" s="153" t="str">
        <f>IFERROR(INDEX(FMEA_DATA!J$4:J$18,MATCH(LARGE(FMEA_DATA!I$4:I$18,2),FMEA_DATA!I$4:I$18,0)),"")</f>
        <v>1-CRITICAL (RPN≥200)</v>
      </c>
      <c r="F5" s="162" t="str">
        <f>IFERROR(INDEX(FMEA_DATA!K$4:K$18,MATCH(LARGE(FMEA_DATA!I$4:I$18,2),FMEA_DATA!I$4:I$18,0)),"")</f>
        <v>Mandatory retro within 48hrs</v>
      </c>
      <c r="G5" s="161" t="str">
        <f>IFERROR(INDEX(FMEA_DATA!L$4:L$18,MATCH(LARGE(FMEA_DATA!I$4:I$18,2),FMEA_DATA!I$4:I$18,0)),"")</f>
        <v>Team Lead</v>
      </c>
      <c r="H5" s="161" t="str">
        <f>IFERROR(INDEX(FMEA_DATA!M$4:M$18,MATCH(LARGE(FMEA_DATA!I$4:I$18,2),FMEA_DATA!I$4:I$18,0)),"")</f>
        <v>OPEN</v>
      </c>
      <c r="I5" s="160" t="str">
        <f>IFERROR(IF(SUMPRODUCT((FMEA_DATA!I$4:I$18&gt;=LARGE(FMEA_DATA!I$4:I$18,2))*1)/COUNTA(FMEA_DATA!A$4:A$18)&lt;=0.8,"VITAL FEW — Act NOW","Useful Many"),"")</f>
        <v>VITAL FEW — Act NOW</v>
      </c>
      <c r="J5" s="155" t="str">
        <f t="shared" si="0"/>
        <v>CRITICAL — This sprint</v>
      </c>
    </row>
    <row r="6" spans="1:10" ht="24" customHeight="1" x14ac:dyDescent="0.35">
      <c r="A6" s="158">
        <f>3</f>
        <v>3</v>
      </c>
      <c r="B6" s="159" t="str">
        <f>IFERROR(INDEX(FMEA_DATA!B$4:B$18,MATCH(LARGE(FMEA_DATA!I$4:I$18,3),FMEA_DATA!I$4:I$18,0)),"")</f>
        <v>Incomplete requirements received</v>
      </c>
      <c r="C6" s="159" t="str">
        <f>IFERROR(INDEX(FMEA_DATA!A$4:A$18,MATCH(LARGE(FMEA_DATA!I$4:I$18,3),FMEA_DATA!I$4:I$18,0)),"")</f>
        <v>Intake / Triage</v>
      </c>
      <c r="D6" s="152">
        <f>IFERROR(LARGE(FMEA_DATA!I$4:I$18,3),"")</f>
        <v>280</v>
      </c>
      <c r="E6" s="153" t="str">
        <f>IFERROR(INDEX(FMEA_DATA!J$4:J$18,MATCH(LARGE(FMEA_DATA!I$4:I$18,3),FMEA_DATA!I$4:I$18,0)),"")</f>
        <v>1-CRITICAL (RPN≥200)</v>
      </c>
      <c r="F6" s="159" t="str">
        <f>IFERROR(INDEX(FMEA_DATA!K$4:K$18,MATCH(LARGE(FMEA_DATA!I$4:I$18,3),FMEA_DATA!I$4:I$18,0)),"")</f>
        <v>Define standard intake form</v>
      </c>
      <c r="G6" s="158" t="str">
        <f>IFERROR(INDEX(FMEA_DATA!L$4:L$18,MATCH(LARGE(FMEA_DATA!I$4:I$18,3),FMEA_DATA!I$4:I$18,0)),"")</f>
        <v>Dev Lead</v>
      </c>
      <c r="H6" s="158" t="str">
        <f>IFERROR(INDEX(FMEA_DATA!M$4:M$18,MATCH(LARGE(FMEA_DATA!I$4:I$18,3),FMEA_DATA!I$4:I$18,0)),"")</f>
        <v>OPEN</v>
      </c>
      <c r="I6" s="160" t="str">
        <f>IFERROR(IF(SUMPRODUCT((FMEA_DATA!I$4:I$18&gt;=LARGE(FMEA_DATA!I$4:I$18,3))*1)/COUNTA(FMEA_DATA!A$4:A$18)&lt;=0.8,"VITAL FEW — Act NOW","Useful Many"),"")</f>
        <v>VITAL FEW — Act NOW</v>
      </c>
      <c r="J6" s="155" t="str">
        <f t="shared" si="0"/>
        <v>CRITICAL — This sprint</v>
      </c>
    </row>
    <row r="7" spans="1:10" ht="24" customHeight="1" x14ac:dyDescent="0.35">
      <c r="A7" s="161">
        <f>4</f>
        <v>4</v>
      </c>
      <c r="B7" s="162" t="str">
        <f>IFERROR(INDEX(FMEA_DATA!B$4:B$18,MATCH(LARGE(FMEA_DATA!I$4:I$18,4),FMEA_DATA!I$4:I$18,0)),"")</f>
        <v>Incomplete requirements received</v>
      </c>
      <c r="C7" s="162" t="str">
        <f>IFERROR(INDEX(FMEA_DATA!A$4:A$18,MATCH(LARGE(FMEA_DATA!I$4:I$18,4),FMEA_DATA!I$4:I$18,0)),"")</f>
        <v>Intake / Triage</v>
      </c>
      <c r="D7" s="152">
        <f>IFERROR(LARGE(FMEA_DATA!I$4:I$18,4),"")</f>
        <v>280</v>
      </c>
      <c r="E7" s="153" t="str">
        <f>IFERROR(INDEX(FMEA_DATA!J$4:J$18,MATCH(LARGE(FMEA_DATA!I$4:I$18,4),FMEA_DATA!I$4:I$18,0)),"")</f>
        <v>1-CRITICAL (RPN≥200)</v>
      </c>
      <c r="F7" s="162" t="str">
        <f>IFERROR(INDEX(FMEA_DATA!K$4:K$18,MATCH(LARGE(FMEA_DATA!I$4:I$18,4),FMEA_DATA!I$4:I$18,0)),"")</f>
        <v>Define standard intake form</v>
      </c>
      <c r="G7" s="161" t="str">
        <f>IFERROR(INDEX(FMEA_DATA!L$4:L$18,MATCH(LARGE(FMEA_DATA!I$4:I$18,4),FMEA_DATA!I$4:I$18,0)),"")</f>
        <v>Dev Lead</v>
      </c>
      <c r="H7" s="161" t="str">
        <f>IFERROR(INDEX(FMEA_DATA!M$4:M$18,MATCH(LARGE(FMEA_DATA!I$4:I$18,4),FMEA_DATA!I$4:I$18,0)),"")</f>
        <v>OPEN</v>
      </c>
      <c r="I7" s="160" t="str">
        <f>IFERROR(IF(SUMPRODUCT((FMEA_DATA!I$4:I$18&gt;=LARGE(FMEA_DATA!I$4:I$18,4))*1)/COUNTA(FMEA_DATA!A$4:A$18)&lt;=0.8,"VITAL FEW — Act NOW","Useful Many"),"")</f>
        <v>VITAL FEW — Act NOW</v>
      </c>
      <c r="J7" s="155" t="str">
        <f t="shared" si="0"/>
        <v>CRITICAL — This sprint</v>
      </c>
    </row>
    <row r="8" spans="1:10" ht="24" customHeight="1" x14ac:dyDescent="0.35">
      <c r="A8" s="158">
        <f>5</f>
        <v>5</v>
      </c>
      <c r="B8" s="159" t="str">
        <f>IFERROR(INDEX(FMEA_DATA!B$4:B$18,MATCH(LARGE(FMEA_DATA!I$4:I$18,5),FMEA_DATA!I$4:I$18,0)),"")</f>
        <v>Wrong approver in workflow</v>
      </c>
      <c r="C8" s="159" t="str">
        <f>IFERROR(INDEX(FMEA_DATA!A$4:A$18,MATCH(LARGE(FMEA_DATA!I$4:I$18,5),FMEA_DATA!I$4:I$18,0)),"")</f>
        <v>Approval Gate</v>
      </c>
      <c r="D8" s="152">
        <f>IFERROR(LARGE(FMEA_DATA!I$4:I$18,5),"")</f>
        <v>224</v>
      </c>
      <c r="E8" s="153" t="str">
        <f>IFERROR(INDEX(FMEA_DATA!J$4:J$18,MATCH(LARGE(FMEA_DATA!I$4:I$18,5),FMEA_DATA!I$4:I$18,0)),"")</f>
        <v>1-CRITICAL (RPN≥200)</v>
      </c>
      <c r="F8" s="159" t="str">
        <f>IFERROR(INDEX(FMEA_DATA!K$4:K$18,MATCH(LARGE(FMEA_DATA!I$4:I$18,5),FMEA_DATA!I$4:I$18,0)),"")</f>
        <v>Document RACI; automate routing</v>
      </c>
      <c r="G8" s="158" t="str">
        <f>IFERROR(INDEX(FMEA_DATA!L$4:L$18,MATCH(LARGE(FMEA_DATA!I$4:I$18,5),FMEA_DATA!I$4:I$18,0)),"")</f>
        <v>Process Owner</v>
      </c>
      <c r="H8" s="158" t="str">
        <f>IFERROR(INDEX(FMEA_DATA!M$4:M$18,MATCH(LARGE(FMEA_DATA!I$4:I$18,5),FMEA_DATA!I$4:I$18,0)),"")</f>
        <v>IN PROGRESS</v>
      </c>
      <c r="I8" s="160" t="str">
        <f>IFERROR(IF(SUMPRODUCT((FMEA_DATA!I$4:I$18&gt;=LARGE(FMEA_DATA!I$4:I$18,5))*1)/COUNTA(FMEA_DATA!A$4:A$18)&lt;=0.8,"VITAL FEW — Act NOW","Useful Many"),"")</f>
        <v>VITAL FEW — Act NOW</v>
      </c>
      <c r="J8" s="155" t="str">
        <f t="shared" si="0"/>
        <v>CRITICAL — This sprint</v>
      </c>
    </row>
    <row r="9" spans="1:10" ht="24" customHeight="1" x14ac:dyDescent="0.35">
      <c r="A9" s="161">
        <f>6</f>
        <v>6</v>
      </c>
      <c r="B9" s="162" t="str">
        <f>IFERROR(INDEX(FMEA_DATA!B$4:B$18,MATCH(LARGE(FMEA_DATA!I$4:I$18,6),FMEA_DATA!I$4:I$18,0)),"")</f>
        <v>Stakeholder not informed</v>
      </c>
      <c r="C9" s="162" t="str">
        <f>IFERROR(INDEX(FMEA_DATA!A$4:A$18,MATCH(LARGE(FMEA_DATA!I$4:I$18,6),FMEA_DATA!I$4:I$18,0)),"")</f>
        <v>Change Management</v>
      </c>
      <c r="D9" s="152">
        <f>IFERROR(LARGE(FMEA_DATA!I$4:I$18,6),"")</f>
        <v>180</v>
      </c>
      <c r="E9" s="153" t="str">
        <f>IFERROR(INDEX(FMEA_DATA!J$4:J$18,MATCH(LARGE(FMEA_DATA!I$4:I$18,6),FMEA_DATA!I$4:I$18,0)),"")</f>
        <v>2-HIGH (RPN≥100)</v>
      </c>
      <c r="F9" s="162" t="str">
        <f>IFERROR(INDEX(FMEA_DATA!K$4:K$18,MATCH(LARGE(FMEA_DATA!I$4:I$18,6),FMEA_DATA!I$4:I$18,0)),"")</f>
        <v>Add comms step to DoD</v>
      </c>
      <c r="G9" s="161" t="str">
        <f>IFERROR(INDEX(FMEA_DATA!L$4:L$18,MATCH(LARGE(FMEA_DATA!I$4:I$18,6),FMEA_DATA!I$4:I$18,0)),"")</f>
        <v>PM</v>
      </c>
      <c r="H9" s="161" t="str">
        <f>IFERROR(INDEX(FMEA_DATA!M$4:M$18,MATCH(LARGE(FMEA_DATA!I$4:I$18,6),FMEA_DATA!I$4:I$18,0)),"")</f>
        <v>OPEN</v>
      </c>
      <c r="I9" s="160" t="str">
        <f>IFERROR(IF(SUMPRODUCT((FMEA_DATA!I$4:I$18&gt;=LARGE(FMEA_DATA!I$4:I$18,6))*1)/COUNTA(FMEA_DATA!A$4:A$18)&lt;=0.8,"VITAL FEW — Act NOW","Useful Many"),"")</f>
        <v>VITAL FEW — Act NOW</v>
      </c>
      <c r="J9" s="155" t="str">
        <f t="shared" si="0"/>
        <v>HIGH — Plan now</v>
      </c>
    </row>
    <row r="10" spans="1:10" ht="24" customHeight="1" x14ac:dyDescent="0.35">
      <c r="A10" s="158">
        <f>7</f>
        <v>7</v>
      </c>
      <c r="B10" s="159" t="str">
        <f>IFERROR(INDEX(FMEA_DATA!B$4:B$18,MATCH(LARGE(FMEA_DATA!I$4:I$18,7),FMEA_DATA!I$4:I$18,0)),"")</f>
        <v>Missing acceptance criteria</v>
      </c>
      <c r="C10" s="159" t="str">
        <f>IFERROR(INDEX(FMEA_DATA!A$4:A$18,MATCH(LARGE(FMEA_DATA!I$4:I$18,7),FMEA_DATA!I$4:I$18,0)),"")</f>
        <v>Requirements Review</v>
      </c>
      <c r="D10" s="152">
        <f>IFERROR(LARGE(FMEA_DATA!I$4:I$18,7),"")</f>
        <v>168</v>
      </c>
      <c r="E10" s="153" t="str">
        <f>IFERROR(INDEX(FMEA_DATA!J$4:J$18,MATCH(LARGE(FMEA_DATA!I$4:I$18,7),FMEA_DATA!I$4:I$18,0)),"")</f>
        <v>2-HIGH (RPN≥100)</v>
      </c>
      <c r="F10" s="159" t="str">
        <f>IFERROR(INDEX(FMEA_DATA!K$4:K$18,MATCH(LARGE(FMEA_DATA!I$4:I$18,7),FMEA_DATA!I$4:I$18,0)),"")</f>
        <v>Mandate AC template on all tickets</v>
      </c>
      <c r="G10" s="158" t="str">
        <f>IFERROR(INDEX(FMEA_DATA!L$4:L$18,MATCH(LARGE(FMEA_DATA!I$4:I$18,7),FMEA_DATA!I$4:I$18,0)),"")</f>
        <v>PM</v>
      </c>
      <c r="H10" s="158" t="str">
        <f>IFERROR(INDEX(FMEA_DATA!M$4:M$18,MATCH(LARGE(FMEA_DATA!I$4:I$18,7),FMEA_DATA!I$4:I$18,0)),"")</f>
        <v>IN PROGRESS</v>
      </c>
      <c r="I10" s="160" t="str">
        <f>IFERROR(IF(SUMPRODUCT((FMEA_DATA!I$4:I$18&gt;=LARGE(FMEA_DATA!I$4:I$18,7))*1)/COUNTA(FMEA_DATA!A$4:A$18)&lt;=0.8,"VITAL FEW — Act NOW","Useful Many"),"")</f>
        <v>VITAL FEW — Act NOW</v>
      </c>
      <c r="J10" s="155" t="str">
        <f t="shared" si="0"/>
        <v>HIGH — Plan now</v>
      </c>
    </row>
    <row r="11" spans="1:10" ht="24" customHeight="1" x14ac:dyDescent="0.35">
      <c r="A11" s="161">
        <f>8</f>
        <v>8</v>
      </c>
      <c r="B11" s="162" t="str">
        <f>IFERROR(INDEX(FMEA_DATA!B$4:B$18,MATCH(LARGE(FMEA_DATA!I$4:I$18,8),FMEA_DATA!I$4:I$18,0)),"")</f>
        <v>Missing acceptance criteria</v>
      </c>
      <c r="C11" s="162" t="str">
        <f>IFERROR(INDEX(FMEA_DATA!A$4:A$18,MATCH(LARGE(FMEA_DATA!I$4:I$18,8),FMEA_DATA!I$4:I$18,0)),"")</f>
        <v>Requirements Review</v>
      </c>
      <c r="D11" s="152">
        <f>IFERROR(LARGE(FMEA_DATA!I$4:I$18,8),"")</f>
        <v>168</v>
      </c>
      <c r="E11" s="153" t="str">
        <f>IFERROR(INDEX(FMEA_DATA!J$4:J$18,MATCH(LARGE(FMEA_DATA!I$4:I$18,8),FMEA_DATA!I$4:I$18,0)),"")</f>
        <v>2-HIGH (RPN≥100)</v>
      </c>
      <c r="F11" s="162" t="str">
        <f>IFERROR(INDEX(FMEA_DATA!K$4:K$18,MATCH(LARGE(FMEA_DATA!I$4:I$18,8),FMEA_DATA!I$4:I$18,0)),"")</f>
        <v>Mandate AC template on all tickets</v>
      </c>
      <c r="G11" s="161" t="str">
        <f>IFERROR(INDEX(FMEA_DATA!L$4:L$18,MATCH(LARGE(FMEA_DATA!I$4:I$18,8),FMEA_DATA!I$4:I$18,0)),"")</f>
        <v>PM</v>
      </c>
      <c r="H11" s="161" t="str">
        <f>IFERROR(INDEX(FMEA_DATA!M$4:M$18,MATCH(LARGE(FMEA_DATA!I$4:I$18,8),FMEA_DATA!I$4:I$18,0)),"")</f>
        <v>IN PROGRESS</v>
      </c>
      <c r="I11" s="160" t="str">
        <f>IFERROR(IF(SUMPRODUCT((FMEA_DATA!I$4:I$18&gt;=LARGE(FMEA_DATA!I$4:I$18,8))*1)/COUNTA(FMEA_DATA!A$4:A$18)&lt;=0.8,"VITAL FEW — Act NOW","Useful Many"),"")</f>
        <v>VITAL FEW — Act NOW</v>
      </c>
      <c r="J11" s="155" t="str">
        <f t="shared" si="0"/>
        <v>HIGH — Plan now</v>
      </c>
    </row>
    <row r="12" spans="1:10" ht="24" customHeight="1" x14ac:dyDescent="0.35">
      <c r="A12" s="158">
        <f>9</f>
        <v>9</v>
      </c>
      <c r="B12" s="159" t="str">
        <f>IFERROR(INDEX(FMEA_DATA!B$4:B$18,MATCH(LARGE(FMEA_DATA!I$4:I$18,9),FMEA_DATA!I$4:I$18,0)),"")</f>
        <v>Over-engineered solution</v>
      </c>
      <c r="C12" s="159" t="str">
        <f>IFERROR(INDEX(FMEA_DATA!A$4:A$18,MATCH(LARGE(FMEA_DATA!I$4:I$18,9),FMEA_DATA!I$4:I$18,0)),"")</f>
        <v>Design / Planning</v>
      </c>
      <c r="D12" s="152">
        <f>IFERROR(LARGE(FMEA_DATA!I$4:I$18,9),"")</f>
        <v>150</v>
      </c>
      <c r="E12" s="153" t="str">
        <f>IFERROR(INDEX(FMEA_DATA!J$4:J$18,MATCH(LARGE(FMEA_DATA!I$4:I$18,9),FMEA_DATA!I$4:I$18,0)),"")</f>
        <v>2-HIGH (RPN≥100)</v>
      </c>
      <c r="F12" s="159" t="str">
        <f>IFERROR(INDEX(FMEA_DATA!K$4:K$18,MATCH(LARGE(FMEA_DATA!I$4:I$18,9),FMEA_DATA!I$4:I$18,0)),"")</f>
        <v>Add complexity gate to design</v>
      </c>
      <c r="G12" s="158" t="str">
        <f>IFERROR(INDEX(FMEA_DATA!L$4:L$18,MATCH(LARGE(FMEA_DATA!I$4:I$18,9),FMEA_DATA!I$4:I$18,0)),"")</f>
        <v>Architect</v>
      </c>
      <c r="H12" s="158" t="str">
        <f>IFERROR(INDEX(FMEA_DATA!M$4:M$18,MATCH(LARGE(FMEA_DATA!I$4:I$18,9),FMEA_DATA!I$4:I$18,0)),"")</f>
        <v>OPEN</v>
      </c>
      <c r="I12" s="160" t="str">
        <f>IFERROR(IF(SUMPRODUCT((FMEA_DATA!I$4:I$18&gt;=LARGE(FMEA_DATA!I$4:I$18,9))*1)/COUNTA(FMEA_DATA!A$4:A$18)&lt;=0.8,"VITAL FEW — Act NOW","Useful Many"),"")</f>
        <v>Useful Many</v>
      </c>
      <c r="J12" s="155" t="str">
        <f t="shared" si="0"/>
        <v>HIGH — Plan now</v>
      </c>
    </row>
    <row r="13" spans="1:10" ht="24" customHeight="1" x14ac:dyDescent="0.35">
      <c r="A13" s="161">
        <f>10</f>
        <v>10</v>
      </c>
      <c r="B13" s="162">
        <f>IFERROR(INDEX(FMEA_DATA!B$4:B$18,MATCH(LARGE(FMEA_DATA!I$4:I$18,10),FMEA_DATA!I$4:I$18,0)),"")</f>
        <v>0</v>
      </c>
      <c r="C13" s="162">
        <f>IFERROR(INDEX(FMEA_DATA!A$4:A$18,MATCH(LARGE(FMEA_DATA!I$4:I$18,10),FMEA_DATA!I$4:I$18,0)),"")</f>
        <v>0</v>
      </c>
      <c r="D13" s="152">
        <f>IFERROR(LARGE(FMEA_DATA!I$4:I$18,10),"")</f>
        <v>125</v>
      </c>
      <c r="E13" s="153" t="str">
        <f>IFERROR(INDEX(FMEA_DATA!J$4:J$18,MATCH(LARGE(FMEA_DATA!I$4:I$18,10),FMEA_DATA!I$4:I$18,0)),"")</f>
        <v>2-HIGH (RPN≥100)</v>
      </c>
      <c r="F13" s="162">
        <f>IFERROR(INDEX(FMEA_DATA!K$4:K$18,MATCH(LARGE(FMEA_DATA!I$4:I$18,10),FMEA_DATA!I$4:I$18,0)),"")</f>
        <v>0</v>
      </c>
      <c r="G13" s="161" t="str">
        <f>IFERROR(INDEX(FMEA_DATA!L$4:L$18,MATCH(LARGE(FMEA_DATA!I$4:I$18,10),FMEA_DATA!I$4:I$18,0)),"")</f>
        <v>Ops Lead</v>
      </c>
      <c r="H13" s="161" t="str">
        <f>IFERROR(INDEX(FMEA_DATA!M$4:M$18,MATCH(LARGE(FMEA_DATA!I$4:I$18,10),FMEA_DATA!I$4:I$18,0)),"")</f>
        <v>OPEN</v>
      </c>
      <c r="I13" s="160" t="str">
        <f>IFERROR(IF(SUMPRODUCT((FMEA_DATA!I$4:I$18&gt;=LARGE(FMEA_DATA!I$4:I$18,10))*1)/COUNTA(FMEA_DATA!A$4:A$18)&lt;=0.8,"VITAL FEW — Act NOW","Useful Many"),"")</f>
        <v>Useful Many</v>
      </c>
      <c r="J13" s="155" t="str">
        <f t="shared" si="0"/>
        <v>HIGH — Plan now</v>
      </c>
    </row>
    <row r="14" spans="1:10" ht="24" customHeight="1" x14ac:dyDescent="0.35">
      <c r="A14" s="158">
        <f>11</f>
        <v>11</v>
      </c>
      <c r="B14" s="159">
        <f>IFERROR(INDEX(FMEA_DATA!B$4:B$18,MATCH(LARGE(FMEA_DATA!I$4:I$18,11),FMEA_DATA!I$4:I$18,0)),"")</f>
        <v>0</v>
      </c>
      <c r="C14" s="159">
        <f>IFERROR(INDEX(FMEA_DATA!A$4:A$18,MATCH(LARGE(FMEA_DATA!I$4:I$18,11),FMEA_DATA!I$4:I$18,0)),"")</f>
        <v>0</v>
      </c>
      <c r="D14" s="152">
        <f>IFERROR(LARGE(FMEA_DATA!I$4:I$18,11),"")</f>
        <v>125</v>
      </c>
      <c r="E14" s="153" t="str">
        <f>IFERROR(INDEX(FMEA_DATA!J$4:J$18,MATCH(LARGE(FMEA_DATA!I$4:I$18,11),FMEA_DATA!I$4:I$18,0)),"")</f>
        <v>2-HIGH (RPN≥100)</v>
      </c>
      <c r="F14" s="159">
        <f>IFERROR(INDEX(FMEA_DATA!K$4:K$18,MATCH(LARGE(FMEA_DATA!I$4:I$18,11),FMEA_DATA!I$4:I$18,0)),"")</f>
        <v>0</v>
      </c>
      <c r="G14" s="158" t="str">
        <f>IFERROR(INDEX(FMEA_DATA!L$4:L$18,MATCH(LARGE(FMEA_DATA!I$4:I$18,11),FMEA_DATA!I$4:I$18,0)),"")</f>
        <v>Ops Lead</v>
      </c>
      <c r="H14" s="158" t="str">
        <f>IFERROR(INDEX(FMEA_DATA!M$4:M$18,MATCH(LARGE(FMEA_DATA!I$4:I$18,11),FMEA_DATA!I$4:I$18,0)),"")</f>
        <v>OPEN</v>
      </c>
      <c r="I14" s="160" t="str">
        <f>IFERROR(IF(SUMPRODUCT((FMEA_DATA!I$4:I$18&gt;=LARGE(FMEA_DATA!I$4:I$18,11))*1)/COUNTA(FMEA_DATA!A$4:A$18)&lt;=0.8,"VITAL FEW — Act NOW","Useful Many"),"")</f>
        <v>Useful Many</v>
      </c>
      <c r="J14" s="155" t="str">
        <f t="shared" si="0"/>
        <v>HIGH — Plan now</v>
      </c>
    </row>
    <row r="15" spans="1:10" ht="24" customHeight="1" x14ac:dyDescent="0.35">
      <c r="A15" s="161">
        <f>12</f>
        <v>12</v>
      </c>
      <c r="B15" s="162">
        <f>IFERROR(INDEX(FMEA_DATA!B$4:B$18,MATCH(LARGE(FMEA_DATA!I$4:I$18,12),FMEA_DATA!I$4:I$18,0)),"")</f>
        <v>0</v>
      </c>
      <c r="C15" s="162">
        <f>IFERROR(INDEX(FMEA_DATA!A$4:A$18,MATCH(LARGE(FMEA_DATA!I$4:I$18,12),FMEA_DATA!I$4:I$18,0)),"")</f>
        <v>0</v>
      </c>
      <c r="D15" s="152">
        <f>IFERROR(LARGE(FMEA_DATA!I$4:I$18,12),"")</f>
        <v>125</v>
      </c>
      <c r="E15" s="153" t="str">
        <f>IFERROR(INDEX(FMEA_DATA!J$4:J$18,MATCH(LARGE(FMEA_DATA!I$4:I$18,12),FMEA_DATA!I$4:I$18,0)),"")</f>
        <v>2-HIGH (RPN≥100)</v>
      </c>
      <c r="F15" s="162">
        <f>IFERROR(INDEX(FMEA_DATA!K$4:K$18,MATCH(LARGE(FMEA_DATA!I$4:I$18,12),FMEA_DATA!I$4:I$18,0)),"")</f>
        <v>0</v>
      </c>
      <c r="G15" s="161" t="str">
        <f>IFERROR(INDEX(FMEA_DATA!L$4:L$18,MATCH(LARGE(FMEA_DATA!I$4:I$18,12),FMEA_DATA!I$4:I$18,0)),"")</f>
        <v>Ops Lead</v>
      </c>
      <c r="H15" s="161" t="str">
        <f>IFERROR(INDEX(FMEA_DATA!M$4:M$18,MATCH(LARGE(FMEA_DATA!I$4:I$18,12),FMEA_DATA!I$4:I$18,0)),"")</f>
        <v>OPEN</v>
      </c>
      <c r="I15" s="160" t="str">
        <f>IFERROR(IF(SUMPRODUCT((FMEA_DATA!I$4:I$18&gt;=LARGE(FMEA_DATA!I$4:I$18,12))*1)/COUNTA(FMEA_DATA!A$4:A$18)&lt;=0.8,"VITAL FEW — Act NOW","Useful Many"),"")</f>
        <v>Useful Many</v>
      </c>
      <c r="J15" s="155" t="str">
        <f t="shared" si="0"/>
        <v>HIGH — Plan now</v>
      </c>
    </row>
    <row r="16" spans="1:10" ht="24" customHeight="1" x14ac:dyDescent="0.35">
      <c r="A16" s="158">
        <f>13</f>
        <v>13</v>
      </c>
      <c r="B16" s="159">
        <f>IFERROR(INDEX(FMEA_DATA!B$4:B$18,MATCH(LARGE(FMEA_DATA!I$4:I$18,13),FMEA_DATA!I$4:I$18,0)),"")</f>
        <v>0</v>
      </c>
      <c r="C16" s="159">
        <f>IFERROR(INDEX(FMEA_DATA!A$4:A$18,MATCH(LARGE(FMEA_DATA!I$4:I$18,13),FMEA_DATA!I$4:I$18,0)),"")</f>
        <v>0</v>
      </c>
      <c r="D16" s="152">
        <f>IFERROR(LARGE(FMEA_DATA!I$4:I$18,13),"")</f>
        <v>125</v>
      </c>
      <c r="E16" s="153" t="str">
        <f>IFERROR(INDEX(FMEA_DATA!J$4:J$18,MATCH(LARGE(FMEA_DATA!I$4:I$18,13),FMEA_DATA!I$4:I$18,0)),"")</f>
        <v>2-HIGH (RPN≥100)</v>
      </c>
      <c r="F16" s="159">
        <f>IFERROR(INDEX(FMEA_DATA!K$4:K$18,MATCH(LARGE(FMEA_DATA!I$4:I$18,13),FMEA_DATA!I$4:I$18,0)),"")</f>
        <v>0</v>
      </c>
      <c r="G16" s="158" t="str">
        <f>IFERROR(INDEX(FMEA_DATA!L$4:L$18,MATCH(LARGE(FMEA_DATA!I$4:I$18,13),FMEA_DATA!I$4:I$18,0)),"")</f>
        <v>Ops Lead</v>
      </c>
      <c r="H16" s="158" t="str">
        <f>IFERROR(INDEX(FMEA_DATA!M$4:M$18,MATCH(LARGE(FMEA_DATA!I$4:I$18,13),FMEA_DATA!I$4:I$18,0)),"")</f>
        <v>OPEN</v>
      </c>
      <c r="I16" s="160" t="str">
        <f>IFERROR(IF(SUMPRODUCT((FMEA_DATA!I$4:I$18&gt;=LARGE(FMEA_DATA!I$4:I$18,13))*1)/COUNTA(FMEA_DATA!A$4:A$18)&lt;=0.8,"VITAL FEW — Act NOW","Useful Many"),"")</f>
        <v>Useful Many</v>
      </c>
      <c r="J16" s="155" t="str">
        <f t="shared" si="0"/>
        <v>HIGH — Plan now</v>
      </c>
    </row>
    <row r="17" spans="1:10" ht="24" customHeight="1" x14ac:dyDescent="0.35">
      <c r="A17" s="161">
        <f>14</f>
        <v>14</v>
      </c>
      <c r="B17" s="162">
        <f>IFERROR(INDEX(FMEA_DATA!B$4:B$18,MATCH(LARGE(FMEA_DATA!I$4:I$18,14),FMEA_DATA!I$4:I$18,0)),"")</f>
        <v>0</v>
      </c>
      <c r="C17" s="162">
        <f>IFERROR(INDEX(FMEA_DATA!A$4:A$18,MATCH(LARGE(FMEA_DATA!I$4:I$18,14),FMEA_DATA!I$4:I$18,0)),"")</f>
        <v>0</v>
      </c>
      <c r="D17" s="152">
        <f>IFERROR(LARGE(FMEA_DATA!I$4:I$18,14),"")</f>
        <v>125</v>
      </c>
      <c r="E17" s="153" t="str">
        <f>IFERROR(INDEX(FMEA_DATA!J$4:J$18,MATCH(LARGE(FMEA_DATA!I$4:I$18,14),FMEA_DATA!I$4:I$18,0)),"")</f>
        <v>2-HIGH (RPN≥100)</v>
      </c>
      <c r="F17" s="162">
        <f>IFERROR(INDEX(FMEA_DATA!K$4:K$18,MATCH(LARGE(FMEA_DATA!I$4:I$18,14),FMEA_DATA!I$4:I$18,0)),"")</f>
        <v>0</v>
      </c>
      <c r="G17" s="161" t="str">
        <f>IFERROR(INDEX(FMEA_DATA!L$4:L$18,MATCH(LARGE(FMEA_DATA!I$4:I$18,14),FMEA_DATA!I$4:I$18,0)),"")</f>
        <v>Ops Lead</v>
      </c>
      <c r="H17" s="161" t="str">
        <f>IFERROR(INDEX(FMEA_DATA!M$4:M$18,MATCH(LARGE(FMEA_DATA!I$4:I$18,14),FMEA_DATA!I$4:I$18,0)),"")</f>
        <v>OPEN</v>
      </c>
      <c r="I17" s="160" t="str">
        <f>IFERROR(IF(SUMPRODUCT((FMEA_DATA!I$4:I$18&gt;=LARGE(FMEA_DATA!I$4:I$18,14))*1)/COUNTA(FMEA_DATA!A$4:A$18)&lt;=0.8,"VITAL FEW — Act NOW","Useful Many"),"")</f>
        <v>Useful Many</v>
      </c>
      <c r="J17" s="155" t="str">
        <f t="shared" si="0"/>
        <v>HIGH — Plan now</v>
      </c>
    </row>
    <row r="18" spans="1:10" ht="24" customHeight="1" x14ac:dyDescent="0.35">
      <c r="A18" s="158">
        <f>15</f>
        <v>15</v>
      </c>
      <c r="B18" s="159" t="str">
        <f>IFERROR(INDEX(FMEA_DATA!B$4:B$18,MATCH(LARGE(FMEA_DATA!I$4:I$18,15),FMEA_DATA!I$4:I$18,0)),"")</f>
        <v>Wrong environment deployed</v>
      </c>
      <c r="C18" s="159" t="str">
        <f>IFERROR(INDEX(FMEA_DATA!A$4:A$18,MATCH(LARGE(FMEA_DATA!I$4:I$18,15),FMEA_DATA!I$4:I$18,0)),"")</f>
        <v>Deployment</v>
      </c>
      <c r="D18" s="152">
        <f>IFERROR(LARGE(FMEA_DATA!I$4:I$18,15),"")</f>
        <v>90</v>
      </c>
      <c r="E18" s="153" t="str">
        <f>IFERROR(INDEX(FMEA_DATA!J$4:J$18,MATCH(LARGE(FMEA_DATA!I$4:I$18,15),FMEA_DATA!I$4:I$18,0)),"")</f>
        <v>3-MEDIUM (RPN≥50)</v>
      </c>
      <c r="F18" s="159" t="str">
        <f>IFERROR(INDEX(FMEA_DATA!K$4:K$18,MATCH(LARGE(FMEA_DATA!I$4:I$18,15),FMEA_DATA!I$4:I$18,0)),"")</f>
        <v>Implement CI/CD; add env gate</v>
      </c>
      <c r="G18" s="158" t="str">
        <f>IFERROR(INDEX(FMEA_DATA!L$4:L$18,MATCH(LARGE(FMEA_DATA!I$4:I$18,15),FMEA_DATA!I$4:I$18,0)),"")</f>
        <v>DevOps</v>
      </c>
      <c r="H18" s="158" t="str">
        <f>IFERROR(INDEX(FMEA_DATA!M$4:M$18,MATCH(LARGE(FMEA_DATA!I$4:I$18,15),FMEA_DATA!I$4:I$18,0)),"")</f>
        <v>OPEN</v>
      </c>
      <c r="I18" s="160" t="str">
        <f>IFERROR(IF(SUMPRODUCT((FMEA_DATA!I$4:I$18&gt;=LARGE(FMEA_DATA!I$4:I$18,15))*1)/COUNTA(FMEA_DATA!A$4:A$18)&lt;=0.8,"VITAL FEW — Act NOW","Useful Many"),"")</f>
        <v>Useful Many</v>
      </c>
      <c r="J18" s="155" t="str">
        <f t="shared" si="0"/>
        <v>MEDIUM — Schedule</v>
      </c>
    </row>
    <row r="20" spans="1:10" ht="19.5" customHeight="1" x14ac:dyDescent="0.35">
      <c r="A20" s="350" t="s">
        <v>685</v>
      </c>
      <c r="B20" s="350"/>
      <c r="C20" s="350"/>
      <c r="D20" s="350"/>
      <c r="E20" s="350"/>
      <c r="F20" s="350"/>
      <c r="G20" s="350"/>
      <c r="H20" s="350"/>
      <c r="I20" s="350"/>
      <c r="J20" s="350"/>
    </row>
    <row r="21" spans="1:10" ht="27.75" customHeight="1" x14ac:dyDescent="0.35">
      <c r="A21" s="38" t="s">
        <v>675</v>
      </c>
      <c r="B21" s="38" t="s">
        <v>212</v>
      </c>
      <c r="C21" s="38" t="s">
        <v>213</v>
      </c>
      <c r="D21" s="38" t="s">
        <v>686</v>
      </c>
      <c r="E21" s="38" t="s">
        <v>687</v>
      </c>
      <c r="F21" s="38" t="s">
        <v>688</v>
      </c>
      <c r="G21" s="38" t="s">
        <v>679</v>
      </c>
      <c r="H21" s="38" t="s">
        <v>689</v>
      </c>
    </row>
    <row r="22" spans="1:10" ht="16.5" customHeight="1" x14ac:dyDescent="0.35">
      <c r="A22" s="157">
        <f>FMEA_DATA!A21</f>
        <v>10</v>
      </c>
      <c r="B22" s="157">
        <f>FMEA_DATA!B21</f>
        <v>12</v>
      </c>
      <c r="C22" s="157">
        <f>FMEA_DATA!C21</f>
        <v>3</v>
      </c>
      <c r="D22" s="157">
        <f>FMEA_DATA!D21</f>
        <v>0</v>
      </c>
      <c r="E22" s="157">
        <f>FMEA_DATA!E21</f>
        <v>5</v>
      </c>
      <c r="F22" s="157">
        <f>FMEA_DATA!F21</f>
        <v>9</v>
      </c>
      <c r="G22" s="157">
        <f>ROUND(FMEA_DATA!G21,0)</f>
        <v>191</v>
      </c>
      <c r="H22" s="163">
        <f>IFERROR(FMEA_DATA!D21/FMEA_DATA!A21,0)</f>
        <v>0</v>
      </c>
    </row>
  </sheetData>
  <mergeCells count="3">
    <mergeCell ref="A1:J1"/>
    <mergeCell ref="A2:J2"/>
    <mergeCell ref="A20:J20"/>
  </mergeCells>
  <pageMargins left="0.75" right="0.75" top="1" bottom="1" header="0.511811023622047" footer="0.511811023622047"/>
  <pageSetup paperSize="9" orientation="portrait" horizontalDpi="300" verticalDpi="300"/>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Ark23">
    <tabColor rgb="FF375623"/>
  </sheetPr>
  <dimension ref="A1:L34"/>
  <sheetViews>
    <sheetView showGridLines="0" zoomScaleNormal="100" workbookViewId="0">
      <pane ySplit="4" topLeftCell="A5" activePane="bottomLeft" state="frozen"/>
      <selection pane="bottomLeft" activeCell="D11" sqref="D11"/>
    </sheetView>
  </sheetViews>
  <sheetFormatPr defaultColWidth="8.6328125" defaultRowHeight="14.5" x14ac:dyDescent="0.35"/>
  <cols>
    <col min="1" max="1" width="10.54296875" bestFit="1" customWidth="1"/>
    <col min="2" max="2" width="32.6328125" bestFit="1" customWidth="1"/>
    <col min="3" max="3" width="14" customWidth="1"/>
    <col min="4" max="4" width="12" customWidth="1"/>
    <col min="5" max="5" width="16" customWidth="1"/>
    <col min="6" max="7" width="12" customWidth="1"/>
    <col min="8" max="8" width="22" customWidth="1"/>
    <col min="9" max="9" width="12" customWidth="1"/>
    <col min="10" max="10" width="18" customWidth="1"/>
    <col min="11" max="11" width="13" customWidth="1"/>
    <col min="12" max="12" width="12" customWidth="1"/>
  </cols>
  <sheetData>
    <row r="1" spans="1:12" ht="30" customHeight="1" x14ac:dyDescent="0.35">
      <c r="A1" s="348" t="s">
        <v>690</v>
      </c>
      <c r="B1" s="348"/>
      <c r="C1" s="348"/>
      <c r="D1" s="348"/>
      <c r="E1" s="348"/>
      <c r="F1" s="348"/>
      <c r="G1" s="348"/>
      <c r="H1" s="348"/>
      <c r="I1" s="348"/>
      <c r="J1" s="348"/>
    </row>
    <row r="2" spans="1:12" ht="18" customHeight="1" x14ac:dyDescent="0.35">
      <c r="A2" s="349" t="s">
        <v>691</v>
      </c>
      <c r="B2" s="349"/>
      <c r="C2" s="349"/>
      <c r="D2" s="349"/>
      <c r="E2" s="349"/>
      <c r="F2" s="349"/>
      <c r="G2" s="349"/>
      <c r="H2" s="349"/>
      <c r="I2" s="349"/>
      <c r="J2" s="349"/>
    </row>
    <row r="3" spans="1:12" ht="19.5" customHeight="1" x14ac:dyDescent="0.35">
      <c r="A3" s="350" t="s">
        <v>692</v>
      </c>
      <c r="B3" s="350"/>
      <c r="C3" s="350"/>
      <c r="D3" s="350"/>
      <c r="E3" s="350"/>
      <c r="F3" s="350"/>
      <c r="G3" s="350"/>
      <c r="H3" s="350"/>
      <c r="I3" s="350"/>
      <c r="J3" s="350"/>
    </row>
    <row r="4" spans="1:12" ht="36" customHeight="1" x14ac:dyDescent="0.35">
      <c r="A4" s="148" t="s">
        <v>263</v>
      </c>
      <c r="B4" s="148" t="s">
        <v>693</v>
      </c>
      <c r="C4" s="148" t="s">
        <v>694</v>
      </c>
      <c r="D4" s="148" t="s">
        <v>695</v>
      </c>
      <c r="E4" s="148" t="s">
        <v>696</v>
      </c>
      <c r="F4" s="148" t="s">
        <v>697</v>
      </c>
      <c r="G4" s="148" t="s">
        <v>266</v>
      </c>
      <c r="H4" s="148" t="s">
        <v>267</v>
      </c>
      <c r="I4" s="148" t="s">
        <v>268</v>
      </c>
      <c r="J4" s="148" t="s">
        <v>698</v>
      </c>
      <c r="K4" s="67" t="s">
        <v>352</v>
      </c>
      <c r="L4" s="67" t="s">
        <v>699</v>
      </c>
    </row>
    <row r="5" spans="1:12" ht="21.75" customHeight="1" x14ac:dyDescent="0.35">
      <c r="A5" s="161" t="s">
        <v>700</v>
      </c>
      <c r="B5" s="151">
        <v>600</v>
      </c>
      <c r="C5" s="151">
        <v>72</v>
      </c>
      <c r="D5" s="151">
        <v>5</v>
      </c>
      <c r="E5" s="164">
        <f t="shared" ref="E5:E12" si="0">IFERROR(C5/B5,"")</f>
        <v>0.12</v>
      </c>
      <c r="F5" s="165">
        <f t="shared" ref="F5:F12" si="1">IFERROR((C5/(B5*D5))*1000000,"")</f>
        <v>24000</v>
      </c>
      <c r="G5" s="166" t="str">
        <f ca="1">IFERROR(_xludf.norm.s.inv(1-F5/1000000)*(-1)+1.5,"")</f>
        <v/>
      </c>
      <c r="H5" s="160" t="s">
        <v>701</v>
      </c>
      <c r="I5" s="167" t="str">
        <f t="shared" ref="I5:I12" ca="1" si="2">IF(G5="","",IF(G5&gt;=H5,"TARGET MET ✓",IF(G5&gt;=H5-0.5,"CLOSE — push harder","BELOW TARGET")))</f>
        <v/>
      </c>
      <c r="J5" s="156"/>
      <c r="K5" s="76">
        <f>COUNTIF(FMEA_DATA!$M$4:$M$18,"OPEN")</f>
        <v>12</v>
      </c>
      <c r="L5" s="120">
        <f>COUNTIF(PDCA_DATA!$F$6:$F$38,"COMPLETE")</f>
        <v>0</v>
      </c>
    </row>
    <row r="6" spans="1:12" ht="21.75" customHeight="1" x14ac:dyDescent="0.35">
      <c r="A6" s="158" t="s">
        <v>702</v>
      </c>
      <c r="B6" s="151">
        <v>580</v>
      </c>
      <c r="C6" s="151">
        <v>65</v>
      </c>
      <c r="D6" s="151">
        <v>5</v>
      </c>
      <c r="E6" s="168">
        <f t="shared" si="0"/>
        <v>0.11206896551724138</v>
      </c>
      <c r="F6" s="169">
        <f t="shared" si="1"/>
        <v>22413.793103448275</v>
      </c>
      <c r="G6" s="170" t="str">
        <f ca="1">IFERROR(_xludf.norm.s.inv(1-F6/1000000)*(-1)+1.5,"")</f>
        <v/>
      </c>
      <c r="H6" s="160" t="s">
        <v>701</v>
      </c>
      <c r="I6" s="171" t="str">
        <f t="shared" ca="1" si="2"/>
        <v/>
      </c>
      <c r="J6" s="150"/>
      <c r="K6" s="76">
        <f>COUNTIF(FMEA_DATA!$M$4:$M$18,"OPEN")</f>
        <v>12</v>
      </c>
      <c r="L6" s="120">
        <f>COUNTIF(PDCA_DATA!$F$6:$F$38,"COMPLETE")</f>
        <v>0</v>
      </c>
    </row>
    <row r="7" spans="1:12" ht="21.75" customHeight="1" x14ac:dyDescent="0.35">
      <c r="A7" s="161" t="s">
        <v>703</v>
      </c>
      <c r="B7" s="151">
        <v>610</v>
      </c>
      <c r="C7" s="151">
        <v>58</v>
      </c>
      <c r="D7" s="151">
        <v>5</v>
      </c>
      <c r="E7" s="164">
        <f t="shared" si="0"/>
        <v>9.5081967213114751E-2</v>
      </c>
      <c r="F7" s="165">
        <f t="shared" si="1"/>
        <v>19016.393442622953</v>
      </c>
      <c r="G7" s="166" t="str">
        <f ca="1">IFERROR(_xludf.norm.s.inv(1-F7/1000000)*(-1)+1.5,"")</f>
        <v/>
      </c>
      <c r="H7" s="160" t="s">
        <v>701</v>
      </c>
      <c r="I7" s="167" t="str">
        <f t="shared" ca="1" si="2"/>
        <v/>
      </c>
      <c r="J7" s="156"/>
      <c r="K7" s="76">
        <f>COUNTIF(FMEA_DATA!$M$4:$M$18,"OPEN")</f>
        <v>12</v>
      </c>
      <c r="L7" s="120">
        <f>COUNTIF(PDCA_DATA!$F$6:$F$38,"COMPLETE")</f>
        <v>0</v>
      </c>
    </row>
    <row r="8" spans="1:12" ht="21.75" customHeight="1" x14ac:dyDescent="0.35">
      <c r="A8" s="158" t="s">
        <v>704</v>
      </c>
      <c r="B8" s="151">
        <v>595</v>
      </c>
      <c r="C8" s="151">
        <v>50</v>
      </c>
      <c r="D8" s="151">
        <v>5</v>
      </c>
      <c r="E8" s="168">
        <f t="shared" si="0"/>
        <v>8.4033613445378158E-2</v>
      </c>
      <c r="F8" s="169">
        <f t="shared" si="1"/>
        <v>16806.722689075628</v>
      </c>
      <c r="G8" s="170" t="str">
        <f ca="1">IFERROR(_xludf.norm.s.inv(1-F8/1000000)*(-1)+1.5,"")</f>
        <v/>
      </c>
      <c r="H8" s="160" t="s">
        <v>701</v>
      </c>
      <c r="I8" s="171" t="str">
        <f t="shared" ca="1" si="2"/>
        <v/>
      </c>
      <c r="J8" s="150"/>
      <c r="K8" s="76">
        <f>COUNTIF(FMEA_DATA!$M$4:$M$18,"OPEN")</f>
        <v>12</v>
      </c>
      <c r="L8" s="120">
        <f>COUNTIF(PDCA_DATA!$F$6:$F$38,"COMPLETE")</f>
        <v>0</v>
      </c>
    </row>
    <row r="9" spans="1:12" ht="21.75" customHeight="1" x14ac:dyDescent="0.35">
      <c r="A9" s="161" t="s">
        <v>705</v>
      </c>
      <c r="B9" s="151">
        <v>620</v>
      </c>
      <c r="C9" s="151">
        <v>45</v>
      </c>
      <c r="D9" s="151">
        <v>5</v>
      </c>
      <c r="E9" s="164">
        <f>IFERROR(C9/B9,"")</f>
        <v>7.2580645161290328E-2</v>
      </c>
      <c r="F9" s="165">
        <f t="shared" si="1"/>
        <v>14516.129032258064</v>
      </c>
      <c r="G9" s="166" t="str">
        <f ca="1">IFERROR(_xludf.norm.s.inv(1-F9/1000000)*(-1)+1.5,"")</f>
        <v/>
      </c>
      <c r="H9" s="160" t="s">
        <v>701</v>
      </c>
      <c r="I9" s="167" t="str">
        <f t="shared" ca="1" si="2"/>
        <v/>
      </c>
      <c r="J9" s="156"/>
      <c r="K9" s="76">
        <f>COUNTIF(FMEA_DATA!$M$4:$M$18,"OPEN")</f>
        <v>12</v>
      </c>
      <c r="L9" s="120">
        <f>COUNTIF(PDCA_DATA!$F$6:$F$38,"COMPLETE")</f>
        <v>0</v>
      </c>
    </row>
    <row r="10" spans="1:12" ht="21.75" customHeight="1" x14ac:dyDescent="0.35">
      <c r="A10" s="158" t="s">
        <v>706</v>
      </c>
      <c r="B10" s="151">
        <v>605</v>
      </c>
      <c r="C10" s="151">
        <v>38</v>
      </c>
      <c r="D10" s="151">
        <v>5</v>
      </c>
      <c r="E10" s="168">
        <f t="shared" si="0"/>
        <v>6.2809917355371905E-2</v>
      </c>
      <c r="F10" s="169">
        <f t="shared" si="1"/>
        <v>12561.98347107438</v>
      </c>
      <c r="G10" s="170" t="str">
        <f ca="1">IFERROR(_xludf.norm.s.inv(1-F10/1000000)*(-1)+1.5,"")</f>
        <v/>
      </c>
      <c r="H10" s="160" t="s">
        <v>701</v>
      </c>
      <c r="I10" s="171" t="str">
        <f t="shared" ca="1" si="2"/>
        <v/>
      </c>
      <c r="J10" s="150"/>
      <c r="K10" s="76">
        <f>COUNTIF(FMEA_DATA!$M$4:$M$18,"OPEN")</f>
        <v>12</v>
      </c>
      <c r="L10" s="120">
        <f>COUNTIF(PDCA_DATA!$F$6:$F$38,"COMPLETE")</f>
        <v>0</v>
      </c>
    </row>
    <row r="11" spans="1:12" ht="21.75" customHeight="1" x14ac:dyDescent="0.35">
      <c r="A11" s="161" t="s">
        <v>707</v>
      </c>
      <c r="B11" s="151">
        <v>615</v>
      </c>
      <c r="C11" s="151"/>
      <c r="D11" s="151">
        <v>5</v>
      </c>
      <c r="E11" s="164">
        <f t="shared" si="0"/>
        <v>0</v>
      </c>
      <c r="F11" s="165">
        <f t="shared" si="1"/>
        <v>0</v>
      </c>
      <c r="G11" s="166" t="str">
        <f ca="1">IFERROR(_xludf.norm.s.inv(1-F11/1000000)*(-1)+1.5,"")</f>
        <v/>
      </c>
      <c r="H11" s="160" t="s">
        <v>701</v>
      </c>
      <c r="I11" s="167" t="str">
        <f t="shared" ca="1" si="2"/>
        <v/>
      </c>
      <c r="J11" s="156"/>
      <c r="K11" s="76">
        <f>COUNTIF(FMEA_DATA!$M$4:$M$18,"OPEN")</f>
        <v>12</v>
      </c>
      <c r="L11" s="120">
        <f>COUNTIF(PDCA_DATA!$F$6:$F$38,"COMPLETE")</f>
        <v>0</v>
      </c>
    </row>
    <row r="12" spans="1:12" ht="21.75" customHeight="1" x14ac:dyDescent="0.35">
      <c r="A12" s="158" t="s">
        <v>708</v>
      </c>
      <c r="B12" s="151"/>
      <c r="C12" s="151"/>
      <c r="D12" s="151">
        <v>5</v>
      </c>
      <c r="E12" s="168" t="str">
        <f t="shared" si="0"/>
        <v/>
      </c>
      <c r="F12" s="169" t="str">
        <f t="shared" si="1"/>
        <v/>
      </c>
      <c r="G12" s="170" t="str">
        <f ca="1">IFERROR(_xludf.norm.s.inv(1-F12/1000000)*(-1)+1.5,"")</f>
        <v/>
      </c>
      <c r="H12" s="160" t="s">
        <v>701</v>
      </c>
      <c r="I12" s="171" t="str">
        <f t="shared" ca="1" si="2"/>
        <v/>
      </c>
      <c r="J12" s="150"/>
      <c r="K12" s="76">
        <f>COUNTIF(FMEA_DATA!$M$4:$M$18,"OPEN")</f>
        <v>12</v>
      </c>
      <c r="L12" s="120">
        <f>COUNTIF(PDCA_DATA!$F$6:$F$38,"COMPLETE")</f>
        <v>0</v>
      </c>
    </row>
    <row r="13" spans="1:12" ht="19.5" customHeight="1" x14ac:dyDescent="0.35">
      <c r="A13" s="350" t="s">
        <v>709</v>
      </c>
      <c r="B13" s="350"/>
      <c r="C13" s="350"/>
      <c r="D13" s="350"/>
      <c r="E13" s="350"/>
      <c r="F13" s="350"/>
      <c r="G13" s="350"/>
      <c r="H13" s="350"/>
      <c r="I13" s="350"/>
      <c r="J13" s="350"/>
    </row>
    <row r="14" spans="1:12" ht="27.75" customHeight="1" x14ac:dyDescent="0.35">
      <c r="A14" s="38" t="s">
        <v>710</v>
      </c>
      <c r="B14" s="38" t="s">
        <v>711</v>
      </c>
      <c r="C14" s="38" t="s">
        <v>712</v>
      </c>
      <c r="D14" s="38" t="s">
        <v>713</v>
      </c>
      <c r="E14" s="38" t="s">
        <v>714</v>
      </c>
      <c r="F14" s="38" t="s">
        <v>715</v>
      </c>
      <c r="G14" s="38" t="s">
        <v>716</v>
      </c>
      <c r="H14" s="38" t="s">
        <v>717</v>
      </c>
    </row>
    <row r="15" spans="1:12" ht="16.5" customHeight="1" x14ac:dyDescent="0.35">
      <c r="A15" s="172">
        <f>IFERROR(AVERAGE(E5:E12),0)</f>
        <v>7.8082158384628078E-2</v>
      </c>
      <c r="B15" s="157">
        <f>IFERROR(LOOKUP(2,1/(F5:F12&lt;&gt;""),F5:F12),"")</f>
        <v>0</v>
      </c>
      <c r="C15" s="173" t="str">
        <f ca="1">IFERROR(LOOKUP(2,1/(G5:G12&lt;&gt;""),G5:G12),"")</f>
        <v/>
      </c>
      <c r="D15" s="173">
        <f>IFERROR(VALUE(LOOKUP(2,1/(H5:H12&lt;&gt;""),H5:H12)),4.5)</f>
        <v>4.5</v>
      </c>
      <c r="E15" s="173" t="str">
        <f ca="1">IFERROR(D15-C15,"")</f>
        <v/>
      </c>
      <c r="F15" s="157">
        <f>COUNTA(A5:A12)</f>
        <v>8</v>
      </c>
      <c r="G15" s="172">
        <f>IFERROR((E5-LOOKUP(2,1/(E5:E12&lt;&gt;""),E5:E12))/E5,0)</f>
        <v>1</v>
      </c>
      <c r="H15" s="157" t="str">
        <f ca="1">IF(C15="","No data",IF(C15&gt;=D15,"ON TARGET ✓","BELOW TARGET"))</f>
        <v>No data</v>
      </c>
    </row>
    <row r="18" spans="1:10" ht="19.5" customHeight="1" x14ac:dyDescent="0.35">
      <c r="A18" s="350" t="s">
        <v>718</v>
      </c>
      <c r="B18" s="350"/>
      <c r="C18" s="350"/>
      <c r="D18" s="350"/>
      <c r="E18" s="350"/>
      <c r="F18" s="350"/>
      <c r="G18" s="350"/>
      <c r="H18" s="350"/>
      <c r="I18" s="350"/>
      <c r="J18" s="350"/>
    </row>
    <row r="19" spans="1:10" ht="36" customHeight="1" x14ac:dyDescent="0.35">
      <c r="A19" s="148" t="s">
        <v>719</v>
      </c>
      <c r="B19" s="148" t="s">
        <v>720</v>
      </c>
      <c r="C19" s="148" t="s">
        <v>77</v>
      </c>
      <c r="D19" s="148" t="s">
        <v>480</v>
      </c>
      <c r="E19" s="148" t="s">
        <v>268</v>
      </c>
      <c r="F19" s="148" t="s">
        <v>721</v>
      </c>
      <c r="G19" s="148" t="s">
        <v>722</v>
      </c>
      <c r="H19" s="148" t="s">
        <v>698</v>
      </c>
    </row>
    <row r="20" spans="1:10" ht="24" customHeight="1" x14ac:dyDescent="0.35">
      <c r="A20" s="174" t="s">
        <v>723</v>
      </c>
      <c r="B20" s="175" t="s">
        <v>724</v>
      </c>
      <c r="C20" s="154" t="s">
        <v>90</v>
      </c>
      <c r="D20" s="176" t="s">
        <v>725</v>
      </c>
      <c r="E20" s="155" t="s">
        <v>726</v>
      </c>
      <c r="F20" s="177">
        <v>1</v>
      </c>
      <c r="G20" s="154" t="s">
        <v>356</v>
      </c>
      <c r="H20" s="175" t="s">
        <v>727</v>
      </c>
    </row>
    <row r="21" spans="1:10" ht="24" customHeight="1" x14ac:dyDescent="0.35">
      <c r="A21" s="174" t="s">
        <v>723</v>
      </c>
      <c r="B21" s="175" t="s">
        <v>728</v>
      </c>
      <c r="C21" s="154" t="s">
        <v>252</v>
      </c>
      <c r="D21" s="176" t="s">
        <v>725</v>
      </c>
      <c r="E21" s="155" t="s">
        <v>726</v>
      </c>
      <c r="F21" s="177">
        <v>1</v>
      </c>
      <c r="G21" s="154" t="s">
        <v>356</v>
      </c>
      <c r="H21" s="175" t="s">
        <v>729</v>
      </c>
    </row>
    <row r="22" spans="1:10" ht="24" customHeight="1" x14ac:dyDescent="0.35">
      <c r="A22" s="174" t="s">
        <v>730</v>
      </c>
      <c r="B22" s="178" t="s">
        <v>731</v>
      </c>
      <c r="C22" s="154" t="s">
        <v>106</v>
      </c>
      <c r="D22" s="179" t="s">
        <v>732</v>
      </c>
      <c r="E22" s="155" t="s">
        <v>726</v>
      </c>
      <c r="F22" s="177">
        <v>1</v>
      </c>
      <c r="G22" s="154" t="s">
        <v>356</v>
      </c>
      <c r="H22" s="178" t="s">
        <v>733</v>
      </c>
    </row>
    <row r="23" spans="1:10" ht="24" customHeight="1" x14ac:dyDescent="0.35">
      <c r="A23" s="174" t="s">
        <v>730</v>
      </c>
      <c r="B23" s="178" t="s">
        <v>734</v>
      </c>
      <c r="C23" s="154" t="s">
        <v>106</v>
      </c>
      <c r="D23" s="179" t="s">
        <v>732</v>
      </c>
      <c r="E23" s="155" t="s">
        <v>726</v>
      </c>
      <c r="F23" s="177">
        <v>1</v>
      </c>
      <c r="G23" s="154" t="s">
        <v>356</v>
      </c>
      <c r="H23" s="178" t="s">
        <v>735</v>
      </c>
    </row>
    <row r="24" spans="1:10" ht="24" customHeight="1" x14ac:dyDescent="0.35">
      <c r="A24" s="174" t="s">
        <v>730</v>
      </c>
      <c r="B24" s="178" t="s">
        <v>736</v>
      </c>
      <c r="C24" s="154" t="s">
        <v>106</v>
      </c>
      <c r="D24" s="179" t="s">
        <v>732</v>
      </c>
      <c r="E24" s="155" t="s">
        <v>213</v>
      </c>
      <c r="F24" s="177">
        <v>0.8</v>
      </c>
      <c r="G24" s="154" t="s">
        <v>364</v>
      </c>
      <c r="H24" s="178" t="s">
        <v>737</v>
      </c>
    </row>
    <row r="25" spans="1:10" ht="24" customHeight="1" x14ac:dyDescent="0.35">
      <c r="A25" s="174" t="s">
        <v>738</v>
      </c>
      <c r="B25" s="180" t="s">
        <v>739</v>
      </c>
      <c r="C25" s="154" t="s">
        <v>102</v>
      </c>
      <c r="D25" s="181" t="s">
        <v>740</v>
      </c>
      <c r="E25" s="155" t="s">
        <v>213</v>
      </c>
      <c r="F25" s="177">
        <v>0.7</v>
      </c>
      <c r="G25" s="154" t="s">
        <v>364</v>
      </c>
      <c r="H25" s="180" t="s">
        <v>741</v>
      </c>
    </row>
    <row r="26" spans="1:10" ht="24" customHeight="1" x14ac:dyDescent="0.35">
      <c r="A26" s="174" t="s">
        <v>738</v>
      </c>
      <c r="B26" s="180" t="s">
        <v>742</v>
      </c>
      <c r="C26" s="154" t="s">
        <v>106</v>
      </c>
      <c r="D26" s="181" t="s">
        <v>740</v>
      </c>
      <c r="E26" s="155" t="s">
        <v>213</v>
      </c>
      <c r="F26" s="177">
        <v>0.5</v>
      </c>
      <c r="G26" s="154" t="s">
        <v>364</v>
      </c>
      <c r="H26" s="180" t="s">
        <v>743</v>
      </c>
    </row>
    <row r="27" spans="1:10" ht="24" customHeight="1" x14ac:dyDescent="0.35">
      <c r="A27" s="174" t="s">
        <v>738</v>
      </c>
      <c r="B27" s="180" t="s">
        <v>744</v>
      </c>
      <c r="C27" s="154" t="s">
        <v>90</v>
      </c>
      <c r="D27" s="181" t="s">
        <v>740</v>
      </c>
      <c r="E27" s="155" t="s">
        <v>485</v>
      </c>
      <c r="F27" s="177">
        <v>0</v>
      </c>
      <c r="G27" s="154" t="s">
        <v>364</v>
      </c>
      <c r="H27" s="180" t="s">
        <v>745</v>
      </c>
    </row>
    <row r="28" spans="1:10" ht="24" customHeight="1" x14ac:dyDescent="0.35">
      <c r="A28" s="174" t="s">
        <v>746</v>
      </c>
      <c r="B28" s="182" t="s">
        <v>747</v>
      </c>
      <c r="C28" s="154" t="s">
        <v>120</v>
      </c>
      <c r="D28" s="183" t="s">
        <v>748</v>
      </c>
      <c r="E28" s="155" t="s">
        <v>485</v>
      </c>
      <c r="F28" s="177">
        <v>0</v>
      </c>
      <c r="G28" s="154" t="s">
        <v>364</v>
      </c>
      <c r="H28" s="182"/>
    </row>
    <row r="29" spans="1:10" ht="24" customHeight="1" x14ac:dyDescent="0.35">
      <c r="A29" s="174" t="s">
        <v>746</v>
      </c>
      <c r="B29" s="182" t="s">
        <v>749</v>
      </c>
      <c r="C29" s="154" t="s">
        <v>102</v>
      </c>
      <c r="D29" s="183" t="s">
        <v>750</v>
      </c>
      <c r="E29" s="155" t="s">
        <v>485</v>
      </c>
      <c r="F29" s="177">
        <v>0</v>
      </c>
      <c r="G29" s="154" t="s">
        <v>364</v>
      </c>
      <c r="H29" s="182"/>
    </row>
    <row r="30" spans="1:10" ht="24" customHeight="1" x14ac:dyDescent="0.35">
      <c r="A30" s="174" t="s">
        <v>751</v>
      </c>
      <c r="B30" s="184" t="s">
        <v>752</v>
      </c>
      <c r="C30" s="154" t="s">
        <v>106</v>
      </c>
      <c r="D30" s="185" t="s">
        <v>753</v>
      </c>
      <c r="E30" s="155" t="s">
        <v>485</v>
      </c>
      <c r="F30" s="177">
        <v>0</v>
      </c>
      <c r="G30" s="154" t="s">
        <v>364</v>
      </c>
      <c r="H30" s="184"/>
    </row>
    <row r="31" spans="1:10" ht="24" customHeight="1" x14ac:dyDescent="0.35">
      <c r="A31" s="174" t="s">
        <v>751</v>
      </c>
      <c r="B31" s="184" t="s">
        <v>754</v>
      </c>
      <c r="C31" s="154" t="s">
        <v>90</v>
      </c>
      <c r="D31" s="185" t="s">
        <v>755</v>
      </c>
      <c r="E31" s="155" t="s">
        <v>485</v>
      </c>
      <c r="F31" s="177">
        <v>0</v>
      </c>
      <c r="G31" s="154" t="s">
        <v>364</v>
      </c>
      <c r="H31" s="184"/>
    </row>
    <row r="32" spans="1:10" ht="19.5" customHeight="1" x14ac:dyDescent="0.35">
      <c r="A32" s="353" t="s">
        <v>756</v>
      </c>
      <c r="B32" s="353"/>
      <c r="C32" s="353"/>
      <c r="D32" s="353"/>
      <c r="E32" s="353"/>
      <c r="F32" s="353"/>
      <c r="G32" s="353"/>
      <c r="H32" s="353"/>
      <c r="I32" s="353"/>
      <c r="J32" s="353"/>
    </row>
    <row r="33" spans="1:5" ht="30" customHeight="1" x14ac:dyDescent="0.35">
      <c r="A33" s="38" t="s">
        <v>757</v>
      </c>
      <c r="B33" s="38" t="s">
        <v>758</v>
      </c>
      <c r="C33" s="38" t="s">
        <v>759</v>
      </c>
      <c r="D33" s="38" t="s">
        <v>760</v>
      </c>
      <c r="E33" s="38" t="s">
        <v>761</v>
      </c>
    </row>
    <row r="34" spans="1:5" ht="39.75" customHeight="1" x14ac:dyDescent="0.35">
      <c r="A34" s="186">
        <f>IFERROR(AVERAGEIF(A20:A31,"DEFINE",F20:F31),0)</f>
        <v>1</v>
      </c>
      <c r="B34" s="186">
        <f>IFERROR(AVERAGEIF(A20:A31,"MEASURE",F20:F31),0)</f>
        <v>0.93333333333333324</v>
      </c>
      <c r="C34" s="186">
        <f>IFERROR(AVERAGEIF(A20:A31,"ANALYZE",F20:F31),0)</f>
        <v>0.39999999999999997</v>
      </c>
      <c r="D34" s="186">
        <f>IFERROR(AVERAGEIF(A20:A31,"IMPROVE",F20:F31),0)</f>
        <v>0</v>
      </c>
      <c r="E34" s="186">
        <f>IFERROR(AVERAGEIF(A20:A31,"CONTROL",F20:F31),0)</f>
        <v>0</v>
      </c>
    </row>
  </sheetData>
  <mergeCells count="6">
    <mergeCell ref="A32:J32"/>
    <mergeCell ref="A1:J1"/>
    <mergeCell ref="A2:J2"/>
    <mergeCell ref="A3:J3"/>
    <mergeCell ref="A13:J13"/>
    <mergeCell ref="A18:J18"/>
  </mergeCells>
  <dataValidations count="3">
    <dataValidation type="list" allowBlank="1" showErrorMessage="1" errorTitle="Invalid Entry" error="Select from list only." sqref="A20:A31" xr:uid="{00000000-0002-0000-0D00-000000000000}">
      <formula1>"DEFINE,MEASURE,ANALYZE,IMPROVE,CONTROL"</formula1>
      <formula2>0</formula2>
    </dataValidation>
    <dataValidation type="list" allowBlank="1" showErrorMessage="1" errorTitle="Invalid Entry" error="Select from list only." sqref="E20:E31" xr:uid="{00000000-0002-0000-0D00-000001000000}">
      <formula1>"NOT STARTED,IN PROGRESS,COMPLETE,BLOCKED,ON HOLD"</formula1>
      <formula2>0</formula2>
    </dataValidation>
    <dataValidation type="list" allowBlank="1" showErrorMessage="1" errorTitle="Invalid Entry" error="Select from list only." sqref="G20:G31" xr:uid="{00000000-0002-0000-0D00-000002000000}">
      <formula1>"YES,NO"</formula1>
      <formula2>0</formula2>
    </dataValidation>
  </dataValidations>
  <pageMargins left="0.75" right="0.75" top="1" bottom="1" header="0.511811023622047" footer="0.511811023622047"/>
  <pageSetup paperSize="9" orientation="portrait" horizontalDpi="300" verticalDpi="300"/>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Ark24">
    <tabColor rgb="FF375623"/>
  </sheetPr>
  <dimension ref="A1:I21"/>
  <sheetViews>
    <sheetView showGridLines="0" tabSelected="1" zoomScaleNormal="100" workbookViewId="0">
      <pane ySplit="3" topLeftCell="A4" activePane="bottomLeft" state="frozen"/>
      <selection pane="bottomLeft" activeCell="C11" sqref="C11"/>
    </sheetView>
  </sheetViews>
  <sheetFormatPr defaultColWidth="8.6328125" defaultRowHeight="14.5" x14ac:dyDescent="0.35"/>
  <cols>
    <col min="1" max="7" width="12" customWidth="1"/>
    <col min="8" max="8" width="18" customWidth="1"/>
    <col min="9" max="9" width="22" customWidth="1"/>
  </cols>
  <sheetData>
    <row r="1" spans="1:9" ht="30" customHeight="1" x14ac:dyDescent="0.35">
      <c r="A1" s="348" t="s">
        <v>762</v>
      </c>
      <c r="B1" s="348"/>
      <c r="C1" s="348"/>
      <c r="D1" s="348"/>
      <c r="E1" s="348"/>
      <c r="F1" s="348"/>
      <c r="G1" s="348"/>
      <c r="H1" s="348"/>
      <c r="I1" s="348"/>
    </row>
    <row r="2" spans="1:9" ht="18" customHeight="1" x14ac:dyDescent="0.35">
      <c r="A2" s="349" t="s">
        <v>763</v>
      </c>
      <c r="B2" s="349"/>
      <c r="C2" s="349"/>
      <c r="D2" s="349"/>
      <c r="E2" s="349"/>
      <c r="F2" s="349"/>
      <c r="G2" s="349"/>
      <c r="H2" s="349"/>
      <c r="I2" s="349"/>
    </row>
    <row r="3" spans="1:9" ht="19.5" customHeight="1" x14ac:dyDescent="0.35">
      <c r="A3" s="350" t="s">
        <v>764</v>
      </c>
      <c r="B3" s="350"/>
      <c r="C3" s="350"/>
      <c r="D3" s="350"/>
      <c r="E3" s="350"/>
      <c r="F3" s="350"/>
      <c r="G3" s="350"/>
      <c r="H3" s="350"/>
      <c r="I3" s="350"/>
    </row>
    <row r="4" spans="1:9" ht="36" customHeight="1" x14ac:dyDescent="0.35">
      <c r="A4" s="148" t="s">
        <v>765</v>
      </c>
      <c r="B4" s="148" t="s">
        <v>264</v>
      </c>
      <c r="C4" s="148" t="s">
        <v>265</v>
      </c>
      <c r="D4" s="148" t="s">
        <v>766</v>
      </c>
      <c r="E4" s="148" t="s">
        <v>697</v>
      </c>
      <c r="F4" s="148" t="s">
        <v>767</v>
      </c>
      <c r="G4" s="148" t="s">
        <v>129</v>
      </c>
      <c r="H4" s="148" t="s">
        <v>268</v>
      </c>
      <c r="I4" s="148" t="s">
        <v>768</v>
      </c>
    </row>
    <row r="5" spans="1:9" ht="21.75" customHeight="1" x14ac:dyDescent="0.35">
      <c r="A5" s="162" t="str">
        <f>SS_DATA!A5</f>
        <v>Week 1</v>
      </c>
      <c r="B5" s="187">
        <f>SS_DATA!B5</f>
        <v>600</v>
      </c>
      <c r="C5" s="187">
        <f>SS_DATA!C5</f>
        <v>72</v>
      </c>
      <c r="D5" s="188">
        <f>SS_DATA!E5</f>
        <v>0.12</v>
      </c>
      <c r="E5" s="189">
        <f>SS_DATA!F5</f>
        <v>24000</v>
      </c>
      <c r="F5" s="166" t="str">
        <f ca="1">SS_DATA!G5</f>
        <v/>
      </c>
      <c r="G5" s="190" t="str">
        <f>SS_DATA!H5</f>
        <v>4.5</v>
      </c>
      <c r="H5" s="167" t="str">
        <f ca="1">SS_DATA!I5</f>
        <v/>
      </c>
      <c r="I5" s="187" t="str">
        <f ca="1">IF(F5="","","-")</f>
        <v/>
      </c>
    </row>
    <row r="6" spans="1:9" ht="21.75" customHeight="1" x14ac:dyDescent="0.35">
      <c r="A6" s="159" t="str">
        <f>SS_DATA!A6</f>
        <v>Week 2</v>
      </c>
      <c r="B6" s="191">
        <f>SS_DATA!B6</f>
        <v>580</v>
      </c>
      <c r="C6" s="191">
        <f>SS_DATA!C6</f>
        <v>65</v>
      </c>
      <c r="D6" s="192">
        <f>SS_DATA!E6</f>
        <v>0.11206896551724138</v>
      </c>
      <c r="E6" s="193">
        <f>SS_DATA!F6</f>
        <v>22413.793103448275</v>
      </c>
      <c r="F6" s="170" t="str">
        <f ca="1">SS_DATA!G6</f>
        <v/>
      </c>
      <c r="G6" s="190" t="str">
        <f>SS_DATA!H6</f>
        <v>4.5</v>
      </c>
      <c r="H6" s="171" t="str">
        <f ca="1">SS_DATA!I6</f>
        <v/>
      </c>
      <c r="I6" s="191" t="str">
        <f t="shared" ref="I6:I12" ca="1" si="0">IF(OR(F6="",F5=""),"",IF(F6&gt;F5,"▲ Improving",IF(F6&lt;F5,"▼ Declining","= Stable")))</f>
        <v/>
      </c>
    </row>
    <row r="7" spans="1:9" ht="21.75" customHeight="1" x14ac:dyDescent="0.35">
      <c r="A7" s="162" t="str">
        <f>SS_DATA!A7</f>
        <v>Week 3</v>
      </c>
      <c r="B7" s="187">
        <f>SS_DATA!B7</f>
        <v>610</v>
      </c>
      <c r="C7" s="187">
        <f>SS_DATA!C7</f>
        <v>58</v>
      </c>
      <c r="D7" s="188">
        <f>SS_DATA!E7</f>
        <v>9.5081967213114751E-2</v>
      </c>
      <c r="E7" s="189">
        <f>SS_DATA!F7</f>
        <v>19016.393442622953</v>
      </c>
      <c r="F7" s="166" t="str">
        <f ca="1">SS_DATA!G7</f>
        <v/>
      </c>
      <c r="G7" s="190" t="str">
        <f>SS_DATA!H7</f>
        <v>4.5</v>
      </c>
      <c r="H7" s="167" t="str">
        <f ca="1">SS_DATA!I7</f>
        <v/>
      </c>
      <c r="I7" s="187" t="str">
        <f t="shared" ca="1" si="0"/>
        <v/>
      </c>
    </row>
    <row r="8" spans="1:9" ht="21.75" customHeight="1" x14ac:dyDescent="0.35">
      <c r="A8" s="159" t="str">
        <f>SS_DATA!A8</f>
        <v>Week 4</v>
      </c>
      <c r="B8" s="191">
        <f>SS_DATA!B8</f>
        <v>595</v>
      </c>
      <c r="C8" s="191">
        <f>SS_DATA!C8</f>
        <v>50</v>
      </c>
      <c r="D8" s="192">
        <f>SS_DATA!E8</f>
        <v>8.4033613445378158E-2</v>
      </c>
      <c r="E8" s="193">
        <f>SS_DATA!F8</f>
        <v>16806.722689075628</v>
      </c>
      <c r="F8" s="170" t="str">
        <f ca="1">SS_DATA!G8</f>
        <v/>
      </c>
      <c r="G8" s="190" t="str">
        <f>SS_DATA!H8</f>
        <v>4.5</v>
      </c>
      <c r="H8" s="171" t="str">
        <f ca="1">SS_DATA!I8</f>
        <v/>
      </c>
      <c r="I8" s="191" t="str">
        <f t="shared" ca="1" si="0"/>
        <v/>
      </c>
    </row>
    <row r="9" spans="1:9" ht="21.75" customHeight="1" x14ac:dyDescent="0.35">
      <c r="A9" s="162" t="str">
        <f>SS_DATA!A9</f>
        <v>Week 5</v>
      </c>
      <c r="B9" s="187">
        <f>SS_DATA!B9</f>
        <v>620</v>
      </c>
      <c r="C9" s="187">
        <f>SS_DATA!C9</f>
        <v>45</v>
      </c>
      <c r="D9" s="188">
        <f>SS_DATA!E9</f>
        <v>7.2580645161290328E-2</v>
      </c>
      <c r="E9" s="189">
        <f>SS_DATA!F9</f>
        <v>14516.129032258064</v>
      </c>
      <c r="F9" s="166" t="str">
        <f ca="1">SS_DATA!G9</f>
        <v/>
      </c>
      <c r="G9" s="190" t="str">
        <f>SS_DATA!H9</f>
        <v>4.5</v>
      </c>
      <c r="H9" s="167" t="str">
        <f ca="1">SS_DATA!I9</f>
        <v/>
      </c>
      <c r="I9" s="187" t="str">
        <f t="shared" ca="1" si="0"/>
        <v/>
      </c>
    </row>
    <row r="10" spans="1:9" ht="21.75" customHeight="1" x14ac:dyDescent="0.35">
      <c r="A10" s="159" t="str">
        <f>SS_DATA!A10</f>
        <v>Week 6</v>
      </c>
      <c r="B10" s="191">
        <f>SS_DATA!B10</f>
        <v>605</v>
      </c>
      <c r="C10" s="191">
        <f>SS_DATA!C10</f>
        <v>38</v>
      </c>
      <c r="D10" s="192">
        <f>SS_DATA!E10</f>
        <v>6.2809917355371905E-2</v>
      </c>
      <c r="E10" s="193">
        <f>SS_DATA!F10</f>
        <v>12561.98347107438</v>
      </c>
      <c r="F10" s="170" t="str">
        <f ca="1">SS_DATA!G10</f>
        <v/>
      </c>
      <c r="G10" s="190" t="str">
        <f>SS_DATA!H10</f>
        <v>4.5</v>
      </c>
      <c r="H10" s="171" t="str">
        <f ca="1">SS_DATA!I10</f>
        <v/>
      </c>
      <c r="I10" s="191" t="str">
        <f t="shared" ca="1" si="0"/>
        <v/>
      </c>
    </row>
    <row r="11" spans="1:9" ht="21.75" customHeight="1" x14ac:dyDescent="0.35">
      <c r="A11" s="162" t="str">
        <f>SS_DATA!A11</f>
        <v>Week 7</v>
      </c>
      <c r="B11" s="187">
        <f>SS_DATA!B11</f>
        <v>615</v>
      </c>
      <c r="C11" s="187">
        <f>SS_DATA!C11</f>
        <v>0</v>
      </c>
      <c r="D11" s="188">
        <f>SS_DATA!E11</f>
        <v>0</v>
      </c>
      <c r="E11" s="189">
        <f>SS_DATA!F11</f>
        <v>0</v>
      </c>
      <c r="F11" s="166" t="str">
        <f ca="1">SS_DATA!G11</f>
        <v/>
      </c>
      <c r="G11" s="190" t="str">
        <f>SS_DATA!H11</f>
        <v>4.5</v>
      </c>
      <c r="H11" s="167" t="str">
        <f ca="1">SS_DATA!I11</f>
        <v/>
      </c>
      <c r="I11" s="187" t="str">
        <f t="shared" ca="1" si="0"/>
        <v/>
      </c>
    </row>
    <row r="12" spans="1:9" ht="21.75" customHeight="1" x14ac:dyDescent="0.35">
      <c r="A12" s="159" t="str">
        <f>SS_DATA!A12</f>
        <v>Week 8</v>
      </c>
      <c r="B12" s="191">
        <f>SS_DATA!B12</f>
        <v>0</v>
      </c>
      <c r="C12" s="191">
        <f>SS_DATA!C12</f>
        <v>0</v>
      </c>
      <c r="D12" s="192" t="str">
        <f>SS_DATA!E12</f>
        <v/>
      </c>
      <c r="E12" s="193" t="str">
        <f>SS_DATA!F12</f>
        <v/>
      </c>
      <c r="F12" s="170" t="str">
        <f ca="1">SS_DATA!G12</f>
        <v/>
      </c>
      <c r="G12" s="190" t="str">
        <f>SS_DATA!H12</f>
        <v>4.5</v>
      </c>
      <c r="H12" s="171" t="str">
        <f ca="1">SS_DATA!I12</f>
        <v/>
      </c>
      <c r="I12" s="191" t="str">
        <f t="shared" ca="1" si="0"/>
        <v/>
      </c>
    </row>
    <row r="14" spans="1:9" ht="19.5" customHeight="1" x14ac:dyDescent="0.35">
      <c r="A14" s="297" t="s">
        <v>769</v>
      </c>
      <c r="B14" s="297"/>
      <c r="C14" s="297"/>
      <c r="D14" s="297"/>
      <c r="E14" s="297"/>
      <c r="F14" s="297"/>
      <c r="G14" s="297"/>
      <c r="H14" s="297"/>
      <c r="I14" s="297"/>
    </row>
    <row r="15" spans="1:9" ht="30" customHeight="1" x14ac:dyDescent="0.35">
      <c r="A15" s="38" t="s">
        <v>712</v>
      </c>
      <c r="B15" s="38" t="s">
        <v>713</v>
      </c>
      <c r="C15" s="38" t="s">
        <v>714</v>
      </c>
      <c r="D15" s="38" t="s">
        <v>711</v>
      </c>
      <c r="E15" s="38" t="s">
        <v>770</v>
      </c>
      <c r="F15" s="38" t="s">
        <v>716</v>
      </c>
      <c r="G15" s="38" t="s">
        <v>771</v>
      </c>
      <c r="H15" s="38" t="s">
        <v>717</v>
      </c>
    </row>
    <row r="16" spans="1:9" ht="39.75" customHeight="1" x14ac:dyDescent="0.35">
      <c r="A16" s="173" t="str">
        <f ca="1">SS_DATA!C15</f>
        <v/>
      </c>
      <c r="B16" s="173">
        <f>SS_DATA!D15</f>
        <v>4.5</v>
      </c>
      <c r="C16" s="173" t="str">
        <f ca="1">SS_DATA!E15</f>
        <v/>
      </c>
      <c r="D16" s="194">
        <f>SS_DATA!B15</f>
        <v>0</v>
      </c>
      <c r="E16" s="172">
        <f>SS_DATA!A15</f>
        <v>7.8082158384628078E-2</v>
      </c>
      <c r="F16" s="172">
        <f>SS_DATA!G15</f>
        <v>1</v>
      </c>
      <c r="G16" s="195">
        <f>SS_DATA!F15</f>
        <v>8</v>
      </c>
      <c r="H16" s="157" t="str">
        <f ca="1">SS_DATA!H15</f>
        <v>No data</v>
      </c>
    </row>
    <row r="18" spans="1:9" ht="19.5" customHeight="1" x14ac:dyDescent="0.35">
      <c r="A18" s="350" t="s">
        <v>772</v>
      </c>
      <c r="B18" s="350"/>
      <c r="C18" s="350"/>
      <c r="D18" s="350"/>
      <c r="E18" s="350"/>
      <c r="F18" s="350"/>
      <c r="G18" s="350"/>
      <c r="H18" s="350"/>
      <c r="I18" s="350"/>
    </row>
    <row r="19" spans="1:9" ht="30" customHeight="1" x14ac:dyDescent="0.35">
      <c r="A19" s="38" t="s">
        <v>757</v>
      </c>
      <c r="B19" s="38" t="s">
        <v>758</v>
      </c>
      <c r="C19" s="38" t="s">
        <v>759</v>
      </c>
      <c r="D19" s="38" t="s">
        <v>760</v>
      </c>
      <c r="E19" s="38" t="s">
        <v>761</v>
      </c>
    </row>
    <row r="20" spans="1:9" ht="39.75" customHeight="1" x14ac:dyDescent="0.35">
      <c r="A20" s="163">
        <f>SS_DATA!A34</f>
        <v>1</v>
      </c>
      <c r="B20" s="163">
        <f>SS_DATA!B34</f>
        <v>0.93333333333333324</v>
      </c>
      <c r="C20" s="163">
        <f>SS_DATA!C34</f>
        <v>0.39999999999999997</v>
      </c>
      <c r="D20" s="163">
        <f>SS_DATA!D34</f>
        <v>0</v>
      </c>
      <c r="E20" s="163">
        <f>SS_DATA!E34</f>
        <v>0</v>
      </c>
    </row>
    <row r="21" spans="1:9" ht="25.5" customHeight="1" x14ac:dyDescent="0.35">
      <c r="A21" s="160" t="str">
        <f>IF(SS_DATA!A34=1,"COMPLETE ✓",IF(SS_DATA!A34&gt;0,"IN PROGRESS","NOT STARTED"))</f>
        <v>COMPLETE ✓</v>
      </c>
      <c r="B21" s="160" t="str">
        <f>IF(SS_DATA!B34=1,"COMPLETE ✓",IF(SS_DATA!B34&gt;0,"IN PROGRESS","NOT STARTED"))</f>
        <v>IN PROGRESS</v>
      </c>
      <c r="C21" s="160" t="str">
        <f>IF(SS_DATA!C34=1,"COMPLETE ✓",IF(SS_DATA!C34&gt;0,"IN PROGRESS","NOT STARTED"))</f>
        <v>IN PROGRESS</v>
      </c>
      <c r="D21" s="160" t="str">
        <f>IF(SS_DATA!D34=1,"COMPLETE ✓",IF(SS_DATA!D34&gt;0,"IN PROGRESS","NOT STARTED"))</f>
        <v>NOT STARTED</v>
      </c>
      <c r="E21" s="160" t="str">
        <f>IF(SS_DATA!E34=1,"COMPLETE ✓",IF(SS_DATA!E34&gt;0,"IN PROGRESS","NOT STARTED"))</f>
        <v>NOT STARTED</v>
      </c>
    </row>
  </sheetData>
  <mergeCells count="5">
    <mergeCell ref="A1:I1"/>
    <mergeCell ref="A2:I2"/>
    <mergeCell ref="A3:I3"/>
    <mergeCell ref="A14:I14"/>
    <mergeCell ref="A18:I18"/>
  </mergeCells>
  <pageMargins left="0.75" right="0.75" top="1" bottom="1" header="0.511811023622047" footer="0.511811023622047"/>
  <pageSetup paperSize="9" orientation="portrait" horizontalDpi="300" verticalDpi="300"/>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Ark25">
    <tabColor rgb="FFC55A11"/>
  </sheetPr>
  <dimension ref="A1:P30"/>
  <sheetViews>
    <sheetView showGridLines="0" zoomScaleNormal="100" workbookViewId="0">
      <pane ySplit="3" topLeftCell="A4" activePane="bottomLeft" state="frozen"/>
      <selection pane="bottomLeft" activeCell="H8" sqref="H8"/>
    </sheetView>
  </sheetViews>
  <sheetFormatPr defaultColWidth="8.6328125" defaultRowHeight="14.5" x14ac:dyDescent="0.35"/>
  <cols>
    <col min="1" max="1" width="12" customWidth="1"/>
    <col min="2" max="2" width="26" customWidth="1"/>
    <col min="3" max="3" width="14" customWidth="1"/>
    <col min="4" max="5" width="12" customWidth="1"/>
    <col min="6" max="6" width="11" customWidth="1"/>
    <col min="7" max="7" width="14" customWidth="1"/>
    <col min="8" max="8" width="26" customWidth="1"/>
    <col min="9" max="9" width="14" customWidth="1"/>
    <col min="10" max="10" width="22" customWidth="1"/>
    <col min="11" max="11" width="12" customWidth="1"/>
    <col min="12" max="12" width="18" customWidth="1"/>
    <col min="13" max="13" width="14" customWidth="1"/>
    <col min="14" max="16" width="12" customWidth="1"/>
  </cols>
  <sheetData>
    <row r="1" spans="1:16" ht="30" customHeight="1" x14ac:dyDescent="0.35">
      <c r="A1" s="348" t="s">
        <v>773</v>
      </c>
      <c r="B1" s="348"/>
      <c r="C1" s="348"/>
      <c r="D1" s="348"/>
      <c r="E1" s="348"/>
      <c r="F1" s="348"/>
      <c r="G1" s="348"/>
      <c r="H1" s="348"/>
      <c r="I1" s="348"/>
      <c r="J1" s="348"/>
      <c r="K1" s="348"/>
      <c r="L1" s="348"/>
      <c r="M1" s="348"/>
    </row>
    <row r="2" spans="1:16" ht="18" customHeight="1" x14ac:dyDescent="0.35">
      <c r="A2" s="349" t="s">
        <v>774</v>
      </c>
      <c r="B2" s="349"/>
      <c r="C2" s="349"/>
      <c r="D2" s="349"/>
      <c r="E2" s="349"/>
      <c r="F2" s="349"/>
      <c r="G2" s="349"/>
      <c r="H2" s="349"/>
      <c r="I2" s="349"/>
      <c r="J2" s="349"/>
      <c r="K2" s="349"/>
      <c r="L2" s="349"/>
      <c r="M2" s="349"/>
    </row>
    <row r="3" spans="1:16" ht="43.5" customHeight="1" x14ac:dyDescent="0.35">
      <c r="A3" s="148" t="s">
        <v>775</v>
      </c>
      <c r="B3" s="148" t="s">
        <v>776</v>
      </c>
      <c r="C3" s="148" t="s">
        <v>77</v>
      </c>
      <c r="D3" s="148" t="s">
        <v>777</v>
      </c>
      <c r="E3" s="148" t="s">
        <v>778</v>
      </c>
      <c r="F3" s="148" t="s">
        <v>779</v>
      </c>
      <c r="G3" s="148" t="s">
        <v>268</v>
      </c>
      <c r="H3" s="148" t="s">
        <v>780</v>
      </c>
      <c r="I3" s="148" t="s">
        <v>781</v>
      </c>
      <c r="J3" s="148" t="s">
        <v>782</v>
      </c>
      <c r="K3" s="148" t="s">
        <v>783</v>
      </c>
      <c r="L3" s="148" t="s">
        <v>784</v>
      </c>
      <c r="M3" s="148" t="s">
        <v>698</v>
      </c>
      <c r="N3" s="67" t="s">
        <v>785</v>
      </c>
      <c r="O3" s="67" t="s">
        <v>786</v>
      </c>
      <c r="P3" s="67" t="s">
        <v>787</v>
      </c>
    </row>
    <row r="4" spans="1:16" ht="25.5" customHeight="1" x14ac:dyDescent="0.35">
      <c r="A4" s="174" t="s">
        <v>234</v>
      </c>
      <c r="B4" s="175" t="s">
        <v>788</v>
      </c>
      <c r="C4" s="154" t="s">
        <v>90</v>
      </c>
      <c r="D4" s="176" t="s">
        <v>789</v>
      </c>
      <c r="E4" s="176" t="s">
        <v>725</v>
      </c>
      <c r="F4" s="177">
        <v>1</v>
      </c>
      <c r="G4" s="155" t="s">
        <v>726</v>
      </c>
      <c r="H4" s="175" t="s">
        <v>790</v>
      </c>
      <c r="I4" s="160" t="str">
        <f t="shared" ref="I4:I19" si="0">IF(G4="COMPLETE","PASSED ✓",IF(G4="BLOCKED","BLOCKED ✗",IF(F4&gt;=1,"PASSED ✓",IF(F4&gt;=0.5,"IN REVIEW","NOT STARTED"))))</f>
        <v>PASSED ✓</v>
      </c>
      <c r="J4" s="175" t="s">
        <v>791</v>
      </c>
      <c r="K4" s="154" t="s">
        <v>792</v>
      </c>
      <c r="L4" s="154"/>
      <c r="M4" s="196"/>
      <c r="N4" s="76">
        <f>COUNTIF(FMEA_DATA!$M$4:$M$18,"OPEN")</f>
        <v>12</v>
      </c>
      <c r="O4" s="120">
        <f>COUNTIF(LOG_DATA!$D$4:$D$53,"*"&amp;LEFT(B4,6)&amp;"*")</f>
        <v>0</v>
      </c>
      <c r="P4" s="121">
        <f>AGILE_DATA!A5</f>
        <v>4</v>
      </c>
    </row>
    <row r="5" spans="1:16" ht="25.5" customHeight="1" x14ac:dyDescent="0.35">
      <c r="A5" s="174" t="s">
        <v>234</v>
      </c>
      <c r="B5" s="175" t="s">
        <v>793</v>
      </c>
      <c r="C5" s="154" t="s">
        <v>252</v>
      </c>
      <c r="D5" s="176" t="s">
        <v>789</v>
      </c>
      <c r="E5" s="176" t="s">
        <v>794</v>
      </c>
      <c r="F5" s="177">
        <v>0.85</v>
      </c>
      <c r="G5" s="155" t="s">
        <v>213</v>
      </c>
      <c r="H5" s="175" t="s">
        <v>795</v>
      </c>
      <c r="I5" s="160" t="str">
        <f t="shared" si="0"/>
        <v>IN REVIEW</v>
      </c>
      <c r="J5" s="175" t="s">
        <v>796</v>
      </c>
      <c r="K5" s="154" t="s">
        <v>797</v>
      </c>
      <c r="L5" s="154"/>
      <c r="M5" s="196"/>
      <c r="N5" s="76">
        <f>COUNTIF(FMEA_DATA!$M$4:$M$18,"OPEN")</f>
        <v>12</v>
      </c>
      <c r="O5" s="120">
        <f>COUNTIF(LOG_DATA!$D$4:$D$53,"*"&amp;LEFT(B5,6)&amp;"*")</f>
        <v>0</v>
      </c>
      <c r="P5" s="121">
        <f>AGILE_DATA!A5</f>
        <v>4</v>
      </c>
    </row>
    <row r="6" spans="1:16" ht="25.5" customHeight="1" x14ac:dyDescent="0.35">
      <c r="A6" s="174" t="s">
        <v>234</v>
      </c>
      <c r="B6" s="175" t="s">
        <v>798</v>
      </c>
      <c r="C6" s="357" t="s">
        <v>90</v>
      </c>
      <c r="D6" s="176" t="s">
        <v>789</v>
      </c>
      <c r="E6" s="356">
        <v>46187</v>
      </c>
      <c r="F6" s="177">
        <v>1</v>
      </c>
      <c r="G6" s="155" t="s">
        <v>726</v>
      </c>
      <c r="H6" s="175" t="s">
        <v>799</v>
      </c>
      <c r="I6" s="160" t="str">
        <f t="shared" si="0"/>
        <v>PASSED ✓</v>
      </c>
      <c r="J6" s="175" t="s">
        <v>791</v>
      </c>
      <c r="K6" s="154" t="s">
        <v>800</v>
      </c>
      <c r="L6" s="154"/>
      <c r="M6" s="196"/>
      <c r="N6" s="76">
        <f>COUNTIF(FMEA_DATA!$M$4:$M$18,"OPEN")</f>
        <v>12</v>
      </c>
      <c r="O6" s="120">
        <f>COUNTIF(LOG_DATA!$D$4:$D$53,"*"&amp;LEFT(B6,6)&amp;"*")</f>
        <v>0</v>
      </c>
      <c r="P6" s="121">
        <f>AGILE_DATA!A5</f>
        <v>4</v>
      </c>
    </row>
    <row r="7" spans="1:16" ht="25.5" customHeight="1" x14ac:dyDescent="0.35">
      <c r="A7" s="174" t="s">
        <v>235</v>
      </c>
      <c r="B7" s="184" t="s">
        <v>801</v>
      </c>
      <c r="C7" s="154" t="s">
        <v>250</v>
      </c>
      <c r="D7" s="185" t="s">
        <v>802</v>
      </c>
      <c r="E7" s="185" t="s">
        <v>803</v>
      </c>
      <c r="F7" s="177">
        <v>0.7</v>
      </c>
      <c r="G7" s="155" t="s">
        <v>213</v>
      </c>
      <c r="H7" s="184" t="s">
        <v>804</v>
      </c>
      <c r="I7" s="160" t="str">
        <f t="shared" si="0"/>
        <v>IN REVIEW</v>
      </c>
      <c r="J7" s="184" t="s">
        <v>805</v>
      </c>
      <c r="K7" s="154" t="s">
        <v>806</v>
      </c>
      <c r="L7" s="154"/>
      <c r="M7" s="197"/>
      <c r="N7" s="76">
        <f>COUNTIF(FMEA_DATA!$M$4:$M$18,"OPEN")</f>
        <v>12</v>
      </c>
      <c r="O7" s="120">
        <f>COUNTIF(LOG_DATA!$D$4:$D$53,"*"&amp;LEFT(B7,6)&amp;"*")</f>
        <v>0</v>
      </c>
      <c r="P7" s="121">
        <f>AGILE_DATA!A5</f>
        <v>4</v>
      </c>
    </row>
    <row r="8" spans="1:16" ht="25.5" customHeight="1" x14ac:dyDescent="0.35">
      <c r="A8" s="174" t="s">
        <v>235</v>
      </c>
      <c r="B8" s="358" t="s">
        <v>807</v>
      </c>
      <c r="C8" s="357" t="s">
        <v>808</v>
      </c>
      <c r="D8" s="185" t="s">
        <v>802</v>
      </c>
      <c r="E8" s="185" t="s">
        <v>732</v>
      </c>
      <c r="F8" s="177">
        <v>0.9</v>
      </c>
      <c r="G8" s="359" t="s">
        <v>213</v>
      </c>
      <c r="H8" s="358" t="s">
        <v>809</v>
      </c>
      <c r="I8" s="160" t="str">
        <f t="shared" si="0"/>
        <v>IN REVIEW</v>
      </c>
      <c r="J8" s="184" t="s">
        <v>791</v>
      </c>
      <c r="K8" s="154" t="s">
        <v>810</v>
      </c>
      <c r="L8" s="154"/>
      <c r="M8" s="197"/>
      <c r="N8" s="76">
        <f>COUNTIF(FMEA_DATA!$M$4:$M$18,"OPEN")</f>
        <v>12</v>
      </c>
      <c r="O8" s="120">
        <f>COUNTIF(LOG_DATA!$D$4:$D$53,"*"&amp;LEFT(B8,6)&amp;"*")</f>
        <v>0</v>
      </c>
      <c r="P8" s="121">
        <f>AGILE_DATA!A5</f>
        <v>4</v>
      </c>
    </row>
    <row r="9" spans="1:16" ht="25.5" customHeight="1" x14ac:dyDescent="0.35">
      <c r="A9" s="174" t="s">
        <v>235</v>
      </c>
      <c r="B9" s="184" t="s">
        <v>811</v>
      </c>
      <c r="C9" s="154" t="s">
        <v>812</v>
      </c>
      <c r="D9" s="185" t="s">
        <v>802</v>
      </c>
      <c r="E9" s="185" t="s">
        <v>803</v>
      </c>
      <c r="F9" s="177">
        <v>0.6</v>
      </c>
      <c r="G9" s="155" t="s">
        <v>213</v>
      </c>
      <c r="H9" s="184" t="s">
        <v>813</v>
      </c>
      <c r="I9" s="160" t="str">
        <f t="shared" si="0"/>
        <v>IN REVIEW</v>
      </c>
      <c r="J9" s="184" t="s">
        <v>796</v>
      </c>
      <c r="K9" s="154" t="s">
        <v>800</v>
      </c>
      <c r="L9" s="154"/>
      <c r="M9" s="197"/>
      <c r="N9" s="76">
        <f>COUNTIF(FMEA_DATA!$M$4:$M$18,"OPEN")</f>
        <v>12</v>
      </c>
      <c r="O9" s="120">
        <f>COUNTIF(LOG_DATA!$D$4:$D$53,"*"&amp;LEFT(B9,6)&amp;"*")</f>
        <v>0</v>
      </c>
      <c r="P9" s="121">
        <f>AGILE_DATA!A5</f>
        <v>4</v>
      </c>
    </row>
    <row r="10" spans="1:16" ht="25.5" customHeight="1" x14ac:dyDescent="0.35">
      <c r="A10" s="174" t="s">
        <v>236</v>
      </c>
      <c r="B10" s="180" t="s">
        <v>814</v>
      </c>
      <c r="C10" s="154" t="s">
        <v>102</v>
      </c>
      <c r="D10" s="181" t="s">
        <v>815</v>
      </c>
      <c r="E10" s="181" t="s">
        <v>748</v>
      </c>
      <c r="F10" s="177">
        <v>0.4</v>
      </c>
      <c r="G10" s="155" t="s">
        <v>816</v>
      </c>
      <c r="H10" s="180" t="s">
        <v>817</v>
      </c>
      <c r="I10" s="160" t="str">
        <f t="shared" si="0"/>
        <v>BLOCKED ✗</v>
      </c>
      <c r="J10" s="180" t="s">
        <v>805</v>
      </c>
      <c r="K10" s="154" t="s">
        <v>806</v>
      </c>
      <c r="L10" s="154"/>
      <c r="M10" s="198"/>
      <c r="N10" s="76">
        <f>COUNTIF(FMEA_DATA!$M$4:$M$18,"OPEN")</f>
        <v>12</v>
      </c>
      <c r="O10" s="120">
        <f>COUNTIF(LOG_DATA!$D$4:$D$53,"*"&amp;LEFT(B10,6)&amp;"*")</f>
        <v>0</v>
      </c>
      <c r="P10" s="121">
        <f>AGILE_DATA!A5</f>
        <v>4</v>
      </c>
    </row>
    <row r="11" spans="1:16" ht="25.5" customHeight="1" x14ac:dyDescent="0.35">
      <c r="A11" s="174" t="s">
        <v>236</v>
      </c>
      <c r="B11" s="180" t="s">
        <v>818</v>
      </c>
      <c r="C11" s="154" t="s">
        <v>819</v>
      </c>
      <c r="D11" s="181" t="s">
        <v>815</v>
      </c>
      <c r="E11" s="181" t="s">
        <v>748</v>
      </c>
      <c r="F11" s="177">
        <v>0.35</v>
      </c>
      <c r="G11" s="155" t="s">
        <v>213</v>
      </c>
      <c r="H11" s="180" t="s">
        <v>820</v>
      </c>
      <c r="I11" s="160" t="str">
        <f t="shared" si="0"/>
        <v>NOT STARTED</v>
      </c>
      <c r="J11" s="180" t="s">
        <v>796</v>
      </c>
      <c r="K11" s="154" t="s">
        <v>461</v>
      </c>
      <c r="L11" s="154"/>
      <c r="M11" s="198"/>
      <c r="N11" s="76">
        <f>COUNTIF(FMEA_DATA!$M$4:$M$18,"OPEN")</f>
        <v>12</v>
      </c>
      <c r="O11" s="120">
        <f>COUNTIF(LOG_DATA!$D$4:$D$53,"*"&amp;LEFT(B11,6)&amp;"*")</f>
        <v>0</v>
      </c>
      <c r="P11" s="121">
        <f>AGILE_DATA!A5</f>
        <v>4</v>
      </c>
    </row>
    <row r="12" spans="1:16" ht="25.5" customHeight="1" x14ac:dyDescent="0.35">
      <c r="A12" s="174" t="s">
        <v>236</v>
      </c>
      <c r="B12" s="180" t="s">
        <v>821</v>
      </c>
      <c r="C12" s="154" t="s">
        <v>102</v>
      </c>
      <c r="D12" s="181" t="s">
        <v>822</v>
      </c>
      <c r="E12" s="181" t="s">
        <v>823</v>
      </c>
      <c r="F12" s="177">
        <v>0</v>
      </c>
      <c r="G12" s="155" t="s">
        <v>485</v>
      </c>
      <c r="H12" s="180" t="s">
        <v>824</v>
      </c>
      <c r="I12" s="160" t="str">
        <f t="shared" si="0"/>
        <v>NOT STARTED</v>
      </c>
      <c r="J12" s="180" t="s">
        <v>805</v>
      </c>
      <c r="K12" s="154" t="s">
        <v>595</v>
      </c>
      <c r="L12" s="154"/>
      <c r="M12" s="198"/>
      <c r="N12" s="76">
        <f>COUNTIF(FMEA_DATA!$M$4:$M$18,"OPEN")</f>
        <v>12</v>
      </c>
      <c r="O12" s="120">
        <f>COUNTIF(LOG_DATA!$D$4:$D$53,"*"&amp;LEFT(B12,6)&amp;"*")</f>
        <v>0</v>
      </c>
      <c r="P12" s="121">
        <f>AGILE_DATA!A5</f>
        <v>4</v>
      </c>
    </row>
    <row r="13" spans="1:16" ht="25.5" customHeight="1" x14ac:dyDescent="0.35">
      <c r="A13" s="174" t="s">
        <v>237</v>
      </c>
      <c r="B13" s="182" t="s">
        <v>825</v>
      </c>
      <c r="C13" s="154" t="s">
        <v>106</v>
      </c>
      <c r="D13" s="183" t="s">
        <v>826</v>
      </c>
      <c r="E13" s="183" t="s">
        <v>827</v>
      </c>
      <c r="F13" s="177">
        <v>0</v>
      </c>
      <c r="G13" s="155" t="s">
        <v>485</v>
      </c>
      <c r="H13" s="182" t="s">
        <v>828</v>
      </c>
      <c r="I13" s="160" t="str">
        <f t="shared" si="0"/>
        <v>NOT STARTED</v>
      </c>
      <c r="J13" s="182" t="s">
        <v>796</v>
      </c>
      <c r="K13" s="154" t="s">
        <v>806</v>
      </c>
      <c r="L13" s="154"/>
      <c r="M13" s="199"/>
      <c r="N13" s="76">
        <f>COUNTIF(FMEA_DATA!$M$4:$M$18,"OPEN")</f>
        <v>12</v>
      </c>
      <c r="O13" s="120">
        <f>COUNTIF(LOG_DATA!$D$4:$D$53,"*"&amp;LEFT(B13,6)&amp;"*")</f>
        <v>0</v>
      </c>
      <c r="P13" s="121">
        <f>AGILE_DATA!A5</f>
        <v>4</v>
      </c>
    </row>
    <row r="14" spans="1:16" ht="25.5" customHeight="1" x14ac:dyDescent="0.35">
      <c r="A14" s="174" t="s">
        <v>237</v>
      </c>
      <c r="B14" s="182" t="s">
        <v>829</v>
      </c>
      <c r="C14" s="154" t="s">
        <v>90</v>
      </c>
      <c r="D14" s="183" t="s">
        <v>830</v>
      </c>
      <c r="E14" s="183" t="s">
        <v>831</v>
      </c>
      <c r="F14" s="177">
        <v>0</v>
      </c>
      <c r="G14" s="155" t="s">
        <v>485</v>
      </c>
      <c r="H14" s="182" t="s">
        <v>832</v>
      </c>
      <c r="I14" s="160" t="str">
        <f t="shared" si="0"/>
        <v>NOT STARTED</v>
      </c>
      <c r="J14" s="182" t="s">
        <v>791</v>
      </c>
      <c r="K14" s="154" t="s">
        <v>810</v>
      </c>
      <c r="L14" s="154"/>
      <c r="M14" s="199"/>
      <c r="N14" s="76">
        <f>COUNTIF(FMEA_DATA!$M$4:$M$18,"OPEN")</f>
        <v>12</v>
      </c>
      <c r="O14" s="120">
        <f>COUNTIF(LOG_DATA!$D$4:$D$53,"*"&amp;LEFT(B14,6)&amp;"*")</f>
        <v>0</v>
      </c>
      <c r="P14" s="121">
        <f>AGILE_DATA!A5</f>
        <v>4</v>
      </c>
    </row>
    <row r="15" spans="1:16" ht="25.5" customHeight="1" x14ac:dyDescent="0.35">
      <c r="A15" s="174" t="s">
        <v>237</v>
      </c>
      <c r="B15" s="182" t="s">
        <v>833</v>
      </c>
      <c r="C15" s="154" t="s">
        <v>106</v>
      </c>
      <c r="D15" s="183" t="s">
        <v>830</v>
      </c>
      <c r="E15" s="183" t="s">
        <v>834</v>
      </c>
      <c r="F15" s="177">
        <v>0</v>
      </c>
      <c r="G15" s="155" t="s">
        <v>485</v>
      </c>
      <c r="H15" s="182" t="s">
        <v>835</v>
      </c>
      <c r="I15" s="160" t="str">
        <f t="shared" si="0"/>
        <v>NOT STARTED</v>
      </c>
      <c r="J15" s="182" t="s">
        <v>791</v>
      </c>
      <c r="K15" s="154" t="s">
        <v>836</v>
      </c>
      <c r="L15" s="154"/>
      <c r="M15" s="199"/>
      <c r="N15" s="76">
        <f>COUNTIF(FMEA_DATA!$M$4:$M$18,"OPEN")</f>
        <v>12</v>
      </c>
      <c r="O15" s="120">
        <f>COUNTIF(LOG_DATA!$D$4:$D$53,"*"&amp;LEFT(B15,6)&amp;"*")</f>
        <v>0</v>
      </c>
      <c r="P15" s="121">
        <f>AGILE_DATA!A5</f>
        <v>4</v>
      </c>
    </row>
    <row r="16" spans="1:16" ht="25.5" customHeight="1" x14ac:dyDescent="0.35">
      <c r="A16" s="174" t="s">
        <v>238</v>
      </c>
      <c r="B16" s="178" t="s">
        <v>837</v>
      </c>
      <c r="C16" s="154" t="s">
        <v>90</v>
      </c>
      <c r="D16" s="179" t="s">
        <v>838</v>
      </c>
      <c r="E16" s="179" t="s">
        <v>839</v>
      </c>
      <c r="F16" s="177">
        <v>0</v>
      </c>
      <c r="G16" s="155" t="s">
        <v>485</v>
      </c>
      <c r="H16" s="178" t="s">
        <v>840</v>
      </c>
      <c r="I16" s="160" t="str">
        <f t="shared" si="0"/>
        <v>NOT STARTED</v>
      </c>
      <c r="J16" s="178" t="s">
        <v>791</v>
      </c>
      <c r="K16" s="154" t="s">
        <v>465</v>
      </c>
      <c r="L16" s="154"/>
      <c r="M16" s="200"/>
      <c r="N16" s="76">
        <f>COUNTIF(FMEA_DATA!$M$4:$M$18,"OPEN")</f>
        <v>12</v>
      </c>
      <c r="O16" s="120">
        <f>COUNTIF(LOG_DATA!$D$4:$D$53,"*"&amp;LEFT(B16,6)&amp;"*")</f>
        <v>0</v>
      </c>
      <c r="P16" s="121">
        <f>AGILE_DATA!A5</f>
        <v>4</v>
      </c>
    </row>
    <row r="17" spans="1:16" ht="25.5" customHeight="1" x14ac:dyDescent="0.35">
      <c r="A17" s="174" t="s">
        <v>238</v>
      </c>
      <c r="B17" s="178" t="s">
        <v>841</v>
      </c>
      <c r="C17" s="154" t="s">
        <v>251</v>
      </c>
      <c r="D17" s="179" t="s">
        <v>842</v>
      </c>
      <c r="E17" s="179" t="s">
        <v>843</v>
      </c>
      <c r="F17" s="177">
        <v>0</v>
      </c>
      <c r="G17" s="155" t="s">
        <v>485</v>
      </c>
      <c r="H17" s="178" t="s">
        <v>844</v>
      </c>
      <c r="I17" s="160" t="str">
        <f t="shared" si="0"/>
        <v>NOT STARTED</v>
      </c>
      <c r="J17" s="178" t="s">
        <v>791</v>
      </c>
      <c r="K17" s="154" t="s">
        <v>595</v>
      </c>
      <c r="L17" s="154"/>
      <c r="M17" s="200"/>
      <c r="N17" s="76">
        <f>COUNTIF(FMEA_DATA!$M$4:$M$18,"OPEN")</f>
        <v>12</v>
      </c>
      <c r="O17" s="120">
        <f>COUNTIF(LOG_DATA!$D$4:$D$53,"*"&amp;LEFT(B17,6)&amp;"*")</f>
        <v>0</v>
      </c>
      <c r="P17" s="121">
        <f>AGILE_DATA!A5</f>
        <v>4</v>
      </c>
    </row>
    <row r="18" spans="1:16" ht="25.5" customHeight="1" x14ac:dyDescent="0.35">
      <c r="A18" s="174" t="s">
        <v>239</v>
      </c>
      <c r="B18" s="149" t="s">
        <v>845</v>
      </c>
      <c r="C18" s="154" t="s">
        <v>249</v>
      </c>
      <c r="D18" s="154" t="s">
        <v>846</v>
      </c>
      <c r="E18" s="154" t="s">
        <v>847</v>
      </c>
      <c r="F18" s="177">
        <v>0</v>
      </c>
      <c r="G18" s="155" t="s">
        <v>485</v>
      </c>
      <c r="H18" s="149" t="s">
        <v>848</v>
      </c>
      <c r="I18" s="160" t="str">
        <f t="shared" si="0"/>
        <v>NOT STARTED</v>
      </c>
      <c r="J18" s="149" t="s">
        <v>791</v>
      </c>
      <c r="K18" s="154" t="s">
        <v>836</v>
      </c>
      <c r="L18" s="154"/>
      <c r="M18" s="201"/>
      <c r="N18" s="76">
        <f>COUNTIF(FMEA_DATA!$M$4:$M$18,"OPEN")</f>
        <v>12</v>
      </c>
      <c r="O18" s="120">
        <f>COUNTIF(LOG_DATA!$D$4:$D$53,"*"&amp;LEFT(B18,6)&amp;"*")</f>
        <v>0</v>
      </c>
      <c r="P18" s="121">
        <f>AGILE_DATA!A5</f>
        <v>4</v>
      </c>
    </row>
    <row r="19" spans="1:16" ht="25.5" customHeight="1" x14ac:dyDescent="0.35">
      <c r="A19" s="174" t="s">
        <v>240</v>
      </c>
      <c r="B19" s="150" t="s">
        <v>849</v>
      </c>
      <c r="C19" s="154" t="s">
        <v>90</v>
      </c>
      <c r="D19" s="158" t="s">
        <v>850</v>
      </c>
      <c r="E19" s="158" t="s">
        <v>851</v>
      </c>
      <c r="F19" s="177">
        <v>0</v>
      </c>
      <c r="G19" s="155" t="s">
        <v>485</v>
      </c>
      <c r="H19" s="150" t="s">
        <v>852</v>
      </c>
      <c r="I19" s="160" t="str">
        <f t="shared" si="0"/>
        <v>NOT STARTED</v>
      </c>
      <c r="J19" s="150" t="s">
        <v>791</v>
      </c>
      <c r="K19" s="154" t="s">
        <v>595</v>
      </c>
      <c r="L19" s="154"/>
      <c r="M19" s="159"/>
      <c r="N19" s="76">
        <f>COUNTIF(FMEA_DATA!$M$4:$M$18,"OPEN")</f>
        <v>12</v>
      </c>
      <c r="O19" s="120">
        <f>COUNTIF(LOG_DATA!$D$4:$D$53,"*"&amp;LEFT(B19,6)&amp;"*")</f>
        <v>0</v>
      </c>
      <c r="P19" s="121">
        <f>AGILE_DATA!A5</f>
        <v>4</v>
      </c>
    </row>
    <row r="21" spans="1:16" ht="19.5" customHeight="1" x14ac:dyDescent="0.35">
      <c r="A21" s="350" t="s">
        <v>853</v>
      </c>
      <c r="B21" s="350"/>
      <c r="C21" s="350"/>
      <c r="D21" s="350"/>
      <c r="E21" s="350"/>
      <c r="F21" s="350"/>
      <c r="G21" s="350"/>
      <c r="H21" s="350"/>
      <c r="I21" s="350"/>
      <c r="J21" s="350"/>
      <c r="K21" s="350"/>
      <c r="L21" s="350"/>
      <c r="M21" s="350"/>
    </row>
    <row r="22" spans="1:16" ht="27.75" customHeight="1" x14ac:dyDescent="0.35">
      <c r="A22" s="38" t="s">
        <v>775</v>
      </c>
      <c r="B22" s="38" t="s">
        <v>854</v>
      </c>
      <c r="C22" s="38" t="s">
        <v>855</v>
      </c>
      <c r="D22" s="38" t="s">
        <v>726</v>
      </c>
      <c r="E22" s="38" t="s">
        <v>816</v>
      </c>
      <c r="F22" s="38" t="s">
        <v>213</v>
      </c>
      <c r="G22" s="38" t="s">
        <v>485</v>
      </c>
      <c r="H22" s="38" t="s">
        <v>856</v>
      </c>
    </row>
    <row r="23" spans="1:16" ht="21.75" customHeight="1" x14ac:dyDescent="0.35">
      <c r="A23" s="202" t="s">
        <v>234</v>
      </c>
      <c r="B23" s="161">
        <f>3</f>
        <v>3</v>
      </c>
      <c r="C23" s="203">
        <f>IFERROR(AVERAGE(F4:F6),0)</f>
        <v>0.95000000000000007</v>
      </c>
      <c r="D23" s="160">
        <f>COUNTIF(G4:G6,"COMPLETE")</f>
        <v>2</v>
      </c>
      <c r="E23" s="204">
        <f>COUNTIF(G4:G6,"BLOCKED")</f>
        <v>0</v>
      </c>
      <c r="F23" s="155">
        <f>COUNTIF(G4:G6,"IN PROGRESS")</f>
        <v>1</v>
      </c>
      <c r="G23" s="158">
        <f>COUNTIF(G4:G6,"NOT STARTED")</f>
        <v>0</v>
      </c>
      <c r="H23" s="155" t="str">
        <f t="shared" ref="H23:H29" si="1">IF(E23&gt;0,"BLOCKED ✗",IF(D23=B23,"COMPLETE ✓",IF(C23&gt;0,"IN PROGRESS","NOT STARTED")))</f>
        <v>IN PROGRESS</v>
      </c>
    </row>
    <row r="24" spans="1:16" ht="21.75" customHeight="1" x14ac:dyDescent="0.35">
      <c r="A24" s="202" t="s">
        <v>235</v>
      </c>
      <c r="B24" s="161">
        <f>3</f>
        <v>3</v>
      </c>
      <c r="C24" s="203">
        <f>IFERROR(AVERAGE(F7:F9),0)</f>
        <v>0.73333333333333339</v>
      </c>
      <c r="D24" s="160">
        <f>COUNTIF(G7:G9,"COMPLETE")</f>
        <v>0</v>
      </c>
      <c r="E24" s="204">
        <f>COUNTIF(G7:G9,"BLOCKED")</f>
        <v>0</v>
      </c>
      <c r="F24" s="155">
        <f>COUNTIF(G7:G9,"IN PROGRESS")</f>
        <v>3</v>
      </c>
      <c r="G24" s="158">
        <f>COUNTIF(G7:G9,"NOT STARTED")</f>
        <v>0</v>
      </c>
      <c r="H24" s="155" t="str">
        <f t="shared" si="1"/>
        <v>IN PROGRESS</v>
      </c>
    </row>
    <row r="25" spans="1:16" ht="21.75" customHeight="1" x14ac:dyDescent="0.35">
      <c r="A25" s="202" t="s">
        <v>236</v>
      </c>
      <c r="B25" s="161">
        <f>3</f>
        <v>3</v>
      </c>
      <c r="C25" s="203">
        <f>IFERROR(AVERAGE(F10:F12),0)</f>
        <v>0.25</v>
      </c>
      <c r="D25" s="160">
        <f>COUNTIF(G10:G12,"COMPLETE")</f>
        <v>0</v>
      </c>
      <c r="E25" s="204">
        <f>COUNTIF(G10:G12,"BLOCKED")</f>
        <v>1</v>
      </c>
      <c r="F25" s="155">
        <f>COUNTIF(G10:G12,"IN PROGRESS")</f>
        <v>1</v>
      </c>
      <c r="G25" s="158">
        <f>COUNTIF(G10:G12,"NOT STARTED")</f>
        <v>1</v>
      </c>
      <c r="H25" s="155" t="str">
        <f t="shared" si="1"/>
        <v>BLOCKED ✗</v>
      </c>
    </row>
    <row r="26" spans="1:16" ht="21.75" customHeight="1" x14ac:dyDescent="0.35">
      <c r="A26" s="202" t="s">
        <v>237</v>
      </c>
      <c r="B26" s="161">
        <f>3</f>
        <v>3</v>
      </c>
      <c r="C26" s="203">
        <f>IFERROR(AVERAGE(F13:F15),0)</f>
        <v>0</v>
      </c>
      <c r="D26" s="160">
        <f>COUNTIF(G13:G15,"COMPLETE")</f>
        <v>0</v>
      </c>
      <c r="E26" s="204">
        <f>COUNTIF(G13:G15,"BLOCKED")</f>
        <v>0</v>
      </c>
      <c r="F26" s="155">
        <f>COUNTIF(G13:G15,"IN PROGRESS")</f>
        <v>0</v>
      </c>
      <c r="G26" s="158">
        <f>COUNTIF(G13:G15,"NOT STARTED")</f>
        <v>3</v>
      </c>
      <c r="H26" s="155" t="str">
        <f t="shared" si="1"/>
        <v>NOT STARTED</v>
      </c>
    </row>
    <row r="27" spans="1:16" ht="21.75" customHeight="1" x14ac:dyDescent="0.35">
      <c r="A27" s="202" t="s">
        <v>238</v>
      </c>
      <c r="B27" s="161">
        <f>2</f>
        <v>2</v>
      </c>
      <c r="C27" s="203">
        <f>IFERROR(AVERAGE(F16:F17),0)</f>
        <v>0</v>
      </c>
      <c r="D27" s="160">
        <f>COUNTIF(G16:G17,"COMPLETE")</f>
        <v>0</v>
      </c>
      <c r="E27" s="204">
        <f>COUNTIF(G16:G17,"BLOCKED")</f>
        <v>0</v>
      </c>
      <c r="F27" s="155">
        <f>COUNTIF(G16:G17,"IN PROGRESS")</f>
        <v>0</v>
      </c>
      <c r="G27" s="158">
        <f>COUNTIF(G16:G17,"NOT STARTED")</f>
        <v>2</v>
      </c>
      <c r="H27" s="155" t="str">
        <f t="shared" si="1"/>
        <v>NOT STARTED</v>
      </c>
    </row>
    <row r="28" spans="1:16" ht="21.75" customHeight="1" x14ac:dyDescent="0.35">
      <c r="A28" s="202" t="s">
        <v>239</v>
      </c>
      <c r="B28" s="161">
        <f>1</f>
        <v>1</v>
      </c>
      <c r="C28" s="203">
        <f>IFERROR(AVERAGE(F18:F18),0)</f>
        <v>0</v>
      </c>
      <c r="D28" s="160">
        <f>COUNTIF(G18:G18,"COMPLETE")</f>
        <v>0</v>
      </c>
      <c r="E28" s="204">
        <f>COUNTIF(G18:G18,"BLOCKED")</f>
        <v>0</v>
      </c>
      <c r="F28" s="155">
        <f>COUNTIF(G18:G18,"IN PROGRESS")</f>
        <v>0</v>
      </c>
      <c r="G28" s="158">
        <f>COUNTIF(G18:G18,"NOT STARTED")</f>
        <v>1</v>
      </c>
      <c r="H28" s="155" t="str">
        <f t="shared" si="1"/>
        <v>NOT STARTED</v>
      </c>
    </row>
    <row r="29" spans="1:16" ht="21.75" customHeight="1" x14ac:dyDescent="0.35">
      <c r="A29" s="202" t="s">
        <v>240</v>
      </c>
      <c r="B29" s="161">
        <f>1</f>
        <v>1</v>
      </c>
      <c r="C29" s="203">
        <f>IFERROR(AVERAGE(F19:F19),0)</f>
        <v>0</v>
      </c>
      <c r="D29" s="160">
        <f>COUNTIF(G19:G19,"COMPLETE")</f>
        <v>0</v>
      </c>
      <c r="E29" s="204">
        <f>COUNTIF(G19:G19,"BLOCKED")</f>
        <v>0</v>
      </c>
      <c r="F29" s="155">
        <f>COUNTIF(G19:G19,"IN PROGRESS")</f>
        <v>0</v>
      </c>
      <c r="G29" s="158">
        <f>COUNTIF(G19:G19,"NOT STARTED")</f>
        <v>1</v>
      </c>
      <c r="H29" s="155" t="str">
        <f t="shared" si="1"/>
        <v>NOT STARTED</v>
      </c>
    </row>
    <row r="30" spans="1:16" ht="25.5" customHeight="1" x14ac:dyDescent="0.35">
      <c r="A30" s="205" t="s">
        <v>857</v>
      </c>
      <c r="C30" s="177">
        <f>IFERROR(AVERAGE(F4:F19),0)</f>
        <v>0.36249999999999999</v>
      </c>
      <c r="D30" s="160">
        <f>COUNTIF(G4:G19,"COMPLETE")</f>
        <v>2</v>
      </c>
      <c r="E30" s="204">
        <f>COUNTIF(G4:G19,"BLOCKED")</f>
        <v>1</v>
      </c>
      <c r="H30" s="155" t="str">
        <f>IF(E30&gt;0,"BLOCKED — ACT NOW",IF(C30=1,"PROJECT COMPLETE ✓",IF(C30&gt;0,"IN PROGRESS","NOT STARTED")))</f>
        <v>BLOCKED — ACT NOW</v>
      </c>
    </row>
  </sheetData>
  <mergeCells count="3">
    <mergeCell ref="A1:M1"/>
    <mergeCell ref="A2:M2"/>
    <mergeCell ref="A21:M21"/>
  </mergeCells>
  <dataValidations count="4">
    <dataValidation type="list" allowBlank="1" showErrorMessage="1" errorTitle="Invalid Entry" error="Select from list only." sqref="A4:A25" xr:uid="{00000000-0002-0000-0F00-000000000000}">
      <formula1>"Planning,Design,Development,Testing,Deployment,Hypercare,Closure"</formula1>
      <formula2>0</formula2>
    </dataValidation>
    <dataValidation type="list" allowBlank="1" showErrorMessage="1" errorTitle="Invalid Entry" error="Select from list only." sqref="G4:G25" xr:uid="{00000000-0002-0000-0F00-000001000000}">
      <formula1>"NOT STARTED,IN PROGRESS,COMPLETE,BLOCKED,ON HOLD,CANCELLED"</formula1>
      <formula2>0</formula2>
    </dataValidation>
    <dataValidation type="list" allowBlank="1" showErrorMessage="1" errorTitle="Invalid Entry" error="Select from list only." sqref="K4:K25" xr:uid="{00000000-0002-0000-0F00-000002000000}">
      <formula1>"Low,Medium,High,Critical"</formula1>
      <formula2>0</formula2>
    </dataValidation>
    <dataValidation type="list" allowBlank="1" showErrorMessage="1" errorTitle="Invalid Entry" error="Select from list only." sqref="F4:F25" xr:uid="{00000000-0002-0000-0F00-000003000000}">
      <formula1>"0,0.05,0.1,0.15,0.2,0.25,0.3,0.35,0.4,0.45,0.5,0.55,0.6,0.65,0.7,0.75,0.8,0.85,0.9,0.95,1"</formula1>
      <formula2>0</formula2>
    </dataValidation>
  </dataValidations>
  <pageMargins left="0.75" right="0.75" top="1" bottom="1" header="0.511811023622047" footer="0.511811023622047"/>
  <pageSetup paperSize="9" orientation="portrait" horizontalDpi="300" verticalDpi="300"/>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Ark26">
    <tabColor rgb="FFC55A11"/>
  </sheetPr>
  <dimension ref="A1:H15"/>
  <sheetViews>
    <sheetView showGridLines="0" zoomScaleNormal="100" workbookViewId="0">
      <pane ySplit="3" topLeftCell="A10" activePane="bottomLeft" state="frozen"/>
      <selection pane="bottomLeft" activeCell="C14" sqref="C14"/>
    </sheetView>
  </sheetViews>
  <sheetFormatPr defaultColWidth="8.6328125" defaultRowHeight="14.5" x14ac:dyDescent="0.35"/>
  <cols>
    <col min="1" max="1" width="18.54296875" bestFit="1" customWidth="1"/>
    <col min="2" max="2" width="14.453125" bestFit="1" customWidth="1"/>
    <col min="3" max="3" width="12.453125" bestFit="1" customWidth="1"/>
    <col min="4" max="4" width="10.90625" bestFit="1" customWidth="1"/>
    <col min="5" max="5" width="9.6328125" bestFit="1" customWidth="1"/>
    <col min="6" max="6" width="13.36328125" bestFit="1" customWidth="1"/>
    <col min="7" max="7" width="28.08984375" bestFit="1" customWidth="1"/>
    <col min="8" max="8" width="21.453125" bestFit="1" customWidth="1"/>
  </cols>
  <sheetData>
    <row r="1" spans="1:8" ht="30" customHeight="1" x14ac:dyDescent="0.35">
      <c r="A1" s="348" t="s">
        <v>858</v>
      </c>
      <c r="B1" s="348"/>
      <c r="C1" s="348"/>
      <c r="D1" s="348"/>
      <c r="E1" s="348"/>
      <c r="F1" s="348"/>
      <c r="G1" s="348"/>
    </row>
    <row r="2" spans="1:8" ht="18" customHeight="1" x14ac:dyDescent="0.35">
      <c r="A2" s="349" t="s">
        <v>859</v>
      </c>
      <c r="B2" s="349"/>
      <c r="C2" s="349"/>
      <c r="D2" s="349"/>
      <c r="E2" s="349"/>
      <c r="F2" s="349"/>
      <c r="G2" s="349"/>
    </row>
    <row r="3" spans="1:8" ht="19.5" customHeight="1" x14ac:dyDescent="0.35">
      <c r="A3" s="350" t="s">
        <v>860</v>
      </c>
      <c r="B3" s="350"/>
      <c r="C3" s="350"/>
      <c r="D3" s="350"/>
      <c r="E3" s="350"/>
      <c r="F3" s="350"/>
      <c r="G3" s="350"/>
    </row>
    <row r="4" spans="1:8" ht="30" customHeight="1" x14ac:dyDescent="0.35">
      <c r="A4" s="206" t="s">
        <v>775</v>
      </c>
      <c r="B4" s="206" t="s">
        <v>854</v>
      </c>
      <c r="C4" s="206" t="s">
        <v>855</v>
      </c>
      <c r="D4" s="206" t="s">
        <v>726</v>
      </c>
      <c r="E4" s="206" t="s">
        <v>816</v>
      </c>
      <c r="F4" s="206" t="s">
        <v>213</v>
      </c>
      <c r="G4" s="206" t="s">
        <v>856</v>
      </c>
    </row>
    <row r="5" spans="1:8" ht="21.75" customHeight="1" x14ac:dyDescent="0.35">
      <c r="A5" s="161" t="str">
        <f>SDLC_DATA!A23</f>
        <v>Planning</v>
      </c>
      <c r="B5" s="162">
        <f>SDLC_DATA!B23</f>
        <v>3</v>
      </c>
      <c r="C5" s="203">
        <f>SDLC_DATA!C23</f>
        <v>0.95000000000000007</v>
      </c>
      <c r="D5" s="161">
        <f>SDLC_DATA!D23</f>
        <v>2</v>
      </c>
      <c r="E5" s="161">
        <f>SDLC_DATA!E23</f>
        <v>0</v>
      </c>
      <c r="F5" s="161">
        <f>SDLC_DATA!F23</f>
        <v>1</v>
      </c>
      <c r="G5" s="161">
        <f>SDLC_DATA!G23</f>
        <v>0</v>
      </c>
      <c r="H5" s="155" t="str">
        <f>SDLC_DATA!H23</f>
        <v>IN PROGRESS</v>
      </c>
    </row>
    <row r="6" spans="1:8" ht="21.75" customHeight="1" x14ac:dyDescent="0.35">
      <c r="A6" s="158" t="str">
        <f>SDLC_DATA!A24</f>
        <v>Design</v>
      </c>
      <c r="B6" s="159">
        <f>SDLC_DATA!B24</f>
        <v>3</v>
      </c>
      <c r="C6" s="207">
        <f>SDLC_DATA!C24</f>
        <v>0.73333333333333339</v>
      </c>
      <c r="D6" s="158">
        <f>SDLC_DATA!D24</f>
        <v>0</v>
      </c>
      <c r="E6" s="158">
        <f>SDLC_DATA!E24</f>
        <v>0</v>
      </c>
      <c r="F6" s="158">
        <f>SDLC_DATA!F24</f>
        <v>3</v>
      </c>
      <c r="G6" s="158">
        <f>SDLC_DATA!G24</f>
        <v>0</v>
      </c>
      <c r="H6" s="155" t="str">
        <f>SDLC_DATA!H24</f>
        <v>IN PROGRESS</v>
      </c>
    </row>
    <row r="7" spans="1:8" ht="21.75" customHeight="1" x14ac:dyDescent="0.35">
      <c r="A7" s="161" t="str">
        <f>SDLC_DATA!A25</f>
        <v>Development</v>
      </c>
      <c r="B7" s="162">
        <f>SDLC_DATA!B25</f>
        <v>3</v>
      </c>
      <c r="C7" s="203">
        <f>SDLC_DATA!C25</f>
        <v>0.25</v>
      </c>
      <c r="D7" s="161">
        <f>SDLC_DATA!D25</f>
        <v>0</v>
      </c>
      <c r="E7" s="161">
        <f>SDLC_DATA!E25</f>
        <v>1</v>
      </c>
      <c r="F7" s="161">
        <f>SDLC_DATA!F25</f>
        <v>1</v>
      </c>
      <c r="G7" s="161">
        <f>SDLC_DATA!G25</f>
        <v>1</v>
      </c>
      <c r="H7" s="155" t="str">
        <f>SDLC_DATA!H25</f>
        <v>BLOCKED ✗</v>
      </c>
    </row>
    <row r="8" spans="1:8" ht="21.75" customHeight="1" x14ac:dyDescent="0.35">
      <c r="A8" s="158" t="str">
        <f>SDLC_DATA!A26</f>
        <v>Testing</v>
      </c>
      <c r="B8" s="159">
        <f>SDLC_DATA!B26</f>
        <v>3</v>
      </c>
      <c r="C8" s="207">
        <f>SDLC_DATA!C26</f>
        <v>0</v>
      </c>
      <c r="D8" s="158">
        <f>SDLC_DATA!D26</f>
        <v>0</v>
      </c>
      <c r="E8" s="158">
        <f>SDLC_DATA!E26</f>
        <v>0</v>
      </c>
      <c r="F8" s="158">
        <f>SDLC_DATA!F26</f>
        <v>0</v>
      </c>
      <c r="G8" s="158">
        <f>SDLC_DATA!G26</f>
        <v>3</v>
      </c>
      <c r="H8" s="155" t="str">
        <f>SDLC_DATA!H26</f>
        <v>NOT STARTED</v>
      </c>
    </row>
    <row r="9" spans="1:8" ht="21.75" customHeight="1" x14ac:dyDescent="0.35">
      <c r="A9" s="161" t="str">
        <f>SDLC_DATA!A27</f>
        <v>Deployment</v>
      </c>
      <c r="B9" s="162">
        <f>SDLC_DATA!B27</f>
        <v>2</v>
      </c>
      <c r="C9" s="203">
        <f>SDLC_DATA!C27</f>
        <v>0</v>
      </c>
      <c r="D9" s="161">
        <f>SDLC_DATA!D27</f>
        <v>0</v>
      </c>
      <c r="E9" s="161">
        <f>SDLC_DATA!E27</f>
        <v>0</v>
      </c>
      <c r="F9" s="161">
        <f>SDLC_DATA!F27</f>
        <v>0</v>
      </c>
      <c r="G9" s="161">
        <f>SDLC_DATA!G27</f>
        <v>2</v>
      </c>
      <c r="H9" s="155" t="str">
        <f>SDLC_DATA!H27</f>
        <v>NOT STARTED</v>
      </c>
    </row>
    <row r="10" spans="1:8" ht="21.75" customHeight="1" x14ac:dyDescent="0.35">
      <c r="A10" s="158" t="str">
        <f>SDLC_DATA!A28</f>
        <v>Hypercare</v>
      </c>
      <c r="B10" s="159">
        <f>SDLC_DATA!B28</f>
        <v>1</v>
      </c>
      <c r="C10" s="207">
        <f>SDLC_DATA!C28</f>
        <v>0</v>
      </c>
      <c r="D10" s="158">
        <f>SDLC_DATA!D28</f>
        <v>0</v>
      </c>
      <c r="E10" s="158">
        <f>SDLC_DATA!E28</f>
        <v>0</v>
      </c>
      <c r="F10" s="158">
        <f>SDLC_DATA!F28</f>
        <v>0</v>
      </c>
      <c r="G10" s="158">
        <f>SDLC_DATA!G28</f>
        <v>1</v>
      </c>
      <c r="H10" s="155" t="str">
        <f>SDLC_DATA!H28</f>
        <v>NOT STARTED</v>
      </c>
    </row>
    <row r="11" spans="1:8" ht="21.75" customHeight="1" x14ac:dyDescent="0.35">
      <c r="A11" s="161" t="str">
        <f>SDLC_DATA!A29</f>
        <v>Closure</v>
      </c>
      <c r="B11" s="162">
        <f>SDLC_DATA!B29</f>
        <v>1</v>
      </c>
      <c r="C11" s="203">
        <f>SDLC_DATA!C29</f>
        <v>0</v>
      </c>
      <c r="D11" s="161">
        <f>SDLC_DATA!D29</f>
        <v>0</v>
      </c>
      <c r="E11" s="161">
        <f>SDLC_DATA!E29</f>
        <v>0</v>
      </c>
      <c r="F11" s="161">
        <f>SDLC_DATA!F29</f>
        <v>0</v>
      </c>
      <c r="G11" s="161">
        <f>SDLC_DATA!G29</f>
        <v>1</v>
      </c>
      <c r="H11" s="155" t="str">
        <f>SDLC_DATA!H29</f>
        <v>NOT STARTED</v>
      </c>
    </row>
    <row r="12" spans="1:8" ht="27.75" customHeight="1" x14ac:dyDescent="0.35">
      <c r="A12" s="208" t="str">
        <f>SDLC_DATA!A30</f>
        <v>OVERALL PROJECT</v>
      </c>
      <c r="B12" s="174">
        <f>SDLC_DATA!B30</f>
        <v>0</v>
      </c>
      <c r="C12" s="177">
        <f>SDLC_DATA!C30</f>
        <v>0.36249999999999999</v>
      </c>
      <c r="D12" s="209">
        <f>SDLC_DATA!D30</f>
        <v>2</v>
      </c>
      <c r="E12" s="209">
        <f>SDLC_DATA!E30</f>
        <v>1</v>
      </c>
      <c r="F12" s="209">
        <f>SDLC_DATA!F30</f>
        <v>0</v>
      </c>
      <c r="G12" s="209">
        <f>SDLC_DATA!G30</f>
        <v>0</v>
      </c>
      <c r="H12" s="209" t="str">
        <f>SDLC_DATA!H30</f>
        <v>BLOCKED — ACT NOW</v>
      </c>
    </row>
    <row r="13" spans="1:8" ht="19.5" customHeight="1" x14ac:dyDescent="0.35">
      <c r="A13" s="297" t="s">
        <v>861</v>
      </c>
      <c r="B13" s="297"/>
      <c r="C13" s="297"/>
      <c r="D13" s="297"/>
      <c r="E13" s="297"/>
      <c r="F13" s="297"/>
      <c r="G13" s="297"/>
    </row>
    <row r="14" spans="1:8" ht="27.75" customHeight="1" x14ac:dyDescent="0.35">
      <c r="A14" s="38" t="s">
        <v>862</v>
      </c>
      <c r="B14" s="38" t="s">
        <v>863</v>
      </c>
      <c r="C14" s="38" t="s">
        <v>726</v>
      </c>
      <c r="D14" s="360" t="s">
        <v>213</v>
      </c>
      <c r="E14" s="360" t="s">
        <v>816</v>
      </c>
      <c r="F14" s="38" t="s">
        <v>485</v>
      </c>
      <c r="G14" s="38" t="s">
        <v>864</v>
      </c>
    </row>
    <row r="15" spans="1:8" ht="39.75" customHeight="1" x14ac:dyDescent="0.35">
      <c r="A15" s="163">
        <f>SDLC_DATA!C30</f>
        <v>0.36249999999999999</v>
      </c>
      <c r="B15" s="157">
        <f>COUNTA(SDLC_DATA!B4:B19)</f>
        <v>16</v>
      </c>
      <c r="C15" s="157">
        <f>COUNTIF(SDLC_DATA!G4:G19,"COMPLETE")</f>
        <v>2</v>
      </c>
      <c r="D15" s="157">
        <f>COUNTIF(SDLC_DATA!G4:G19,"IN PROGRESS")</f>
        <v>5</v>
      </c>
      <c r="E15" s="157">
        <f>COUNTIF(SDLC_DATA!G4:G19,"BLOCKED")</f>
        <v>1</v>
      </c>
      <c r="F15" s="157">
        <f>COUNTIF(SDLC_DATA!G4:G19,"NOT STARTED")</f>
        <v>8</v>
      </c>
      <c r="G15" s="157" t="str">
        <f>SDLC_DATA!H30</f>
        <v>BLOCKED — ACT NOW</v>
      </c>
    </row>
  </sheetData>
  <mergeCells count="4">
    <mergeCell ref="A1:G1"/>
    <mergeCell ref="A2:G2"/>
    <mergeCell ref="A3:G3"/>
    <mergeCell ref="A13:G13"/>
  </mergeCells>
  <pageMargins left="0.75" right="0.75" top="1" bottom="1" header="0.511811023622047" footer="0.511811023622047"/>
  <pageSetup paperSize="9" orientation="portrait" horizontalDpi="300" verticalDpi="300"/>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rk27">
    <tabColor rgb="FF2E75B6"/>
  </sheetPr>
  <dimension ref="A1:O37"/>
  <sheetViews>
    <sheetView showGridLines="0" zoomScaleNormal="100" workbookViewId="0">
      <pane ySplit="8" topLeftCell="A9" activePane="bottomLeft" state="frozen"/>
      <selection pane="bottomLeft" sqref="A1:M1"/>
    </sheetView>
  </sheetViews>
  <sheetFormatPr defaultColWidth="8.6328125" defaultRowHeight="14.5" x14ac:dyDescent="0.35"/>
  <cols>
    <col min="1" max="1" width="7" customWidth="1"/>
    <col min="2" max="2" width="34" customWidth="1"/>
    <col min="3" max="3" width="18" customWidth="1"/>
    <col min="4" max="4" width="10" customWidth="1"/>
    <col min="5" max="6" width="14" customWidth="1"/>
    <col min="7" max="8" width="13" customWidth="1"/>
    <col min="9" max="9" width="7" customWidth="1"/>
    <col min="10" max="10" width="30" customWidth="1"/>
    <col min="11" max="12" width="18" customWidth="1"/>
    <col min="13" max="13" width="14" customWidth="1"/>
    <col min="14" max="15" width="12" customWidth="1"/>
  </cols>
  <sheetData>
    <row r="1" spans="1:15" ht="30" customHeight="1" x14ac:dyDescent="0.35">
      <c r="A1" s="348" t="s">
        <v>865</v>
      </c>
      <c r="B1" s="348"/>
      <c r="C1" s="348"/>
      <c r="D1" s="348"/>
      <c r="E1" s="348"/>
      <c r="F1" s="348"/>
      <c r="G1" s="348"/>
      <c r="H1" s="348"/>
      <c r="I1" s="348"/>
      <c r="J1" s="348"/>
      <c r="K1" s="348"/>
      <c r="L1" s="348"/>
      <c r="M1" s="348"/>
    </row>
    <row r="2" spans="1:15" ht="18" customHeight="1" x14ac:dyDescent="0.35">
      <c r="A2" s="349" t="s">
        <v>866</v>
      </c>
      <c r="B2" s="349"/>
      <c r="C2" s="349"/>
      <c r="D2" s="349"/>
      <c r="E2" s="349"/>
      <c r="F2" s="349"/>
      <c r="G2" s="349"/>
      <c r="H2" s="349"/>
      <c r="I2" s="349"/>
      <c r="J2" s="349"/>
      <c r="K2" s="349"/>
      <c r="L2" s="349"/>
      <c r="M2" s="349"/>
    </row>
    <row r="3" spans="1:15" ht="19.5" customHeight="1" x14ac:dyDescent="0.35">
      <c r="A3" s="350" t="s">
        <v>867</v>
      </c>
      <c r="B3" s="350"/>
      <c r="C3" s="350"/>
      <c r="D3" s="350"/>
      <c r="E3" s="350"/>
      <c r="F3" s="350"/>
      <c r="G3" s="350"/>
      <c r="H3" s="350"/>
      <c r="I3" s="350"/>
      <c r="J3" s="350"/>
      <c r="K3" s="350"/>
      <c r="L3" s="350"/>
      <c r="M3" s="350"/>
    </row>
    <row r="4" spans="1:15" ht="30" customHeight="1" x14ac:dyDescent="0.35">
      <c r="A4" s="148" t="s">
        <v>868</v>
      </c>
      <c r="B4" s="148" t="s">
        <v>869</v>
      </c>
      <c r="C4" s="148" t="s">
        <v>870</v>
      </c>
      <c r="D4" s="148" t="s">
        <v>871</v>
      </c>
      <c r="E4" s="148" t="s">
        <v>872</v>
      </c>
      <c r="F4" s="148" t="s">
        <v>873</v>
      </c>
    </row>
    <row r="5" spans="1:15" ht="25.5" customHeight="1" x14ac:dyDescent="0.35">
      <c r="A5" s="151">
        <v>4</v>
      </c>
      <c r="B5" s="151" t="s">
        <v>874</v>
      </c>
      <c r="C5" s="151" t="s">
        <v>875</v>
      </c>
      <c r="D5" s="151" t="s">
        <v>876</v>
      </c>
      <c r="E5" s="151">
        <v>40</v>
      </c>
      <c r="F5" s="151">
        <v>5</v>
      </c>
    </row>
    <row r="7" spans="1:15" ht="19.5" customHeight="1" x14ac:dyDescent="0.35">
      <c r="A7" s="301" t="s">
        <v>877</v>
      </c>
      <c r="B7" s="301"/>
      <c r="C7" s="301"/>
      <c r="D7" s="301"/>
      <c r="E7" s="301"/>
      <c r="F7" s="301"/>
      <c r="G7" s="301"/>
      <c r="H7" s="301"/>
      <c r="I7" s="301"/>
      <c r="J7" s="301"/>
      <c r="K7" s="301"/>
      <c r="L7" s="301"/>
      <c r="M7" s="301"/>
    </row>
    <row r="8" spans="1:15" ht="37.5" customHeight="1" x14ac:dyDescent="0.35">
      <c r="A8" s="38" t="s">
        <v>878</v>
      </c>
      <c r="B8" s="38" t="s">
        <v>879</v>
      </c>
      <c r="C8" s="38" t="s">
        <v>880</v>
      </c>
      <c r="D8" s="38" t="s">
        <v>440</v>
      </c>
      <c r="E8" s="38" t="s">
        <v>881</v>
      </c>
      <c r="F8" s="38" t="s">
        <v>882</v>
      </c>
      <c r="G8" s="38" t="s">
        <v>883</v>
      </c>
      <c r="H8" s="38" t="s">
        <v>268</v>
      </c>
      <c r="I8" s="38" t="s">
        <v>884</v>
      </c>
      <c r="J8" s="38" t="s">
        <v>885</v>
      </c>
      <c r="K8" s="38" t="s">
        <v>886</v>
      </c>
      <c r="L8" s="38" t="s">
        <v>887</v>
      </c>
      <c r="M8" s="38" t="s">
        <v>698</v>
      </c>
      <c r="N8" s="67" t="s">
        <v>352</v>
      </c>
      <c r="O8" s="67" t="s">
        <v>548</v>
      </c>
    </row>
    <row r="9" spans="1:15" ht="24" customHeight="1" x14ac:dyDescent="0.35">
      <c r="A9" s="210" t="s">
        <v>888</v>
      </c>
      <c r="B9" s="211" t="s">
        <v>889</v>
      </c>
      <c r="C9" s="212" t="s">
        <v>890</v>
      </c>
      <c r="D9" s="213" t="s">
        <v>891</v>
      </c>
      <c r="E9" s="214">
        <v>5</v>
      </c>
      <c r="F9" s="214">
        <v>3</v>
      </c>
      <c r="G9" s="212" t="s">
        <v>106</v>
      </c>
      <c r="H9" s="214" t="s">
        <v>577</v>
      </c>
      <c r="I9" s="214" t="s">
        <v>356</v>
      </c>
      <c r="J9" s="211" t="s">
        <v>892</v>
      </c>
      <c r="K9" s="49" t="s">
        <v>893</v>
      </c>
      <c r="L9" s="212" t="s">
        <v>800</v>
      </c>
      <c r="M9" s="215"/>
      <c r="N9" s="76">
        <f>COUNTIF(FMEA_DATA!$M$4:$M$18,"OPEN")</f>
        <v>12</v>
      </c>
      <c r="O9" s="120" t="str">
        <f ca="1">IFERROR(SS_DATA!C15,"—")</f>
        <v/>
      </c>
    </row>
    <row r="10" spans="1:15" ht="24" customHeight="1" x14ac:dyDescent="0.35">
      <c r="A10" s="210" t="s">
        <v>894</v>
      </c>
      <c r="B10" s="211" t="s">
        <v>895</v>
      </c>
      <c r="C10" s="212" t="s">
        <v>896</v>
      </c>
      <c r="D10" s="213" t="s">
        <v>891</v>
      </c>
      <c r="E10" s="214">
        <v>8</v>
      </c>
      <c r="F10" s="214">
        <v>3</v>
      </c>
      <c r="G10" s="212" t="s">
        <v>102</v>
      </c>
      <c r="H10" s="214" t="s">
        <v>577</v>
      </c>
      <c r="I10" s="214" t="s">
        <v>356</v>
      </c>
      <c r="J10" s="211" t="s">
        <v>897</v>
      </c>
      <c r="K10" s="49" t="s">
        <v>893</v>
      </c>
      <c r="L10" s="212" t="s">
        <v>205</v>
      </c>
      <c r="M10" s="215"/>
      <c r="N10" s="76">
        <f>COUNTIF(FMEA_DATA!$M$4:$M$18,"OPEN")</f>
        <v>12</v>
      </c>
      <c r="O10" s="120" t="str">
        <f ca="1">IFERROR(SS_DATA!C15,"—")</f>
        <v/>
      </c>
    </row>
    <row r="11" spans="1:15" ht="24" customHeight="1" x14ac:dyDescent="0.35">
      <c r="A11" s="210" t="s">
        <v>898</v>
      </c>
      <c r="B11" s="211" t="s">
        <v>899</v>
      </c>
      <c r="C11" s="212" t="s">
        <v>900</v>
      </c>
      <c r="D11" s="213" t="s">
        <v>901</v>
      </c>
      <c r="E11" s="214">
        <v>5</v>
      </c>
      <c r="F11" s="214">
        <v>3</v>
      </c>
      <c r="G11" s="212" t="s">
        <v>819</v>
      </c>
      <c r="H11" s="214" t="s">
        <v>577</v>
      </c>
      <c r="I11" s="214" t="s">
        <v>356</v>
      </c>
      <c r="J11" s="211" t="s">
        <v>902</v>
      </c>
      <c r="K11" s="49" t="s">
        <v>893</v>
      </c>
      <c r="L11" s="212" t="s">
        <v>903</v>
      </c>
      <c r="M11" s="215"/>
      <c r="N11" s="76">
        <f>COUNTIF(FMEA_DATA!$M$4:$M$18,"OPEN")</f>
        <v>12</v>
      </c>
      <c r="O11" s="120" t="str">
        <f ca="1">IFERROR(SS_DATA!C15,"—")</f>
        <v/>
      </c>
    </row>
    <row r="12" spans="1:15" ht="24" customHeight="1" x14ac:dyDescent="0.35">
      <c r="A12" s="213" t="s">
        <v>904</v>
      </c>
      <c r="B12" s="49" t="s">
        <v>905</v>
      </c>
      <c r="C12" s="212" t="s">
        <v>906</v>
      </c>
      <c r="D12" s="213" t="s">
        <v>891</v>
      </c>
      <c r="E12" s="214">
        <v>8</v>
      </c>
      <c r="F12" s="214">
        <v>4</v>
      </c>
      <c r="G12" s="212" t="s">
        <v>106</v>
      </c>
      <c r="H12" s="214" t="s">
        <v>213</v>
      </c>
      <c r="I12" s="214" t="s">
        <v>364</v>
      </c>
      <c r="J12" s="49" t="s">
        <v>907</v>
      </c>
      <c r="K12" s="49" t="s">
        <v>908</v>
      </c>
      <c r="L12" s="212" t="s">
        <v>806</v>
      </c>
      <c r="M12" s="212"/>
      <c r="N12" s="76">
        <f>COUNTIF(FMEA_DATA!$M$4:$M$18,"OPEN")</f>
        <v>12</v>
      </c>
      <c r="O12" s="120" t="str">
        <f ca="1">IFERROR(SS_DATA!C15,"—")</f>
        <v/>
      </c>
    </row>
    <row r="13" spans="1:15" ht="24" customHeight="1" x14ac:dyDescent="0.35">
      <c r="A13" s="213" t="s">
        <v>909</v>
      </c>
      <c r="B13" s="49" t="s">
        <v>910</v>
      </c>
      <c r="C13" s="212" t="s">
        <v>911</v>
      </c>
      <c r="D13" s="213" t="s">
        <v>901</v>
      </c>
      <c r="E13" s="214">
        <v>3</v>
      </c>
      <c r="F13" s="214">
        <v>4</v>
      </c>
      <c r="G13" s="212" t="s">
        <v>90</v>
      </c>
      <c r="H13" s="214" t="s">
        <v>213</v>
      </c>
      <c r="I13" s="214" t="s">
        <v>364</v>
      </c>
      <c r="J13" s="49" t="s">
        <v>912</v>
      </c>
      <c r="K13" s="49" t="s">
        <v>893</v>
      </c>
      <c r="L13" s="212" t="s">
        <v>800</v>
      </c>
      <c r="M13" s="212"/>
      <c r="N13" s="76">
        <f>COUNTIF(FMEA_DATA!$M$4:$M$18,"OPEN")</f>
        <v>12</v>
      </c>
      <c r="O13" s="120" t="str">
        <f ca="1">IFERROR(SS_DATA!C15,"—")</f>
        <v/>
      </c>
    </row>
    <row r="14" spans="1:15" ht="24" customHeight="1" x14ac:dyDescent="0.35">
      <c r="A14" s="213" t="s">
        <v>913</v>
      </c>
      <c r="B14" s="49" t="s">
        <v>914</v>
      </c>
      <c r="C14" s="212" t="s">
        <v>896</v>
      </c>
      <c r="D14" s="213" t="s">
        <v>891</v>
      </c>
      <c r="E14" s="214">
        <v>5</v>
      </c>
      <c r="F14" s="214">
        <v>4</v>
      </c>
      <c r="G14" s="212" t="s">
        <v>102</v>
      </c>
      <c r="H14" s="214" t="s">
        <v>213</v>
      </c>
      <c r="I14" s="214" t="s">
        <v>364</v>
      </c>
      <c r="J14" s="49" t="s">
        <v>915</v>
      </c>
      <c r="K14" s="49" t="s">
        <v>893</v>
      </c>
      <c r="L14" s="212" t="s">
        <v>836</v>
      </c>
      <c r="M14" s="212"/>
      <c r="N14" s="76">
        <f>COUNTIF(FMEA_DATA!$M$4:$M$18,"OPEN")</f>
        <v>12</v>
      </c>
      <c r="O14" s="120" t="str">
        <f ca="1">IFERROR(SS_DATA!C15,"—")</f>
        <v/>
      </c>
    </row>
    <row r="15" spans="1:15" ht="24" customHeight="1" x14ac:dyDescent="0.35">
      <c r="A15" s="216" t="s">
        <v>916</v>
      </c>
      <c r="B15" s="217" t="s">
        <v>917</v>
      </c>
      <c r="C15" s="212" t="s">
        <v>900</v>
      </c>
      <c r="D15" s="213" t="s">
        <v>901</v>
      </c>
      <c r="E15" s="214">
        <v>3</v>
      </c>
      <c r="F15" s="214">
        <v>4</v>
      </c>
      <c r="G15" s="212" t="s">
        <v>819</v>
      </c>
      <c r="H15" s="214" t="s">
        <v>918</v>
      </c>
      <c r="I15" s="214" t="s">
        <v>364</v>
      </c>
      <c r="J15" s="217" t="s">
        <v>919</v>
      </c>
      <c r="K15" s="49" t="s">
        <v>893</v>
      </c>
      <c r="L15" s="212" t="s">
        <v>903</v>
      </c>
      <c r="M15" s="218"/>
      <c r="N15" s="76">
        <f>COUNTIF(FMEA_DATA!$M$4:$M$18,"OPEN")</f>
        <v>12</v>
      </c>
      <c r="O15" s="120" t="str">
        <f ca="1">IFERROR(SS_DATA!C15,"—")</f>
        <v/>
      </c>
    </row>
    <row r="16" spans="1:15" ht="24" customHeight="1" x14ac:dyDescent="0.35">
      <c r="A16" s="216" t="s">
        <v>920</v>
      </c>
      <c r="B16" s="217" t="s">
        <v>921</v>
      </c>
      <c r="C16" s="212" t="s">
        <v>922</v>
      </c>
      <c r="D16" s="213" t="s">
        <v>923</v>
      </c>
      <c r="E16" s="214">
        <v>3</v>
      </c>
      <c r="F16" s="214">
        <v>5</v>
      </c>
      <c r="G16" s="212" t="s">
        <v>819</v>
      </c>
      <c r="H16" s="214" t="s">
        <v>918</v>
      </c>
      <c r="I16" s="214" t="s">
        <v>364</v>
      </c>
      <c r="J16" s="217" t="s">
        <v>924</v>
      </c>
      <c r="K16" s="49" t="s">
        <v>893</v>
      </c>
      <c r="L16" s="212" t="s">
        <v>595</v>
      </c>
      <c r="M16" s="218"/>
      <c r="N16" s="76">
        <f>COUNTIF(FMEA_DATA!$M$4:$M$18,"OPEN")</f>
        <v>12</v>
      </c>
      <c r="O16" s="120" t="str">
        <f ca="1">IFERROR(SS_DATA!C15,"—")</f>
        <v/>
      </c>
    </row>
    <row r="17" spans="1:15" ht="24" customHeight="1" x14ac:dyDescent="0.35">
      <c r="A17" s="216" t="s">
        <v>925</v>
      </c>
      <c r="B17" s="217" t="s">
        <v>926</v>
      </c>
      <c r="C17" s="212" t="s">
        <v>906</v>
      </c>
      <c r="D17" s="213" t="s">
        <v>891</v>
      </c>
      <c r="E17" s="214">
        <v>8</v>
      </c>
      <c r="F17" s="214">
        <v>5</v>
      </c>
      <c r="G17" s="212" t="s">
        <v>106</v>
      </c>
      <c r="H17" s="214" t="s">
        <v>918</v>
      </c>
      <c r="I17" s="214" t="s">
        <v>364</v>
      </c>
      <c r="J17" s="217" t="s">
        <v>927</v>
      </c>
      <c r="K17" s="49" t="s">
        <v>893</v>
      </c>
      <c r="L17" s="212" t="s">
        <v>806</v>
      </c>
      <c r="M17" s="218"/>
      <c r="N17" s="76">
        <f>COUNTIF(FMEA_DATA!$M$4:$M$18,"OPEN")</f>
        <v>12</v>
      </c>
      <c r="O17" s="120" t="str">
        <f ca="1">IFERROR(SS_DATA!C15,"—")</f>
        <v/>
      </c>
    </row>
    <row r="18" spans="1:15" ht="24" customHeight="1" x14ac:dyDescent="0.35">
      <c r="A18" s="216" t="s">
        <v>928</v>
      </c>
      <c r="B18" s="217" t="s">
        <v>929</v>
      </c>
      <c r="C18" s="212" t="s">
        <v>911</v>
      </c>
      <c r="D18" s="213" t="s">
        <v>901</v>
      </c>
      <c r="E18" s="214">
        <v>5</v>
      </c>
      <c r="F18" s="214">
        <v>5</v>
      </c>
      <c r="G18" s="212" t="s">
        <v>90</v>
      </c>
      <c r="H18" s="214" t="s">
        <v>918</v>
      </c>
      <c r="I18" s="214" t="s">
        <v>364</v>
      </c>
      <c r="J18" s="217" t="s">
        <v>930</v>
      </c>
      <c r="K18" s="49" t="s">
        <v>893</v>
      </c>
      <c r="L18" s="212" t="s">
        <v>800</v>
      </c>
      <c r="M18" s="218"/>
      <c r="N18" s="76">
        <f>COUNTIF(FMEA_DATA!$M$4:$M$18,"OPEN")</f>
        <v>12</v>
      </c>
      <c r="O18" s="120" t="str">
        <f ca="1">IFERROR(SS_DATA!C15,"—")</f>
        <v/>
      </c>
    </row>
    <row r="19" spans="1:15" ht="24" customHeight="1" x14ac:dyDescent="0.35">
      <c r="A19" s="219" t="s">
        <v>931</v>
      </c>
      <c r="B19" s="220" t="s">
        <v>932</v>
      </c>
      <c r="C19" s="212" t="s">
        <v>890</v>
      </c>
      <c r="D19" s="213" t="s">
        <v>891</v>
      </c>
      <c r="E19" s="214">
        <v>5</v>
      </c>
      <c r="F19" s="214">
        <v>5</v>
      </c>
      <c r="G19" s="212" t="s">
        <v>102</v>
      </c>
      <c r="H19" s="214" t="s">
        <v>933</v>
      </c>
      <c r="I19" s="214" t="s">
        <v>364</v>
      </c>
      <c r="J19" s="220" t="s">
        <v>934</v>
      </c>
      <c r="K19" s="49" t="s">
        <v>893</v>
      </c>
      <c r="L19" s="212" t="s">
        <v>935</v>
      </c>
      <c r="M19" s="221"/>
      <c r="N19" s="76">
        <f>COUNTIF(FMEA_DATA!$M$4:$M$18,"OPEN")</f>
        <v>12</v>
      </c>
      <c r="O19" s="120" t="str">
        <f ca="1">IFERROR(SS_DATA!C15,"—")</f>
        <v/>
      </c>
    </row>
    <row r="20" spans="1:15" ht="24" customHeight="1" x14ac:dyDescent="0.35">
      <c r="A20" s="219" t="s">
        <v>936</v>
      </c>
      <c r="B20" s="220" t="s">
        <v>937</v>
      </c>
      <c r="C20" s="212" t="s">
        <v>922</v>
      </c>
      <c r="D20" s="213" t="s">
        <v>901</v>
      </c>
      <c r="E20" s="214">
        <v>5</v>
      </c>
      <c r="F20" s="214">
        <v>6</v>
      </c>
      <c r="G20" s="212" t="s">
        <v>819</v>
      </c>
      <c r="H20" s="214" t="s">
        <v>933</v>
      </c>
      <c r="I20" s="214" t="s">
        <v>364</v>
      </c>
      <c r="J20" s="220" t="s">
        <v>938</v>
      </c>
      <c r="K20" s="49" t="s">
        <v>893</v>
      </c>
      <c r="L20" s="212" t="s">
        <v>806</v>
      </c>
      <c r="M20" s="221"/>
      <c r="N20" s="76">
        <f>COUNTIF(FMEA_DATA!$M$4:$M$18,"OPEN")</f>
        <v>12</v>
      </c>
      <c r="O20" s="120" t="str">
        <f ca="1">IFERROR(SS_DATA!C15,"—")</f>
        <v/>
      </c>
    </row>
    <row r="21" spans="1:15" ht="24" customHeight="1" x14ac:dyDescent="0.35">
      <c r="A21" s="219" t="s">
        <v>939</v>
      </c>
      <c r="B21" s="220" t="s">
        <v>940</v>
      </c>
      <c r="C21" s="212" t="s">
        <v>941</v>
      </c>
      <c r="D21" s="213" t="s">
        <v>923</v>
      </c>
      <c r="E21" s="214">
        <v>8</v>
      </c>
      <c r="F21" s="214">
        <v>6</v>
      </c>
      <c r="G21" s="212" t="s">
        <v>102</v>
      </c>
      <c r="H21" s="214" t="s">
        <v>933</v>
      </c>
      <c r="I21" s="214" t="s">
        <v>364</v>
      </c>
      <c r="J21" s="220" t="s">
        <v>942</v>
      </c>
      <c r="K21" s="49" t="s">
        <v>893</v>
      </c>
      <c r="L21" s="212" t="s">
        <v>941</v>
      </c>
      <c r="M21" s="221"/>
      <c r="N21" s="76">
        <f>COUNTIF(FMEA_DATA!$M$4:$M$18,"OPEN")</f>
        <v>12</v>
      </c>
      <c r="O21" s="120" t="str">
        <f ca="1">IFERROR(SS_DATA!C15,"—")</f>
        <v/>
      </c>
    </row>
    <row r="22" spans="1:15" ht="24" customHeight="1" x14ac:dyDescent="0.35">
      <c r="A22" s="219" t="s">
        <v>943</v>
      </c>
      <c r="B22" s="220" t="s">
        <v>944</v>
      </c>
      <c r="C22" s="212" t="s">
        <v>900</v>
      </c>
      <c r="D22" s="213" t="s">
        <v>945</v>
      </c>
      <c r="E22" s="214">
        <v>13</v>
      </c>
      <c r="F22" s="214">
        <v>7</v>
      </c>
      <c r="G22" s="212" t="s">
        <v>819</v>
      </c>
      <c r="H22" s="214" t="s">
        <v>933</v>
      </c>
      <c r="I22" s="214" t="s">
        <v>364</v>
      </c>
      <c r="J22" s="220" t="s">
        <v>946</v>
      </c>
      <c r="K22" s="49" t="s">
        <v>893</v>
      </c>
      <c r="L22" s="212" t="s">
        <v>935</v>
      </c>
      <c r="M22" s="221"/>
      <c r="N22" s="76">
        <f>COUNTIF(FMEA_DATA!$M$4:$M$18,"OPEN")</f>
        <v>12</v>
      </c>
      <c r="O22" s="120" t="str">
        <f ca="1">IFERROR(SS_DATA!C15,"—")</f>
        <v/>
      </c>
    </row>
    <row r="23" spans="1:15" ht="24" customHeight="1" x14ac:dyDescent="0.35">
      <c r="A23" s="219" t="s">
        <v>947</v>
      </c>
      <c r="B23" s="220" t="s">
        <v>948</v>
      </c>
      <c r="C23" s="212" t="s">
        <v>949</v>
      </c>
      <c r="D23" s="213" t="s">
        <v>891</v>
      </c>
      <c r="E23" s="214">
        <v>3</v>
      </c>
      <c r="F23" s="214">
        <v>6</v>
      </c>
      <c r="G23" s="212" t="s">
        <v>102</v>
      </c>
      <c r="H23" s="214" t="s">
        <v>933</v>
      </c>
      <c r="I23" s="214" t="s">
        <v>364</v>
      </c>
      <c r="J23" s="220" t="s">
        <v>950</v>
      </c>
      <c r="K23" s="49" t="s">
        <v>893</v>
      </c>
      <c r="L23" s="212" t="s">
        <v>806</v>
      </c>
      <c r="M23" s="221"/>
      <c r="N23" s="76">
        <f>COUNTIF(FMEA_DATA!$M$4:$M$18,"OPEN")</f>
        <v>12</v>
      </c>
      <c r="O23" s="120" t="str">
        <f ca="1">IFERROR(SS_DATA!C15,"—")</f>
        <v/>
      </c>
    </row>
    <row r="25" spans="1:15" ht="19.5" customHeight="1" x14ac:dyDescent="0.35">
      <c r="A25" s="350" t="s">
        <v>951</v>
      </c>
      <c r="B25" s="350"/>
      <c r="C25" s="350"/>
      <c r="D25" s="350"/>
      <c r="E25" s="350"/>
      <c r="F25" s="350"/>
      <c r="G25" s="350"/>
      <c r="H25" s="350"/>
      <c r="I25" s="350"/>
      <c r="J25" s="350"/>
      <c r="K25" s="350"/>
      <c r="L25" s="350"/>
      <c r="M25" s="350"/>
    </row>
    <row r="26" spans="1:15" ht="27.75" customHeight="1" x14ac:dyDescent="0.35">
      <c r="A26" s="148" t="s">
        <v>952</v>
      </c>
      <c r="B26" s="148" t="s">
        <v>953</v>
      </c>
      <c r="C26" s="148" t="s">
        <v>954</v>
      </c>
      <c r="D26" s="148" t="s">
        <v>955</v>
      </c>
      <c r="E26" s="148" t="s">
        <v>956</v>
      </c>
      <c r="F26" s="148" t="s">
        <v>268</v>
      </c>
    </row>
    <row r="27" spans="1:15" ht="21.75" customHeight="1" x14ac:dyDescent="0.35">
      <c r="A27" s="222" t="s">
        <v>957</v>
      </c>
      <c r="B27" s="151">
        <v>40</v>
      </c>
      <c r="C27" s="151">
        <v>38</v>
      </c>
      <c r="D27" s="203">
        <f t="shared" ref="D27:D33" si="0">IFERROR(C27/B27,"")</f>
        <v>0.95</v>
      </c>
      <c r="E27" s="223">
        <f t="shared" ref="E27:E32" si="1">IFERROR(C27-B27,"")</f>
        <v>-2</v>
      </c>
      <c r="F27" s="167" t="str">
        <f t="shared" ref="F27:F32" si="2">IF(C27="","PENDING",IF(C27&gt;=B27,"MET ✓","UNDER ✗"))</f>
        <v>UNDER ✗</v>
      </c>
    </row>
    <row r="28" spans="1:15" ht="21.75" customHeight="1" x14ac:dyDescent="0.35">
      <c r="A28" s="224" t="s">
        <v>958</v>
      </c>
      <c r="B28" s="151">
        <v>40</v>
      </c>
      <c r="C28" s="151">
        <v>35</v>
      </c>
      <c r="D28" s="207">
        <f t="shared" si="0"/>
        <v>0.875</v>
      </c>
      <c r="E28" s="225">
        <f t="shared" si="1"/>
        <v>-5</v>
      </c>
      <c r="F28" s="171" t="str">
        <f t="shared" si="2"/>
        <v>UNDER ✗</v>
      </c>
    </row>
    <row r="29" spans="1:15" ht="21.75" customHeight="1" x14ac:dyDescent="0.35">
      <c r="A29" s="222" t="s">
        <v>959</v>
      </c>
      <c r="B29" s="151">
        <v>45</v>
      </c>
      <c r="C29" s="151">
        <v>40</v>
      </c>
      <c r="D29" s="203">
        <f t="shared" si="0"/>
        <v>0.88888888888888884</v>
      </c>
      <c r="E29" s="223">
        <f t="shared" si="1"/>
        <v>-5</v>
      </c>
      <c r="F29" s="167" t="str">
        <f t="shared" si="2"/>
        <v>UNDER ✗</v>
      </c>
    </row>
    <row r="30" spans="1:15" ht="21.75" customHeight="1" x14ac:dyDescent="0.35">
      <c r="A30" s="224" t="s">
        <v>960</v>
      </c>
      <c r="B30" s="151">
        <v>40</v>
      </c>
      <c r="C30" s="151"/>
      <c r="D30" s="207">
        <f t="shared" si="0"/>
        <v>0</v>
      </c>
      <c r="E30" s="225">
        <f t="shared" si="1"/>
        <v>-40</v>
      </c>
      <c r="F30" s="171" t="str">
        <f t="shared" si="2"/>
        <v>PENDING</v>
      </c>
    </row>
    <row r="31" spans="1:15" ht="21.75" customHeight="1" x14ac:dyDescent="0.35">
      <c r="A31" s="222" t="s">
        <v>961</v>
      </c>
      <c r="B31" s="151">
        <v>40</v>
      </c>
      <c r="C31" s="151"/>
      <c r="D31" s="203">
        <f t="shared" si="0"/>
        <v>0</v>
      </c>
      <c r="E31" s="223">
        <f t="shared" si="1"/>
        <v>-40</v>
      </c>
      <c r="F31" s="167" t="str">
        <f t="shared" si="2"/>
        <v>PENDING</v>
      </c>
    </row>
    <row r="32" spans="1:15" ht="21.75" customHeight="1" x14ac:dyDescent="0.35">
      <c r="A32" s="224" t="s">
        <v>962</v>
      </c>
      <c r="B32" s="151">
        <v>45</v>
      </c>
      <c r="C32" s="151"/>
      <c r="D32" s="207">
        <f t="shared" si="0"/>
        <v>0</v>
      </c>
      <c r="E32" s="225">
        <f t="shared" si="1"/>
        <v>-45</v>
      </c>
      <c r="F32" s="171" t="str">
        <f t="shared" si="2"/>
        <v>PENDING</v>
      </c>
    </row>
    <row r="33" spans="1:13" ht="24" customHeight="1" x14ac:dyDescent="0.35">
      <c r="A33" s="226" t="s">
        <v>963</v>
      </c>
      <c r="B33" s="152">
        <f>AVERAGE(B27:B32)</f>
        <v>41.666666666666664</v>
      </c>
      <c r="C33" s="152">
        <f>IFERROR(AVERAGEIF(C27:C32,"&gt;0"),"")</f>
        <v>37.666666666666664</v>
      </c>
      <c r="D33" s="227">
        <f t="shared" si="0"/>
        <v>0.90400000000000003</v>
      </c>
    </row>
    <row r="35" spans="1:13" ht="19.5" customHeight="1" x14ac:dyDescent="0.35">
      <c r="A35" s="297" t="s">
        <v>964</v>
      </c>
      <c r="B35" s="297"/>
      <c r="C35" s="297"/>
      <c r="D35" s="297"/>
      <c r="E35" s="297"/>
      <c r="F35" s="297"/>
      <c r="G35" s="297"/>
      <c r="H35" s="297"/>
      <c r="I35" s="297"/>
      <c r="J35" s="297"/>
      <c r="K35" s="297"/>
      <c r="L35" s="297"/>
      <c r="M35" s="297"/>
    </row>
    <row r="36" spans="1:13" ht="27.75" customHeight="1" x14ac:dyDescent="0.35">
      <c r="A36" s="38" t="s">
        <v>965</v>
      </c>
      <c r="B36" s="38" t="s">
        <v>577</v>
      </c>
      <c r="C36" s="38" t="s">
        <v>213</v>
      </c>
      <c r="D36" s="38" t="s">
        <v>918</v>
      </c>
      <c r="E36" s="38" t="s">
        <v>966</v>
      </c>
      <c r="F36" s="38" t="s">
        <v>967</v>
      </c>
      <c r="G36" s="38" t="s">
        <v>968</v>
      </c>
      <c r="H36" s="38" t="s">
        <v>969</v>
      </c>
    </row>
    <row r="37" spans="1:13" ht="16.5" customHeight="1" x14ac:dyDescent="0.35">
      <c r="A37" s="157">
        <f>COUNTA(A9:A23)</f>
        <v>15</v>
      </c>
      <c r="B37" s="157">
        <f>COUNTIF(H9:H23,"DONE")</f>
        <v>3</v>
      </c>
      <c r="C37" s="157">
        <f>COUNTIF(H9:H23,"IN PROGRESS")</f>
        <v>3</v>
      </c>
      <c r="D37" s="157">
        <f>COUNTIF(H9:H23,"TO DO")</f>
        <v>4</v>
      </c>
      <c r="E37" s="157">
        <f>SUMIF(H9:H23,"DONE",E9:E23)</f>
        <v>18</v>
      </c>
      <c r="F37" s="157">
        <f>SUMIF(F9:F23,A5,E9:E23)</f>
        <v>19</v>
      </c>
      <c r="G37" s="163">
        <f>IFERROR(COUNTIF(H9:H23,"DONE")/COUNTA(A9:A23),0)</f>
        <v>0.2</v>
      </c>
      <c r="H37" s="157">
        <f>IFERROR(AVERAGEIF(C27:C32,"&gt;0"),"")</f>
        <v>37.666666666666664</v>
      </c>
    </row>
  </sheetData>
  <mergeCells count="6">
    <mergeCell ref="A35:M35"/>
    <mergeCell ref="A1:M1"/>
    <mergeCell ref="A2:M2"/>
    <mergeCell ref="A3:M3"/>
    <mergeCell ref="A7:M7"/>
    <mergeCell ref="A25:M25"/>
  </mergeCells>
  <dataValidations count="5">
    <dataValidation type="list" allowBlank="1" showErrorMessage="1" errorTitle="Invalid Entry" error="Select from list only." sqref="B5" xr:uid="{00000000-0002-0000-1100-000000000000}">
      <formula1>"1 week (7 days),2 weeks (14 days),3 weeks (21 days),4 weeks (28 days)"</formula1>
      <formula2>0</formula2>
    </dataValidation>
    <dataValidation type="list" allowBlank="1" showErrorMessage="1" errorTitle="Invalid Entry" error="Select from list only." sqref="D9:D25" xr:uid="{00000000-0002-0000-1100-000001000000}">
      <formula1>"1-MUST,2-SHOULD,3-COULD,4-WONT"</formula1>
      <formula2>0</formula2>
    </dataValidation>
    <dataValidation type="list" allowBlank="1" showErrorMessage="1" errorTitle="Invalid Entry" error="Select from list only." sqref="E9:E25" xr:uid="{00000000-0002-0000-1100-000002000000}">
      <formula1>"1,2,3,5,8,13,21,34"</formula1>
      <formula2>0</formula2>
    </dataValidation>
    <dataValidation type="list" allowBlank="1" showErrorMessage="1" errorTitle="Invalid Entry" error="Select from list only." sqref="A5 F9:F25" xr:uid="{00000000-0002-0000-1100-000003000000}">
      <formula1>"1,2,3,4,5,6,7,8,9,10"</formula1>
      <formula2>0</formula2>
    </dataValidation>
    <dataValidation type="list" allowBlank="1" showErrorMessage="1" errorTitle="Invalid Entry" error="Select from list only." sqref="I9:I25" xr:uid="{00000000-0002-0000-1100-000004000000}">
      <formula1>"YES,NO"</formula1>
      <formula2>0</formula2>
    </dataValidation>
  </dataValidations>
  <pageMargins left="0.75" right="0.75" top="1" bottom="1" header="0.511811023622047" footer="0.511811023622047"/>
  <pageSetup paperSize="9" orientation="portrait" horizontalDpi="300" verticalDpi="300"/>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Ark28">
    <tabColor rgb="FF2E75B6"/>
  </sheetPr>
  <dimension ref="A1:H23"/>
  <sheetViews>
    <sheetView showGridLines="0" zoomScaleNormal="100" workbookViewId="0">
      <pane ySplit="3" topLeftCell="A4" activePane="bottomLeft" state="frozen"/>
      <selection pane="bottomLeft" activeCell="D5" sqref="D5"/>
    </sheetView>
  </sheetViews>
  <sheetFormatPr defaultColWidth="8.6328125" defaultRowHeight="14.5" x14ac:dyDescent="0.35"/>
  <cols>
    <col min="1" max="4" width="14" customWidth="1"/>
    <col min="5" max="6" width="20" customWidth="1"/>
    <col min="7" max="8" width="14" customWidth="1"/>
  </cols>
  <sheetData>
    <row r="1" spans="1:8" ht="30" customHeight="1" x14ac:dyDescent="0.35">
      <c r="A1" s="348" t="s">
        <v>970</v>
      </c>
      <c r="B1" s="348"/>
      <c r="C1" s="348"/>
      <c r="D1" s="348"/>
      <c r="E1" s="348"/>
      <c r="F1" s="348"/>
      <c r="G1" s="348"/>
      <c r="H1" s="348"/>
    </row>
    <row r="2" spans="1:8" ht="18" customHeight="1" x14ac:dyDescent="0.35">
      <c r="A2" s="349" t="s">
        <v>971</v>
      </c>
      <c r="B2" s="349"/>
      <c r="C2" s="349"/>
      <c r="D2" s="349"/>
      <c r="E2" s="349"/>
      <c r="F2" s="349"/>
      <c r="G2" s="349"/>
      <c r="H2" s="349"/>
    </row>
    <row r="3" spans="1:8" ht="19.5" customHeight="1" x14ac:dyDescent="0.35">
      <c r="A3" s="301" t="s">
        <v>972</v>
      </c>
      <c r="B3" s="301"/>
      <c r="C3" s="301"/>
      <c r="D3" s="301"/>
      <c r="E3" s="301"/>
      <c r="F3" s="301"/>
      <c r="G3" s="301"/>
      <c r="H3" s="301"/>
    </row>
    <row r="4" spans="1:8" ht="27.75" customHeight="1" x14ac:dyDescent="0.35">
      <c r="A4" s="206" t="s">
        <v>933</v>
      </c>
      <c r="B4" s="206" t="s">
        <v>918</v>
      </c>
      <c r="C4" s="206" t="s">
        <v>213</v>
      </c>
      <c r="D4" s="206" t="s">
        <v>577</v>
      </c>
      <c r="E4" s="206" t="s">
        <v>973</v>
      </c>
      <c r="F4" s="206" t="s">
        <v>127</v>
      </c>
    </row>
    <row r="5" spans="1:8" ht="27.75" customHeight="1" x14ac:dyDescent="0.35">
      <c r="A5" s="228">
        <f>COUNTIF(AGILE_DATA!H9:H23,"BACKLOG")</f>
        <v>5</v>
      </c>
      <c r="B5" s="229">
        <f>COUNTIF(AGILE_DATA!H9:H23,"TO DO")</f>
        <v>4</v>
      </c>
      <c r="C5" s="230">
        <f>COUNTIF(AGILE_DATA!H9:H23,"IN PROGRESS")</f>
        <v>3</v>
      </c>
      <c r="D5" s="231">
        <f>COUNTIF(AGILE_DATA!H9:H23,"DONE")</f>
        <v>3</v>
      </c>
      <c r="E5" s="38" t="s">
        <v>974</v>
      </c>
      <c r="F5" s="232">
        <f>AGILE_DATA!A5</f>
        <v>4</v>
      </c>
    </row>
    <row r="6" spans="1:8" ht="27.75" customHeight="1" x14ac:dyDescent="0.35">
      <c r="A6" s="233" t="str">
        <f>SUMIF(AGILE_DATA!H9:H23,"BACKLOG",AGILE_DATA!E9:E23)&amp;" pts"</f>
        <v>34 pts</v>
      </c>
      <c r="B6" s="234" t="str">
        <f>SUMIF(AGILE_DATA!H9:H23,"TO DO",AGILE_DATA!E9:E23)&amp;" pts"</f>
        <v>19 pts</v>
      </c>
      <c r="C6" s="232" t="str">
        <f>SUMIF(AGILE_DATA!H9:H23,"IN PROGRESS",AGILE_DATA!E9:E23)&amp;" pts"</f>
        <v>16 pts</v>
      </c>
      <c r="D6" s="235" t="str">
        <f>SUMIF(AGILE_DATA!H9:H23,"DONE",AGILE_DATA!E9:E23)&amp;" pts"</f>
        <v>18 pts</v>
      </c>
      <c r="E6" s="38" t="s">
        <v>975</v>
      </c>
      <c r="F6" s="232" t="str">
        <f>AGILE_DATA!D5</f>
        <v>2026-06-16</v>
      </c>
    </row>
    <row r="7" spans="1:8" ht="27.75" customHeight="1" x14ac:dyDescent="0.35">
      <c r="E7" s="38" t="s">
        <v>976</v>
      </c>
      <c r="F7" s="232" t="str">
        <f>AGILE_DATA!E5&amp;" pts"</f>
        <v>40 pts</v>
      </c>
    </row>
    <row r="8" spans="1:8" ht="27.75" customHeight="1" x14ac:dyDescent="0.35">
      <c r="E8" s="38" t="s">
        <v>977</v>
      </c>
      <c r="F8" s="232" t="str">
        <f>SUMIF(AGILE_DATA!F9:F23,AGILE_DATA!A5,AGILE_DATA!E9:E23)&amp;" pts"</f>
        <v>19 pts</v>
      </c>
    </row>
    <row r="9" spans="1:8" ht="27.75" customHeight="1" x14ac:dyDescent="0.35">
      <c r="E9" s="38" t="s">
        <v>978</v>
      </c>
      <c r="F9" s="236">
        <f>IFERROR(SUMIF(AGILE_DATA!F9:F23,AGILE_DATA!A5,AGILE_DATA!E9:E23)/AGILE_DATA!E5,0)</f>
        <v>0.47499999999999998</v>
      </c>
    </row>
    <row r="10" spans="1:8" ht="27.75" customHeight="1" x14ac:dyDescent="0.35">
      <c r="E10" s="38" t="s">
        <v>979</v>
      </c>
      <c r="F10" s="232">
        <f>COUNTA(AGILE_DATA!K9:K23)-COUNTIF(AGILE_DATA!K9:K23,"None")</f>
        <v>1</v>
      </c>
    </row>
    <row r="12" spans="1:8" ht="19.5" customHeight="1" x14ac:dyDescent="0.35">
      <c r="A12" s="350" t="s">
        <v>980</v>
      </c>
      <c r="B12" s="350"/>
      <c r="C12" s="350"/>
      <c r="D12" s="350"/>
      <c r="E12" s="350"/>
      <c r="F12" s="350"/>
      <c r="G12" s="350"/>
      <c r="H12" s="350"/>
    </row>
    <row r="13" spans="1:8" ht="24" customHeight="1" x14ac:dyDescent="0.35">
      <c r="A13" s="237" t="s">
        <v>952</v>
      </c>
      <c r="B13" s="237" t="s">
        <v>981</v>
      </c>
      <c r="C13" s="237" t="s">
        <v>982</v>
      </c>
      <c r="D13" s="237" t="s">
        <v>955</v>
      </c>
      <c r="E13" s="237" t="s">
        <v>956</v>
      </c>
      <c r="F13" s="237" t="s">
        <v>268</v>
      </c>
    </row>
    <row r="14" spans="1:8" ht="19.5" customHeight="1" x14ac:dyDescent="0.35">
      <c r="A14" s="158" t="str">
        <f>AGILE_DATA!A27</f>
        <v>Sprint 1</v>
      </c>
      <c r="B14" s="158">
        <f>AGILE_DATA!B27</f>
        <v>40</v>
      </c>
      <c r="C14" s="158">
        <f>AGILE_DATA!C27</f>
        <v>38</v>
      </c>
      <c r="D14" s="207">
        <f>AGILE_DATA!D27</f>
        <v>0.95</v>
      </c>
      <c r="E14" s="158">
        <f>AGILE_DATA!E27</f>
        <v>-2</v>
      </c>
      <c r="F14" s="158" t="str">
        <f>AGILE_DATA!F27</f>
        <v>UNDER ✗</v>
      </c>
    </row>
    <row r="15" spans="1:8" ht="19.5" customHeight="1" x14ac:dyDescent="0.35">
      <c r="A15" s="161" t="str">
        <f>AGILE_DATA!A28</f>
        <v>Sprint 2</v>
      </c>
      <c r="B15" s="161">
        <f>AGILE_DATA!B28</f>
        <v>40</v>
      </c>
      <c r="C15" s="161">
        <f>AGILE_DATA!C28</f>
        <v>35</v>
      </c>
      <c r="D15" s="203">
        <f>AGILE_DATA!D28</f>
        <v>0.875</v>
      </c>
      <c r="E15" s="161">
        <f>AGILE_DATA!E28</f>
        <v>-5</v>
      </c>
      <c r="F15" s="161" t="str">
        <f>AGILE_DATA!F28</f>
        <v>UNDER ✗</v>
      </c>
    </row>
    <row r="16" spans="1:8" ht="19.5" customHeight="1" x14ac:dyDescent="0.35">
      <c r="A16" s="158" t="str">
        <f>AGILE_DATA!A29</f>
        <v>Sprint 3</v>
      </c>
      <c r="B16" s="158">
        <f>AGILE_DATA!B29</f>
        <v>45</v>
      </c>
      <c r="C16" s="158">
        <f>AGILE_DATA!C29</f>
        <v>40</v>
      </c>
      <c r="D16" s="207">
        <f>AGILE_DATA!D29</f>
        <v>0.88888888888888884</v>
      </c>
      <c r="E16" s="158">
        <f>AGILE_DATA!E29</f>
        <v>-5</v>
      </c>
      <c r="F16" s="158" t="str">
        <f>AGILE_DATA!F29</f>
        <v>UNDER ✗</v>
      </c>
    </row>
    <row r="17" spans="1:8" ht="19.5" customHeight="1" x14ac:dyDescent="0.35">
      <c r="A17" s="161" t="str">
        <f>AGILE_DATA!A30</f>
        <v>Sprint 4</v>
      </c>
      <c r="B17" s="161">
        <f>AGILE_DATA!B30</f>
        <v>40</v>
      </c>
      <c r="C17" s="161">
        <f>AGILE_DATA!C30</f>
        <v>0</v>
      </c>
      <c r="D17" s="203">
        <f>AGILE_DATA!D30</f>
        <v>0</v>
      </c>
      <c r="E17" s="161">
        <f>AGILE_DATA!E30</f>
        <v>-40</v>
      </c>
      <c r="F17" s="161" t="str">
        <f>AGILE_DATA!F30</f>
        <v>PENDING</v>
      </c>
    </row>
    <row r="18" spans="1:8" ht="19.5" customHeight="1" x14ac:dyDescent="0.35">
      <c r="A18" s="158" t="str">
        <f>AGILE_DATA!A31</f>
        <v>Sprint 5</v>
      </c>
      <c r="B18" s="158">
        <f>AGILE_DATA!B31</f>
        <v>40</v>
      </c>
      <c r="C18" s="158">
        <f>AGILE_DATA!C31</f>
        <v>0</v>
      </c>
      <c r="D18" s="207">
        <f>AGILE_DATA!D31</f>
        <v>0</v>
      </c>
      <c r="E18" s="158">
        <f>AGILE_DATA!E31</f>
        <v>-40</v>
      </c>
      <c r="F18" s="158" t="str">
        <f>AGILE_DATA!F31</f>
        <v>PENDING</v>
      </c>
    </row>
    <row r="19" spans="1:8" ht="19.5" customHeight="1" x14ac:dyDescent="0.35">
      <c r="A19" s="161" t="str">
        <f>AGILE_DATA!A32</f>
        <v>Sprint 6</v>
      </c>
      <c r="B19" s="161">
        <f>AGILE_DATA!B32</f>
        <v>45</v>
      </c>
      <c r="C19" s="161">
        <f>AGILE_DATA!C32</f>
        <v>0</v>
      </c>
      <c r="D19" s="203">
        <f>AGILE_DATA!D32</f>
        <v>0</v>
      </c>
      <c r="E19" s="161">
        <f>AGILE_DATA!E32</f>
        <v>-45</v>
      </c>
      <c r="F19" s="161" t="str">
        <f>AGILE_DATA!F32</f>
        <v>PENDING</v>
      </c>
    </row>
    <row r="20" spans="1:8" ht="24" customHeight="1" x14ac:dyDescent="0.35">
      <c r="A20" s="152" t="str">
        <f>AGILE_DATA!A33</f>
        <v>AVERAGE</v>
      </c>
      <c r="B20" s="152">
        <f>AGILE_DATA!B33</f>
        <v>41.666666666666664</v>
      </c>
      <c r="C20" s="152">
        <f>AGILE_DATA!C33</f>
        <v>37.666666666666664</v>
      </c>
      <c r="D20" s="227">
        <f>AGILE_DATA!D33</f>
        <v>0.90400000000000003</v>
      </c>
    </row>
    <row r="21" spans="1:8" ht="19.5" customHeight="1" x14ac:dyDescent="0.35">
      <c r="A21" s="297" t="s">
        <v>983</v>
      </c>
      <c r="B21" s="297"/>
      <c r="C21" s="297"/>
      <c r="D21" s="297"/>
      <c r="E21" s="297"/>
      <c r="F21" s="297"/>
      <c r="G21" s="297"/>
      <c r="H21" s="297"/>
    </row>
    <row r="22" spans="1:8" ht="27.75" customHeight="1" x14ac:dyDescent="0.35">
      <c r="A22" s="38" t="s">
        <v>965</v>
      </c>
      <c r="B22" s="38" t="s">
        <v>577</v>
      </c>
      <c r="C22" s="38" t="s">
        <v>213</v>
      </c>
      <c r="D22" s="38" t="s">
        <v>918</v>
      </c>
      <c r="E22" s="38" t="s">
        <v>966</v>
      </c>
      <c r="F22" s="38" t="s">
        <v>967</v>
      </c>
      <c r="G22" s="38" t="s">
        <v>968</v>
      </c>
      <c r="H22" s="38" t="s">
        <v>969</v>
      </c>
    </row>
    <row r="23" spans="1:8" ht="16.5" customHeight="1" x14ac:dyDescent="0.35">
      <c r="A23" s="157">
        <f>AGILE_DATA!A37</f>
        <v>15</v>
      </c>
      <c r="B23" s="157">
        <f>AGILE_DATA!B37</f>
        <v>3</v>
      </c>
      <c r="C23" s="157">
        <f>AGILE_DATA!C37</f>
        <v>3</v>
      </c>
      <c r="D23" s="157">
        <f>AGILE_DATA!D37</f>
        <v>4</v>
      </c>
      <c r="E23" s="157">
        <f>AGILE_DATA!E37</f>
        <v>18</v>
      </c>
      <c r="F23" s="157">
        <f>AGILE_DATA!F37</f>
        <v>19</v>
      </c>
      <c r="G23" s="163">
        <f>AGILE_DATA!G37</f>
        <v>0.2</v>
      </c>
      <c r="H23" s="157">
        <f>AGILE_DATA!H37</f>
        <v>37.666666666666664</v>
      </c>
    </row>
  </sheetData>
  <mergeCells count="5">
    <mergeCell ref="A1:H1"/>
    <mergeCell ref="A2:H2"/>
    <mergeCell ref="A3:H3"/>
    <mergeCell ref="A12:H12"/>
    <mergeCell ref="A21:H21"/>
  </mergeCells>
  <pageMargins left="0.75" right="0.75" top="1" bottom="1" header="0.511811023622047" footer="0.511811023622047"/>
  <pageSetup paperSize="9" orientation="portrait" horizontalDpi="300" verticalDpi="300"/>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Ark29">
    <tabColor rgb="FF0078D4"/>
  </sheetPr>
  <dimension ref="A1:P47"/>
  <sheetViews>
    <sheetView showGridLines="0" zoomScaleNormal="100" workbookViewId="0">
      <pane ySplit="5" topLeftCell="A6" activePane="bottomLeft" state="frozen"/>
      <selection pane="bottomLeft" sqref="A1:N1"/>
    </sheetView>
  </sheetViews>
  <sheetFormatPr defaultColWidth="8.6328125" defaultRowHeight="14.5" x14ac:dyDescent="0.35"/>
  <cols>
    <col min="1" max="1" width="8" customWidth="1"/>
    <col min="2" max="2" width="11" customWidth="1"/>
    <col min="3" max="3" width="28" customWidth="1"/>
    <col min="4" max="4" width="18" customWidth="1"/>
    <col min="5" max="5" width="13" customWidth="1"/>
    <col min="6" max="6" width="12" customWidth="1"/>
    <col min="7" max="8" width="8" customWidth="1"/>
    <col min="9" max="9" width="9" customWidth="1"/>
    <col min="10" max="10" width="8" customWidth="1"/>
    <col min="11" max="11" width="13" customWidth="1"/>
    <col min="12" max="12" width="11" customWidth="1"/>
    <col min="13" max="13" width="16" customWidth="1"/>
    <col min="14" max="14" width="18" customWidth="1"/>
    <col min="15" max="16" width="12" customWidth="1"/>
  </cols>
  <sheetData>
    <row r="1" spans="1:16" ht="30" customHeight="1" x14ac:dyDescent="0.35">
      <c r="A1" s="348" t="s">
        <v>984</v>
      </c>
      <c r="B1" s="348"/>
      <c r="C1" s="348"/>
      <c r="D1" s="348"/>
      <c r="E1" s="348"/>
      <c r="F1" s="348"/>
      <c r="G1" s="348"/>
      <c r="H1" s="348"/>
      <c r="I1" s="348"/>
      <c r="J1" s="348"/>
      <c r="K1" s="348"/>
      <c r="L1" s="348"/>
      <c r="M1" s="348"/>
      <c r="N1" s="348"/>
    </row>
    <row r="2" spans="1:16" ht="18" customHeight="1" x14ac:dyDescent="0.35">
      <c r="A2" s="349" t="s">
        <v>985</v>
      </c>
      <c r="B2" s="349"/>
      <c r="C2" s="349"/>
      <c r="D2" s="349"/>
      <c r="E2" s="349"/>
      <c r="F2" s="349"/>
      <c r="G2" s="349"/>
      <c r="H2" s="349"/>
      <c r="I2" s="349"/>
      <c r="J2" s="349"/>
      <c r="K2" s="349"/>
      <c r="L2" s="349"/>
      <c r="M2" s="349"/>
      <c r="N2" s="349"/>
    </row>
    <row r="3" spans="1:16" ht="19.5" customHeight="1" x14ac:dyDescent="0.35">
      <c r="A3" s="350" t="s">
        <v>986</v>
      </c>
      <c r="B3" s="350"/>
      <c r="C3" s="350"/>
      <c r="D3" s="350"/>
      <c r="E3" s="350"/>
      <c r="F3" s="350"/>
      <c r="G3" s="350"/>
      <c r="H3" s="350"/>
      <c r="I3" s="350"/>
      <c r="J3" s="350"/>
      <c r="K3" s="350"/>
      <c r="L3" s="350"/>
      <c r="M3" s="350"/>
      <c r="N3" s="350"/>
    </row>
    <row r="4" spans="1:16" ht="30" customHeight="1" x14ac:dyDescent="0.35">
      <c r="A4" s="148" t="s">
        <v>987</v>
      </c>
      <c r="B4" s="148" t="s">
        <v>988</v>
      </c>
      <c r="C4" s="148" t="s">
        <v>989</v>
      </c>
      <c r="D4" s="148" t="s">
        <v>990</v>
      </c>
      <c r="E4" s="148" t="s">
        <v>991</v>
      </c>
      <c r="F4" s="148" t="s">
        <v>873</v>
      </c>
    </row>
    <row r="5" spans="1:16" ht="25.5" customHeight="1" x14ac:dyDescent="0.35">
      <c r="A5" s="151" t="s">
        <v>960</v>
      </c>
      <c r="B5" s="151" t="s">
        <v>875</v>
      </c>
      <c r="C5" s="151" t="s">
        <v>876</v>
      </c>
      <c r="D5" s="151" t="s">
        <v>992</v>
      </c>
      <c r="E5" s="151">
        <v>22</v>
      </c>
      <c r="F5" s="151">
        <v>5</v>
      </c>
    </row>
    <row r="7" spans="1:16" ht="19.5" customHeight="1" x14ac:dyDescent="0.35">
      <c r="A7" s="350" t="s">
        <v>993</v>
      </c>
      <c r="B7" s="350"/>
      <c r="C7" s="350"/>
      <c r="D7" s="350"/>
      <c r="E7" s="350"/>
      <c r="F7" s="350"/>
      <c r="G7" s="350"/>
      <c r="H7" s="350"/>
      <c r="I7" s="350"/>
      <c r="J7" s="350"/>
      <c r="K7" s="350"/>
      <c r="L7" s="350"/>
      <c r="M7" s="350"/>
      <c r="N7" s="350"/>
    </row>
    <row r="8" spans="1:16" ht="31.5" customHeight="1" x14ac:dyDescent="0.35">
      <c r="A8" s="148" t="s">
        <v>994</v>
      </c>
      <c r="B8" s="148" t="s">
        <v>995</v>
      </c>
      <c r="C8" s="148" t="s">
        <v>996</v>
      </c>
      <c r="D8" s="148" t="s">
        <v>997</v>
      </c>
      <c r="E8" s="148" t="s">
        <v>998</v>
      </c>
      <c r="F8" s="148" t="s">
        <v>999</v>
      </c>
      <c r="G8" s="148" t="s">
        <v>1000</v>
      </c>
      <c r="H8" s="148" t="s">
        <v>1001</v>
      </c>
    </row>
    <row r="9" spans="1:16" ht="21.75" customHeight="1" x14ac:dyDescent="0.35">
      <c r="A9" s="174" t="s">
        <v>1002</v>
      </c>
      <c r="B9" s="154" t="s">
        <v>102</v>
      </c>
      <c r="C9" s="151">
        <v>80</v>
      </c>
      <c r="D9" s="151">
        <v>0</v>
      </c>
      <c r="E9" s="187">
        <v>80</v>
      </c>
      <c r="F9" s="151">
        <v>72</v>
      </c>
      <c r="G9" s="223">
        <f>E9-F9</f>
        <v>8</v>
      </c>
      <c r="H9" s="203">
        <f t="shared" ref="H9:H14" si="0">IFERROR(F9/E9,0)</f>
        <v>0.9</v>
      </c>
    </row>
    <row r="10" spans="1:16" ht="21.75" customHeight="1" x14ac:dyDescent="0.35">
      <c r="A10" s="174" t="s">
        <v>1003</v>
      </c>
      <c r="B10" s="154" t="s">
        <v>819</v>
      </c>
      <c r="C10" s="151">
        <v>80</v>
      </c>
      <c r="D10" s="151">
        <v>2</v>
      </c>
      <c r="E10" s="191">
        <v>72</v>
      </c>
      <c r="F10" s="151">
        <v>65</v>
      </c>
      <c r="G10" s="225">
        <f>E10-F10</f>
        <v>7</v>
      </c>
      <c r="H10" s="207">
        <f t="shared" si="0"/>
        <v>0.90277777777777779</v>
      </c>
    </row>
    <row r="11" spans="1:16" ht="21.75" customHeight="1" x14ac:dyDescent="0.35">
      <c r="A11" s="174" t="s">
        <v>1004</v>
      </c>
      <c r="B11" s="154" t="s">
        <v>106</v>
      </c>
      <c r="C11" s="151">
        <v>80</v>
      </c>
      <c r="D11" s="151">
        <v>0</v>
      </c>
      <c r="E11" s="187">
        <v>80</v>
      </c>
      <c r="F11" s="151">
        <v>70</v>
      </c>
      <c r="G11" s="223">
        <f>E11-F11</f>
        <v>10</v>
      </c>
      <c r="H11" s="203">
        <f t="shared" si="0"/>
        <v>0.875</v>
      </c>
    </row>
    <row r="12" spans="1:16" ht="21.75" customHeight="1" x14ac:dyDescent="0.35">
      <c r="A12" s="174" t="s">
        <v>1005</v>
      </c>
      <c r="B12" s="154" t="s">
        <v>819</v>
      </c>
      <c r="C12" s="151">
        <v>80</v>
      </c>
      <c r="D12" s="151">
        <v>0</v>
      </c>
      <c r="E12" s="191">
        <v>80</v>
      </c>
      <c r="F12" s="151">
        <v>60</v>
      </c>
      <c r="G12" s="225">
        <f>E12-F12</f>
        <v>20</v>
      </c>
      <c r="H12" s="207">
        <f t="shared" si="0"/>
        <v>0.75</v>
      </c>
    </row>
    <row r="13" spans="1:16" ht="21.75" customHeight="1" x14ac:dyDescent="0.35">
      <c r="A13" s="174" t="s">
        <v>1006</v>
      </c>
      <c r="B13" s="154" t="s">
        <v>90</v>
      </c>
      <c r="C13" s="151">
        <v>40</v>
      </c>
      <c r="D13" s="151">
        <v>0</v>
      </c>
      <c r="E13" s="187">
        <v>40</v>
      </c>
      <c r="F13" s="151">
        <v>35</v>
      </c>
      <c r="G13" s="223">
        <f>E13-F13</f>
        <v>5</v>
      </c>
      <c r="H13" s="203">
        <f t="shared" si="0"/>
        <v>0.875</v>
      </c>
    </row>
    <row r="14" spans="1:16" ht="21.75" customHeight="1" x14ac:dyDescent="0.35">
      <c r="A14" s="205" t="s">
        <v>1007</v>
      </c>
      <c r="C14" s="152">
        <f>SUM(C9:C13)</f>
        <v>360</v>
      </c>
      <c r="E14" s="152">
        <f>SUM(E9:E13)</f>
        <v>352</v>
      </c>
      <c r="F14" s="152">
        <f>SUM(F9:F13)</f>
        <v>302</v>
      </c>
      <c r="G14" s="152">
        <f>SUM(G9:G13)</f>
        <v>50</v>
      </c>
      <c r="H14" s="227">
        <f t="shared" si="0"/>
        <v>0.85795454545454541</v>
      </c>
    </row>
    <row r="15" spans="1:16" ht="19.5" customHeight="1" x14ac:dyDescent="0.35">
      <c r="A15" s="297" t="s">
        <v>1008</v>
      </c>
      <c r="B15" s="297"/>
      <c r="C15" s="297"/>
      <c r="D15" s="297"/>
      <c r="E15" s="297"/>
      <c r="F15" s="297"/>
      <c r="G15" s="297"/>
      <c r="H15" s="297"/>
      <c r="I15" s="297"/>
      <c r="J15" s="297"/>
      <c r="K15" s="297"/>
      <c r="L15" s="297"/>
      <c r="M15" s="297"/>
      <c r="N15" s="297"/>
    </row>
    <row r="16" spans="1:16" ht="39.75" customHeight="1" x14ac:dyDescent="0.35">
      <c r="A16" s="38" t="s">
        <v>878</v>
      </c>
      <c r="B16" s="38" t="s">
        <v>1009</v>
      </c>
      <c r="C16" s="38" t="s">
        <v>1010</v>
      </c>
      <c r="D16" s="38" t="s">
        <v>1011</v>
      </c>
      <c r="E16" s="38" t="s">
        <v>883</v>
      </c>
      <c r="F16" s="38" t="s">
        <v>440</v>
      </c>
      <c r="G16" s="38" t="s">
        <v>881</v>
      </c>
      <c r="H16" s="38" t="s">
        <v>1012</v>
      </c>
      <c r="I16" s="38" t="s">
        <v>1013</v>
      </c>
      <c r="J16" s="38" t="s">
        <v>1014</v>
      </c>
      <c r="K16" s="38" t="s">
        <v>1015</v>
      </c>
      <c r="L16" s="38" t="s">
        <v>1016</v>
      </c>
      <c r="M16" s="38" t="s">
        <v>1017</v>
      </c>
      <c r="N16" s="38" t="s">
        <v>1018</v>
      </c>
      <c r="O16" s="67" t="s">
        <v>352</v>
      </c>
      <c r="P16" s="67" t="s">
        <v>1019</v>
      </c>
    </row>
    <row r="17" spans="1:16" ht="24" customHeight="1" x14ac:dyDescent="0.35">
      <c r="A17" s="238">
        <v>4001</v>
      </c>
      <c r="B17" s="214" t="s">
        <v>1020</v>
      </c>
      <c r="C17" s="239" t="s">
        <v>1021</v>
      </c>
      <c r="D17" s="212" t="s">
        <v>890</v>
      </c>
      <c r="E17" s="214" t="s">
        <v>1002</v>
      </c>
      <c r="F17" s="214" t="s">
        <v>1022</v>
      </c>
      <c r="G17" s="240">
        <v>0</v>
      </c>
      <c r="H17" s="240">
        <v>8</v>
      </c>
      <c r="I17" s="240">
        <v>3</v>
      </c>
      <c r="J17" s="241">
        <v>0.38</v>
      </c>
      <c r="K17" s="214" t="s">
        <v>1023</v>
      </c>
      <c r="L17" s="214" t="s">
        <v>960</v>
      </c>
      <c r="M17" s="49" t="s">
        <v>1024</v>
      </c>
      <c r="N17" s="242" t="s">
        <v>1025</v>
      </c>
      <c r="O17" s="76">
        <f>COUNTIF(FMEA_DATA!$M$4:$M$18,"OPEN")</f>
        <v>12</v>
      </c>
      <c r="P17" s="121">
        <f>COUNTIF(SDLC_DATA!$G$4:$G$25,"BLOCKED")</f>
        <v>1</v>
      </c>
    </row>
    <row r="18" spans="1:16" ht="24" customHeight="1" x14ac:dyDescent="0.35">
      <c r="A18" s="210">
        <v>4002</v>
      </c>
      <c r="B18" s="214" t="s">
        <v>1026</v>
      </c>
      <c r="C18" s="243" t="s">
        <v>1027</v>
      </c>
      <c r="D18" s="212" t="s">
        <v>896</v>
      </c>
      <c r="E18" s="214" t="s">
        <v>1003</v>
      </c>
      <c r="F18" s="214" t="s">
        <v>1028</v>
      </c>
      <c r="G18" s="244">
        <v>0</v>
      </c>
      <c r="H18" s="244">
        <v>4</v>
      </c>
      <c r="I18" s="244">
        <v>1</v>
      </c>
      <c r="J18" s="245">
        <v>0.75</v>
      </c>
      <c r="K18" s="214" t="s">
        <v>1023</v>
      </c>
      <c r="L18" s="214" t="s">
        <v>960</v>
      </c>
      <c r="M18" s="49" t="s">
        <v>1029</v>
      </c>
      <c r="N18" s="211" t="s">
        <v>1030</v>
      </c>
      <c r="O18" s="76">
        <f>COUNTIF(FMEA_DATA!$M$4:$M$18,"OPEN")</f>
        <v>12</v>
      </c>
      <c r="P18" s="121">
        <f>COUNTIF(SDLC_DATA!$G$4:$G$25,"BLOCKED")</f>
        <v>1</v>
      </c>
    </row>
    <row r="19" spans="1:16" ht="24" customHeight="1" x14ac:dyDescent="0.35">
      <c r="A19" s="216">
        <v>4003</v>
      </c>
      <c r="B19" s="214" t="s">
        <v>1031</v>
      </c>
      <c r="C19" s="246" t="s">
        <v>1032</v>
      </c>
      <c r="D19" s="212" t="s">
        <v>896</v>
      </c>
      <c r="E19" s="214" t="s">
        <v>1003</v>
      </c>
      <c r="F19" s="214" t="s">
        <v>1028</v>
      </c>
      <c r="G19" s="247">
        <v>5</v>
      </c>
      <c r="H19" s="247">
        <v>8</v>
      </c>
      <c r="I19" s="247">
        <v>6</v>
      </c>
      <c r="J19" s="248">
        <v>0.25</v>
      </c>
      <c r="K19" s="214" t="s">
        <v>1023</v>
      </c>
      <c r="L19" s="214" t="s">
        <v>960</v>
      </c>
      <c r="M19" s="49" t="s">
        <v>1029</v>
      </c>
      <c r="N19" s="217" t="s">
        <v>1033</v>
      </c>
      <c r="O19" s="76">
        <f>COUNTIF(FMEA_DATA!$M$4:$M$18,"OPEN")</f>
        <v>12</v>
      </c>
      <c r="P19" s="121">
        <f>COUNTIF(SDLC_DATA!$G$4:$G$25,"BLOCKED")</f>
        <v>1</v>
      </c>
    </row>
    <row r="20" spans="1:16" ht="24" customHeight="1" x14ac:dyDescent="0.35">
      <c r="A20" s="216">
        <v>4004</v>
      </c>
      <c r="B20" s="214" t="s">
        <v>1031</v>
      </c>
      <c r="C20" s="246" t="s">
        <v>1034</v>
      </c>
      <c r="D20" s="212" t="s">
        <v>911</v>
      </c>
      <c r="E20" s="214" t="s">
        <v>1005</v>
      </c>
      <c r="F20" s="214" t="s">
        <v>1028</v>
      </c>
      <c r="G20" s="247">
        <v>3</v>
      </c>
      <c r="H20" s="247">
        <v>6</v>
      </c>
      <c r="I20" s="247">
        <v>4</v>
      </c>
      <c r="J20" s="248">
        <v>0.33</v>
      </c>
      <c r="K20" s="214" t="s">
        <v>1023</v>
      </c>
      <c r="L20" s="214" t="s">
        <v>960</v>
      </c>
      <c r="M20" s="49" t="s">
        <v>1035</v>
      </c>
      <c r="N20" s="217" t="s">
        <v>1036</v>
      </c>
      <c r="O20" s="76">
        <f>COUNTIF(FMEA_DATA!$M$4:$M$18,"OPEN")</f>
        <v>12</v>
      </c>
      <c r="P20" s="121">
        <f>COUNTIF(SDLC_DATA!$G$4:$G$25,"BLOCKED")</f>
        <v>1</v>
      </c>
    </row>
    <row r="21" spans="1:16" ht="24" customHeight="1" x14ac:dyDescent="0.35">
      <c r="A21" s="210">
        <v>4005</v>
      </c>
      <c r="B21" s="214" t="s">
        <v>1026</v>
      </c>
      <c r="C21" s="243" t="s">
        <v>1037</v>
      </c>
      <c r="D21" s="212" t="s">
        <v>906</v>
      </c>
      <c r="E21" s="214" t="s">
        <v>1004</v>
      </c>
      <c r="F21" s="214" t="s">
        <v>1022</v>
      </c>
      <c r="G21" s="244">
        <v>0</v>
      </c>
      <c r="H21" s="244">
        <v>10</v>
      </c>
      <c r="I21" s="244">
        <v>8</v>
      </c>
      <c r="J21" s="245">
        <v>0.2</v>
      </c>
      <c r="K21" s="214" t="s">
        <v>1023</v>
      </c>
      <c r="L21" s="214" t="s">
        <v>960</v>
      </c>
      <c r="M21" s="49" t="s">
        <v>1038</v>
      </c>
      <c r="N21" s="211" t="s">
        <v>1039</v>
      </c>
      <c r="O21" s="76">
        <f>COUNTIF(FMEA_DATA!$M$4:$M$18,"OPEN")</f>
        <v>12</v>
      </c>
      <c r="P21" s="121">
        <f>COUNTIF(SDLC_DATA!$G$4:$G$25,"BLOCKED")</f>
        <v>1</v>
      </c>
    </row>
    <row r="22" spans="1:16" ht="24" customHeight="1" x14ac:dyDescent="0.35">
      <c r="A22" s="216">
        <v>4006</v>
      </c>
      <c r="B22" s="214" t="s">
        <v>1031</v>
      </c>
      <c r="C22" s="246" t="s">
        <v>1040</v>
      </c>
      <c r="D22" s="212" t="s">
        <v>900</v>
      </c>
      <c r="E22" s="214" t="s">
        <v>1002</v>
      </c>
      <c r="F22" s="214" t="s">
        <v>1041</v>
      </c>
      <c r="G22" s="247">
        <v>3</v>
      </c>
      <c r="H22" s="247">
        <v>6</v>
      </c>
      <c r="I22" s="247">
        <v>5</v>
      </c>
      <c r="J22" s="248">
        <v>0.17</v>
      </c>
      <c r="K22" s="214" t="s">
        <v>1023</v>
      </c>
      <c r="L22" s="214" t="s">
        <v>960</v>
      </c>
      <c r="M22" s="49" t="s">
        <v>1042</v>
      </c>
      <c r="N22" s="217" t="s">
        <v>1043</v>
      </c>
      <c r="O22" s="76">
        <f>COUNTIF(FMEA_DATA!$M$4:$M$18,"OPEN")</f>
        <v>12</v>
      </c>
      <c r="P22" s="121">
        <f>COUNTIF(SDLC_DATA!$G$4:$G$25,"BLOCKED")</f>
        <v>1</v>
      </c>
    </row>
    <row r="23" spans="1:16" ht="24" customHeight="1" x14ac:dyDescent="0.35">
      <c r="A23" s="210">
        <v>4007</v>
      </c>
      <c r="B23" s="214" t="s">
        <v>1026</v>
      </c>
      <c r="C23" s="243" t="s">
        <v>1044</v>
      </c>
      <c r="D23" s="212" t="s">
        <v>890</v>
      </c>
      <c r="E23" s="214" t="s">
        <v>1006</v>
      </c>
      <c r="F23" s="214" t="s">
        <v>1041</v>
      </c>
      <c r="G23" s="244">
        <v>0</v>
      </c>
      <c r="H23" s="244">
        <v>3</v>
      </c>
      <c r="I23" s="244">
        <v>2</v>
      </c>
      <c r="J23" s="245">
        <v>0.33</v>
      </c>
      <c r="K23" s="214" t="s">
        <v>1023</v>
      </c>
      <c r="L23" s="214" t="s">
        <v>960</v>
      </c>
      <c r="M23" s="49" t="s">
        <v>1045</v>
      </c>
      <c r="N23" s="211" t="s">
        <v>1046</v>
      </c>
      <c r="O23" s="76">
        <f>COUNTIF(FMEA_DATA!$M$4:$M$18,"OPEN")</f>
        <v>12</v>
      </c>
      <c r="P23" s="121">
        <f>COUNTIF(SDLC_DATA!$G$4:$G$25,"BLOCKED")</f>
        <v>1</v>
      </c>
    </row>
    <row r="24" spans="1:16" ht="24" customHeight="1" x14ac:dyDescent="0.35">
      <c r="A24" s="216">
        <v>4008</v>
      </c>
      <c r="B24" s="214" t="s">
        <v>1031</v>
      </c>
      <c r="C24" s="246" t="s">
        <v>1047</v>
      </c>
      <c r="D24" s="212" t="s">
        <v>922</v>
      </c>
      <c r="E24" s="214" t="s">
        <v>1005</v>
      </c>
      <c r="F24" s="214" t="s">
        <v>1041</v>
      </c>
      <c r="G24" s="247">
        <v>3</v>
      </c>
      <c r="H24" s="247">
        <v>8</v>
      </c>
      <c r="I24" s="247">
        <v>8</v>
      </c>
      <c r="J24" s="248">
        <v>0</v>
      </c>
      <c r="K24" s="214" t="s">
        <v>1048</v>
      </c>
      <c r="L24" s="214" t="s">
        <v>960</v>
      </c>
      <c r="M24" s="49" t="s">
        <v>1049</v>
      </c>
      <c r="N24" s="217" t="s">
        <v>1050</v>
      </c>
      <c r="O24" s="76">
        <f>COUNTIF(FMEA_DATA!$M$4:$M$18,"OPEN")</f>
        <v>12</v>
      </c>
      <c r="P24" s="121">
        <f>COUNTIF(SDLC_DATA!$G$4:$G$25,"BLOCKED")</f>
        <v>1</v>
      </c>
    </row>
    <row r="25" spans="1:16" ht="24" customHeight="1" x14ac:dyDescent="0.35">
      <c r="A25" s="238">
        <v>4009</v>
      </c>
      <c r="B25" s="214" t="s">
        <v>1020</v>
      </c>
      <c r="C25" s="239" t="s">
        <v>1051</v>
      </c>
      <c r="D25" s="212" t="s">
        <v>949</v>
      </c>
      <c r="E25" s="214" t="s">
        <v>1002</v>
      </c>
      <c r="F25" s="214" t="s">
        <v>1028</v>
      </c>
      <c r="G25" s="240">
        <v>0</v>
      </c>
      <c r="H25" s="240">
        <v>5</v>
      </c>
      <c r="I25" s="240">
        <v>5</v>
      </c>
      <c r="J25" s="241">
        <v>0</v>
      </c>
      <c r="K25" s="214" t="s">
        <v>1048</v>
      </c>
      <c r="L25" s="214" t="s">
        <v>960</v>
      </c>
      <c r="M25" s="49" t="s">
        <v>1024</v>
      </c>
      <c r="N25" s="242" t="s">
        <v>1052</v>
      </c>
      <c r="O25" s="76">
        <f>COUNTIF(FMEA_DATA!$M$4:$M$18,"OPEN")</f>
        <v>12</v>
      </c>
      <c r="P25" s="121">
        <f>COUNTIF(SDLC_DATA!$G$4:$G$25,"BLOCKED")</f>
        <v>1</v>
      </c>
    </row>
    <row r="26" spans="1:16" ht="24" customHeight="1" x14ac:dyDescent="0.35">
      <c r="A26" s="210">
        <v>4010</v>
      </c>
      <c r="B26" s="214" t="s">
        <v>1026</v>
      </c>
      <c r="C26" s="243" t="s">
        <v>1053</v>
      </c>
      <c r="D26" s="212" t="s">
        <v>900</v>
      </c>
      <c r="E26" s="214" t="s">
        <v>1006</v>
      </c>
      <c r="F26" s="214" t="s">
        <v>1041</v>
      </c>
      <c r="G26" s="244">
        <v>0</v>
      </c>
      <c r="H26" s="244">
        <v>2</v>
      </c>
      <c r="I26" s="244">
        <v>2</v>
      </c>
      <c r="J26" s="245">
        <v>0</v>
      </c>
      <c r="K26" s="214" t="s">
        <v>1048</v>
      </c>
      <c r="L26" s="214" t="s">
        <v>960</v>
      </c>
      <c r="M26" s="49" t="s">
        <v>1054</v>
      </c>
      <c r="N26" s="211" t="s">
        <v>1055</v>
      </c>
      <c r="O26" s="76">
        <f>COUNTIF(FMEA_DATA!$M$4:$M$18,"OPEN")</f>
        <v>12</v>
      </c>
      <c r="P26" s="121">
        <f>COUNTIF(SDLC_DATA!$G$4:$G$25,"BLOCKED")</f>
        <v>1</v>
      </c>
    </row>
    <row r="27" spans="1:16" ht="24" customHeight="1" x14ac:dyDescent="0.35">
      <c r="A27" s="249"/>
      <c r="B27" s="214"/>
      <c r="C27" s="250"/>
      <c r="D27" s="212"/>
      <c r="E27" s="214"/>
      <c r="F27" s="214"/>
      <c r="G27" s="251">
        <v>0</v>
      </c>
      <c r="H27" s="251">
        <v>0</v>
      </c>
      <c r="I27" s="251">
        <v>0</v>
      </c>
      <c r="J27" s="252">
        <v>0</v>
      </c>
      <c r="K27" s="214" t="s">
        <v>1048</v>
      </c>
      <c r="L27" s="214" t="s">
        <v>960</v>
      </c>
      <c r="M27" s="49"/>
      <c r="N27" s="253"/>
      <c r="O27" s="76">
        <f>COUNTIF(FMEA_DATA!$M$4:$M$18,"OPEN")</f>
        <v>12</v>
      </c>
      <c r="P27" s="121">
        <f>COUNTIF(SDLC_DATA!$G$4:$G$25,"BLOCKED")</f>
        <v>1</v>
      </c>
    </row>
    <row r="28" spans="1:16" ht="24" customHeight="1" x14ac:dyDescent="0.35">
      <c r="A28" s="249"/>
      <c r="B28" s="214"/>
      <c r="C28" s="250"/>
      <c r="D28" s="212"/>
      <c r="E28" s="214"/>
      <c r="F28" s="214"/>
      <c r="G28" s="251">
        <v>0</v>
      </c>
      <c r="H28" s="251">
        <v>0</v>
      </c>
      <c r="I28" s="251">
        <v>0</v>
      </c>
      <c r="J28" s="252">
        <v>0</v>
      </c>
      <c r="K28" s="214" t="s">
        <v>1048</v>
      </c>
      <c r="L28" s="214" t="s">
        <v>960</v>
      </c>
      <c r="M28" s="49"/>
      <c r="N28" s="253"/>
      <c r="O28" s="76">
        <f>COUNTIF(FMEA_DATA!$M$4:$M$18,"OPEN")</f>
        <v>12</v>
      </c>
      <c r="P28" s="121">
        <f>COUNTIF(SDLC_DATA!$G$4:$G$25,"BLOCKED")</f>
        <v>1</v>
      </c>
    </row>
    <row r="29" spans="1:16" ht="21.75" customHeight="1" x14ac:dyDescent="0.35">
      <c r="A29" s="254" t="s">
        <v>1056</v>
      </c>
      <c r="G29" s="152">
        <f>SUMIF(B17:B28,"Story",G17:G28)</f>
        <v>14</v>
      </c>
      <c r="H29" s="152">
        <f>SUM(H17:H28)</f>
        <v>60</v>
      </c>
      <c r="I29" s="152">
        <f>SUM(I17:I28)</f>
        <v>44</v>
      </c>
      <c r="J29" s="227">
        <f>IFERROR((H29-I29)/H29,0)</f>
        <v>0.26666666666666666</v>
      </c>
    </row>
    <row r="31" spans="1:16" ht="19.5" customHeight="1" x14ac:dyDescent="0.35">
      <c r="A31" s="350" t="s">
        <v>1057</v>
      </c>
      <c r="B31" s="350"/>
      <c r="C31" s="350"/>
      <c r="D31" s="350"/>
      <c r="E31" s="350"/>
      <c r="F31" s="350"/>
      <c r="G31" s="350"/>
      <c r="H31" s="350"/>
      <c r="I31" s="350"/>
      <c r="J31" s="350"/>
      <c r="K31" s="350"/>
      <c r="L31" s="350"/>
      <c r="M31" s="350"/>
      <c r="N31" s="350"/>
    </row>
    <row r="32" spans="1:16" ht="27.75" customHeight="1" x14ac:dyDescent="0.35">
      <c r="A32" s="148" t="s">
        <v>1058</v>
      </c>
      <c r="B32" s="148" t="s">
        <v>566</v>
      </c>
      <c r="C32" s="148" t="s">
        <v>1059</v>
      </c>
      <c r="D32" s="148" t="s">
        <v>1060</v>
      </c>
      <c r="E32" s="148" t="s">
        <v>1061</v>
      </c>
      <c r="F32" s="148" t="s">
        <v>268</v>
      </c>
    </row>
    <row r="33" spans="1:14" ht="19.5" customHeight="1" x14ac:dyDescent="0.35">
      <c r="A33" s="161">
        <v>1</v>
      </c>
      <c r="B33" s="161" t="s">
        <v>875</v>
      </c>
      <c r="C33" s="187">
        <v>14</v>
      </c>
      <c r="D33" s="151">
        <v>14</v>
      </c>
      <c r="E33" s="187">
        <f t="shared" ref="E33:E43" si="1">IFERROR(D33-C33,"")</f>
        <v>0</v>
      </c>
      <c r="F33" s="167" t="str">
        <f t="shared" ref="F33:F43" si="2">IF(D33="","PENDING",IF(D33&lt;=C33,"ON TRACK ✓","BEHIND ✗"))</f>
        <v>ON TRACK ✓</v>
      </c>
    </row>
    <row r="34" spans="1:14" ht="19.5" customHeight="1" x14ac:dyDescent="0.35">
      <c r="A34" s="158">
        <v>2</v>
      </c>
      <c r="B34" s="158" t="s">
        <v>1062</v>
      </c>
      <c r="C34" s="191">
        <v>11.8</v>
      </c>
      <c r="D34" s="151">
        <v>13</v>
      </c>
      <c r="E34" s="191">
        <f t="shared" si="1"/>
        <v>1.1999999999999993</v>
      </c>
      <c r="F34" s="171" t="str">
        <f t="shared" si="2"/>
        <v>BEHIND ✗</v>
      </c>
    </row>
    <row r="35" spans="1:14" ht="19.5" customHeight="1" x14ac:dyDescent="0.35">
      <c r="A35" s="161">
        <v>3</v>
      </c>
      <c r="B35" s="161" t="s">
        <v>1063</v>
      </c>
      <c r="C35" s="187">
        <v>10.8</v>
      </c>
      <c r="D35" s="151">
        <v>12</v>
      </c>
      <c r="E35" s="187">
        <f t="shared" si="1"/>
        <v>1.1999999999999993</v>
      </c>
      <c r="F35" s="167" t="str">
        <f t="shared" si="2"/>
        <v>BEHIND ✗</v>
      </c>
    </row>
    <row r="36" spans="1:14" ht="19.5" customHeight="1" x14ac:dyDescent="0.35">
      <c r="A36" s="158">
        <v>4</v>
      </c>
      <c r="B36" s="158" t="s">
        <v>1064</v>
      </c>
      <c r="C36" s="191">
        <v>9.6999999999999993</v>
      </c>
      <c r="D36" s="151">
        <v>11</v>
      </c>
      <c r="E36" s="191">
        <f t="shared" si="1"/>
        <v>1.3000000000000007</v>
      </c>
      <c r="F36" s="171" t="str">
        <f t="shared" si="2"/>
        <v>BEHIND ✗</v>
      </c>
    </row>
    <row r="37" spans="1:14" ht="19.5" customHeight="1" x14ac:dyDescent="0.35">
      <c r="A37" s="161">
        <v>5</v>
      </c>
      <c r="B37" s="161" t="s">
        <v>1065</v>
      </c>
      <c r="C37" s="187">
        <v>8.6</v>
      </c>
      <c r="D37" s="151">
        <v>10</v>
      </c>
      <c r="E37" s="187">
        <f t="shared" si="1"/>
        <v>1.4000000000000004</v>
      </c>
      <c r="F37" s="167" t="str">
        <f t="shared" si="2"/>
        <v>BEHIND ✗</v>
      </c>
    </row>
    <row r="38" spans="1:14" ht="19.5" customHeight="1" x14ac:dyDescent="0.35">
      <c r="A38" s="158">
        <v>6</v>
      </c>
      <c r="B38" s="158" t="s">
        <v>1066</v>
      </c>
      <c r="C38" s="191">
        <v>7.5</v>
      </c>
      <c r="D38" s="151"/>
      <c r="E38" s="191">
        <f t="shared" si="1"/>
        <v>-7.5</v>
      </c>
      <c r="F38" s="171" t="str">
        <f t="shared" si="2"/>
        <v>PENDING</v>
      </c>
    </row>
    <row r="39" spans="1:14" ht="19.5" customHeight="1" x14ac:dyDescent="0.35">
      <c r="A39" s="161">
        <v>7</v>
      </c>
      <c r="B39" s="161" t="s">
        <v>1067</v>
      </c>
      <c r="C39" s="187">
        <v>5.4</v>
      </c>
      <c r="D39" s="151"/>
      <c r="E39" s="187">
        <f t="shared" si="1"/>
        <v>-5.4</v>
      </c>
      <c r="F39" s="167" t="str">
        <f t="shared" si="2"/>
        <v>PENDING</v>
      </c>
    </row>
    <row r="40" spans="1:14" ht="19.5" customHeight="1" x14ac:dyDescent="0.35">
      <c r="A40" s="158">
        <v>8</v>
      </c>
      <c r="B40" s="158" t="s">
        <v>1068</v>
      </c>
      <c r="C40" s="191">
        <v>4.3</v>
      </c>
      <c r="D40" s="151"/>
      <c r="E40" s="191">
        <f t="shared" si="1"/>
        <v>-4.3</v>
      </c>
      <c r="F40" s="171" t="str">
        <f t="shared" si="2"/>
        <v>PENDING</v>
      </c>
    </row>
    <row r="41" spans="1:14" ht="19.5" customHeight="1" x14ac:dyDescent="0.35">
      <c r="A41" s="161">
        <v>9</v>
      </c>
      <c r="B41" s="161" t="s">
        <v>1069</v>
      </c>
      <c r="C41" s="187">
        <v>3.2</v>
      </c>
      <c r="D41" s="151"/>
      <c r="E41" s="187">
        <f t="shared" si="1"/>
        <v>-3.2</v>
      </c>
      <c r="F41" s="167" t="str">
        <f t="shared" si="2"/>
        <v>PENDING</v>
      </c>
    </row>
    <row r="42" spans="1:14" ht="19.5" customHeight="1" x14ac:dyDescent="0.35">
      <c r="A42" s="158">
        <v>10</v>
      </c>
      <c r="B42" s="158" t="s">
        <v>1070</v>
      </c>
      <c r="C42" s="191">
        <v>2.2000000000000002</v>
      </c>
      <c r="D42" s="151"/>
      <c r="E42" s="191">
        <f t="shared" si="1"/>
        <v>-2.2000000000000002</v>
      </c>
      <c r="F42" s="171" t="str">
        <f t="shared" si="2"/>
        <v>PENDING</v>
      </c>
    </row>
    <row r="43" spans="1:14" ht="19.5" customHeight="1" x14ac:dyDescent="0.35">
      <c r="A43" s="161">
        <v>11</v>
      </c>
      <c r="B43" s="161" t="s">
        <v>876</v>
      </c>
      <c r="C43" s="187">
        <v>0</v>
      </c>
      <c r="D43" s="151"/>
      <c r="E43" s="187">
        <f t="shared" si="1"/>
        <v>0</v>
      </c>
      <c r="F43" s="167" t="str">
        <f t="shared" si="2"/>
        <v>PENDING</v>
      </c>
    </row>
    <row r="45" spans="1:14" ht="19.5" customHeight="1" x14ac:dyDescent="0.35">
      <c r="A45" s="297" t="s">
        <v>1071</v>
      </c>
      <c r="B45" s="297"/>
      <c r="C45" s="297"/>
      <c r="D45" s="297"/>
      <c r="E45" s="297"/>
      <c r="F45" s="297"/>
      <c r="G45" s="297"/>
      <c r="H45" s="297"/>
      <c r="I45" s="297"/>
      <c r="J45" s="297"/>
      <c r="K45" s="297"/>
      <c r="L45" s="297"/>
      <c r="M45" s="297"/>
      <c r="N45" s="297"/>
    </row>
    <row r="46" spans="1:14" ht="27.75" customHeight="1" x14ac:dyDescent="0.35">
      <c r="A46" s="38" t="s">
        <v>1072</v>
      </c>
      <c r="B46" s="38" t="s">
        <v>1073</v>
      </c>
      <c r="C46" s="38" t="s">
        <v>1074</v>
      </c>
      <c r="D46" s="38" t="s">
        <v>1075</v>
      </c>
      <c r="E46" s="38" t="s">
        <v>1023</v>
      </c>
      <c r="F46" s="38" t="s">
        <v>1076</v>
      </c>
      <c r="G46" s="38" t="s">
        <v>1077</v>
      </c>
      <c r="H46" s="38" t="s">
        <v>1078</v>
      </c>
    </row>
    <row r="47" spans="1:14" ht="16.5" customHeight="1" x14ac:dyDescent="0.35">
      <c r="A47" s="157">
        <f>COUNTA(A17:A28)-COUNTBLANK(A17:A28)</f>
        <v>8</v>
      </c>
      <c r="B47" s="157">
        <f>COUNTIF(B17:B28,"Story")</f>
        <v>4</v>
      </c>
      <c r="C47" s="157">
        <f>COUNTIF(B17:B28,"Bug")</f>
        <v>2</v>
      </c>
      <c r="D47" s="157">
        <f>COUNTIF(B17:B28,"Task")</f>
        <v>4</v>
      </c>
      <c r="E47" s="157">
        <f>COUNTIF(K17:K28,"Active")</f>
        <v>7</v>
      </c>
      <c r="F47" s="157">
        <f>SUM(H17:H28)</f>
        <v>60</v>
      </c>
      <c r="G47" s="157">
        <f>SUM(I17:I28)</f>
        <v>44</v>
      </c>
      <c r="H47" s="163">
        <f>AZ_DATA!H14</f>
        <v>0.85795454545454541</v>
      </c>
    </row>
  </sheetData>
  <mergeCells count="7">
    <mergeCell ref="A31:N31"/>
    <mergeCell ref="A45:N45"/>
    <mergeCell ref="A1:N1"/>
    <mergeCell ref="A2:N2"/>
    <mergeCell ref="A3:N3"/>
    <mergeCell ref="A7:N7"/>
    <mergeCell ref="A15:N15"/>
  </mergeCells>
  <dataValidations count="4">
    <dataValidation type="list" allowBlank="1" showErrorMessage="1" errorTitle="Invalid Entry" error="Select from list only." sqref="F17:F21" xr:uid="{00000000-0002-0000-1300-000000000000}">
      <formula1>"1-Critical,2-High,3-Medium,4-Low"</formula1>
      <formula2>0</formula2>
    </dataValidation>
    <dataValidation type="list" allowBlank="1" showErrorMessage="1" errorTitle="Invalid Entry" error="Select from list only." sqref="G17:G30" xr:uid="{00000000-0002-0000-1300-000001000000}">
      <formula1>"1,2,3,5,8,13,21,34"</formula1>
      <formula2>0</formula2>
    </dataValidation>
    <dataValidation type="list" allowBlank="1" showErrorMessage="1" errorTitle="Invalid Entry" error="Select from list only." sqref="K17:K30" xr:uid="{00000000-0002-0000-1300-000002000000}">
      <formula1>"New,Active,Resolved,Closed,Removed"</formula1>
      <formula2>0</formula2>
    </dataValidation>
    <dataValidation type="list" allowBlank="1" showErrorMessage="1" errorTitle="Invalid Entry" error="Select from list only." sqref="F22:F32" xr:uid="{00000000-0002-0000-1300-000003000000}">
      <formula1>"ON TRACK ✓,BEHIND ✗,PENDING,COMPLETE ✓"</formula1>
      <formula2>0</formula2>
    </dataValidation>
  </dataValidations>
  <pageMargins left="0.75" right="0.75" top="1" bottom="1" header="0.511811023622047" footer="0.511811023622047"/>
  <pageSetup paperSize="9" orientation="portrait" horizontalDpi="300" verticalDpi="300"/>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Ark30">
    <tabColor rgb="FF0078D4"/>
  </sheetPr>
  <dimension ref="A1:H30"/>
  <sheetViews>
    <sheetView showGridLines="0" zoomScaleNormal="100" workbookViewId="0">
      <pane ySplit="3" topLeftCell="A4" activePane="bottomLeft" state="frozen"/>
      <selection pane="bottomLeft" activeCell="E22" sqref="E22"/>
    </sheetView>
  </sheetViews>
  <sheetFormatPr defaultColWidth="8.6328125" defaultRowHeight="14.5" x14ac:dyDescent="0.35"/>
  <cols>
    <col min="1" max="1" width="12" customWidth="1"/>
    <col min="2" max="2" width="14" customWidth="1"/>
    <col min="3" max="4" width="12" customWidth="1"/>
    <col min="5" max="6" width="20" customWidth="1"/>
    <col min="7" max="8" width="14" customWidth="1"/>
  </cols>
  <sheetData>
    <row r="1" spans="1:8" ht="30" customHeight="1" x14ac:dyDescent="0.35">
      <c r="A1" s="348" t="s">
        <v>1079</v>
      </c>
      <c r="B1" s="348"/>
      <c r="C1" s="348"/>
      <c r="D1" s="348"/>
      <c r="E1" s="348"/>
      <c r="F1" s="348"/>
      <c r="G1" s="348"/>
      <c r="H1" s="348"/>
    </row>
    <row r="2" spans="1:8" ht="18" customHeight="1" x14ac:dyDescent="0.35">
      <c r="A2" s="349" t="s">
        <v>1080</v>
      </c>
      <c r="B2" s="349"/>
      <c r="C2" s="349"/>
      <c r="D2" s="349"/>
      <c r="E2" s="349"/>
      <c r="F2" s="349"/>
      <c r="G2" s="349"/>
      <c r="H2" s="349"/>
    </row>
    <row r="3" spans="1:8" ht="19.5" customHeight="1" x14ac:dyDescent="0.35">
      <c r="A3" s="301" t="s">
        <v>1081</v>
      </c>
      <c r="B3" s="301"/>
      <c r="C3" s="301"/>
      <c r="D3" s="301"/>
      <c r="E3" s="301"/>
      <c r="F3" s="301"/>
      <c r="G3" s="301"/>
      <c r="H3" s="301"/>
    </row>
    <row r="4" spans="1:8" ht="27.75" customHeight="1" x14ac:dyDescent="0.35">
      <c r="A4" s="206" t="s">
        <v>1082</v>
      </c>
      <c r="B4" s="206" t="s">
        <v>1083</v>
      </c>
      <c r="C4" s="206" t="s">
        <v>676</v>
      </c>
      <c r="D4" s="206" t="s">
        <v>1084</v>
      </c>
      <c r="E4" s="206" t="s">
        <v>973</v>
      </c>
      <c r="F4" s="206" t="s">
        <v>127</v>
      </c>
    </row>
    <row r="5" spans="1:8" ht="25.5" customHeight="1" x14ac:dyDescent="0.35">
      <c r="A5" s="228">
        <f>COUNTIF(AZ_DATA!K17:K28,"New")</f>
        <v>5</v>
      </c>
      <c r="B5" s="230">
        <f>COUNTIF(AZ_DATA!K17:K28,"Active")</f>
        <v>7</v>
      </c>
      <c r="C5" s="229">
        <f>COUNTIF(AZ_DATA!K17:K28,"Resolved")</f>
        <v>0</v>
      </c>
      <c r="D5" s="231">
        <f>COUNTIF(AZ_DATA!K17:K28,"Closed")</f>
        <v>0</v>
      </c>
      <c r="E5" s="38" t="s">
        <v>1085</v>
      </c>
      <c r="F5" s="232" t="str">
        <f>AZ_DATA!A5</f>
        <v>Sprint 4</v>
      </c>
    </row>
    <row r="6" spans="1:8" ht="25.5" customHeight="1" x14ac:dyDescent="0.35">
      <c r="A6" s="233" t="str">
        <f>SUMIF(AZ_DATA!K17:K28,"New",AZ_DATA!H17:H28)&amp;" hrs"</f>
        <v>15 hrs</v>
      </c>
      <c r="B6" s="232" t="str">
        <f>SUMIF(AZ_DATA!K17:K28,"Active",AZ_DATA!H17:H28)&amp;" hrs"</f>
        <v>45 hrs</v>
      </c>
      <c r="C6" s="234" t="str">
        <f>SUMIF(AZ_DATA!K17:K28,"Resolved",AZ_DATA!H17:H28)&amp;" hrs"</f>
        <v>0 hrs</v>
      </c>
      <c r="D6" s="235" t="str">
        <f>SUMIF(AZ_DATA!K17:K28,"Closed",AZ_DATA!H17:H28)&amp;" hrs"</f>
        <v>0 hrs</v>
      </c>
      <c r="E6" s="38" t="s">
        <v>990</v>
      </c>
      <c r="F6" s="232" t="str">
        <f>AZ_DATA!D5</f>
        <v>Unblock API auth; complete dashboard alerts</v>
      </c>
    </row>
    <row r="7" spans="1:8" ht="25.5" customHeight="1" x14ac:dyDescent="0.35">
      <c r="E7" s="38" t="s">
        <v>1086</v>
      </c>
      <c r="F7" s="232">
        <f>AZ_DATA!G29</f>
        <v>14</v>
      </c>
    </row>
    <row r="8" spans="1:8" ht="25.5" customHeight="1" x14ac:dyDescent="0.35">
      <c r="E8" s="38" t="s">
        <v>1076</v>
      </c>
      <c r="F8" s="232">
        <f>AZ_DATA!H29</f>
        <v>60</v>
      </c>
    </row>
    <row r="9" spans="1:8" ht="25.5" customHeight="1" x14ac:dyDescent="0.35">
      <c r="E9" s="38" t="s">
        <v>1077</v>
      </c>
      <c r="F9" s="232">
        <f>AZ_DATA!I29</f>
        <v>44</v>
      </c>
    </row>
    <row r="10" spans="1:8" ht="25.5" customHeight="1" x14ac:dyDescent="0.35">
      <c r="E10" s="38" t="s">
        <v>1087</v>
      </c>
      <c r="F10" s="232">
        <f>COUNTIFS(AZ_DATA!B17:B28,"Bug",AZ_DATA!K17:K28,"Active")</f>
        <v>1</v>
      </c>
    </row>
    <row r="11" spans="1:8" ht="25.5" customHeight="1" x14ac:dyDescent="0.35">
      <c r="E11" s="38" t="s">
        <v>1078</v>
      </c>
      <c r="F11" s="236">
        <f>AZ_DATA!H14</f>
        <v>0.85795454545454541</v>
      </c>
    </row>
    <row r="14" spans="1:8" ht="19.5" customHeight="1" x14ac:dyDescent="0.35">
      <c r="A14" s="350" t="s">
        <v>1088</v>
      </c>
      <c r="B14" s="350"/>
      <c r="C14" s="350"/>
      <c r="D14" s="350"/>
      <c r="E14" s="350"/>
      <c r="F14" s="350"/>
      <c r="G14" s="350"/>
      <c r="H14" s="350"/>
    </row>
    <row r="15" spans="1:8" ht="24" customHeight="1" x14ac:dyDescent="0.35">
      <c r="A15" s="255" t="s">
        <v>1058</v>
      </c>
      <c r="B15" s="255" t="s">
        <v>566</v>
      </c>
      <c r="C15" s="255" t="s">
        <v>1089</v>
      </c>
      <c r="D15" s="255" t="s">
        <v>1090</v>
      </c>
      <c r="E15" s="255" t="s">
        <v>1061</v>
      </c>
      <c r="F15" s="255" t="s">
        <v>268</v>
      </c>
    </row>
    <row r="16" spans="1:8" ht="19.5" customHeight="1" x14ac:dyDescent="0.35">
      <c r="A16" s="158">
        <f>AZ_DATA!A33</f>
        <v>1</v>
      </c>
      <c r="B16" s="159" t="str">
        <f>AZ_DATA!B33</f>
        <v>2026-06-02</v>
      </c>
      <c r="C16" s="225">
        <f>AZ_DATA!C33</f>
        <v>14</v>
      </c>
      <c r="D16" s="225">
        <f>AZ_DATA!D33</f>
        <v>14</v>
      </c>
      <c r="E16" s="191">
        <f>AZ_DATA!E33</f>
        <v>0</v>
      </c>
      <c r="F16" s="256" t="str">
        <f>AZ_DATA!F33</f>
        <v>ON TRACK ✓</v>
      </c>
    </row>
    <row r="17" spans="1:8" ht="19.5" customHeight="1" x14ac:dyDescent="0.35">
      <c r="A17" s="161">
        <f>AZ_DATA!A34</f>
        <v>2</v>
      </c>
      <c r="B17" s="162" t="str">
        <f>AZ_DATA!B34</f>
        <v>2026-06-03</v>
      </c>
      <c r="C17" s="223">
        <f>AZ_DATA!C34</f>
        <v>11.8</v>
      </c>
      <c r="D17" s="223">
        <f>AZ_DATA!D34</f>
        <v>13</v>
      </c>
      <c r="E17" s="187">
        <f>AZ_DATA!E34</f>
        <v>1.1999999999999993</v>
      </c>
      <c r="F17" s="257" t="str">
        <f>AZ_DATA!F34</f>
        <v>BEHIND ✗</v>
      </c>
    </row>
    <row r="18" spans="1:8" ht="19.5" customHeight="1" x14ac:dyDescent="0.35">
      <c r="A18" s="158">
        <f>AZ_DATA!A35</f>
        <v>3</v>
      </c>
      <c r="B18" s="159" t="str">
        <f>AZ_DATA!B35</f>
        <v>2026-06-04</v>
      </c>
      <c r="C18" s="225">
        <f>AZ_DATA!C35</f>
        <v>10.8</v>
      </c>
      <c r="D18" s="225">
        <f>AZ_DATA!D35</f>
        <v>12</v>
      </c>
      <c r="E18" s="191">
        <f>AZ_DATA!E35</f>
        <v>1.1999999999999993</v>
      </c>
      <c r="F18" s="256" t="str">
        <f>AZ_DATA!F35</f>
        <v>BEHIND ✗</v>
      </c>
    </row>
    <row r="19" spans="1:8" ht="19.5" customHeight="1" x14ac:dyDescent="0.35">
      <c r="A19" s="161">
        <f>AZ_DATA!A36</f>
        <v>4</v>
      </c>
      <c r="B19" s="162" t="str">
        <f>AZ_DATA!B36</f>
        <v>2026-06-05</v>
      </c>
      <c r="C19" s="223">
        <f>AZ_DATA!C36</f>
        <v>9.6999999999999993</v>
      </c>
      <c r="D19" s="223">
        <f>AZ_DATA!D36</f>
        <v>11</v>
      </c>
      <c r="E19" s="187">
        <f>AZ_DATA!E36</f>
        <v>1.3000000000000007</v>
      </c>
      <c r="F19" s="257" t="str">
        <f>AZ_DATA!F36</f>
        <v>BEHIND ✗</v>
      </c>
    </row>
    <row r="20" spans="1:8" ht="19.5" customHeight="1" x14ac:dyDescent="0.35">
      <c r="A20" s="158">
        <f>AZ_DATA!A37</f>
        <v>5</v>
      </c>
      <c r="B20" s="159" t="str">
        <f>AZ_DATA!B37</f>
        <v>2026-06-06</v>
      </c>
      <c r="C20" s="225">
        <f>AZ_DATA!C37</f>
        <v>8.6</v>
      </c>
      <c r="D20" s="225">
        <f>AZ_DATA!D37</f>
        <v>10</v>
      </c>
      <c r="E20" s="191">
        <f>AZ_DATA!E37</f>
        <v>1.4000000000000004</v>
      </c>
      <c r="F20" s="256" t="str">
        <f>AZ_DATA!F37</f>
        <v>BEHIND ✗</v>
      </c>
    </row>
    <row r="21" spans="1:8" ht="19.5" customHeight="1" x14ac:dyDescent="0.35">
      <c r="A21" s="161">
        <f>AZ_DATA!A38</f>
        <v>6</v>
      </c>
      <c r="B21" s="162" t="str">
        <f>AZ_DATA!B38</f>
        <v>2026-06-09</v>
      </c>
      <c r="C21" s="223">
        <f>AZ_DATA!C38</f>
        <v>7.5</v>
      </c>
      <c r="D21" s="223">
        <f>AZ_DATA!D38</f>
        <v>0</v>
      </c>
      <c r="E21" s="187">
        <f>AZ_DATA!E38</f>
        <v>-7.5</v>
      </c>
      <c r="F21" s="257" t="str">
        <f>AZ_DATA!F38</f>
        <v>PENDING</v>
      </c>
    </row>
    <row r="22" spans="1:8" ht="19.5" customHeight="1" x14ac:dyDescent="0.35">
      <c r="A22" s="158">
        <f>AZ_DATA!A39</f>
        <v>7</v>
      </c>
      <c r="B22" s="159" t="str">
        <f>AZ_DATA!B39</f>
        <v>2026-06-10</v>
      </c>
      <c r="C22" s="225">
        <f>AZ_DATA!C39</f>
        <v>5.4</v>
      </c>
      <c r="D22" s="225">
        <f>AZ_DATA!D39</f>
        <v>0</v>
      </c>
      <c r="E22" s="191">
        <f>AZ_DATA!E39</f>
        <v>-5.4</v>
      </c>
      <c r="F22" s="256" t="str">
        <f>AZ_DATA!F39</f>
        <v>PENDING</v>
      </c>
    </row>
    <row r="23" spans="1:8" ht="19.5" customHeight="1" x14ac:dyDescent="0.35">
      <c r="A23" s="161">
        <f>AZ_DATA!A40</f>
        <v>8</v>
      </c>
      <c r="B23" s="162" t="str">
        <f>AZ_DATA!B40</f>
        <v>2026-06-11</v>
      </c>
      <c r="C23" s="223">
        <f>AZ_DATA!C40</f>
        <v>4.3</v>
      </c>
      <c r="D23" s="223">
        <f>AZ_DATA!D40</f>
        <v>0</v>
      </c>
      <c r="E23" s="187">
        <f>AZ_DATA!E40</f>
        <v>-4.3</v>
      </c>
      <c r="F23" s="257" t="str">
        <f>AZ_DATA!F40</f>
        <v>PENDING</v>
      </c>
    </row>
    <row r="24" spans="1:8" ht="19.5" customHeight="1" x14ac:dyDescent="0.35">
      <c r="A24" s="158">
        <f>AZ_DATA!A41</f>
        <v>9</v>
      </c>
      <c r="B24" s="159" t="str">
        <f>AZ_DATA!B41</f>
        <v>2026-06-12</v>
      </c>
      <c r="C24" s="225">
        <f>AZ_DATA!C41</f>
        <v>3.2</v>
      </c>
      <c r="D24" s="225">
        <f>AZ_DATA!D41</f>
        <v>0</v>
      </c>
      <c r="E24" s="191">
        <f>AZ_DATA!E41</f>
        <v>-3.2</v>
      </c>
      <c r="F24" s="256" t="str">
        <f>AZ_DATA!F41</f>
        <v>PENDING</v>
      </c>
    </row>
    <row r="25" spans="1:8" ht="19.5" customHeight="1" x14ac:dyDescent="0.35">
      <c r="A25" s="161">
        <f>AZ_DATA!A42</f>
        <v>10</v>
      </c>
      <c r="B25" s="162" t="str">
        <f>AZ_DATA!B42</f>
        <v>2026-06-13</v>
      </c>
      <c r="C25" s="223">
        <f>AZ_DATA!C42</f>
        <v>2.2000000000000002</v>
      </c>
      <c r="D25" s="223">
        <f>AZ_DATA!D42</f>
        <v>0</v>
      </c>
      <c r="E25" s="187">
        <f>AZ_DATA!E42</f>
        <v>-2.2000000000000002</v>
      </c>
      <c r="F25" s="257" t="str">
        <f>AZ_DATA!F42</f>
        <v>PENDING</v>
      </c>
    </row>
    <row r="26" spans="1:8" ht="19.5" customHeight="1" x14ac:dyDescent="0.35">
      <c r="A26" s="158">
        <f>AZ_DATA!A43</f>
        <v>11</v>
      </c>
      <c r="B26" s="159" t="str">
        <f>AZ_DATA!B43</f>
        <v>2026-06-16</v>
      </c>
      <c r="C26" s="225">
        <f>AZ_DATA!C43</f>
        <v>0</v>
      </c>
      <c r="D26" s="225">
        <f>AZ_DATA!D43</f>
        <v>0</v>
      </c>
      <c r="E26" s="191">
        <f>AZ_DATA!E43</f>
        <v>0</v>
      </c>
      <c r="F26" s="256" t="str">
        <f>AZ_DATA!F43</f>
        <v>PENDING</v>
      </c>
    </row>
    <row r="28" spans="1:8" ht="19.5" customHeight="1" x14ac:dyDescent="0.35">
      <c r="A28" s="297" t="s">
        <v>1091</v>
      </c>
      <c r="B28" s="297"/>
      <c r="C28" s="297"/>
      <c r="D28" s="297"/>
      <c r="E28" s="297"/>
      <c r="F28" s="297"/>
      <c r="G28" s="297"/>
      <c r="H28" s="297"/>
    </row>
    <row r="29" spans="1:8" ht="27.75" customHeight="1" x14ac:dyDescent="0.35">
      <c r="A29" s="38" t="s">
        <v>1072</v>
      </c>
      <c r="B29" s="38" t="s">
        <v>1073</v>
      </c>
      <c r="C29" s="38" t="s">
        <v>1074</v>
      </c>
      <c r="D29" s="38" t="s">
        <v>1075</v>
      </c>
      <c r="E29" s="38" t="s">
        <v>1023</v>
      </c>
      <c r="F29" s="38" t="s">
        <v>1076</v>
      </c>
      <c r="G29" s="38" t="s">
        <v>1077</v>
      </c>
      <c r="H29" s="38" t="s">
        <v>1078</v>
      </c>
    </row>
    <row r="30" spans="1:8" ht="16.5" customHeight="1" x14ac:dyDescent="0.35">
      <c r="A30" s="157">
        <f>AZ_DATA!A47</f>
        <v>8</v>
      </c>
      <c r="B30" s="157">
        <f>AZ_DATA!B47</f>
        <v>4</v>
      </c>
      <c r="C30" s="157">
        <f>AZ_DATA!C47</f>
        <v>2</v>
      </c>
      <c r="D30" s="157">
        <f>AZ_DATA!D47</f>
        <v>4</v>
      </c>
      <c r="E30" s="157">
        <f>AZ_DATA!E47</f>
        <v>7</v>
      </c>
      <c r="F30" s="157">
        <f>AZ_DATA!F47</f>
        <v>60</v>
      </c>
      <c r="G30" s="157">
        <f>AZ_DATA!G47</f>
        <v>44</v>
      </c>
      <c r="H30" s="163">
        <f>AZ_DATA!H47</f>
        <v>0.85795454545454541</v>
      </c>
    </row>
  </sheetData>
  <mergeCells count="5">
    <mergeCell ref="A1:H1"/>
    <mergeCell ref="A2:H2"/>
    <mergeCell ref="A3:H3"/>
    <mergeCell ref="A14:H14"/>
    <mergeCell ref="A28:H28"/>
  </mergeCells>
  <pageMargins left="0.75" right="0.75" top="1" bottom="1" header="0.511811023622047" footer="0.511811023622047"/>
  <pageSetup paperSize="9" orientation="portrait" horizontalDpi="300" verticalDpi="300"/>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Ark31"/>
  <dimension ref="A1:BZ42"/>
  <sheetViews>
    <sheetView showGridLines="0" zoomScaleNormal="100" workbookViewId="0"/>
  </sheetViews>
  <sheetFormatPr defaultColWidth="8.6328125" defaultRowHeight="14.5" x14ac:dyDescent="0.35"/>
  <sheetData>
    <row r="1" spans="1:78" ht="14.25" customHeight="1" x14ac:dyDescent="0.35">
      <c r="A1" t="s">
        <v>1092</v>
      </c>
      <c r="B1" t="s">
        <v>1093</v>
      </c>
      <c r="C1" t="s">
        <v>1094</v>
      </c>
      <c r="D1" t="s">
        <v>1095</v>
      </c>
      <c r="E1" t="s">
        <v>1096</v>
      </c>
      <c r="F1" t="s">
        <v>1097</v>
      </c>
      <c r="G1" t="s">
        <v>1098</v>
      </c>
      <c r="H1" t="s">
        <v>1099</v>
      </c>
      <c r="I1" t="s">
        <v>1100</v>
      </c>
      <c r="J1" t="s">
        <v>1101</v>
      </c>
      <c r="K1" t="s">
        <v>1102</v>
      </c>
      <c r="L1" t="s">
        <v>1103</v>
      </c>
      <c r="M1" t="s">
        <v>1104</v>
      </c>
      <c r="N1" t="s">
        <v>1105</v>
      </c>
      <c r="O1" t="s">
        <v>1106</v>
      </c>
      <c r="P1" t="s">
        <v>1107</v>
      </c>
      <c r="Q1" t="s">
        <v>1108</v>
      </c>
      <c r="R1" t="s">
        <v>1109</v>
      </c>
      <c r="S1" t="s">
        <v>1110</v>
      </c>
      <c r="T1" t="s">
        <v>1111</v>
      </c>
      <c r="U1" t="s">
        <v>1112</v>
      </c>
      <c r="V1" t="s">
        <v>1113</v>
      </c>
      <c r="W1" t="s">
        <v>1114</v>
      </c>
      <c r="X1" t="s">
        <v>1115</v>
      </c>
      <c r="Y1" t="s">
        <v>1116</v>
      </c>
      <c r="Z1" t="s">
        <v>1117</v>
      </c>
      <c r="AA1" t="s">
        <v>1118</v>
      </c>
      <c r="AB1" t="s">
        <v>713</v>
      </c>
      <c r="AC1" t="s">
        <v>1119</v>
      </c>
      <c r="AD1" t="s">
        <v>1120</v>
      </c>
      <c r="AE1" t="s">
        <v>1121</v>
      </c>
      <c r="AF1" t="s">
        <v>1122</v>
      </c>
      <c r="AG1" t="s">
        <v>1123</v>
      </c>
      <c r="AH1" t="s">
        <v>1124</v>
      </c>
      <c r="AI1" t="s">
        <v>1125</v>
      </c>
      <c r="AJ1" t="s">
        <v>1126</v>
      </c>
      <c r="AK1" t="s">
        <v>1127</v>
      </c>
      <c r="AL1" t="s">
        <v>1128</v>
      </c>
      <c r="AM1" t="s">
        <v>1129</v>
      </c>
      <c r="AN1" t="s">
        <v>1130</v>
      </c>
      <c r="AO1" t="s">
        <v>1131</v>
      </c>
      <c r="AP1" t="s">
        <v>1132</v>
      </c>
      <c r="AQ1" t="s">
        <v>1133</v>
      </c>
      <c r="AR1" t="s">
        <v>1134</v>
      </c>
      <c r="AS1" t="s">
        <v>1135</v>
      </c>
      <c r="AT1" t="s">
        <v>1136</v>
      </c>
      <c r="AU1" t="s">
        <v>1137</v>
      </c>
      <c r="AV1" t="s">
        <v>1138</v>
      </c>
      <c r="AW1" t="s">
        <v>1139</v>
      </c>
      <c r="AX1" t="s">
        <v>976</v>
      </c>
      <c r="AY1" t="s">
        <v>873</v>
      </c>
      <c r="AZ1" t="s">
        <v>991</v>
      </c>
      <c r="BA1" t="s">
        <v>1140</v>
      </c>
      <c r="BB1" t="s">
        <v>1141</v>
      </c>
      <c r="BC1" t="s">
        <v>1142</v>
      </c>
      <c r="BD1" t="s">
        <v>1143</v>
      </c>
      <c r="BE1" t="s">
        <v>1144</v>
      </c>
      <c r="BF1" t="s">
        <v>1145</v>
      </c>
      <c r="BG1" t="s">
        <v>1146</v>
      </c>
      <c r="BH1" t="s">
        <v>1147</v>
      </c>
      <c r="BI1" t="s">
        <v>1148</v>
      </c>
      <c r="BJ1" t="s">
        <v>1149</v>
      </c>
      <c r="BK1" t="s">
        <v>1150</v>
      </c>
      <c r="BL1" t="s">
        <v>1151</v>
      </c>
      <c r="BM1" t="s">
        <v>1152</v>
      </c>
      <c r="BN1" t="s">
        <v>1153</v>
      </c>
      <c r="BO1" t="s">
        <v>1154</v>
      </c>
      <c r="BP1" t="s">
        <v>1155</v>
      </c>
      <c r="BQ1" t="s">
        <v>1156</v>
      </c>
      <c r="BR1" t="s">
        <v>1157</v>
      </c>
      <c r="BS1" t="s">
        <v>1158</v>
      </c>
      <c r="BT1" t="s">
        <v>1159</v>
      </c>
      <c r="BU1" t="s">
        <v>1160</v>
      </c>
      <c r="BV1" t="s">
        <v>1161</v>
      </c>
      <c r="BW1" t="s">
        <v>1162</v>
      </c>
      <c r="BX1" t="s">
        <v>1163</v>
      </c>
      <c r="BY1" t="s">
        <v>1164</v>
      </c>
      <c r="BZ1" t="s">
        <v>1165</v>
      </c>
    </row>
    <row r="2" spans="1:78" ht="14.25" customHeight="1" x14ac:dyDescent="0.35">
      <c r="A2" t="s">
        <v>452</v>
      </c>
      <c r="B2" t="s">
        <v>1166</v>
      </c>
      <c r="C2" t="s">
        <v>1167</v>
      </c>
      <c r="D2" t="s">
        <v>1168</v>
      </c>
      <c r="E2" t="s">
        <v>1169</v>
      </c>
      <c r="F2" t="s">
        <v>621</v>
      </c>
      <c r="G2" t="s">
        <v>622</v>
      </c>
      <c r="H2" t="s">
        <v>90</v>
      </c>
      <c r="I2" t="s">
        <v>1170</v>
      </c>
      <c r="J2" t="s">
        <v>893</v>
      </c>
      <c r="K2" t="s">
        <v>792</v>
      </c>
      <c r="L2" t="s">
        <v>890</v>
      </c>
      <c r="M2" t="s">
        <v>933</v>
      </c>
      <c r="N2" t="s">
        <v>800</v>
      </c>
      <c r="O2" t="s">
        <v>1020</v>
      </c>
      <c r="P2" t="s">
        <v>957</v>
      </c>
      <c r="Q2" t="s">
        <v>1024</v>
      </c>
      <c r="R2" t="s">
        <v>1002</v>
      </c>
      <c r="S2" t="s">
        <v>1171</v>
      </c>
      <c r="T2" t="s">
        <v>1172</v>
      </c>
      <c r="U2" t="s">
        <v>1173</v>
      </c>
      <c r="V2" t="s">
        <v>1174</v>
      </c>
      <c r="W2" t="s">
        <v>1175</v>
      </c>
      <c r="X2" t="s">
        <v>1176</v>
      </c>
      <c r="Y2" t="s">
        <v>1177</v>
      </c>
      <c r="Z2" t="s">
        <v>133</v>
      </c>
      <c r="AA2" t="s">
        <v>1178</v>
      </c>
      <c r="AB2" t="s">
        <v>1179</v>
      </c>
      <c r="AC2" t="s">
        <v>1180</v>
      </c>
      <c r="AD2" t="s">
        <v>1181</v>
      </c>
      <c r="AE2" t="s">
        <v>1182</v>
      </c>
      <c r="AF2" t="s">
        <v>1183</v>
      </c>
      <c r="AG2" t="s">
        <v>1184</v>
      </c>
      <c r="AH2" t="s">
        <v>1185</v>
      </c>
      <c r="AI2" t="s">
        <v>1186</v>
      </c>
      <c r="AJ2" t="s">
        <v>1187</v>
      </c>
      <c r="AK2" t="s">
        <v>368</v>
      </c>
      <c r="AL2" t="s">
        <v>1188</v>
      </c>
      <c r="AM2" t="s">
        <v>1189</v>
      </c>
      <c r="AN2" t="s">
        <v>1190</v>
      </c>
      <c r="AO2" t="s">
        <v>133</v>
      </c>
      <c r="AP2" t="s">
        <v>133</v>
      </c>
      <c r="AQ2" t="s">
        <v>1191</v>
      </c>
      <c r="AR2" t="s">
        <v>133</v>
      </c>
      <c r="AS2" t="s">
        <v>133</v>
      </c>
      <c r="AT2" t="s">
        <v>133</v>
      </c>
      <c r="AU2" t="s">
        <v>133</v>
      </c>
      <c r="AV2" t="s">
        <v>1192</v>
      </c>
      <c r="AW2" t="s">
        <v>957</v>
      </c>
      <c r="AX2" t="s">
        <v>1193</v>
      </c>
      <c r="AY2" t="s">
        <v>1178</v>
      </c>
      <c r="AZ2" t="s">
        <v>1194</v>
      </c>
      <c r="BA2" t="s">
        <v>133</v>
      </c>
      <c r="BB2" t="s">
        <v>1002</v>
      </c>
      <c r="BC2" t="s">
        <v>1195</v>
      </c>
      <c r="BD2" t="s">
        <v>1196</v>
      </c>
      <c r="BE2" t="s">
        <v>1197</v>
      </c>
      <c r="BF2" t="s">
        <v>1198</v>
      </c>
      <c r="BG2" t="s">
        <v>1199</v>
      </c>
      <c r="BH2" t="s">
        <v>1200</v>
      </c>
      <c r="BI2" t="s">
        <v>1201</v>
      </c>
      <c r="BJ2" t="s">
        <v>1202</v>
      </c>
      <c r="BK2" t="s">
        <v>1203</v>
      </c>
      <c r="BL2" t="s">
        <v>1204</v>
      </c>
      <c r="BM2" t="s">
        <v>1205</v>
      </c>
      <c r="BN2" t="s">
        <v>1206</v>
      </c>
      <c r="BO2" t="s">
        <v>1207</v>
      </c>
      <c r="BP2" t="s">
        <v>1208</v>
      </c>
      <c r="BQ2" t="s">
        <v>1209</v>
      </c>
      <c r="BR2" t="s">
        <v>1210</v>
      </c>
      <c r="BS2" t="s">
        <v>1211</v>
      </c>
      <c r="BT2" t="s">
        <v>1212</v>
      </c>
      <c r="BU2" t="s">
        <v>1213</v>
      </c>
      <c r="BV2" t="s">
        <v>1214</v>
      </c>
      <c r="BW2" t="s">
        <v>1215</v>
      </c>
      <c r="BX2" t="s">
        <v>1216</v>
      </c>
      <c r="BY2" t="s">
        <v>1217</v>
      </c>
      <c r="BZ2" t="s">
        <v>1218</v>
      </c>
    </row>
    <row r="3" spans="1:78" ht="14.25" customHeight="1" x14ac:dyDescent="0.35">
      <c r="A3" t="s">
        <v>461</v>
      </c>
      <c r="B3" t="s">
        <v>1219</v>
      </c>
      <c r="C3" t="s">
        <v>1220</v>
      </c>
      <c r="D3" t="s">
        <v>1221</v>
      </c>
      <c r="E3" t="s">
        <v>1222</v>
      </c>
      <c r="F3" t="s">
        <v>627</v>
      </c>
      <c r="G3" t="s">
        <v>1223</v>
      </c>
      <c r="H3" t="s">
        <v>102</v>
      </c>
      <c r="I3" t="s">
        <v>1224</v>
      </c>
      <c r="J3" t="s">
        <v>1225</v>
      </c>
      <c r="K3" t="s">
        <v>800</v>
      </c>
      <c r="L3" t="s">
        <v>896</v>
      </c>
      <c r="M3" t="s">
        <v>918</v>
      </c>
      <c r="N3" t="s">
        <v>806</v>
      </c>
      <c r="O3" t="s">
        <v>1026</v>
      </c>
      <c r="P3" t="s">
        <v>958</v>
      </c>
      <c r="Q3" t="s">
        <v>1029</v>
      </c>
      <c r="R3" t="s">
        <v>1003</v>
      </c>
      <c r="S3" t="s">
        <v>1226</v>
      </c>
      <c r="T3" t="s">
        <v>1227</v>
      </c>
      <c r="U3" t="s">
        <v>1228</v>
      </c>
      <c r="V3" t="s">
        <v>1229</v>
      </c>
      <c r="W3" t="s">
        <v>1230</v>
      </c>
      <c r="X3" t="s">
        <v>1231</v>
      </c>
      <c r="Y3" t="s">
        <v>1232</v>
      </c>
      <c r="Z3" t="s">
        <v>1194</v>
      </c>
      <c r="AA3" t="s">
        <v>1233</v>
      </c>
      <c r="AB3" t="s">
        <v>1234</v>
      </c>
      <c r="AC3" t="s">
        <v>1235</v>
      </c>
      <c r="AD3" t="s">
        <v>1236</v>
      </c>
      <c r="AE3" t="s">
        <v>1237</v>
      </c>
      <c r="AF3" t="s">
        <v>1238</v>
      </c>
      <c r="AG3" t="s">
        <v>1239</v>
      </c>
      <c r="AH3" t="s">
        <v>1240</v>
      </c>
      <c r="AI3" t="s">
        <v>1241</v>
      </c>
      <c r="AJ3" t="s">
        <v>1242</v>
      </c>
      <c r="AK3" t="s">
        <v>1243</v>
      </c>
      <c r="AL3" t="s">
        <v>1244</v>
      </c>
      <c r="AM3" t="s">
        <v>1245</v>
      </c>
      <c r="AN3" t="s">
        <v>1246</v>
      </c>
      <c r="AO3" t="s">
        <v>1247</v>
      </c>
      <c r="AP3" t="s">
        <v>1178</v>
      </c>
      <c r="AQ3" t="s">
        <v>1248</v>
      </c>
      <c r="AR3" t="s">
        <v>1249</v>
      </c>
      <c r="AS3" t="s">
        <v>1178</v>
      </c>
      <c r="AT3" t="s">
        <v>1178</v>
      </c>
      <c r="AU3" t="s">
        <v>1194</v>
      </c>
      <c r="AV3" t="s">
        <v>1250</v>
      </c>
      <c r="AW3" t="s">
        <v>958</v>
      </c>
      <c r="AX3" t="s">
        <v>1251</v>
      </c>
      <c r="AY3" t="s">
        <v>1233</v>
      </c>
      <c r="AZ3" t="s">
        <v>1193</v>
      </c>
      <c r="BA3" t="s">
        <v>1252</v>
      </c>
      <c r="BB3" t="s">
        <v>1003</v>
      </c>
      <c r="BC3" t="s">
        <v>1253</v>
      </c>
      <c r="BD3" t="s">
        <v>1254</v>
      </c>
      <c r="BE3" t="s">
        <v>1242</v>
      </c>
      <c r="BF3" t="s">
        <v>1255</v>
      </c>
      <c r="BG3" t="s">
        <v>1256</v>
      </c>
      <c r="BH3" t="s">
        <v>1257</v>
      </c>
      <c r="BI3" t="s">
        <v>1258</v>
      </c>
      <c r="BJ3" t="s">
        <v>1259</v>
      </c>
      <c r="BK3" t="s">
        <v>1260</v>
      </c>
      <c r="BL3" t="s">
        <v>1261</v>
      </c>
      <c r="BM3" t="s">
        <v>1262</v>
      </c>
      <c r="BN3" t="s">
        <v>1263</v>
      </c>
      <c r="BO3" t="s">
        <v>1264</v>
      </c>
      <c r="BP3" t="s">
        <v>1265</v>
      </c>
      <c r="BQ3" t="s">
        <v>1266</v>
      </c>
      <c r="BR3" t="s">
        <v>1267</v>
      </c>
      <c r="BS3" t="s">
        <v>1268</v>
      </c>
      <c r="BT3" t="s">
        <v>1269</v>
      </c>
      <c r="BU3" t="s">
        <v>1270</v>
      </c>
      <c r="BV3" t="s">
        <v>1271</v>
      </c>
      <c r="BW3" t="s">
        <v>1272</v>
      </c>
      <c r="BX3" t="s">
        <v>1273</v>
      </c>
      <c r="BY3" t="s">
        <v>1274</v>
      </c>
      <c r="BZ3" t="s">
        <v>1275</v>
      </c>
    </row>
    <row r="4" spans="1:78" ht="14.25" customHeight="1" x14ac:dyDescent="0.35">
      <c r="A4" t="s">
        <v>595</v>
      </c>
      <c r="B4" t="s">
        <v>1276</v>
      </c>
      <c r="C4" t="s">
        <v>1277</v>
      </c>
      <c r="D4" t="s">
        <v>1278</v>
      </c>
      <c r="E4" t="s">
        <v>1279</v>
      </c>
      <c r="F4" t="s">
        <v>633</v>
      </c>
      <c r="G4" t="s">
        <v>1280</v>
      </c>
      <c r="H4" t="s">
        <v>106</v>
      </c>
      <c r="I4" t="s">
        <v>1281</v>
      </c>
      <c r="J4" t="s">
        <v>1282</v>
      </c>
      <c r="K4" t="s">
        <v>806</v>
      </c>
      <c r="L4" t="s">
        <v>906</v>
      </c>
      <c r="M4" t="s">
        <v>213</v>
      </c>
      <c r="N4" t="s">
        <v>205</v>
      </c>
      <c r="O4" t="s">
        <v>1031</v>
      </c>
      <c r="P4" t="s">
        <v>959</v>
      </c>
      <c r="Q4" t="s">
        <v>1038</v>
      </c>
      <c r="R4" t="s">
        <v>1004</v>
      </c>
      <c r="S4" t="s">
        <v>1283</v>
      </c>
      <c r="T4" t="s">
        <v>1284</v>
      </c>
      <c r="U4" t="s">
        <v>1285</v>
      </c>
      <c r="V4" t="s">
        <v>1286</v>
      </c>
      <c r="W4" t="s">
        <v>1287</v>
      </c>
      <c r="X4" t="s">
        <v>1288</v>
      </c>
      <c r="Y4" t="s">
        <v>1289</v>
      </c>
      <c r="Z4" t="s">
        <v>1193</v>
      </c>
      <c r="AA4" t="s">
        <v>1290</v>
      </c>
      <c r="AB4" t="s">
        <v>1291</v>
      </c>
      <c r="AC4" t="s">
        <v>365</v>
      </c>
      <c r="AD4" t="s">
        <v>1292</v>
      </c>
      <c r="AE4" t="s">
        <v>1293</v>
      </c>
      <c r="AF4" t="s">
        <v>1294</v>
      </c>
      <c r="AG4" t="s">
        <v>1295</v>
      </c>
      <c r="AH4" t="s">
        <v>1296</v>
      </c>
      <c r="AI4" t="s">
        <v>1297</v>
      </c>
      <c r="AJ4" t="s">
        <v>1298</v>
      </c>
      <c r="AK4" t="s">
        <v>375</v>
      </c>
      <c r="AL4" t="s">
        <v>1299</v>
      </c>
      <c r="AM4" t="s">
        <v>1300</v>
      </c>
      <c r="AN4" t="s">
        <v>1301</v>
      </c>
      <c r="AO4" t="s">
        <v>1302</v>
      </c>
      <c r="AP4" t="s">
        <v>1233</v>
      </c>
      <c r="AQ4" t="s">
        <v>1303</v>
      </c>
      <c r="AR4" t="s">
        <v>1304</v>
      </c>
      <c r="AS4" t="s">
        <v>1233</v>
      </c>
      <c r="AT4" t="s">
        <v>1233</v>
      </c>
      <c r="AU4" t="s">
        <v>1193</v>
      </c>
      <c r="AV4" t="s">
        <v>1305</v>
      </c>
      <c r="AW4" t="s">
        <v>959</v>
      </c>
      <c r="AX4" t="s">
        <v>1306</v>
      </c>
      <c r="AY4" t="s">
        <v>1290</v>
      </c>
      <c r="AZ4" t="s">
        <v>1251</v>
      </c>
      <c r="BA4" t="s">
        <v>1249</v>
      </c>
      <c r="BB4" t="s">
        <v>1004</v>
      </c>
      <c r="BC4" t="s">
        <v>1307</v>
      </c>
      <c r="BD4" t="s">
        <v>1308</v>
      </c>
      <c r="BE4" t="s">
        <v>1309</v>
      </c>
      <c r="BF4" t="s">
        <v>1310</v>
      </c>
      <c r="BG4" t="s">
        <v>1311</v>
      </c>
      <c r="BH4" t="s">
        <v>1312</v>
      </c>
      <c r="BI4" t="s">
        <v>1313</v>
      </c>
      <c r="BJ4" t="s">
        <v>1314</v>
      </c>
      <c r="BK4" t="s">
        <v>1315</v>
      </c>
      <c r="BL4" t="s">
        <v>1316</v>
      </c>
      <c r="BM4" t="s">
        <v>1317</v>
      </c>
      <c r="BN4" t="s">
        <v>1318</v>
      </c>
      <c r="BO4" t="s">
        <v>1319</v>
      </c>
      <c r="BP4" t="s">
        <v>1320</v>
      </c>
      <c r="BQ4" t="s">
        <v>1321</v>
      </c>
      <c r="BR4" t="s">
        <v>1322</v>
      </c>
      <c r="BS4" t="s">
        <v>1323</v>
      </c>
      <c r="BT4" t="s">
        <v>1324</v>
      </c>
      <c r="BU4" t="s">
        <v>1325</v>
      </c>
      <c r="BV4" t="s">
        <v>1326</v>
      </c>
      <c r="BW4" t="s">
        <v>1327</v>
      </c>
      <c r="BX4" t="s">
        <v>1328</v>
      </c>
      <c r="BY4" t="s">
        <v>1329</v>
      </c>
      <c r="BZ4" t="s">
        <v>1330</v>
      </c>
    </row>
    <row r="5" spans="1:78" ht="14.25" customHeight="1" x14ac:dyDescent="0.35">
      <c r="A5" t="s">
        <v>465</v>
      </c>
      <c r="B5" t="s">
        <v>1331</v>
      </c>
      <c r="C5" t="s">
        <v>1332</v>
      </c>
      <c r="D5" t="s">
        <v>1333</v>
      </c>
      <c r="E5" t="s">
        <v>1334</v>
      </c>
      <c r="F5" t="s">
        <v>638</v>
      </c>
      <c r="G5" t="s">
        <v>639</v>
      </c>
      <c r="H5" t="s">
        <v>249</v>
      </c>
      <c r="I5" t="s">
        <v>1335</v>
      </c>
      <c r="J5" t="s">
        <v>1336</v>
      </c>
      <c r="K5" t="s">
        <v>810</v>
      </c>
      <c r="L5" t="s">
        <v>911</v>
      </c>
      <c r="M5" t="s">
        <v>577</v>
      </c>
      <c r="N5" t="s">
        <v>903</v>
      </c>
      <c r="O5" t="s">
        <v>1337</v>
      </c>
      <c r="P5" t="s">
        <v>960</v>
      </c>
      <c r="Q5" t="s">
        <v>1035</v>
      </c>
      <c r="R5" t="s">
        <v>1005</v>
      </c>
      <c r="S5" t="s">
        <v>1338</v>
      </c>
      <c r="T5" t="s">
        <v>1339</v>
      </c>
      <c r="U5" t="s">
        <v>1340</v>
      </c>
      <c r="V5" t="s">
        <v>1341</v>
      </c>
      <c r="W5" t="s">
        <v>1342</v>
      </c>
      <c r="X5" t="s">
        <v>1343</v>
      </c>
      <c r="Y5" t="s">
        <v>1344</v>
      </c>
      <c r="Z5" t="s">
        <v>1251</v>
      </c>
      <c r="AA5" t="s">
        <v>1252</v>
      </c>
      <c r="AB5" t="s">
        <v>701</v>
      </c>
      <c r="AC5" t="s">
        <v>369</v>
      </c>
      <c r="AD5" t="s">
        <v>1345</v>
      </c>
      <c r="AE5" t="s">
        <v>1346</v>
      </c>
      <c r="AF5" t="s">
        <v>1347</v>
      </c>
      <c r="AG5" t="s">
        <v>1348</v>
      </c>
      <c r="AH5" t="s">
        <v>1349</v>
      </c>
      <c r="AI5" t="s">
        <v>1350</v>
      </c>
      <c r="AJ5" t="s">
        <v>1351</v>
      </c>
      <c r="AK5" t="s">
        <v>1352</v>
      </c>
      <c r="AL5" t="s">
        <v>1353</v>
      </c>
      <c r="AM5" t="s">
        <v>1354</v>
      </c>
      <c r="AN5" t="s">
        <v>1355</v>
      </c>
      <c r="AO5" t="s">
        <v>1356</v>
      </c>
      <c r="AP5" t="s">
        <v>1290</v>
      </c>
      <c r="AQ5" t="s">
        <v>1357</v>
      </c>
      <c r="AR5" t="s">
        <v>1358</v>
      </c>
      <c r="AS5" t="s">
        <v>1290</v>
      </c>
      <c r="AT5" t="s">
        <v>1290</v>
      </c>
      <c r="AU5" t="s">
        <v>1251</v>
      </c>
      <c r="AV5" t="s">
        <v>1359</v>
      </c>
      <c r="AW5" t="s">
        <v>960</v>
      </c>
      <c r="AX5" t="s">
        <v>1247</v>
      </c>
      <c r="AY5" t="s">
        <v>1252</v>
      </c>
      <c r="AZ5" t="s">
        <v>1306</v>
      </c>
      <c r="BA5" t="s">
        <v>1360</v>
      </c>
      <c r="BB5" t="s">
        <v>1005</v>
      </c>
      <c r="BC5" t="s">
        <v>1361</v>
      </c>
      <c r="BD5" t="s">
        <v>1362</v>
      </c>
      <c r="BE5" t="s">
        <v>1363</v>
      </c>
      <c r="BF5" t="s">
        <v>1364</v>
      </c>
      <c r="BG5" t="s">
        <v>1365</v>
      </c>
      <c r="BH5" t="s">
        <v>1366</v>
      </c>
      <c r="BI5" t="s">
        <v>1367</v>
      </c>
      <c r="BJ5" t="s">
        <v>1368</v>
      </c>
      <c r="BK5" t="s">
        <v>1369</v>
      </c>
      <c r="BL5" t="s">
        <v>1370</v>
      </c>
      <c r="BM5" t="s">
        <v>1371</v>
      </c>
      <c r="BN5" t="s">
        <v>1372</v>
      </c>
      <c r="BO5" t="s">
        <v>1373</v>
      </c>
      <c r="BP5" t="s">
        <v>1374</v>
      </c>
      <c r="BQ5" t="s">
        <v>1375</v>
      </c>
      <c r="BR5" t="s">
        <v>1376</v>
      </c>
      <c r="BS5" t="s">
        <v>1377</v>
      </c>
      <c r="BT5" t="s">
        <v>1378</v>
      </c>
      <c r="BU5" t="s">
        <v>1379</v>
      </c>
      <c r="BV5" t="s">
        <v>1380</v>
      </c>
      <c r="BW5" t="s">
        <v>1381</v>
      </c>
      <c r="BX5" t="s">
        <v>1382</v>
      </c>
      <c r="BY5" t="s">
        <v>1383</v>
      </c>
      <c r="BZ5" t="s">
        <v>1384</v>
      </c>
    </row>
    <row r="6" spans="1:78" ht="14.25" customHeight="1" x14ac:dyDescent="0.35">
      <c r="A6" t="s">
        <v>473</v>
      </c>
      <c r="B6" t="s">
        <v>1385</v>
      </c>
      <c r="C6" t="s">
        <v>1386</v>
      </c>
      <c r="D6" t="s">
        <v>1387</v>
      </c>
      <c r="E6" t="s">
        <v>1388</v>
      </c>
      <c r="F6" t="s">
        <v>1389</v>
      </c>
      <c r="G6" t="s">
        <v>1390</v>
      </c>
      <c r="H6" t="s">
        <v>253</v>
      </c>
      <c r="I6" t="s">
        <v>1391</v>
      </c>
      <c r="J6" t="s">
        <v>1392</v>
      </c>
      <c r="K6" t="s">
        <v>461</v>
      </c>
      <c r="L6" t="s">
        <v>900</v>
      </c>
      <c r="M6" t="s">
        <v>816</v>
      </c>
      <c r="N6" t="s">
        <v>935</v>
      </c>
      <c r="O6" t="s">
        <v>1393</v>
      </c>
      <c r="P6" t="s">
        <v>961</v>
      </c>
      <c r="Q6" t="s">
        <v>1042</v>
      </c>
      <c r="R6" t="s">
        <v>1006</v>
      </c>
      <c r="S6" t="s">
        <v>1394</v>
      </c>
      <c r="T6" t="s">
        <v>1395</v>
      </c>
      <c r="U6" t="s">
        <v>1396</v>
      </c>
      <c r="V6" t="s">
        <v>1397</v>
      </c>
      <c r="W6" t="s">
        <v>1398</v>
      </c>
      <c r="X6" t="s">
        <v>419</v>
      </c>
      <c r="Y6" t="s">
        <v>1399</v>
      </c>
      <c r="Z6" t="s">
        <v>1306</v>
      </c>
      <c r="AA6" t="s">
        <v>1194</v>
      </c>
      <c r="AB6" t="s">
        <v>1400</v>
      </c>
      <c r="AC6" t="s">
        <v>1401</v>
      </c>
      <c r="AD6" t="s">
        <v>1402</v>
      </c>
      <c r="AE6" t="s">
        <v>1403</v>
      </c>
      <c r="AF6" t="s">
        <v>1404</v>
      </c>
      <c r="AG6" t="s">
        <v>1405</v>
      </c>
      <c r="AH6" t="s">
        <v>1406</v>
      </c>
      <c r="AI6" t="s">
        <v>1407</v>
      </c>
      <c r="AJ6" t="s">
        <v>1408</v>
      </c>
      <c r="AK6" t="s">
        <v>1409</v>
      </c>
      <c r="AL6" t="s">
        <v>1410</v>
      </c>
      <c r="AM6" t="s">
        <v>1411</v>
      </c>
      <c r="AN6" t="s">
        <v>1412</v>
      </c>
      <c r="AO6" t="s">
        <v>1413</v>
      </c>
      <c r="AP6" t="s">
        <v>1252</v>
      </c>
      <c r="AQ6" t="s">
        <v>1414</v>
      </c>
      <c r="AR6" t="s">
        <v>1415</v>
      </c>
      <c r="AS6" t="s">
        <v>1252</v>
      </c>
      <c r="AT6" t="s">
        <v>1252</v>
      </c>
      <c r="AU6" t="s">
        <v>1306</v>
      </c>
      <c r="AV6" t="s">
        <v>1416</v>
      </c>
      <c r="AW6" t="s">
        <v>961</v>
      </c>
      <c r="AX6" t="s">
        <v>1417</v>
      </c>
      <c r="AY6" t="s">
        <v>1194</v>
      </c>
      <c r="AZ6" t="s">
        <v>1418</v>
      </c>
      <c r="BA6" t="s">
        <v>1304</v>
      </c>
      <c r="BB6" t="s">
        <v>1006</v>
      </c>
      <c r="BC6" t="s">
        <v>1419</v>
      </c>
      <c r="BD6" t="s">
        <v>1420</v>
      </c>
      <c r="BE6" t="s">
        <v>1421</v>
      </c>
      <c r="BF6" t="s">
        <v>1422</v>
      </c>
      <c r="BG6" t="s">
        <v>1423</v>
      </c>
      <c r="BH6" t="s">
        <v>1424</v>
      </c>
      <c r="BI6" t="s">
        <v>1425</v>
      </c>
      <c r="BJ6" t="s">
        <v>1426</v>
      </c>
      <c r="BK6" t="s">
        <v>1427</v>
      </c>
      <c r="BL6" t="s">
        <v>1428</v>
      </c>
      <c r="BM6" t="s">
        <v>1429</v>
      </c>
      <c r="BN6" t="s">
        <v>1430</v>
      </c>
      <c r="BO6" t="s">
        <v>1431</v>
      </c>
      <c r="BP6" t="s">
        <v>1432</v>
      </c>
      <c r="BQ6" t="s">
        <v>1433</v>
      </c>
      <c r="BR6" t="s">
        <v>1434</v>
      </c>
      <c r="BS6" t="s">
        <v>1435</v>
      </c>
      <c r="BT6" t="s">
        <v>1436</v>
      </c>
      <c r="BU6" t="s">
        <v>1437</v>
      </c>
      <c r="BV6" t="s">
        <v>1438</v>
      </c>
      <c r="BW6" t="s">
        <v>1439</v>
      </c>
      <c r="BX6" t="s">
        <v>1440</v>
      </c>
      <c r="BY6" t="s">
        <v>1441</v>
      </c>
      <c r="BZ6" t="s">
        <v>1442</v>
      </c>
    </row>
    <row r="7" spans="1:78" ht="14.25" customHeight="1" x14ac:dyDescent="0.35">
      <c r="A7" t="s">
        <v>1443</v>
      </c>
      <c r="B7" t="s">
        <v>1444</v>
      </c>
      <c r="C7" t="s">
        <v>1445</v>
      </c>
      <c r="D7" t="s">
        <v>1446</v>
      </c>
      <c r="E7" t="s">
        <v>1447</v>
      </c>
      <c r="F7" t="s">
        <v>648</v>
      </c>
      <c r="G7" t="s">
        <v>1448</v>
      </c>
      <c r="H7" t="s">
        <v>250</v>
      </c>
      <c r="I7" t="s">
        <v>1449</v>
      </c>
      <c r="J7" t="s">
        <v>1450</v>
      </c>
      <c r="K7" t="s">
        <v>836</v>
      </c>
      <c r="L7" t="s">
        <v>922</v>
      </c>
      <c r="M7" t="s">
        <v>1451</v>
      </c>
      <c r="N7" t="s">
        <v>595</v>
      </c>
      <c r="O7" t="s">
        <v>1452</v>
      </c>
      <c r="P7" t="s">
        <v>962</v>
      </c>
      <c r="Q7" t="s">
        <v>1045</v>
      </c>
      <c r="R7" t="s">
        <v>1453</v>
      </c>
      <c r="S7" t="s">
        <v>1454</v>
      </c>
      <c r="T7" t="s">
        <v>1455</v>
      </c>
      <c r="U7" t="s">
        <v>1456</v>
      </c>
      <c r="V7" t="s">
        <v>409</v>
      </c>
      <c r="W7" t="s">
        <v>415</v>
      </c>
      <c r="X7" t="s">
        <v>420</v>
      </c>
      <c r="Y7" t="s">
        <v>423</v>
      </c>
      <c r="Z7" t="s">
        <v>1247</v>
      </c>
      <c r="AA7" t="s">
        <v>1457</v>
      </c>
      <c r="AB7" t="s">
        <v>1458</v>
      </c>
      <c r="AC7" t="s">
        <v>1459</v>
      </c>
      <c r="AD7" t="s">
        <v>1460</v>
      </c>
      <c r="AE7" t="s">
        <v>1461</v>
      </c>
      <c r="AF7" t="s">
        <v>1462</v>
      </c>
      <c r="AG7" t="s">
        <v>1463</v>
      </c>
      <c r="AH7" t="s">
        <v>1464</v>
      </c>
      <c r="AI7" t="s">
        <v>1465</v>
      </c>
      <c r="AJ7" t="s">
        <v>1466</v>
      </c>
      <c r="AK7" t="s">
        <v>1467</v>
      </c>
      <c r="AL7" t="s">
        <v>1468</v>
      </c>
      <c r="AM7" t="s">
        <v>1170</v>
      </c>
      <c r="AN7" t="s">
        <v>1469</v>
      </c>
      <c r="AO7" t="s">
        <v>1470</v>
      </c>
      <c r="AP7" t="s">
        <v>1194</v>
      </c>
      <c r="AQ7" t="s">
        <v>1471</v>
      </c>
      <c r="AR7" t="s">
        <v>1472</v>
      </c>
      <c r="AS7" t="s">
        <v>1194</v>
      </c>
      <c r="AT7" t="s">
        <v>1194</v>
      </c>
      <c r="AU7" t="s">
        <v>1247</v>
      </c>
      <c r="AV7" t="s">
        <v>1473</v>
      </c>
      <c r="AW7" t="s">
        <v>962</v>
      </c>
      <c r="AX7" t="s">
        <v>1474</v>
      </c>
      <c r="AY7" t="s">
        <v>1457</v>
      </c>
      <c r="AZ7" t="s">
        <v>1247</v>
      </c>
      <c r="BA7" t="s">
        <v>1306</v>
      </c>
      <c r="BB7" t="s">
        <v>1453</v>
      </c>
      <c r="BC7" t="s">
        <v>1475</v>
      </c>
      <c r="BD7" t="s">
        <v>1476</v>
      </c>
      <c r="BE7" t="s">
        <v>1477</v>
      </c>
      <c r="BF7" t="s">
        <v>1478</v>
      </c>
      <c r="BG7" t="s">
        <v>1479</v>
      </c>
      <c r="BH7" t="s">
        <v>1480</v>
      </c>
      <c r="BI7" t="s">
        <v>1481</v>
      </c>
      <c r="BJ7" t="s">
        <v>1482</v>
      </c>
      <c r="BK7" t="s">
        <v>1483</v>
      </c>
      <c r="BL7" t="s">
        <v>1484</v>
      </c>
      <c r="BM7" t="s">
        <v>1485</v>
      </c>
      <c r="BN7" t="s">
        <v>1486</v>
      </c>
      <c r="BO7" t="s">
        <v>1487</v>
      </c>
      <c r="BP7" t="s">
        <v>1488</v>
      </c>
      <c r="BQ7" t="s">
        <v>1489</v>
      </c>
      <c r="BR7" t="s">
        <v>1490</v>
      </c>
      <c r="BS7" t="s">
        <v>1491</v>
      </c>
      <c r="BT7" t="s">
        <v>1492</v>
      </c>
      <c r="BU7" t="s">
        <v>1493</v>
      </c>
      <c r="BV7" t="s">
        <v>1494</v>
      </c>
      <c r="BW7" t="s">
        <v>1495</v>
      </c>
      <c r="BX7" t="s">
        <v>1496</v>
      </c>
      <c r="BY7" t="s">
        <v>1497</v>
      </c>
      <c r="BZ7" t="s">
        <v>1498</v>
      </c>
    </row>
    <row r="8" spans="1:78" ht="14.25" customHeight="1" x14ac:dyDescent="0.35">
      <c r="A8" t="s">
        <v>1499</v>
      </c>
      <c r="B8" t="s">
        <v>1500</v>
      </c>
      <c r="C8" t="s">
        <v>1501</v>
      </c>
      <c r="D8" t="s">
        <v>1502</v>
      </c>
      <c r="E8" t="s">
        <v>1503</v>
      </c>
      <c r="F8" t="s">
        <v>654</v>
      </c>
      <c r="G8" t="s">
        <v>1504</v>
      </c>
      <c r="H8" t="s">
        <v>251</v>
      </c>
      <c r="I8" t="s">
        <v>1505</v>
      </c>
      <c r="J8" t="s">
        <v>1506</v>
      </c>
      <c r="K8" t="s">
        <v>595</v>
      </c>
      <c r="L8" t="s">
        <v>941</v>
      </c>
      <c r="M8" t="s">
        <v>1507</v>
      </c>
      <c r="N8" t="s">
        <v>836</v>
      </c>
      <c r="O8" t="s">
        <v>1508</v>
      </c>
      <c r="P8" t="s">
        <v>1509</v>
      </c>
      <c r="Q8" t="s">
        <v>1054</v>
      </c>
      <c r="R8" t="s">
        <v>1510</v>
      </c>
      <c r="S8" t="s">
        <v>1511</v>
      </c>
      <c r="T8" t="s">
        <v>399</v>
      </c>
      <c r="U8" t="s">
        <v>404</v>
      </c>
      <c r="V8" t="s">
        <v>410</v>
      </c>
      <c r="W8" t="s">
        <v>416</v>
      </c>
      <c r="X8" t="s">
        <v>1512</v>
      </c>
      <c r="Y8" t="s">
        <v>1513</v>
      </c>
      <c r="Z8" t="s">
        <v>1417</v>
      </c>
      <c r="AB8" t="s">
        <v>1514</v>
      </c>
      <c r="AC8" t="s">
        <v>1515</v>
      </c>
      <c r="AD8" t="s">
        <v>1516</v>
      </c>
      <c r="AE8" t="s">
        <v>1517</v>
      </c>
      <c r="AF8" t="s">
        <v>1518</v>
      </c>
      <c r="AG8" t="s">
        <v>1519</v>
      </c>
      <c r="AH8" t="s">
        <v>1520</v>
      </c>
      <c r="AI8" t="s">
        <v>1521</v>
      </c>
      <c r="AJ8" t="s">
        <v>1522</v>
      </c>
      <c r="AK8" t="s">
        <v>1523</v>
      </c>
      <c r="AL8" t="s">
        <v>1524</v>
      </c>
      <c r="AM8" t="s">
        <v>1525</v>
      </c>
      <c r="AN8" t="s">
        <v>1526</v>
      </c>
      <c r="AO8" t="s">
        <v>1527</v>
      </c>
      <c r="AP8" t="s">
        <v>1457</v>
      </c>
      <c r="AQ8" t="s">
        <v>1528</v>
      </c>
      <c r="AR8" t="s">
        <v>1529</v>
      </c>
      <c r="AS8" t="s">
        <v>1457</v>
      </c>
      <c r="AT8" t="s">
        <v>1457</v>
      </c>
      <c r="AU8" t="s">
        <v>1417</v>
      </c>
      <c r="AV8" t="s">
        <v>1530</v>
      </c>
      <c r="AW8" t="s">
        <v>1509</v>
      </c>
      <c r="AX8" t="s">
        <v>1472</v>
      </c>
      <c r="AY8" t="s">
        <v>1531</v>
      </c>
      <c r="AZ8" t="s">
        <v>1417</v>
      </c>
      <c r="BA8" t="s">
        <v>1358</v>
      </c>
      <c r="BB8" t="s">
        <v>254</v>
      </c>
      <c r="BC8" t="s">
        <v>1391</v>
      </c>
      <c r="BD8" t="s">
        <v>1532</v>
      </c>
      <c r="BE8" t="s">
        <v>1533</v>
      </c>
      <c r="BF8" t="s">
        <v>1534</v>
      </c>
      <c r="BG8" t="s">
        <v>1535</v>
      </c>
      <c r="BH8" t="s">
        <v>1536</v>
      </c>
      <c r="BI8" t="s">
        <v>1537</v>
      </c>
      <c r="BJ8" t="s">
        <v>1538</v>
      </c>
      <c r="BK8" t="s">
        <v>1539</v>
      </c>
      <c r="BL8" t="s">
        <v>1540</v>
      </c>
      <c r="BM8" t="s">
        <v>1541</v>
      </c>
      <c r="BN8" t="s">
        <v>1542</v>
      </c>
      <c r="BO8" t="s">
        <v>1543</v>
      </c>
      <c r="BP8" t="s">
        <v>1544</v>
      </c>
      <c r="BQ8" t="s">
        <v>1545</v>
      </c>
      <c r="BR8" t="s">
        <v>1546</v>
      </c>
      <c r="BS8" t="s">
        <v>1547</v>
      </c>
      <c r="BT8" t="s">
        <v>1548</v>
      </c>
      <c r="BU8" t="s">
        <v>1549</v>
      </c>
      <c r="BV8" t="s">
        <v>1550</v>
      </c>
      <c r="BW8" t="s">
        <v>1551</v>
      </c>
      <c r="BX8" t="s">
        <v>1552</v>
      </c>
      <c r="BY8" t="s">
        <v>1553</v>
      </c>
      <c r="BZ8" t="s">
        <v>1554</v>
      </c>
    </row>
    <row r="9" spans="1:78" ht="14.25" customHeight="1" x14ac:dyDescent="0.35">
      <c r="A9" t="s">
        <v>600</v>
      </c>
      <c r="B9" t="s">
        <v>1555</v>
      </c>
      <c r="C9" t="s">
        <v>1556</v>
      </c>
      <c r="D9" t="s">
        <v>1557</v>
      </c>
      <c r="E9" t="s">
        <v>1558</v>
      </c>
      <c r="F9" t="s">
        <v>660</v>
      </c>
      <c r="G9" t="s">
        <v>1559</v>
      </c>
      <c r="H9" t="s">
        <v>252</v>
      </c>
      <c r="I9" t="s">
        <v>1560</v>
      </c>
      <c r="J9" t="s">
        <v>1561</v>
      </c>
      <c r="K9" t="s">
        <v>465</v>
      </c>
      <c r="L9" t="s">
        <v>949</v>
      </c>
      <c r="N9" t="s">
        <v>941</v>
      </c>
      <c r="O9" t="s">
        <v>1562</v>
      </c>
      <c r="P9" t="s">
        <v>1563</v>
      </c>
      <c r="Q9" t="s">
        <v>1049</v>
      </c>
      <c r="R9" t="s">
        <v>1564</v>
      </c>
      <c r="S9" t="s">
        <v>1565</v>
      </c>
      <c r="T9" t="s">
        <v>400</v>
      </c>
      <c r="U9" t="s">
        <v>405</v>
      </c>
      <c r="V9" t="s">
        <v>411</v>
      </c>
      <c r="W9" t="s">
        <v>417</v>
      </c>
      <c r="X9" t="s">
        <v>1566</v>
      </c>
      <c r="Y9" t="s">
        <v>425</v>
      </c>
      <c r="Z9" t="s">
        <v>1474</v>
      </c>
      <c r="AC9" t="s">
        <v>1567</v>
      </c>
      <c r="AD9" t="s">
        <v>1568</v>
      </c>
      <c r="AE9" t="s">
        <v>1569</v>
      </c>
      <c r="AF9" t="s">
        <v>1570</v>
      </c>
      <c r="AG9" t="s">
        <v>1571</v>
      </c>
      <c r="AH9" t="s">
        <v>1572</v>
      </c>
      <c r="AI9" t="s">
        <v>1573</v>
      </c>
      <c r="AJ9" t="s">
        <v>1421</v>
      </c>
      <c r="AK9" t="s">
        <v>1574</v>
      </c>
      <c r="AL9" t="s">
        <v>1575</v>
      </c>
      <c r="AM9" t="s">
        <v>1335</v>
      </c>
      <c r="AN9" t="s">
        <v>1576</v>
      </c>
      <c r="AO9" t="s">
        <v>1577</v>
      </c>
      <c r="AP9" t="s">
        <v>1531</v>
      </c>
      <c r="AQ9" t="s">
        <v>1578</v>
      </c>
      <c r="AR9" t="s">
        <v>1579</v>
      </c>
      <c r="AS9" t="s">
        <v>1531</v>
      </c>
      <c r="AT9" t="s">
        <v>1531</v>
      </c>
      <c r="AU9" t="s">
        <v>1474</v>
      </c>
      <c r="AV9" t="s">
        <v>1039</v>
      </c>
      <c r="AW9" t="s">
        <v>1563</v>
      </c>
      <c r="AX9" t="s">
        <v>1580</v>
      </c>
      <c r="AY9" t="s">
        <v>1249</v>
      </c>
      <c r="AZ9" t="s">
        <v>1474</v>
      </c>
      <c r="BA9" t="s">
        <v>1581</v>
      </c>
      <c r="BB9" t="s">
        <v>255</v>
      </c>
      <c r="BC9" t="s">
        <v>1582</v>
      </c>
      <c r="BD9" t="s">
        <v>1583</v>
      </c>
      <c r="BE9" t="s">
        <v>1584</v>
      </c>
      <c r="BF9" t="s">
        <v>1585</v>
      </c>
      <c r="BG9" t="s">
        <v>1586</v>
      </c>
      <c r="BH9" t="s">
        <v>1587</v>
      </c>
      <c r="BI9" t="s">
        <v>1588</v>
      </c>
      <c r="BJ9" t="s">
        <v>1589</v>
      </c>
      <c r="BK9" t="s">
        <v>1590</v>
      </c>
      <c r="BL9" t="s">
        <v>1591</v>
      </c>
      <c r="BM9" t="s">
        <v>1592</v>
      </c>
      <c r="BN9" t="s">
        <v>1593</v>
      </c>
      <c r="BO9" t="s">
        <v>1594</v>
      </c>
      <c r="BP9" t="s">
        <v>1595</v>
      </c>
      <c r="BQ9" t="s">
        <v>1596</v>
      </c>
      <c r="BR9" t="s">
        <v>1597</v>
      </c>
      <c r="BS9" t="s">
        <v>1598</v>
      </c>
      <c r="BT9" t="s">
        <v>1599</v>
      </c>
      <c r="BU9" t="s">
        <v>1600</v>
      </c>
      <c r="BV9" t="s">
        <v>1601</v>
      </c>
      <c r="BW9" t="s">
        <v>1602</v>
      </c>
      <c r="BX9" t="s">
        <v>1603</v>
      </c>
      <c r="BY9" t="s">
        <v>1604</v>
      </c>
      <c r="BZ9" t="s">
        <v>1605</v>
      </c>
    </row>
    <row r="10" spans="1:78" ht="14.25" customHeight="1" x14ac:dyDescent="0.35">
      <c r="A10" t="s">
        <v>806</v>
      </c>
      <c r="B10" t="s">
        <v>1606</v>
      </c>
      <c r="C10" t="s">
        <v>1607</v>
      </c>
      <c r="D10" t="s">
        <v>1608</v>
      </c>
      <c r="E10" t="s">
        <v>1609</v>
      </c>
      <c r="F10" t="s">
        <v>666</v>
      </c>
      <c r="G10" t="s">
        <v>667</v>
      </c>
      <c r="H10" t="s">
        <v>86</v>
      </c>
      <c r="I10" t="s">
        <v>1610</v>
      </c>
      <c r="J10" t="s">
        <v>1611</v>
      </c>
      <c r="K10" t="s">
        <v>574</v>
      </c>
      <c r="L10" t="s">
        <v>935</v>
      </c>
      <c r="N10" t="s">
        <v>1612</v>
      </c>
      <c r="Q10" t="s">
        <v>1613</v>
      </c>
      <c r="R10" t="s">
        <v>1614</v>
      </c>
      <c r="S10" t="s">
        <v>1615</v>
      </c>
      <c r="T10" t="s">
        <v>401</v>
      </c>
      <c r="U10" t="s">
        <v>1616</v>
      </c>
      <c r="V10" t="s">
        <v>412</v>
      </c>
      <c r="W10" t="s">
        <v>1617</v>
      </c>
      <c r="X10" t="s">
        <v>1618</v>
      </c>
      <c r="Y10" t="s">
        <v>1619</v>
      </c>
      <c r="Z10" t="s">
        <v>1472</v>
      </c>
      <c r="AC10" t="s">
        <v>1620</v>
      </c>
      <c r="AD10" t="s">
        <v>1621</v>
      </c>
      <c r="AE10" t="s">
        <v>1622</v>
      </c>
      <c r="AF10" t="s">
        <v>1623</v>
      </c>
      <c r="AG10" t="s">
        <v>1624</v>
      </c>
      <c r="AH10" t="s">
        <v>1625</v>
      </c>
      <c r="AI10" t="s">
        <v>1626</v>
      </c>
      <c r="AJ10" t="s">
        <v>1627</v>
      </c>
      <c r="AK10" t="s">
        <v>1628</v>
      </c>
      <c r="AL10" t="s">
        <v>1629</v>
      </c>
      <c r="AM10" t="s">
        <v>1630</v>
      </c>
      <c r="AN10" t="s">
        <v>1631</v>
      </c>
      <c r="AO10" t="s">
        <v>1632</v>
      </c>
      <c r="AP10" t="s">
        <v>1249</v>
      </c>
      <c r="AQ10" t="s">
        <v>1633</v>
      </c>
      <c r="AR10" t="s">
        <v>1634</v>
      </c>
      <c r="AS10" t="s">
        <v>1249</v>
      </c>
      <c r="AT10" t="s">
        <v>1249</v>
      </c>
      <c r="AU10" t="s">
        <v>1472</v>
      </c>
      <c r="AV10" t="s">
        <v>1635</v>
      </c>
      <c r="AX10" t="s">
        <v>1302</v>
      </c>
      <c r="AY10" t="s">
        <v>1636</v>
      </c>
      <c r="AZ10" t="s">
        <v>1472</v>
      </c>
      <c r="BA10" t="s">
        <v>1415</v>
      </c>
      <c r="BB10" t="s">
        <v>256</v>
      </c>
      <c r="BC10" t="s">
        <v>1637</v>
      </c>
      <c r="BD10" t="s">
        <v>1638</v>
      </c>
      <c r="BE10" t="s">
        <v>1639</v>
      </c>
      <c r="BF10" t="s">
        <v>1640</v>
      </c>
      <c r="BG10" t="s">
        <v>1641</v>
      </c>
      <c r="BH10" t="s">
        <v>1642</v>
      </c>
      <c r="BI10" t="s">
        <v>1643</v>
      </c>
      <c r="BJ10" t="s">
        <v>1644</v>
      </c>
      <c r="BK10" t="s">
        <v>1645</v>
      </c>
      <c r="BL10" t="s">
        <v>1646</v>
      </c>
      <c r="BM10" t="s">
        <v>1647</v>
      </c>
      <c r="BN10" t="s">
        <v>1648</v>
      </c>
      <c r="BO10" t="s">
        <v>1649</v>
      </c>
      <c r="BP10" t="s">
        <v>1650</v>
      </c>
      <c r="BQ10" t="s">
        <v>1651</v>
      </c>
      <c r="BR10" t="s">
        <v>1652</v>
      </c>
      <c r="BS10" t="s">
        <v>1653</v>
      </c>
      <c r="BT10" t="s">
        <v>1654</v>
      </c>
      <c r="BU10" t="s">
        <v>1655</v>
      </c>
      <c r="BV10" t="s">
        <v>1656</v>
      </c>
      <c r="BW10" t="s">
        <v>1657</v>
      </c>
      <c r="BX10" t="s">
        <v>1658</v>
      </c>
      <c r="BY10" t="s">
        <v>1659</v>
      </c>
      <c r="BZ10" t="s">
        <v>1660</v>
      </c>
    </row>
    <row r="11" spans="1:78" ht="14.25" customHeight="1" x14ac:dyDescent="0.35">
      <c r="A11" t="s">
        <v>836</v>
      </c>
      <c r="B11" t="s">
        <v>1661</v>
      </c>
      <c r="C11" t="s">
        <v>1662</v>
      </c>
      <c r="D11" t="s">
        <v>1663</v>
      </c>
      <c r="E11" t="s">
        <v>1664</v>
      </c>
      <c r="F11" t="s">
        <v>672</v>
      </c>
      <c r="G11" t="s">
        <v>1665</v>
      </c>
      <c r="H11" t="s">
        <v>120</v>
      </c>
      <c r="I11" t="s">
        <v>1666</v>
      </c>
      <c r="J11" t="s">
        <v>1667</v>
      </c>
      <c r="K11" t="s">
        <v>1499</v>
      </c>
      <c r="L11" t="s">
        <v>1668</v>
      </c>
      <c r="N11" t="s">
        <v>574</v>
      </c>
      <c r="Q11" t="s">
        <v>1669</v>
      </c>
      <c r="S11" t="s">
        <v>1670</v>
      </c>
      <c r="T11" t="s">
        <v>402</v>
      </c>
      <c r="U11" t="s">
        <v>407</v>
      </c>
      <c r="V11" t="s">
        <v>1671</v>
      </c>
      <c r="W11" t="s">
        <v>1672</v>
      </c>
      <c r="X11" t="s">
        <v>1673</v>
      </c>
      <c r="Y11" t="s">
        <v>1674</v>
      </c>
      <c r="Z11" t="s">
        <v>1580</v>
      </c>
      <c r="AC11" t="s">
        <v>1675</v>
      </c>
      <c r="AD11" t="s">
        <v>1676</v>
      </c>
      <c r="AE11" t="s">
        <v>1677</v>
      </c>
      <c r="AF11" t="s">
        <v>1678</v>
      </c>
      <c r="AG11" t="s">
        <v>1679</v>
      </c>
      <c r="AH11" t="s">
        <v>1680</v>
      </c>
      <c r="AI11" t="s">
        <v>1681</v>
      </c>
      <c r="AJ11" t="s">
        <v>1682</v>
      </c>
      <c r="AK11" t="s">
        <v>1683</v>
      </c>
      <c r="AL11" t="s">
        <v>1684</v>
      </c>
      <c r="AM11" t="s">
        <v>1685</v>
      </c>
      <c r="AN11" t="s">
        <v>1686</v>
      </c>
      <c r="AO11" t="s">
        <v>1687</v>
      </c>
      <c r="AP11" t="s">
        <v>1636</v>
      </c>
      <c r="AQ11" t="s">
        <v>1688</v>
      </c>
      <c r="AR11" t="s">
        <v>1689</v>
      </c>
      <c r="AS11" t="s">
        <v>1636</v>
      </c>
      <c r="AT11" t="s">
        <v>1193</v>
      </c>
      <c r="AU11" t="s">
        <v>1580</v>
      </c>
      <c r="AV11" t="s">
        <v>1690</v>
      </c>
      <c r="AX11" t="s">
        <v>1691</v>
      </c>
      <c r="AY11" t="s">
        <v>1193</v>
      </c>
      <c r="AZ11" t="s">
        <v>1580</v>
      </c>
      <c r="BA11" t="s">
        <v>1692</v>
      </c>
      <c r="BB11" t="s">
        <v>257</v>
      </c>
      <c r="BC11" t="s">
        <v>1693</v>
      </c>
      <c r="BD11" t="s">
        <v>1694</v>
      </c>
      <c r="BE11" t="s">
        <v>1695</v>
      </c>
      <c r="BF11" t="s">
        <v>1696</v>
      </c>
      <c r="BG11" t="s">
        <v>1697</v>
      </c>
      <c r="BH11" t="s">
        <v>1698</v>
      </c>
      <c r="BI11" t="s">
        <v>1699</v>
      </c>
      <c r="BJ11" t="s">
        <v>1700</v>
      </c>
      <c r="BK11" t="s">
        <v>1701</v>
      </c>
      <c r="BL11" t="s">
        <v>1702</v>
      </c>
      <c r="BM11" t="s">
        <v>1703</v>
      </c>
      <c r="BN11" t="s">
        <v>1704</v>
      </c>
      <c r="BO11" t="s">
        <v>1705</v>
      </c>
      <c r="BP11" t="s">
        <v>1706</v>
      </c>
      <c r="BQ11" t="s">
        <v>1707</v>
      </c>
      <c r="BR11" t="s">
        <v>1708</v>
      </c>
      <c r="BS11" t="s">
        <v>1709</v>
      </c>
      <c r="BT11" t="s">
        <v>1710</v>
      </c>
      <c r="BU11" t="s">
        <v>1711</v>
      </c>
      <c r="BV11" t="s">
        <v>1712</v>
      </c>
      <c r="BW11" t="s">
        <v>1713</v>
      </c>
      <c r="BX11" t="s">
        <v>1714</v>
      </c>
      <c r="BY11" t="s">
        <v>1715</v>
      </c>
      <c r="BZ11" t="s">
        <v>1716</v>
      </c>
    </row>
    <row r="12" spans="1:78" ht="14.25" customHeight="1" x14ac:dyDescent="0.35">
      <c r="A12" t="s">
        <v>800</v>
      </c>
      <c r="B12" t="s">
        <v>1717</v>
      </c>
      <c r="C12" t="s">
        <v>1718</v>
      </c>
      <c r="D12" t="s">
        <v>1719</v>
      </c>
      <c r="E12" t="s">
        <v>1720</v>
      </c>
      <c r="F12" t="s">
        <v>1721</v>
      </c>
      <c r="G12" t="s">
        <v>1722</v>
      </c>
      <c r="H12" t="s">
        <v>254</v>
      </c>
      <c r="I12" t="s">
        <v>1723</v>
      </c>
      <c r="J12" t="s">
        <v>1724</v>
      </c>
      <c r="K12" t="s">
        <v>1725</v>
      </c>
      <c r="L12" t="s">
        <v>1726</v>
      </c>
      <c r="Q12" t="s">
        <v>1727</v>
      </c>
      <c r="S12" t="s">
        <v>1728</v>
      </c>
      <c r="T12" t="s">
        <v>1729</v>
      </c>
      <c r="U12" t="s">
        <v>1730</v>
      </c>
      <c r="V12" t="s">
        <v>1731</v>
      </c>
      <c r="W12" t="s">
        <v>1732</v>
      </c>
      <c r="X12" t="s">
        <v>1733</v>
      </c>
      <c r="Y12" t="s">
        <v>1734</v>
      </c>
      <c r="Z12" t="s">
        <v>1302</v>
      </c>
      <c r="AC12" t="s">
        <v>1735</v>
      </c>
      <c r="AD12" t="s">
        <v>1736</v>
      </c>
      <c r="AE12" t="s">
        <v>1737</v>
      </c>
      <c r="AF12" t="s">
        <v>1738</v>
      </c>
      <c r="AG12" t="s">
        <v>1739</v>
      </c>
      <c r="AH12" t="s">
        <v>1740</v>
      </c>
      <c r="AI12" t="s">
        <v>1741</v>
      </c>
      <c r="AJ12" t="s">
        <v>1742</v>
      </c>
      <c r="AK12" t="s">
        <v>1743</v>
      </c>
      <c r="AL12" t="s">
        <v>1744</v>
      </c>
      <c r="AM12" t="s">
        <v>1505</v>
      </c>
      <c r="AN12" t="s">
        <v>1745</v>
      </c>
      <c r="AO12" t="s">
        <v>1746</v>
      </c>
      <c r="AP12" t="s">
        <v>1193</v>
      </c>
      <c r="AQ12" t="s">
        <v>1747</v>
      </c>
      <c r="AR12" t="s">
        <v>1748</v>
      </c>
      <c r="AS12" t="s">
        <v>1193</v>
      </c>
      <c r="AT12" t="s">
        <v>1360</v>
      </c>
      <c r="AU12" t="s">
        <v>1302</v>
      </c>
      <c r="AV12" t="s">
        <v>1749</v>
      </c>
      <c r="AX12" t="s">
        <v>1750</v>
      </c>
      <c r="AY12" t="s">
        <v>1751</v>
      </c>
      <c r="AZ12" t="s">
        <v>1302</v>
      </c>
      <c r="BA12" t="s">
        <v>1472</v>
      </c>
      <c r="BB12" t="s">
        <v>1752</v>
      </c>
      <c r="BC12" t="s">
        <v>1753</v>
      </c>
      <c r="BD12" t="s">
        <v>1754</v>
      </c>
      <c r="BE12" t="s">
        <v>1755</v>
      </c>
      <c r="BF12" t="s">
        <v>1756</v>
      </c>
      <c r="BG12" t="s">
        <v>1757</v>
      </c>
      <c r="BH12" t="s">
        <v>1758</v>
      </c>
      <c r="BI12" t="s">
        <v>1759</v>
      </c>
      <c r="BJ12" t="s">
        <v>1760</v>
      </c>
      <c r="BK12" t="s">
        <v>1761</v>
      </c>
      <c r="BL12" t="s">
        <v>1762</v>
      </c>
      <c r="BM12" t="s">
        <v>1763</v>
      </c>
      <c r="BN12" t="s">
        <v>1764</v>
      </c>
      <c r="BO12" t="s">
        <v>1765</v>
      </c>
      <c r="BP12" t="s">
        <v>1766</v>
      </c>
      <c r="BQ12" t="s">
        <v>1767</v>
      </c>
      <c r="BR12" t="s">
        <v>1768</v>
      </c>
      <c r="BS12" t="s">
        <v>1769</v>
      </c>
      <c r="BU12" t="s">
        <v>1770</v>
      </c>
      <c r="BV12" t="s">
        <v>1771</v>
      </c>
      <c r="BW12" t="s">
        <v>1772</v>
      </c>
      <c r="BX12" t="s">
        <v>1773</v>
      </c>
      <c r="BY12" t="s">
        <v>1774</v>
      </c>
      <c r="BZ12" t="s">
        <v>1775</v>
      </c>
    </row>
    <row r="13" spans="1:78" ht="14.25" customHeight="1" x14ac:dyDescent="0.35">
      <c r="A13" t="s">
        <v>1776</v>
      </c>
      <c r="B13" t="s">
        <v>1777</v>
      </c>
      <c r="C13" t="s">
        <v>1617</v>
      </c>
      <c r="D13" t="s">
        <v>1778</v>
      </c>
      <c r="E13" t="s">
        <v>1779</v>
      </c>
      <c r="F13" t="s">
        <v>1780</v>
      </c>
      <c r="G13" t="s">
        <v>1781</v>
      </c>
      <c r="H13" t="s">
        <v>255</v>
      </c>
      <c r="I13" t="s">
        <v>1782</v>
      </c>
      <c r="J13" t="s">
        <v>1783</v>
      </c>
      <c r="K13" t="s">
        <v>1784</v>
      </c>
      <c r="L13" t="s">
        <v>1785</v>
      </c>
      <c r="Q13" t="s">
        <v>1786</v>
      </c>
      <c r="S13" t="s">
        <v>1787</v>
      </c>
      <c r="T13" t="s">
        <v>1788</v>
      </c>
      <c r="U13" t="s">
        <v>1789</v>
      </c>
      <c r="V13" t="s">
        <v>1790</v>
      </c>
      <c r="W13" t="s">
        <v>1791</v>
      </c>
      <c r="X13" t="s">
        <v>1792</v>
      </c>
      <c r="Y13" t="s">
        <v>1793</v>
      </c>
      <c r="Z13" t="s">
        <v>1691</v>
      </c>
      <c r="AC13" t="s">
        <v>1794</v>
      </c>
      <c r="AD13" t="s">
        <v>1795</v>
      </c>
      <c r="AE13" t="s">
        <v>1796</v>
      </c>
      <c r="AF13" t="s">
        <v>1797</v>
      </c>
      <c r="AG13" t="s">
        <v>1798</v>
      </c>
      <c r="AH13" t="s">
        <v>1799</v>
      </c>
      <c r="AI13" t="s">
        <v>1800</v>
      </c>
      <c r="AJ13" t="s">
        <v>1801</v>
      </c>
      <c r="AK13" t="s">
        <v>1802</v>
      </c>
      <c r="AL13" t="s">
        <v>1803</v>
      </c>
      <c r="AM13" t="s">
        <v>1804</v>
      </c>
      <c r="AN13" t="s">
        <v>1805</v>
      </c>
      <c r="AO13" t="s">
        <v>1806</v>
      </c>
      <c r="AP13" t="s">
        <v>1751</v>
      </c>
      <c r="AQ13" t="s">
        <v>1807</v>
      </c>
      <c r="AR13" t="s">
        <v>1808</v>
      </c>
      <c r="AS13" t="s">
        <v>1751</v>
      </c>
      <c r="AT13" t="s">
        <v>1809</v>
      </c>
      <c r="AU13" t="s">
        <v>1691</v>
      </c>
      <c r="AV13" t="s">
        <v>1810</v>
      </c>
      <c r="AX13" t="s">
        <v>1811</v>
      </c>
      <c r="AY13" t="s">
        <v>1360</v>
      </c>
      <c r="AZ13" t="s">
        <v>1691</v>
      </c>
      <c r="BA13" t="s">
        <v>1529</v>
      </c>
      <c r="BB13" t="s">
        <v>106</v>
      </c>
      <c r="BC13" t="s">
        <v>1812</v>
      </c>
      <c r="BD13" t="s">
        <v>1813</v>
      </c>
      <c r="BE13" t="s">
        <v>1466</v>
      </c>
      <c r="BF13" t="s">
        <v>1814</v>
      </c>
      <c r="BG13" t="s">
        <v>1815</v>
      </c>
      <c r="BH13" t="s">
        <v>1816</v>
      </c>
      <c r="BI13" t="s">
        <v>1817</v>
      </c>
      <c r="BJ13" t="s">
        <v>1818</v>
      </c>
      <c r="BK13" t="s">
        <v>1819</v>
      </c>
      <c r="BL13" t="s">
        <v>1820</v>
      </c>
      <c r="BM13" t="s">
        <v>1821</v>
      </c>
      <c r="BN13" t="s">
        <v>1822</v>
      </c>
      <c r="BO13" t="s">
        <v>1823</v>
      </c>
      <c r="BQ13" t="s">
        <v>1824</v>
      </c>
      <c r="BR13" t="s">
        <v>1825</v>
      </c>
      <c r="BU13" t="s">
        <v>1826</v>
      </c>
      <c r="BV13" t="s">
        <v>1827</v>
      </c>
      <c r="BW13" t="s">
        <v>1828</v>
      </c>
      <c r="BX13" t="s">
        <v>1829</v>
      </c>
      <c r="BY13" t="s">
        <v>1830</v>
      </c>
      <c r="BZ13" t="s">
        <v>1831</v>
      </c>
    </row>
    <row r="14" spans="1:78" ht="14.25" customHeight="1" x14ac:dyDescent="0.35">
      <c r="A14" t="s">
        <v>1725</v>
      </c>
      <c r="B14" t="s">
        <v>1832</v>
      </c>
      <c r="C14" t="s">
        <v>1833</v>
      </c>
      <c r="D14" t="s">
        <v>1834</v>
      </c>
      <c r="E14" t="s">
        <v>1835</v>
      </c>
      <c r="F14" t="s">
        <v>1836</v>
      </c>
      <c r="G14" t="s">
        <v>1837</v>
      </c>
      <c r="H14" t="s">
        <v>257</v>
      </c>
      <c r="I14" t="s">
        <v>1838</v>
      </c>
      <c r="J14" t="s">
        <v>1839</v>
      </c>
      <c r="K14" t="s">
        <v>1840</v>
      </c>
      <c r="L14" t="s">
        <v>1841</v>
      </c>
      <c r="S14" t="s">
        <v>1842</v>
      </c>
      <c r="T14" t="s">
        <v>1843</v>
      </c>
      <c r="U14" t="s">
        <v>1844</v>
      </c>
      <c r="V14" t="s">
        <v>1845</v>
      </c>
      <c r="W14" t="s">
        <v>1846</v>
      </c>
      <c r="Y14" t="s">
        <v>1847</v>
      </c>
      <c r="Z14" t="s">
        <v>1750</v>
      </c>
      <c r="AC14" t="s">
        <v>1848</v>
      </c>
      <c r="AJ14" t="s">
        <v>1849</v>
      </c>
      <c r="AK14" t="s">
        <v>1850</v>
      </c>
      <c r="AL14" t="s">
        <v>1851</v>
      </c>
      <c r="AM14" t="s">
        <v>1852</v>
      </c>
      <c r="AN14" t="s">
        <v>1853</v>
      </c>
      <c r="AO14" t="s">
        <v>1854</v>
      </c>
      <c r="AP14" t="s">
        <v>1360</v>
      </c>
      <c r="AQ14" t="s">
        <v>1855</v>
      </c>
      <c r="AR14" t="s">
        <v>1856</v>
      </c>
      <c r="AS14" t="s">
        <v>1360</v>
      </c>
      <c r="AT14" t="s">
        <v>1304</v>
      </c>
      <c r="AU14" t="s">
        <v>1750</v>
      </c>
      <c r="AV14" t="s">
        <v>1857</v>
      </c>
      <c r="AX14" t="s">
        <v>1858</v>
      </c>
      <c r="AY14" t="s">
        <v>1859</v>
      </c>
      <c r="AZ14" t="s">
        <v>1750</v>
      </c>
      <c r="BA14" t="s">
        <v>1579</v>
      </c>
      <c r="BB14" t="s">
        <v>102</v>
      </c>
      <c r="BC14" t="s">
        <v>1860</v>
      </c>
      <c r="BD14" t="s">
        <v>1861</v>
      </c>
      <c r="BE14" t="s">
        <v>1862</v>
      </c>
      <c r="BF14" t="s">
        <v>1863</v>
      </c>
      <c r="BG14" t="s">
        <v>1864</v>
      </c>
      <c r="BH14" t="s">
        <v>1865</v>
      </c>
      <c r="BJ14" t="s">
        <v>1866</v>
      </c>
      <c r="BL14" t="s">
        <v>1867</v>
      </c>
      <c r="BM14" t="s">
        <v>1868</v>
      </c>
      <c r="BN14" t="s">
        <v>1869</v>
      </c>
      <c r="BO14" t="s">
        <v>1870</v>
      </c>
      <c r="BQ14" t="s">
        <v>1871</v>
      </c>
      <c r="BR14" t="s">
        <v>1872</v>
      </c>
      <c r="BU14" t="s">
        <v>1873</v>
      </c>
      <c r="BY14" t="s">
        <v>1874</v>
      </c>
      <c r="BZ14" t="s">
        <v>1875</v>
      </c>
    </row>
    <row r="15" spans="1:78" ht="14.25" customHeight="1" x14ac:dyDescent="0.35">
      <c r="A15" t="s">
        <v>1876</v>
      </c>
      <c r="B15" t="s">
        <v>1877</v>
      </c>
      <c r="C15" t="s">
        <v>1878</v>
      </c>
      <c r="D15" t="s">
        <v>1879</v>
      </c>
      <c r="E15" t="s">
        <v>1880</v>
      </c>
      <c r="F15" t="s">
        <v>1881</v>
      </c>
      <c r="G15" t="s">
        <v>1882</v>
      </c>
      <c r="H15" t="s">
        <v>256</v>
      </c>
      <c r="I15" t="s">
        <v>1883</v>
      </c>
      <c r="J15" t="s">
        <v>1884</v>
      </c>
      <c r="K15" t="s">
        <v>1885</v>
      </c>
      <c r="L15" t="s">
        <v>1886</v>
      </c>
      <c r="T15" t="s">
        <v>1736</v>
      </c>
      <c r="U15" t="s">
        <v>1887</v>
      </c>
      <c r="V15" t="s">
        <v>1888</v>
      </c>
      <c r="W15" t="s">
        <v>1889</v>
      </c>
      <c r="Y15" t="s">
        <v>1890</v>
      </c>
      <c r="Z15" t="s">
        <v>1811</v>
      </c>
      <c r="AC15" t="s">
        <v>1891</v>
      </c>
      <c r="AJ15" t="s">
        <v>1892</v>
      </c>
      <c r="AK15" t="s">
        <v>1893</v>
      </c>
      <c r="AL15" t="s">
        <v>1894</v>
      </c>
      <c r="AM15" t="s">
        <v>1895</v>
      </c>
      <c r="AN15" t="s">
        <v>1896</v>
      </c>
      <c r="AO15" t="s">
        <v>1897</v>
      </c>
      <c r="AP15" t="s">
        <v>1859</v>
      </c>
      <c r="AQ15" t="s">
        <v>1898</v>
      </c>
      <c r="AR15" t="s">
        <v>1899</v>
      </c>
      <c r="AS15" t="s">
        <v>1859</v>
      </c>
      <c r="AT15" t="s">
        <v>1900</v>
      </c>
      <c r="AU15" t="s">
        <v>1811</v>
      </c>
      <c r="AV15" t="s">
        <v>1901</v>
      </c>
      <c r="AX15" t="s">
        <v>1356</v>
      </c>
      <c r="AY15" t="s">
        <v>1809</v>
      </c>
      <c r="AZ15" t="s">
        <v>1811</v>
      </c>
      <c r="BA15" t="s">
        <v>1634</v>
      </c>
      <c r="BB15" t="s">
        <v>90</v>
      </c>
      <c r="BC15" t="s">
        <v>1902</v>
      </c>
      <c r="BD15" t="s">
        <v>1903</v>
      </c>
      <c r="BE15" t="s">
        <v>1742</v>
      </c>
      <c r="BF15" t="s">
        <v>1904</v>
      </c>
      <c r="BG15" t="s">
        <v>1905</v>
      </c>
      <c r="BH15" t="s">
        <v>1906</v>
      </c>
      <c r="BJ15" t="s">
        <v>1907</v>
      </c>
      <c r="BL15" t="s">
        <v>1908</v>
      </c>
      <c r="BM15" t="s">
        <v>1909</v>
      </c>
      <c r="BN15" t="s">
        <v>1910</v>
      </c>
      <c r="BO15" t="s">
        <v>1911</v>
      </c>
      <c r="BU15" t="s">
        <v>1912</v>
      </c>
      <c r="BZ15" t="s">
        <v>1913</v>
      </c>
    </row>
    <row r="16" spans="1:78" ht="14.25" customHeight="1" x14ac:dyDescent="0.35">
      <c r="A16" t="s">
        <v>1914</v>
      </c>
      <c r="B16" t="s">
        <v>1915</v>
      </c>
      <c r="C16" t="s">
        <v>1916</v>
      </c>
      <c r="D16" t="s">
        <v>1917</v>
      </c>
      <c r="E16" t="s">
        <v>620</v>
      </c>
      <c r="F16" t="s">
        <v>1918</v>
      </c>
      <c r="G16" t="s">
        <v>1919</v>
      </c>
      <c r="H16" t="s">
        <v>258</v>
      </c>
      <c r="I16" t="s">
        <v>1920</v>
      </c>
      <c r="J16" t="s">
        <v>1921</v>
      </c>
      <c r="K16" t="s">
        <v>1922</v>
      </c>
      <c r="L16" t="s">
        <v>1923</v>
      </c>
      <c r="Z16" t="s">
        <v>1858</v>
      </c>
      <c r="AC16" t="s">
        <v>1924</v>
      </c>
      <c r="AJ16" t="s">
        <v>1925</v>
      </c>
      <c r="AK16" t="s">
        <v>1926</v>
      </c>
      <c r="AL16" t="s">
        <v>1927</v>
      </c>
      <c r="AM16" t="s">
        <v>1928</v>
      </c>
      <c r="AN16" t="s">
        <v>1929</v>
      </c>
      <c r="AO16" t="s">
        <v>1930</v>
      </c>
      <c r="AP16" t="s">
        <v>1809</v>
      </c>
      <c r="AQ16" t="s">
        <v>1931</v>
      </c>
      <c r="AR16" t="s">
        <v>1932</v>
      </c>
      <c r="AS16" t="s">
        <v>1809</v>
      </c>
      <c r="AT16" t="s">
        <v>1306</v>
      </c>
      <c r="AU16" t="s">
        <v>1858</v>
      </c>
      <c r="AV16" t="s">
        <v>1933</v>
      </c>
      <c r="AX16" t="s">
        <v>1748</v>
      </c>
      <c r="AY16" t="s">
        <v>1251</v>
      </c>
      <c r="AZ16" t="s">
        <v>1858</v>
      </c>
      <c r="BA16" t="s">
        <v>1689</v>
      </c>
      <c r="BB16" t="s">
        <v>252</v>
      </c>
      <c r="BC16" t="s">
        <v>1934</v>
      </c>
      <c r="BD16" t="s">
        <v>1935</v>
      </c>
      <c r="BE16" t="s">
        <v>1936</v>
      </c>
      <c r="BF16" t="s">
        <v>1937</v>
      </c>
      <c r="BG16" t="s">
        <v>1938</v>
      </c>
      <c r="BH16" t="s">
        <v>1939</v>
      </c>
      <c r="BJ16" t="s">
        <v>1940</v>
      </c>
      <c r="BL16" t="s">
        <v>1941</v>
      </c>
      <c r="BO16" t="s">
        <v>1942</v>
      </c>
      <c r="BZ16" t="s">
        <v>1943</v>
      </c>
    </row>
    <row r="17" spans="1:78" ht="14.25" customHeight="1" x14ac:dyDescent="0.35">
      <c r="A17" t="s">
        <v>1944</v>
      </c>
      <c r="B17" t="s">
        <v>617</v>
      </c>
      <c r="C17" t="s">
        <v>1945</v>
      </c>
      <c r="D17" t="s">
        <v>1946</v>
      </c>
      <c r="E17" t="s">
        <v>1947</v>
      </c>
      <c r="F17" t="s">
        <v>1948</v>
      </c>
      <c r="G17" t="s">
        <v>1949</v>
      </c>
      <c r="H17" t="s">
        <v>259</v>
      </c>
      <c r="I17" t="s">
        <v>1950</v>
      </c>
      <c r="J17" t="s">
        <v>1951</v>
      </c>
      <c r="Z17" t="s">
        <v>1356</v>
      </c>
      <c r="AC17" t="s">
        <v>1952</v>
      </c>
      <c r="AJ17" t="s">
        <v>1953</v>
      </c>
      <c r="AK17" t="s">
        <v>1954</v>
      </c>
      <c r="AL17" t="s">
        <v>1955</v>
      </c>
      <c r="AM17" t="s">
        <v>1956</v>
      </c>
      <c r="AN17" t="s">
        <v>1957</v>
      </c>
      <c r="AO17" t="s">
        <v>1958</v>
      </c>
      <c r="AP17" t="s">
        <v>1251</v>
      </c>
      <c r="AQ17" t="s">
        <v>1959</v>
      </c>
      <c r="AR17" t="s">
        <v>1960</v>
      </c>
      <c r="AS17" t="s">
        <v>1251</v>
      </c>
      <c r="AT17" t="s">
        <v>1358</v>
      </c>
      <c r="AU17" t="s">
        <v>1356</v>
      </c>
      <c r="AV17" t="s">
        <v>1961</v>
      </c>
      <c r="AX17" t="s">
        <v>1962</v>
      </c>
      <c r="AY17" t="s">
        <v>1304</v>
      </c>
      <c r="AZ17" t="s">
        <v>1356</v>
      </c>
      <c r="BA17" t="s">
        <v>1748</v>
      </c>
      <c r="BB17" t="s">
        <v>249</v>
      </c>
      <c r="BC17" t="s">
        <v>1963</v>
      </c>
      <c r="BD17" t="s">
        <v>1964</v>
      </c>
      <c r="BE17" t="s">
        <v>1965</v>
      </c>
      <c r="BF17" t="s">
        <v>1966</v>
      </c>
      <c r="BG17" t="s">
        <v>1967</v>
      </c>
      <c r="BH17" t="s">
        <v>1968</v>
      </c>
      <c r="BJ17" t="s">
        <v>1969</v>
      </c>
      <c r="BZ17" t="s">
        <v>1970</v>
      </c>
    </row>
    <row r="18" spans="1:78" ht="14.25" customHeight="1" x14ac:dyDescent="0.35">
      <c r="A18" t="s">
        <v>1971</v>
      </c>
      <c r="B18" t="s">
        <v>623</v>
      </c>
      <c r="C18" t="s">
        <v>1972</v>
      </c>
      <c r="D18" t="s">
        <v>670</v>
      </c>
      <c r="E18" t="s">
        <v>1973</v>
      </c>
      <c r="F18" t="s">
        <v>1974</v>
      </c>
      <c r="G18" t="s">
        <v>1975</v>
      </c>
      <c r="H18" t="s">
        <v>260</v>
      </c>
      <c r="I18" t="s">
        <v>1976</v>
      </c>
      <c r="J18" t="s">
        <v>1977</v>
      </c>
      <c r="Z18" t="s">
        <v>1748</v>
      </c>
      <c r="AC18" t="s">
        <v>1978</v>
      </c>
      <c r="AJ18" t="s">
        <v>455</v>
      </c>
      <c r="AK18" t="s">
        <v>1979</v>
      </c>
      <c r="AL18" t="s">
        <v>1980</v>
      </c>
      <c r="AM18" t="s">
        <v>1981</v>
      </c>
      <c r="AN18" t="s">
        <v>1982</v>
      </c>
      <c r="AO18" t="s">
        <v>1983</v>
      </c>
      <c r="AP18" t="s">
        <v>1304</v>
      </c>
      <c r="AQ18" t="s">
        <v>1984</v>
      </c>
      <c r="AT18" t="s">
        <v>1581</v>
      </c>
      <c r="AU18" t="s">
        <v>1748</v>
      </c>
      <c r="AV18" t="s">
        <v>1985</v>
      </c>
      <c r="AX18" t="s">
        <v>1986</v>
      </c>
      <c r="AY18" t="s">
        <v>1987</v>
      </c>
      <c r="AZ18" t="s">
        <v>1748</v>
      </c>
      <c r="BC18" t="s">
        <v>1988</v>
      </c>
      <c r="BD18" t="s">
        <v>1989</v>
      </c>
      <c r="BE18" t="s">
        <v>1627</v>
      </c>
      <c r="BF18" t="s">
        <v>1990</v>
      </c>
      <c r="BG18" t="s">
        <v>1991</v>
      </c>
      <c r="BH18" t="s">
        <v>1992</v>
      </c>
      <c r="BJ18" t="s">
        <v>505</v>
      </c>
    </row>
    <row r="19" spans="1:78" ht="14.25" customHeight="1" x14ac:dyDescent="0.35">
      <c r="A19" t="s">
        <v>1885</v>
      </c>
      <c r="B19" t="s">
        <v>629</v>
      </c>
      <c r="C19" t="s">
        <v>1993</v>
      </c>
      <c r="D19" t="s">
        <v>1994</v>
      </c>
      <c r="E19" t="s">
        <v>1995</v>
      </c>
      <c r="F19" t="s">
        <v>1996</v>
      </c>
      <c r="G19" t="s">
        <v>1997</v>
      </c>
      <c r="H19" t="s">
        <v>261</v>
      </c>
      <c r="I19" t="s">
        <v>1998</v>
      </c>
      <c r="J19" t="s">
        <v>1999</v>
      </c>
      <c r="Z19" t="s">
        <v>1962</v>
      </c>
      <c r="AC19" t="s">
        <v>2000</v>
      </c>
      <c r="AJ19" t="s">
        <v>2001</v>
      </c>
      <c r="AK19" t="s">
        <v>2002</v>
      </c>
      <c r="AL19" t="s">
        <v>2003</v>
      </c>
      <c r="AM19" t="s">
        <v>2004</v>
      </c>
      <c r="AN19" t="s">
        <v>2005</v>
      </c>
      <c r="AO19" t="s">
        <v>2006</v>
      </c>
      <c r="AP19" t="s">
        <v>1987</v>
      </c>
      <c r="AQ19" t="s">
        <v>2007</v>
      </c>
      <c r="AT19" t="s">
        <v>1415</v>
      </c>
      <c r="AU19" t="s">
        <v>1962</v>
      </c>
      <c r="AV19" t="s">
        <v>2008</v>
      </c>
      <c r="AX19" t="s">
        <v>2009</v>
      </c>
      <c r="AY19" t="s">
        <v>1900</v>
      </c>
      <c r="AZ19" t="s">
        <v>1986</v>
      </c>
      <c r="BC19" t="s">
        <v>2010</v>
      </c>
      <c r="BD19" t="s">
        <v>2011</v>
      </c>
      <c r="BE19" t="s">
        <v>2012</v>
      </c>
      <c r="BF19" t="s">
        <v>2013</v>
      </c>
      <c r="BG19" t="s">
        <v>2014</v>
      </c>
      <c r="BJ19" t="s">
        <v>2015</v>
      </c>
    </row>
    <row r="20" spans="1:78" ht="14.25" customHeight="1" x14ac:dyDescent="0.35">
      <c r="A20" t="s">
        <v>2016</v>
      </c>
      <c r="B20" t="s">
        <v>236</v>
      </c>
      <c r="C20" t="s">
        <v>2017</v>
      </c>
      <c r="D20" t="s">
        <v>2018</v>
      </c>
      <c r="E20" t="s">
        <v>2019</v>
      </c>
      <c r="F20" t="s">
        <v>2020</v>
      </c>
      <c r="G20" t="s">
        <v>2021</v>
      </c>
      <c r="H20" t="s">
        <v>2022</v>
      </c>
      <c r="I20" t="s">
        <v>2023</v>
      </c>
      <c r="Z20" t="s">
        <v>1986</v>
      </c>
      <c r="AC20" t="s">
        <v>2024</v>
      </c>
      <c r="AJ20" t="s">
        <v>2025</v>
      </c>
      <c r="AK20" t="s">
        <v>2026</v>
      </c>
      <c r="AL20" t="s">
        <v>2027</v>
      </c>
      <c r="AM20" t="s">
        <v>2028</v>
      </c>
      <c r="AN20" t="s">
        <v>2029</v>
      </c>
      <c r="AO20" t="s">
        <v>2030</v>
      </c>
      <c r="AP20" t="s">
        <v>1900</v>
      </c>
      <c r="AQ20" t="s">
        <v>2031</v>
      </c>
      <c r="AT20" t="s">
        <v>1692</v>
      </c>
      <c r="AU20" t="s">
        <v>1986</v>
      </c>
      <c r="AV20" t="s">
        <v>2032</v>
      </c>
      <c r="AX20" t="s">
        <v>1413</v>
      </c>
      <c r="AY20" t="s">
        <v>2033</v>
      </c>
      <c r="AZ20" t="s">
        <v>1413</v>
      </c>
      <c r="BC20" t="s">
        <v>2034</v>
      </c>
    </row>
    <row r="21" spans="1:78" ht="14.25" customHeight="1" x14ac:dyDescent="0.35">
      <c r="A21" t="s">
        <v>2035</v>
      </c>
      <c r="B21" t="s">
        <v>237</v>
      </c>
      <c r="C21" t="s">
        <v>2036</v>
      </c>
      <c r="D21" t="s">
        <v>2037</v>
      </c>
      <c r="E21" t="s">
        <v>647</v>
      </c>
      <c r="F21" t="s">
        <v>2038</v>
      </c>
      <c r="G21" t="s">
        <v>2039</v>
      </c>
      <c r="I21" t="s">
        <v>2040</v>
      </c>
      <c r="Z21" t="s">
        <v>2009</v>
      </c>
      <c r="AC21" t="s">
        <v>2041</v>
      </c>
      <c r="AJ21" t="s">
        <v>2042</v>
      </c>
      <c r="AK21" t="s">
        <v>2043</v>
      </c>
      <c r="AL21" t="s">
        <v>2044</v>
      </c>
      <c r="AM21" t="s">
        <v>2045</v>
      </c>
      <c r="AN21" t="s">
        <v>1466</v>
      </c>
      <c r="AO21" t="s">
        <v>2046</v>
      </c>
      <c r="AP21" t="s">
        <v>2033</v>
      </c>
      <c r="AQ21" t="s">
        <v>2047</v>
      </c>
      <c r="AT21" t="s">
        <v>1472</v>
      </c>
      <c r="AU21" t="s">
        <v>2009</v>
      </c>
      <c r="AV21" t="s">
        <v>2048</v>
      </c>
      <c r="AY21" t="s">
        <v>1306</v>
      </c>
      <c r="BC21" t="s">
        <v>2049</v>
      </c>
    </row>
    <row r="22" spans="1:78" ht="14.25" customHeight="1" x14ac:dyDescent="0.35">
      <c r="B22" t="s">
        <v>238</v>
      </c>
      <c r="C22" t="s">
        <v>2050</v>
      </c>
      <c r="E22" t="s">
        <v>2051</v>
      </c>
      <c r="F22" t="s">
        <v>2052</v>
      </c>
      <c r="G22" t="s">
        <v>2053</v>
      </c>
      <c r="I22" t="s">
        <v>2054</v>
      </c>
      <c r="Z22" t="s">
        <v>1413</v>
      </c>
      <c r="AJ22" t="s">
        <v>2055</v>
      </c>
      <c r="AL22" t="s">
        <v>2056</v>
      </c>
      <c r="AM22" t="s">
        <v>2057</v>
      </c>
      <c r="AN22" t="s">
        <v>2058</v>
      </c>
      <c r="AO22" t="s">
        <v>2059</v>
      </c>
      <c r="AP22" t="s">
        <v>1306</v>
      </c>
      <c r="AQ22" t="s">
        <v>790</v>
      </c>
      <c r="AT22" t="s">
        <v>1529</v>
      </c>
      <c r="AU22" t="s">
        <v>1413</v>
      </c>
      <c r="AV22" t="s">
        <v>2060</v>
      </c>
    </row>
    <row r="23" spans="1:78" ht="14.25" customHeight="1" x14ac:dyDescent="0.35">
      <c r="B23" t="s">
        <v>650</v>
      </c>
      <c r="C23" t="s">
        <v>2061</v>
      </c>
      <c r="E23" t="s">
        <v>2062</v>
      </c>
      <c r="F23" t="s">
        <v>2063</v>
      </c>
      <c r="G23" t="s">
        <v>2064</v>
      </c>
      <c r="I23" t="s">
        <v>2065</v>
      </c>
      <c r="AJ23" t="s">
        <v>1639</v>
      </c>
      <c r="AL23" t="s">
        <v>2066</v>
      </c>
      <c r="AM23" t="s">
        <v>2067</v>
      </c>
      <c r="AN23" t="s">
        <v>2068</v>
      </c>
      <c r="AO23" t="s">
        <v>2069</v>
      </c>
      <c r="AP23" t="s">
        <v>1418</v>
      </c>
      <c r="AQ23" t="s">
        <v>2070</v>
      </c>
      <c r="AT23" t="s">
        <v>1579</v>
      </c>
      <c r="AV23" t="s">
        <v>2071</v>
      </c>
    </row>
    <row r="24" spans="1:78" ht="14.25" customHeight="1" x14ac:dyDescent="0.35">
      <c r="B24" t="s">
        <v>656</v>
      </c>
      <c r="C24" t="s">
        <v>2072</v>
      </c>
      <c r="E24" t="s">
        <v>665</v>
      </c>
      <c r="G24" t="s">
        <v>2073</v>
      </c>
      <c r="I24" t="s">
        <v>2074</v>
      </c>
      <c r="AJ24" t="s">
        <v>2075</v>
      </c>
      <c r="AL24" t="s">
        <v>2076</v>
      </c>
      <c r="AM24" t="s">
        <v>2077</v>
      </c>
      <c r="AN24" t="s">
        <v>2078</v>
      </c>
      <c r="AO24" t="s">
        <v>2079</v>
      </c>
      <c r="AP24" t="s">
        <v>1358</v>
      </c>
      <c r="AQ24" t="s">
        <v>2080</v>
      </c>
      <c r="AT24" t="s">
        <v>1634</v>
      </c>
      <c r="AV24" t="s">
        <v>2081</v>
      </c>
    </row>
    <row r="25" spans="1:78" ht="14.25" customHeight="1" x14ac:dyDescent="0.35">
      <c r="B25" t="s">
        <v>662</v>
      </c>
      <c r="C25" t="s">
        <v>2082</v>
      </c>
      <c r="E25" t="s">
        <v>2083</v>
      </c>
      <c r="G25" t="s">
        <v>2084</v>
      </c>
      <c r="I25" t="s">
        <v>2085</v>
      </c>
      <c r="AJ25" t="s">
        <v>2086</v>
      </c>
      <c r="AL25" t="s">
        <v>2087</v>
      </c>
      <c r="AM25" t="s">
        <v>2088</v>
      </c>
      <c r="AN25" t="s">
        <v>2089</v>
      </c>
      <c r="AO25" t="s">
        <v>2090</v>
      </c>
      <c r="AP25" t="s">
        <v>2091</v>
      </c>
      <c r="AQ25" t="s">
        <v>2092</v>
      </c>
      <c r="AT25" t="s">
        <v>1689</v>
      </c>
      <c r="AV25" t="s">
        <v>2093</v>
      </c>
    </row>
    <row r="26" spans="1:78" ht="14.25" customHeight="1" x14ac:dyDescent="0.35">
      <c r="B26" t="s">
        <v>668</v>
      </c>
      <c r="C26" t="s">
        <v>2094</v>
      </c>
      <c r="E26" t="s">
        <v>2095</v>
      </c>
      <c r="I26" t="s">
        <v>2096</v>
      </c>
      <c r="AJ26" t="s">
        <v>2097</v>
      </c>
      <c r="AL26" t="s">
        <v>2098</v>
      </c>
      <c r="AM26" t="s">
        <v>2099</v>
      </c>
      <c r="AN26" t="s">
        <v>2100</v>
      </c>
      <c r="AO26" t="s">
        <v>2101</v>
      </c>
      <c r="AP26" t="s">
        <v>1581</v>
      </c>
      <c r="AQ26" t="s">
        <v>2102</v>
      </c>
      <c r="AT26" t="s">
        <v>1748</v>
      </c>
      <c r="AV26" t="s">
        <v>2103</v>
      </c>
    </row>
    <row r="27" spans="1:78" ht="14.25" customHeight="1" x14ac:dyDescent="0.35">
      <c r="B27" t="s">
        <v>2104</v>
      </c>
      <c r="C27" t="s">
        <v>618</v>
      </c>
      <c r="E27" t="s">
        <v>2105</v>
      </c>
      <c r="I27" t="s">
        <v>470</v>
      </c>
      <c r="AL27" t="s">
        <v>2106</v>
      </c>
      <c r="AO27" t="s">
        <v>2107</v>
      </c>
      <c r="AP27" t="s">
        <v>1417</v>
      </c>
      <c r="AQ27" t="s">
        <v>2108</v>
      </c>
      <c r="AV27" t="s">
        <v>2109</v>
      </c>
    </row>
    <row r="28" spans="1:78" ht="14.25" customHeight="1" x14ac:dyDescent="0.35">
      <c r="B28" t="s">
        <v>2110</v>
      </c>
      <c r="C28" t="s">
        <v>624</v>
      </c>
      <c r="E28" t="s">
        <v>2111</v>
      </c>
      <c r="I28" t="s">
        <v>2112</v>
      </c>
      <c r="AL28" t="s">
        <v>2113</v>
      </c>
      <c r="AO28" t="s">
        <v>2114</v>
      </c>
      <c r="AP28" t="s">
        <v>1474</v>
      </c>
      <c r="AQ28" t="s">
        <v>2115</v>
      </c>
      <c r="AV28" t="s">
        <v>2116</v>
      </c>
    </row>
    <row r="29" spans="1:78" ht="14.25" customHeight="1" x14ac:dyDescent="0.35">
      <c r="B29" t="s">
        <v>2117</v>
      </c>
      <c r="C29" t="s">
        <v>630</v>
      </c>
      <c r="I29" t="s">
        <v>2118</v>
      </c>
      <c r="AL29" t="s">
        <v>2119</v>
      </c>
      <c r="AO29" t="s">
        <v>2120</v>
      </c>
      <c r="AP29" t="s">
        <v>1472</v>
      </c>
      <c r="AQ29" t="s">
        <v>2121</v>
      </c>
      <c r="AV29" t="s">
        <v>2122</v>
      </c>
    </row>
    <row r="30" spans="1:78" ht="14.25" customHeight="1" x14ac:dyDescent="0.35">
      <c r="B30" t="s">
        <v>2123</v>
      </c>
      <c r="C30" t="s">
        <v>635</v>
      </c>
      <c r="AL30" t="s">
        <v>2124</v>
      </c>
      <c r="AO30" t="s">
        <v>2125</v>
      </c>
      <c r="AP30" t="s">
        <v>1580</v>
      </c>
      <c r="AV30" t="s">
        <v>2126</v>
      </c>
    </row>
    <row r="31" spans="1:78" ht="14.25" customHeight="1" x14ac:dyDescent="0.35">
      <c r="B31" t="s">
        <v>2127</v>
      </c>
      <c r="C31" t="s">
        <v>640</v>
      </c>
      <c r="AL31" t="s">
        <v>2128</v>
      </c>
      <c r="AO31" t="s">
        <v>2129</v>
      </c>
      <c r="AP31" t="s">
        <v>1302</v>
      </c>
      <c r="AV31" t="s">
        <v>2130</v>
      </c>
    </row>
    <row r="32" spans="1:78" ht="14.25" customHeight="1" x14ac:dyDescent="0.35">
      <c r="C32" t="s">
        <v>645</v>
      </c>
      <c r="AO32" t="s">
        <v>2131</v>
      </c>
      <c r="AP32" t="s">
        <v>1691</v>
      </c>
      <c r="AV32" t="s">
        <v>2132</v>
      </c>
    </row>
    <row r="33" spans="3:48" ht="14.25" customHeight="1" x14ac:dyDescent="0.35">
      <c r="C33" t="s">
        <v>651</v>
      </c>
      <c r="AO33" t="s">
        <v>2133</v>
      </c>
      <c r="AP33" t="s">
        <v>1750</v>
      </c>
      <c r="AV33" t="s">
        <v>2134</v>
      </c>
    </row>
    <row r="34" spans="3:48" ht="14.25" customHeight="1" x14ac:dyDescent="0.35">
      <c r="C34" t="s">
        <v>657</v>
      </c>
      <c r="AO34" t="s">
        <v>2135</v>
      </c>
      <c r="AP34" t="s">
        <v>1811</v>
      </c>
      <c r="AV34" t="s">
        <v>2136</v>
      </c>
    </row>
    <row r="35" spans="3:48" ht="14.25" customHeight="1" x14ac:dyDescent="0.35">
      <c r="C35" t="s">
        <v>663</v>
      </c>
      <c r="AO35" t="s">
        <v>2137</v>
      </c>
      <c r="AP35" t="s">
        <v>1858</v>
      </c>
      <c r="AV35" t="s">
        <v>2138</v>
      </c>
    </row>
    <row r="36" spans="3:48" ht="14.25" customHeight="1" x14ac:dyDescent="0.35">
      <c r="C36" t="s">
        <v>669</v>
      </c>
      <c r="AO36" t="s">
        <v>2139</v>
      </c>
      <c r="AP36" t="s">
        <v>1356</v>
      </c>
      <c r="AV36" t="s">
        <v>2140</v>
      </c>
    </row>
    <row r="37" spans="3:48" ht="14.25" customHeight="1" x14ac:dyDescent="0.35">
      <c r="AO37" t="s">
        <v>2141</v>
      </c>
      <c r="AP37" t="s">
        <v>1748</v>
      </c>
    </row>
    <row r="38" spans="3:48" ht="14.25" customHeight="1" x14ac:dyDescent="0.35">
      <c r="AO38" t="s">
        <v>2142</v>
      </c>
      <c r="AP38" t="s">
        <v>1986</v>
      </c>
    </row>
    <row r="39" spans="3:48" ht="14.25" customHeight="1" x14ac:dyDescent="0.35">
      <c r="AO39" t="s">
        <v>2143</v>
      </c>
      <c r="AP39" t="s">
        <v>1413</v>
      </c>
    </row>
    <row r="40" spans="3:48" ht="14.25" customHeight="1" x14ac:dyDescent="0.35">
      <c r="AO40" t="s">
        <v>2144</v>
      </c>
      <c r="AP40" t="s">
        <v>1960</v>
      </c>
    </row>
    <row r="41" spans="3:48" ht="14.25" customHeight="1" x14ac:dyDescent="0.35">
      <c r="AO41" t="s">
        <v>2145</v>
      </c>
      <c r="AP41" t="s">
        <v>1527</v>
      </c>
    </row>
    <row r="42" spans="3:48" ht="14.25" customHeight="1" x14ac:dyDescent="0.35">
      <c r="AO42" t="s">
        <v>2146</v>
      </c>
      <c r="AP42" t="s">
        <v>1632</v>
      </c>
    </row>
  </sheetData>
  <pageMargins left="0.75" right="0.75" top="1" bottom="1" header="0.511811023622047" footer="0.511811023622047"/>
  <pageSetup paperSize="9" orientation="portrait" horizontalDpi="300" verticalDpi="300"/>
  <drawing r:id="rId1"/>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Regneark</vt:lpstr>
      </vt:variant>
      <vt:variant>
        <vt:i4>32</vt:i4>
      </vt:variant>
    </vt:vector>
  </HeadingPairs>
  <TitlesOfParts>
    <vt:vector size="32" baseType="lpstr">
      <vt:lpstr>PM_GETTING_STARTED</vt:lpstr>
      <vt:lpstr>PM_DROPDOWNS</vt:lpstr>
      <vt:lpstr>PM_STATUS</vt:lpstr>
      <vt:lpstr>PM_RESOURCES</vt:lpstr>
      <vt:lpstr>PM_RISKS</vt:lpstr>
      <vt:lpstr>PM_TASKS</vt:lpstr>
      <vt:lpstr>PM_OVERVIEW</vt:lpstr>
      <vt:lpstr>AI_GUIDANCE</vt:lpstr>
      <vt:lpstr>DASHBOARD</vt:lpstr>
      <vt:lpstr>RISK_REGISTER</vt:lpstr>
      <vt:lpstr>⚡ VBA SETUP</vt:lpstr>
      <vt:lpstr>WASTE_DATA</vt:lpstr>
      <vt:lpstr>PARETO CHART</vt:lpstr>
      <vt:lpstr>FISHBONE</vt:lpstr>
      <vt:lpstr>FISHBONE DIAGRAM</vt:lpstr>
      <vt:lpstr>CASE_DATA</vt:lpstr>
      <vt:lpstr>PDCA_DATA</vt:lpstr>
      <vt:lpstr>METRICS</vt:lpstr>
      <vt:lpstr>LOG_DATA</vt:lpstr>
      <vt:lpstr>FMEA_DATA</vt:lpstr>
      <vt:lpstr>AI_CHART_CONTROL</vt:lpstr>
      <vt:lpstr>AI_ASSISTANT</vt:lpstr>
      <vt:lpstr>FMEA_ANALYSIS</vt:lpstr>
      <vt:lpstr>SS_DATA</vt:lpstr>
      <vt:lpstr>SS_ANALYSIS</vt:lpstr>
      <vt:lpstr>SDLC_DATA</vt:lpstr>
      <vt:lpstr>SDLC_TRACKER</vt:lpstr>
      <vt:lpstr>AGILE_DATA</vt:lpstr>
      <vt:lpstr>AGILE_BOARD</vt:lpstr>
      <vt:lpstr>AZ_DATA</vt:lpstr>
      <vt:lpstr>AZ_BOARD</vt:lpstr>
      <vt:lpstr>DROPDOWNS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Shahram Ajloo (2017350)</cp:lastModifiedBy>
  <cp:revision>3</cp:revision>
  <dcterms:created xsi:type="dcterms:W3CDTF">2026-05-30T11:26:59Z</dcterms:created>
  <dcterms:modified xsi:type="dcterms:W3CDTF">2026-06-10T02:31:02Z</dcterms:modified>
  <dc:language>en-US</dc:language>
</cp:coreProperties>
</file>