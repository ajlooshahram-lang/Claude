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3b0bb3d0c4ae2db/El-installatør/Regneark/"/>
    </mc:Choice>
  </mc:AlternateContent>
  <xr:revisionPtr revIDLastSave="0" documentId="13_ncr:1_{0A5C84F1-B9BA-4A39-A8A9-303258E3BF2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elastningsskema" sheetId="1" r:id="rId1"/>
    <sheet name="MA" sheetId="5" r:id="rId2"/>
    <sheet name="Dataark" sheetId="2" r:id="rId3"/>
    <sheet name="Ark2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0" i="5" l="1"/>
  <c r="E22" i="5"/>
  <c r="E21" i="5"/>
  <c r="E19" i="5"/>
  <c r="J7" i="5"/>
  <c r="L7" i="5"/>
  <c r="J14" i="5"/>
  <c r="F6" i="1"/>
  <c r="P6" i="1"/>
  <c r="B5" i="1"/>
  <c r="F5" i="1"/>
  <c r="G3" i="2"/>
  <c r="P5" i="1"/>
  <c r="F7" i="1"/>
  <c r="P7" i="1"/>
  <c r="F8" i="1"/>
  <c r="P8" i="1"/>
  <c r="F9" i="1"/>
  <c r="P9" i="1"/>
  <c r="F10" i="1"/>
  <c r="P10" i="1"/>
  <c r="P11" i="1"/>
  <c r="P12" i="1"/>
  <c r="P13" i="1"/>
  <c r="F14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6" i="1"/>
  <c r="F9" i="2"/>
  <c r="L39" i="1"/>
  <c r="O6" i="1"/>
  <c r="F4" i="2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6" i="1"/>
  <c r="F8" i="2"/>
  <c r="K39" i="1"/>
  <c r="E5" i="2"/>
  <c r="N6" i="1"/>
  <c r="N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6" i="1"/>
  <c r="J39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5" i="1"/>
  <c r="M34" i="1"/>
  <c r="M36" i="1"/>
  <c r="F38" i="1"/>
  <c r="L36" i="1"/>
  <c r="L34" i="1"/>
  <c r="K36" i="1"/>
  <c r="K34" i="1"/>
  <c r="J34" i="1"/>
  <c r="J36" i="1"/>
  <c r="J38" i="1"/>
  <c r="K38" i="1"/>
  <c r="L38" i="1"/>
  <c r="F5" i="2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E34" i="1"/>
  <c r="B6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B8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F3" i="2"/>
  <c r="K5" i="1"/>
  <c r="J5" i="1"/>
  <c r="G5" i="2"/>
  <c r="G4" i="2"/>
  <c r="E4" i="2"/>
  <c r="E3" i="2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</calcChain>
</file>

<file path=xl/sharedStrings.xml><?xml version="1.0" encoding="utf-8"?>
<sst xmlns="http://schemas.openxmlformats.org/spreadsheetml/2006/main" count="82" uniqueCount="62">
  <si>
    <t>Antal faser</t>
  </si>
  <si>
    <t>Valg af faser</t>
  </si>
  <si>
    <t>Valg S,P,Q,I</t>
  </si>
  <si>
    <t>S,P,Q,I</t>
  </si>
  <si>
    <t>Cos(phi)</t>
  </si>
  <si>
    <t>Induktiv/kapacativ</t>
  </si>
  <si>
    <t>L1</t>
  </si>
  <si>
    <t>L2</t>
  </si>
  <si>
    <t>L3</t>
  </si>
  <si>
    <t>S</t>
  </si>
  <si>
    <t>P</t>
  </si>
  <si>
    <t>Q</t>
  </si>
  <si>
    <t>I</t>
  </si>
  <si>
    <t>L1 + N</t>
  </si>
  <si>
    <t>L2 + N</t>
  </si>
  <si>
    <t>L3 + N</t>
  </si>
  <si>
    <t>L1 + L2</t>
  </si>
  <si>
    <t>L2 + L3</t>
  </si>
  <si>
    <t>L1 + L3</t>
  </si>
  <si>
    <t>L1 + L2 + L3</t>
  </si>
  <si>
    <t>Un</t>
  </si>
  <si>
    <t>Uf</t>
  </si>
  <si>
    <t>L1 imag</t>
  </si>
  <si>
    <t>L2 imag</t>
  </si>
  <si>
    <t>L3 imag</t>
  </si>
  <si>
    <t>Induktiv</t>
  </si>
  <si>
    <t>Kapacativ</t>
  </si>
  <si>
    <t>Total</t>
  </si>
  <si>
    <t>Total inkl Sf</t>
  </si>
  <si>
    <t>S imag</t>
  </si>
  <si>
    <t>u</t>
  </si>
  <si>
    <t>r</t>
  </si>
  <si>
    <t>Cos Phi</t>
  </si>
  <si>
    <t>N</t>
  </si>
  <si>
    <t>Navn</t>
  </si>
  <si>
    <t>Strøm-styrke (A)</t>
  </si>
  <si>
    <t>3 H strøm pr. Fase</t>
  </si>
  <si>
    <t>Procent</t>
  </si>
  <si>
    <t>Ampere</t>
  </si>
  <si>
    <t>Vælg 3H</t>
  </si>
  <si>
    <t>Plus 120 grader</t>
  </si>
  <si>
    <t>Minus 120 grader</t>
  </si>
  <si>
    <t>3 H strøm pr. faser i %</t>
  </si>
  <si>
    <t>&lt; Phi</t>
  </si>
  <si>
    <t>IB</t>
  </si>
  <si>
    <t>IN</t>
  </si>
  <si>
    <t>Step start</t>
  </si>
  <si>
    <t>Step size</t>
  </si>
  <si>
    <t xml:space="preserve"> = </t>
  </si>
  <si>
    <t>→</t>
  </si>
  <si>
    <t>steps</t>
  </si>
  <si>
    <t>I1</t>
  </si>
  <si>
    <t xml:space="preserve"> =</t>
  </si>
  <si>
    <t>A</t>
  </si>
  <si>
    <r>
      <t>N</t>
    </r>
    <r>
      <rPr>
        <b/>
        <vertAlign val="subscript"/>
        <sz val="12"/>
        <color theme="1"/>
        <rFont val="Calibri"/>
        <family val="2"/>
        <scheme val="minor"/>
      </rPr>
      <t>0</t>
    </r>
  </si>
  <si>
    <t>I strøm + - 20% / 10%</t>
  </si>
  <si>
    <t>I 2 eller 3 =</t>
  </si>
  <si>
    <t>.-20% =</t>
  </si>
  <si>
    <t>.+20% =</t>
  </si>
  <si>
    <t>.-10% =</t>
  </si>
  <si>
    <t>.+10% =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</si>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</sst>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\ \A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206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  <xf numFmtId="2" fontId="1" fillId="4" borderId="1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2" fontId="0" fillId="6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0" fillId="0" borderId="1" xfId="0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5" fontId="1" fillId="10" borderId="10" xfId="0" applyNumberFormat="1" applyFont="1" applyFill="1" applyBorder="1" applyAlignment="1">
      <alignment horizontal="center" vertical="center"/>
    </xf>
    <xf numFmtId="9" fontId="1" fillId="8" borderId="14" xfId="0" applyNumberFormat="1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6" xfId="0" applyNumberFormat="1" applyFont="1" applyFill="1" applyBorder="1" applyAlignment="1">
      <alignment horizontal="center" vertical="center"/>
    </xf>
    <xf numFmtId="165" fontId="1" fillId="7" borderId="10" xfId="0" applyNumberFormat="1" applyFont="1" applyFill="1" applyBorder="1" applyAlignment="1">
      <alignment horizontal="center" vertical="center"/>
    </xf>
    <xf numFmtId="165" fontId="1" fillId="8" borderId="15" xfId="0" applyNumberFormat="1" applyFont="1" applyFill="1" applyBorder="1" applyAlignment="1">
      <alignment horizontal="center" vertical="center"/>
    </xf>
    <xf numFmtId="165" fontId="1" fillId="8" borderId="10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8" fillId="11" borderId="1" xfId="0" applyFont="1" applyFill="1" applyBorder="1" applyProtection="1">
      <protection locked="0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37">
    <cellStyle name="Besøgt link" xfId="2" builtinId="9" hidden="1"/>
    <cellStyle name="Besøgt link" xfId="4" builtinId="9" hidden="1"/>
    <cellStyle name="Besøgt link" xfId="6" builtinId="9" hidden="1"/>
    <cellStyle name="Besøgt link" xfId="8" builtinId="9" hidden="1"/>
    <cellStyle name="Besøgt link" xfId="10" builtinId="9" hidden="1"/>
    <cellStyle name="Besøgt link" xfId="12" builtinId="9" hidden="1"/>
    <cellStyle name="Besøgt link" xfId="14" builtinId="9" hidden="1"/>
    <cellStyle name="Besøgt link" xfId="16" builtinId="9" hidden="1"/>
    <cellStyle name="Besøgt link" xfId="18" builtinId="9" hidden="1"/>
    <cellStyle name="Besøgt link" xfId="20" builtinId="9" hidden="1"/>
    <cellStyle name="Besøgt link" xfId="22" builtinId="9" hidden="1"/>
    <cellStyle name="Besøgt link" xfId="24" builtinId="9" hidden="1"/>
    <cellStyle name="Besøgt link" xfId="26" builtinId="9" hidden="1"/>
    <cellStyle name="Besøgt link" xfId="28" builtinId="9" hidden="1"/>
    <cellStyle name="Besøgt link" xfId="30" builtinId="9" hidden="1"/>
    <cellStyle name="Besøgt link" xfId="32" builtinId="9" hidden="1"/>
    <cellStyle name="Besøgt link" xfId="34" builtinId="9" hidden="1"/>
    <cellStyle name="Besøgt link" xfId="36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39</xdr:row>
      <xdr:rowOff>85725</xdr:rowOff>
    </xdr:from>
    <xdr:to>
      <xdr:col>10</xdr:col>
      <xdr:colOff>608842</xdr:colOff>
      <xdr:row>48</xdr:row>
      <xdr:rowOff>114071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8286750"/>
          <a:ext cx="6066667" cy="1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473318</xdr:colOff>
      <xdr:row>2</xdr:row>
      <xdr:rowOff>21980</xdr:rowOff>
    </xdr:from>
    <xdr:ext cx="1638300" cy="460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kstfelt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3916972" y="417634"/>
              <a:ext cx="1638300" cy="460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𝑵</m:t>
                        </m:r>
                      </m:e>
                      <m:sub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da-DK" sz="11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da-DK" sz="11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da-DK" sz="1100" b="1" i="1">
                                <a:latin typeface="Cambria Math" panose="02040503050406030204" pitchFamily="18" charset="0"/>
                              </a:rPr>
                              <m:t>𝑰𝒃</m:t>
                            </m:r>
                          </m:num>
                          <m:den>
                            <m:r>
                              <a:rPr lang="da-DK" sz="1100" b="1" i="1">
                                <a:latin typeface="Cambria Math" panose="02040503050406030204" pitchFamily="18" charset="0"/>
                              </a:rPr>
                              <m:t>𝑰𝒏</m:t>
                            </m:r>
                          </m:den>
                        </m:f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𝒔𝒕𝒆𝒑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𝒔𝒕𝒂𝒓𝒕</m:t>
                        </m:r>
                      </m:num>
                      <m:den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𝒔𝒕𝒆𝒑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𝒔𝒊𝒛𝒆</m:t>
                        </m:r>
                      </m:den>
                    </m:f>
                  </m:oMath>
                </m:oMathPara>
              </a14:m>
              <a:endParaRPr lang="da-DK" sz="1100" b="1"/>
            </a:p>
          </xdr:txBody>
        </xdr:sp>
      </mc:Choice>
      <mc:Fallback xmlns="">
        <xdr:sp macro="" textlink="">
          <xdr:nvSpPr>
            <xdr:cNvPr id="2" name="Tekstfelt 1"/>
            <xdr:cNvSpPr txBox="1"/>
          </xdr:nvSpPr>
          <xdr:spPr>
            <a:xfrm>
              <a:off x="3916972" y="417634"/>
              <a:ext cx="1638300" cy="460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da-DK" sz="1100" b="1" i="0">
                  <a:latin typeface="Cambria Math" panose="02040503050406030204" pitchFamily="18" charset="0"/>
                </a:rPr>
                <a:t>𝑵_𝟎=(𝑰𝒃/𝑰𝒏−𝒔𝒕𝒆𝒑 𝒔𝒕𝒂𝒓𝒕)/(𝒔𝒕𝒆𝒑 𝒔𝒊𝒛𝒆)</a:t>
              </a:r>
              <a:endParaRPr lang="da-DK" sz="1100" b="1"/>
            </a:p>
          </xdr:txBody>
        </xdr:sp>
      </mc:Fallback>
    </mc:AlternateContent>
    <xdr:clientData/>
  </xdr:oneCellAnchor>
  <xdr:oneCellAnchor>
    <xdr:from>
      <xdr:col>6</xdr:col>
      <xdr:colOff>136280</xdr:colOff>
      <xdr:row>10</xdr:row>
      <xdr:rowOff>165588</xdr:rowOff>
    </xdr:from>
    <xdr:ext cx="251344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kstfelt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4268665" y="2173165"/>
              <a:ext cx="25134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1" i="1">
                        <a:latin typeface="Cambria Math" panose="02040503050406030204" pitchFamily="18" charset="0"/>
                      </a:rPr>
                      <m:t>𝑰</m:t>
                    </m:r>
                    <m:r>
                      <a:rPr lang="da-DK" sz="11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da-DK" sz="11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da-DK" sz="11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da-DK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</m:sub>
                        </m:sSub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𝒔𝒕𝒆𝒑</m:t>
                        </m:r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𝒔𝒊𝒛𝒆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𝒔𝒕𝒆𝒑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da-DK" sz="1100" b="1" i="1">
                            <a:latin typeface="Cambria Math" panose="02040503050406030204" pitchFamily="18" charset="0"/>
                          </a:rPr>
                          <m:t>𝒔𝒕𝒂𝒓𝒕</m:t>
                        </m:r>
                      </m:e>
                    </m:d>
                    <m:r>
                      <a:rPr lang="da-DK" sz="11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da-DK" sz="1100" b="1" i="1">
                        <a:latin typeface="Cambria Math" panose="02040503050406030204" pitchFamily="18" charset="0"/>
                      </a:rPr>
                      <m:t>𝑰𝒏</m:t>
                    </m:r>
                  </m:oMath>
                </m:oMathPara>
              </a14:m>
              <a:endParaRPr lang="da-DK" sz="1100" b="1"/>
            </a:p>
          </xdr:txBody>
        </xdr:sp>
      </mc:Choice>
      <mc:Fallback xmlns="">
        <xdr:sp macro="" textlink="">
          <xdr:nvSpPr>
            <xdr:cNvPr id="3" name="Tekstfelt 2"/>
            <xdr:cNvSpPr txBox="1"/>
          </xdr:nvSpPr>
          <xdr:spPr>
            <a:xfrm>
              <a:off x="4268665" y="2173165"/>
              <a:ext cx="25134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1" i="0">
                  <a:latin typeface="Cambria Math" panose="02040503050406030204" pitchFamily="18" charset="0"/>
                </a:rPr>
                <a:t>𝑰𝟏=(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𝑵_𝟎∗𝒔𝒕𝒆𝒑 𝒔𝒊𝒛𝒆</a:t>
              </a:r>
              <a:r>
                <a:rPr lang="da-DK" sz="1100" b="1" i="0">
                  <a:latin typeface="Cambria Math" panose="02040503050406030204" pitchFamily="18" charset="0"/>
                </a:rPr>
                <a:t>+𝒔𝒕𝒆𝒑 𝒔𝒕𝒂𝒓𝒕)∗𝑰𝒏</a:t>
              </a:r>
              <a:endParaRPr lang="da-DK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2:S39"/>
  <sheetViews>
    <sheetView tabSelected="1" zoomScale="80" zoomScaleNormal="80" workbookViewId="0">
      <selection activeCell="H10" sqref="H10"/>
    </sheetView>
  </sheetViews>
  <sheetFormatPr defaultColWidth="11" defaultRowHeight="15.75" x14ac:dyDescent="0.25"/>
  <cols>
    <col min="1" max="1" width="10.875" customWidth="1"/>
    <col min="2" max="2" width="7.375" customWidth="1"/>
    <col min="3" max="3" width="12.375" customWidth="1"/>
    <col min="4" max="4" width="7" customWidth="1"/>
    <col min="5" max="5" width="10.125" customWidth="1"/>
    <col min="6" max="6" width="9.5" style="48" customWidth="1"/>
    <col min="7" max="7" width="8.5" customWidth="1"/>
    <col min="8" max="9" width="9" customWidth="1"/>
    <col min="10" max="13" width="14.875" customWidth="1"/>
    <col min="14" max="16" width="25.5" hidden="1" customWidth="1"/>
    <col min="17" max="17" width="11.125" hidden="1" customWidth="1"/>
    <col min="18" max="18" width="25.5" customWidth="1"/>
  </cols>
  <sheetData>
    <row r="2" spans="1:19" x14ac:dyDescent="0.25">
      <c r="C2" s="6" t="s">
        <v>20</v>
      </c>
      <c r="D2" s="14">
        <v>400</v>
      </c>
      <c r="E2" s="6" t="s">
        <v>21</v>
      </c>
      <c r="F2" s="44">
        <v>230</v>
      </c>
      <c r="H2" s="6" t="s">
        <v>39</v>
      </c>
      <c r="I2" t="s">
        <v>37</v>
      </c>
    </row>
    <row r="4" spans="1:19" ht="47.25" x14ac:dyDescent="0.25">
      <c r="A4" s="15" t="s">
        <v>34</v>
      </c>
      <c r="B4" s="19" t="s">
        <v>0</v>
      </c>
      <c r="C4" s="15" t="s">
        <v>1</v>
      </c>
      <c r="D4" s="19" t="s">
        <v>2</v>
      </c>
      <c r="E4" s="15" t="s">
        <v>3</v>
      </c>
      <c r="F4" s="45" t="s">
        <v>35</v>
      </c>
      <c r="G4" s="15" t="s">
        <v>4</v>
      </c>
      <c r="H4" s="19" t="s">
        <v>5</v>
      </c>
      <c r="I4" s="19" t="s">
        <v>36</v>
      </c>
      <c r="J4" s="15" t="s">
        <v>6</v>
      </c>
      <c r="K4" s="15" t="s">
        <v>7</v>
      </c>
      <c r="L4" s="15" t="s">
        <v>8</v>
      </c>
      <c r="M4" s="15" t="s">
        <v>33</v>
      </c>
      <c r="N4" s="1" t="s">
        <v>22</v>
      </c>
      <c r="O4" s="1" t="s">
        <v>23</v>
      </c>
      <c r="P4" s="1" t="s">
        <v>24</v>
      </c>
      <c r="Q4" s="18" t="s">
        <v>29</v>
      </c>
      <c r="S4" s="18"/>
    </row>
    <row r="5" spans="1:19" x14ac:dyDescent="0.25">
      <c r="A5" s="10"/>
      <c r="B5" s="9" t="str">
        <f>IF(C5="","",VLOOKUP(C5,Dataark!$B$9:$C$15,2,FALSE))</f>
        <v/>
      </c>
      <c r="C5" s="10"/>
      <c r="D5" s="21" t="s">
        <v>12</v>
      </c>
      <c r="E5" s="22"/>
      <c r="F5" s="46" t="str">
        <f>IF(OR(D5="",C5="",G5="",E5=""),"",IF($D5="P",IF($B5=1,$E5/($F$2*G5),IF(B5=2,$E5/(D$2*G5),IF($B5=3,E5/(D$2*G5*SQRT(3))))),IF($D5="S",IF($B5=1,$E5/$F$2,IF($B5=2,$E5/$D$2,IF($B5=3,$E5/($D$2*SQRT(3))))),IF($D5="Q",IF($B5=1,$E5/($F$2*SIN(ACOS($G5))),IF($B5=2,$E5/($D$2*SIN(ACOS($G5))),IF($B5=3,$E5/($D$2*SIN(ACOS($G5))*SQRT(3))))),IF($D5="I",$E5,"")))))</f>
        <v/>
      </c>
      <c r="G5" s="10"/>
      <c r="H5" s="10" t="s">
        <v>25</v>
      </c>
      <c r="I5" s="10"/>
      <c r="J5" s="8" t="str">
        <f>IF($N5=0,"",ROUND(IMABS($N5),2)&amp;"&lt;"&amp;ROUND(DEGREES(IMARGUMENT($N5)),2))</f>
        <v/>
      </c>
      <c r="K5" s="8" t="str">
        <f>IF($O5=0,"",ROUND(IMABS($O5),2)&amp;"&lt;"&amp;ROUND(DEGREES(IMARGUMENT($O5)),2))</f>
        <v/>
      </c>
      <c r="L5" s="8" t="str">
        <f>IF($P5=0,"",ROUND(IMABS($P5),2)&amp;"&lt;"&amp;ROUND(DEGREES(IMARGUMENT($P5)),2))</f>
        <v/>
      </c>
      <c r="M5" s="8" t="str">
        <f>IF(I5="","",IF($I$2=Dataark!$B$21,IF(B5=1,((I5*F5)/100),IF(B5=2,((I5*F5)/100)*2,IF(B5=3,((I5*F5)/100)*3,))),IF($I$2=Dataark!$B$22,IF(B5=1,I5,IF(B5=2,I5*2,IF(B5=3,I5*3))))))</f>
        <v/>
      </c>
      <c r="N5" s="2">
        <f>IF($D5="",0,IF(OR($C5=Dataark!$B$9,$C5=Dataark!$B$15),IF($H5=Dataark!$B$19,IMPRODUCT(COMPLEX($F5*$G5,$F5*(SIN(ACOS($G5))),"j"),Dataark!$E$5),IF($H5=Dataark!$B$18,IMPRODUCT(COMPLEX($F5*$G5,-$F5*(SIN(ACOS($G5))),"j"),Dataark!$E$5),"")),IF($C5=Dataark!$B$12,IF($H5=Dataark!$B$19,IMPRODUCT(COMPLEX($F5*$G5,$F5*(SIN(ACOS($G5))),"j"),Dataark!$E$4),IF($H5=Dataark!$B$18,IMPRODUCT(COMPLEX($F5*$G5,-$F5*(SIN(ACOS($G5))),"j"),Dataark!$E$4),"")),IF($C5=Dataark!$B$14,IF($H5=Dataark!$B$19,IMPRODUCT(COMPLEX($F5*$G5,$F5*(SIN(ACOS($G5))),"j"),Dataark!$E$3),IF($H5=Dataark!$B$18,IMPRODUCT(COMPLEX($F5*$G5,-$F5*(SIN(ACOS($G5))),"j"),Dataark!$E$3),)),))))</f>
        <v>0</v>
      </c>
      <c r="O5" s="2">
        <f>IF($D5="",0,IF(OR($C5=Dataark!$B$10,$C5=Dataark!$B$15),IF($H5=Dataark!$B$19,IMPRODUCT(COMPLEX($F5*$G5,$F5*(SIN(ACOS($G5))),"j"),Dataark!$F$4),IF($H5=Dataark!$B$18,IMPRODUCT(COMPLEX($F5*$G5,-$F5*(SIN(ACOS($G5))),"j"),Dataark!$F$4),"")),IF($C5=Dataark!$B$12,IF($H5=Dataark!$B$19,IMPRODUCT(COMPLEX($F5*$G5,$F5*(SIN(ACOS($G5))),"j"),Dataark!$F$5),IF($H5=Dataark!$B$18,IMPRODUCT(COMPLEX($F5*$G5,-$F5*(SIN(ACOS($G5))),"j"),Dataark!$F$5),"")),IF($C5=Dataark!$B$13,IF($H5=Dataark!$B$19,IMPRODUCT(COMPLEX($F5*$G5,$F5*(SIN(ACOS($G5))),"j"),Dataark!$F$3),IF($H5=Dataark!$B$18,IMPRODUCT(COMPLEX($F5*$G5,-$F5*(SIN(ACOS($G5))),"j"),Dataark!$F$3),)),))))</f>
        <v>0</v>
      </c>
      <c r="P5" s="2">
        <f>IF($D5="",0,IF(OR($C5=Dataark!$B$11,$C5=Dataark!$B$15),IF($H5=Dataark!$B$19,IMPRODUCT(COMPLEX($F5*$G5,$F5*(SIN(ACOS($G5))),"j"),Dataark!$G$3),IF($H5=Dataark!$B$18,IMPRODUCT(COMPLEX($F5*$G5,-$F5*(SIN(ACOS($G5))),"j"),Dataark!$G$3),"")),IF($C5=Dataark!$B$13,IF($H5=Dataark!$B$19,IMPRODUCT(COMPLEX($F5*$G5,$F5*(SIN(ACOS($G5))),"j"),Dataark!$G$4),IF($H5=Dataark!$B$18,IMPRODUCT(COMPLEX($F5*$G5,-$F5*(SIN(ACOS($G5))),"j"),Dataark!$G$4),"")),IF($C5=Dataark!$B$14,IF($H5=Dataark!$B$19,IMPRODUCT(COMPLEX($F5*$G5,$F5*(SIN(ACOS($G5))),"j"),Dataark!$G$5),IF($H5=Dataark!$B$18,IMPRODUCT(COMPLEX($F5*$G5,-$F5*(SIN(ACOS($G5))),"j"),Dataark!$G$5),)),))))</f>
        <v>0</v>
      </c>
      <c r="Q5">
        <f>IF(D5="S",COMPLEX(E5*G5,E5*SIN(ACOS(G5)),"j"),0)</f>
        <v>0</v>
      </c>
    </row>
    <row r="6" spans="1:19" x14ac:dyDescent="0.25">
      <c r="A6" s="10"/>
      <c r="B6" s="9" t="str">
        <f>IF(C6="","",VLOOKUP(C6,Dataark!$B$9:$C$15,2,FALSE))</f>
        <v/>
      </c>
      <c r="C6" s="10"/>
      <c r="D6" s="21" t="s">
        <v>12</v>
      </c>
      <c r="E6" s="22"/>
      <c r="F6" s="46" t="str">
        <f t="shared" ref="F6:F33" si="0">IF(OR(D6="",C6="",G6="",E6=""),"",IF($D6="P",IF($B6=1,$E6/($F$2*G6),IF(B6=2,$E6/(D$2*G6),IF($B6=3,E6/(D$2*G6*SQRT(3))))),IF($D6="S",IF($B6=1,$E6/$F$2,IF($B6=2,$E6/$D$2,IF($B6=3,$E6/($D$2*SQRT(3))))),IF($D6="Q",IF($B6=1,$E6/($F$2*SIN(ACOS($G6))),IF($B6=2,$E6/($D$2*SIN(ACOS($G6))),IF($B6=3,$E6/($D$2*SIN(ACOS($G6))*SQRT(3))))),IF($D6="I",$E6,"")))))</f>
        <v/>
      </c>
      <c r="G6" s="10"/>
      <c r="H6" s="10" t="s">
        <v>25</v>
      </c>
      <c r="I6" s="10"/>
      <c r="J6" s="8" t="str">
        <f t="shared" ref="J6:J33" si="1">IF($N6=0,"",ROUND(IMABS($N6),2)&amp;"&lt;"&amp;ROUND(DEGREES(IMARGUMENT($N6)),2))</f>
        <v/>
      </c>
      <c r="K6" s="8" t="str">
        <f t="shared" ref="K6:K33" si="2">IF($O6=0,"",ROUND(IMABS($O6),2)&amp;"&lt;"&amp;ROUND(DEGREES(IMARGUMENT($O6)),2))</f>
        <v/>
      </c>
      <c r="L6" s="8" t="str">
        <f t="shared" ref="L6:L33" si="3">IF($P6=0,"",ROUND(IMABS($P6),2)&amp;"&lt;"&amp;ROUND(DEGREES(IMARGUMENT($P6)),2))</f>
        <v/>
      </c>
      <c r="M6" s="8" t="str">
        <f>IF(I6="","",IF($I$2=Dataark!$B$21,IF(B6=1,((I6*F6)/100),IF(B6=2,((I6*F6)/100)*2,IF(B6=3,((I6*F6)/100)*3,))),IF($I$2=Dataark!$B$22,IF(B6=1,I6,IF(B6=2,I6*2,IF(B6=3,I6*3))))))</f>
        <v/>
      </c>
      <c r="N6" s="2">
        <f>IF($D6="",0,IF(OR($C6=Dataark!$B$9,$C6=Dataark!$B$15),IF($H6=Dataark!$B$19,IMPRODUCT(COMPLEX($F6*$G6,$F6*(SIN(ACOS($G6))),"j"),Dataark!$E$5),IF($H6=Dataark!$B$18,IMPRODUCT(COMPLEX($F6*$G6,-$F6*(SIN(ACOS($G6))),"j"),Dataark!$E$5),"")),IF($C6=Dataark!$B$12,IF($H6=Dataark!$B$19,IMPRODUCT(COMPLEX($F6*$G6,$F6*(SIN(ACOS($G6))),"j"),Dataark!$E$4),IF($H6=Dataark!$B$18,IMPRODUCT(COMPLEX($F6*$G6,-$F6*(SIN(ACOS($G6))),"j"),Dataark!$E$4),"")),IF($C6=Dataark!$B$14,IF($H6=Dataark!$B$19,IMPRODUCT(COMPLEX($F6*$G6,$F6*(SIN(ACOS($G6))),"j"),Dataark!$E$3),IF($H6=Dataark!$B$18,IMPRODUCT(COMPLEX($F6*$G6,-$F6*(SIN(ACOS($G6))),"j"),Dataark!$E$3),)),))))</f>
        <v>0</v>
      </c>
      <c r="O6" s="2">
        <f>IF($D6="",0,IF(OR($C6=Dataark!$B$10,$C6=Dataark!$B$15),IF($H6=Dataark!$B$19,IMPRODUCT(COMPLEX($F6*$G6,$F6*(SIN(ACOS($G6))),"j"),Dataark!$F$4),IF($H6=Dataark!$B$18,IMPRODUCT(COMPLEX($F6*$G6,-$F6*(SIN(ACOS($G6))),"j"),Dataark!$F$4),"")),IF($C6=Dataark!$B$12,IF($H6=Dataark!$B$19,IMPRODUCT(COMPLEX($F6*$G6,$F6*(SIN(ACOS($G6))),"j"),Dataark!$F$5),IF($H6=Dataark!$B$18,IMPRODUCT(COMPLEX($F6*$G6,-$F6*(SIN(ACOS($G6))),"j"),Dataark!$F$5),"")),IF($C6=Dataark!$B$13,IF($H6=Dataark!$B$19,IMPRODUCT(COMPLEX($F6*$G6,$F6*(SIN(ACOS($G6))),"j"),Dataark!$F$3),IF($H6=Dataark!$B$18,IMPRODUCT(COMPLEX($F6*$G6,-$F6*(SIN(ACOS($G6))),"j"),Dataark!$F$3),)),))))</f>
        <v>0</v>
      </c>
      <c r="P6" s="2">
        <f>IF($D6="",0,IF(OR($C6=Dataark!$B$11,$C6=Dataark!$B$15),IF($H6=Dataark!$B$19,IMPRODUCT(COMPLEX($F6*$G6,$F6*(SIN(ACOS($G6))),"j"),Dataark!$G$3),IF($H6=Dataark!$B$18,IMPRODUCT(COMPLEX($F6*$G6,-$F6*(SIN(ACOS($G6))),"j"),Dataark!$G$3),"")),IF($C6=Dataark!$B$13,IF($H6=Dataark!$B$19,IMPRODUCT(COMPLEX($F6*$G6,$F6*(SIN(ACOS($G6))),"j"),Dataark!$G$4),IF($H6=Dataark!$B$18,IMPRODUCT(COMPLEX($F6*$G6,-$F6*(SIN(ACOS($G6))),"j"),Dataark!$G$4),"")),IF($C6=Dataark!$B$14,IF($H6=Dataark!$B$19,IMPRODUCT(COMPLEX($F6*$G6,$F6*(SIN(ACOS($G6))),"j"),Dataark!$G$5),IF($H6=Dataark!$B$18,IMPRODUCT(COMPLEX($F6*$G6,-$F6*(SIN(ACOS($G6))),"j"),Dataark!$G$5),)),))))</f>
        <v>0</v>
      </c>
      <c r="Q6">
        <f t="shared" ref="Q6:Q33" si="4">IF(D6="S",COMPLEX(E6*G6,E6*SIN(ACOS(G6)),"j"),0)</f>
        <v>0</v>
      </c>
    </row>
    <row r="7" spans="1:19" x14ac:dyDescent="0.25">
      <c r="A7" s="10"/>
      <c r="B7" s="9" t="str">
        <f>IF(C7="","",VLOOKUP(C7,Dataark!$B$9:$C$15,2,FALSE))</f>
        <v/>
      </c>
      <c r="C7" s="10"/>
      <c r="D7" s="21" t="s">
        <v>12</v>
      </c>
      <c r="E7" s="22"/>
      <c r="F7" s="46" t="str">
        <f t="shared" si="0"/>
        <v/>
      </c>
      <c r="G7" s="10"/>
      <c r="H7" s="10" t="s">
        <v>25</v>
      </c>
      <c r="I7" s="10"/>
      <c r="J7" s="8" t="str">
        <f t="shared" si="1"/>
        <v/>
      </c>
      <c r="K7" s="8" t="str">
        <f t="shared" si="2"/>
        <v/>
      </c>
      <c r="L7" s="8" t="str">
        <f t="shared" si="3"/>
        <v/>
      </c>
      <c r="M7" s="8" t="str">
        <f>IF(I7="","",IF($I$2=Dataark!$B$21,IF(B7=1,((I7*F7)/100),IF(B7=2,((I7*F7)/100)*2,IF(B7=3,((I7*F7)/100)*3,))),IF($I$2=Dataark!$B$22,IF(B7=1,I7,IF(B7=2,I7*2,IF(B7=3,I7*3))))))</f>
        <v/>
      </c>
      <c r="N7" s="2">
        <f>IF($D7="",0,IF(OR($C7=Dataark!$B$9,$C7=Dataark!$B$15),IF($H7=Dataark!$B$19,IMPRODUCT(COMPLEX($F7*$G7,$F7*(SIN(ACOS($G7))),"j"),Dataark!$E$5),IF($H7=Dataark!$B$18,IMPRODUCT(COMPLEX($F7*$G7,-$F7*(SIN(ACOS($G7))),"j"),Dataark!$E$5),"")),IF($C7=Dataark!$B$12,IF($H7=Dataark!$B$19,IMPRODUCT(COMPLEX($F7*$G7,$F7*(SIN(ACOS($G7))),"j"),Dataark!$E$4),IF($H7=Dataark!$B$18,IMPRODUCT(COMPLEX($F7*$G7,-$F7*(SIN(ACOS($G7))),"j"),Dataark!$E$4),"")),IF($C7=Dataark!$B$14,IF($H7=Dataark!$B$19,IMPRODUCT(COMPLEX($F7*$G7,$F7*(SIN(ACOS($G7))),"j"),Dataark!$E$3),IF($H7=Dataark!$B$18,IMPRODUCT(COMPLEX($F7*$G7,-$F7*(SIN(ACOS($G7))),"j"),Dataark!$E$3),)),))))</f>
        <v>0</v>
      </c>
      <c r="O7" s="2">
        <f>IF($D7="",0,IF(OR($C7=Dataark!$B$10,$C7=Dataark!$B$15),IF($H7=Dataark!$B$19,IMPRODUCT(COMPLEX($F7*$G7,$F7*(SIN(ACOS($G7))),"j"),Dataark!$F$4),IF($H7=Dataark!$B$18,IMPRODUCT(COMPLEX($F7*$G7,-$F7*(SIN(ACOS($G7))),"j"),Dataark!$F$4),"")),IF($C7=Dataark!$B$12,IF($H7=Dataark!$B$19,IMPRODUCT(COMPLEX($F7*$G7,$F7*(SIN(ACOS($G7))),"j"),Dataark!$F$5),IF($H7=Dataark!$B$18,IMPRODUCT(COMPLEX($F7*$G7,-$F7*(SIN(ACOS($G7))),"j"),Dataark!$F$5),"")),IF($C7=Dataark!$B$13,IF($H7=Dataark!$B$19,IMPRODUCT(COMPLEX($F7*$G7,$F7*(SIN(ACOS($G7))),"j"),Dataark!$F$3),IF($H7=Dataark!$B$18,IMPRODUCT(COMPLEX($F7*$G7,-$F7*(SIN(ACOS($G7))),"j"),Dataark!$F$3),)),))))</f>
        <v>0</v>
      </c>
      <c r="P7" s="2">
        <f>IF($D7="",0,IF(OR($C7=Dataark!$B$11,$C7=Dataark!$B$15),IF($H7=Dataark!$B$19,IMPRODUCT(COMPLEX($F7*$G7,$F7*(SIN(ACOS($G7))),"j"),Dataark!$G$3),IF($H7=Dataark!$B$18,IMPRODUCT(COMPLEX($F7*$G7,-$F7*(SIN(ACOS($G7))),"j"),Dataark!$G$3),"")),IF($C7=Dataark!$B$13,IF($H7=Dataark!$B$19,IMPRODUCT(COMPLEX($F7*$G7,$F7*(SIN(ACOS($G7))),"j"),Dataark!$G$4),IF($H7=Dataark!$B$18,IMPRODUCT(COMPLEX($F7*$G7,-$F7*(SIN(ACOS($G7))),"j"),Dataark!$G$4),"")),IF($C7=Dataark!$B$14,IF($H7=Dataark!$B$19,IMPRODUCT(COMPLEX($F7*$G7,$F7*(SIN(ACOS($G7))),"j"),Dataark!$G$5),IF($H7=Dataark!$B$18,IMPRODUCT(COMPLEX($F7*$G7,-$F7*(SIN(ACOS($G7))),"j"),Dataark!$G$5),)),))))</f>
        <v>0</v>
      </c>
      <c r="Q7">
        <f t="shared" si="4"/>
        <v>0</v>
      </c>
    </row>
    <row r="8" spans="1:19" x14ac:dyDescent="0.25">
      <c r="A8" s="10"/>
      <c r="B8" s="9" t="str">
        <f>IF(C8="","",VLOOKUP(C8,Dataark!$B$9:$C$15,2,FALSE))</f>
        <v/>
      </c>
      <c r="C8" s="10"/>
      <c r="D8" s="21" t="s">
        <v>12</v>
      </c>
      <c r="E8" s="22"/>
      <c r="F8" s="46" t="str">
        <f t="shared" si="0"/>
        <v/>
      </c>
      <c r="G8" s="10"/>
      <c r="H8" s="10" t="s">
        <v>25</v>
      </c>
      <c r="I8" s="10"/>
      <c r="J8" s="8" t="str">
        <f t="shared" si="1"/>
        <v/>
      </c>
      <c r="K8" s="8" t="str">
        <f t="shared" si="2"/>
        <v/>
      </c>
      <c r="L8" s="8" t="str">
        <f t="shared" si="3"/>
        <v/>
      </c>
      <c r="M8" s="8" t="str">
        <f>IF(I8="","",IF($I$2=Dataark!$B$21,IF(B8=1,((I8*F8)/100),IF(B8=2,((I8*F8)/100)*2,IF(B8=3,((I8*F8)/100)*3,))),IF($I$2=Dataark!$B$22,IF(B8=1,I8,IF(B8=2,I8*2,IF(B8=3,I8*3))))))</f>
        <v/>
      </c>
      <c r="N8" s="2">
        <f>IF($D8="",0,IF(OR($C8=Dataark!$B$9,$C8=Dataark!$B$15),IF($H8=Dataark!$B$19,IMPRODUCT(COMPLEX($F8*$G8,$F8*(SIN(ACOS($G8))),"j"),Dataark!$E$5),IF($H8=Dataark!$B$18,IMPRODUCT(COMPLEX($F8*$G8,-$F8*(SIN(ACOS($G8))),"j"),Dataark!$E$5),"")),IF($C8=Dataark!$B$12,IF($H8=Dataark!$B$19,IMPRODUCT(COMPLEX($F8*$G8,$F8*(SIN(ACOS($G8))),"j"),Dataark!$E$4),IF($H8=Dataark!$B$18,IMPRODUCT(COMPLEX($F8*$G8,-$F8*(SIN(ACOS($G8))),"j"),Dataark!$E$4),"")),IF($C8=Dataark!$B$14,IF($H8=Dataark!$B$19,IMPRODUCT(COMPLEX($F8*$G8,$F8*(SIN(ACOS($G8))),"j"),Dataark!$E$3),IF($H8=Dataark!$B$18,IMPRODUCT(COMPLEX($F8*$G8,-$F8*(SIN(ACOS($G8))),"j"),Dataark!$E$3),)),))))</f>
        <v>0</v>
      </c>
      <c r="O8" s="2">
        <f>IF($D8="",0,IF(OR($C8=Dataark!$B$10,$C8=Dataark!$B$15),IF($H8=Dataark!$B$19,IMPRODUCT(COMPLEX($F8*$G8,$F8*(SIN(ACOS($G8))),"j"),Dataark!$F$4),IF($H8=Dataark!$B$18,IMPRODUCT(COMPLEX($F8*$G8,-$F8*(SIN(ACOS($G8))),"j"),Dataark!$F$4),"")),IF($C8=Dataark!$B$12,IF($H8=Dataark!$B$19,IMPRODUCT(COMPLEX($F8*$G8,$F8*(SIN(ACOS($G8))),"j"),Dataark!$F$5),IF($H8=Dataark!$B$18,IMPRODUCT(COMPLEX($F8*$G8,-$F8*(SIN(ACOS($G8))),"j"),Dataark!$F$5),"")),IF($C8=Dataark!$B$13,IF($H8=Dataark!$B$19,IMPRODUCT(COMPLEX($F8*$G8,$F8*(SIN(ACOS($G8))),"j"),Dataark!$F$3),IF($H8=Dataark!$B$18,IMPRODUCT(COMPLEX($F8*$G8,-$F8*(SIN(ACOS($G8))),"j"),Dataark!$F$3),)),))))</f>
        <v>0</v>
      </c>
      <c r="P8" s="2">
        <f>IF($D8="",0,IF(OR($C8=Dataark!$B$11,$C8=Dataark!$B$15),IF($H8=Dataark!$B$19,IMPRODUCT(COMPLEX($F8*$G8,$F8*(SIN(ACOS($G8))),"j"),Dataark!$G$3),IF($H8=Dataark!$B$18,IMPRODUCT(COMPLEX($F8*$G8,-$F8*(SIN(ACOS($G8))),"j"),Dataark!$G$3),"")),IF($C8=Dataark!$B$13,IF($H8=Dataark!$B$19,IMPRODUCT(COMPLEX($F8*$G8,$F8*(SIN(ACOS($G8))),"j"),Dataark!$G$4),IF($H8=Dataark!$B$18,IMPRODUCT(COMPLEX($F8*$G8,-$F8*(SIN(ACOS($G8))),"j"),Dataark!$G$4),"")),IF($C8=Dataark!$B$14,IF($H8=Dataark!$B$19,IMPRODUCT(COMPLEX($F8*$G8,$F8*(SIN(ACOS($G8))),"j"),Dataark!$G$5),IF($H8=Dataark!$B$18,IMPRODUCT(COMPLEX($F8*$G8,-$F8*(SIN(ACOS($G8))),"j"),Dataark!$G$5),)),))))</f>
        <v>0</v>
      </c>
      <c r="Q8">
        <f t="shared" si="4"/>
        <v>0</v>
      </c>
    </row>
    <row r="9" spans="1:19" x14ac:dyDescent="0.25">
      <c r="A9" s="10"/>
      <c r="B9" s="9" t="str">
        <f>IF(C9="","",VLOOKUP(C9,Dataark!$B$9:$C$15,2,FALSE))</f>
        <v/>
      </c>
      <c r="C9" s="10"/>
      <c r="D9" s="21" t="s">
        <v>12</v>
      </c>
      <c r="E9" s="22"/>
      <c r="F9" s="46" t="str">
        <f t="shared" si="0"/>
        <v/>
      </c>
      <c r="G9" s="10"/>
      <c r="H9" s="10" t="s">
        <v>25</v>
      </c>
      <c r="I9" s="10"/>
      <c r="J9" s="8" t="str">
        <f t="shared" si="1"/>
        <v/>
      </c>
      <c r="K9" s="8" t="str">
        <f t="shared" si="2"/>
        <v/>
      </c>
      <c r="L9" s="8" t="str">
        <f t="shared" si="3"/>
        <v/>
      </c>
      <c r="M9" s="8" t="str">
        <f>IF(I9="","",IF($I$2=Dataark!$B$21,IF(B9=1,((I9*F9)/100),IF(B9=2,((I9*F9)/100)*2,IF(B9=3,((I9*F9)/100)*3,))),IF($I$2=Dataark!$B$22,IF(B9=1,I9,IF(B9=2,I9*2,IF(B9=3,I9*3))))))</f>
        <v/>
      </c>
      <c r="N9" s="2">
        <f>IF($D9="",0,IF(OR($C9=Dataark!$B$9,$C9=Dataark!$B$15),IF($H9=Dataark!$B$19,IMPRODUCT(COMPLEX($F9*$G9,$F9*(SIN(ACOS($G9))),"j"),Dataark!$E$5),IF($H9=Dataark!$B$18,IMPRODUCT(COMPLEX($F9*$G9,-$F9*(SIN(ACOS($G9))),"j"),Dataark!$E$5),"")),IF($C9=Dataark!$B$12,IF($H9=Dataark!$B$19,IMPRODUCT(COMPLEX($F9*$G9,$F9*(SIN(ACOS($G9))),"j"),Dataark!$E$4),IF($H9=Dataark!$B$18,IMPRODUCT(COMPLEX($F9*$G9,-$F9*(SIN(ACOS($G9))),"j"),Dataark!$E$4),"")),IF($C9=Dataark!$B$14,IF($H9=Dataark!$B$19,IMPRODUCT(COMPLEX($F9*$G9,$F9*(SIN(ACOS($G9))),"j"),Dataark!$E$3),IF($H9=Dataark!$B$18,IMPRODUCT(COMPLEX($F9*$G9,-$F9*(SIN(ACOS($G9))),"j"),Dataark!$E$3),)),))))</f>
        <v>0</v>
      </c>
      <c r="O9" s="2">
        <f>IF($D9="",0,IF(OR($C9=Dataark!$B$10,$C9=Dataark!$B$15),IF($H9=Dataark!$B$19,IMPRODUCT(COMPLEX($F9*$G9,$F9*(SIN(ACOS($G9))),"j"),Dataark!$F$4),IF($H9=Dataark!$B$18,IMPRODUCT(COMPLEX($F9*$G9,-$F9*(SIN(ACOS($G9))),"j"),Dataark!$F$4),"")),IF($C9=Dataark!$B$12,IF($H9=Dataark!$B$19,IMPRODUCT(COMPLEX($F9*$G9,$F9*(SIN(ACOS($G9))),"j"),Dataark!$F$5),IF($H9=Dataark!$B$18,IMPRODUCT(COMPLEX($F9*$G9,-$F9*(SIN(ACOS($G9))),"j"),Dataark!$F$5),"")),IF($C9=Dataark!$B$13,IF($H9=Dataark!$B$19,IMPRODUCT(COMPLEX($F9*$G9,$F9*(SIN(ACOS($G9))),"j"),Dataark!$F$3),IF($H9=Dataark!$B$18,IMPRODUCT(COMPLEX($F9*$G9,-$F9*(SIN(ACOS($G9))),"j"),Dataark!$F$3),)),))))</f>
        <v>0</v>
      </c>
      <c r="P9" s="2">
        <f>IF($D9="",0,IF(OR($C9=Dataark!$B$11,$C9=Dataark!$B$15),IF($H9=Dataark!$B$19,IMPRODUCT(COMPLEX($F9*$G9,$F9*(SIN(ACOS($G9))),"j"),Dataark!$G$3),IF($H9=Dataark!$B$18,IMPRODUCT(COMPLEX($F9*$G9,-$F9*(SIN(ACOS($G9))),"j"),Dataark!$G$3),"")),IF($C9=Dataark!$B$13,IF($H9=Dataark!$B$19,IMPRODUCT(COMPLEX($F9*$G9,$F9*(SIN(ACOS($G9))),"j"),Dataark!$G$4),IF($H9=Dataark!$B$18,IMPRODUCT(COMPLEX($F9*$G9,-$F9*(SIN(ACOS($G9))),"j"),Dataark!$G$4),"")),IF($C9=Dataark!$B$14,IF($H9=Dataark!$B$19,IMPRODUCT(COMPLEX($F9*$G9,$F9*(SIN(ACOS($G9))),"j"),Dataark!$G$5),IF($H9=Dataark!$B$18,IMPRODUCT(COMPLEX($F9*$G9,-$F9*(SIN(ACOS($G9))),"j"),Dataark!$G$5),)),))))</f>
        <v>0</v>
      </c>
      <c r="Q9">
        <f t="shared" si="4"/>
        <v>0</v>
      </c>
    </row>
    <row r="10" spans="1:19" x14ac:dyDescent="0.25">
      <c r="A10" s="10"/>
      <c r="B10" s="9" t="str">
        <f>IF(C10="","",VLOOKUP(C10,Dataark!$B$9:$C$15,2,FALSE))</f>
        <v/>
      </c>
      <c r="C10" s="10"/>
      <c r="D10" s="21"/>
      <c r="E10" s="22"/>
      <c r="F10" s="46" t="str">
        <f t="shared" si="0"/>
        <v/>
      </c>
      <c r="G10" s="10"/>
      <c r="H10" s="10"/>
      <c r="I10" s="10"/>
      <c r="J10" s="8" t="str">
        <f t="shared" si="1"/>
        <v/>
      </c>
      <c r="K10" s="8" t="str">
        <f t="shared" si="2"/>
        <v/>
      </c>
      <c r="L10" s="8" t="str">
        <f t="shared" si="3"/>
        <v/>
      </c>
      <c r="M10" s="8" t="str">
        <f>IF(I10="","",IF($I$2=Dataark!$B$21,IF(B10=1,((I10*F10)/100),IF(B10=2,((I10*F10)/100)*2,IF(B10=3,((I10*F10)/100)*3,))),IF($I$2=Dataark!$B$22,IF(B10=1,I10,IF(B10=2,I10*2,IF(B10=3,I10*3))))))</f>
        <v/>
      </c>
      <c r="N10" s="2">
        <f>IF($D10="",0,IF(OR($C10=Dataark!$B$9,$C10=Dataark!$B$15),IF($H10=Dataark!$B$19,IMPRODUCT(COMPLEX($F10*$G10,$F10*(SIN(ACOS($G10))),"j"),Dataark!$E$5),IF($H10=Dataark!$B$18,IMPRODUCT(COMPLEX($F10*$G10,-$F10*(SIN(ACOS($G10))),"j"),Dataark!$E$5),"")),IF($C10=Dataark!$B$12,IF($H10=Dataark!$B$19,IMPRODUCT(COMPLEX($F10*$G10,$F10*(SIN(ACOS($G10))),"j"),Dataark!$E$4),IF($H10=Dataark!$B$18,IMPRODUCT(COMPLEX($F10*$G10,-$F10*(SIN(ACOS($G10))),"j"),Dataark!$E$4),"")),IF($C10=Dataark!$B$14,IF($H10=Dataark!$B$19,IMPRODUCT(COMPLEX($F10*$G10,$F10*(SIN(ACOS($G10))),"j"),Dataark!$E$3),IF($H10=Dataark!$B$18,IMPRODUCT(COMPLEX($F10*$G10,-$F10*(SIN(ACOS($G10))),"j"),Dataark!$E$3),)),))))</f>
        <v>0</v>
      </c>
      <c r="O10" s="2">
        <f>IF($D10="",0,IF(OR($C10=Dataark!$B$10,$C10=Dataark!$B$15),IF($H10=Dataark!$B$19,IMPRODUCT(COMPLEX($F10*$G10,$F10*(SIN(ACOS($G10))),"j"),Dataark!$F$4),IF($H10=Dataark!$B$18,IMPRODUCT(COMPLEX($F10*$G10,-$F10*(SIN(ACOS($G10))),"j"),Dataark!$F$4),"")),IF($C10=Dataark!$B$12,IF($H10=Dataark!$B$19,IMPRODUCT(COMPLEX($F10*$G10,$F10*(SIN(ACOS($G10))),"j"),Dataark!$F$5),IF($H10=Dataark!$B$18,IMPRODUCT(COMPLEX($F10*$G10,-$F10*(SIN(ACOS($G10))),"j"),Dataark!$F$5),"")),IF($C10=Dataark!$B$13,IF($H10=Dataark!$B$19,IMPRODUCT(COMPLEX($F10*$G10,$F10*(SIN(ACOS($G10))),"j"),Dataark!$F$3),IF($H10=Dataark!$B$18,IMPRODUCT(COMPLEX($F10*$G10,-$F10*(SIN(ACOS($G10))),"j"),Dataark!$F$3),)),))))</f>
        <v>0</v>
      </c>
      <c r="P10" s="2">
        <f>IF($D10="",0,IF(OR($C10=Dataark!$B$11,$C10=Dataark!$B$15),IF($H10=Dataark!$B$19,IMPRODUCT(COMPLEX($F10*$G10,$F10*(SIN(ACOS($G10))),"j"),Dataark!$G$3),IF($H10=Dataark!$B$18,IMPRODUCT(COMPLEX($F10*$G10,-$F10*(SIN(ACOS($G10))),"j"),Dataark!$G$3),"")),IF($C10=Dataark!$B$13,IF($H10=Dataark!$B$19,IMPRODUCT(COMPLEX($F10*$G10,$F10*(SIN(ACOS($G10))),"j"),Dataark!$G$4),IF($H10=Dataark!$B$18,IMPRODUCT(COMPLEX($F10*$G10,-$F10*(SIN(ACOS($G10))),"j"),Dataark!$G$4),"")),IF($C10=Dataark!$B$14,IF($H10=Dataark!$B$19,IMPRODUCT(COMPLEX($F10*$G10,$F10*(SIN(ACOS($G10))),"j"),Dataark!$G$5),IF($H10=Dataark!$B$18,IMPRODUCT(COMPLEX($F10*$G10,-$F10*(SIN(ACOS($G10))),"j"),Dataark!$G$5),)),))))</f>
        <v>0</v>
      </c>
      <c r="Q10">
        <f t="shared" si="4"/>
        <v>0</v>
      </c>
    </row>
    <row r="11" spans="1:19" x14ac:dyDescent="0.25">
      <c r="A11" s="10"/>
      <c r="B11" s="9" t="str">
        <f>IF(C11="","",VLOOKUP(C11,Dataark!$B$9:$C$15,2,FALSE))</f>
        <v/>
      </c>
      <c r="C11" s="10"/>
      <c r="D11" s="21"/>
      <c r="E11" s="22"/>
      <c r="F11" s="46" t="str">
        <f t="shared" si="0"/>
        <v/>
      </c>
      <c r="G11" s="10"/>
      <c r="H11" s="10"/>
      <c r="I11" s="10"/>
      <c r="J11" s="8" t="str">
        <f t="shared" si="1"/>
        <v/>
      </c>
      <c r="K11" s="8" t="str">
        <f t="shared" si="2"/>
        <v/>
      </c>
      <c r="L11" s="8" t="str">
        <f t="shared" si="3"/>
        <v/>
      </c>
      <c r="M11" s="8" t="str">
        <f>IF(I11="","",IF($I$2=Dataark!$B$21,IF(B11=1,((I11*F11)/100),IF(B11=2,((I11*F11)/100)*2,IF(B11=3,((I11*F11)/100)*3,))),IF($I$2=Dataark!$B$22,IF(B11=1,I11,IF(B11=2,I11*2,IF(B11=3,I11*3))))))</f>
        <v/>
      </c>
      <c r="N11" s="2">
        <f>IF($D11="",0,IF(OR($C11=Dataark!$B$9,$C11=Dataark!$B$15),IF($H11=Dataark!$B$19,IMPRODUCT(COMPLEX($F11*$G11,$F11*(SIN(ACOS($G11))),"j"),Dataark!$E$5),IF($H11=Dataark!$B$18,IMPRODUCT(COMPLEX($F11*$G11,-$F11*(SIN(ACOS($G11))),"j"),Dataark!$E$5),"")),IF($C11=Dataark!$B$12,IF($H11=Dataark!$B$19,IMPRODUCT(COMPLEX($F11*$G11,$F11*(SIN(ACOS($G11))),"j"),Dataark!$E$4),IF($H11=Dataark!$B$18,IMPRODUCT(COMPLEX($F11*$G11,-$F11*(SIN(ACOS($G11))),"j"),Dataark!$E$4),"")),IF($C11=Dataark!$B$14,IF($H11=Dataark!$B$19,IMPRODUCT(COMPLEX($F11*$G11,$F11*(SIN(ACOS($G11))),"j"),Dataark!$E$3),IF($H11=Dataark!$B$18,IMPRODUCT(COMPLEX($F11*$G11,-$F11*(SIN(ACOS($G11))),"j"),Dataark!$E$3),)),))))</f>
        <v>0</v>
      </c>
      <c r="O11" s="2">
        <f>IF($D11="",0,IF(OR($C11=Dataark!$B$10,$C11=Dataark!$B$15),IF($H11=Dataark!$B$19,IMPRODUCT(COMPLEX($F11*$G11,$F11*(SIN(ACOS($G11))),"j"),Dataark!$F$4),IF($H11=Dataark!$B$18,IMPRODUCT(COMPLEX($F11*$G11,-$F11*(SIN(ACOS($G11))),"j"),Dataark!$F$4),"")),IF($C11=Dataark!$B$12,IF($H11=Dataark!$B$19,IMPRODUCT(COMPLEX($F11*$G11,$F11*(SIN(ACOS($G11))),"j"),Dataark!$F$5),IF($H11=Dataark!$B$18,IMPRODUCT(COMPLEX($F11*$G11,-$F11*(SIN(ACOS($G11))),"j"),Dataark!$F$5),"")),IF($C11=Dataark!$B$13,IF($H11=Dataark!$B$19,IMPRODUCT(COMPLEX($F11*$G11,$F11*(SIN(ACOS($G11))),"j"),Dataark!$F$3),IF($H11=Dataark!$B$18,IMPRODUCT(COMPLEX($F11*$G11,-$F11*(SIN(ACOS($G11))),"j"),Dataark!$F$3),)),))))</f>
        <v>0</v>
      </c>
      <c r="P11" s="2">
        <f>IF($D11="",0,IF(OR($C11=Dataark!$B$11,$C11=Dataark!$B$15),IF($H11=Dataark!$B$19,IMPRODUCT(COMPLEX($F11*$G11,$F11*(SIN(ACOS($G11))),"j"),Dataark!$G$3),IF($H11=Dataark!$B$18,IMPRODUCT(COMPLEX($F11*$G11,-$F11*(SIN(ACOS($G11))),"j"),Dataark!$G$3),"")),IF($C11=Dataark!$B$13,IF($H11=Dataark!$B$19,IMPRODUCT(COMPLEX($F11*$G11,$F11*(SIN(ACOS($G11))),"j"),Dataark!$G$4),IF($H11=Dataark!$B$18,IMPRODUCT(COMPLEX($F11*$G11,-$F11*(SIN(ACOS($G11))),"j"),Dataark!$G$4),"")),IF($C11=Dataark!$B$14,IF($H11=Dataark!$B$19,IMPRODUCT(COMPLEX($F11*$G11,$F11*(SIN(ACOS($G11))),"j"),Dataark!$G$5),IF($H11=Dataark!$B$18,IMPRODUCT(COMPLEX($F11*$G11,-$F11*(SIN(ACOS($G11))),"j"),Dataark!$G$5),)),))))</f>
        <v>0</v>
      </c>
      <c r="Q11">
        <f t="shared" si="4"/>
        <v>0</v>
      </c>
    </row>
    <row r="12" spans="1:19" x14ac:dyDescent="0.25">
      <c r="A12" s="10"/>
      <c r="B12" s="9" t="str">
        <f>IF(C12="","",VLOOKUP(C12,Dataark!$B$9:$C$15,2,FALSE))</f>
        <v/>
      </c>
      <c r="C12" s="10"/>
      <c r="D12" s="21"/>
      <c r="E12" s="22"/>
      <c r="F12" s="46" t="str">
        <f t="shared" si="0"/>
        <v/>
      </c>
      <c r="G12" s="10"/>
      <c r="H12" s="10"/>
      <c r="I12" s="10"/>
      <c r="J12" s="8" t="str">
        <f t="shared" si="1"/>
        <v/>
      </c>
      <c r="K12" s="8" t="str">
        <f t="shared" si="2"/>
        <v/>
      </c>
      <c r="L12" s="8" t="str">
        <f t="shared" si="3"/>
        <v/>
      </c>
      <c r="M12" s="8" t="str">
        <f>IF(I12="","",IF($I$2=Dataark!$B$21,IF(B12=1,((I12*F12)/100),IF(B12=2,((I12*F12)/100)*2,IF(B12=3,((I12*F12)/100)*3,))),IF($I$2=Dataark!$B$22,IF(B12=1,I12,IF(B12=2,I12*2,IF(B12=3,I12*3))))))</f>
        <v/>
      </c>
      <c r="N12" s="2">
        <f>IF($D12="",0,IF(OR($C12=Dataark!$B$9,$C12=Dataark!$B$15),IF($H12=Dataark!$B$19,IMPRODUCT(COMPLEX($F12*$G12,$F12*(SIN(ACOS($G12))),"j"),Dataark!$E$5),IF($H12=Dataark!$B$18,IMPRODUCT(COMPLEX($F12*$G12,-$F12*(SIN(ACOS($G12))),"j"),Dataark!$E$5),"")),IF($C12=Dataark!$B$12,IF($H12=Dataark!$B$19,IMPRODUCT(COMPLEX($F12*$G12,$F12*(SIN(ACOS($G12))),"j"),Dataark!$E$4),IF($H12=Dataark!$B$18,IMPRODUCT(COMPLEX($F12*$G12,-$F12*(SIN(ACOS($G12))),"j"),Dataark!$E$4),"")),IF($C12=Dataark!$B$14,IF($H12=Dataark!$B$19,IMPRODUCT(COMPLEX($F12*$G12,$F12*(SIN(ACOS($G12))),"j"),Dataark!$E$3),IF($H12=Dataark!$B$18,IMPRODUCT(COMPLEX($F12*$G12,-$F12*(SIN(ACOS($G12))),"j"),Dataark!$E$3),)),))))</f>
        <v>0</v>
      </c>
      <c r="O12" s="2">
        <f>IF($D12="",0,IF(OR($C12=Dataark!$B$10,$C12=Dataark!$B$15),IF($H12=Dataark!$B$19,IMPRODUCT(COMPLEX($F12*$G12,$F12*(SIN(ACOS($G12))),"j"),Dataark!$F$4),IF($H12=Dataark!$B$18,IMPRODUCT(COMPLEX($F12*$G12,-$F12*(SIN(ACOS($G12))),"j"),Dataark!$F$4),"")),IF($C12=Dataark!$B$12,IF($H12=Dataark!$B$19,IMPRODUCT(COMPLEX($F12*$G12,$F12*(SIN(ACOS($G12))),"j"),Dataark!$F$5),IF($H12=Dataark!$B$18,IMPRODUCT(COMPLEX($F12*$G12,-$F12*(SIN(ACOS($G12))),"j"),Dataark!$F$5),"")),IF($C12=Dataark!$B$13,IF($H12=Dataark!$B$19,IMPRODUCT(COMPLEX($F12*$G12,$F12*(SIN(ACOS($G12))),"j"),Dataark!$F$3),IF($H12=Dataark!$B$18,IMPRODUCT(COMPLEX($F12*$G12,-$F12*(SIN(ACOS($G12))),"j"),Dataark!$F$3),)),))))</f>
        <v>0</v>
      </c>
      <c r="P12" s="2">
        <f>IF($D12="",0,IF(OR($C12=Dataark!$B$11,$C12=Dataark!$B$15),IF($H12=Dataark!$B$19,IMPRODUCT(COMPLEX($F12*$G12,$F12*(SIN(ACOS($G12))),"j"),Dataark!$G$3),IF($H12=Dataark!$B$18,IMPRODUCT(COMPLEX($F12*$G12,-$F12*(SIN(ACOS($G12))),"j"),Dataark!$G$3),"")),IF($C12=Dataark!$B$13,IF($H12=Dataark!$B$19,IMPRODUCT(COMPLEX($F12*$G12,$F12*(SIN(ACOS($G12))),"j"),Dataark!$G$4),IF($H12=Dataark!$B$18,IMPRODUCT(COMPLEX($F12*$G12,-$F12*(SIN(ACOS($G12))),"j"),Dataark!$G$4),"")),IF($C12=Dataark!$B$14,IF($H12=Dataark!$B$19,IMPRODUCT(COMPLEX($F12*$G12,$F12*(SIN(ACOS($G12))),"j"),Dataark!$G$5),IF($H12=Dataark!$B$18,IMPRODUCT(COMPLEX($F12*$G12,-$F12*(SIN(ACOS($G12))),"j"),Dataark!$G$5),)),))))</f>
        <v>0</v>
      </c>
      <c r="Q12">
        <f t="shared" si="4"/>
        <v>0</v>
      </c>
    </row>
    <row r="13" spans="1:19" x14ac:dyDescent="0.25">
      <c r="A13" s="10"/>
      <c r="B13" s="9" t="str">
        <f>IF(C13="","",VLOOKUP(C13,Dataark!$B$9:$C$15,2,FALSE))</f>
        <v/>
      </c>
      <c r="C13" s="10"/>
      <c r="D13" s="21"/>
      <c r="E13" s="22"/>
      <c r="F13" s="46" t="str">
        <f t="shared" si="0"/>
        <v/>
      </c>
      <c r="G13" s="10"/>
      <c r="H13" s="10"/>
      <c r="I13" s="10"/>
      <c r="J13" s="8" t="str">
        <f t="shared" si="1"/>
        <v/>
      </c>
      <c r="K13" s="8" t="str">
        <f t="shared" si="2"/>
        <v/>
      </c>
      <c r="L13" s="8" t="str">
        <f t="shared" si="3"/>
        <v/>
      </c>
      <c r="M13" s="8" t="str">
        <f>IF(I13="","",IF($I$2=Dataark!$B$21,IF(B13=1,((I13*F13)/100),IF(B13=2,((I13*F13)/100)*2,IF(B13=3,((I13*F13)/100)*3,))),IF($I$2=Dataark!$B$22,IF(B13=1,I13,IF(B13=2,I13*2,IF(B13=3,I13*3))))))</f>
        <v/>
      </c>
      <c r="N13" s="2">
        <f>IF($D13="",0,IF(OR($C13=Dataark!$B$9,$C13=Dataark!$B$15),IF($H13=Dataark!$B$19,IMPRODUCT(COMPLEX($F13*$G13,$F13*(SIN(ACOS($G13))),"j"),Dataark!$E$5),IF($H13=Dataark!$B$18,IMPRODUCT(COMPLEX($F13*$G13,-$F13*(SIN(ACOS($G13))),"j"),Dataark!$E$5),"")),IF($C13=Dataark!$B$12,IF($H13=Dataark!$B$19,IMPRODUCT(COMPLEX($F13*$G13,$F13*(SIN(ACOS($G13))),"j"),Dataark!$E$4),IF($H13=Dataark!$B$18,IMPRODUCT(COMPLEX($F13*$G13,-$F13*(SIN(ACOS($G13))),"j"),Dataark!$E$4),"")),IF($C13=Dataark!$B$14,IF($H13=Dataark!$B$19,IMPRODUCT(COMPLEX($F13*$G13,$F13*(SIN(ACOS($G13))),"j"),Dataark!$E$3),IF($H13=Dataark!$B$18,IMPRODUCT(COMPLEX($F13*$G13,-$F13*(SIN(ACOS($G13))),"j"),Dataark!$E$3),)),))))</f>
        <v>0</v>
      </c>
      <c r="O13" s="2">
        <f>IF($D13="",0,IF(OR($C13=Dataark!$B$10,$C13=Dataark!$B$15),IF($H13=Dataark!$B$19,IMPRODUCT(COMPLEX($F13*$G13,$F13*(SIN(ACOS($G13))),"j"),Dataark!$F$4),IF($H13=Dataark!$B$18,IMPRODUCT(COMPLEX($F13*$G13,-$F13*(SIN(ACOS($G13))),"j"),Dataark!$F$4),"")),IF($C13=Dataark!$B$12,IF($H13=Dataark!$B$19,IMPRODUCT(COMPLEX($F13*$G13,$F13*(SIN(ACOS($G13))),"j"),Dataark!$F$5),IF($H13=Dataark!$B$18,IMPRODUCT(COMPLEX($F13*$G13,-$F13*(SIN(ACOS($G13))),"j"),Dataark!$F$5),"")),IF($C13=Dataark!$B$13,IF($H13=Dataark!$B$19,IMPRODUCT(COMPLEX($F13*$G13,$F13*(SIN(ACOS($G13))),"j"),Dataark!$F$3),IF($H13=Dataark!$B$18,IMPRODUCT(COMPLEX($F13*$G13,-$F13*(SIN(ACOS($G13))),"j"),Dataark!$F$3),)),))))</f>
        <v>0</v>
      </c>
      <c r="P13" s="2">
        <f>IF($D13="",0,IF(OR($C13=Dataark!$B$11,$C13=Dataark!$B$15),IF($H13=Dataark!$B$19,IMPRODUCT(COMPLEX($F13*$G13,$F13*(SIN(ACOS($G13))),"j"),Dataark!$G$3),IF($H13=Dataark!$B$18,IMPRODUCT(COMPLEX($F13*$G13,-$F13*(SIN(ACOS($G13))),"j"),Dataark!$G$3),"")),IF($C13=Dataark!$B$13,IF($H13=Dataark!$B$19,IMPRODUCT(COMPLEX($F13*$G13,$F13*(SIN(ACOS($G13))),"j"),Dataark!$G$4),IF($H13=Dataark!$B$18,IMPRODUCT(COMPLEX($F13*$G13,-$F13*(SIN(ACOS($G13))),"j"),Dataark!$G$4),"")),IF($C13=Dataark!$B$14,IF($H13=Dataark!$B$19,IMPRODUCT(COMPLEX($F13*$G13,$F13*(SIN(ACOS($G13))),"j"),Dataark!$G$5),IF($H13=Dataark!$B$18,IMPRODUCT(COMPLEX($F13*$G13,-$F13*(SIN(ACOS($G13))),"j"),Dataark!$G$5),)),))))</f>
        <v>0</v>
      </c>
      <c r="Q13">
        <f t="shared" si="4"/>
        <v>0</v>
      </c>
    </row>
    <row r="14" spans="1:19" x14ac:dyDescent="0.25">
      <c r="A14" s="10"/>
      <c r="B14" s="9" t="str">
        <f>IF(C14="","",VLOOKUP(C14,Dataark!$B$9:$C$15,2,FALSE))</f>
        <v/>
      </c>
      <c r="C14" s="10"/>
      <c r="D14" s="21"/>
      <c r="E14" s="22"/>
      <c r="F14" s="46" t="str">
        <f t="shared" si="0"/>
        <v/>
      </c>
      <c r="G14" s="10"/>
      <c r="H14" s="10"/>
      <c r="I14" s="10"/>
      <c r="J14" s="8" t="str">
        <f t="shared" si="1"/>
        <v/>
      </c>
      <c r="K14" s="8" t="str">
        <f t="shared" si="2"/>
        <v/>
      </c>
      <c r="L14" s="8" t="str">
        <f t="shared" si="3"/>
        <v/>
      </c>
      <c r="M14" s="8" t="str">
        <f>IF(I14="","",IF($I$2=Dataark!$B$21,IF(B14=1,((I14*F14)/100),IF(B14=2,((I14*F14)/100)*2,IF(B14=3,((I14*F14)/100)*3,))),IF($I$2=Dataark!$B$22,IF(B14=1,I14,IF(B14=2,I14*2,IF(B14=3,I14*3))))))</f>
        <v/>
      </c>
      <c r="N14" s="2">
        <f>IF($D14="",0,IF(OR($C14=Dataark!$B$9,$C14=Dataark!$B$15),IF($H14=Dataark!$B$19,IMPRODUCT(COMPLEX($F14*$G14,$F14*(SIN(ACOS($G14))),"j"),Dataark!$E$5),IF($H14=Dataark!$B$18,IMPRODUCT(COMPLEX($F14*$G14,-$F14*(SIN(ACOS($G14))),"j"),Dataark!$E$5),"")),IF($C14=Dataark!$B$12,IF($H14=Dataark!$B$19,IMPRODUCT(COMPLEX($F14*$G14,$F14*(SIN(ACOS($G14))),"j"),Dataark!$E$4),IF($H14=Dataark!$B$18,IMPRODUCT(COMPLEX($F14*$G14,-$F14*(SIN(ACOS($G14))),"j"),Dataark!$E$4),"")),IF($C14=Dataark!$B$14,IF($H14=Dataark!$B$19,IMPRODUCT(COMPLEX($F14*$G14,$F14*(SIN(ACOS($G14))),"j"),Dataark!$E$3),IF($H14=Dataark!$B$18,IMPRODUCT(COMPLEX($F14*$G14,-$F14*(SIN(ACOS($G14))),"j"),Dataark!$E$3),)),))))</f>
        <v>0</v>
      </c>
      <c r="O14" s="2">
        <f>IF($D14="",0,IF(OR($C14=Dataark!$B$10,$C14=Dataark!$B$15),IF($H14=Dataark!$B$19,IMPRODUCT(COMPLEX($F14*$G14,$F14*(SIN(ACOS($G14))),"j"),Dataark!$F$4),IF($H14=Dataark!$B$18,IMPRODUCT(COMPLEX($F14*$G14,-$F14*(SIN(ACOS($G14))),"j"),Dataark!$F$4),"")),IF($C14=Dataark!$B$12,IF($H14=Dataark!$B$19,IMPRODUCT(COMPLEX($F14*$G14,$F14*(SIN(ACOS($G14))),"j"),Dataark!$F$5),IF($H14=Dataark!$B$18,IMPRODUCT(COMPLEX($F14*$G14,-$F14*(SIN(ACOS($G14))),"j"),Dataark!$F$5),"")),IF($C14=Dataark!$B$13,IF($H14=Dataark!$B$19,IMPRODUCT(COMPLEX($F14*$G14,$F14*(SIN(ACOS($G14))),"j"),Dataark!$F$3),IF($H14=Dataark!$B$18,IMPRODUCT(COMPLEX($F14*$G14,-$F14*(SIN(ACOS($G14))),"j"),Dataark!$F$3),)),))))</f>
        <v>0</v>
      </c>
      <c r="P14" s="2">
        <f>IF($D14="",0,IF(OR($C14=Dataark!$B$11,$C14=Dataark!$B$15),IF($H14=Dataark!$B$19,IMPRODUCT(COMPLEX($F14*$G14,$F14*(SIN(ACOS($G14))),"j"),Dataark!$G$3),IF($H14=Dataark!$B$18,IMPRODUCT(COMPLEX($F14*$G14,-$F14*(SIN(ACOS($G14))),"j"),Dataark!$G$3),"")),IF($C14=Dataark!$B$13,IF($H14=Dataark!$B$19,IMPRODUCT(COMPLEX($F14*$G14,$F14*(SIN(ACOS($G14))),"j"),Dataark!$G$4),IF($H14=Dataark!$B$18,IMPRODUCT(COMPLEX($F14*$G14,-$F14*(SIN(ACOS($G14))),"j"),Dataark!$G$4),"")),IF($C14=Dataark!$B$14,IF($H14=Dataark!$B$19,IMPRODUCT(COMPLEX($F14*$G14,$F14*(SIN(ACOS($G14))),"j"),Dataark!$G$5),IF($H14=Dataark!$B$18,IMPRODUCT(COMPLEX($F14*$G14,-$F14*(SIN(ACOS($G14))),"j"),Dataark!$G$5),)),))))</f>
        <v>0</v>
      </c>
      <c r="Q14">
        <f t="shared" si="4"/>
        <v>0</v>
      </c>
    </row>
    <row r="15" spans="1:19" x14ac:dyDescent="0.25">
      <c r="A15" s="10"/>
      <c r="B15" s="9" t="str">
        <f>IF(C15="","",VLOOKUP(C15,Dataark!$B$9:$C$15,2,FALSE))</f>
        <v/>
      </c>
      <c r="C15" s="10"/>
      <c r="D15" s="21"/>
      <c r="E15" s="22"/>
      <c r="F15" s="46" t="str">
        <f t="shared" si="0"/>
        <v/>
      </c>
      <c r="G15" s="10"/>
      <c r="H15" s="10"/>
      <c r="I15" s="10"/>
      <c r="J15" s="8" t="str">
        <f t="shared" si="1"/>
        <v/>
      </c>
      <c r="K15" s="8" t="str">
        <f t="shared" si="2"/>
        <v/>
      </c>
      <c r="L15" s="8" t="str">
        <f t="shared" si="3"/>
        <v/>
      </c>
      <c r="M15" s="8" t="str">
        <f>IF(I15="","",IF($I$2=Dataark!$B$21,IF(B15=1,((I15*F15)/100),IF(B15=2,((I15*F15)/100)*2,IF(B15=3,((I15*F15)/100)*3,))),IF($I$2=Dataark!$B$22,IF(B15=1,I15,IF(B15=2,I15*2,IF(B15=3,I15*3))))))</f>
        <v/>
      </c>
      <c r="N15" s="2">
        <f>IF($D15="",0,IF(OR($C15=Dataark!$B$9,$C15=Dataark!$B$15),IF($H15=Dataark!$B$19,IMPRODUCT(COMPLEX($F15*$G15,$F15*(SIN(ACOS($G15))),"j"),Dataark!$E$5),IF($H15=Dataark!$B$18,IMPRODUCT(COMPLEX($F15*$G15,-$F15*(SIN(ACOS($G15))),"j"),Dataark!$E$5),"")),IF($C15=Dataark!$B$12,IF($H15=Dataark!$B$19,IMPRODUCT(COMPLEX($F15*$G15,$F15*(SIN(ACOS($G15))),"j"),Dataark!$E$4),IF($H15=Dataark!$B$18,IMPRODUCT(COMPLEX($F15*$G15,-$F15*(SIN(ACOS($G15))),"j"),Dataark!$E$4),"")),IF($C15=Dataark!$B$14,IF($H15=Dataark!$B$19,IMPRODUCT(COMPLEX($F15*$G15,$F15*(SIN(ACOS($G15))),"j"),Dataark!$E$3),IF($H15=Dataark!$B$18,IMPRODUCT(COMPLEX($F15*$G15,-$F15*(SIN(ACOS($G15))),"j"),Dataark!$E$3),)),))))</f>
        <v>0</v>
      </c>
      <c r="O15" s="2">
        <f>IF($D15="",0,IF(OR($C15=Dataark!$B$10,$C15=Dataark!$B$15),IF($H15=Dataark!$B$19,IMPRODUCT(COMPLEX($F15*$G15,$F15*(SIN(ACOS($G15))),"j"),Dataark!$F$4),IF($H15=Dataark!$B$18,IMPRODUCT(COMPLEX($F15*$G15,-$F15*(SIN(ACOS($G15))),"j"),Dataark!$F$4),"")),IF($C15=Dataark!$B$12,IF($H15=Dataark!$B$19,IMPRODUCT(COMPLEX($F15*$G15,$F15*(SIN(ACOS($G15))),"j"),Dataark!$F$5),IF($H15=Dataark!$B$18,IMPRODUCT(COMPLEX($F15*$G15,-$F15*(SIN(ACOS($G15))),"j"),Dataark!$F$5),"")),IF($C15=Dataark!$B$13,IF($H15=Dataark!$B$19,IMPRODUCT(COMPLEX($F15*$G15,$F15*(SIN(ACOS($G15))),"j"),Dataark!$F$3),IF($H15=Dataark!$B$18,IMPRODUCT(COMPLEX($F15*$G15,-$F15*(SIN(ACOS($G15))),"j"),Dataark!$F$3),)),))))</f>
        <v>0</v>
      </c>
      <c r="P15" s="2">
        <f>IF($D15="",0,IF(OR($C15=Dataark!$B$11,$C15=Dataark!$B$15),IF($H15=Dataark!$B$19,IMPRODUCT(COMPLEX($F15*$G15,$F15*(SIN(ACOS($G15))),"j"),Dataark!$G$3),IF($H15=Dataark!$B$18,IMPRODUCT(COMPLEX($F15*$G15,-$F15*(SIN(ACOS($G15))),"j"),Dataark!$G$3),"")),IF($C15=Dataark!$B$13,IF($H15=Dataark!$B$19,IMPRODUCT(COMPLEX($F15*$G15,$F15*(SIN(ACOS($G15))),"j"),Dataark!$G$4),IF($H15=Dataark!$B$18,IMPRODUCT(COMPLEX($F15*$G15,-$F15*(SIN(ACOS($G15))),"j"),Dataark!$G$4),"")),IF($C15=Dataark!$B$14,IF($H15=Dataark!$B$19,IMPRODUCT(COMPLEX($F15*$G15,$F15*(SIN(ACOS($G15))),"j"),Dataark!$G$5),IF($H15=Dataark!$B$18,IMPRODUCT(COMPLEX($F15*$G15,-$F15*(SIN(ACOS($G15))),"j"),Dataark!$G$5),)),))))</f>
        <v>0</v>
      </c>
      <c r="Q15">
        <f t="shared" si="4"/>
        <v>0</v>
      </c>
    </row>
    <row r="16" spans="1:19" x14ac:dyDescent="0.25">
      <c r="A16" s="10"/>
      <c r="B16" s="9" t="str">
        <f>IF(C16="","",VLOOKUP(C16,Dataark!$B$9:$C$15,2,FALSE))</f>
        <v/>
      </c>
      <c r="C16" s="10"/>
      <c r="D16" s="21"/>
      <c r="E16" s="22"/>
      <c r="F16" s="46" t="str">
        <f t="shared" si="0"/>
        <v/>
      </c>
      <c r="G16" s="10"/>
      <c r="H16" s="10"/>
      <c r="I16" s="10"/>
      <c r="J16" s="8" t="str">
        <f t="shared" si="1"/>
        <v/>
      </c>
      <c r="K16" s="8" t="str">
        <f t="shared" si="2"/>
        <v/>
      </c>
      <c r="L16" s="8" t="str">
        <f t="shared" si="3"/>
        <v/>
      </c>
      <c r="M16" s="8" t="str">
        <f>IF(I16="","",IF($I$2=Dataark!$B$21,IF(B16=1,((I16*F16)/100),IF(B16=2,((I16*F16)/100)*2,IF(B16=3,((I16*F16)/100)*3,))),IF($I$2=Dataark!$B$22,IF(B16=1,I16,IF(B16=2,I16*2,IF(B16=3,I16*3))))))</f>
        <v/>
      </c>
      <c r="N16" s="2">
        <f>IF($D16="",0,IF(OR($C16=Dataark!$B$9,$C16=Dataark!$B$15),IF($H16=Dataark!$B$19,IMPRODUCT(COMPLEX($F16*$G16,$F16*(SIN(ACOS($G16))),"j"),Dataark!$E$5),IF($H16=Dataark!$B$18,IMPRODUCT(COMPLEX($F16*$G16,-$F16*(SIN(ACOS($G16))),"j"),Dataark!$E$5),"")),IF($C16=Dataark!$B$12,IF($H16=Dataark!$B$19,IMPRODUCT(COMPLEX($F16*$G16,$F16*(SIN(ACOS($G16))),"j"),Dataark!$E$4),IF($H16=Dataark!$B$18,IMPRODUCT(COMPLEX($F16*$G16,-$F16*(SIN(ACOS($G16))),"j"),Dataark!$E$4),"")),IF($C16=Dataark!$B$14,IF($H16=Dataark!$B$19,IMPRODUCT(COMPLEX($F16*$G16,$F16*(SIN(ACOS($G16))),"j"),Dataark!$E$3),IF($H16=Dataark!$B$18,IMPRODUCT(COMPLEX($F16*$G16,-$F16*(SIN(ACOS($G16))),"j"),Dataark!$E$3),)),))))</f>
        <v>0</v>
      </c>
      <c r="O16" s="2">
        <f>IF($D16="",0,IF(OR($C16=Dataark!$B$10,$C16=Dataark!$B$15),IF($H16=Dataark!$B$19,IMPRODUCT(COMPLEX($F16*$G16,$F16*(SIN(ACOS($G16))),"j"),Dataark!$F$4),IF($H16=Dataark!$B$18,IMPRODUCT(COMPLEX($F16*$G16,-$F16*(SIN(ACOS($G16))),"j"),Dataark!$F$4),"")),IF($C16=Dataark!$B$12,IF($H16=Dataark!$B$19,IMPRODUCT(COMPLEX($F16*$G16,$F16*(SIN(ACOS($G16))),"j"),Dataark!$F$5),IF($H16=Dataark!$B$18,IMPRODUCT(COMPLEX($F16*$G16,-$F16*(SIN(ACOS($G16))),"j"),Dataark!$F$5),"")),IF($C16=Dataark!$B$13,IF($H16=Dataark!$B$19,IMPRODUCT(COMPLEX($F16*$G16,$F16*(SIN(ACOS($G16))),"j"),Dataark!$F$3),IF($H16=Dataark!$B$18,IMPRODUCT(COMPLEX($F16*$G16,-$F16*(SIN(ACOS($G16))),"j"),Dataark!$F$3),)),))))</f>
        <v>0</v>
      </c>
      <c r="P16" s="2">
        <f>IF($D16="",0,IF(OR($C16=Dataark!$B$11,$C16=Dataark!$B$15),IF($H16=Dataark!$B$19,IMPRODUCT(COMPLEX($F16*$G16,$F16*(SIN(ACOS($G16))),"j"),Dataark!$G$3),IF($H16=Dataark!$B$18,IMPRODUCT(COMPLEX($F16*$G16,-$F16*(SIN(ACOS($G16))),"j"),Dataark!$G$3),"")),IF($C16=Dataark!$B$13,IF($H16=Dataark!$B$19,IMPRODUCT(COMPLEX($F16*$G16,$F16*(SIN(ACOS($G16))),"j"),Dataark!$G$4),IF($H16=Dataark!$B$18,IMPRODUCT(COMPLEX($F16*$G16,-$F16*(SIN(ACOS($G16))),"j"),Dataark!$G$4),"")),IF($C16=Dataark!$B$14,IF($H16=Dataark!$B$19,IMPRODUCT(COMPLEX($F16*$G16,$F16*(SIN(ACOS($G16))),"j"),Dataark!$G$5),IF($H16=Dataark!$B$18,IMPRODUCT(COMPLEX($F16*$G16,-$F16*(SIN(ACOS($G16))),"j"),Dataark!$G$5),)),))))</f>
        <v>0</v>
      </c>
      <c r="Q16">
        <f t="shared" si="4"/>
        <v>0</v>
      </c>
    </row>
    <row r="17" spans="1:17" x14ac:dyDescent="0.25">
      <c r="A17" s="10"/>
      <c r="B17" s="9" t="str">
        <f>IF(C17="","",VLOOKUP(C17,Dataark!$B$9:$C$15,2,FALSE))</f>
        <v/>
      </c>
      <c r="C17" s="10"/>
      <c r="D17" s="21"/>
      <c r="E17" s="22"/>
      <c r="F17" s="46" t="str">
        <f t="shared" si="0"/>
        <v/>
      </c>
      <c r="G17" s="10"/>
      <c r="H17" s="10"/>
      <c r="I17" s="10"/>
      <c r="J17" s="8" t="str">
        <f t="shared" si="1"/>
        <v/>
      </c>
      <c r="K17" s="8" t="str">
        <f t="shared" si="2"/>
        <v/>
      </c>
      <c r="L17" s="8" t="str">
        <f t="shared" si="3"/>
        <v/>
      </c>
      <c r="M17" s="8" t="str">
        <f>IF(I17="","",IF($I$2=Dataark!$B$21,IF(B17=1,((I17*F17)/100),IF(B17=2,((I17*F17)/100)*2,IF(B17=3,((I17*F17)/100)*3,))),IF($I$2=Dataark!$B$22,IF(B17=1,I17,IF(B17=2,I17*2,IF(B17=3,I17*3))))))</f>
        <v/>
      </c>
      <c r="N17" s="2">
        <f>IF($D17="",0,IF(OR($C17=Dataark!$B$9,$C17=Dataark!$B$15),IF($H17=Dataark!$B$19,IMPRODUCT(COMPLEX($F17*$G17,$F17*(SIN(ACOS($G17))),"j"),Dataark!$E$5),IF($H17=Dataark!$B$18,IMPRODUCT(COMPLEX($F17*$G17,-$F17*(SIN(ACOS($G17))),"j"),Dataark!$E$5),"")),IF($C17=Dataark!$B$12,IF($H17=Dataark!$B$19,IMPRODUCT(COMPLEX($F17*$G17,$F17*(SIN(ACOS($G17))),"j"),Dataark!$E$4),IF($H17=Dataark!$B$18,IMPRODUCT(COMPLEX($F17*$G17,-$F17*(SIN(ACOS($G17))),"j"),Dataark!$E$4),"")),IF($C17=Dataark!$B$14,IF($H17=Dataark!$B$19,IMPRODUCT(COMPLEX($F17*$G17,$F17*(SIN(ACOS($G17))),"j"),Dataark!$E$3),IF($H17=Dataark!$B$18,IMPRODUCT(COMPLEX($F17*$G17,-$F17*(SIN(ACOS($G17))),"j"),Dataark!$E$3),)),))))</f>
        <v>0</v>
      </c>
      <c r="O17" s="2">
        <f>IF($D17="",0,IF(OR($C17=Dataark!$B$10,$C17=Dataark!$B$15),IF($H17=Dataark!$B$19,IMPRODUCT(COMPLEX($F17*$G17,$F17*(SIN(ACOS($G17))),"j"),Dataark!$F$4),IF($H17=Dataark!$B$18,IMPRODUCT(COMPLEX($F17*$G17,-$F17*(SIN(ACOS($G17))),"j"),Dataark!$F$4),"")),IF($C17=Dataark!$B$12,IF($H17=Dataark!$B$19,IMPRODUCT(COMPLEX($F17*$G17,$F17*(SIN(ACOS($G17))),"j"),Dataark!$F$5),IF($H17=Dataark!$B$18,IMPRODUCT(COMPLEX($F17*$G17,-$F17*(SIN(ACOS($G17))),"j"),Dataark!$F$5),"")),IF($C17=Dataark!$B$13,IF($H17=Dataark!$B$19,IMPRODUCT(COMPLEX($F17*$G17,$F17*(SIN(ACOS($G17))),"j"),Dataark!$F$3),IF($H17=Dataark!$B$18,IMPRODUCT(COMPLEX($F17*$G17,-$F17*(SIN(ACOS($G17))),"j"),Dataark!$F$3),)),))))</f>
        <v>0</v>
      </c>
      <c r="P17" s="2">
        <f>IF($D17="",0,IF(OR($C17=Dataark!$B$11,$C17=Dataark!$B$15),IF($H17=Dataark!$B$19,IMPRODUCT(COMPLEX($F17*$G17,$F17*(SIN(ACOS($G17))),"j"),Dataark!$G$3),IF($H17=Dataark!$B$18,IMPRODUCT(COMPLEX($F17*$G17,-$F17*(SIN(ACOS($G17))),"j"),Dataark!$G$3),"")),IF($C17=Dataark!$B$13,IF($H17=Dataark!$B$19,IMPRODUCT(COMPLEX($F17*$G17,$F17*(SIN(ACOS($G17))),"j"),Dataark!$G$4),IF($H17=Dataark!$B$18,IMPRODUCT(COMPLEX($F17*$G17,-$F17*(SIN(ACOS($G17))),"j"),Dataark!$G$4),"")),IF($C17=Dataark!$B$14,IF($H17=Dataark!$B$19,IMPRODUCT(COMPLEX($F17*$G17,$F17*(SIN(ACOS($G17))),"j"),Dataark!$G$5),IF($H17=Dataark!$B$18,IMPRODUCT(COMPLEX($F17*$G17,-$F17*(SIN(ACOS($G17))),"j"),Dataark!$G$5),)),))))</f>
        <v>0</v>
      </c>
      <c r="Q17">
        <f t="shared" si="4"/>
        <v>0</v>
      </c>
    </row>
    <row r="18" spans="1:17" x14ac:dyDescent="0.25">
      <c r="A18" s="10"/>
      <c r="B18" s="9" t="str">
        <f>IF(C18="","",VLOOKUP(C18,Dataark!$B$9:$C$15,2,FALSE))</f>
        <v/>
      </c>
      <c r="C18" s="10"/>
      <c r="D18" s="21"/>
      <c r="E18" s="22"/>
      <c r="F18" s="46" t="str">
        <f t="shared" si="0"/>
        <v/>
      </c>
      <c r="G18" s="10"/>
      <c r="H18" s="10"/>
      <c r="I18" s="10"/>
      <c r="J18" s="8" t="str">
        <f t="shared" si="1"/>
        <v/>
      </c>
      <c r="K18" s="8" t="str">
        <f t="shared" si="2"/>
        <v/>
      </c>
      <c r="L18" s="8" t="str">
        <f t="shared" si="3"/>
        <v/>
      </c>
      <c r="M18" s="8" t="str">
        <f>IF(I18="","",IF($I$2=Dataark!$B$21,IF(B18=1,((I18*F18)/100),IF(B18=2,((I18*F18)/100)*2,IF(B18=3,((I18*F18)/100)*3,))),IF($I$2=Dataark!$B$22,IF(B18=1,I18,IF(B18=2,I18*2,IF(B18=3,I18*3))))))</f>
        <v/>
      </c>
      <c r="N18" s="2">
        <f>IF($D18="",0,IF(OR($C18=Dataark!$B$9,$C18=Dataark!$B$15),IF($H18=Dataark!$B$19,IMPRODUCT(COMPLEX($F18*$G18,$F18*(SIN(ACOS($G18))),"j"),Dataark!$E$5),IF($H18=Dataark!$B$18,IMPRODUCT(COMPLEX($F18*$G18,-$F18*(SIN(ACOS($G18))),"j"),Dataark!$E$5),"")),IF($C18=Dataark!$B$12,IF($H18=Dataark!$B$19,IMPRODUCT(COMPLEX($F18*$G18,$F18*(SIN(ACOS($G18))),"j"),Dataark!$E$4),IF($H18=Dataark!$B$18,IMPRODUCT(COMPLEX($F18*$G18,-$F18*(SIN(ACOS($G18))),"j"),Dataark!$E$4),"")),IF($C18=Dataark!$B$14,IF($H18=Dataark!$B$19,IMPRODUCT(COMPLEX($F18*$G18,$F18*(SIN(ACOS($G18))),"j"),Dataark!$E$3),IF($H18=Dataark!$B$18,IMPRODUCT(COMPLEX($F18*$G18,-$F18*(SIN(ACOS($G18))),"j"),Dataark!$E$3),)),))))</f>
        <v>0</v>
      </c>
      <c r="O18" s="2">
        <f>IF($D18="",0,IF(OR($C18=Dataark!$B$10,$C18=Dataark!$B$15),IF($H18=Dataark!$B$19,IMPRODUCT(COMPLEX($F18*$G18,$F18*(SIN(ACOS($G18))),"j"),Dataark!$F$4),IF($H18=Dataark!$B$18,IMPRODUCT(COMPLEX($F18*$G18,-$F18*(SIN(ACOS($G18))),"j"),Dataark!$F$4),"")),IF($C18=Dataark!$B$12,IF($H18=Dataark!$B$19,IMPRODUCT(COMPLEX($F18*$G18,$F18*(SIN(ACOS($G18))),"j"),Dataark!$F$5),IF($H18=Dataark!$B$18,IMPRODUCT(COMPLEX($F18*$G18,-$F18*(SIN(ACOS($G18))),"j"),Dataark!$F$5),"")),IF($C18=Dataark!$B$13,IF($H18=Dataark!$B$19,IMPRODUCT(COMPLEX($F18*$G18,$F18*(SIN(ACOS($G18))),"j"),Dataark!$F$3),IF($H18=Dataark!$B$18,IMPRODUCT(COMPLEX($F18*$G18,-$F18*(SIN(ACOS($G18))),"j"),Dataark!$F$3),)),))))</f>
        <v>0</v>
      </c>
      <c r="P18" s="2">
        <f>IF($D18="",0,IF(OR($C18=Dataark!$B$11,$C18=Dataark!$B$15),IF($H18=Dataark!$B$19,IMPRODUCT(COMPLEX($F18*$G18,$F18*(SIN(ACOS($G18))),"j"),Dataark!$G$3),IF($H18=Dataark!$B$18,IMPRODUCT(COMPLEX($F18*$G18,-$F18*(SIN(ACOS($G18))),"j"),Dataark!$G$3),"")),IF($C18=Dataark!$B$13,IF($H18=Dataark!$B$19,IMPRODUCT(COMPLEX($F18*$G18,$F18*(SIN(ACOS($G18))),"j"),Dataark!$G$4),IF($H18=Dataark!$B$18,IMPRODUCT(COMPLEX($F18*$G18,-$F18*(SIN(ACOS($G18))),"j"),Dataark!$G$4),"")),IF($C18=Dataark!$B$14,IF($H18=Dataark!$B$19,IMPRODUCT(COMPLEX($F18*$G18,$F18*(SIN(ACOS($G18))),"j"),Dataark!$G$5),IF($H18=Dataark!$B$18,IMPRODUCT(COMPLEX($F18*$G18,-$F18*(SIN(ACOS($G18))),"j"),Dataark!$G$5),)),))))</f>
        <v>0</v>
      </c>
      <c r="Q18">
        <f t="shared" si="4"/>
        <v>0</v>
      </c>
    </row>
    <row r="19" spans="1:17" x14ac:dyDescent="0.25">
      <c r="A19" s="10"/>
      <c r="B19" s="9" t="str">
        <f>IF(C19="","",VLOOKUP(C19,Dataark!$B$9:$C$15,2,FALSE))</f>
        <v/>
      </c>
      <c r="C19" s="10"/>
      <c r="D19" s="21"/>
      <c r="E19" s="22"/>
      <c r="F19" s="46" t="str">
        <f t="shared" si="0"/>
        <v/>
      </c>
      <c r="G19" s="11"/>
      <c r="H19" s="10"/>
      <c r="I19" s="10"/>
      <c r="J19" s="8" t="str">
        <f t="shared" si="1"/>
        <v/>
      </c>
      <c r="K19" s="8" t="str">
        <f t="shared" si="2"/>
        <v/>
      </c>
      <c r="L19" s="8" t="str">
        <f t="shared" si="3"/>
        <v/>
      </c>
      <c r="M19" s="8" t="str">
        <f>IF(I19="","",IF($I$2=Dataark!$B$21,IF(B19=1,((I19*F19)/100),IF(B19=2,((I19*F19)/100)*2,IF(B19=3,((I19*F19)/100)*3,))),IF($I$2=Dataark!$B$22,IF(B19=1,I19,IF(B19=2,I19*2,IF(B19=3,I19*3))))))</f>
        <v/>
      </c>
      <c r="N19" s="2">
        <f>IF($D19="",0,IF(OR($C19=Dataark!$B$9,$C19=Dataark!$B$15),IF($H19=Dataark!$B$19,IMPRODUCT(COMPLEX($F19*$G19,$F19*(SIN(ACOS($G19))),"j"),Dataark!$E$5),IF($H19=Dataark!$B$18,IMPRODUCT(COMPLEX($F19*$G19,-$F19*(SIN(ACOS($G19))),"j"),Dataark!$E$5),"")),IF($C19=Dataark!$B$12,IF($H19=Dataark!$B$19,IMPRODUCT(COMPLEX($F19*$G19,$F19*(SIN(ACOS($G19))),"j"),Dataark!$E$4),IF($H19=Dataark!$B$18,IMPRODUCT(COMPLEX($F19*$G19,-$F19*(SIN(ACOS($G19))),"j"),Dataark!$E$4),"")),IF($C19=Dataark!$B$14,IF($H19=Dataark!$B$19,IMPRODUCT(COMPLEX($F19*$G19,$F19*(SIN(ACOS($G19))),"j"),Dataark!$E$3),IF($H19=Dataark!$B$18,IMPRODUCT(COMPLEX($F19*$G19,-$F19*(SIN(ACOS($G19))),"j"),Dataark!$E$3),)),))))</f>
        <v>0</v>
      </c>
      <c r="O19" s="2">
        <f>IF($D19="",0,IF(OR($C19=Dataark!$B$10,$C19=Dataark!$B$15),IF($H19=Dataark!$B$19,IMPRODUCT(COMPLEX($F19*$G19,$F19*(SIN(ACOS($G19))),"j"),Dataark!$F$4),IF($H19=Dataark!$B$18,IMPRODUCT(COMPLEX($F19*$G19,-$F19*(SIN(ACOS($G19))),"j"),Dataark!$F$4),"")),IF($C19=Dataark!$B$12,IF($H19=Dataark!$B$19,IMPRODUCT(COMPLEX($F19*$G19,$F19*(SIN(ACOS($G19))),"j"),Dataark!$F$5),IF($H19=Dataark!$B$18,IMPRODUCT(COMPLEX($F19*$G19,-$F19*(SIN(ACOS($G19))),"j"),Dataark!$F$5),"")),IF($C19=Dataark!$B$13,IF($H19=Dataark!$B$19,IMPRODUCT(COMPLEX($F19*$G19,$F19*(SIN(ACOS($G19))),"j"),Dataark!$F$3),IF($H19=Dataark!$B$18,IMPRODUCT(COMPLEX($F19*$G19,-$F19*(SIN(ACOS($G19))),"j"),Dataark!$F$3),)),))))</f>
        <v>0</v>
      </c>
      <c r="P19" s="2">
        <f>IF($D19="",0,IF(OR($C19=Dataark!$B$11,$C19=Dataark!$B$15),IF($H19=Dataark!$B$19,IMPRODUCT(COMPLEX($F19*$G19,$F19*(SIN(ACOS($G19))),"j"),Dataark!$G$3),IF($H19=Dataark!$B$18,IMPRODUCT(COMPLEX($F19*$G19,-$F19*(SIN(ACOS($G19))),"j"),Dataark!$G$3),"")),IF($C19=Dataark!$B$13,IF($H19=Dataark!$B$19,IMPRODUCT(COMPLEX($F19*$G19,$F19*(SIN(ACOS($G19))),"j"),Dataark!$G$4),IF($H19=Dataark!$B$18,IMPRODUCT(COMPLEX($F19*$G19,-$F19*(SIN(ACOS($G19))),"j"),Dataark!$G$4),"")),IF($C19=Dataark!$B$14,IF($H19=Dataark!$B$19,IMPRODUCT(COMPLEX($F19*$G19,$F19*(SIN(ACOS($G19))),"j"),Dataark!$G$5),IF($H19=Dataark!$B$18,IMPRODUCT(COMPLEX($F19*$G19,-$F19*(SIN(ACOS($G19))),"j"),Dataark!$G$5),)),))))</f>
        <v>0</v>
      </c>
      <c r="Q19">
        <f t="shared" si="4"/>
        <v>0</v>
      </c>
    </row>
    <row r="20" spans="1:17" x14ac:dyDescent="0.25">
      <c r="A20" s="10"/>
      <c r="B20" s="9" t="str">
        <f>IF(C20="","",VLOOKUP(C20,Dataark!$B$9:$C$15,2,FALSE))</f>
        <v/>
      </c>
      <c r="C20" s="10"/>
      <c r="D20" s="21"/>
      <c r="E20" s="22"/>
      <c r="F20" s="46" t="str">
        <f t="shared" si="0"/>
        <v/>
      </c>
      <c r="G20" s="10"/>
      <c r="H20" s="10"/>
      <c r="I20" s="10"/>
      <c r="J20" s="8" t="str">
        <f t="shared" si="1"/>
        <v/>
      </c>
      <c r="K20" s="8" t="str">
        <f t="shared" si="2"/>
        <v/>
      </c>
      <c r="L20" s="8" t="str">
        <f t="shared" si="3"/>
        <v/>
      </c>
      <c r="M20" s="8" t="str">
        <f>IF(I20="","",IF($I$2=Dataark!$B$21,IF(B20=1,((I20*F20)/100),IF(B20=2,((I20*F20)/100)*2,IF(B20=3,((I20*F20)/100)*3,))),IF($I$2=Dataark!$B$22,IF(B20=1,I20,IF(B20=2,I20*2,IF(B20=3,I20*3))))))</f>
        <v/>
      </c>
      <c r="N20" s="2">
        <f>IF($D20="",0,IF(OR($C20=Dataark!$B$9,$C20=Dataark!$B$15),IF($H20=Dataark!$B$19,IMPRODUCT(COMPLEX($F20*$G20,$F20*(SIN(ACOS($G20))),"j"),Dataark!$E$5),IF($H20=Dataark!$B$18,IMPRODUCT(COMPLEX($F20*$G20,-$F20*(SIN(ACOS($G20))),"j"),Dataark!$E$5),"")),IF($C20=Dataark!$B$12,IF($H20=Dataark!$B$19,IMPRODUCT(COMPLEX($F20*$G20,$F20*(SIN(ACOS($G20))),"j"),Dataark!$E$4),IF($H20=Dataark!$B$18,IMPRODUCT(COMPLEX($F20*$G20,-$F20*(SIN(ACOS($G20))),"j"),Dataark!$E$4),"")),IF($C20=Dataark!$B$14,IF($H20=Dataark!$B$19,IMPRODUCT(COMPLEX($F20*$G20,$F20*(SIN(ACOS($G20))),"j"),Dataark!$E$3),IF($H20=Dataark!$B$18,IMPRODUCT(COMPLEX($F20*$G20,-$F20*(SIN(ACOS($G20))),"j"),Dataark!$E$3),)),))))</f>
        <v>0</v>
      </c>
      <c r="O20" s="2">
        <f>IF($D20="",0,IF(OR($C20=Dataark!$B$10,$C20=Dataark!$B$15),IF($H20=Dataark!$B$19,IMPRODUCT(COMPLEX($F20*$G20,$F20*(SIN(ACOS($G20))),"j"),Dataark!$F$4),IF($H20=Dataark!$B$18,IMPRODUCT(COMPLEX($F20*$G20,-$F20*(SIN(ACOS($G20))),"j"),Dataark!$F$4),"")),IF($C20=Dataark!$B$12,IF($H20=Dataark!$B$19,IMPRODUCT(COMPLEX($F20*$G20,$F20*(SIN(ACOS($G20))),"j"),Dataark!$F$5),IF($H20=Dataark!$B$18,IMPRODUCT(COMPLEX($F20*$G20,-$F20*(SIN(ACOS($G20))),"j"),Dataark!$F$5),"")),IF($C20=Dataark!$B$13,IF($H20=Dataark!$B$19,IMPRODUCT(COMPLEX($F20*$G20,$F20*(SIN(ACOS($G20))),"j"),Dataark!$F$3),IF($H20=Dataark!$B$18,IMPRODUCT(COMPLEX($F20*$G20,-$F20*(SIN(ACOS($G20))),"j"),Dataark!$F$3),)),))))</f>
        <v>0</v>
      </c>
      <c r="P20" s="2">
        <f>IF($D20="",0,IF(OR($C20=Dataark!$B$11,$C20=Dataark!$B$15),IF($H20=Dataark!$B$19,IMPRODUCT(COMPLEX($F20*$G20,$F20*(SIN(ACOS($G20))),"j"),Dataark!$G$3),IF($H20=Dataark!$B$18,IMPRODUCT(COMPLEX($F20*$G20,-$F20*(SIN(ACOS($G20))),"j"),Dataark!$G$3),"")),IF($C20=Dataark!$B$13,IF($H20=Dataark!$B$19,IMPRODUCT(COMPLEX($F20*$G20,$F20*(SIN(ACOS($G20))),"j"),Dataark!$G$4),IF($H20=Dataark!$B$18,IMPRODUCT(COMPLEX($F20*$G20,-$F20*(SIN(ACOS($G20))),"j"),Dataark!$G$4),"")),IF($C20=Dataark!$B$14,IF($H20=Dataark!$B$19,IMPRODUCT(COMPLEX($F20*$G20,$F20*(SIN(ACOS($G20))),"j"),Dataark!$G$5),IF($H20=Dataark!$B$18,IMPRODUCT(COMPLEX($F20*$G20,-$F20*(SIN(ACOS($G20))),"j"),Dataark!$G$5),)),))))</f>
        <v>0</v>
      </c>
      <c r="Q20">
        <f t="shared" si="4"/>
        <v>0</v>
      </c>
    </row>
    <row r="21" spans="1:17" x14ac:dyDescent="0.25">
      <c r="A21" s="10"/>
      <c r="B21" s="9" t="str">
        <f>IF(C21="","",VLOOKUP(C21,Dataark!$B$9:$C$15,2,FALSE))</f>
        <v/>
      </c>
      <c r="C21" s="10"/>
      <c r="D21" s="21"/>
      <c r="E21" s="22"/>
      <c r="F21" s="46" t="str">
        <f t="shared" si="0"/>
        <v/>
      </c>
      <c r="G21" s="10"/>
      <c r="H21" s="10"/>
      <c r="I21" s="10"/>
      <c r="J21" s="8" t="str">
        <f t="shared" si="1"/>
        <v/>
      </c>
      <c r="K21" s="8" t="str">
        <f t="shared" si="2"/>
        <v/>
      </c>
      <c r="L21" s="8" t="str">
        <f t="shared" si="3"/>
        <v/>
      </c>
      <c r="M21" s="8" t="str">
        <f>IF(I21="","",IF($I$2=Dataark!$B$21,IF(B21=1,((I21*F21)/100),IF(B21=2,((I21*F21)/100)*2,IF(B21=3,((I21*F21)/100)*3,))),IF($I$2=Dataark!$B$22,IF(B21=1,I21,IF(B21=2,I21*2,IF(B21=3,I21*3))))))</f>
        <v/>
      </c>
      <c r="N21" s="2">
        <f>IF($D21="",0,IF(OR($C21=Dataark!$B$9,$C21=Dataark!$B$15),IF($H21=Dataark!$B$19,IMPRODUCT(COMPLEX($F21*$G21,$F21*(SIN(ACOS($G21))),"j"),Dataark!$E$5),IF($H21=Dataark!$B$18,IMPRODUCT(COMPLEX($F21*$G21,-$F21*(SIN(ACOS($G21))),"j"),Dataark!$E$5),"")),IF($C21=Dataark!$B$12,IF($H21=Dataark!$B$19,IMPRODUCT(COMPLEX($F21*$G21,$F21*(SIN(ACOS($G21))),"j"),Dataark!$E$4),IF($H21=Dataark!$B$18,IMPRODUCT(COMPLEX($F21*$G21,-$F21*(SIN(ACOS($G21))),"j"),Dataark!$E$4),"")),IF($C21=Dataark!$B$14,IF($H21=Dataark!$B$19,IMPRODUCT(COMPLEX($F21*$G21,$F21*(SIN(ACOS($G21))),"j"),Dataark!$E$3),IF($H21=Dataark!$B$18,IMPRODUCT(COMPLEX($F21*$G21,-$F21*(SIN(ACOS($G21))),"j"),Dataark!$E$3),)),))))</f>
        <v>0</v>
      </c>
      <c r="O21" s="2">
        <f>IF($D21="",0,IF(OR($C21=Dataark!$B$10,$C21=Dataark!$B$15),IF($H21=Dataark!$B$19,IMPRODUCT(COMPLEX($F21*$G21,$F21*(SIN(ACOS($G21))),"j"),Dataark!$F$4),IF($H21=Dataark!$B$18,IMPRODUCT(COMPLEX($F21*$G21,-$F21*(SIN(ACOS($G21))),"j"),Dataark!$F$4),"")),IF($C21=Dataark!$B$12,IF($H21=Dataark!$B$19,IMPRODUCT(COMPLEX($F21*$G21,$F21*(SIN(ACOS($G21))),"j"),Dataark!$F$5),IF($H21=Dataark!$B$18,IMPRODUCT(COMPLEX($F21*$G21,-$F21*(SIN(ACOS($G21))),"j"),Dataark!$F$5),"")),IF($C21=Dataark!$B$13,IF($H21=Dataark!$B$19,IMPRODUCT(COMPLEX($F21*$G21,$F21*(SIN(ACOS($G21))),"j"),Dataark!$F$3),IF($H21=Dataark!$B$18,IMPRODUCT(COMPLEX($F21*$G21,-$F21*(SIN(ACOS($G21))),"j"),Dataark!$F$3),)),))))</f>
        <v>0</v>
      </c>
      <c r="P21" s="2">
        <f>IF($D21="",0,IF(OR($C21=Dataark!$B$11,$C21=Dataark!$B$15),IF($H21=Dataark!$B$19,IMPRODUCT(COMPLEX($F21*$G21,$F21*(SIN(ACOS($G21))),"j"),Dataark!$G$3),IF($H21=Dataark!$B$18,IMPRODUCT(COMPLEX($F21*$G21,-$F21*(SIN(ACOS($G21))),"j"),Dataark!$G$3),"")),IF($C21=Dataark!$B$13,IF($H21=Dataark!$B$19,IMPRODUCT(COMPLEX($F21*$G21,$F21*(SIN(ACOS($G21))),"j"),Dataark!$G$4),IF($H21=Dataark!$B$18,IMPRODUCT(COMPLEX($F21*$G21,-$F21*(SIN(ACOS($G21))),"j"),Dataark!$G$4),"")),IF($C21=Dataark!$B$14,IF($H21=Dataark!$B$19,IMPRODUCT(COMPLEX($F21*$G21,$F21*(SIN(ACOS($G21))),"j"),Dataark!$G$5),IF($H21=Dataark!$B$18,IMPRODUCT(COMPLEX($F21*$G21,-$F21*(SIN(ACOS($G21))),"j"),Dataark!$G$5),)),))))</f>
        <v>0</v>
      </c>
      <c r="Q21">
        <f t="shared" si="4"/>
        <v>0</v>
      </c>
    </row>
    <row r="22" spans="1:17" x14ac:dyDescent="0.25">
      <c r="A22" s="10"/>
      <c r="B22" s="9" t="str">
        <f>IF(C22="","",VLOOKUP(C22,Dataark!$B$9:$C$15,2,FALSE))</f>
        <v/>
      </c>
      <c r="C22" s="10"/>
      <c r="D22" s="21"/>
      <c r="E22" s="22"/>
      <c r="F22" s="46" t="str">
        <f t="shared" si="0"/>
        <v/>
      </c>
      <c r="G22" s="10"/>
      <c r="H22" s="10"/>
      <c r="I22" s="10"/>
      <c r="J22" s="8" t="str">
        <f t="shared" si="1"/>
        <v/>
      </c>
      <c r="K22" s="8" t="str">
        <f t="shared" si="2"/>
        <v/>
      </c>
      <c r="L22" s="8" t="str">
        <f t="shared" si="3"/>
        <v/>
      </c>
      <c r="M22" s="8" t="str">
        <f>IF(I22="","",IF($I$2=Dataark!$B$21,IF(B22=1,((I22*F22)/100),IF(B22=2,((I22*F22)/100)*2,IF(B22=3,((I22*F22)/100)*3,))),IF($I$2=Dataark!$B$22,IF(B22=1,I22,IF(B22=2,I22*2,IF(B22=3,I22*3))))))</f>
        <v/>
      </c>
      <c r="N22" s="2">
        <f>IF($D22="",0,IF(OR($C22=Dataark!$B$9,$C22=Dataark!$B$15),IF($H22=Dataark!$B$19,IMPRODUCT(COMPLEX($F22*$G22,$F22*(SIN(ACOS($G22))),"j"),Dataark!$E$5),IF($H22=Dataark!$B$18,IMPRODUCT(COMPLEX($F22*$G22,-$F22*(SIN(ACOS($G22))),"j"),Dataark!$E$5),"")),IF($C22=Dataark!$B$12,IF($H22=Dataark!$B$19,IMPRODUCT(COMPLEX($F22*$G22,$F22*(SIN(ACOS($G22))),"j"),Dataark!$E$4),IF($H22=Dataark!$B$18,IMPRODUCT(COMPLEX($F22*$G22,-$F22*(SIN(ACOS($G22))),"j"),Dataark!$E$4),"")),IF($C22=Dataark!$B$14,IF($H22=Dataark!$B$19,IMPRODUCT(COMPLEX($F22*$G22,$F22*(SIN(ACOS($G22))),"j"),Dataark!$E$3),IF($H22=Dataark!$B$18,IMPRODUCT(COMPLEX($F22*$G22,-$F22*(SIN(ACOS($G22))),"j"),Dataark!$E$3),)),))))</f>
        <v>0</v>
      </c>
      <c r="O22" s="2">
        <f>IF($D22="",0,IF(OR($C22=Dataark!$B$10,$C22=Dataark!$B$15),IF($H22=Dataark!$B$19,IMPRODUCT(COMPLEX($F22*$G22,$F22*(SIN(ACOS($G22))),"j"),Dataark!$F$4),IF($H22=Dataark!$B$18,IMPRODUCT(COMPLEX($F22*$G22,-$F22*(SIN(ACOS($G22))),"j"),Dataark!$F$4),"")),IF($C22=Dataark!$B$12,IF($H22=Dataark!$B$19,IMPRODUCT(COMPLEX($F22*$G22,$F22*(SIN(ACOS($G22))),"j"),Dataark!$F$5),IF($H22=Dataark!$B$18,IMPRODUCT(COMPLEX($F22*$G22,-$F22*(SIN(ACOS($G22))),"j"),Dataark!$F$5),"")),IF($C22=Dataark!$B$13,IF($H22=Dataark!$B$19,IMPRODUCT(COMPLEX($F22*$G22,$F22*(SIN(ACOS($G22))),"j"),Dataark!$F$3),IF($H22=Dataark!$B$18,IMPRODUCT(COMPLEX($F22*$G22,-$F22*(SIN(ACOS($G22))),"j"),Dataark!$F$3),)),))))</f>
        <v>0</v>
      </c>
      <c r="P22" s="2">
        <f>IF($D22="",0,IF(OR($C22=Dataark!$B$11,$C22=Dataark!$B$15),IF($H22=Dataark!$B$19,IMPRODUCT(COMPLEX($F22*$G22,$F22*(SIN(ACOS($G22))),"j"),Dataark!$G$3),IF($H22=Dataark!$B$18,IMPRODUCT(COMPLEX($F22*$G22,-$F22*(SIN(ACOS($G22))),"j"),Dataark!$G$3),"")),IF($C22=Dataark!$B$13,IF($H22=Dataark!$B$19,IMPRODUCT(COMPLEX($F22*$G22,$F22*(SIN(ACOS($G22))),"j"),Dataark!$G$4),IF($H22=Dataark!$B$18,IMPRODUCT(COMPLEX($F22*$G22,-$F22*(SIN(ACOS($G22))),"j"),Dataark!$G$4),"")),IF($C22=Dataark!$B$14,IF($H22=Dataark!$B$19,IMPRODUCT(COMPLEX($F22*$G22,$F22*(SIN(ACOS($G22))),"j"),Dataark!$G$5),IF($H22=Dataark!$B$18,IMPRODUCT(COMPLEX($F22*$G22,-$F22*(SIN(ACOS($G22))),"j"),Dataark!$G$5),)),))))</f>
        <v>0</v>
      </c>
      <c r="Q22">
        <f t="shared" si="4"/>
        <v>0</v>
      </c>
    </row>
    <row r="23" spans="1:17" x14ac:dyDescent="0.25">
      <c r="A23" s="10"/>
      <c r="B23" s="9" t="str">
        <f>IF(C23="","",VLOOKUP(C23,Dataark!$B$9:$C$15,2,FALSE))</f>
        <v/>
      </c>
      <c r="C23" s="10"/>
      <c r="D23" s="21"/>
      <c r="E23" s="22"/>
      <c r="F23" s="46" t="str">
        <f t="shared" si="0"/>
        <v/>
      </c>
      <c r="G23" s="10"/>
      <c r="H23" s="10"/>
      <c r="I23" s="10"/>
      <c r="J23" s="8" t="str">
        <f t="shared" si="1"/>
        <v/>
      </c>
      <c r="K23" s="8" t="str">
        <f t="shared" si="2"/>
        <v/>
      </c>
      <c r="L23" s="8" t="str">
        <f t="shared" si="3"/>
        <v/>
      </c>
      <c r="M23" s="8" t="str">
        <f>IF(I23="","",IF($I$2=Dataark!$B$21,IF(B23=1,((I23*F23)/100),IF(B23=2,((I23*F23)/100)*2,IF(B23=3,((I23*F23)/100)*3,))),IF($I$2=Dataark!$B$22,IF(B23=1,I23,IF(B23=2,I23*2,IF(B23=3,I23*3))))))</f>
        <v/>
      </c>
      <c r="N23" s="2">
        <f>IF($D23="",0,IF(OR($C23=Dataark!$B$9,$C23=Dataark!$B$15),IF($H23=Dataark!$B$19,IMPRODUCT(COMPLEX($F23*$G23,$F23*(SIN(ACOS($G23))),"j"),Dataark!$E$5),IF($H23=Dataark!$B$18,IMPRODUCT(COMPLEX($F23*$G23,-$F23*(SIN(ACOS($G23))),"j"),Dataark!$E$5),"")),IF($C23=Dataark!$B$12,IF($H23=Dataark!$B$19,IMPRODUCT(COMPLEX($F23*$G23,$F23*(SIN(ACOS($G23))),"j"),Dataark!$E$4),IF($H23=Dataark!$B$18,IMPRODUCT(COMPLEX($F23*$G23,-$F23*(SIN(ACOS($G23))),"j"),Dataark!$E$4),"")),IF($C23=Dataark!$B$14,IF($H23=Dataark!$B$19,IMPRODUCT(COMPLEX($F23*$G23,$F23*(SIN(ACOS($G23))),"j"),Dataark!$E$3),IF($H23=Dataark!$B$18,IMPRODUCT(COMPLEX($F23*$G23,-$F23*(SIN(ACOS($G23))),"j"),Dataark!$E$3),)),))))</f>
        <v>0</v>
      </c>
      <c r="O23" s="2">
        <f>IF($D23="",0,IF(OR($C23=Dataark!$B$10,$C23=Dataark!$B$15),IF($H23=Dataark!$B$19,IMPRODUCT(COMPLEX($F23*$G23,$F23*(SIN(ACOS($G23))),"j"),Dataark!$F$4),IF($H23=Dataark!$B$18,IMPRODUCT(COMPLEX($F23*$G23,-$F23*(SIN(ACOS($G23))),"j"),Dataark!$F$4),"")),IF($C23=Dataark!$B$12,IF($H23=Dataark!$B$19,IMPRODUCT(COMPLEX($F23*$G23,$F23*(SIN(ACOS($G23))),"j"),Dataark!$F$5),IF($H23=Dataark!$B$18,IMPRODUCT(COMPLEX($F23*$G23,-$F23*(SIN(ACOS($G23))),"j"),Dataark!$F$5),"")),IF($C23=Dataark!$B$13,IF($H23=Dataark!$B$19,IMPRODUCT(COMPLEX($F23*$G23,$F23*(SIN(ACOS($G23))),"j"),Dataark!$F$3),IF($H23=Dataark!$B$18,IMPRODUCT(COMPLEX($F23*$G23,-$F23*(SIN(ACOS($G23))),"j"),Dataark!$F$3),)),))))</f>
        <v>0</v>
      </c>
      <c r="P23" s="2">
        <f>IF($D23="",0,IF(OR($C23=Dataark!$B$11,$C23=Dataark!$B$15),IF($H23=Dataark!$B$19,IMPRODUCT(COMPLEX($F23*$G23,$F23*(SIN(ACOS($G23))),"j"),Dataark!$G$3),IF($H23=Dataark!$B$18,IMPRODUCT(COMPLEX($F23*$G23,-$F23*(SIN(ACOS($G23))),"j"),Dataark!$G$3),"")),IF($C23=Dataark!$B$13,IF($H23=Dataark!$B$19,IMPRODUCT(COMPLEX($F23*$G23,$F23*(SIN(ACOS($G23))),"j"),Dataark!$G$4),IF($H23=Dataark!$B$18,IMPRODUCT(COMPLEX($F23*$G23,-$F23*(SIN(ACOS($G23))),"j"),Dataark!$G$4),"")),IF($C23=Dataark!$B$14,IF($H23=Dataark!$B$19,IMPRODUCT(COMPLEX($F23*$G23,$F23*(SIN(ACOS($G23))),"j"),Dataark!$G$5),IF($H23=Dataark!$B$18,IMPRODUCT(COMPLEX($F23*$G23,-$F23*(SIN(ACOS($G23))),"j"),Dataark!$G$5),)),))))</f>
        <v>0</v>
      </c>
      <c r="Q23">
        <f t="shared" si="4"/>
        <v>0</v>
      </c>
    </row>
    <row r="24" spans="1:17" x14ac:dyDescent="0.25">
      <c r="A24" s="10"/>
      <c r="B24" s="9" t="str">
        <f>IF(C24="","",VLOOKUP(C24,Dataark!$B$9:$C$15,2,FALSE))</f>
        <v/>
      </c>
      <c r="C24" s="10"/>
      <c r="D24" s="21"/>
      <c r="E24" s="22"/>
      <c r="F24" s="46" t="str">
        <f t="shared" si="0"/>
        <v/>
      </c>
      <c r="G24" s="10"/>
      <c r="H24" s="10"/>
      <c r="I24" s="10"/>
      <c r="J24" s="8" t="str">
        <f t="shared" si="1"/>
        <v/>
      </c>
      <c r="K24" s="8" t="str">
        <f t="shared" si="2"/>
        <v/>
      </c>
      <c r="L24" s="8" t="str">
        <f t="shared" si="3"/>
        <v/>
      </c>
      <c r="M24" s="8" t="str">
        <f>IF(I24="","",IF($I$2=Dataark!$B$21,IF(B24=1,((I24*F24)/100),IF(B24=2,((I24*F24)/100)*2,IF(B24=3,((I24*F24)/100)*3,))),IF($I$2=Dataark!$B$22,IF(B24=1,I24,IF(B24=2,I24*2,IF(B24=3,I24*3))))))</f>
        <v/>
      </c>
      <c r="N24" s="2">
        <f>IF($D24="",0,IF(OR($C24=Dataark!$B$9,$C24=Dataark!$B$15),IF($H24=Dataark!$B$19,IMPRODUCT(COMPLEX($F24*$G24,$F24*(SIN(ACOS($G24))),"j"),Dataark!$E$5),IF($H24=Dataark!$B$18,IMPRODUCT(COMPLEX($F24*$G24,-$F24*(SIN(ACOS($G24))),"j"),Dataark!$E$5),"")),IF($C24=Dataark!$B$12,IF($H24=Dataark!$B$19,IMPRODUCT(COMPLEX($F24*$G24,$F24*(SIN(ACOS($G24))),"j"),Dataark!$E$4),IF($H24=Dataark!$B$18,IMPRODUCT(COMPLEX($F24*$G24,-$F24*(SIN(ACOS($G24))),"j"),Dataark!$E$4),"")),IF($C24=Dataark!$B$14,IF($H24=Dataark!$B$19,IMPRODUCT(COMPLEX($F24*$G24,$F24*(SIN(ACOS($G24))),"j"),Dataark!$E$3),IF($H24=Dataark!$B$18,IMPRODUCT(COMPLEX($F24*$G24,-$F24*(SIN(ACOS($G24))),"j"),Dataark!$E$3),)),))))</f>
        <v>0</v>
      </c>
      <c r="O24" s="2">
        <f>IF($D24="",0,IF(OR($C24=Dataark!$B$10,$C24=Dataark!$B$15),IF($H24=Dataark!$B$19,IMPRODUCT(COMPLEX($F24*$G24,$F24*(SIN(ACOS($G24))),"j"),Dataark!$F$4),IF($H24=Dataark!$B$18,IMPRODUCT(COMPLEX($F24*$G24,-$F24*(SIN(ACOS($G24))),"j"),Dataark!$F$4),"")),IF($C24=Dataark!$B$12,IF($H24=Dataark!$B$19,IMPRODUCT(COMPLEX($F24*$G24,$F24*(SIN(ACOS($G24))),"j"),Dataark!$F$5),IF($H24=Dataark!$B$18,IMPRODUCT(COMPLEX($F24*$G24,-$F24*(SIN(ACOS($G24))),"j"),Dataark!$F$5),"")),IF($C24=Dataark!$B$13,IF($H24=Dataark!$B$19,IMPRODUCT(COMPLEX($F24*$G24,$F24*(SIN(ACOS($G24))),"j"),Dataark!$F$3),IF($H24=Dataark!$B$18,IMPRODUCT(COMPLEX($F24*$G24,-$F24*(SIN(ACOS($G24))),"j"),Dataark!$F$3),)),))))</f>
        <v>0</v>
      </c>
      <c r="P24" s="2">
        <f>IF($D24="",0,IF(OR($C24=Dataark!$B$11,$C24=Dataark!$B$15),IF($H24=Dataark!$B$19,IMPRODUCT(COMPLEX($F24*$G24,$F24*(SIN(ACOS($G24))),"j"),Dataark!$G$3),IF($H24=Dataark!$B$18,IMPRODUCT(COMPLEX($F24*$G24,-$F24*(SIN(ACOS($G24))),"j"),Dataark!$G$3),"")),IF($C24=Dataark!$B$13,IF($H24=Dataark!$B$19,IMPRODUCT(COMPLEX($F24*$G24,$F24*(SIN(ACOS($G24))),"j"),Dataark!$G$4),IF($H24=Dataark!$B$18,IMPRODUCT(COMPLEX($F24*$G24,-$F24*(SIN(ACOS($G24))),"j"),Dataark!$G$4),"")),IF($C24=Dataark!$B$14,IF($H24=Dataark!$B$19,IMPRODUCT(COMPLEX($F24*$G24,$F24*(SIN(ACOS($G24))),"j"),Dataark!$G$5),IF($H24=Dataark!$B$18,IMPRODUCT(COMPLEX($F24*$G24,-$F24*(SIN(ACOS($G24))),"j"),Dataark!$G$5),)),))))</f>
        <v>0</v>
      </c>
      <c r="Q24">
        <f t="shared" si="4"/>
        <v>0</v>
      </c>
    </row>
    <row r="25" spans="1:17" x14ac:dyDescent="0.25">
      <c r="A25" s="10"/>
      <c r="B25" s="9" t="str">
        <f>IF(C25="","",VLOOKUP(C25,Dataark!$B$9:$C$15,2,FALSE))</f>
        <v/>
      </c>
      <c r="C25" s="10"/>
      <c r="D25" s="21"/>
      <c r="E25" s="22"/>
      <c r="F25" s="46" t="str">
        <f t="shared" si="0"/>
        <v/>
      </c>
      <c r="G25" s="10"/>
      <c r="H25" s="10"/>
      <c r="I25" s="10"/>
      <c r="J25" s="8" t="str">
        <f t="shared" si="1"/>
        <v/>
      </c>
      <c r="K25" s="8" t="str">
        <f t="shared" si="2"/>
        <v/>
      </c>
      <c r="L25" s="8" t="str">
        <f t="shared" si="3"/>
        <v/>
      </c>
      <c r="M25" s="8" t="str">
        <f>IF(I25="","",IF($I$2=Dataark!$B$21,IF(B25=1,((I25*F25)/100),IF(B25=2,((I25*F25)/100)*2,IF(B25=3,((I25*F25)/100)*3,))),IF($I$2=Dataark!$B$22,IF(B25=1,I25,IF(B25=2,I25*2,IF(B25=3,I25*3))))))</f>
        <v/>
      </c>
      <c r="N25" s="2">
        <f>IF($D25="",0,IF(OR($C25=Dataark!$B$9,$C25=Dataark!$B$15),IF($H25=Dataark!$B$19,IMPRODUCT(COMPLEX($F25*$G25,$F25*(SIN(ACOS($G25))),"j"),Dataark!$E$5),IF($H25=Dataark!$B$18,IMPRODUCT(COMPLEX($F25*$G25,-$F25*(SIN(ACOS($G25))),"j"),Dataark!$E$5),"")),IF($C25=Dataark!$B$12,IF($H25=Dataark!$B$19,IMPRODUCT(COMPLEX($F25*$G25,$F25*(SIN(ACOS($G25))),"j"),Dataark!$E$4),IF($H25=Dataark!$B$18,IMPRODUCT(COMPLEX($F25*$G25,-$F25*(SIN(ACOS($G25))),"j"),Dataark!$E$4),"")),IF($C25=Dataark!$B$14,IF($H25=Dataark!$B$19,IMPRODUCT(COMPLEX($F25*$G25,$F25*(SIN(ACOS($G25))),"j"),Dataark!$E$3),IF($H25=Dataark!$B$18,IMPRODUCT(COMPLEX($F25*$G25,-$F25*(SIN(ACOS($G25))),"j"),Dataark!$E$3),)),))))</f>
        <v>0</v>
      </c>
      <c r="O25" s="2">
        <f>IF($D25="",0,IF(OR($C25=Dataark!$B$10,$C25=Dataark!$B$15),IF($H25=Dataark!$B$19,IMPRODUCT(COMPLEX($F25*$G25,$F25*(SIN(ACOS($G25))),"j"),Dataark!$F$4),IF($H25=Dataark!$B$18,IMPRODUCT(COMPLEX($F25*$G25,-$F25*(SIN(ACOS($G25))),"j"),Dataark!$F$4),"")),IF($C25=Dataark!$B$12,IF($H25=Dataark!$B$19,IMPRODUCT(COMPLEX($F25*$G25,$F25*(SIN(ACOS($G25))),"j"),Dataark!$F$5),IF($H25=Dataark!$B$18,IMPRODUCT(COMPLEX($F25*$G25,-$F25*(SIN(ACOS($G25))),"j"),Dataark!$F$5),"")),IF($C25=Dataark!$B$13,IF($H25=Dataark!$B$19,IMPRODUCT(COMPLEX($F25*$G25,$F25*(SIN(ACOS($G25))),"j"),Dataark!$F$3),IF($H25=Dataark!$B$18,IMPRODUCT(COMPLEX($F25*$G25,-$F25*(SIN(ACOS($G25))),"j"),Dataark!$F$3),)),))))</f>
        <v>0</v>
      </c>
      <c r="P25" s="2">
        <f>IF($D25="",0,IF(OR($C25=Dataark!$B$11,$C25=Dataark!$B$15),IF($H25=Dataark!$B$19,IMPRODUCT(COMPLEX($F25*$G25,$F25*(SIN(ACOS($G25))),"j"),Dataark!$G$3),IF($H25=Dataark!$B$18,IMPRODUCT(COMPLEX($F25*$G25,-$F25*(SIN(ACOS($G25))),"j"),Dataark!$G$3),"")),IF($C25=Dataark!$B$13,IF($H25=Dataark!$B$19,IMPRODUCT(COMPLEX($F25*$G25,$F25*(SIN(ACOS($G25))),"j"),Dataark!$G$4),IF($H25=Dataark!$B$18,IMPRODUCT(COMPLEX($F25*$G25,-$F25*(SIN(ACOS($G25))),"j"),Dataark!$G$4),"")),IF($C25=Dataark!$B$14,IF($H25=Dataark!$B$19,IMPRODUCT(COMPLEX($F25*$G25,$F25*(SIN(ACOS($G25))),"j"),Dataark!$G$5),IF($H25=Dataark!$B$18,IMPRODUCT(COMPLEX($F25*$G25,-$F25*(SIN(ACOS($G25))),"j"),Dataark!$G$5),)),))))</f>
        <v>0</v>
      </c>
      <c r="Q25">
        <f t="shared" si="4"/>
        <v>0</v>
      </c>
    </row>
    <row r="26" spans="1:17" x14ac:dyDescent="0.25">
      <c r="A26" s="10"/>
      <c r="B26" s="9" t="str">
        <f>IF(C26="","",VLOOKUP(C26,Dataark!$B$9:$C$15,2,FALSE))</f>
        <v/>
      </c>
      <c r="C26" s="10"/>
      <c r="D26" s="21"/>
      <c r="E26" s="22"/>
      <c r="F26" s="46" t="str">
        <f t="shared" si="0"/>
        <v/>
      </c>
      <c r="G26" s="10"/>
      <c r="H26" s="10"/>
      <c r="I26" s="10"/>
      <c r="J26" s="8" t="str">
        <f t="shared" si="1"/>
        <v/>
      </c>
      <c r="K26" s="8" t="str">
        <f t="shared" si="2"/>
        <v/>
      </c>
      <c r="L26" s="8" t="str">
        <f t="shared" si="3"/>
        <v/>
      </c>
      <c r="M26" s="8" t="str">
        <f>IF(I26="","",IF($I$2=Dataark!$B$21,IF(B26=1,((I26*F26)/100),IF(B26=2,((I26*F26)/100)*2,IF(B26=3,((I26*F26)/100)*3,))),IF($I$2=Dataark!$B$22,IF(B26=1,I26,IF(B26=2,I26*2,IF(B26=3,I26*3))))))</f>
        <v/>
      </c>
      <c r="N26" s="2">
        <f>IF($D26="",0,IF(OR($C26=Dataark!$B$9,$C26=Dataark!$B$15),IF($H26=Dataark!$B$19,IMPRODUCT(COMPLEX($F26*$G26,$F26*(SIN(ACOS($G26))),"j"),Dataark!$E$5),IF($H26=Dataark!$B$18,IMPRODUCT(COMPLEX($F26*$G26,-$F26*(SIN(ACOS($G26))),"j"),Dataark!$E$5),"")),IF($C26=Dataark!$B$12,IF($H26=Dataark!$B$19,IMPRODUCT(COMPLEX($F26*$G26,$F26*(SIN(ACOS($G26))),"j"),Dataark!$E$4),IF($H26=Dataark!$B$18,IMPRODUCT(COMPLEX($F26*$G26,-$F26*(SIN(ACOS($G26))),"j"),Dataark!$E$4),"")),IF($C26=Dataark!$B$14,IF($H26=Dataark!$B$19,IMPRODUCT(COMPLEX($F26*$G26,$F26*(SIN(ACOS($G26))),"j"),Dataark!$E$3),IF($H26=Dataark!$B$18,IMPRODUCT(COMPLEX($F26*$G26,-$F26*(SIN(ACOS($G26))),"j"),Dataark!$E$3),)),))))</f>
        <v>0</v>
      </c>
      <c r="O26" s="2">
        <f>IF($D26="",0,IF(OR($C26=Dataark!$B$10,$C26=Dataark!$B$15),IF($H26=Dataark!$B$19,IMPRODUCT(COMPLEX($F26*$G26,$F26*(SIN(ACOS($G26))),"j"),Dataark!$F$4),IF($H26=Dataark!$B$18,IMPRODUCT(COMPLEX($F26*$G26,-$F26*(SIN(ACOS($G26))),"j"),Dataark!$F$4),"")),IF($C26=Dataark!$B$12,IF($H26=Dataark!$B$19,IMPRODUCT(COMPLEX($F26*$G26,$F26*(SIN(ACOS($G26))),"j"),Dataark!$F$5),IF($H26=Dataark!$B$18,IMPRODUCT(COMPLEX($F26*$G26,-$F26*(SIN(ACOS($G26))),"j"),Dataark!$F$5),"")),IF($C26=Dataark!$B$13,IF($H26=Dataark!$B$19,IMPRODUCT(COMPLEX($F26*$G26,$F26*(SIN(ACOS($G26))),"j"),Dataark!$F$3),IF($H26=Dataark!$B$18,IMPRODUCT(COMPLEX($F26*$G26,-$F26*(SIN(ACOS($G26))),"j"),Dataark!$F$3),)),))))</f>
        <v>0</v>
      </c>
      <c r="P26" s="2">
        <f>IF($D26="",0,IF(OR($C26=Dataark!$B$11,$C26=Dataark!$B$15),IF($H26=Dataark!$B$19,IMPRODUCT(COMPLEX($F26*$G26,$F26*(SIN(ACOS($G26))),"j"),Dataark!$G$3),IF($H26=Dataark!$B$18,IMPRODUCT(COMPLEX($F26*$G26,-$F26*(SIN(ACOS($G26))),"j"),Dataark!$G$3),"")),IF($C26=Dataark!$B$13,IF($H26=Dataark!$B$19,IMPRODUCT(COMPLEX($F26*$G26,$F26*(SIN(ACOS($G26))),"j"),Dataark!$G$4),IF($H26=Dataark!$B$18,IMPRODUCT(COMPLEX($F26*$G26,-$F26*(SIN(ACOS($G26))),"j"),Dataark!$G$4),"")),IF($C26=Dataark!$B$14,IF($H26=Dataark!$B$19,IMPRODUCT(COMPLEX($F26*$G26,$F26*(SIN(ACOS($G26))),"j"),Dataark!$G$5),IF($H26=Dataark!$B$18,IMPRODUCT(COMPLEX($F26*$G26,-$F26*(SIN(ACOS($G26))),"j"),Dataark!$G$5),)),))))</f>
        <v>0</v>
      </c>
      <c r="Q26">
        <f t="shared" si="4"/>
        <v>0</v>
      </c>
    </row>
    <row r="27" spans="1:17" x14ac:dyDescent="0.25">
      <c r="A27" s="10"/>
      <c r="B27" s="9" t="str">
        <f>IF(C27="","",VLOOKUP(C27,Dataark!$B$9:$C$15,2,FALSE))</f>
        <v/>
      </c>
      <c r="C27" s="10"/>
      <c r="D27" s="21"/>
      <c r="E27" s="22"/>
      <c r="F27" s="46" t="str">
        <f t="shared" si="0"/>
        <v/>
      </c>
      <c r="G27" s="10"/>
      <c r="H27" s="10"/>
      <c r="I27" s="10"/>
      <c r="J27" s="8" t="str">
        <f t="shared" si="1"/>
        <v/>
      </c>
      <c r="K27" s="8" t="str">
        <f t="shared" si="2"/>
        <v/>
      </c>
      <c r="L27" s="8" t="str">
        <f t="shared" si="3"/>
        <v/>
      </c>
      <c r="M27" s="8" t="str">
        <f>IF(I27="","",IF($I$2=Dataark!$B$21,IF(B27=1,((I27*F27)/100),IF(B27=2,((I27*F27)/100)*2,IF(B27=3,((I27*F27)/100)*3,))),IF($I$2=Dataark!$B$22,IF(B27=1,I27,IF(B27=2,I27*2,IF(B27=3,I27*3))))))</f>
        <v/>
      </c>
      <c r="N27" s="2">
        <f>IF($D27="",0,IF(OR($C27=Dataark!$B$9,$C27=Dataark!$B$15),IF($H27=Dataark!$B$19,IMPRODUCT(COMPLEX($F27*$G27,$F27*(SIN(ACOS($G27))),"j"),Dataark!$E$5),IF($H27=Dataark!$B$18,IMPRODUCT(COMPLEX($F27*$G27,-$F27*(SIN(ACOS($G27))),"j"),Dataark!$E$5),"")),IF($C27=Dataark!$B$12,IF($H27=Dataark!$B$19,IMPRODUCT(COMPLEX($F27*$G27,$F27*(SIN(ACOS($G27))),"j"),Dataark!$E$4),IF($H27=Dataark!$B$18,IMPRODUCT(COMPLEX($F27*$G27,-$F27*(SIN(ACOS($G27))),"j"),Dataark!$E$4),"")),IF($C27=Dataark!$B$14,IF($H27=Dataark!$B$19,IMPRODUCT(COMPLEX($F27*$G27,$F27*(SIN(ACOS($G27))),"j"),Dataark!$E$3),IF($H27=Dataark!$B$18,IMPRODUCT(COMPLEX($F27*$G27,-$F27*(SIN(ACOS($G27))),"j"),Dataark!$E$3),)),))))</f>
        <v>0</v>
      </c>
      <c r="O27" s="2">
        <f>IF($D27="",0,IF(OR($C27=Dataark!$B$10,$C27=Dataark!$B$15),IF($H27=Dataark!$B$19,IMPRODUCT(COMPLEX($F27*$G27,$F27*(SIN(ACOS($G27))),"j"),Dataark!$F$4),IF($H27=Dataark!$B$18,IMPRODUCT(COMPLEX($F27*$G27,-$F27*(SIN(ACOS($G27))),"j"),Dataark!$F$4),"")),IF($C27=Dataark!$B$12,IF($H27=Dataark!$B$19,IMPRODUCT(COMPLEX($F27*$G27,$F27*(SIN(ACOS($G27))),"j"),Dataark!$F$5),IF($H27=Dataark!$B$18,IMPRODUCT(COMPLEX($F27*$G27,-$F27*(SIN(ACOS($G27))),"j"),Dataark!$F$5),"")),IF($C27=Dataark!$B$13,IF($H27=Dataark!$B$19,IMPRODUCT(COMPLEX($F27*$G27,$F27*(SIN(ACOS($G27))),"j"),Dataark!$F$3),IF($H27=Dataark!$B$18,IMPRODUCT(COMPLEX($F27*$G27,-$F27*(SIN(ACOS($G27))),"j"),Dataark!$F$3),)),))))</f>
        <v>0</v>
      </c>
      <c r="P27" s="2">
        <f>IF($D27="",0,IF(OR($C27=Dataark!$B$11,$C27=Dataark!$B$15),IF($H27=Dataark!$B$19,IMPRODUCT(COMPLEX($F27*$G27,$F27*(SIN(ACOS($G27))),"j"),Dataark!$G$3),IF($H27=Dataark!$B$18,IMPRODUCT(COMPLEX($F27*$G27,-$F27*(SIN(ACOS($G27))),"j"),Dataark!$G$3),"")),IF($C27=Dataark!$B$13,IF($H27=Dataark!$B$19,IMPRODUCT(COMPLEX($F27*$G27,$F27*(SIN(ACOS($G27))),"j"),Dataark!$G$4),IF($H27=Dataark!$B$18,IMPRODUCT(COMPLEX($F27*$G27,-$F27*(SIN(ACOS($G27))),"j"),Dataark!$G$4),"")),IF($C27=Dataark!$B$14,IF($H27=Dataark!$B$19,IMPRODUCT(COMPLEX($F27*$G27,$F27*(SIN(ACOS($G27))),"j"),Dataark!$G$5),IF($H27=Dataark!$B$18,IMPRODUCT(COMPLEX($F27*$G27,-$F27*(SIN(ACOS($G27))),"j"),Dataark!$G$5),)),))))</f>
        <v>0</v>
      </c>
      <c r="Q27">
        <f t="shared" si="4"/>
        <v>0</v>
      </c>
    </row>
    <row r="28" spans="1:17" x14ac:dyDescent="0.25">
      <c r="A28" s="10"/>
      <c r="B28" s="9" t="str">
        <f>IF(C28="","",VLOOKUP(C28,Dataark!$B$9:$C$15,2,FALSE))</f>
        <v/>
      </c>
      <c r="C28" s="10"/>
      <c r="D28" s="21"/>
      <c r="E28" s="22"/>
      <c r="F28" s="46" t="str">
        <f t="shared" si="0"/>
        <v/>
      </c>
      <c r="G28" s="10"/>
      <c r="H28" s="10"/>
      <c r="I28" s="10"/>
      <c r="J28" s="8" t="str">
        <f t="shared" si="1"/>
        <v/>
      </c>
      <c r="K28" s="8" t="str">
        <f t="shared" si="2"/>
        <v/>
      </c>
      <c r="L28" s="8" t="str">
        <f t="shared" si="3"/>
        <v/>
      </c>
      <c r="M28" s="8" t="str">
        <f>IF(I28="","",IF($I$2=Dataark!$B$21,IF(B28=1,((I28*F28)/100),IF(B28=2,((I28*F28)/100)*2,IF(B28=3,((I28*F28)/100)*3,))),IF($I$2=Dataark!$B$22,IF(B28=1,I28,IF(B28=2,I28*2,IF(B28=3,I28*3))))))</f>
        <v/>
      </c>
      <c r="N28" s="2">
        <f>IF($D28="",0,IF(OR($C28=Dataark!$B$9,$C28=Dataark!$B$15),IF($H28=Dataark!$B$19,IMPRODUCT(COMPLEX($F28*$G28,$F28*(SIN(ACOS($G28))),"j"),Dataark!$E$5),IF($H28=Dataark!$B$18,IMPRODUCT(COMPLEX($F28*$G28,-$F28*(SIN(ACOS($G28))),"j"),Dataark!$E$5),"")),IF($C28=Dataark!$B$12,IF($H28=Dataark!$B$19,IMPRODUCT(COMPLEX($F28*$G28,$F28*(SIN(ACOS($G28))),"j"),Dataark!$E$4),IF($H28=Dataark!$B$18,IMPRODUCT(COMPLEX($F28*$G28,-$F28*(SIN(ACOS($G28))),"j"),Dataark!$E$4),"")),IF($C28=Dataark!$B$14,IF($H28=Dataark!$B$19,IMPRODUCT(COMPLEX($F28*$G28,$F28*(SIN(ACOS($G28))),"j"),Dataark!$E$3),IF($H28=Dataark!$B$18,IMPRODUCT(COMPLEX($F28*$G28,-$F28*(SIN(ACOS($G28))),"j"),Dataark!$E$3),)),))))</f>
        <v>0</v>
      </c>
      <c r="O28" s="2">
        <f>IF($D28="",0,IF(OR($C28=Dataark!$B$10,$C28=Dataark!$B$15),IF($H28=Dataark!$B$19,IMPRODUCT(COMPLEX($F28*$G28,$F28*(SIN(ACOS($G28))),"j"),Dataark!$F$4),IF($H28=Dataark!$B$18,IMPRODUCT(COMPLEX($F28*$G28,-$F28*(SIN(ACOS($G28))),"j"),Dataark!$F$4),"")),IF($C28=Dataark!$B$12,IF($H28=Dataark!$B$19,IMPRODUCT(COMPLEX($F28*$G28,$F28*(SIN(ACOS($G28))),"j"),Dataark!$F$5),IF($H28=Dataark!$B$18,IMPRODUCT(COMPLEX($F28*$G28,-$F28*(SIN(ACOS($G28))),"j"),Dataark!$F$5),"")),IF($C28=Dataark!$B$13,IF($H28=Dataark!$B$19,IMPRODUCT(COMPLEX($F28*$G28,$F28*(SIN(ACOS($G28))),"j"),Dataark!$F$3),IF($H28=Dataark!$B$18,IMPRODUCT(COMPLEX($F28*$G28,-$F28*(SIN(ACOS($G28))),"j"),Dataark!$F$3),)),))))</f>
        <v>0</v>
      </c>
      <c r="P28" s="2">
        <f>IF($D28="",0,IF(OR($C28=Dataark!$B$11,$C28=Dataark!$B$15),IF($H28=Dataark!$B$19,IMPRODUCT(COMPLEX($F28*$G28,$F28*(SIN(ACOS($G28))),"j"),Dataark!$G$3),IF($H28=Dataark!$B$18,IMPRODUCT(COMPLEX($F28*$G28,-$F28*(SIN(ACOS($G28))),"j"),Dataark!$G$3),"")),IF($C28=Dataark!$B$13,IF($H28=Dataark!$B$19,IMPRODUCT(COMPLEX($F28*$G28,$F28*(SIN(ACOS($G28))),"j"),Dataark!$G$4),IF($H28=Dataark!$B$18,IMPRODUCT(COMPLEX($F28*$G28,-$F28*(SIN(ACOS($G28))),"j"),Dataark!$G$4),"")),IF($C28=Dataark!$B$14,IF($H28=Dataark!$B$19,IMPRODUCT(COMPLEX($F28*$G28,$F28*(SIN(ACOS($G28))),"j"),Dataark!$G$5),IF($H28=Dataark!$B$18,IMPRODUCT(COMPLEX($F28*$G28,-$F28*(SIN(ACOS($G28))),"j"),Dataark!$G$5),)),))))</f>
        <v>0</v>
      </c>
      <c r="Q28">
        <f t="shared" si="4"/>
        <v>0</v>
      </c>
    </row>
    <row r="29" spans="1:17" x14ac:dyDescent="0.25">
      <c r="A29" s="10"/>
      <c r="B29" s="9" t="str">
        <f>IF(C29="","",VLOOKUP(C29,Dataark!$B$9:$C$15,2,FALSE))</f>
        <v/>
      </c>
      <c r="C29" s="10"/>
      <c r="D29" s="21"/>
      <c r="E29" s="22"/>
      <c r="F29" s="46" t="str">
        <f t="shared" si="0"/>
        <v/>
      </c>
      <c r="G29" s="10"/>
      <c r="H29" s="10"/>
      <c r="I29" s="10"/>
      <c r="J29" s="8" t="str">
        <f t="shared" si="1"/>
        <v/>
      </c>
      <c r="K29" s="8" t="str">
        <f t="shared" si="2"/>
        <v/>
      </c>
      <c r="L29" s="8" t="str">
        <f t="shared" si="3"/>
        <v/>
      </c>
      <c r="M29" s="8" t="str">
        <f>IF(I29="","",IF($I$2=Dataark!$B$21,IF(B29=1,((I29*F29)/100),IF(B29=2,((I29*F29)/100)*2,IF(B29=3,((I29*F29)/100)*3,))),IF($I$2=Dataark!$B$22,IF(B29=1,I29,IF(B29=2,I29*2,IF(B29=3,I29*3))))))</f>
        <v/>
      </c>
      <c r="N29" s="2">
        <f>IF($D29="",0,IF(OR($C29=Dataark!$B$9,$C29=Dataark!$B$15),IF($H29=Dataark!$B$19,IMPRODUCT(COMPLEX($F29*$G29,$F29*(SIN(ACOS($G29))),"j"),Dataark!$E$5),IF($H29=Dataark!$B$18,IMPRODUCT(COMPLEX($F29*$G29,-$F29*(SIN(ACOS($G29))),"j"),Dataark!$E$5),"")),IF($C29=Dataark!$B$12,IF($H29=Dataark!$B$19,IMPRODUCT(COMPLEX($F29*$G29,$F29*(SIN(ACOS($G29))),"j"),Dataark!$E$4),IF($H29=Dataark!$B$18,IMPRODUCT(COMPLEX($F29*$G29,-$F29*(SIN(ACOS($G29))),"j"),Dataark!$E$4),"")),IF($C29=Dataark!$B$14,IF($H29=Dataark!$B$19,IMPRODUCT(COMPLEX($F29*$G29,$F29*(SIN(ACOS($G29))),"j"),Dataark!$E$3),IF($H29=Dataark!$B$18,IMPRODUCT(COMPLEX($F29*$G29,-$F29*(SIN(ACOS($G29))),"j"),Dataark!$E$3),)),))))</f>
        <v>0</v>
      </c>
      <c r="O29" s="2">
        <f>IF($D29="",0,IF(OR($C29=Dataark!$B$10,$C29=Dataark!$B$15),IF($H29=Dataark!$B$19,IMPRODUCT(COMPLEX($F29*$G29,$F29*(SIN(ACOS($G29))),"j"),Dataark!$F$4),IF($H29=Dataark!$B$18,IMPRODUCT(COMPLEX($F29*$G29,-$F29*(SIN(ACOS($G29))),"j"),Dataark!$F$4),"")),IF($C29=Dataark!$B$12,IF($H29=Dataark!$B$19,IMPRODUCT(COMPLEX($F29*$G29,$F29*(SIN(ACOS($G29))),"j"),Dataark!$F$5),IF($H29=Dataark!$B$18,IMPRODUCT(COMPLEX($F29*$G29,-$F29*(SIN(ACOS($G29))),"j"),Dataark!$F$5),"")),IF($C29=Dataark!$B$13,IF($H29=Dataark!$B$19,IMPRODUCT(COMPLEX($F29*$G29,$F29*(SIN(ACOS($G29))),"j"),Dataark!$F$3),IF($H29=Dataark!$B$18,IMPRODUCT(COMPLEX($F29*$G29,-$F29*(SIN(ACOS($G29))),"j"),Dataark!$F$3),)),))))</f>
        <v>0</v>
      </c>
      <c r="P29" s="2">
        <f>IF($D29="",0,IF(OR($C29=Dataark!$B$11,$C29=Dataark!$B$15),IF($H29=Dataark!$B$19,IMPRODUCT(COMPLEX($F29*$G29,$F29*(SIN(ACOS($G29))),"j"),Dataark!$G$3),IF($H29=Dataark!$B$18,IMPRODUCT(COMPLEX($F29*$G29,-$F29*(SIN(ACOS($G29))),"j"),Dataark!$G$3),"")),IF($C29=Dataark!$B$13,IF($H29=Dataark!$B$19,IMPRODUCT(COMPLEX($F29*$G29,$F29*(SIN(ACOS($G29))),"j"),Dataark!$G$4),IF($H29=Dataark!$B$18,IMPRODUCT(COMPLEX($F29*$G29,-$F29*(SIN(ACOS($G29))),"j"),Dataark!$G$4),"")),IF($C29=Dataark!$B$14,IF($H29=Dataark!$B$19,IMPRODUCT(COMPLEX($F29*$G29,$F29*(SIN(ACOS($G29))),"j"),Dataark!$G$5),IF($H29=Dataark!$B$18,IMPRODUCT(COMPLEX($F29*$G29,-$F29*(SIN(ACOS($G29))),"j"),Dataark!$G$5),)),))))</f>
        <v>0</v>
      </c>
      <c r="Q29">
        <f t="shared" si="4"/>
        <v>0</v>
      </c>
    </row>
    <row r="30" spans="1:17" x14ac:dyDescent="0.25">
      <c r="A30" s="10"/>
      <c r="B30" s="9" t="str">
        <f>IF(C30="","",VLOOKUP(C30,Dataark!$B$9:$C$15,2,FALSE))</f>
        <v/>
      </c>
      <c r="C30" s="10"/>
      <c r="D30" s="21"/>
      <c r="E30" s="22"/>
      <c r="F30" s="46" t="str">
        <f t="shared" si="0"/>
        <v/>
      </c>
      <c r="G30" s="10"/>
      <c r="H30" s="10"/>
      <c r="I30" s="10"/>
      <c r="J30" s="8" t="str">
        <f t="shared" si="1"/>
        <v/>
      </c>
      <c r="K30" s="8" t="str">
        <f t="shared" si="2"/>
        <v/>
      </c>
      <c r="L30" s="8" t="str">
        <f t="shared" si="3"/>
        <v/>
      </c>
      <c r="M30" s="8" t="str">
        <f>IF(I30="","",IF($I$2=Dataark!$B$21,IF(B30=1,((I30*F30)/100),IF(B30=2,((I30*F30)/100)*2,IF(B30=3,((I30*F30)/100)*3,))),IF($I$2=Dataark!$B$22,IF(B30=1,I30,IF(B30=2,I30*2,IF(B30=3,I30*3))))))</f>
        <v/>
      </c>
      <c r="N30" s="2">
        <f>IF($D30="",0,IF(OR($C30=Dataark!$B$9,$C30=Dataark!$B$15),IF($H30=Dataark!$B$19,IMPRODUCT(COMPLEX($F30*$G30,$F30*(SIN(ACOS($G30))),"j"),Dataark!$E$5),IF($H30=Dataark!$B$18,IMPRODUCT(COMPLEX($F30*$G30,-$F30*(SIN(ACOS($G30))),"j"),Dataark!$E$5),"")),IF($C30=Dataark!$B$12,IF($H30=Dataark!$B$19,IMPRODUCT(COMPLEX($F30*$G30,$F30*(SIN(ACOS($G30))),"j"),Dataark!$E$4),IF($H30=Dataark!$B$18,IMPRODUCT(COMPLEX($F30*$G30,-$F30*(SIN(ACOS($G30))),"j"),Dataark!$E$4),"")),IF($C30=Dataark!$B$14,IF($H30=Dataark!$B$19,IMPRODUCT(COMPLEX($F30*$G30,$F30*(SIN(ACOS($G30))),"j"),Dataark!$E$3),IF($H30=Dataark!$B$18,IMPRODUCT(COMPLEX($F30*$G30,-$F30*(SIN(ACOS($G30))),"j"),Dataark!$E$3),)),))))</f>
        <v>0</v>
      </c>
      <c r="O30" s="2">
        <f>IF($D30="",0,IF(OR($C30=Dataark!$B$10,$C30=Dataark!$B$15),IF($H30=Dataark!$B$19,IMPRODUCT(COMPLEX($F30*$G30,$F30*(SIN(ACOS($G30))),"j"),Dataark!$F$4),IF($H30=Dataark!$B$18,IMPRODUCT(COMPLEX($F30*$G30,-$F30*(SIN(ACOS($G30))),"j"),Dataark!$F$4),"")),IF($C30=Dataark!$B$12,IF($H30=Dataark!$B$19,IMPRODUCT(COMPLEX($F30*$G30,$F30*(SIN(ACOS($G30))),"j"),Dataark!$F$5),IF($H30=Dataark!$B$18,IMPRODUCT(COMPLEX($F30*$G30,-$F30*(SIN(ACOS($G30))),"j"),Dataark!$F$5),"")),IF($C30=Dataark!$B$13,IF($H30=Dataark!$B$19,IMPRODUCT(COMPLEX($F30*$G30,$F30*(SIN(ACOS($G30))),"j"),Dataark!$F$3),IF($H30=Dataark!$B$18,IMPRODUCT(COMPLEX($F30*$G30,-$F30*(SIN(ACOS($G30))),"j"),Dataark!$F$3),)),))))</f>
        <v>0</v>
      </c>
      <c r="P30" s="2">
        <f>IF($D30="",0,IF(OR($C30=Dataark!$B$11,$C30=Dataark!$B$15),IF($H30=Dataark!$B$19,IMPRODUCT(COMPLEX($F30*$G30,$F30*(SIN(ACOS($G30))),"j"),Dataark!$G$3),IF($H30=Dataark!$B$18,IMPRODUCT(COMPLEX($F30*$G30,-$F30*(SIN(ACOS($G30))),"j"),Dataark!$G$3),"")),IF($C30=Dataark!$B$13,IF($H30=Dataark!$B$19,IMPRODUCT(COMPLEX($F30*$G30,$F30*(SIN(ACOS($G30))),"j"),Dataark!$G$4),IF($H30=Dataark!$B$18,IMPRODUCT(COMPLEX($F30*$G30,-$F30*(SIN(ACOS($G30))),"j"),Dataark!$G$4),"")),IF($C30=Dataark!$B$14,IF($H30=Dataark!$B$19,IMPRODUCT(COMPLEX($F30*$G30,$F30*(SIN(ACOS($G30))),"j"),Dataark!$G$5),IF($H30=Dataark!$B$18,IMPRODUCT(COMPLEX($F30*$G30,-$F30*(SIN(ACOS($G30))),"j"),Dataark!$G$5),)),))))</f>
        <v>0</v>
      </c>
      <c r="Q30">
        <f t="shared" si="4"/>
        <v>0</v>
      </c>
    </row>
    <row r="31" spans="1:17" x14ac:dyDescent="0.25">
      <c r="A31" s="10"/>
      <c r="B31" s="9" t="str">
        <f>IF(C31="","",VLOOKUP(C31,Dataark!$B$9:$C$15,2,FALSE))</f>
        <v/>
      </c>
      <c r="C31" s="10"/>
      <c r="D31" s="21"/>
      <c r="E31" s="22"/>
      <c r="F31" s="46" t="str">
        <f t="shared" si="0"/>
        <v/>
      </c>
      <c r="G31" s="10"/>
      <c r="H31" s="10"/>
      <c r="I31" s="10"/>
      <c r="J31" s="8" t="str">
        <f t="shared" si="1"/>
        <v/>
      </c>
      <c r="K31" s="8" t="str">
        <f t="shared" si="2"/>
        <v/>
      </c>
      <c r="L31" s="8" t="str">
        <f t="shared" si="3"/>
        <v/>
      </c>
      <c r="M31" s="8" t="str">
        <f>IF(I31="","",IF($I$2=Dataark!$B$21,IF(B31=1,((I31*F31)/100),IF(B31=2,((I31*F31)/100)*2,IF(B31=3,((I31*F31)/100)*3,))),IF($I$2=Dataark!$B$22,IF(B31=1,I31,IF(B31=2,I31*2,IF(B31=3,I31*3))))))</f>
        <v/>
      </c>
      <c r="N31" s="2">
        <f>IF($D31="",0,IF(OR($C31=Dataark!$B$9,$C31=Dataark!$B$15),IF($H31=Dataark!$B$19,IMPRODUCT(COMPLEX($F31*$G31,$F31*(SIN(ACOS($G31))),"j"),Dataark!$E$5),IF($H31=Dataark!$B$18,IMPRODUCT(COMPLEX($F31*$G31,-$F31*(SIN(ACOS($G31))),"j"),Dataark!$E$5),"")),IF($C31=Dataark!$B$12,IF($H31=Dataark!$B$19,IMPRODUCT(COMPLEX($F31*$G31,$F31*(SIN(ACOS($G31))),"j"),Dataark!$E$4),IF($H31=Dataark!$B$18,IMPRODUCT(COMPLEX($F31*$G31,-$F31*(SIN(ACOS($G31))),"j"),Dataark!$E$4),"")),IF($C31=Dataark!$B$14,IF($H31=Dataark!$B$19,IMPRODUCT(COMPLEX($F31*$G31,$F31*(SIN(ACOS($G31))),"j"),Dataark!$E$3),IF($H31=Dataark!$B$18,IMPRODUCT(COMPLEX($F31*$G31,-$F31*(SIN(ACOS($G31))),"j"),Dataark!$E$3),)),))))</f>
        <v>0</v>
      </c>
      <c r="O31" s="2">
        <f>IF($D31="",0,IF(OR($C31=Dataark!$B$10,$C31=Dataark!$B$15),IF($H31=Dataark!$B$19,IMPRODUCT(COMPLEX($F31*$G31,$F31*(SIN(ACOS($G31))),"j"),Dataark!$F$4),IF($H31=Dataark!$B$18,IMPRODUCT(COMPLEX($F31*$G31,-$F31*(SIN(ACOS($G31))),"j"),Dataark!$F$4),"")),IF($C31=Dataark!$B$12,IF($H31=Dataark!$B$19,IMPRODUCT(COMPLEX($F31*$G31,$F31*(SIN(ACOS($G31))),"j"),Dataark!$F$5),IF($H31=Dataark!$B$18,IMPRODUCT(COMPLEX($F31*$G31,-$F31*(SIN(ACOS($G31))),"j"),Dataark!$F$5),"")),IF($C31=Dataark!$B$13,IF($H31=Dataark!$B$19,IMPRODUCT(COMPLEX($F31*$G31,$F31*(SIN(ACOS($G31))),"j"),Dataark!$F$3),IF($H31=Dataark!$B$18,IMPRODUCT(COMPLEX($F31*$G31,-$F31*(SIN(ACOS($G31))),"j"),Dataark!$F$3),)),))))</f>
        <v>0</v>
      </c>
      <c r="P31" s="2">
        <f>IF($D31="",0,IF(OR($C31=Dataark!$B$11,$C31=Dataark!$B$15),IF($H31=Dataark!$B$19,IMPRODUCT(COMPLEX($F31*$G31,$F31*(SIN(ACOS($G31))),"j"),Dataark!$G$3),IF($H31=Dataark!$B$18,IMPRODUCT(COMPLEX($F31*$G31,-$F31*(SIN(ACOS($G31))),"j"),Dataark!$G$3),"")),IF($C31=Dataark!$B$13,IF($H31=Dataark!$B$19,IMPRODUCT(COMPLEX($F31*$G31,$F31*(SIN(ACOS($G31))),"j"),Dataark!$G$4),IF($H31=Dataark!$B$18,IMPRODUCT(COMPLEX($F31*$G31,-$F31*(SIN(ACOS($G31))),"j"),Dataark!$G$4),"")),IF($C31=Dataark!$B$14,IF($H31=Dataark!$B$19,IMPRODUCT(COMPLEX($F31*$G31,$F31*(SIN(ACOS($G31))),"j"),Dataark!$G$5),IF($H31=Dataark!$B$18,IMPRODUCT(COMPLEX($F31*$G31,-$F31*(SIN(ACOS($G31))),"j"),Dataark!$G$5),)),))))</f>
        <v>0</v>
      </c>
      <c r="Q31">
        <f t="shared" si="4"/>
        <v>0</v>
      </c>
    </row>
    <row r="32" spans="1:17" x14ac:dyDescent="0.25">
      <c r="A32" s="10"/>
      <c r="B32" s="9" t="str">
        <f>IF(C32="","",VLOOKUP(C32,Dataark!$B$9:$C$15,2,FALSE))</f>
        <v/>
      </c>
      <c r="C32" s="10"/>
      <c r="D32" s="21"/>
      <c r="E32" s="22"/>
      <c r="F32" s="46" t="str">
        <f t="shared" si="0"/>
        <v/>
      </c>
      <c r="G32" s="10"/>
      <c r="H32" s="10"/>
      <c r="I32" s="10"/>
      <c r="J32" s="8" t="str">
        <f t="shared" si="1"/>
        <v/>
      </c>
      <c r="K32" s="8" t="str">
        <f t="shared" si="2"/>
        <v/>
      </c>
      <c r="L32" s="8" t="str">
        <f t="shared" si="3"/>
        <v/>
      </c>
      <c r="M32" s="8" t="str">
        <f>IF(I32="","",IF($I$2=Dataark!$B$21,IF(B32=1,((I32*F32)/100),IF(B32=2,((I32*F32)/100)*2,IF(B32=3,((I32*F32)/100)*3,))),IF($I$2=Dataark!$B$22,IF(B32=1,I32,IF(B32=2,I32*2,IF(B32=3,I32*3))))))</f>
        <v/>
      </c>
      <c r="N32" s="2">
        <f>IF($D32="",0,IF(OR($C32=Dataark!$B$9,$C32=Dataark!$B$15),IF($H32=Dataark!$B$19,IMPRODUCT(COMPLEX($F32*$G32,$F32*(SIN(ACOS($G32))),"j"),Dataark!$E$5),IF($H32=Dataark!$B$18,IMPRODUCT(COMPLEX($F32*$G32,-$F32*(SIN(ACOS($G32))),"j"),Dataark!$E$5),"")),IF($C32=Dataark!$B$12,IF($H32=Dataark!$B$19,IMPRODUCT(COMPLEX($F32*$G32,$F32*(SIN(ACOS($G32))),"j"),Dataark!$E$4),IF($H32=Dataark!$B$18,IMPRODUCT(COMPLEX($F32*$G32,-$F32*(SIN(ACOS($G32))),"j"),Dataark!$E$4),"")),IF($C32=Dataark!$B$14,IF($H32=Dataark!$B$19,IMPRODUCT(COMPLEX($F32*$G32,$F32*(SIN(ACOS($G32))),"j"),Dataark!$E$3),IF($H32=Dataark!$B$18,IMPRODUCT(COMPLEX($F32*$G32,-$F32*(SIN(ACOS($G32))),"j"),Dataark!$E$3),)),))))</f>
        <v>0</v>
      </c>
      <c r="O32" s="2">
        <f>IF($D32="",0,IF(OR($C32=Dataark!$B$10,$C32=Dataark!$B$15),IF($H32=Dataark!$B$19,IMPRODUCT(COMPLEX($F32*$G32,$F32*(SIN(ACOS($G32))),"j"),Dataark!$F$4),IF($H32=Dataark!$B$18,IMPRODUCT(COMPLEX($F32*$G32,-$F32*(SIN(ACOS($G32))),"j"),Dataark!$F$4),"")),IF($C32=Dataark!$B$12,IF($H32=Dataark!$B$19,IMPRODUCT(COMPLEX($F32*$G32,$F32*(SIN(ACOS($G32))),"j"),Dataark!$F$5),IF($H32=Dataark!$B$18,IMPRODUCT(COMPLEX($F32*$G32,-$F32*(SIN(ACOS($G32))),"j"),Dataark!$F$5),"")),IF($C32=Dataark!$B$13,IF($H32=Dataark!$B$19,IMPRODUCT(COMPLEX($F32*$G32,$F32*(SIN(ACOS($G32))),"j"),Dataark!$F$3),IF($H32=Dataark!$B$18,IMPRODUCT(COMPLEX($F32*$G32,-$F32*(SIN(ACOS($G32))),"j"),Dataark!$F$3),)),))))</f>
        <v>0</v>
      </c>
      <c r="P32" s="2">
        <f>IF($D32="",0,IF(OR($C32=Dataark!$B$11,$C32=Dataark!$B$15),IF($H32=Dataark!$B$19,IMPRODUCT(COMPLEX($F32*$G32,$F32*(SIN(ACOS($G32))),"j"),Dataark!$G$3),IF($H32=Dataark!$B$18,IMPRODUCT(COMPLEX($F32*$G32,-$F32*(SIN(ACOS($G32))),"j"),Dataark!$G$3),"")),IF($C32=Dataark!$B$13,IF($H32=Dataark!$B$19,IMPRODUCT(COMPLEX($F32*$G32,$F32*(SIN(ACOS($G32))),"j"),Dataark!$G$4),IF($H32=Dataark!$B$18,IMPRODUCT(COMPLEX($F32*$G32,-$F32*(SIN(ACOS($G32))),"j"),Dataark!$G$4),"")),IF($C32=Dataark!$B$14,IF($H32=Dataark!$B$19,IMPRODUCT(COMPLEX($F32*$G32,$F32*(SIN(ACOS($G32))),"j"),Dataark!$G$5),IF($H32=Dataark!$B$18,IMPRODUCT(COMPLEX($F32*$G32,-$F32*(SIN(ACOS($G32))),"j"),Dataark!$G$5),)),))))</f>
        <v>0</v>
      </c>
      <c r="Q32">
        <f t="shared" si="4"/>
        <v>0</v>
      </c>
    </row>
    <row r="33" spans="1:17" x14ac:dyDescent="0.25">
      <c r="A33" s="10"/>
      <c r="B33" s="9" t="str">
        <f>IF(C33="","",VLOOKUP(C33,Dataark!$B$9:$C$15,2,FALSE))</f>
        <v/>
      </c>
      <c r="C33" s="10"/>
      <c r="D33" s="21"/>
      <c r="E33" s="22"/>
      <c r="F33" s="46" t="str">
        <f t="shared" si="0"/>
        <v/>
      </c>
      <c r="G33" s="10"/>
      <c r="H33" s="10"/>
      <c r="I33" s="10"/>
      <c r="J33" s="8" t="str">
        <f t="shared" si="1"/>
        <v/>
      </c>
      <c r="K33" s="8" t="str">
        <f t="shared" si="2"/>
        <v/>
      </c>
      <c r="L33" s="8" t="str">
        <f t="shared" si="3"/>
        <v/>
      </c>
      <c r="M33" s="8" t="str">
        <f>IF(I33="","",IF($I$2=Dataark!$B$21,IF(B33=1,((I33*F33)/100),IF(B33=2,((I33*F33)/100)*2,IF(B33=3,((I33*F33)/100)*3,))),IF($I$2=Dataark!$B$22,IF(B33=1,I33,IF(B33=2,I33*2,IF(B33=3,I33*3))))))</f>
        <v/>
      </c>
      <c r="N33" s="2">
        <f>IF($D33="",0,IF(OR($C33=Dataark!$B$9,$C33=Dataark!$B$15),IF($H33=Dataark!$B$19,IMPRODUCT(COMPLEX($F33*$G33,$F33*(SIN(ACOS($G33))),"j"),Dataark!$E$5),IF($H33=Dataark!$B$18,IMPRODUCT(COMPLEX($F33*$G33,-$F33*(SIN(ACOS($G33))),"j"),Dataark!$E$5),"")),IF($C33=Dataark!$B$12,IF($H33=Dataark!$B$19,IMPRODUCT(COMPLEX($F33*$G33,$F33*(SIN(ACOS($G33))),"j"),Dataark!$E$4),IF($H33=Dataark!$B$18,IMPRODUCT(COMPLEX($F33*$G33,-$F33*(SIN(ACOS($G33))),"j"),Dataark!$E$4),"")),IF($C33=Dataark!$B$14,IF($H33=Dataark!$B$19,IMPRODUCT(COMPLEX($F33*$G33,$F33*(SIN(ACOS($G33))),"j"),Dataark!$E$3),IF($H33=Dataark!$B$18,IMPRODUCT(COMPLEX($F33*$G33,-$F33*(SIN(ACOS($G33))),"j"),Dataark!$E$3),)),))))</f>
        <v>0</v>
      </c>
      <c r="O33" s="2">
        <f>IF($D33="",0,IF(OR($C33=Dataark!$B$10,$C33=Dataark!$B$15),IF($H33=Dataark!$B$19,IMPRODUCT(COMPLEX($F33*$G33,$F33*(SIN(ACOS($G33))),"j"),Dataark!$F$4),IF($H33=Dataark!$B$18,IMPRODUCT(COMPLEX($F33*$G33,-$F33*(SIN(ACOS($G33))),"j"),Dataark!$F$4),"")),IF($C33=Dataark!$B$12,IF($H33=Dataark!$B$19,IMPRODUCT(COMPLEX($F33*$G33,$F33*(SIN(ACOS($G33))),"j"),Dataark!$F$5),IF($H33=Dataark!$B$18,IMPRODUCT(COMPLEX($F33*$G33,-$F33*(SIN(ACOS($G33))),"j"),Dataark!$F$5),"")),IF($C33=Dataark!$B$13,IF($H33=Dataark!$B$19,IMPRODUCT(COMPLEX($F33*$G33,$F33*(SIN(ACOS($G33))),"j"),Dataark!$F$3),IF($H33=Dataark!$B$18,IMPRODUCT(COMPLEX($F33*$G33,-$F33*(SIN(ACOS($G33))),"j"),Dataark!$F$3),)),))))</f>
        <v>0</v>
      </c>
      <c r="P33" s="2">
        <f>IF($D33="",0,IF(OR($C33=Dataark!$B$11,$C33=Dataark!$B$15),IF($H33=Dataark!$B$19,IMPRODUCT(COMPLEX($F33*$G33,$F33*(SIN(ACOS($G33))),"j"),Dataark!$G$3),IF($H33=Dataark!$B$18,IMPRODUCT(COMPLEX($F33*$G33,-$F33*(SIN(ACOS($G33))),"j"),Dataark!$G$3),"")),IF($C33=Dataark!$B$13,IF($H33=Dataark!$B$19,IMPRODUCT(COMPLEX($F33*$G33,$F33*(SIN(ACOS($G33))),"j"),Dataark!$G$4),IF($H33=Dataark!$B$18,IMPRODUCT(COMPLEX($F33*$G33,-$F33*(SIN(ACOS($G33))),"j"),Dataark!$G$4),"")),IF($C33=Dataark!$B$14,IF($H33=Dataark!$B$19,IMPRODUCT(COMPLEX($F33*$G33,$F33*(SIN(ACOS($G33))),"j"),Dataark!$G$5),IF($H33=Dataark!$B$18,IMPRODUCT(COMPLEX($F33*$G33,-$F33*(SIN(ACOS($G33))),"j"),Dataark!$G$5),)),))))</f>
        <v>0</v>
      </c>
      <c r="Q33">
        <f t="shared" si="4"/>
        <v>0</v>
      </c>
    </row>
    <row r="34" spans="1:17" x14ac:dyDescent="0.25">
      <c r="B34" s="5" t="s">
        <v>27</v>
      </c>
      <c r="C34" s="5"/>
      <c r="D34" s="5"/>
      <c r="E34" s="5" t="str">
        <f>IF($Q34="0","",ROUND(IMABS($Q34),-1)*10^-3&amp;"&lt;"&amp;ROUND(DEGREES(IMARGUMENT($Q34)),2))</f>
        <v/>
      </c>
      <c r="F34" s="47" t="s">
        <v>53</v>
      </c>
      <c r="G34" s="12"/>
      <c r="H34" s="12"/>
      <c r="I34" s="12"/>
      <c r="J34" s="17" t="str">
        <f>IF($N34="0","",ROUND(IMABS($N34),2)&amp;" &lt; "&amp;ROUND(DEGREES(IMARGUMENT($N34)),2))</f>
        <v/>
      </c>
      <c r="K34" s="17" t="str">
        <f>IF($O34="0","",ROUND(IMABS($O34),2)&amp;" &lt; "&amp;ROUND(DEGREES(IMARGUMENT($O34)),2))</f>
        <v/>
      </c>
      <c r="L34" s="17" t="str">
        <f>IF($P34="0","",ROUND(IMABS($P34),2)&amp;" &lt; "&amp;ROUND(DEGREES(IMARGUMENT($P34)),2))</f>
        <v/>
      </c>
      <c r="M34" s="17" t="str">
        <f>IF(SUM(M5:M33)=0,"",SUM(M5:M33))</f>
        <v/>
      </c>
      <c r="N34" s="2" t="str">
        <f>IMSUM(N5:N33)</f>
        <v>0</v>
      </c>
      <c r="O34" s="2" t="str">
        <f>IMSUM(O5:O33)</f>
        <v>0</v>
      </c>
      <c r="P34" s="2" t="str">
        <f>IMSUM(P5:P33)</f>
        <v>0</v>
      </c>
      <c r="Q34" t="str">
        <f>IMSUM(Q5:Q33)</f>
        <v>0</v>
      </c>
    </row>
    <row r="35" spans="1:17" x14ac:dyDescent="0.25">
      <c r="B35" s="5" t="s">
        <v>61</v>
      </c>
      <c r="C35" s="51">
        <v>1</v>
      </c>
      <c r="D35" s="3"/>
      <c r="E35" s="3"/>
      <c r="G35" s="7"/>
      <c r="H35" s="7"/>
      <c r="I35" s="7"/>
      <c r="J35" s="4"/>
      <c r="K35" s="3"/>
      <c r="L35" s="3"/>
      <c r="M35" s="3"/>
    </row>
    <row r="36" spans="1:17" x14ac:dyDescent="0.25">
      <c r="B36" s="52" t="s">
        <v>28</v>
      </c>
      <c r="C36" s="53"/>
      <c r="D36" s="3"/>
      <c r="E36" s="3"/>
      <c r="F36" s="49"/>
      <c r="G36" s="3"/>
      <c r="H36" s="3"/>
      <c r="I36" s="3"/>
      <c r="J36" s="13" t="str">
        <f>IF($N36="0","",ROUND(IMABS($N36),2)&amp;" &lt; "&amp;ROUND(DEGREES(IMARGUMENT($N36)),2))</f>
        <v/>
      </c>
      <c r="K36" s="13" t="str">
        <f>IF($O36="0","",ROUND(IMABS($O36),2)&amp;" &lt; "&amp;ROUND(DEGREES(IMARGUMENT($O36)),2))</f>
        <v/>
      </c>
      <c r="L36" s="13" t="str">
        <f>IF($P36="0","",ROUND(IMABS($P36),2)&amp;" &lt; "&amp;ROUND(DEGREES(IMARGUMENT($P36)),2))</f>
        <v/>
      </c>
      <c r="M36" s="17" t="str">
        <f>IF(M34="","",M34*C35)</f>
        <v/>
      </c>
      <c r="N36" t="str">
        <f>IMPRODUCT(N34,C35)</f>
        <v>0</v>
      </c>
      <c r="O36" t="str">
        <f>IMPRODUCT(O34,C35)</f>
        <v>0</v>
      </c>
      <c r="P36" t="str">
        <f>IMPRODUCT(P34,C35)</f>
        <v>0</v>
      </c>
    </row>
    <row r="38" spans="1:17" x14ac:dyDescent="0.25">
      <c r="C38" s="54" t="s">
        <v>42</v>
      </c>
      <c r="D38" s="55"/>
      <c r="E38" s="56"/>
      <c r="F38" s="50" t="str">
        <f>IF(M34="","",(M36*100)/ROUND(IMABS(N36),2)/3)</f>
        <v/>
      </c>
      <c r="I38" s="20" t="s">
        <v>32</v>
      </c>
      <c r="J38" s="8" t="str">
        <f>IF(N36="0","",COS(IMARGUMENT($N36)))</f>
        <v/>
      </c>
      <c r="K38" s="8" t="str">
        <f>IF(O36="0","",COS(IMARGUMENT(IMPRODUCT(O36,Dataark!$F$8))))</f>
        <v/>
      </c>
      <c r="L38" s="8" t="str">
        <f>IF(P36="0","",COS(IMARGUMENT(IMPRODUCT(P36,Dataark!$F$9))))</f>
        <v/>
      </c>
    </row>
    <row r="39" spans="1:17" x14ac:dyDescent="0.25">
      <c r="I39" s="20" t="s">
        <v>43</v>
      </c>
      <c r="J39" s="8" t="str">
        <f>IF(N36="0","",DEGREES(IMARGUMENT($N36)))</f>
        <v/>
      </c>
      <c r="K39" s="8" t="str">
        <f>IF(O36="0","",DEGREES(IMARGUMENT(IMPRODUCT(O36,Dataark!$F$8))))</f>
        <v/>
      </c>
      <c r="L39" s="8" t="str">
        <f>IF(P36="0","",DEGREES(IMARGUMENT(IMPRODUCT(P36,Dataark!$F$9))))</f>
        <v/>
      </c>
    </row>
  </sheetData>
  <sheetProtection selectLockedCells="1"/>
  <mergeCells count="2">
    <mergeCell ref="B36:C36"/>
    <mergeCell ref="C38:E38"/>
  </mergeCells>
  <phoneticPr fontId="6" type="noConversion"/>
  <pageMargins left="0.75" right="0.75" top="1" bottom="1" header="0.5" footer="0.5"/>
  <pageSetup paperSize="9" orientation="portrait" horizontalDpi="4294967292" vertic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Dataark!$B$3:$B$6</xm:f>
          </x14:formula1>
          <xm:sqref>D5:D33</xm:sqref>
        </x14:dataValidation>
        <x14:dataValidation type="list" allowBlank="1" showInputMessage="1" showErrorMessage="1" xr:uid="{00000000-0002-0000-0000-000001000000}">
          <x14:formula1>
            <xm:f>Dataark!$B$9:$B$15</xm:f>
          </x14:formula1>
          <xm:sqref>C5:C33</xm:sqref>
        </x14:dataValidation>
        <x14:dataValidation type="list" allowBlank="1" showInputMessage="1" showErrorMessage="1" xr:uid="{00000000-0002-0000-0000-000002000000}">
          <x14:formula1>
            <xm:f>Dataark!$B$18:$B$19</xm:f>
          </x14:formula1>
          <xm:sqref>H5:H33</xm:sqref>
        </x14:dataValidation>
        <x14:dataValidation type="list" allowBlank="1" showInputMessage="1" showErrorMessage="1" xr:uid="{00000000-0002-0000-0000-000003000000}">
          <x14:formula1>
            <xm:f>Dataark!$B$21:$B$22</xm:f>
          </x14:formula1>
          <xm:sqref>I2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6:M22"/>
  <sheetViews>
    <sheetView zoomScale="130" zoomScaleNormal="130" workbookViewId="0">
      <selection activeCell="F17" sqref="F17"/>
    </sheetView>
  </sheetViews>
  <sheetFormatPr defaultRowHeight="15.75" x14ac:dyDescent="0.25"/>
  <cols>
    <col min="1" max="3" width="9" style="27"/>
    <col min="4" max="4" width="10.25" style="27" bestFit="1" customWidth="1"/>
    <col min="5" max="7" width="9" style="27"/>
    <col min="8" max="9" width="2.875" style="27" bestFit="1" customWidth="1"/>
    <col min="10" max="10" width="7.25" style="27" bestFit="1" customWidth="1"/>
    <col min="11" max="11" width="2.75" style="27" bestFit="1" customWidth="1"/>
    <col min="12" max="12" width="3" style="27" bestFit="1" customWidth="1"/>
    <col min="13" max="13" width="5.25" style="27" bestFit="1" customWidth="1"/>
    <col min="14" max="16384" width="9" style="27"/>
  </cols>
  <sheetData>
    <row r="6" spans="5:13" ht="16.5" thickBot="1" x14ac:dyDescent="0.3"/>
    <row r="7" spans="5:13" ht="15.75" customHeight="1" thickBot="1" x14ac:dyDescent="0.3">
      <c r="E7" s="28" t="s">
        <v>44</v>
      </c>
      <c r="F7" s="29">
        <v>338</v>
      </c>
      <c r="H7" s="23" t="s">
        <v>54</v>
      </c>
      <c r="I7" s="24" t="s">
        <v>48</v>
      </c>
      <c r="J7" s="24">
        <f>((F7/F8)-F9)/F10</f>
        <v>11.124999999999998</v>
      </c>
      <c r="K7" s="24" t="s">
        <v>49</v>
      </c>
      <c r="L7" s="25">
        <f>ROUNDUP(J7,0)</f>
        <v>12</v>
      </c>
      <c r="M7" s="26" t="s">
        <v>50</v>
      </c>
    </row>
    <row r="8" spans="5:13" x14ac:dyDescent="0.25">
      <c r="E8" s="30" t="s">
        <v>45</v>
      </c>
      <c r="F8" s="31">
        <v>400</v>
      </c>
    </row>
    <row r="9" spans="5:13" x14ac:dyDescent="0.25">
      <c r="E9" s="30" t="s">
        <v>46</v>
      </c>
      <c r="F9" s="31">
        <v>0.4</v>
      </c>
    </row>
    <row r="10" spans="5:13" ht="16.5" thickBot="1" x14ac:dyDescent="0.3">
      <c r="E10" s="32" t="s">
        <v>47</v>
      </c>
      <c r="F10" s="33">
        <v>0.04</v>
      </c>
    </row>
    <row r="13" spans="5:13" ht="16.5" thickBot="1" x14ac:dyDescent="0.3"/>
    <row r="14" spans="5:13" ht="16.5" thickBot="1" x14ac:dyDescent="0.3">
      <c r="H14" s="23" t="s">
        <v>51</v>
      </c>
      <c r="I14" s="24" t="s">
        <v>52</v>
      </c>
      <c r="J14" s="25">
        <f>((L7*F10)+F9)*F8</f>
        <v>352</v>
      </c>
      <c r="K14" s="26" t="s">
        <v>53</v>
      </c>
    </row>
    <row r="16" spans="5:13" ht="16.5" thickBot="1" x14ac:dyDescent="0.3"/>
    <row r="17" spans="4:5" x14ac:dyDescent="0.25">
      <c r="D17" s="57" t="s">
        <v>55</v>
      </c>
      <c r="E17" s="58"/>
    </row>
    <row r="18" spans="4:5" ht="16.5" thickBot="1" x14ac:dyDescent="0.3">
      <c r="D18" s="35" t="s">
        <v>56</v>
      </c>
      <c r="E18" s="36">
        <v>50</v>
      </c>
    </row>
    <row r="19" spans="4:5" x14ac:dyDescent="0.25">
      <c r="D19" s="38" t="s">
        <v>57</v>
      </c>
      <c r="E19" s="40">
        <f>E18*0.8</f>
        <v>40</v>
      </c>
    </row>
    <row r="20" spans="4:5" ht="16.5" thickBot="1" x14ac:dyDescent="0.3">
      <c r="D20" s="39" t="s">
        <v>58</v>
      </c>
      <c r="E20" s="41">
        <f>E18*1.2</f>
        <v>60</v>
      </c>
    </row>
    <row r="21" spans="4:5" x14ac:dyDescent="0.25">
      <c r="D21" s="37" t="s">
        <v>59</v>
      </c>
      <c r="E21" s="42">
        <f>E20*0.9</f>
        <v>54</v>
      </c>
    </row>
    <row r="22" spans="4:5" ht="16.5" thickBot="1" x14ac:dyDescent="0.3">
      <c r="D22" s="34" t="s">
        <v>60</v>
      </c>
      <c r="E22" s="43">
        <f>E20*1.1</f>
        <v>66</v>
      </c>
    </row>
  </sheetData>
  <mergeCells count="1">
    <mergeCell ref="D17:E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2"/>
  <dimension ref="B2:G22"/>
  <sheetViews>
    <sheetView topLeftCell="X1" workbookViewId="0">
      <selection activeCell="F12" sqref="F12"/>
    </sheetView>
  </sheetViews>
  <sheetFormatPr defaultColWidth="11" defaultRowHeight="15.75" x14ac:dyDescent="0.25"/>
  <cols>
    <col min="5" max="5" width="17.125" customWidth="1"/>
    <col min="6" max="6" width="15.375" customWidth="1"/>
    <col min="7" max="7" width="18.875" customWidth="1"/>
  </cols>
  <sheetData>
    <row r="2" spans="2:7" x14ac:dyDescent="0.25">
      <c r="E2" t="s">
        <v>6</v>
      </c>
      <c r="F2" t="s">
        <v>7</v>
      </c>
      <c r="G2" t="s">
        <v>8</v>
      </c>
    </row>
    <row r="3" spans="2:7" x14ac:dyDescent="0.25">
      <c r="B3" t="s">
        <v>10</v>
      </c>
      <c r="D3" t="s">
        <v>8</v>
      </c>
      <c r="E3" s="16" t="str">
        <f>COMPLEX(0.866025,-0.5,"j")</f>
        <v>0,866025-0,5j</v>
      </c>
      <c r="F3" t="str">
        <f>COMPLEX(0,-1,"j")</f>
        <v>-j</v>
      </c>
      <c r="G3" t="str">
        <f>COMPLEX(-0.5,0.866025,"j")</f>
        <v>-0,5+0,866025j</v>
      </c>
    </row>
    <row r="4" spans="2:7" x14ac:dyDescent="0.25">
      <c r="B4" t="s">
        <v>9</v>
      </c>
      <c r="D4" t="s">
        <v>7</v>
      </c>
      <c r="E4" t="str">
        <f>COMPLEX(0.866025,0.5,"j")</f>
        <v>0,866025+0,5j</v>
      </c>
      <c r="F4" s="2" t="str">
        <f>COMPLEX(-0.5,-0.866025,"j")</f>
        <v>-0,5-0,866025j</v>
      </c>
      <c r="G4" t="str">
        <f>COMPLEX(0,1,"j")</f>
        <v>j</v>
      </c>
    </row>
    <row r="5" spans="2:7" x14ac:dyDescent="0.25">
      <c r="B5" t="s">
        <v>11</v>
      </c>
      <c r="D5" t="s">
        <v>6</v>
      </c>
      <c r="E5" t="str">
        <f>COMPLEX(1,0,"j")</f>
        <v>1</v>
      </c>
      <c r="F5" t="str">
        <f>COMPLEX(-0.866025,-0.5,"j")</f>
        <v>-0,866025-0,5j</v>
      </c>
      <c r="G5" t="str">
        <f>COMPLEX(-0.866025,0.5,"j")</f>
        <v>-0,866025+0,5j</v>
      </c>
    </row>
    <row r="6" spans="2:7" x14ac:dyDescent="0.25">
      <c r="B6" t="s">
        <v>12</v>
      </c>
    </row>
    <row r="8" spans="2:7" x14ac:dyDescent="0.25">
      <c r="E8" t="s">
        <v>40</v>
      </c>
      <c r="F8" t="str">
        <f>COMPLEX(-0.5,0.866025,"j")</f>
        <v>-0,5+0,866025j</v>
      </c>
    </row>
    <row r="9" spans="2:7" x14ac:dyDescent="0.25">
      <c r="B9" t="s">
        <v>13</v>
      </c>
      <c r="C9">
        <v>1</v>
      </c>
      <c r="E9" t="s">
        <v>41</v>
      </c>
      <c r="F9" s="2" t="str">
        <f>COMPLEX(-0.5,-0.866025,"j")</f>
        <v>-0,5-0,866025j</v>
      </c>
    </row>
    <row r="10" spans="2:7" x14ac:dyDescent="0.25">
      <c r="B10" t="s">
        <v>14</v>
      </c>
      <c r="C10">
        <v>1</v>
      </c>
    </row>
    <row r="11" spans="2:7" x14ac:dyDescent="0.25">
      <c r="B11" t="s">
        <v>15</v>
      </c>
      <c r="C11">
        <v>1</v>
      </c>
    </row>
    <row r="12" spans="2:7" x14ac:dyDescent="0.25">
      <c r="B12" t="s">
        <v>16</v>
      </c>
      <c r="C12">
        <v>2</v>
      </c>
    </row>
    <row r="13" spans="2:7" x14ac:dyDescent="0.25">
      <c r="B13" t="s">
        <v>17</v>
      </c>
      <c r="C13">
        <v>2</v>
      </c>
    </row>
    <row r="14" spans="2:7" x14ac:dyDescent="0.25">
      <c r="B14" t="s">
        <v>18</v>
      </c>
      <c r="C14">
        <v>2</v>
      </c>
    </row>
    <row r="15" spans="2:7" x14ac:dyDescent="0.25">
      <c r="B15" t="s">
        <v>19</v>
      </c>
      <c r="C15">
        <v>3</v>
      </c>
    </row>
    <row r="18" spans="2:2" x14ac:dyDescent="0.25">
      <c r="B18" t="s">
        <v>25</v>
      </c>
    </row>
    <row r="19" spans="2:2" x14ac:dyDescent="0.25">
      <c r="B19" t="s">
        <v>26</v>
      </c>
    </row>
    <row r="21" spans="2:2" x14ac:dyDescent="0.25">
      <c r="B21" t="s">
        <v>37</v>
      </c>
    </row>
    <row r="22" spans="2:2" x14ac:dyDescent="0.25">
      <c r="B22" t="s">
        <v>38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3"/>
  <dimension ref="B3:E3"/>
  <sheetViews>
    <sheetView topLeftCell="A289" workbookViewId="0">
      <selection activeCell="B3" sqref="B3"/>
    </sheetView>
  </sheetViews>
  <sheetFormatPr defaultColWidth="11" defaultRowHeight="15.75" x14ac:dyDescent="0.25"/>
  <sheetData>
    <row r="3" spans="2:5" x14ac:dyDescent="0.25">
      <c r="B3" t="s">
        <v>12</v>
      </c>
      <c r="C3" t="s">
        <v>30</v>
      </c>
      <c r="D3" t="s">
        <v>31</v>
      </c>
      <c r="E3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Belastningsskema</vt:lpstr>
      <vt:lpstr>MA</vt:lpstr>
      <vt:lpstr>Dataark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Ekvall</dc:creator>
  <cp:lastModifiedBy>Muntadhar Al jabiri</cp:lastModifiedBy>
  <dcterms:created xsi:type="dcterms:W3CDTF">2015-09-24T09:28:58Z</dcterms:created>
  <dcterms:modified xsi:type="dcterms:W3CDTF">2022-11-25T10:37:24Z</dcterms:modified>
</cp:coreProperties>
</file>