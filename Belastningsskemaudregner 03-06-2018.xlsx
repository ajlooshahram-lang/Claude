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h1\OneDrive\Uddanelse\MSk\M7\Installation\Formler\"/>
    </mc:Choice>
  </mc:AlternateContent>
  <xr:revisionPtr revIDLastSave="3153" documentId="679AD0160AC16DCA6013E0EEFB2E4A5B5E4EAC8C" xr6:coauthVersionLast="44" xr6:coauthVersionMax="44" xr10:uidLastSave="{77F76573-E441-4E7A-B50E-6AD36AE019BE}"/>
  <bookViews>
    <workbookView xWindow="-25710" yWindow="-1610" windowWidth="25820" windowHeight="14020" xr2:uid="{E04C7A1F-212F-4D7E-A467-4715DA675A1D}"/>
  </bookViews>
  <sheets>
    <sheet name="Ark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0" i="1" l="1"/>
  <c r="O80" i="1"/>
  <c r="N80" i="1"/>
  <c r="M80" i="1"/>
  <c r="L80" i="1"/>
  <c r="K80" i="1"/>
  <c r="J80" i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P77" i="1"/>
  <c r="O77" i="1"/>
  <c r="N77" i="1"/>
  <c r="M77" i="1"/>
  <c r="L77" i="1"/>
  <c r="K77" i="1"/>
  <c r="J77" i="1"/>
  <c r="P76" i="1"/>
  <c r="O76" i="1"/>
  <c r="N76" i="1"/>
  <c r="M76" i="1"/>
  <c r="L76" i="1"/>
  <c r="K76" i="1"/>
  <c r="J76" i="1"/>
  <c r="P75" i="1"/>
  <c r="O75" i="1"/>
  <c r="N75" i="1"/>
  <c r="M75" i="1"/>
  <c r="L75" i="1"/>
  <c r="K75" i="1"/>
  <c r="J75" i="1"/>
  <c r="P74" i="1"/>
  <c r="O74" i="1"/>
  <c r="N74" i="1"/>
  <c r="M74" i="1"/>
  <c r="L74" i="1"/>
  <c r="K74" i="1"/>
  <c r="J74" i="1"/>
  <c r="P73" i="1"/>
  <c r="O73" i="1"/>
  <c r="N73" i="1"/>
  <c r="M73" i="1"/>
  <c r="L73" i="1"/>
  <c r="K73" i="1"/>
  <c r="J73" i="1"/>
  <c r="P72" i="1"/>
  <c r="O72" i="1"/>
  <c r="N72" i="1"/>
  <c r="M72" i="1"/>
  <c r="L72" i="1"/>
  <c r="K72" i="1"/>
  <c r="J72" i="1"/>
  <c r="P71" i="1"/>
  <c r="O71" i="1"/>
  <c r="N71" i="1"/>
  <c r="M71" i="1"/>
  <c r="L71" i="1"/>
  <c r="K71" i="1"/>
  <c r="J71" i="1"/>
  <c r="P70" i="1"/>
  <c r="O70" i="1"/>
  <c r="N70" i="1"/>
  <c r="M70" i="1"/>
  <c r="L70" i="1"/>
  <c r="K70" i="1"/>
  <c r="J70" i="1"/>
  <c r="P69" i="1"/>
  <c r="O69" i="1"/>
  <c r="N69" i="1"/>
  <c r="M69" i="1"/>
  <c r="L69" i="1"/>
  <c r="K69" i="1"/>
  <c r="J69" i="1"/>
  <c r="P68" i="1"/>
  <c r="O68" i="1"/>
  <c r="N68" i="1"/>
  <c r="M68" i="1"/>
  <c r="L68" i="1"/>
  <c r="K68" i="1"/>
  <c r="J68" i="1"/>
  <c r="P67" i="1"/>
  <c r="O67" i="1"/>
  <c r="N67" i="1"/>
  <c r="M67" i="1"/>
  <c r="L67" i="1"/>
  <c r="K67" i="1"/>
  <c r="J67" i="1"/>
  <c r="P66" i="1"/>
  <c r="O66" i="1"/>
  <c r="N66" i="1"/>
  <c r="M66" i="1"/>
  <c r="L66" i="1"/>
  <c r="K66" i="1"/>
  <c r="J66" i="1"/>
  <c r="P65" i="1"/>
  <c r="O65" i="1"/>
  <c r="N65" i="1"/>
  <c r="M65" i="1"/>
  <c r="L65" i="1"/>
  <c r="K65" i="1"/>
  <c r="J65" i="1"/>
  <c r="P64" i="1"/>
  <c r="O64" i="1"/>
  <c r="N64" i="1"/>
  <c r="M64" i="1"/>
  <c r="L64" i="1"/>
  <c r="K64" i="1"/>
  <c r="J64" i="1"/>
  <c r="P63" i="1"/>
  <c r="O63" i="1"/>
  <c r="N63" i="1"/>
  <c r="M63" i="1"/>
  <c r="L63" i="1"/>
  <c r="K63" i="1"/>
  <c r="J63" i="1"/>
  <c r="P62" i="1"/>
  <c r="O62" i="1"/>
  <c r="N62" i="1"/>
  <c r="M62" i="1"/>
  <c r="L62" i="1"/>
  <c r="K62" i="1"/>
  <c r="J62" i="1"/>
  <c r="P52" i="1"/>
  <c r="O52" i="1"/>
  <c r="N52" i="1"/>
  <c r="M52" i="1"/>
  <c r="L52" i="1"/>
  <c r="K52" i="1"/>
  <c r="J52" i="1"/>
  <c r="P51" i="1"/>
  <c r="O51" i="1"/>
  <c r="N51" i="1"/>
  <c r="M51" i="1"/>
  <c r="L51" i="1"/>
  <c r="K51" i="1"/>
  <c r="J51" i="1"/>
  <c r="P50" i="1"/>
  <c r="O50" i="1"/>
  <c r="N50" i="1"/>
  <c r="M50" i="1"/>
  <c r="L50" i="1"/>
  <c r="K50" i="1"/>
  <c r="J50" i="1"/>
  <c r="P49" i="1"/>
  <c r="O49" i="1"/>
  <c r="N49" i="1"/>
  <c r="M49" i="1"/>
  <c r="L49" i="1"/>
  <c r="K49" i="1"/>
  <c r="J49" i="1"/>
  <c r="P48" i="1"/>
  <c r="O48" i="1"/>
  <c r="N48" i="1"/>
  <c r="M48" i="1"/>
  <c r="L48" i="1"/>
  <c r="K48" i="1"/>
  <c r="J48" i="1"/>
  <c r="P47" i="1"/>
  <c r="O47" i="1"/>
  <c r="N47" i="1"/>
  <c r="M47" i="1"/>
  <c r="L47" i="1"/>
  <c r="K47" i="1"/>
  <c r="J47" i="1"/>
  <c r="P46" i="1"/>
  <c r="O46" i="1"/>
  <c r="N46" i="1"/>
  <c r="M46" i="1"/>
  <c r="L46" i="1"/>
  <c r="K46" i="1"/>
  <c r="J46" i="1"/>
  <c r="P45" i="1"/>
  <c r="O45" i="1"/>
  <c r="N45" i="1"/>
  <c r="M45" i="1"/>
  <c r="L45" i="1"/>
  <c r="K45" i="1"/>
  <c r="J45" i="1"/>
  <c r="P44" i="1"/>
  <c r="O44" i="1"/>
  <c r="N44" i="1"/>
  <c r="M44" i="1"/>
  <c r="L44" i="1"/>
  <c r="K44" i="1"/>
  <c r="J44" i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P41" i="1"/>
  <c r="O41" i="1"/>
  <c r="N41" i="1"/>
  <c r="M41" i="1"/>
  <c r="L41" i="1"/>
  <c r="K41" i="1"/>
  <c r="J41" i="1"/>
  <c r="P40" i="1"/>
  <c r="O40" i="1"/>
  <c r="N40" i="1"/>
  <c r="M40" i="1"/>
  <c r="L40" i="1"/>
  <c r="K40" i="1"/>
  <c r="J40" i="1"/>
  <c r="P39" i="1"/>
  <c r="O39" i="1"/>
  <c r="N39" i="1"/>
  <c r="M39" i="1"/>
  <c r="L39" i="1"/>
  <c r="K39" i="1"/>
  <c r="J39" i="1"/>
  <c r="P38" i="1"/>
  <c r="O38" i="1"/>
  <c r="N38" i="1"/>
  <c r="M38" i="1"/>
  <c r="L38" i="1"/>
  <c r="K38" i="1"/>
  <c r="J38" i="1"/>
  <c r="P37" i="1"/>
  <c r="O37" i="1"/>
  <c r="N37" i="1"/>
  <c r="M37" i="1"/>
  <c r="L37" i="1"/>
  <c r="K37" i="1"/>
  <c r="J37" i="1"/>
  <c r="P36" i="1"/>
  <c r="O36" i="1"/>
  <c r="N36" i="1"/>
  <c r="M36" i="1"/>
  <c r="L36" i="1"/>
  <c r="K36" i="1"/>
  <c r="J36" i="1"/>
  <c r="P35" i="1"/>
  <c r="O35" i="1"/>
  <c r="N35" i="1"/>
  <c r="M35" i="1"/>
  <c r="L35" i="1"/>
  <c r="K35" i="1"/>
  <c r="J35" i="1"/>
  <c r="P34" i="1"/>
  <c r="O34" i="1"/>
  <c r="N34" i="1"/>
  <c r="M34" i="1"/>
  <c r="L34" i="1"/>
  <c r="K34" i="1"/>
  <c r="J34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6" i="1"/>
  <c r="J81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6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P118" i="1"/>
  <c r="O118" i="1"/>
  <c r="N118" i="1"/>
  <c r="M118" i="1"/>
  <c r="L118" i="1"/>
  <c r="K118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P90" i="1"/>
  <c r="O90" i="1"/>
  <c r="N90" i="1"/>
  <c r="M90" i="1"/>
  <c r="L90" i="1"/>
  <c r="K90" i="1"/>
  <c r="L81" i="1"/>
  <c r="L53" i="1"/>
  <c r="L25" i="1"/>
  <c r="E156" i="1"/>
  <c r="P155" i="1"/>
  <c r="N155" i="1"/>
  <c r="L155" i="1"/>
  <c r="M155" i="1"/>
  <c r="J155" i="1"/>
  <c r="K155" i="1"/>
  <c r="O155" i="1"/>
  <c r="H138" i="1"/>
  <c r="H150" i="1"/>
  <c r="G138" i="1"/>
  <c r="G150" i="1"/>
  <c r="H110" i="1"/>
  <c r="H149" i="1"/>
  <c r="G110" i="1"/>
  <c r="G149" i="1"/>
  <c r="H82" i="1"/>
  <c r="H148" i="1"/>
  <c r="G82" i="1"/>
  <c r="G148" i="1"/>
  <c r="G26" i="1"/>
  <c r="G146" i="1"/>
  <c r="G54" i="1"/>
  <c r="G147" i="1"/>
  <c r="G152" i="1"/>
  <c r="G156" i="1"/>
  <c r="H54" i="1"/>
  <c r="H26" i="1"/>
  <c r="H146" i="1"/>
  <c r="T6" i="1"/>
  <c r="AE105" i="1"/>
  <c r="Y105" i="1"/>
  <c r="AH104" i="1"/>
  <c r="AE104" i="1"/>
  <c r="AB104" i="1"/>
  <c r="Y104" i="1"/>
  <c r="X104" i="1"/>
  <c r="AP103" i="1"/>
  <c r="AO103" i="1"/>
  <c r="AN103" i="1"/>
  <c r="AP102" i="1"/>
  <c r="AO102" i="1"/>
  <c r="AN102" i="1"/>
  <c r="Z102" i="1"/>
  <c r="AP101" i="1"/>
  <c r="AO101" i="1"/>
  <c r="AN101" i="1"/>
  <c r="AE95" i="1"/>
  <c r="Y95" i="1"/>
  <c r="AH94" i="1"/>
  <c r="AE94" i="1"/>
  <c r="AB94" i="1"/>
  <c r="Y94" i="1"/>
  <c r="X94" i="1"/>
  <c r="AP93" i="1"/>
  <c r="AO93" i="1"/>
  <c r="AN93" i="1"/>
  <c r="AP92" i="1"/>
  <c r="AO92" i="1"/>
  <c r="AN92" i="1"/>
  <c r="Z92" i="1"/>
  <c r="AP91" i="1"/>
  <c r="AO91" i="1"/>
  <c r="AN91" i="1"/>
  <c r="B150" i="1"/>
  <c r="B149" i="1"/>
  <c r="F138" i="1"/>
  <c r="F139" i="1"/>
  <c r="F140" i="1"/>
  <c r="F150" i="1"/>
  <c r="E138" i="1"/>
  <c r="E139" i="1"/>
  <c r="E140" i="1"/>
  <c r="E150" i="1"/>
  <c r="D138" i="1"/>
  <c r="D139" i="1"/>
  <c r="D140" i="1"/>
  <c r="D150" i="1"/>
  <c r="T137" i="1"/>
  <c r="Q137" i="1"/>
  <c r="P137" i="1"/>
  <c r="O137" i="1"/>
  <c r="N137" i="1"/>
  <c r="M137" i="1"/>
  <c r="L137" i="1"/>
  <c r="K137" i="1"/>
  <c r="J137" i="1"/>
  <c r="T136" i="1"/>
  <c r="Q136" i="1"/>
  <c r="O136" i="1"/>
  <c r="M136" i="1"/>
  <c r="K136" i="1"/>
  <c r="J136" i="1"/>
  <c r="T135" i="1"/>
  <c r="Q135" i="1"/>
  <c r="O135" i="1"/>
  <c r="M135" i="1"/>
  <c r="K135" i="1"/>
  <c r="J135" i="1"/>
  <c r="T134" i="1"/>
  <c r="Q134" i="1"/>
  <c r="O134" i="1"/>
  <c r="M134" i="1"/>
  <c r="K134" i="1"/>
  <c r="J134" i="1"/>
  <c r="T133" i="1"/>
  <c r="Q133" i="1"/>
  <c r="O133" i="1"/>
  <c r="M133" i="1"/>
  <c r="K133" i="1"/>
  <c r="J133" i="1"/>
  <c r="T132" i="1"/>
  <c r="Q132" i="1"/>
  <c r="O132" i="1"/>
  <c r="M132" i="1"/>
  <c r="K132" i="1"/>
  <c r="J132" i="1"/>
  <c r="T131" i="1"/>
  <c r="Q131" i="1"/>
  <c r="O131" i="1"/>
  <c r="M131" i="1"/>
  <c r="K131" i="1"/>
  <c r="J131" i="1"/>
  <c r="T130" i="1"/>
  <c r="Q130" i="1"/>
  <c r="O130" i="1"/>
  <c r="M130" i="1"/>
  <c r="K130" i="1"/>
  <c r="J130" i="1"/>
  <c r="T129" i="1"/>
  <c r="Q129" i="1"/>
  <c r="O129" i="1"/>
  <c r="M129" i="1"/>
  <c r="K129" i="1"/>
  <c r="J129" i="1"/>
  <c r="T128" i="1"/>
  <c r="Q128" i="1"/>
  <c r="O128" i="1"/>
  <c r="M128" i="1"/>
  <c r="K128" i="1"/>
  <c r="J128" i="1"/>
  <c r="T127" i="1"/>
  <c r="Q127" i="1"/>
  <c r="O127" i="1"/>
  <c r="M127" i="1"/>
  <c r="K127" i="1"/>
  <c r="J127" i="1"/>
  <c r="T126" i="1"/>
  <c r="Q126" i="1"/>
  <c r="O126" i="1"/>
  <c r="M126" i="1"/>
  <c r="K126" i="1"/>
  <c r="J126" i="1"/>
  <c r="T125" i="1"/>
  <c r="Q125" i="1"/>
  <c r="O125" i="1"/>
  <c r="M125" i="1"/>
  <c r="K125" i="1"/>
  <c r="J125" i="1"/>
  <c r="T124" i="1"/>
  <c r="Q124" i="1"/>
  <c r="O124" i="1"/>
  <c r="M124" i="1"/>
  <c r="K124" i="1"/>
  <c r="J124" i="1"/>
  <c r="T123" i="1"/>
  <c r="Q123" i="1"/>
  <c r="O123" i="1"/>
  <c r="M123" i="1"/>
  <c r="K123" i="1"/>
  <c r="J123" i="1"/>
  <c r="T122" i="1"/>
  <c r="Q122" i="1"/>
  <c r="O122" i="1"/>
  <c r="M122" i="1"/>
  <c r="K122" i="1"/>
  <c r="J122" i="1"/>
  <c r="T121" i="1"/>
  <c r="Q121" i="1"/>
  <c r="O121" i="1"/>
  <c r="M121" i="1"/>
  <c r="K121" i="1"/>
  <c r="J121" i="1"/>
  <c r="T120" i="1"/>
  <c r="Q120" i="1"/>
  <c r="O120" i="1"/>
  <c r="M120" i="1"/>
  <c r="K120" i="1"/>
  <c r="J120" i="1"/>
  <c r="T119" i="1"/>
  <c r="Q119" i="1"/>
  <c r="O119" i="1"/>
  <c r="M119" i="1"/>
  <c r="K119" i="1"/>
  <c r="J119" i="1"/>
  <c r="T118" i="1"/>
  <c r="Q118" i="1"/>
  <c r="F110" i="1"/>
  <c r="F111" i="1"/>
  <c r="F112" i="1"/>
  <c r="F149" i="1"/>
  <c r="E110" i="1"/>
  <c r="E111" i="1"/>
  <c r="E112" i="1"/>
  <c r="E149" i="1"/>
  <c r="D110" i="1"/>
  <c r="D111" i="1"/>
  <c r="D112" i="1"/>
  <c r="D149" i="1"/>
  <c r="T109" i="1"/>
  <c r="Q109" i="1"/>
  <c r="P109" i="1"/>
  <c r="O109" i="1"/>
  <c r="N109" i="1"/>
  <c r="M109" i="1"/>
  <c r="L109" i="1"/>
  <c r="K109" i="1"/>
  <c r="J109" i="1"/>
  <c r="T108" i="1"/>
  <c r="Q108" i="1"/>
  <c r="O108" i="1"/>
  <c r="M108" i="1"/>
  <c r="K108" i="1"/>
  <c r="J108" i="1"/>
  <c r="T107" i="1"/>
  <c r="Q107" i="1"/>
  <c r="O107" i="1"/>
  <c r="M107" i="1"/>
  <c r="K107" i="1"/>
  <c r="J107" i="1"/>
  <c r="T106" i="1"/>
  <c r="Q106" i="1"/>
  <c r="O106" i="1"/>
  <c r="M106" i="1"/>
  <c r="K106" i="1"/>
  <c r="J106" i="1"/>
  <c r="T105" i="1"/>
  <c r="Q105" i="1"/>
  <c r="O105" i="1"/>
  <c r="M105" i="1"/>
  <c r="K105" i="1"/>
  <c r="J105" i="1"/>
  <c r="T104" i="1"/>
  <c r="Q104" i="1"/>
  <c r="O104" i="1"/>
  <c r="M104" i="1"/>
  <c r="K104" i="1"/>
  <c r="J104" i="1"/>
  <c r="T103" i="1"/>
  <c r="Q103" i="1"/>
  <c r="O103" i="1"/>
  <c r="M103" i="1"/>
  <c r="K103" i="1"/>
  <c r="J103" i="1"/>
  <c r="T102" i="1"/>
  <c r="Q102" i="1"/>
  <c r="O102" i="1"/>
  <c r="M102" i="1"/>
  <c r="K102" i="1"/>
  <c r="J102" i="1"/>
  <c r="T101" i="1"/>
  <c r="Q101" i="1"/>
  <c r="O101" i="1"/>
  <c r="M101" i="1"/>
  <c r="K101" i="1"/>
  <c r="J101" i="1"/>
  <c r="T100" i="1"/>
  <c r="Q100" i="1"/>
  <c r="O100" i="1"/>
  <c r="M100" i="1"/>
  <c r="K100" i="1"/>
  <c r="T99" i="1"/>
  <c r="Q99" i="1"/>
  <c r="O99" i="1"/>
  <c r="M99" i="1"/>
  <c r="K99" i="1"/>
  <c r="T98" i="1"/>
  <c r="Q98" i="1"/>
  <c r="O98" i="1"/>
  <c r="M98" i="1"/>
  <c r="K98" i="1"/>
  <c r="T97" i="1"/>
  <c r="Q97" i="1"/>
  <c r="O97" i="1"/>
  <c r="M97" i="1"/>
  <c r="K97" i="1"/>
  <c r="T96" i="1"/>
  <c r="Q96" i="1"/>
  <c r="O96" i="1"/>
  <c r="M96" i="1"/>
  <c r="K96" i="1"/>
  <c r="T95" i="1"/>
  <c r="Q95" i="1"/>
  <c r="O95" i="1"/>
  <c r="M95" i="1"/>
  <c r="K95" i="1"/>
  <c r="T94" i="1"/>
  <c r="Q94" i="1"/>
  <c r="O94" i="1"/>
  <c r="M94" i="1"/>
  <c r="K94" i="1"/>
  <c r="T93" i="1"/>
  <c r="Q93" i="1"/>
  <c r="O93" i="1"/>
  <c r="M93" i="1"/>
  <c r="K93" i="1"/>
  <c r="T92" i="1"/>
  <c r="Q92" i="1"/>
  <c r="O92" i="1"/>
  <c r="M92" i="1"/>
  <c r="K92" i="1"/>
  <c r="T91" i="1"/>
  <c r="Q91" i="1"/>
  <c r="O91" i="1"/>
  <c r="M91" i="1"/>
  <c r="K91" i="1"/>
  <c r="T90" i="1"/>
  <c r="Q90" i="1"/>
  <c r="J90" i="1"/>
  <c r="AK94" i="1"/>
  <c r="AK104" i="1"/>
  <c r="J96" i="1"/>
  <c r="J91" i="1"/>
  <c r="J94" i="1"/>
  <c r="J92" i="1"/>
  <c r="J100" i="1"/>
  <c r="J99" i="1"/>
  <c r="J98" i="1"/>
  <c r="J97" i="1"/>
  <c r="J95" i="1"/>
  <c r="J93" i="1"/>
  <c r="P110" i="1"/>
  <c r="P111" i="1"/>
  <c r="T138" i="1"/>
  <c r="Q138" i="1"/>
  <c r="L110" i="1"/>
  <c r="L111" i="1"/>
  <c r="J118" i="1"/>
  <c r="L138" i="1"/>
  <c r="K138" i="1"/>
  <c r="T110" i="1"/>
  <c r="Q110" i="1"/>
  <c r="P138" i="1"/>
  <c r="P139" i="1"/>
  <c r="N138" i="1"/>
  <c r="N110" i="1"/>
  <c r="P25" i="1"/>
  <c r="O25" i="1"/>
  <c r="N25" i="1"/>
  <c r="M25" i="1"/>
  <c r="K25" i="1"/>
  <c r="O24" i="1"/>
  <c r="M24" i="1"/>
  <c r="K24" i="1"/>
  <c r="O23" i="1"/>
  <c r="M23" i="1"/>
  <c r="K23" i="1"/>
  <c r="O22" i="1"/>
  <c r="M22" i="1"/>
  <c r="K22" i="1"/>
  <c r="O21" i="1"/>
  <c r="M21" i="1"/>
  <c r="K21" i="1"/>
  <c r="O20" i="1"/>
  <c r="M20" i="1"/>
  <c r="K20" i="1"/>
  <c r="O19" i="1"/>
  <c r="M19" i="1"/>
  <c r="K19" i="1"/>
  <c r="O18" i="1"/>
  <c r="M18" i="1"/>
  <c r="K18" i="1"/>
  <c r="O17" i="1"/>
  <c r="M17" i="1"/>
  <c r="K17" i="1"/>
  <c r="O16" i="1"/>
  <c r="M16" i="1"/>
  <c r="K16" i="1"/>
  <c r="O15" i="1"/>
  <c r="M15" i="1"/>
  <c r="K15" i="1"/>
  <c r="O14" i="1"/>
  <c r="M14" i="1"/>
  <c r="K14" i="1"/>
  <c r="O13" i="1"/>
  <c r="M13" i="1"/>
  <c r="K13" i="1"/>
  <c r="O12" i="1"/>
  <c r="M12" i="1"/>
  <c r="K12" i="1"/>
  <c r="O11" i="1"/>
  <c r="M11" i="1"/>
  <c r="K11" i="1"/>
  <c r="O10" i="1"/>
  <c r="M10" i="1"/>
  <c r="K10" i="1"/>
  <c r="O9" i="1"/>
  <c r="M9" i="1"/>
  <c r="K9" i="1"/>
  <c r="O8" i="1"/>
  <c r="M8" i="1"/>
  <c r="K8" i="1"/>
  <c r="O7" i="1"/>
  <c r="M7" i="1"/>
  <c r="K7" i="1"/>
  <c r="O6" i="1"/>
  <c r="M6" i="1"/>
  <c r="K6" i="1"/>
  <c r="T139" i="1"/>
  <c r="T150" i="1"/>
  <c r="O110" i="1"/>
  <c r="K110" i="1"/>
  <c r="L139" i="1"/>
  <c r="L140" i="1"/>
  <c r="T111" i="1"/>
  <c r="T149" i="1"/>
  <c r="O138" i="1"/>
  <c r="N139" i="1"/>
  <c r="M138" i="1"/>
  <c r="P140" i="1"/>
  <c r="O139" i="1"/>
  <c r="N111" i="1"/>
  <c r="M110" i="1"/>
  <c r="P112" i="1"/>
  <c r="O111" i="1"/>
  <c r="L112" i="1"/>
  <c r="K111" i="1"/>
  <c r="AP47" i="1"/>
  <c r="AO47" i="1"/>
  <c r="AN47" i="1"/>
  <c r="AP46" i="1"/>
  <c r="AO46" i="1"/>
  <c r="AN46" i="1"/>
  <c r="AP45" i="1"/>
  <c r="AO45" i="1"/>
  <c r="AN45" i="1"/>
  <c r="AP37" i="1"/>
  <c r="AO37" i="1"/>
  <c r="AN37" i="1"/>
  <c r="AP36" i="1"/>
  <c r="AO36" i="1"/>
  <c r="AN36" i="1"/>
  <c r="AP35" i="1"/>
  <c r="AO35" i="1"/>
  <c r="AN35" i="1"/>
  <c r="AP75" i="1"/>
  <c r="AO75" i="1"/>
  <c r="AN75" i="1"/>
  <c r="AP74" i="1"/>
  <c r="AO74" i="1"/>
  <c r="AN74" i="1"/>
  <c r="AP73" i="1"/>
  <c r="AO73" i="1"/>
  <c r="AN73" i="1"/>
  <c r="AP65" i="1"/>
  <c r="AO65" i="1"/>
  <c r="AN65" i="1"/>
  <c r="AP64" i="1"/>
  <c r="AO64" i="1"/>
  <c r="AN64" i="1"/>
  <c r="AP63" i="1"/>
  <c r="AO63" i="1"/>
  <c r="AN63" i="1"/>
  <c r="AP131" i="1"/>
  <c r="AO131" i="1"/>
  <c r="AN131" i="1"/>
  <c r="AP130" i="1"/>
  <c r="AO130" i="1"/>
  <c r="AN130" i="1"/>
  <c r="AP129" i="1"/>
  <c r="AO129" i="1"/>
  <c r="AN129" i="1"/>
  <c r="AP121" i="1"/>
  <c r="AO121" i="1"/>
  <c r="AN121" i="1"/>
  <c r="AP120" i="1"/>
  <c r="AO120" i="1"/>
  <c r="AN120" i="1"/>
  <c r="AP119" i="1"/>
  <c r="AO119" i="1"/>
  <c r="AN119" i="1"/>
  <c r="AP19" i="1"/>
  <c r="AO19" i="1"/>
  <c r="AN19" i="1"/>
  <c r="AP18" i="1"/>
  <c r="AO18" i="1"/>
  <c r="AN18" i="1"/>
  <c r="AP17" i="1"/>
  <c r="AO17" i="1"/>
  <c r="AN17" i="1"/>
  <c r="AO8" i="1"/>
  <c r="AN8" i="1"/>
  <c r="AE49" i="1"/>
  <c r="Y49" i="1"/>
  <c r="AH48" i="1"/>
  <c r="AE48" i="1"/>
  <c r="AB48" i="1"/>
  <c r="Y48" i="1"/>
  <c r="X48" i="1"/>
  <c r="Z46" i="1"/>
  <c r="AE39" i="1"/>
  <c r="Y39" i="1"/>
  <c r="AH38" i="1"/>
  <c r="AE38" i="1"/>
  <c r="AB38" i="1"/>
  <c r="Y38" i="1"/>
  <c r="X38" i="1"/>
  <c r="Z36" i="1"/>
  <c r="AE77" i="1"/>
  <c r="Y77" i="1"/>
  <c r="AH76" i="1"/>
  <c r="AE76" i="1"/>
  <c r="AB76" i="1"/>
  <c r="Y76" i="1"/>
  <c r="X76" i="1"/>
  <c r="Z74" i="1"/>
  <c r="AE67" i="1"/>
  <c r="Y67" i="1"/>
  <c r="AH66" i="1"/>
  <c r="AE66" i="1"/>
  <c r="AB66" i="1"/>
  <c r="Y66" i="1"/>
  <c r="X66" i="1"/>
  <c r="Z64" i="1"/>
  <c r="AE133" i="1"/>
  <c r="Y133" i="1"/>
  <c r="AH132" i="1"/>
  <c r="AE132" i="1"/>
  <c r="AB132" i="1"/>
  <c r="Y132" i="1"/>
  <c r="X132" i="1"/>
  <c r="Z130" i="1"/>
  <c r="AE123" i="1"/>
  <c r="Y123" i="1"/>
  <c r="AH122" i="1"/>
  <c r="AE122" i="1"/>
  <c r="AB122" i="1"/>
  <c r="Y122" i="1"/>
  <c r="X122" i="1"/>
  <c r="Z120" i="1"/>
  <c r="AE21" i="1"/>
  <c r="Y21" i="1"/>
  <c r="AH20" i="1"/>
  <c r="AE20" i="1"/>
  <c r="AB20" i="1"/>
  <c r="Y20" i="1"/>
  <c r="X20" i="1"/>
  <c r="Z18" i="1"/>
  <c r="AP9" i="1"/>
  <c r="AP8" i="1"/>
  <c r="AP7" i="1"/>
  <c r="AO9" i="1"/>
  <c r="AO7" i="1"/>
  <c r="AN9" i="1"/>
  <c r="AN7" i="1"/>
  <c r="AH10" i="1"/>
  <c r="AB10" i="1"/>
  <c r="X10" i="1"/>
  <c r="Q139" i="1"/>
  <c r="Q150" i="1"/>
  <c r="AK48" i="1"/>
  <c r="AK10" i="1"/>
  <c r="Q111" i="1"/>
  <c r="Q149" i="1"/>
  <c r="K139" i="1"/>
  <c r="AK132" i="1"/>
  <c r="AK38" i="1"/>
  <c r="AK76" i="1"/>
  <c r="O112" i="1"/>
  <c r="O149" i="1"/>
  <c r="P149" i="1"/>
  <c r="AT112" i="1"/>
  <c r="K112" i="1"/>
  <c r="K149" i="1"/>
  <c r="AR112" i="1"/>
  <c r="L149" i="1"/>
  <c r="O140" i="1"/>
  <c r="O150" i="1"/>
  <c r="AT140" i="1"/>
  <c r="P150" i="1"/>
  <c r="K140" i="1"/>
  <c r="K150" i="1"/>
  <c r="L150" i="1"/>
  <c r="AR140" i="1"/>
  <c r="M139" i="1"/>
  <c r="N140" i="1"/>
  <c r="M111" i="1"/>
  <c r="N112" i="1"/>
  <c r="AK122" i="1"/>
  <c r="AK20" i="1"/>
  <c r="M112" i="1"/>
  <c r="M149" i="1"/>
  <c r="AS112" i="1"/>
  <c r="AW112" i="1"/>
  <c r="AX112" i="1"/>
  <c r="N149" i="1"/>
  <c r="M140" i="1"/>
  <c r="M150" i="1"/>
  <c r="N150" i="1"/>
  <c r="AS140" i="1"/>
  <c r="AW140" i="1"/>
  <c r="AX140" i="1"/>
  <c r="Y11" i="1"/>
  <c r="AE11" i="1"/>
  <c r="AE10" i="1"/>
  <c r="Y10" i="1"/>
  <c r="AU140" i="1"/>
  <c r="AV140" i="1"/>
  <c r="I140" i="1"/>
  <c r="I150" i="1"/>
  <c r="AU112" i="1"/>
  <c r="Z8" i="1"/>
  <c r="J140" i="1"/>
  <c r="J150" i="1"/>
  <c r="J112" i="1"/>
  <c r="J149" i="1"/>
  <c r="AV112" i="1"/>
  <c r="I112" i="1"/>
  <c r="I149" i="1"/>
  <c r="P151" i="1"/>
  <c r="N151" i="1"/>
  <c r="L151" i="1"/>
  <c r="P81" i="1"/>
  <c r="O81" i="1"/>
  <c r="N81" i="1"/>
  <c r="M81" i="1"/>
  <c r="K81" i="1"/>
  <c r="P53" i="1"/>
  <c r="O53" i="1"/>
  <c r="N53" i="1"/>
  <c r="M53" i="1"/>
  <c r="K53" i="1"/>
  <c r="M151" i="1"/>
  <c r="K151" i="1"/>
  <c r="O151" i="1"/>
  <c r="J151" i="1"/>
  <c r="J53" i="1"/>
  <c r="D26" i="1"/>
  <c r="D27" i="1"/>
  <c r="E26" i="1"/>
  <c r="E27" i="1"/>
  <c r="F26" i="1"/>
  <c r="F27" i="1"/>
  <c r="BE81" i="1"/>
  <c r="BD81" i="1"/>
  <c r="BC81" i="1"/>
  <c r="BB81" i="1"/>
  <c r="BA81" i="1"/>
  <c r="AZ81" i="1"/>
  <c r="BE80" i="1"/>
  <c r="BD80" i="1"/>
  <c r="BC80" i="1"/>
  <c r="BB80" i="1"/>
  <c r="BA80" i="1"/>
  <c r="AZ80" i="1"/>
  <c r="BE79" i="1"/>
  <c r="BD79" i="1"/>
  <c r="BC79" i="1"/>
  <c r="BB79" i="1"/>
  <c r="BA79" i="1"/>
  <c r="BE78" i="1"/>
  <c r="BD78" i="1"/>
  <c r="BC78" i="1"/>
  <c r="BB78" i="1"/>
  <c r="BA78" i="1"/>
  <c r="AZ78" i="1"/>
  <c r="BE77" i="1"/>
  <c r="BD77" i="1"/>
  <c r="BC77" i="1"/>
  <c r="BB77" i="1"/>
  <c r="BA77" i="1"/>
  <c r="AZ77" i="1"/>
  <c r="BE76" i="1"/>
  <c r="BD76" i="1"/>
  <c r="BC76" i="1"/>
  <c r="BB76" i="1"/>
  <c r="BA76" i="1"/>
  <c r="AZ76" i="1"/>
  <c r="BE75" i="1"/>
  <c r="BD75" i="1"/>
  <c r="BC75" i="1"/>
  <c r="BB75" i="1"/>
  <c r="BA75" i="1"/>
  <c r="BE74" i="1"/>
  <c r="BD74" i="1"/>
  <c r="BC74" i="1"/>
  <c r="BB74" i="1"/>
  <c r="BA74" i="1"/>
  <c r="AZ74" i="1"/>
  <c r="BE73" i="1"/>
  <c r="BD73" i="1"/>
  <c r="BC73" i="1"/>
  <c r="BB73" i="1"/>
  <c r="BA73" i="1"/>
  <c r="AZ73" i="1"/>
  <c r="BE72" i="1"/>
  <c r="BD72" i="1"/>
  <c r="BC72" i="1"/>
  <c r="BB72" i="1"/>
  <c r="BA72" i="1"/>
  <c r="AZ72" i="1"/>
  <c r="BE71" i="1"/>
  <c r="BD71" i="1"/>
  <c r="BC71" i="1"/>
  <c r="BB71" i="1"/>
  <c r="BA71" i="1"/>
  <c r="BE70" i="1"/>
  <c r="BD70" i="1"/>
  <c r="BC70" i="1"/>
  <c r="BA70" i="1"/>
  <c r="AZ70" i="1"/>
  <c r="BE69" i="1"/>
  <c r="BD69" i="1"/>
  <c r="BC69" i="1"/>
  <c r="BB69" i="1"/>
  <c r="BA69" i="1"/>
  <c r="AZ69" i="1"/>
  <c r="BE68" i="1"/>
  <c r="BD68" i="1"/>
  <c r="BC68" i="1"/>
  <c r="BA68" i="1"/>
  <c r="AZ68" i="1"/>
  <c r="BE67" i="1"/>
  <c r="BD67" i="1"/>
  <c r="BC67" i="1"/>
  <c r="BB67" i="1"/>
  <c r="BA67" i="1"/>
  <c r="AZ67" i="1"/>
  <c r="BE66" i="1"/>
  <c r="BD66" i="1"/>
  <c r="BC66" i="1"/>
  <c r="BA66" i="1"/>
  <c r="AZ66" i="1"/>
  <c r="BE65" i="1"/>
  <c r="BD65" i="1"/>
  <c r="BC65" i="1"/>
  <c r="BB65" i="1"/>
  <c r="BA65" i="1"/>
  <c r="BE64" i="1"/>
  <c r="BD64" i="1"/>
  <c r="BC64" i="1"/>
  <c r="BA64" i="1"/>
  <c r="AZ64" i="1"/>
  <c r="BE63" i="1"/>
  <c r="BD63" i="1"/>
  <c r="BC63" i="1"/>
  <c r="BB63" i="1"/>
  <c r="BA63" i="1"/>
  <c r="BG63" i="1"/>
  <c r="BE62" i="1"/>
  <c r="BD62" i="1"/>
  <c r="BC62" i="1"/>
  <c r="BB62" i="1"/>
  <c r="BA62" i="1"/>
  <c r="AZ62" i="1"/>
  <c r="BE53" i="1"/>
  <c r="BD53" i="1"/>
  <c r="BC53" i="1"/>
  <c r="BB53" i="1"/>
  <c r="BA53" i="1"/>
  <c r="AZ53" i="1"/>
  <c r="BE52" i="1"/>
  <c r="BD52" i="1"/>
  <c r="BC52" i="1"/>
  <c r="BB52" i="1"/>
  <c r="BA52" i="1"/>
  <c r="AZ52" i="1"/>
  <c r="BE51" i="1"/>
  <c r="BD51" i="1"/>
  <c r="BC51" i="1"/>
  <c r="BB51" i="1"/>
  <c r="BA51" i="1"/>
  <c r="AZ51" i="1"/>
  <c r="BE50" i="1"/>
  <c r="BD50" i="1"/>
  <c r="BC50" i="1"/>
  <c r="BB50" i="1"/>
  <c r="BA50" i="1"/>
  <c r="BE49" i="1"/>
  <c r="BD49" i="1"/>
  <c r="BC49" i="1"/>
  <c r="BB49" i="1"/>
  <c r="BA49" i="1"/>
  <c r="AZ49" i="1"/>
  <c r="BE48" i="1"/>
  <c r="BD48" i="1"/>
  <c r="BC48" i="1"/>
  <c r="BB48" i="1"/>
  <c r="BA48" i="1"/>
  <c r="AZ48" i="1"/>
  <c r="BE47" i="1"/>
  <c r="BD47" i="1"/>
  <c r="BC47" i="1"/>
  <c r="BB47" i="1"/>
  <c r="BA47" i="1"/>
  <c r="AZ47" i="1"/>
  <c r="BE46" i="1"/>
  <c r="BD46" i="1"/>
  <c r="BC46" i="1"/>
  <c r="BA46" i="1"/>
  <c r="AZ46" i="1"/>
  <c r="BE45" i="1"/>
  <c r="BD45" i="1"/>
  <c r="BC45" i="1"/>
  <c r="BB45" i="1"/>
  <c r="BA45" i="1"/>
  <c r="BE44" i="1"/>
  <c r="BD44" i="1"/>
  <c r="BC44" i="1"/>
  <c r="BA44" i="1"/>
  <c r="AZ44" i="1"/>
  <c r="BE43" i="1"/>
  <c r="BD43" i="1"/>
  <c r="BC43" i="1"/>
  <c r="BB43" i="1"/>
  <c r="BA43" i="1"/>
  <c r="BE42" i="1"/>
  <c r="BD42" i="1"/>
  <c r="BC42" i="1"/>
  <c r="BA42" i="1"/>
  <c r="AZ42" i="1"/>
  <c r="BE41" i="1"/>
  <c r="BD41" i="1"/>
  <c r="BC41" i="1"/>
  <c r="BB41" i="1"/>
  <c r="BA41" i="1"/>
  <c r="AZ41" i="1"/>
  <c r="BE40" i="1"/>
  <c r="BD40" i="1"/>
  <c r="BC40" i="1"/>
  <c r="BA40" i="1"/>
  <c r="AZ40" i="1"/>
  <c r="BE39" i="1"/>
  <c r="BD39" i="1"/>
  <c r="BC39" i="1"/>
  <c r="BB39" i="1"/>
  <c r="BA39" i="1"/>
  <c r="BE38" i="1"/>
  <c r="BD38" i="1"/>
  <c r="BC38" i="1"/>
  <c r="BA38" i="1"/>
  <c r="AZ38" i="1"/>
  <c r="BE37" i="1"/>
  <c r="BD37" i="1"/>
  <c r="BC37" i="1"/>
  <c r="BB37" i="1"/>
  <c r="BA37" i="1"/>
  <c r="BE36" i="1"/>
  <c r="BD36" i="1"/>
  <c r="BC36" i="1"/>
  <c r="BA36" i="1"/>
  <c r="AZ36" i="1"/>
  <c r="BE35" i="1"/>
  <c r="BD35" i="1"/>
  <c r="BC35" i="1"/>
  <c r="BB35" i="1"/>
  <c r="BA35" i="1"/>
  <c r="AZ35" i="1"/>
  <c r="BE34" i="1"/>
  <c r="BD34" i="1"/>
  <c r="BC34" i="1"/>
  <c r="BA34" i="1"/>
  <c r="AZ34" i="1"/>
  <c r="BE7" i="1"/>
  <c r="BD7" i="1"/>
  <c r="BE8" i="1"/>
  <c r="BD8" i="1"/>
  <c r="BE9" i="1"/>
  <c r="BD9" i="1"/>
  <c r="BE10" i="1"/>
  <c r="BD10" i="1"/>
  <c r="BE11" i="1"/>
  <c r="BD11" i="1"/>
  <c r="BE12" i="1"/>
  <c r="BD12" i="1"/>
  <c r="BE13" i="1"/>
  <c r="BD13" i="1"/>
  <c r="BE14" i="1"/>
  <c r="BD14" i="1"/>
  <c r="BE15" i="1"/>
  <c r="BD15" i="1"/>
  <c r="BE16" i="1"/>
  <c r="BD16" i="1"/>
  <c r="BE17" i="1"/>
  <c r="BD17" i="1"/>
  <c r="BE18" i="1"/>
  <c r="BD18" i="1"/>
  <c r="BE19" i="1"/>
  <c r="BD19" i="1"/>
  <c r="BE20" i="1"/>
  <c r="BD20" i="1"/>
  <c r="BE21" i="1"/>
  <c r="BD21" i="1"/>
  <c r="BE22" i="1"/>
  <c r="BD22" i="1"/>
  <c r="BE23" i="1"/>
  <c r="BD23" i="1"/>
  <c r="BE24" i="1"/>
  <c r="BD24" i="1"/>
  <c r="BE25" i="1"/>
  <c r="BD25" i="1"/>
  <c r="BC7" i="1"/>
  <c r="BB7" i="1"/>
  <c r="BC8" i="1"/>
  <c r="BB8" i="1"/>
  <c r="BC9" i="1"/>
  <c r="BB9" i="1"/>
  <c r="BC10" i="1"/>
  <c r="BB10" i="1"/>
  <c r="BC11" i="1"/>
  <c r="BB11" i="1"/>
  <c r="BC12" i="1"/>
  <c r="BB12" i="1"/>
  <c r="BC13" i="1"/>
  <c r="BB13" i="1"/>
  <c r="BC14" i="1"/>
  <c r="BB14" i="1"/>
  <c r="BC15" i="1"/>
  <c r="BB15" i="1"/>
  <c r="BC16" i="1"/>
  <c r="BB16" i="1"/>
  <c r="BC17" i="1"/>
  <c r="BB17" i="1"/>
  <c r="BC18" i="1"/>
  <c r="BB18" i="1"/>
  <c r="BC19" i="1"/>
  <c r="BB19" i="1"/>
  <c r="BC20" i="1"/>
  <c r="BB20" i="1"/>
  <c r="BC21" i="1"/>
  <c r="BB21" i="1"/>
  <c r="BC22" i="1"/>
  <c r="BB22" i="1"/>
  <c r="BC23" i="1"/>
  <c r="BB23" i="1"/>
  <c r="BC24" i="1"/>
  <c r="BB24" i="1"/>
  <c r="BC25" i="1"/>
  <c r="BB25" i="1"/>
  <c r="BA7" i="1"/>
  <c r="AZ7" i="1"/>
  <c r="BA8" i="1"/>
  <c r="AZ8" i="1"/>
  <c r="BA9" i="1"/>
  <c r="AZ9" i="1"/>
  <c r="BA10" i="1"/>
  <c r="AZ10" i="1"/>
  <c r="BA11" i="1"/>
  <c r="AZ11" i="1"/>
  <c r="BA12" i="1"/>
  <c r="AZ12" i="1"/>
  <c r="BA13" i="1"/>
  <c r="AZ13" i="1"/>
  <c r="BA14" i="1"/>
  <c r="AZ14" i="1"/>
  <c r="BA15" i="1"/>
  <c r="AZ15" i="1"/>
  <c r="BA16" i="1"/>
  <c r="AZ16" i="1"/>
  <c r="BA17" i="1"/>
  <c r="AZ17" i="1"/>
  <c r="BA18" i="1"/>
  <c r="AZ18" i="1"/>
  <c r="BA19" i="1"/>
  <c r="AZ19" i="1"/>
  <c r="BA20" i="1"/>
  <c r="AZ20" i="1"/>
  <c r="BA21" i="1"/>
  <c r="AZ21" i="1"/>
  <c r="BA22" i="1"/>
  <c r="AZ22" i="1"/>
  <c r="BA23" i="1"/>
  <c r="AZ23" i="1"/>
  <c r="BA24" i="1"/>
  <c r="AZ24" i="1"/>
  <c r="BA25" i="1"/>
  <c r="AZ25" i="1"/>
  <c r="BE6" i="1"/>
  <c r="BD6" i="1"/>
  <c r="BC6" i="1"/>
  <c r="BB6" i="1"/>
  <c r="BG43" i="1"/>
  <c r="BF43" i="1"/>
  <c r="Q43" i="1"/>
  <c r="BG50" i="1"/>
  <c r="T50" i="1"/>
  <c r="BG66" i="1"/>
  <c r="T66" i="1"/>
  <c r="BG70" i="1"/>
  <c r="T70" i="1"/>
  <c r="BG64" i="1"/>
  <c r="T64" i="1"/>
  <c r="BG68" i="1"/>
  <c r="T68" i="1"/>
  <c r="BG71" i="1"/>
  <c r="BF71" i="1"/>
  <c r="Q71" i="1"/>
  <c r="BG37" i="1"/>
  <c r="T37" i="1"/>
  <c r="BG38" i="1"/>
  <c r="BF38" i="1"/>
  <c r="Q38" i="1"/>
  <c r="BG42" i="1"/>
  <c r="BF42" i="1"/>
  <c r="Q42" i="1"/>
  <c r="BG45" i="1"/>
  <c r="T45" i="1"/>
  <c r="BG52" i="1"/>
  <c r="BF52" i="1"/>
  <c r="Q52" i="1"/>
  <c r="BG75" i="1"/>
  <c r="BF75" i="1"/>
  <c r="Q75" i="1"/>
  <c r="BG79" i="1"/>
  <c r="BF79" i="1"/>
  <c r="Q79" i="1"/>
  <c r="BG44" i="1"/>
  <c r="T44" i="1"/>
  <c r="BG65" i="1"/>
  <c r="T65" i="1"/>
  <c r="BG72" i="1"/>
  <c r="T72" i="1"/>
  <c r="BG36" i="1"/>
  <c r="T36" i="1"/>
  <c r="BG39" i="1"/>
  <c r="T39" i="1"/>
  <c r="BG40" i="1"/>
  <c r="BF40" i="1"/>
  <c r="Q40" i="1"/>
  <c r="BG46" i="1"/>
  <c r="T46" i="1"/>
  <c r="BG48" i="1"/>
  <c r="T48" i="1"/>
  <c r="AZ50" i="1"/>
  <c r="BG34" i="1"/>
  <c r="BF34" i="1"/>
  <c r="Q34" i="1"/>
  <c r="BF65" i="1"/>
  <c r="Q65" i="1"/>
  <c r="BG67" i="1"/>
  <c r="BG69" i="1"/>
  <c r="BG73" i="1"/>
  <c r="BG77" i="1"/>
  <c r="BG81" i="1"/>
  <c r="AZ63" i="1"/>
  <c r="BB64" i="1"/>
  <c r="AZ65" i="1"/>
  <c r="BB66" i="1"/>
  <c r="BB68" i="1"/>
  <c r="BB70" i="1"/>
  <c r="AZ71" i="1"/>
  <c r="AZ75" i="1"/>
  <c r="AZ79" i="1"/>
  <c r="BG74" i="1"/>
  <c r="BG76" i="1"/>
  <c r="BG78" i="1"/>
  <c r="BG80" i="1"/>
  <c r="BG35" i="1"/>
  <c r="BG41" i="1"/>
  <c r="BG47" i="1"/>
  <c r="BG49" i="1"/>
  <c r="BG51" i="1"/>
  <c r="BG53" i="1"/>
  <c r="BA54" i="1"/>
  <c r="BE54" i="1"/>
  <c r="BB34" i="1"/>
  <c r="BB36" i="1"/>
  <c r="AZ37" i="1"/>
  <c r="BB38" i="1"/>
  <c r="AZ39" i="1"/>
  <c r="BB40" i="1"/>
  <c r="BB42" i="1"/>
  <c r="AZ43" i="1"/>
  <c r="BB44" i="1"/>
  <c r="AZ45" i="1"/>
  <c r="BB46" i="1"/>
  <c r="BC54" i="1"/>
  <c r="BF50" i="1"/>
  <c r="Q50" i="1"/>
  <c r="T52" i="1"/>
  <c r="BF64" i="1"/>
  <c r="Q64" i="1"/>
  <c r="BF44" i="1"/>
  <c r="Q44" i="1"/>
  <c r="T43" i="1"/>
  <c r="T40" i="1"/>
  <c r="BF37" i="1"/>
  <c r="Q37" i="1"/>
  <c r="T42" i="1"/>
  <c r="BF48" i="1"/>
  <c r="Q48" i="1"/>
  <c r="T34" i="1"/>
  <c r="BF36" i="1"/>
  <c r="Q36" i="1"/>
  <c r="T79" i="1"/>
  <c r="BF66" i="1"/>
  <c r="Q66" i="1"/>
  <c r="BF68" i="1"/>
  <c r="Q68" i="1"/>
  <c r="BF46" i="1"/>
  <c r="Q46" i="1"/>
  <c r="T38" i="1"/>
  <c r="T75" i="1"/>
  <c r="T71" i="1"/>
  <c r="BF39" i="1"/>
  <c r="Q39" i="1"/>
  <c r="BF45" i="1"/>
  <c r="Q45" i="1"/>
  <c r="BF70" i="1"/>
  <c r="Q70" i="1"/>
  <c r="BF72" i="1"/>
  <c r="Q72" i="1"/>
  <c r="BG54" i="1"/>
  <c r="BG55" i="1"/>
  <c r="T73" i="1"/>
  <c r="BF73" i="1"/>
  <c r="Q73" i="1"/>
  <c r="T81" i="1"/>
  <c r="BF81" i="1"/>
  <c r="Q81" i="1"/>
  <c r="BF69" i="1"/>
  <c r="Q69" i="1"/>
  <c r="T69" i="1"/>
  <c r="T80" i="1"/>
  <c r="BF80" i="1"/>
  <c r="Q80" i="1"/>
  <c r="T67" i="1"/>
  <c r="BF67" i="1"/>
  <c r="Q67" i="1"/>
  <c r="T78" i="1"/>
  <c r="BF78" i="1"/>
  <c r="Q78" i="1"/>
  <c r="T77" i="1"/>
  <c r="BF77" i="1"/>
  <c r="Q77" i="1"/>
  <c r="T76" i="1"/>
  <c r="BF76" i="1"/>
  <c r="Q76" i="1"/>
  <c r="T74" i="1"/>
  <c r="BF74" i="1"/>
  <c r="Q74" i="1"/>
  <c r="BB54" i="1"/>
  <c r="BC55" i="1"/>
  <c r="BF49" i="1"/>
  <c r="Q49" i="1"/>
  <c r="T49" i="1"/>
  <c r="AZ54" i="1"/>
  <c r="BA55" i="1"/>
  <c r="T47" i="1"/>
  <c r="BF47" i="1"/>
  <c r="Q47" i="1"/>
  <c r="BD54" i="1"/>
  <c r="BE55" i="1"/>
  <c r="T53" i="1"/>
  <c r="BF53" i="1"/>
  <c r="Q53" i="1"/>
  <c r="T41" i="1"/>
  <c r="BF41" i="1"/>
  <c r="Q41" i="1"/>
  <c r="T51" i="1"/>
  <c r="BF51" i="1"/>
  <c r="Q51" i="1"/>
  <c r="T35" i="1"/>
  <c r="BF35" i="1"/>
  <c r="Q35" i="1"/>
  <c r="T54" i="1"/>
  <c r="Q54" i="1"/>
  <c r="BF54" i="1"/>
  <c r="BA56" i="1"/>
  <c r="AZ56" i="1"/>
  <c r="AZ55" i="1"/>
  <c r="BB55" i="1"/>
  <c r="BC56" i="1"/>
  <c r="BB56" i="1"/>
  <c r="BE56" i="1"/>
  <c r="BD56" i="1"/>
  <c r="BD55" i="1"/>
  <c r="BF55" i="1"/>
  <c r="BG56" i="1"/>
  <c r="BF56" i="1"/>
  <c r="BA6" i="1"/>
  <c r="AZ6" i="1"/>
  <c r="BG9" i="1"/>
  <c r="BG16" i="1"/>
  <c r="BG20" i="1"/>
  <c r="BG24" i="1"/>
  <c r="BG7" i="1"/>
  <c r="BG8" i="1"/>
  <c r="BG10" i="1"/>
  <c r="BG11" i="1"/>
  <c r="BG12" i="1"/>
  <c r="T24" i="1"/>
  <c r="BF24" i="1"/>
  <c r="Q24" i="1"/>
  <c r="T20" i="1"/>
  <c r="BF20" i="1"/>
  <c r="Q20" i="1"/>
  <c r="T16" i="1"/>
  <c r="BF16" i="1"/>
  <c r="Q16" i="1"/>
  <c r="T7" i="1"/>
  <c r="BF7" i="1"/>
  <c r="Q7" i="1"/>
  <c r="T12" i="1"/>
  <c r="BF12" i="1"/>
  <c r="Q12" i="1"/>
  <c r="BF9" i="1"/>
  <c r="Q9" i="1"/>
  <c r="T9" i="1"/>
  <c r="BF11" i="1"/>
  <c r="Q11" i="1"/>
  <c r="T11" i="1"/>
  <c r="BF10" i="1"/>
  <c r="Q10" i="1"/>
  <c r="T10" i="1"/>
  <c r="T8" i="1"/>
  <c r="BF8" i="1"/>
  <c r="Q8" i="1"/>
  <c r="BG25" i="1"/>
  <c r="BG17" i="1"/>
  <c r="BG22" i="1"/>
  <c r="BG18" i="1"/>
  <c r="BG14" i="1"/>
  <c r="BG21" i="1"/>
  <c r="BG23" i="1"/>
  <c r="BG19" i="1"/>
  <c r="BG15" i="1"/>
  <c r="BG13" i="1"/>
  <c r="BA26" i="1"/>
  <c r="BG6" i="1"/>
  <c r="BC26" i="1"/>
  <c r="BE26" i="1"/>
  <c r="J25" i="1"/>
  <c r="F82" i="1"/>
  <c r="F83" i="1"/>
  <c r="F84" i="1"/>
  <c r="F148" i="1"/>
  <c r="F28" i="1"/>
  <c r="F146" i="1"/>
  <c r="F54" i="1"/>
  <c r="F55" i="1"/>
  <c r="F56" i="1"/>
  <c r="F147" i="1"/>
  <c r="F152" i="1"/>
  <c r="F153" i="1"/>
  <c r="F154" i="1"/>
  <c r="F156" i="1"/>
  <c r="E82" i="1"/>
  <c r="E83" i="1"/>
  <c r="D82" i="1"/>
  <c r="D83" i="1"/>
  <c r="D84" i="1"/>
  <c r="D148" i="1"/>
  <c r="D28" i="1"/>
  <c r="D146" i="1"/>
  <c r="D54" i="1"/>
  <c r="D55" i="1"/>
  <c r="D56" i="1"/>
  <c r="D147" i="1"/>
  <c r="D152" i="1"/>
  <c r="D153" i="1"/>
  <c r="D154" i="1"/>
  <c r="D156" i="1"/>
  <c r="E54" i="1"/>
  <c r="T21" i="1"/>
  <c r="BF21" i="1"/>
  <c r="Q21" i="1"/>
  <c r="T17" i="1"/>
  <c r="BF17" i="1"/>
  <c r="Q17" i="1"/>
  <c r="T15" i="1"/>
  <c r="BF15" i="1"/>
  <c r="Q15" i="1"/>
  <c r="T14" i="1"/>
  <c r="BF14" i="1"/>
  <c r="Q14" i="1"/>
  <c r="T25" i="1"/>
  <c r="BF25" i="1"/>
  <c r="Q25" i="1"/>
  <c r="T19" i="1"/>
  <c r="BF19" i="1"/>
  <c r="Q19" i="1"/>
  <c r="T18" i="1"/>
  <c r="BF18" i="1"/>
  <c r="Q18" i="1"/>
  <c r="T23" i="1"/>
  <c r="BF23" i="1"/>
  <c r="Q23" i="1"/>
  <c r="T22" i="1"/>
  <c r="BF22" i="1"/>
  <c r="Q22" i="1"/>
  <c r="BF13" i="1"/>
  <c r="Q13" i="1"/>
  <c r="T13" i="1"/>
  <c r="BF6" i="1"/>
  <c r="Q6" i="1"/>
  <c r="BA27" i="1"/>
  <c r="AZ27" i="1"/>
  <c r="AZ26" i="1"/>
  <c r="BE27" i="1"/>
  <c r="BD27" i="1"/>
  <c r="BD26" i="1"/>
  <c r="BC27" i="1"/>
  <c r="BB27" i="1"/>
  <c r="BB26" i="1"/>
  <c r="BG26" i="1"/>
  <c r="E55" i="1"/>
  <c r="T26" i="1"/>
  <c r="Q26" i="1"/>
  <c r="BE28" i="1"/>
  <c r="BD28" i="1"/>
  <c r="BA28" i="1"/>
  <c r="AZ28" i="1"/>
  <c r="BC28" i="1"/>
  <c r="BB28" i="1"/>
  <c r="BG27" i="1"/>
  <c r="BF26" i="1"/>
  <c r="E56" i="1"/>
  <c r="E147" i="1"/>
  <c r="T55" i="1"/>
  <c r="P54" i="1"/>
  <c r="L54" i="1"/>
  <c r="L82" i="1"/>
  <c r="K82" i="1"/>
  <c r="N82" i="1"/>
  <c r="M82" i="1"/>
  <c r="T27" i="1"/>
  <c r="P55" i="1"/>
  <c r="P56" i="1"/>
  <c r="AT56" i="1"/>
  <c r="BF27" i="1"/>
  <c r="BG28" i="1"/>
  <c r="BF28" i="1"/>
  <c r="Q55" i="1"/>
  <c r="Q147" i="1"/>
  <c r="T147" i="1"/>
  <c r="N54" i="1"/>
  <c r="K54" i="1"/>
  <c r="L55" i="1"/>
  <c r="O54" i="1"/>
  <c r="B148" i="1"/>
  <c r="B147" i="1"/>
  <c r="B146" i="1"/>
  <c r="Q27" i="1"/>
  <c r="Q146" i="1"/>
  <c r="T146" i="1"/>
  <c r="O55" i="1"/>
  <c r="M54" i="1"/>
  <c r="E28" i="1"/>
  <c r="T28" i="1"/>
  <c r="Q28" i="1"/>
  <c r="N55" i="1"/>
  <c r="K55" i="1"/>
  <c r="L56" i="1"/>
  <c r="AR56" i="1"/>
  <c r="O56" i="1"/>
  <c r="O147" i="1"/>
  <c r="P147" i="1"/>
  <c r="M55" i="1"/>
  <c r="E146" i="1"/>
  <c r="N56" i="1"/>
  <c r="AS56" i="1"/>
  <c r="AU56" i="1"/>
  <c r="K56" i="1"/>
  <c r="K147" i="1"/>
  <c r="L147" i="1"/>
  <c r="AV56" i="1"/>
  <c r="I56" i="1"/>
  <c r="I147" i="1"/>
  <c r="J56" i="1"/>
  <c r="J147" i="1"/>
  <c r="AW56" i="1"/>
  <c r="AX56" i="1"/>
  <c r="N147" i="1"/>
  <c r="M56" i="1"/>
  <c r="M147" i="1"/>
  <c r="P26" i="1"/>
  <c r="P27" i="1"/>
  <c r="O26" i="1"/>
  <c r="O27" i="1"/>
  <c r="P28" i="1"/>
  <c r="AT28" i="1"/>
  <c r="O28" i="1"/>
  <c r="O146" i="1"/>
  <c r="P146" i="1"/>
  <c r="N26" i="1"/>
  <c r="N27" i="1"/>
  <c r="M26" i="1"/>
  <c r="N28" i="1"/>
  <c r="AS28" i="1"/>
  <c r="M27" i="1"/>
  <c r="N146" i="1"/>
  <c r="M28" i="1"/>
  <c r="M146" i="1"/>
  <c r="L26" i="1"/>
  <c r="K26" i="1"/>
  <c r="L27" i="1"/>
  <c r="K27" i="1"/>
  <c r="L28" i="1"/>
  <c r="AR28" i="1"/>
  <c r="AW28" i="1"/>
  <c r="AX28" i="1"/>
  <c r="AU28" i="1"/>
  <c r="L146" i="1"/>
  <c r="K28" i="1"/>
  <c r="K146" i="1"/>
  <c r="AV28" i="1"/>
  <c r="I28" i="1"/>
  <c r="I146" i="1"/>
  <c r="J28" i="1"/>
  <c r="J146" i="1"/>
  <c r="H147" i="1"/>
  <c r="H152" i="1"/>
  <c r="H156" i="1"/>
  <c r="AK66" i="1"/>
  <c r="BA82" i="1"/>
  <c r="AZ82" i="1"/>
  <c r="BG62" i="1"/>
  <c r="BF62" i="1"/>
  <c r="Q62" i="1"/>
  <c r="P82" i="1"/>
  <c r="O82" i="1"/>
  <c r="BF63" i="1"/>
  <c r="Q63" i="1"/>
  <c r="T63" i="1"/>
  <c r="BC82" i="1"/>
  <c r="BB82" i="1"/>
  <c r="N83" i="1"/>
  <c r="BE82" i="1"/>
  <c r="BD82" i="1"/>
  <c r="E84" i="1"/>
  <c r="E148" i="1"/>
  <c r="E152" i="1"/>
  <c r="E153" i="1"/>
  <c r="L83" i="1"/>
  <c r="BA83" i="1"/>
  <c r="AZ83" i="1"/>
  <c r="T62" i="1"/>
  <c r="T82" i="1"/>
  <c r="Q82" i="1"/>
  <c r="BG82" i="1"/>
  <c r="BG83" i="1"/>
  <c r="P83" i="1"/>
  <c r="O83" i="1"/>
  <c r="BC83" i="1"/>
  <c r="BC84" i="1"/>
  <c r="BB84" i="1"/>
  <c r="M83" i="1"/>
  <c r="N84" i="1"/>
  <c r="BE83" i="1"/>
  <c r="BE84" i="1"/>
  <c r="BD84" i="1"/>
  <c r="E154" i="1"/>
  <c r="BA84" i="1"/>
  <c r="AZ84" i="1"/>
  <c r="L84" i="1"/>
  <c r="K83" i="1"/>
  <c r="T83" i="1"/>
  <c r="T148" i="1"/>
  <c r="T152" i="1"/>
  <c r="BF82" i="1"/>
  <c r="BD83" i="1"/>
  <c r="P84" i="1"/>
  <c r="O84" i="1"/>
  <c r="O148" i="1"/>
  <c r="BB83" i="1"/>
  <c r="AS84" i="1"/>
  <c r="M84" i="1"/>
  <c r="M148" i="1"/>
  <c r="N148" i="1"/>
  <c r="N152" i="1"/>
  <c r="AR84" i="1"/>
  <c r="K84" i="1"/>
  <c r="K148" i="1"/>
  <c r="L148" i="1"/>
  <c r="L152" i="1"/>
  <c r="BG84" i="1"/>
  <c r="BF84" i="1"/>
  <c r="BF83" i="1"/>
  <c r="Q83" i="1"/>
  <c r="Q148" i="1"/>
  <c r="AT84" i="1"/>
  <c r="P148" i="1"/>
  <c r="P152" i="1"/>
  <c r="O152" i="1"/>
  <c r="M152" i="1"/>
  <c r="N153" i="1"/>
  <c r="Q152" i="1"/>
  <c r="T153" i="1"/>
  <c r="Q153" i="1"/>
  <c r="K152" i="1"/>
  <c r="L153" i="1"/>
  <c r="AU84" i="1"/>
  <c r="AW84" i="1"/>
  <c r="AX84" i="1"/>
  <c r="P153" i="1"/>
  <c r="O153" i="1"/>
  <c r="T156" i="1"/>
  <c r="Q156" i="1"/>
  <c r="N154" i="1"/>
  <c r="M153" i="1"/>
  <c r="K153" i="1"/>
  <c r="L154" i="1"/>
  <c r="J84" i="1"/>
  <c r="J148" i="1"/>
  <c r="AV84" i="1"/>
  <c r="I84" i="1"/>
  <c r="I148" i="1"/>
  <c r="P154" i="1"/>
  <c r="P156" i="1"/>
  <c r="N156" i="1"/>
  <c r="AS154" i="1"/>
  <c r="M154" i="1"/>
  <c r="AR154" i="1"/>
  <c r="K154" i="1"/>
  <c r="L156" i="1"/>
  <c r="O154" i="1"/>
  <c r="AT154" i="1"/>
  <c r="AW154" i="1"/>
  <c r="AX154" i="1"/>
  <c r="M156" i="1"/>
  <c r="AS156" i="1"/>
  <c r="K156" i="1"/>
  <c r="AR156" i="1"/>
  <c r="O156" i="1"/>
  <c r="AT156" i="1"/>
  <c r="AU154" i="1"/>
  <c r="J154" i="1"/>
  <c r="AU156" i="1"/>
  <c r="AW156" i="1"/>
  <c r="AX156" i="1"/>
  <c r="AV154" i="1"/>
  <c r="I154" i="1"/>
  <c r="AV156" i="1"/>
  <c r="I156" i="1"/>
  <c r="J156" i="1"/>
</calcChain>
</file>

<file path=xl/sharedStrings.xml><?xml version="1.0" encoding="utf-8"?>
<sst xmlns="http://schemas.openxmlformats.org/spreadsheetml/2006/main" count="408" uniqueCount="58">
  <si>
    <t>Belastning (A)</t>
  </si>
  <si>
    <t>L1</t>
  </si>
  <si>
    <t>L2</t>
  </si>
  <si>
    <t>L3</t>
  </si>
  <si>
    <t>Gruppe/Belastning</t>
  </si>
  <si>
    <r>
      <t>Cos</t>
    </r>
    <r>
      <rPr>
        <sz val="11"/>
        <color theme="1"/>
        <rFont val="Calibri"/>
        <family val="2"/>
      </rPr>
      <t>ϕ</t>
    </r>
  </si>
  <si>
    <t>∠</t>
  </si>
  <si>
    <t>Samlet</t>
  </si>
  <si>
    <t>Samtidighedsfaktor</t>
  </si>
  <si>
    <t>Udvidelsesfaktor</t>
  </si>
  <si>
    <r>
      <t>S</t>
    </r>
    <r>
      <rPr>
        <vertAlign val="subscript"/>
        <sz val="11"/>
        <color theme="1"/>
        <rFont val="Calibri"/>
        <family val="2"/>
        <scheme val="minor"/>
      </rPr>
      <t>f</t>
    </r>
  </si>
  <si>
    <t>N</t>
  </si>
  <si>
    <t>Nulstrøm</t>
  </si>
  <si>
    <t xml:space="preserve"> </t>
  </si>
  <si>
    <t>Mindste cos</t>
  </si>
  <si>
    <t>største vinkel</t>
  </si>
  <si>
    <t>størst cos</t>
  </si>
  <si>
    <t xml:space="preserve"> cosϕ</t>
  </si>
  <si>
    <t>Dårligste</t>
  </si>
  <si>
    <t>min vinkel</t>
  </si>
  <si>
    <t>Fasekompencering</t>
  </si>
  <si>
    <t>P</t>
  </si>
  <si>
    <t>Q</t>
  </si>
  <si>
    <t>S</t>
  </si>
  <si>
    <t>Uf</t>
  </si>
  <si>
    <t>Un</t>
  </si>
  <si>
    <t>cosϕ</t>
  </si>
  <si>
    <t>sinϕ</t>
  </si>
  <si>
    <t>η</t>
  </si>
  <si>
    <t>V</t>
  </si>
  <si>
    <t>cos</t>
  </si>
  <si>
    <t>sin</t>
  </si>
  <si>
    <t>=</t>
  </si>
  <si>
    <t>IB</t>
  </si>
  <si>
    <t>⇒     (</t>
  </si>
  <si>
    <t>Tavle -A2</t>
  </si>
  <si>
    <t>Tavle -A3</t>
  </si>
  <si>
    <t>Tavle -A4</t>
  </si>
  <si>
    <t>Tavle -A5</t>
  </si>
  <si>
    <r>
      <t xml:space="preserve">Lavet af: </t>
    </r>
    <r>
      <rPr>
        <i/>
        <sz val="14"/>
        <color theme="1"/>
        <rFont val="Brush Script MT"/>
        <family val="4"/>
      </rPr>
      <t>Mikkel Vive</t>
    </r>
    <r>
      <rPr>
        <i/>
        <sz val="11"/>
        <color theme="1"/>
        <rFont val="Calibri"/>
        <family val="2"/>
        <scheme val="minor"/>
      </rPr>
      <t>, 2018</t>
    </r>
  </si>
  <si>
    <t>I Start</t>
  </si>
  <si>
    <t>3.H</t>
  </si>
  <si>
    <t>Startstrøm</t>
  </si>
  <si>
    <t>W31</t>
  </si>
  <si>
    <t>Tavle -A1</t>
  </si>
  <si>
    <t>Tavle -A0</t>
  </si>
  <si>
    <t>MA1</t>
  </si>
  <si>
    <t>MA2</t>
  </si>
  <si>
    <t>Anden belastning</t>
  </si>
  <si>
    <t>A4</t>
  </si>
  <si>
    <t>Anden last</t>
  </si>
  <si>
    <t>MA2.1</t>
  </si>
  <si>
    <t>MA2.2</t>
  </si>
  <si>
    <t>MA2.3</t>
  </si>
  <si>
    <t>Lysgruppe 1</t>
  </si>
  <si>
    <t>Lysgruppe 2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</si>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</sst>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Brush Script MT"/>
      <family val="4"/>
    </font>
    <font>
      <vertAlign val="subscript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 applyAlignment="1">
      <alignment horizontal="right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0" fontId="3" fillId="0" borderId="0" xfId="0" applyFont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164" fontId="3" fillId="3" borderId="8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0" xfId="0" applyFont="1" applyFill="1" applyBorder="1" applyAlignment="1">
      <alignment horizontal="center"/>
    </xf>
    <xf numFmtId="2" fontId="3" fillId="5" borderId="0" xfId="0" applyNumberFormat="1" applyFont="1" applyFill="1" applyBorder="1" applyAlignment="1">
      <alignment horizontal="right"/>
    </xf>
    <xf numFmtId="0" fontId="3" fillId="2" borderId="3" xfId="0" applyNumberFormat="1" applyFont="1" applyFill="1" applyBorder="1"/>
    <xf numFmtId="0" fontId="3" fillId="2" borderId="0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5" borderId="0" xfId="0" applyFont="1" applyFill="1"/>
    <xf numFmtId="0" fontId="3" fillId="2" borderId="3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2" fontId="3" fillId="2" borderId="3" xfId="0" applyNumberFormat="1" applyFont="1" applyFill="1" applyBorder="1" applyAlignment="1" applyProtection="1">
      <alignment horizontal="center"/>
      <protection locked="0"/>
    </xf>
    <xf numFmtId="0" fontId="0" fillId="3" borderId="7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center"/>
    </xf>
    <xf numFmtId="2" fontId="3" fillId="4" borderId="3" xfId="0" applyNumberFormat="1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left"/>
    </xf>
    <xf numFmtId="2" fontId="3" fillId="3" borderId="12" xfId="0" applyNumberFormat="1" applyFont="1" applyFill="1" applyBorder="1" applyProtection="1">
      <protection locked="0"/>
    </xf>
    <xf numFmtId="0" fontId="0" fillId="2" borderId="3" xfId="0" applyFont="1" applyFill="1" applyBorder="1" applyProtection="1">
      <protection locked="0"/>
    </xf>
    <xf numFmtId="0" fontId="0" fillId="5" borderId="0" xfId="0" applyFont="1" applyFill="1"/>
    <xf numFmtId="0" fontId="3" fillId="5" borderId="15" xfId="0" applyFont="1" applyFill="1" applyBorder="1"/>
    <xf numFmtId="0" fontId="3" fillId="3" borderId="8" xfId="0" applyFont="1" applyFill="1" applyBorder="1" applyAlignment="1">
      <alignment horizontal="center"/>
    </xf>
    <xf numFmtId="2" fontId="3" fillId="5" borderId="15" xfId="0" applyNumberFormat="1" applyFont="1" applyFill="1" applyBorder="1" applyAlignment="1">
      <alignment horizontal="right"/>
    </xf>
    <xf numFmtId="0" fontId="3" fillId="5" borderId="16" xfId="0" applyFont="1" applyFill="1" applyBorder="1"/>
    <xf numFmtId="2" fontId="3" fillId="5" borderId="15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4" fillId="5" borderId="0" xfId="0" applyFont="1" applyFill="1" applyBorder="1" applyAlignment="1">
      <alignment vertical="center"/>
    </xf>
    <xf numFmtId="0" fontId="3" fillId="5" borderId="3" xfId="0" applyFont="1" applyFill="1" applyBorder="1"/>
    <xf numFmtId="2" fontId="3" fillId="5" borderId="3" xfId="0" applyNumberFormat="1" applyFont="1" applyFill="1" applyBorder="1" applyAlignment="1">
      <alignment horizontal="right"/>
    </xf>
    <xf numFmtId="0" fontId="0" fillId="5" borderId="15" xfId="0" applyFont="1" applyFill="1" applyBorder="1"/>
    <xf numFmtId="0" fontId="0" fillId="5" borderId="15" xfId="0" applyFont="1" applyFill="1" applyBorder="1" applyAlignment="1">
      <alignment horizontal="left"/>
    </xf>
    <xf numFmtId="2" fontId="0" fillId="5" borderId="15" xfId="0" applyNumberFormat="1" applyFont="1" applyFill="1" applyBorder="1" applyAlignment="1">
      <alignment horizontal="left"/>
    </xf>
    <xf numFmtId="0" fontId="0" fillId="5" borderId="3" xfId="0" applyFont="1" applyFill="1" applyBorder="1"/>
    <xf numFmtId="0" fontId="3" fillId="5" borderId="0" xfId="0" applyFont="1" applyFill="1" applyBorder="1"/>
    <xf numFmtId="0" fontId="0" fillId="5" borderId="0" xfId="0" applyFont="1" applyFill="1" applyBorder="1"/>
    <xf numFmtId="165" fontId="3" fillId="5" borderId="15" xfId="0" applyNumberFormat="1" applyFont="1" applyFill="1" applyBorder="1"/>
    <xf numFmtId="2" fontId="0" fillId="3" borderId="3" xfId="0" applyNumberFormat="1" applyFont="1" applyFill="1" applyBorder="1" applyAlignment="1">
      <alignment horizontal="center"/>
    </xf>
    <xf numFmtId="2" fontId="0" fillId="3" borderId="4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22" xfId="0" applyFont="1" applyFill="1" applyBorder="1"/>
    <xf numFmtId="0" fontId="0" fillId="5" borderId="22" xfId="0" applyFont="1" applyFill="1" applyBorder="1"/>
    <xf numFmtId="0" fontId="3" fillId="5" borderId="20" xfId="0" applyFont="1" applyFill="1" applyBorder="1"/>
    <xf numFmtId="0" fontId="3" fillId="5" borderId="19" xfId="0" applyFont="1" applyFill="1" applyBorder="1"/>
    <xf numFmtId="0" fontId="3" fillId="5" borderId="23" xfId="0" applyFont="1" applyFill="1" applyBorder="1"/>
    <xf numFmtId="0" fontId="0" fillId="5" borderId="23" xfId="0" applyFont="1" applyFill="1" applyBorder="1"/>
    <xf numFmtId="0" fontId="3" fillId="5" borderId="21" xfId="0" applyFont="1" applyFill="1" applyBorder="1"/>
    <xf numFmtId="0" fontId="8" fillId="5" borderId="0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0" fillId="5" borderId="20" xfId="0" applyFont="1" applyFill="1" applyBorder="1"/>
    <xf numFmtId="0" fontId="0" fillId="5" borderId="19" xfId="0" applyFont="1" applyFill="1" applyBorder="1"/>
    <xf numFmtId="0" fontId="0" fillId="5" borderId="23" xfId="0" applyFont="1" applyFill="1" applyBorder="1" applyAlignment="1"/>
    <xf numFmtId="0" fontId="0" fillId="5" borderId="21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7" xfId="0" applyFont="1" applyFill="1" applyBorder="1" applyProtection="1">
      <protection locked="0"/>
    </xf>
    <xf numFmtId="0" fontId="3" fillId="6" borderId="7" xfId="0" applyFont="1" applyFill="1" applyBorder="1" applyAlignment="1" applyProtection="1">
      <alignment horizontal="center"/>
      <protection locked="0"/>
    </xf>
    <xf numFmtId="0" fontId="3" fillId="6" borderId="11" xfId="0" applyFont="1" applyFill="1" applyBorder="1" applyAlignment="1" applyProtection="1">
      <alignment horizontal="center"/>
      <protection locked="0"/>
    </xf>
    <xf numFmtId="2" fontId="3" fillId="6" borderId="7" xfId="0" applyNumberFormat="1" applyFont="1" applyFill="1" applyBorder="1" applyAlignment="1" applyProtection="1">
      <alignment horizontal="center"/>
      <protection locked="0"/>
    </xf>
    <xf numFmtId="2" fontId="3" fillId="6" borderId="8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164" fontId="3" fillId="6" borderId="8" xfId="0" applyNumberFormat="1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0" fillId="5" borderId="0" xfId="0" applyFont="1" applyFill="1" applyBorder="1" applyProtection="1">
      <protection locked="0"/>
    </xf>
    <xf numFmtId="0" fontId="3" fillId="2" borderId="13" xfId="0" applyFont="1" applyFill="1" applyBorder="1" applyProtection="1">
      <protection locked="0"/>
    </xf>
    <xf numFmtId="0" fontId="3" fillId="2" borderId="14" xfId="0" applyFont="1" applyFill="1" applyBorder="1" applyProtection="1">
      <protection locked="0"/>
    </xf>
    <xf numFmtId="0" fontId="3" fillId="6" borderId="12" xfId="0" applyFont="1" applyFill="1" applyBorder="1" applyProtection="1">
      <protection locked="0"/>
    </xf>
    <xf numFmtId="0" fontId="3" fillId="3" borderId="12" xfId="0" applyFont="1" applyFill="1" applyBorder="1" applyProtection="1">
      <protection locked="0"/>
    </xf>
    <xf numFmtId="0" fontId="3" fillId="3" borderId="8" xfId="0" applyFont="1" applyFill="1" applyBorder="1" applyProtection="1"/>
    <xf numFmtId="164" fontId="3" fillId="3" borderId="10" xfId="0" applyNumberFormat="1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164" fontId="3" fillId="3" borderId="11" xfId="0" applyNumberFormat="1" applyFont="1" applyFill="1" applyBorder="1" applyAlignment="1">
      <alignment horizontal="left"/>
    </xf>
    <xf numFmtId="0" fontId="3" fillId="5" borderId="0" xfId="0" applyFont="1" applyFill="1" applyBorder="1" applyAlignment="1">
      <alignment horizontal="center"/>
    </xf>
    <xf numFmtId="0" fontId="3" fillId="2" borderId="14" xfId="0" applyFont="1" applyFill="1" applyBorder="1" applyAlignment="1" applyProtection="1">
      <alignment horizontal="center"/>
      <protection locked="0"/>
    </xf>
    <xf numFmtId="2" fontId="3" fillId="2" borderId="14" xfId="0" applyNumberFormat="1" applyFont="1" applyFill="1" applyBorder="1" applyAlignment="1" applyProtection="1">
      <alignment horizontal="center"/>
      <protection locked="0"/>
    </xf>
    <xf numFmtId="0" fontId="3" fillId="6" borderId="12" xfId="0" applyFont="1" applyFill="1" applyBorder="1" applyAlignment="1" applyProtection="1">
      <alignment horizontal="center"/>
      <protection locked="0"/>
    </xf>
    <xf numFmtId="0" fontId="3" fillId="3" borderId="1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64" fontId="3" fillId="3" borderId="0" xfId="0" applyNumberFormat="1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2" fontId="3" fillId="3" borderId="7" xfId="0" applyNumberFormat="1" applyFont="1" applyFill="1" applyBorder="1" applyAlignment="1">
      <alignment horizontal="center"/>
    </xf>
    <xf numFmtId="2" fontId="3" fillId="3" borderId="8" xfId="0" applyNumberFormat="1" applyFont="1" applyFill="1" applyBorder="1" applyAlignment="1">
      <alignment horizontal="center"/>
    </xf>
    <xf numFmtId="2" fontId="3" fillId="5" borderId="0" xfId="0" applyNumberFormat="1" applyFont="1" applyFill="1" applyBorder="1" applyProtection="1">
      <protection locked="0"/>
    </xf>
    <xf numFmtId="2" fontId="0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2" fontId="3" fillId="2" borderId="5" xfId="0" applyNumberFormat="1" applyFont="1" applyFill="1" applyBorder="1" applyAlignment="1">
      <alignment horizontal="center"/>
    </xf>
    <xf numFmtId="0" fontId="0" fillId="5" borderId="0" xfId="0" applyFont="1" applyFill="1" applyAlignment="1">
      <alignment horizontal="right"/>
    </xf>
    <xf numFmtId="0" fontId="0" fillId="5" borderId="17" xfId="0" applyFont="1" applyFill="1" applyBorder="1" applyAlignment="1">
      <alignment horizontal="right"/>
    </xf>
    <xf numFmtId="0" fontId="0" fillId="5" borderId="24" xfId="0" applyFont="1" applyFill="1" applyBorder="1" applyAlignment="1">
      <alignment horizontal="right"/>
    </xf>
    <xf numFmtId="0" fontId="0" fillId="5" borderId="18" xfId="0" applyFont="1" applyFill="1" applyBorder="1" applyAlignment="1">
      <alignment horizontal="right"/>
    </xf>
    <xf numFmtId="0" fontId="3" fillId="5" borderId="0" xfId="0" applyFont="1" applyFill="1" applyAlignment="1">
      <alignment horizontal="right"/>
    </xf>
    <xf numFmtId="0" fontId="0" fillId="5" borderId="0" xfId="0" applyFont="1" applyFill="1" applyBorder="1" applyAlignment="1">
      <alignment horizontal="right"/>
    </xf>
    <xf numFmtId="0" fontId="9" fillId="5" borderId="0" xfId="0" applyFont="1" applyFill="1" applyBorder="1" applyAlignment="1" applyProtection="1">
      <alignment horizontal="left" vertical="top"/>
      <protection locked="0"/>
    </xf>
    <xf numFmtId="0" fontId="9" fillId="5" borderId="0" xfId="0" applyFont="1" applyFill="1" applyBorder="1" applyAlignment="1" applyProtection="1">
      <alignment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0" fillId="4" borderId="13" xfId="0" applyFont="1" applyFill="1" applyBorder="1" applyAlignment="1">
      <alignment horizontal="center" vertical="center"/>
    </xf>
    <xf numFmtId="0" fontId="0" fillId="4" borderId="2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left" vertical="center"/>
    </xf>
    <xf numFmtId="2" fontId="0" fillId="3" borderId="1" xfId="0" applyNumberFormat="1" applyFont="1" applyFill="1" applyBorder="1" applyAlignment="1">
      <alignment horizontal="center"/>
    </xf>
    <xf numFmtId="2" fontId="0" fillId="3" borderId="2" xfId="0" applyNumberFormat="1" applyFont="1" applyFill="1" applyBorder="1" applyAlignment="1">
      <alignment horizontal="center"/>
    </xf>
    <xf numFmtId="0" fontId="0" fillId="5" borderId="0" xfId="0" applyFont="1" applyFill="1" applyBorder="1" applyAlignment="1" applyProtection="1">
      <alignment horizontal="right"/>
      <protection locked="0"/>
    </xf>
    <xf numFmtId="0" fontId="0" fillId="5" borderId="9" xfId="0" applyFont="1" applyFill="1" applyBorder="1" applyAlignment="1">
      <alignment horizontal="center" vertical="center"/>
    </xf>
    <xf numFmtId="0" fontId="0" fillId="5" borderId="19" xfId="0" applyFont="1" applyFill="1" applyBorder="1" applyAlignment="1">
      <alignment horizontal="left" vertical="center"/>
    </xf>
    <xf numFmtId="0" fontId="0" fillId="5" borderId="9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5" borderId="0" xfId="0" applyFont="1" applyFill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0" fontId="0" fillId="5" borderId="18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2" fontId="0" fillId="5" borderId="0" xfId="0" applyNumberFormat="1" applyFont="1" applyFill="1" applyBorder="1" applyAlignment="1">
      <alignment horizontal="center" vertical="center"/>
    </xf>
    <xf numFmtId="2" fontId="0" fillId="5" borderId="19" xfId="0" applyNumberFormat="1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horizontal="center" vertical="center"/>
    </xf>
    <xf numFmtId="0" fontId="0" fillId="5" borderId="23" xfId="0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685E-C614-45DB-89F4-EE2074140D11}">
  <dimension ref="A1:DR356"/>
  <sheetViews>
    <sheetView tabSelected="1" zoomScale="70" zoomScaleNormal="70" workbookViewId="0">
      <selection activeCell="B15" sqref="B15"/>
    </sheetView>
  </sheetViews>
  <sheetFormatPr defaultColWidth="8.90625" defaultRowHeight="14.5" x14ac:dyDescent="0.35"/>
  <cols>
    <col min="1" max="1" width="8.90625" style="3"/>
    <col min="2" max="2" width="26.36328125" style="11" customWidth="1"/>
    <col min="3" max="3" width="5.6328125" style="11" customWidth="1"/>
    <col min="4" max="10" width="9.6328125" style="44" customWidth="1"/>
    <col min="11" max="11" width="18.6328125" style="104" customWidth="1"/>
    <col min="12" max="12" width="26.453125" style="146" hidden="1" customWidth="1"/>
    <col min="13" max="13" width="18.6328125" style="104" customWidth="1"/>
    <col min="14" max="14" width="32.54296875" style="146" hidden="1" customWidth="1"/>
    <col min="15" max="15" width="18.6328125" style="104" customWidth="1"/>
    <col min="16" max="16" width="26.54296875" style="146" hidden="1" customWidth="1"/>
    <col min="17" max="19" width="20.81640625" style="4" hidden="1" customWidth="1"/>
    <col min="20" max="20" width="26.36328125" style="4" hidden="1" customWidth="1"/>
    <col min="21" max="21" width="7.08984375" style="3" customWidth="1"/>
    <col min="22" max="22" width="3.81640625" style="148" customWidth="1"/>
    <col min="23" max="23" width="5.1796875" style="61" customWidth="1"/>
    <col min="24" max="24" width="3.453125" style="61" customWidth="1"/>
    <col min="25" max="29" width="5.90625" style="61" customWidth="1"/>
    <col min="30" max="30" width="5.453125" style="61" customWidth="1"/>
    <col min="31" max="35" width="5.81640625" style="61" customWidth="1"/>
    <col min="36" max="36" width="5.453125" style="61" customWidth="1"/>
    <col min="37" max="37" width="19.36328125" style="61" customWidth="1"/>
    <col min="38" max="38" width="2.453125" style="3" hidden="1" customWidth="1"/>
    <col min="39" max="39" width="18.36328125" style="3" hidden="1" customWidth="1"/>
    <col min="40" max="63" width="8.90625" style="3" hidden="1" customWidth="1"/>
    <col min="64" max="65" width="8.90625" style="3" customWidth="1"/>
    <col min="66" max="67" width="8.90625" style="3"/>
    <col min="68" max="16384" width="8.90625" style="11"/>
  </cols>
  <sheetData>
    <row r="1" spans="1:105" s="3" customFormat="1" ht="14.4" customHeight="1" x14ac:dyDescent="0.5">
      <c r="A1" s="45" t="s">
        <v>39</v>
      </c>
      <c r="C1" s="1"/>
      <c r="D1" s="2"/>
      <c r="E1" s="2"/>
      <c r="F1" s="2"/>
      <c r="G1" s="2"/>
      <c r="H1" s="2"/>
      <c r="I1" s="2"/>
      <c r="J1" s="2"/>
      <c r="K1" s="86"/>
      <c r="L1" s="34"/>
      <c r="M1" s="86"/>
      <c r="N1" s="34"/>
      <c r="O1" s="86"/>
      <c r="P1" s="34"/>
      <c r="Q1" s="4"/>
      <c r="R1" s="4"/>
      <c r="S1" s="4"/>
      <c r="T1" s="4"/>
      <c r="V1" s="148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</row>
    <row r="2" spans="1:105" s="3" customFormat="1" ht="14.4" customHeight="1" x14ac:dyDescent="0.35">
      <c r="B2" s="178" t="s">
        <v>44</v>
      </c>
      <c r="C2" s="178"/>
      <c r="D2" s="2"/>
      <c r="E2" s="2"/>
      <c r="F2" s="2"/>
      <c r="G2" s="2"/>
      <c r="H2" s="2"/>
      <c r="I2" s="2"/>
      <c r="J2" s="2"/>
      <c r="K2" s="86"/>
      <c r="L2" s="34"/>
      <c r="M2" s="86"/>
      <c r="N2" s="34"/>
      <c r="O2" s="86"/>
      <c r="P2" s="34"/>
      <c r="Q2" s="4"/>
      <c r="R2" s="4"/>
      <c r="S2" s="4"/>
      <c r="T2" s="4"/>
      <c r="V2" s="148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3" spans="1:105" s="3" customFormat="1" ht="15" thickBot="1" x14ac:dyDescent="0.4">
      <c r="B3" s="179"/>
      <c r="C3" s="179"/>
      <c r="D3" s="2"/>
      <c r="E3" s="2"/>
      <c r="F3" s="2"/>
      <c r="G3" s="2"/>
      <c r="H3" s="2"/>
      <c r="I3" s="2"/>
      <c r="J3" s="2"/>
      <c r="K3" s="86"/>
      <c r="L3" s="34"/>
      <c r="M3" s="86"/>
      <c r="N3" s="34"/>
      <c r="O3" s="86"/>
      <c r="P3" s="34"/>
      <c r="Q3" s="4"/>
      <c r="R3" s="4"/>
      <c r="S3" s="4"/>
      <c r="T3" s="4"/>
      <c r="V3" s="148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pans="1:105" ht="14.4" customHeight="1" x14ac:dyDescent="0.35">
      <c r="B4" s="5"/>
      <c r="C4" s="6"/>
      <c r="D4" s="7"/>
      <c r="E4" s="8" t="s">
        <v>0</v>
      </c>
      <c r="F4" s="8"/>
      <c r="G4" s="157" t="s">
        <v>40</v>
      </c>
      <c r="H4" s="157" t="s">
        <v>41</v>
      </c>
      <c r="I4" s="9"/>
      <c r="J4" s="10"/>
      <c r="K4" s="159" t="s">
        <v>1</v>
      </c>
      <c r="L4" s="163"/>
      <c r="M4" s="159" t="s">
        <v>2</v>
      </c>
      <c r="N4" s="163"/>
      <c r="O4" s="159" t="s">
        <v>3</v>
      </c>
      <c r="P4" s="163"/>
      <c r="Q4" s="159" t="s">
        <v>42</v>
      </c>
      <c r="R4" s="160"/>
      <c r="S4" s="160" t="s">
        <v>12</v>
      </c>
      <c r="T4" s="163"/>
      <c r="U4" s="71"/>
      <c r="V4" s="149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96"/>
      <c r="AL4" s="87"/>
      <c r="AM4" s="87"/>
      <c r="AN4" s="87"/>
      <c r="AO4" s="87"/>
      <c r="AP4" s="89"/>
      <c r="AZ4" s="185" t="s">
        <v>1</v>
      </c>
      <c r="BA4" s="186"/>
      <c r="BB4" s="181" t="s">
        <v>2</v>
      </c>
      <c r="BC4" s="182"/>
      <c r="BD4" s="181" t="s">
        <v>3</v>
      </c>
      <c r="BE4" s="182"/>
      <c r="BF4" s="181" t="s">
        <v>11</v>
      </c>
      <c r="BG4" s="187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</row>
    <row r="5" spans="1:105" ht="16.25" customHeight="1" thickBot="1" x14ac:dyDescent="0.5">
      <c r="B5" s="12" t="s">
        <v>4</v>
      </c>
      <c r="C5" s="53" t="s">
        <v>10</v>
      </c>
      <c r="D5" s="14" t="s">
        <v>1</v>
      </c>
      <c r="E5" s="15" t="s">
        <v>2</v>
      </c>
      <c r="F5" s="15" t="s">
        <v>3</v>
      </c>
      <c r="G5" s="158"/>
      <c r="H5" s="158"/>
      <c r="I5" s="16" t="s">
        <v>5</v>
      </c>
      <c r="J5" s="17" t="s">
        <v>6</v>
      </c>
      <c r="K5" s="161"/>
      <c r="L5" s="164"/>
      <c r="M5" s="161"/>
      <c r="N5" s="164"/>
      <c r="O5" s="161"/>
      <c r="P5" s="164"/>
      <c r="Q5" s="161"/>
      <c r="R5" s="162"/>
      <c r="S5" s="162"/>
      <c r="T5" s="164"/>
      <c r="U5" s="71"/>
      <c r="V5" s="150"/>
      <c r="W5" s="113" t="s">
        <v>25</v>
      </c>
      <c r="X5" s="170">
        <v>400</v>
      </c>
      <c r="Y5" s="170"/>
      <c r="Z5" s="78" t="s">
        <v>29</v>
      </c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97"/>
      <c r="AL5" s="77"/>
      <c r="AM5" s="73" t="s">
        <v>24</v>
      </c>
      <c r="AN5" s="73" t="s">
        <v>26</v>
      </c>
      <c r="AO5" s="73" t="s">
        <v>30</v>
      </c>
      <c r="AP5" s="62"/>
      <c r="AZ5" s="185"/>
      <c r="BA5" s="186"/>
      <c r="BB5" s="183"/>
      <c r="BC5" s="184"/>
      <c r="BD5" s="183"/>
      <c r="BE5" s="184"/>
      <c r="BF5" s="183"/>
      <c r="BG5" s="188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</row>
    <row r="6" spans="1:105" x14ac:dyDescent="0.35">
      <c r="B6" s="60" t="s">
        <v>56</v>
      </c>
      <c r="C6" s="114">
        <v>0.65</v>
      </c>
      <c r="D6" s="47">
        <v>141.97</v>
      </c>
      <c r="E6" s="48">
        <v>141.97</v>
      </c>
      <c r="F6" s="48">
        <v>132.96</v>
      </c>
      <c r="G6" s="123"/>
      <c r="H6" s="49"/>
      <c r="I6" s="51">
        <v>0.9</v>
      </c>
      <c r="J6" s="20">
        <f>IF(AND(D6="",E6="",F6=""),"",DEGREES(-ACOS(IF(I6="",1,I6))))</f>
        <v>-25.841932763167126</v>
      </c>
      <c r="K6" s="100" t="str">
        <f t="shared" ref="K6:K25" si="0">IF(L6="0","",ROUND(IMABS(L6),2)&amp;"∠"&amp;ROUND(DEGREES(IMARGUMENT(L6)),2))</f>
        <v>92,28∠-25,84</v>
      </c>
      <c r="L6" s="21" t="str">
        <f>IF(AND(D6&gt;0,E6&gt;0,F6=""),COMPLEX(D6*IF(C6="",1,C6)*(COS(-ACOS(IF(I6="",1,I6))+RADIANS(30))),D6*IF(C6="",1,C6)*SIN(ACOS(COS(-ACOS(IF(I6="",1,I6))+RADIANS(30)))),"j"),IF(AND(D6&gt;0,E6="",F6&gt;0),COMPLEX(D6*IF(C6="",1,C6)*(COS(-ACOS(IF(I6="",1,I6))+RADIANS(-30))),D6*IF(C6="",1,C6)*SIN(-ACOS(COS(-ACOS(IF(I6="",1,I6))+RADIANS(-30)))),"j"),COMPLEX(D6*IF(C6="",1,C6)*IF(I6="",1,I6),D6*IF(C6="",1,C6)*SIN(-ACOS(IF(I6="",1,I6))),"j")))</f>
        <v>83,05245-40,2241373959405j</v>
      </c>
      <c r="M6" s="100" t="str">
        <f>IF(N6="0","",ROUND(IMABS(N6),2)&amp;"∠"&amp;ROUND(DEGREES(IMARGUMENT(N6)),2))</f>
        <v>92,28∠-25,84</v>
      </c>
      <c r="N6" s="22" t="str">
        <f>IF(AND(D6&gt;0,E6&gt;0,F6=""),COMPLEX(E6*IF(C6="",1,C6)*(COS(-ACOS(IF(I6="",1,I6))+RADIANS(-30))),E6*IF(C6="",1,C6)*SIN(-ACOS(COS(-ACOS(IF(I6="",1,I6))+RADIANS(-30)))),"j"),IF(AND(D6="",E6&gt;0,F6&gt;0),COMPLEX(E6*IF(C6="",1,C6)*(COS(-ACOS(IF(I6="",1,I6))+RADIANS(30))),E6*IF(C6="",1,C6)*SIN(ACOS(COS(-ACOS(IF(I6="",1,I6))+RADIANS(30)))),"j"),COMPLEX(E6*IF(C6="",1,C6)*IF(I6="",1,I6),E6*IF(C6="",1,C6)*SIN(-ACOS(IF(I6="",1,I6))),"j")))</f>
        <v>83,05245-40,2241373959405j</v>
      </c>
      <c r="O6" s="100" t="str">
        <f>IF(P6="0","",ROUND(IMABS(P6),2)&amp;"∠"&amp;ROUND(DEGREES(IMARGUMENT(P6)),2))</f>
        <v>86,42∠-25,84</v>
      </c>
      <c r="P6" s="22" t="str">
        <f>IF(AND(D6="",E6&gt;0,F6&gt;0),COMPLEX(F6*IF(C6="",1,C6)*(COS(-ACOS(IF(I6="",1,I6))+RADIANS(-30))),F6*IF(C6="",1,C6)*SIN(-ACOS(COS(-ACOS(IF(I6="",1,I6))+RADIANS(-30)))),"j"),IF(AND(D6&gt;0,E6="",F6&gt;0),COMPLEX(F6*IF(C6="",1,C6)*(COS(-ACOS(IF(I6="",1,I6))+RADIANS(30))),F6*IF(C6="",1,C6)*SIN(ACOS(COS(-ACOS(IF(I6="",1,I6))+RADIANS(30)))),"j"),COMPLEX(F6*IF(C6="",1,C6)*IF(I6="",1,I6),F6*IF(C6="",1,C6)*SIN(-ACOS(IF(I6="",1,I6))),"j")))</f>
        <v>77,7816-37,6713482296559j</v>
      </c>
      <c r="Q6" s="22" t="str">
        <f t="shared" ref="Q6:Q25" si="1">BF6</f>
        <v>105,9∠-127,74</v>
      </c>
      <c r="R6" s="22"/>
      <c r="S6" s="22"/>
      <c r="T6" s="22" t="str">
        <f>COMPLEX(H6*IF(I6="",1,I6),H6*SIN(-ACOS(IF(I6="",1,I6))),"j")</f>
        <v>0</v>
      </c>
      <c r="U6" s="76" t="s">
        <v>13</v>
      </c>
      <c r="V6" s="150"/>
      <c r="W6" s="113" t="s">
        <v>26</v>
      </c>
      <c r="X6" s="170">
        <v>0.91</v>
      </c>
      <c r="Y6" s="170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97"/>
      <c r="AL6" s="77"/>
      <c r="AM6" s="73" t="s">
        <v>25</v>
      </c>
      <c r="AN6" s="73" t="s">
        <v>27</v>
      </c>
      <c r="AO6" s="73" t="s">
        <v>31</v>
      </c>
      <c r="AP6" s="62"/>
      <c r="AZ6" s="95" t="str">
        <f>IF(BA6="0","",ROUND(IMABS(BA6),2)&amp;"∠"&amp;ROUND(DEGREES(IMARGUMENT(BA6)),2))</f>
        <v>92,28∠-25,84</v>
      </c>
      <c r="BA6" s="64" t="str">
        <f t="shared" ref="BA6:BA25" si="2">IF(AND(D6&gt;0,E6&gt;0,F6=""),COMPLEX(D6*IF(C6="",1,C6)*(COS(ACOS(IF(I6="",1,I6))+RADIANS(30))),D6*IF(C6="",1,C6)*SIN(ACOS(COS(ACOS(IF(I6="",1,I6))+RADIANS(30)))),"j"),IF(AND(D6&gt;0,E6="",F6&gt;0),COMPLEX(D6*IF(C6="",1,C6)*(COS(ACOS(IF(I6="",1,I6))+RADIANS(-30))),D6*IF(C6="",1,C6)*SIN(-ACOS(COS(ACOS(IF(I6="",1,I6))+RADIANS(-30)))),"j"),COMPLEX(D6*IF(C6="",1,C6)*IF(I6="",1,I6),D6*IF(C6="",1,C6)*SIN(-ACOS(IF(I6="",1,I6))),"j")))</f>
        <v>83,05245-40,2241373959405j</v>
      </c>
      <c r="BB6" s="95" t="str">
        <f>IF(BC6="0","",ROUND(IMABS(BC6),2)&amp;"∠"&amp;ROUND(DEGREES(IMARGUMENT(BC6)),2))</f>
        <v>119,59∠-129,68</v>
      </c>
      <c r="BC6" s="62" t="str">
        <f t="shared" ref="BC6:BC25" si="3">IF(AND(D6&gt;0,E6&gt;0,F6=""),COMPLEX(E6*IF(C6="",1,C6)*(COS(ACOS(IF(I6="",1,I6))+RADIANS(-30))),E6*IF(C6="",1,C6)*SIN(-ACOS(COS(ACOS(IF(I6="",1,I6))+RADIANS(-30)))),"j"),IF(AND(D6="",E6&gt;0,F6&gt;0),COMPLEX(E6*IF(C6="",1,C6)*(COS(ACOS(IF(I6="",1,I6))+RADIANS(30))),E6*IF(C6="",1,C6)*SIN(ACOS(COS(ACOS(IF(I6="",1,I6))+RADIANS(30)))),"j"),COMPLEX(E6*IF(C6="",1,C6)*(COS(-ACOS(IF(I6="",1,I6))+RADIANS(-120))),E6*IF(C6="",1,C6)*SIN(-ACOS(COS(ACOS(IF(I6="",1,I6))+RADIANS(-120)))),"j")))</f>
        <v>-76,3613498302001-92,0376002445072j</v>
      </c>
      <c r="BD6" s="95" t="str">
        <f>IF(BE6="0","",ROUND(IMABS(BE6),2)&amp;"∠"&amp;ROUND(DEGREES(IMARGUMENT(BE6)),2))</f>
        <v>86,42∠145,84</v>
      </c>
      <c r="BE6" s="62" t="str">
        <f t="shared" ref="BE6:BE25" si="4">IF(AND(D6="",E6&gt;0,F6&gt;0),COMPLEX(F6*IF(C6="",1,C6)*(COS(ACOS(IF(I6="",1,I6))+RADIANS(90))),F6*IF(C6="",1,C6)*SIN(ACOS(COS(ACOS(IF(I6="",1,I6))+RADIANS(90)))),"j"),IF(AND(D6&gt;0,E6="",F6&gt;0),COMPLEX(F6*IF(C6="",1,C6)*(COS(ACOS(IF(I6="",1,I6))+RADIANS(150))),F6*IF(C6="",1,C6)*SIN(ACOS(COS(ACOS(IF(I6="",1,I6))+RADIANS(150)))),"j"),COMPLEX(F6*IF(C6="",1,C6)*(COS(ACOS(IF(I6="",1,I6))+RADIANS(120))),F6*IF(C6="",1,C6)*SIN(ACOS(COS(ACOS(IF(I6="",1,I6))+RADIANS(120)))),"j")))</f>
        <v>-71,515144561692+48,5251674321718j</v>
      </c>
      <c r="BF6" s="95" t="str">
        <f>IF(BG6="0","",ROUND(IMABS(BG6),2)&amp;"∠"&amp;ROUND(DEGREES(IMARGUMENT(BG6)),2))</f>
        <v>105,9∠-127,74</v>
      </c>
      <c r="BG6" s="65" t="str">
        <f>IMSUM(BA6,BC6,BE6)</f>
        <v>-64,8240443918921-83,7365702082759j</v>
      </c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</row>
    <row r="7" spans="1:105" x14ac:dyDescent="0.35">
      <c r="B7" s="60" t="s">
        <v>57</v>
      </c>
      <c r="C7" s="115">
        <v>0.7</v>
      </c>
      <c r="D7" s="49">
        <v>215.81</v>
      </c>
      <c r="E7" s="50">
        <v>215.81</v>
      </c>
      <c r="F7" s="50">
        <v>215.81</v>
      </c>
      <c r="G7" s="123"/>
      <c r="H7" s="49"/>
      <c r="I7" s="51">
        <v>0.96</v>
      </c>
      <c r="J7" s="20">
        <f t="shared" ref="J7:J24" si="5">IF(AND(D7="",E7="",F7=""),"",DEGREES(-ACOS(IF(I7="",1,I7))))</f>
        <v>-16.260204708311971</v>
      </c>
      <c r="K7" s="100" t="str">
        <f t="shared" si="0"/>
        <v>151,07∠-16,26</v>
      </c>
      <c r="L7" s="21" t="str">
        <f t="shared" ref="L7:L24" si="6">IF(AND(D7&gt;0,E7&gt;0,F7=""),COMPLEX(D7*IF(C7="",1,C7)*(COS(-ACOS(IF(I7="",1,I7))+RADIANS(30))),D7*IF(C7="",1,C7)*SIN(ACOS(COS(-ACOS(IF(I7="",1,I7))+RADIANS(30)))),"j"),IF(AND(D7&gt;0,E7="",F7&gt;0),COMPLEX(D7*IF(C7="",1,C7)*(COS(-ACOS(IF(I7="",1,I7))+RADIANS(-30))),D7*IF(C7="",1,C7)*SIN(-ACOS(COS(-ACOS(IF(I7="",1,I7))+RADIANS(-30)))),"j"),COMPLEX(D7*IF(C7="",1,C7)*IF(I7="",1,I7),D7*IF(C7="",1,C7)*SIN(-ACOS(IF(I7="",1,I7))),"j")))</f>
        <v>145,02432-42,29876j</v>
      </c>
      <c r="M7" s="100" t="str">
        <f t="shared" ref="M7:M25" si="7">IF(N7="0","",ROUND(IMABS(N7),2)&amp;"∠"&amp;ROUND(DEGREES(IMARGUMENT(N7)),2))</f>
        <v>151,07∠-16,26</v>
      </c>
      <c r="N7" s="22" t="str">
        <f t="shared" ref="N7:N24" si="8">IF(AND(D7&gt;0,E7&gt;0,F7=""),COMPLEX(E7*IF(C7="",1,C7)*(COS(-ACOS(IF(I7="",1,I7))+RADIANS(-30))),E7*IF(C7="",1,C7)*SIN(-ACOS(COS(-ACOS(IF(I7="",1,I7))+RADIANS(-30)))),"j"),IF(AND(D7="",E7&gt;0,F7&gt;0),COMPLEX(E7*IF(C7="",1,C7)*(COS(-ACOS(IF(I7="",1,I7))+RADIANS(30))),E7*IF(C7="",1,C7)*SIN(ACOS(COS(-ACOS(IF(I7="",1,I7))+RADIANS(30)))),"j"),COMPLEX(E7*IF(C7="",1,C7)*IF(I7="",1,I7),E7*IF(C7="",1,C7)*SIN(-ACOS(IF(I7="",1,I7))),"j")))</f>
        <v>145,02432-42,29876j</v>
      </c>
      <c r="O7" s="100" t="str">
        <f t="shared" ref="O7:O25" si="9">IF(P7="0","",ROUND(IMABS(P7),2)&amp;"∠"&amp;ROUND(DEGREES(IMARGUMENT(P7)),2))</f>
        <v>151,07∠-16,26</v>
      </c>
      <c r="P7" s="22" t="str">
        <f t="shared" ref="P7:P24" si="10">IF(AND(D7="",E7&gt;0,F7&gt;0),COMPLEX(F7*IF(C7="",1,C7)*(COS(-ACOS(IF(I7="",1,I7))+RADIANS(-30))),F7*IF(C7="",1,C7)*SIN(-ACOS(COS(-ACOS(IF(I7="",1,I7))+RADIANS(-30)))),"j"),IF(AND(D7&gt;0,E7="",F7&gt;0),COMPLEX(F7*IF(C7="",1,C7)*(COS(-ACOS(IF(I7="",1,I7))+RADIANS(30))),F7*IF(C7="",1,C7)*SIN(ACOS(COS(-ACOS(IF(I7="",1,I7))+RADIANS(30)))),"j"),COMPLEX(F7*IF(C7="",1,C7)*IF(I7="",1,I7),F7*IF(C7="",1,C7)*SIN(-ACOS(IF(I7="",1,I7))),"j")))</f>
        <v>145,02432-42,29876j</v>
      </c>
      <c r="Q7" s="22" t="str">
        <f t="shared" si="1"/>
        <v>111,91∠-130,89</v>
      </c>
      <c r="R7" s="22"/>
      <c r="S7" s="22"/>
      <c r="T7" s="22" t="str">
        <f t="shared" ref="T7:T25" si="11">BG7</f>
        <v>-73,263601417162-84,59752j</v>
      </c>
      <c r="U7" s="76" t="s">
        <v>13</v>
      </c>
      <c r="V7" s="150"/>
      <c r="W7" s="78" t="s">
        <v>28</v>
      </c>
      <c r="X7" s="170">
        <v>1</v>
      </c>
      <c r="Y7" s="170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97"/>
      <c r="AL7" s="77"/>
      <c r="AM7" s="73" t="s">
        <v>21</v>
      </c>
      <c r="AN7" s="62">
        <f>ROUND((X8/IF(OR(X7=1,X7=""),1,X7))/(X5*X6),2)</f>
        <v>274.73</v>
      </c>
      <c r="AO7" s="62">
        <f>ROUND((X8/IF(OR(X7=1,X7=""),1,X7))/(X5*SQRT(3)*X6),2)</f>
        <v>158.61000000000001</v>
      </c>
      <c r="AP7" s="62">
        <f>ROUND(DEGREES(-ACOS(X6)),2)</f>
        <v>-24.49</v>
      </c>
      <c r="AZ7" s="95" t="str">
        <f t="shared" ref="AZ7:AZ28" si="12">IF(BA7="0","",ROUND(IMABS(BA7),2)&amp;"∠"&amp;ROUND(DEGREES(IMARGUMENT(BA7)),2))</f>
        <v>151,07∠-16,26</v>
      </c>
      <c r="BA7" s="64" t="str">
        <f t="shared" si="2"/>
        <v>145,02432-42,29876j</v>
      </c>
      <c r="BB7" s="95" t="str">
        <f t="shared" ref="BB7:BB28" si="13">IF(BC7="0","",ROUND(IMABS(BC7),2)&amp;"∠"&amp;ROUND(DEGREES(IMARGUMENT(BC7)),2))</f>
        <v>182,88∠-126,64</v>
      </c>
      <c r="BC7" s="62" t="str">
        <f t="shared" si="3"/>
        <v>-109,143960708581-146,744125286564j</v>
      </c>
      <c r="BD7" s="95" t="str">
        <f t="shared" ref="BD7:BD28" si="14">IF(BE7="0","",ROUND(IMABS(BE7),2)&amp;"∠"&amp;ROUND(DEGREES(IMARGUMENT(BE7)),2))</f>
        <v>151,07∠136,26</v>
      </c>
      <c r="BE7" s="62" t="str">
        <f t="shared" si="4"/>
        <v>-109,143960708581+104,445365286564j</v>
      </c>
      <c r="BF7" s="95" t="str">
        <f t="shared" ref="BF7:BF28" si="15">IF(BG7="0","",ROUND(IMABS(BG7),2)&amp;"∠"&amp;ROUND(DEGREES(IMARGUMENT(BG7)),2))</f>
        <v>111,91∠-130,89</v>
      </c>
      <c r="BG7" s="65" t="str">
        <f t="shared" ref="BG7:BG13" si="16">IMSUM(BA7,BC7,BE7)</f>
        <v>-73,263601417162-84,59752j</v>
      </c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</row>
    <row r="8" spans="1:105" x14ac:dyDescent="0.35">
      <c r="B8" s="60" t="s">
        <v>50</v>
      </c>
      <c r="C8" s="115">
        <v>1</v>
      </c>
      <c r="D8" s="49">
        <v>250</v>
      </c>
      <c r="E8" s="50">
        <v>250</v>
      </c>
      <c r="F8" s="50">
        <v>250</v>
      </c>
      <c r="G8" s="123"/>
      <c r="H8" s="49"/>
      <c r="I8" s="51">
        <v>1</v>
      </c>
      <c r="J8" s="20">
        <f t="shared" si="5"/>
        <v>0</v>
      </c>
      <c r="K8" s="100" t="str">
        <f t="shared" si="0"/>
        <v>250∠0</v>
      </c>
      <c r="L8" s="21" t="str">
        <f t="shared" si="6"/>
        <v>250</v>
      </c>
      <c r="M8" s="100" t="str">
        <f t="shared" si="7"/>
        <v>250∠0</v>
      </c>
      <c r="N8" s="22" t="str">
        <f t="shared" si="8"/>
        <v>250</v>
      </c>
      <c r="O8" s="100" t="str">
        <f t="shared" si="9"/>
        <v>250∠0</v>
      </c>
      <c r="P8" s="22" t="str">
        <f t="shared" si="10"/>
        <v>250</v>
      </c>
      <c r="Q8" s="22" t="str">
        <f t="shared" si="1"/>
        <v/>
      </c>
      <c r="R8" s="22"/>
      <c r="S8" s="22"/>
      <c r="T8" s="22" t="str">
        <f t="shared" si="11"/>
        <v>0</v>
      </c>
      <c r="U8" s="76" t="s">
        <v>13</v>
      </c>
      <c r="V8" s="150"/>
      <c r="W8" s="113" t="s">
        <v>21</v>
      </c>
      <c r="X8" s="170">
        <v>100000</v>
      </c>
      <c r="Y8" s="170"/>
      <c r="Z8" s="78" t="str">
        <f>IF(W8="P","W",IF(W8="Q","VAR","VA"))</f>
        <v>W</v>
      </c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97"/>
      <c r="AL8" s="77"/>
      <c r="AM8" s="73" t="s">
        <v>22</v>
      </c>
      <c r="AN8" s="62">
        <f>ROUND((X8/IF(OR(X7=1,X7=""),1,X7))/(X5*X6),2)</f>
        <v>274.73</v>
      </c>
      <c r="AO8" s="62">
        <f>ROUND((X8/IF(OR(X7=1,X7=""),1,X7))/(X5*SQRT(3)*X6),2)</f>
        <v>158.61000000000001</v>
      </c>
      <c r="AP8" s="62">
        <f>ROUND(DEGREES(-ACOS(X6)),2)</f>
        <v>-24.49</v>
      </c>
      <c r="AZ8" s="95" t="str">
        <f t="shared" si="12"/>
        <v>250∠0</v>
      </c>
      <c r="BA8" s="64" t="str">
        <f t="shared" si="2"/>
        <v>250</v>
      </c>
      <c r="BB8" s="95" t="str">
        <f t="shared" si="13"/>
        <v>250∠-120</v>
      </c>
      <c r="BC8" s="62" t="str">
        <f t="shared" si="3"/>
        <v>-125-216,50635094611j</v>
      </c>
      <c r="BD8" s="95" t="str">
        <f t="shared" si="14"/>
        <v>250∠120</v>
      </c>
      <c r="BE8" s="62" t="str">
        <f t="shared" si="4"/>
        <v>-125+216,50635094611j</v>
      </c>
      <c r="BF8" s="95" t="str">
        <f t="shared" si="15"/>
        <v/>
      </c>
      <c r="BG8" s="65" t="str">
        <f t="shared" si="16"/>
        <v>0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5" x14ac:dyDescent="0.35">
      <c r="B9" s="60"/>
      <c r="C9" s="115"/>
      <c r="D9" s="49"/>
      <c r="E9" s="50"/>
      <c r="F9" s="50"/>
      <c r="G9" s="123"/>
      <c r="H9" s="49"/>
      <c r="I9" s="51"/>
      <c r="J9" s="20" t="str">
        <f t="shared" si="5"/>
        <v/>
      </c>
      <c r="K9" s="100" t="str">
        <f t="shared" si="0"/>
        <v/>
      </c>
      <c r="L9" s="21" t="str">
        <f t="shared" si="6"/>
        <v>0</v>
      </c>
      <c r="M9" s="100" t="str">
        <f t="shared" si="7"/>
        <v/>
      </c>
      <c r="N9" s="22" t="str">
        <f t="shared" si="8"/>
        <v>0</v>
      </c>
      <c r="O9" s="100" t="str">
        <f t="shared" si="9"/>
        <v/>
      </c>
      <c r="P9" s="22" t="str">
        <f t="shared" si="10"/>
        <v>0</v>
      </c>
      <c r="Q9" s="22" t="str">
        <f t="shared" si="1"/>
        <v/>
      </c>
      <c r="R9" s="22"/>
      <c r="S9" s="22"/>
      <c r="T9" s="22" t="str">
        <f t="shared" si="11"/>
        <v>0</v>
      </c>
      <c r="U9" s="76" t="s">
        <v>13</v>
      </c>
      <c r="V9" s="150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97"/>
      <c r="AL9" s="77"/>
      <c r="AM9" s="73" t="s">
        <v>23</v>
      </c>
      <c r="AN9" s="62">
        <f>ROUND((X8/IF(OR(X7=1,X7=""),1,X7))/(X5),2)</f>
        <v>250</v>
      </c>
      <c r="AO9" s="62">
        <f>ROUND((X8/IF(OR(X7=1,X7=""),1,X7))/(X5*SQRT(3)),2)</f>
        <v>144.34</v>
      </c>
      <c r="AP9" s="62">
        <f>ROUND(DEGREES(-ACOS(X6)),2)</f>
        <v>-24.49</v>
      </c>
      <c r="AZ9" s="95" t="str">
        <f t="shared" si="12"/>
        <v/>
      </c>
      <c r="BA9" s="64" t="str">
        <f t="shared" si="2"/>
        <v>0</v>
      </c>
      <c r="BB9" s="95" t="str">
        <f t="shared" si="13"/>
        <v/>
      </c>
      <c r="BC9" s="62" t="str">
        <f t="shared" si="3"/>
        <v>0</v>
      </c>
      <c r="BD9" s="95" t="str">
        <f t="shared" si="14"/>
        <v/>
      </c>
      <c r="BE9" s="62" t="str">
        <f t="shared" si="4"/>
        <v>0</v>
      </c>
      <c r="BF9" s="95" t="str">
        <f t="shared" si="15"/>
        <v/>
      </c>
      <c r="BG9" s="65" t="str">
        <f t="shared" si="16"/>
        <v>0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5" ht="15" thickBot="1" x14ac:dyDescent="0.4">
      <c r="B10" s="60"/>
      <c r="C10" s="115"/>
      <c r="D10" s="49"/>
      <c r="E10" s="50"/>
      <c r="F10" s="50"/>
      <c r="G10" s="123"/>
      <c r="H10" s="49"/>
      <c r="I10" s="51"/>
      <c r="J10" s="20" t="str">
        <f t="shared" si="5"/>
        <v/>
      </c>
      <c r="K10" s="100" t="str">
        <f t="shared" si="0"/>
        <v/>
      </c>
      <c r="L10" s="21" t="str">
        <f t="shared" si="6"/>
        <v>0</v>
      </c>
      <c r="M10" s="100" t="str">
        <f t="shared" si="7"/>
        <v/>
      </c>
      <c r="N10" s="22" t="str">
        <f t="shared" si="8"/>
        <v>0</v>
      </c>
      <c r="O10" s="100" t="str">
        <f t="shared" si="9"/>
        <v/>
      </c>
      <c r="P10" s="22" t="str">
        <f t="shared" si="10"/>
        <v>0</v>
      </c>
      <c r="Q10" s="22" t="str">
        <f t="shared" si="1"/>
        <v/>
      </c>
      <c r="R10" s="22"/>
      <c r="S10" s="22"/>
      <c r="T10" s="22" t="str">
        <f t="shared" si="11"/>
        <v>0</v>
      </c>
      <c r="U10" s="76" t="s">
        <v>13</v>
      </c>
      <c r="V10" s="156" t="s">
        <v>33</v>
      </c>
      <c r="X10" s="165" t="str">
        <f>"= ("</f>
        <v>= (</v>
      </c>
      <c r="Y10" s="166" t="str">
        <f>IF(OR(X7=1,X7=""),W8,W8&amp;"₂ / η")</f>
        <v>P</v>
      </c>
      <c r="Z10" s="166"/>
      <c r="AA10" s="166"/>
      <c r="AB10" s="167" t="str">
        <f>"∠-"&amp;IF(W6=AN5,AO5,AO6)&amp;"¯¹ ϕ)"</f>
        <v>∠-cos¯¹ ϕ)</v>
      </c>
      <c r="AC10" s="167"/>
      <c r="AD10" s="165" t="s">
        <v>34</v>
      </c>
      <c r="AE10" s="174">
        <f>IF(OR(X7=1,X7=""),X8,X8&amp;" / "&amp;X7)</f>
        <v>100000</v>
      </c>
      <c r="AF10" s="174"/>
      <c r="AG10" s="174"/>
      <c r="AH10" s="167" t="str">
        <f>"∠-"&amp;IF(W6=AN5,AO5,AO6)&amp;"¯¹ "&amp;X6&amp;")"</f>
        <v>∠-cos¯¹ 0,91)</v>
      </c>
      <c r="AI10" s="167"/>
      <c r="AJ10" s="165" t="s">
        <v>32</v>
      </c>
      <c r="AK10" s="172" t="str">
        <f>"("&amp;IF(W5=AM5,VLOOKUP(W8,AM7:AO9,2,FALSE),VLOOKUP(W8,AM7:AO9,3,FALSE))&amp;" ∠"&amp;AP7&amp;") A"</f>
        <v>(158,61 ∠-24,49) A</v>
      </c>
      <c r="AL10" s="94"/>
      <c r="AM10" s="77"/>
      <c r="AN10" s="77"/>
      <c r="AO10" s="77"/>
      <c r="AP10" s="90"/>
      <c r="AZ10" s="95" t="str">
        <f t="shared" si="12"/>
        <v/>
      </c>
      <c r="BA10" s="64" t="str">
        <f t="shared" si="2"/>
        <v>0</v>
      </c>
      <c r="BB10" s="95" t="str">
        <f t="shared" si="13"/>
        <v/>
      </c>
      <c r="BC10" s="62" t="str">
        <f t="shared" si="3"/>
        <v>0</v>
      </c>
      <c r="BD10" s="95" t="str">
        <f t="shared" si="14"/>
        <v/>
      </c>
      <c r="BE10" s="62" t="str">
        <f t="shared" si="4"/>
        <v>0</v>
      </c>
      <c r="BF10" s="95" t="str">
        <f t="shared" si="15"/>
        <v/>
      </c>
      <c r="BG10" s="65" t="str">
        <f t="shared" si="16"/>
        <v>0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5" x14ac:dyDescent="0.35">
      <c r="B11" s="60"/>
      <c r="C11" s="115"/>
      <c r="D11" s="49"/>
      <c r="E11" s="50"/>
      <c r="F11" s="50"/>
      <c r="G11" s="123"/>
      <c r="H11" s="49"/>
      <c r="I11" s="51"/>
      <c r="J11" s="20" t="str">
        <f t="shared" si="5"/>
        <v/>
      </c>
      <c r="K11" s="100" t="str">
        <f t="shared" si="0"/>
        <v/>
      </c>
      <c r="L11" s="21" t="str">
        <f t="shared" si="6"/>
        <v>0</v>
      </c>
      <c r="M11" s="100" t="str">
        <f t="shared" si="7"/>
        <v/>
      </c>
      <c r="N11" s="22" t="str">
        <f t="shared" si="8"/>
        <v>0</v>
      </c>
      <c r="O11" s="100" t="str">
        <f t="shared" si="9"/>
        <v/>
      </c>
      <c r="P11" s="22" t="str">
        <f t="shared" si="10"/>
        <v>0</v>
      </c>
      <c r="Q11" s="22" t="str">
        <f t="shared" si="1"/>
        <v/>
      </c>
      <c r="R11" s="22"/>
      <c r="S11" s="22"/>
      <c r="T11" s="22" t="str">
        <f t="shared" si="11"/>
        <v>0</v>
      </c>
      <c r="U11" s="76" t="s">
        <v>13</v>
      </c>
      <c r="V11" s="156"/>
      <c r="W11" s="154" t="s">
        <v>43</v>
      </c>
      <c r="X11" s="165"/>
      <c r="Y11" s="171" t="str">
        <f>IF(W5=AM6,"√3 · ","")&amp;IF(W5=AM5,AM5,AM6)&amp;IF(W8=AM7," · "&amp;W6,IF(W8=AM8," · "&amp;W6,""))</f>
        <v>√3 · Un · cosϕ</v>
      </c>
      <c r="Z11" s="171"/>
      <c r="AA11" s="171"/>
      <c r="AB11" s="167"/>
      <c r="AC11" s="167"/>
      <c r="AD11" s="165"/>
      <c r="AE11" s="173" t="str">
        <f>IF(W5=AM6,"√3 · ","")&amp;X5&amp;IF(W8=AM7," · "&amp;X6,IF(W8=AM8," · "&amp;X6,""))</f>
        <v>√3 · 400 · 0,91</v>
      </c>
      <c r="AF11" s="173"/>
      <c r="AG11" s="173"/>
      <c r="AH11" s="167"/>
      <c r="AI11" s="167"/>
      <c r="AJ11" s="165"/>
      <c r="AK11" s="172"/>
      <c r="AL11" s="94"/>
      <c r="AM11" s="77"/>
      <c r="AN11" s="77"/>
      <c r="AO11" s="77"/>
      <c r="AP11" s="90"/>
      <c r="AZ11" s="95" t="str">
        <f t="shared" si="12"/>
        <v/>
      </c>
      <c r="BA11" s="64" t="str">
        <f t="shared" si="2"/>
        <v>0</v>
      </c>
      <c r="BB11" s="95" t="str">
        <f t="shared" si="13"/>
        <v/>
      </c>
      <c r="BC11" s="62" t="str">
        <f t="shared" si="3"/>
        <v>0</v>
      </c>
      <c r="BD11" s="95" t="str">
        <f t="shared" si="14"/>
        <v/>
      </c>
      <c r="BE11" s="62" t="str">
        <f t="shared" si="4"/>
        <v>0</v>
      </c>
      <c r="BF11" s="95" t="str">
        <f t="shared" si="15"/>
        <v/>
      </c>
      <c r="BG11" s="65" t="str">
        <f t="shared" si="16"/>
        <v>0</v>
      </c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5" x14ac:dyDescent="0.35">
      <c r="B12" s="60"/>
      <c r="C12" s="115"/>
      <c r="D12" s="49"/>
      <c r="E12" s="50"/>
      <c r="F12" s="50"/>
      <c r="G12" s="123"/>
      <c r="H12" s="49"/>
      <c r="I12" s="51"/>
      <c r="J12" s="20" t="str">
        <f t="shared" si="5"/>
        <v/>
      </c>
      <c r="K12" s="100" t="str">
        <f t="shared" si="0"/>
        <v/>
      </c>
      <c r="L12" s="21" t="str">
        <f t="shared" si="6"/>
        <v>0</v>
      </c>
      <c r="M12" s="100" t="str">
        <f t="shared" si="7"/>
        <v/>
      </c>
      <c r="N12" s="22" t="str">
        <f t="shared" si="8"/>
        <v>0</v>
      </c>
      <c r="O12" s="100" t="str">
        <f t="shared" si="9"/>
        <v/>
      </c>
      <c r="P12" s="22" t="str">
        <f t="shared" si="10"/>
        <v>0</v>
      </c>
      <c r="Q12" s="22" t="str">
        <f t="shared" si="1"/>
        <v/>
      </c>
      <c r="R12" s="22"/>
      <c r="S12" s="22"/>
      <c r="T12" s="22" t="str">
        <f t="shared" si="11"/>
        <v>0</v>
      </c>
      <c r="U12" s="76" t="s">
        <v>13</v>
      </c>
      <c r="V12" s="151"/>
      <c r="W12" s="92"/>
      <c r="X12" s="98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9"/>
      <c r="AL12" s="91"/>
      <c r="AM12" s="91"/>
      <c r="AN12" s="91"/>
      <c r="AO12" s="91"/>
      <c r="AP12" s="93"/>
      <c r="AZ12" s="95" t="str">
        <f t="shared" si="12"/>
        <v/>
      </c>
      <c r="BA12" s="64" t="str">
        <f t="shared" si="2"/>
        <v>0</v>
      </c>
      <c r="BB12" s="95" t="str">
        <f t="shared" si="13"/>
        <v/>
      </c>
      <c r="BC12" s="62" t="str">
        <f t="shared" si="3"/>
        <v>0</v>
      </c>
      <c r="BD12" s="95" t="str">
        <f t="shared" si="14"/>
        <v/>
      </c>
      <c r="BE12" s="62" t="str">
        <f t="shared" si="4"/>
        <v>0</v>
      </c>
      <c r="BF12" s="95" t="str">
        <f t="shared" si="15"/>
        <v/>
      </c>
      <c r="BG12" s="65" t="str">
        <f t="shared" si="16"/>
        <v>0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5" x14ac:dyDescent="0.35">
      <c r="B13" s="60"/>
      <c r="C13" s="115"/>
      <c r="D13" s="49"/>
      <c r="E13" s="50"/>
      <c r="F13" s="50"/>
      <c r="G13" s="123"/>
      <c r="H13" s="49"/>
      <c r="I13" s="51"/>
      <c r="J13" s="20" t="str">
        <f t="shared" si="5"/>
        <v/>
      </c>
      <c r="K13" s="100" t="str">
        <f t="shared" si="0"/>
        <v/>
      </c>
      <c r="L13" s="21" t="str">
        <f t="shared" si="6"/>
        <v>0</v>
      </c>
      <c r="M13" s="100" t="str">
        <f t="shared" si="7"/>
        <v/>
      </c>
      <c r="N13" s="22" t="str">
        <f t="shared" si="8"/>
        <v>0</v>
      </c>
      <c r="O13" s="100" t="str">
        <f t="shared" si="9"/>
        <v/>
      </c>
      <c r="P13" s="22" t="str">
        <f t="shared" si="10"/>
        <v>0</v>
      </c>
      <c r="Q13" s="22" t="str">
        <f t="shared" si="1"/>
        <v/>
      </c>
      <c r="R13" s="22"/>
      <c r="S13" s="22"/>
      <c r="T13" s="22" t="str">
        <f t="shared" si="11"/>
        <v>0</v>
      </c>
      <c r="U13" s="76" t="s">
        <v>13</v>
      </c>
      <c r="AZ13" s="95" t="str">
        <f t="shared" si="12"/>
        <v/>
      </c>
      <c r="BA13" s="64" t="str">
        <f t="shared" si="2"/>
        <v>0</v>
      </c>
      <c r="BB13" s="95" t="str">
        <f t="shared" si="13"/>
        <v/>
      </c>
      <c r="BC13" s="62" t="str">
        <f t="shared" si="3"/>
        <v>0</v>
      </c>
      <c r="BD13" s="95" t="str">
        <f t="shared" si="14"/>
        <v/>
      </c>
      <c r="BE13" s="62" t="str">
        <f t="shared" si="4"/>
        <v>0</v>
      </c>
      <c r="BF13" s="95" t="str">
        <f t="shared" si="15"/>
        <v/>
      </c>
      <c r="BG13" s="65" t="str">
        <f t="shared" si="16"/>
        <v>0</v>
      </c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5" x14ac:dyDescent="0.35">
      <c r="B14" s="60"/>
      <c r="C14" s="115"/>
      <c r="D14" s="49"/>
      <c r="E14" s="50"/>
      <c r="F14" s="50"/>
      <c r="G14" s="123"/>
      <c r="H14" s="49"/>
      <c r="I14" s="51"/>
      <c r="J14" s="20" t="str">
        <f t="shared" si="5"/>
        <v/>
      </c>
      <c r="K14" s="100" t="str">
        <f t="shared" si="0"/>
        <v/>
      </c>
      <c r="L14" s="21" t="str">
        <f t="shared" si="6"/>
        <v>0</v>
      </c>
      <c r="M14" s="100" t="str">
        <f t="shared" si="7"/>
        <v/>
      </c>
      <c r="N14" s="22" t="str">
        <f t="shared" si="8"/>
        <v>0</v>
      </c>
      <c r="O14" s="100" t="str">
        <f t="shared" si="9"/>
        <v/>
      </c>
      <c r="P14" s="22" t="str">
        <f t="shared" si="10"/>
        <v>0</v>
      </c>
      <c r="Q14" s="22" t="str">
        <f t="shared" si="1"/>
        <v/>
      </c>
      <c r="R14" s="22"/>
      <c r="S14" s="22"/>
      <c r="T14" s="22" t="str">
        <f t="shared" si="11"/>
        <v>0</v>
      </c>
      <c r="U14" s="76" t="s">
        <v>13</v>
      </c>
      <c r="V14" s="149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96"/>
      <c r="AL14" s="87"/>
      <c r="AM14" s="87"/>
      <c r="AN14" s="87"/>
      <c r="AO14" s="87"/>
      <c r="AP14" s="89"/>
      <c r="AZ14" s="95" t="str">
        <f t="shared" si="12"/>
        <v/>
      </c>
      <c r="BA14" s="64" t="str">
        <f t="shared" si="2"/>
        <v>0</v>
      </c>
      <c r="BB14" s="95" t="str">
        <f t="shared" si="13"/>
        <v/>
      </c>
      <c r="BC14" s="62" t="str">
        <f t="shared" si="3"/>
        <v>0</v>
      </c>
      <c r="BD14" s="95" t="str">
        <f t="shared" si="14"/>
        <v/>
      </c>
      <c r="BE14" s="62" t="str">
        <f t="shared" si="4"/>
        <v>0</v>
      </c>
      <c r="BF14" s="95" t="str">
        <f t="shared" si="15"/>
        <v/>
      </c>
      <c r="BG14" s="65" t="str">
        <f t="shared" ref="BG14:BG25" si="17">IMSUM(BA14,BC14,BE14)</f>
        <v>0</v>
      </c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5" x14ac:dyDescent="0.35">
      <c r="B15" s="60"/>
      <c r="C15" s="115"/>
      <c r="D15" s="49"/>
      <c r="E15" s="50"/>
      <c r="F15" s="50"/>
      <c r="G15" s="123"/>
      <c r="H15" s="49"/>
      <c r="I15" s="51"/>
      <c r="J15" s="20" t="str">
        <f t="shared" si="5"/>
        <v/>
      </c>
      <c r="K15" s="100" t="str">
        <f t="shared" si="0"/>
        <v/>
      </c>
      <c r="L15" s="21" t="str">
        <f t="shared" si="6"/>
        <v>0</v>
      </c>
      <c r="M15" s="100" t="str">
        <f t="shared" si="7"/>
        <v/>
      </c>
      <c r="N15" s="22" t="str">
        <f t="shared" si="8"/>
        <v>0</v>
      </c>
      <c r="O15" s="100" t="str">
        <f t="shared" si="9"/>
        <v/>
      </c>
      <c r="P15" s="22" t="str">
        <f t="shared" si="10"/>
        <v>0</v>
      </c>
      <c r="Q15" s="22" t="str">
        <f t="shared" si="1"/>
        <v/>
      </c>
      <c r="R15" s="22"/>
      <c r="S15" s="22"/>
      <c r="T15" s="22" t="str">
        <f t="shared" si="11"/>
        <v>0</v>
      </c>
      <c r="U15" s="76" t="s">
        <v>13</v>
      </c>
      <c r="V15" s="150"/>
      <c r="W15" s="113" t="s">
        <v>25</v>
      </c>
      <c r="X15" s="170">
        <v>400</v>
      </c>
      <c r="Y15" s="170"/>
      <c r="Z15" s="78" t="s">
        <v>29</v>
      </c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97"/>
      <c r="AL15" s="77"/>
      <c r="AM15" s="73" t="s">
        <v>24</v>
      </c>
      <c r="AN15" s="73" t="s">
        <v>26</v>
      </c>
      <c r="AO15" s="73" t="s">
        <v>30</v>
      </c>
      <c r="AP15" s="62"/>
      <c r="AZ15" s="95" t="str">
        <f t="shared" si="12"/>
        <v/>
      </c>
      <c r="BA15" s="64" t="str">
        <f t="shared" si="2"/>
        <v>0</v>
      </c>
      <c r="BB15" s="95" t="str">
        <f t="shared" si="13"/>
        <v/>
      </c>
      <c r="BC15" s="62" t="str">
        <f t="shared" si="3"/>
        <v>0</v>
      </c>
      <c r="BD15" s="95" t="str">
        <f t="shared" si="14"/>
        <v/>
      </c>
      <c r="BE15" s="62" t="str">
        <f t="shared" si="4"/>
        <v>0</v>
      </c>
      <c r="BF15" s="95" t="str">
        <f t="shared" si="15"/>
        <v/>
      </c>
      <c r="BG15" s="65" t="str">
        <f t="shared" si="17"/>
        <v>0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5" x14ac:dyDescent="0.35">
      <c r="B16" s="60"/>
      <c r="C16" s="115"/>
      <c r="D16" s="49"/>
      <c r="E16" s="50"/>
      <c r="F16" s="50"/>
      <c r="G16" s="123"/>
      <c r="H16" s="49"/>
      <c r="I16" s="51"/>
      <c r="J16" s="20" t="str">
        <f t="shared" si="5"/>
        <v/>
      </c>
      <c r="K16" s="100" t="str">
        <f t="shared" si="0"/>
        <v/>
      </c>
      <c r="L16" s="21" t="str">
        <f t="shared" si="6"/>
        <v>0</v>
      </c>
      <c r="M16" s="100" t="str">
        <f t="shared" si="7"/>
        <v/>
      </c>
      <c r="N16" s="22" t="str">
        <f t="shared" si="8"/>
        <v>0</v>
      </c>
      <c r="O16" s="100" t="str">
        <f t="shared" si="9"/>
        <v/>
      </c>
      <c r="P16" s="22" t="str">
        <f t="shared" si="10"/>
        <v>0</v>
      </c>
      <c r="Q16" s="22" t="str">
        <f t="shared" si="1"/>
        <v/>
      </c>
      <c r="R16" s="22"/>
      <c r="S16" s="22"/>
      <c r="T16" s="22" t="str">
        <f t="shared" si="11"/>
        <v>0</v>
      </c>
      <c r="U16" s="76" t="s">
        <v>13</v>
      </c>
      <c r="V16" s="150"/>
      <c r="W16" s="113" t="s">
        <v>26</v>
      </c>
      <c r="X16" s="170"/>
      <c r="Y16" s="170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97"/>
      <c r="AL16" s="77"/>
      <c r="AM16" s="73" t="s">
        <v>25</v>
      </c>
      <c r="AN16" s="73" t="s">
        <v>27</v>
      </c>
      <c r="AO16" s="73" t="s">
        <v>31</v>
      </c>
      <c r="AP16" s="62"/>
      <c r="AZ16" s="95" t="str">
        <f t="shared" si="12"/>
        <v/>
      </c>
      <c r="BA16" s="64" t="str">
        <f t="shared" si="2"/>
        <v>0</v>
      </c>
      <c r="BB16" s="95" t="str">
        <f t="shared" si="13"/>
        <v/>
      </c>
      <c r="BC16" s="62" t="str">
        <f t="shared" si="3"/>
        <v>0</v>
      </c>
      <c r="BD16" s="95" t="str">
        <f t="shared" si="14"/>
        <v/>
      </c>
      <c r="BE16" s="62" t="str">
        <f t="shared" si="4"/>
        <v>0</v>
      </c>
      <c r="BF16" s="95" t="str">
        <f t="shared" si="15"/>
        <v/>
      </c>
      <c r="BG16" s="65" t="str">
        <f t="shared" si="17"/>
        <v>0</v>
      </c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x14ac:dyDescent="0.35">
      <c r="B17" s="60"/>
      <c r="C17" s="115"/>
      <c r="D17" s="49"/>
      <c r="E17" s="50"/>
      <c r="F17" s="50"/>
      <c r="G17" s="124"/>
      <c r="H17" s="51"/>
      <c r="I17" s="51"/>
      <c r="J17" s="20" t="str">
        <f t="shared" si="5"/>
        <v/>
      </c>
      <c r="K17" s="100" t="str">
        <f t="shared" si="0"/>
        <v/>
      </c>
      <c r="L17" s="21" t="str">
        <f t="shared" si="6"/>
        <v>0</v>
      </c>
      <c r="M17" s="100" t="str">
        <f t="shared" si="7"/>
        <v/>
      </c>
      <c r="N17" s="22" t="str">
        <f t="shared" si="8"/>
        <v>0</v>
      </c>
      <c r="O17" s="100" t="str">
        <f t="shared" si="9"/>
        <v/>
      </c>
      <c r="P17" s="22" t="str">
        <f t="shared" si="10"/>
        <v>0</v>
      </c>
      <c r="Q17" s="22" t="str">
        <f t="shared" si="1"/>
        <v/>
      </c>
      <c r="R17" s="22"/>
      <c r="S17" s="22"/>
      <c r="T17" s="22" t="str">
        <f t="shared" si="11"/>
        <v>0</v>
      </c>
      <c r="U17" s="76" t="s">
        <v>13</v>
      </c>
      <c r="V17" s="150"/>
      <c r="W17" s="78" t="s">
        <v>28</v>
      </c>
      <c r="X17" s="170">
        <v>1</v>
      </c>
      <c r="Y17" s="170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97"/>
      <c r="AL17" s="77"/>
      <c r="AM17" s="73" t="s">
        <v>21</v>
      </c>
      <c r="AN17" s="62" t="e">
        <f>ROUND((X18/IF(OR(X17=1,X17=""),1,X17))/(X15*X16),2)</f>
        <v>#DIV/0!</v>
      </c>
      <c r="AO17" s="62" t="e">
        <f>ROUND((X18/IF(OR(X17=1,X17=""),1,X17))/(X15*SQRT(3)*X16),2)</f>
        <v>#DIV/0!</v>
      </c>
      <c r="AP17" s="62">
        <f>ROUND(DEGREES(-ACOS(X16)),2)</f>
        <v>-90</v>
      </c>
      <c r="AZ17" s="95" t="str">
        <f t="shared" si="12"/>
        <v/>
      </c>
      <c r="BA17" s="64" t="str">
        <f t="shared" si="2"/>
        <v>0</v>
      </c>
      <c r="BB17" s="95" t="str">
        <f t="shared" si="13"/>
        <v/>
      </c>
      <c r="BC17" s="62" t="str">
        <f t="shared" si="3"/>
        <v>0</v>
      </c>
      <c r="BD17" s="95" t="str">
        <f t="shared" si="14"/>
        <v/>
      </c>
      <c r="BE17" s="62" t="str">
        <f t="shared" si="4"/>
        <v>0</v>
      </c>
      <c r="BF17" s="95" t="str">
        <f t="shared" si="15"/>
        <v/>
      </c>
      <c r="BG17" s="65" t="str">
        <f t="shared" si="17"/>
        <v>0</v>
      </c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x14ac:dyDescent="0.35">
      <c r="B18" s="60"/>
      <c r="C18" s="115"/>
      <c r="D18" s="49"/>
      <c r="E18" s="50"/>
      <c r="F18" s="50"/>
      <c r="G18" s="124"/>
      <c r="H18" s="51"/>
      <c r="I18" s="51"/>
      <c r="J18" s="20" t="str">
        <f t="shared" si="5"/>
        <v/>
      </c>
      <c r="K18" s="100" t="str">
        <f t="shared" si="0"/>
        <v/>
      </c>
      <c r="L18" s="21" t="str">
        <f t="shared" si="6"/>
        <v>0</v>
      </c>
      <c r="M18" s="100" t="str">
        <f t="shared" si="7"/>
        <v/>
      </c>
      <c r="N18" s="22" t="str">
        <f t="shared" si="8"/>
        <v>0</v>
      </c>
      <c r="O18" s="100" t="str">
        <f t="shared" si="9"/>
        <v/>
      </c>
      <c r="P18" s="22" t="str">
        <f t="shared" si="10"/>
        <v>0</v>
      </c>
      <c r="Q18" s="22" t="str">
        <f t="shared" si="1"/>
        <v/>
      </c>
      <c r="R18" s="22"/>
      <c r="S18" s="22"/>
      <c r="T18" s="22" t="str">
        <f t="shared" si="11"/>
        <v>0</v>
      </c>
      <c r="U18" s="76" t="s">
        <v>13</v>
      </c>
      <c r="V18" s="150"/>
      <c r="W18" s="113" t="s">
        <v>21</v>
      </c>
      <c r="X18" s="170"/>
      <c r="Y18" s="170"/>
      <c r="Z18" s="78" t="str">
        <f>IF(W18="P","W",IF(W18="Q","VAR","VA"))</f>
        <v>W</v>
      </c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97"/>
      <c r="AL18" s="77"/>
      <c r="AM18" s="73" t="s">
        <v>22</v>
      </c>
      <c r="AN18" s="62" t="e">
        <f>ROUND((X18/IF(OR(X17=1,X17=""),1,X17))/(X15*X16),2)</f>
        <v>#DIV/0!</v>
      </c>
      <c r="AO18" s="62" t="e">
        <f>ROUND((X18/IF(OR(X17=1,X17=""),1,X17))/(X15*SQRT(3)*X16),2)</f>
        <v>#DIV/0!</v>
      </c>
      <c r="AP18" s="62">
        <f>ROUND(DEGREES(-ACOS(X16)),2)</f>
        <v>-90</v>
      </c>
      <c r="AZ18" s="95" t="str">
        <f t="shared" si="12"/>
        <v/>
      </c>
      <c r="BA18" s="64" t="str">
        <f t="shared" si="2"/>
        <v>0</v>
      </c>
      <c r="BB18" s="95" t="str">
        <f t="shared" si="13"/>
        <v/>
      </c>
      <c r="BC18" s="62" t="str">
        <f t="shared" si="3"/>
        <v>0</v>
      </c>
      <c r="BD18" s="95" t="str">
        <f t="shared" si="14"/>
        <v/>
      </c>
      <c r="BE18" s="62" t="str">
        <f t="shared" si="4"/>
        <v>0</v>
      </c>
      <c r="BF18" s="95" t="str">
        <f t="shared" si="15"/>
        <v/>
      </c>
      <c r="BG18" s="65" t="str">
        <f t="shared" si="17"/>
        <v>0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x14ac:dyDescent="0.35">
      <c r="B19" s="60"/>
      <c r="C19" s="115"/>
      <c r="D19" s="49"/>
      <c r="E19" s="50"/>
      <c r="F19" s="50"/>
      <c r="G19" s="124"/>
      <c r="H19" s="51"/>
      <c r="I19" s="51"/>
      <c r="J19" s="20" t="str">
        <f t="shared" si="5"/>
        <v/>
      </c>
      <c r="K19" s="100" t="str">
        <f t="shared" si="0"/>
        <v/>
      </c>
      <c r="L19" s="21" t="str">
        <f t="shared" si="6"/>
        <v>0</v>
      </c>
      <c r="M19" s="100" t="str">
        <f t="shared" si="7"/>
        <v/>
      </c>
      <c r="N19" s="22" t="str">
        <f t="shared" si="8"/>
        <v>0</v>
      </c>
      <c r="O19" s="100" t="str">
        <f t="shared" si="9"/>
        <v/>
      </c>
      <c r="P19" s="22" t="str">
        <f t="shared" si="10"/>
        <v>0</v>
      </c>
      <c r="Q19" s="22" t="str">
        <f t="shared" si="1"/>
        <v/>
      </c>
      <c r="R19" s="22"/>
      <c r="S19" s="22"/>
      <c r="T19" s="22" t="str">
        <f t="shared" si="11"/>
        <v>0</v>
      </c>
      <c r="U19" s="76" t="s">
        <v>13</v>
      </c>
      <c r="V19" s="150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97"/>
      <c r="AL19" s="77"/>
      <c r="AM19" s="73" t="s">
        <v>23</v>
      </c>
      <c r="AN19" s="62">
        <f>ROUND((X18/IF(OR(X17=1,X17=""),1,X17))/(X15),2)</f>
        <v>0</v>
      </c>
      <c r="AO19" s="62">
        <f>ROUND((X18/IF(OR(X17=1,X17=""),1,X17))/(X15*SQRT(3)),2)</f>
        <v>0</v>
      </c>
      <c r="AP19" s="62">
        <f>ROUND(DEGREES(-ACOS(X16)),2)</f>
        <v>-90</v>
      </c>
      <c r="AZ19" s="95" t="str">
        <f t="shared" si="12"/>
        <v/>
      </c>
      <c r="BA19" s="64" t="str">
        <f t="shared" si="2"/>
        <v>0</v>
      </c>
      <c r="BB19" s="95" t="str">
        <f t="shared" si="13"/>
        <v/>
      </c>
      <c r="BC19" s="62" t="str">
        <f t="shared" si="3"/>
        <v>0</v>
      </c>
      <c r="BD19" s="95" t="str">
        <f t="shared" si="14"/>
        <v/>
      </c>
      <c r="BE19" s="62" t="str">
        <f t="shared" si="4"/>
        <v>0</v>
      </c>
      <c r="BF19" s="95" t="str">
        <f t="shared" si="15"/>
        <v/>
      </c>
      <c r="BG19" s="65" t="str">
        <f t="shared" si="17"/>
        <v>0</v>
      </c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thickBot="1" x14ac:dyDescent="0.4">
      <c r="B20" s="60"/>
      <c r="C20" s="115"/>
      <c r="D20" s="49"/>
      <c r="E20" s="50"/>
      <c r="F20" s="50"/>
      <c r="G20" s="124"/>
      <c r="H20" s="51"/>
      <c r="I20" s="51"/>
      <c r="J20" s="20" t="str">
        <f t="shared" si="5"/>
        <v/>
      </c>
      <c r="K20" s="100" t="str">
        <f t="shared" si="0"/>
        <v/>
      </c>
      <c r="L20" s="21" t="str">
        <f t="shared" si="6"/>
        <v>0</v>
      </c>
      <c r="M20" s="100" t="str">
        <f t="shared" si="7"/>
        <v/>
      </c>
      <c r="N20" s="22" t="str">
        <f t="shared" si="8"/>
        <v>0</v>
      </c>
      <c r="O20" s="100" t="str">
        <f t="shared" si="9"/>
        <v/>
      </c>
      <c r="P20" s="22" t="str">
        <f t="shared" si="10"/>
        <v>0</v>
      </c>
      <c r="Q20" s="22" t="str">
        <f t="shared" si="1"/>
        <v/>
      </c>
      <c r="R20" s="22"/>
      <c r="S20" s="22"/>
      <c r="T20" s="22" t="str">
        <f t="shared" si="11"/>
        <v>0</v>
      </c>
      <c r="U20" s="76" t="s">
        <v>13</v>
      </c>
      <c r="V20" s="156" t="s">
        <v>33</v>
      </c>
      <c r="X20" s="165" t="str">
        <f>"= ("</f>
        <v>= (</v>
      </c>
      <c r="Y20" s="166" t="str">
        <f>IF(OR(X17=1,X17=""),W18,W18&amp;"₂ / η")</f>
        <v>P</v>
      </c>
      <c r="Z20" s="166"/>
      <c r="AA20" s="166"/>
      <c r="AB20" s="167" t="str">
        <f>"∠-"&amp;IF(W16=AN15,AO15,AO16)&amp;"¯¹ ϕ)"</f>
        <v>∠-cos¯¹ ϕ)</v>
      </c>
      <c r="AC20" s="167"/>
      <c r="AD20" s="165" t="s">
        <v>34</v>
      </c>
      <c r="AE20" s="174">
        <f>IF(OR(X17=1,X17=""),X18,X18&amp;" / "&amp;X17)</f>
        <v>0</v>
      </c>
      <c r="AF20" s="174"/>
      <c r="AG20" s="174"/>
      <c r="AH20" s="167" t="str">
        <f>"∠-"&amp;IF(W16=AN15,AO15,AO16)&amp;"¯¹ "&amp;X16&amp;")"</f>
        <v>∠-cos¯¹ )</v>
      </c>
      <c r="AI20" s="167"/>
      <c r="AJ20" s="165" t="s">
        <v>32</v>
      </c>
      <c r="AK20" s="172" t="e">
        <f>"("&amp;IF(W15=AM15,VLOOKUP(W18,AM17:AO19,2,FALSE),VLOOKUP(W18,AM17:AO19,3,FALSE))&amp;" ∠"&amp;AP17&amp;") A"</f>
        <v>#DIV/0!</v>
      </c>
      <c r="AL20" s="94"/>
      <c r="AM20" s="77"/>
      <c r="AN20" s="77"/>
      <c r="AO20" s="77"/>
      <c r="AP20" s="90"/>
      <c r="AZ20" s="95" t="str">
        <f t="shared" si="12"/>
        <v/>
      </c>
      <c r="BA20" s="64" t="str">
        <f t="shared" si="2"/>
        <v>0</v>
      </c>
      <c r="BB20" s="95" t="str">
        <f t="shared" si="13"/>
        <v/>
      </c>
      <c r="BC20" s="62" t="str">
        <f t="shared" si="3"/>
        <v>0</v>
      </c>
      <c r="BD20" s="95" t="str">
        <f t="shared" si="14"/>
        <v/>
      </c>
      <c r="BE20" s="62" t="str">
        <f t="shared" si="4"/>
        <v>0</v>
      </c>
      <c r="BF20" s="95" t="str">
        <f t="shared" si="15"/>
        <v/>
      </c>
      <c r="BG20" s="65" t="str">
        <f t="shared" si="17"/>
        <v>0</v>
      </c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x14ac:dyDescent="0.35">
      <c r="B21" s="60"/>
      <c r="C21" s="115"/>
      <c r="D21" s="49"/>
      <c r="E21" s="50"/>
      <c r="F21" s="50"/>
      <c r="G21" s="123"/>
      <c r="H21" s="49"/>
      <c r="I21" s="51"/>
      <c r="J21" s="20" t="str">
        <f t="shared" si="5"/>
        <v/>
      </c>
      <c r="K21" s="100" t="str">
        <f t="shared" si="0"/>
        <v/>
      </c>
      <c r="L21" s="21" t="str">
        <f t="shared" si="6"/>
        <v>0</v>
      </c>
      <c r="M21" s="100" t="str">
        <f t="shared" si="7"/>
        <v/>
      </c>
      <c r="N21" s="22" t="str">
        <f t="shared" si="8"/>
        <v>0</v>
      </c>
      <c r="O21" s="100" t="str">
        <f t="shared" si="9"/>
        <v/>
      </c>
      <c r="P21" s="22" t="str">
        <f t="shared" si="10"/>
        <v>0</v>
      </c>
      <c r="Q21" s="22" t="str">
        <f t="shared" si="1"/>
        <v/>
      </c>
      <c r="R21" s="22"/>
      <c r="S21" s="22"/>
      <c r="T21" s="22" t="str">
        <f t="shared" si="11"/>
        <v>0</v>
      </c>
      <c r="U21" s="76" t="s">
        <v>13</v>
      </c>
      <c r="V21" s="156"/>
      <c r="W21" s="155" t="s">
        <v>43</v>
      </c>
      <c r="X21" s="165"/>
      <c r="Y21" s="171" t="str">
        <f>IF(W15=AM16,"√3 · ","")&amp;IF(W15=AM15,AM15,AM16)&amp;IF(W18=AM17," · "&amp;W16,IF(W18=AM18," · "&amp;W16,""))</f>
        <v>√3 · Un · cosϕ</v>
      </c>
      <c r="Z21" s="171"/>
      <c r="AA21" s="171"/>
      <c r="AB21" s="167"/>
      <c r="AC21" s="167"/>
      <c r="AD21" s="165"/>
      <c r="AE21" s="173" t="str">
        <f>IF(W15=AM16,"√3 · ","")&amp;X15&amp;IF(W18=AM17," · "&amp;X16,IF(W18=AM18," · "&amp;X16,""))</f>
        <v xml:space="preserve">√3 · 400 · </v>
      </c>
      <c r="AF21" s="173"/>
      <c r="AG21" s="173"/>
      <c r="AH21" s="167"/>
      <c r="AI21" s="167"/>
      <c r="AJ21" s="165"/>
      <c r="AK21" s="172"/>
      <c r="AL21" s="94"/>
      <c r="AM21" s="77"/>
      <c r="AN21" s="77"/>
      <c r="AO21" s="77"/>
      <c r="AP21" s="90"/>
      <c r="AZ21" s="95" t="str">
        <f t="shared" si="12"/>
        <v/>
      </c>
      <c r="BA21" s="64" t="str">
        <f t="shared" si="2"/>
        <v>0</v>
      </c>
      <c r="BB21" s="95" t="str">
        <f t="shared" si="13"/>
        <v/>
      </c>
      <c r="BC21" s="62" t="str">
        <f t="shared" si="3"/>
        <v>0</v>
      </c>
      <c r="BD21" s="95" t="str">
        <f t="shared" si="14"/>
        <v/>
      </c>
      <c r="BE21" s="62" t="str">
        <f t="shared" si="4"/>
        <v>0</v>
      </c>
      <c r="BF21" s="95" t="str">
        <f t="shared" si="15"/>
        <v/>
      </c>
      <c r="BG21" s="65" t="str">
        <f t="shared" si="17"/>
        <v>0</v>
      </c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x14ac:dyDescent="0.35">
      <c r="B22" s="60"/>
      <c r="C22" s="115"/>
      <c r="D22" s="49"/>
      <c r="E22" s="50"/>
      <c r="F22" s="50"/>
      <c r="G22" s="123"/>
      <c r="H22" s="49"/>
      <c r="I22" s="51"/>
      <c r="J22" s="20" t="str">
        <f t="shared" si="5"/>
        <v/>
      </c>
      <c r="K22" s="100" t="str">
        <f t="shared" si="0"/>
        <v/>
      </c>
      <c r="L22" s="21" t="str">
        <f t="shared" si="6"/>
        <v>0</v>
      </c>
      <c r="M22" s="100" t="str">
        <f t="shared" si="7"/>
        <v/>
      </c>
      <c r="N22" s="22" t="str">
        <f t="shared" si="8"/>
        <v>0</v>
      </c>
      <c r="O22" s="100" t="str">
        <f t="shared" si="9"/>
        <v/>
      </c>
      <c r="P22" s="22" t="str">
        <f t="shared" si="10"/>
        <v>0</v>
      </c>
      <c r="Q22" s="22" t="str">
        <f t="shared" si="1"/>
        <v/>
      </c>
      <c r="R22" s="22"/>
      <c r="S22" s="22"/>
      <c r="T22" s="22" t="str">
        <f t="shared" si="11"/>
        <v>0</v>
      </c>
      <c r="U22" s="76" t="s">
        <v>13</v>
      </c>
      <c r="V22" s="151"/>
      <c r="W22" s="92"/>
      <c r="X22" s="98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9"/>
      <c r="AL22" s="91"/>
      <c r="AM22" s="91"/>
      <c r="AN22" s="91"/>
      <c r="AO22" s="91"/>
      <c r="AP22" s="93"/>
      <c r="AZ22" s="95" t="str">
        <f t="shared" si="12"/>
        <v/>
      </c>
      <c r="BA22" s="64" t="str">
        <f t="shared" si="2"/>
        <v>0</v>
      </c>
      <c r="BB22" s="95" t="str">
        <f t="shared" si="13"/>
        <v/>
      </c>
      <c r="BC22" s="62" t="str">
        <f t="shared" si="3"/>
        <v>0</v>
      </c>
      <c r="BD22" s="95" t="str">
        <f t="shared" si="14"/>
        <v/>
      </c>
      <c r="BE22" s="62" t="str">
        <f t="shared" si="4"/>
        <v>0</v>
      </c>
      <c r="BF22" s="95" t="str">
        <f t="shared" si="15"/>
        <v/>
      </c>
      <c r="BG22" s="65" t="str">
        <f t="shared" si="17"/>
        <v>0</v>
      </c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x14ac:dyDescent="0.35">
      <c r="B23" s="46"/>
      <c r="C23" s="115"/>
      <c r="D23" s="49"/>
      <c r="E23" s="50"/>
      <c r="F23" s="50"/>
      <c r="G23" s="123"/>
      <c r="H23" s="49"/>
      <c r="I23" s="51"/>
      <c r="J23" s="20" t="str">
        <f t="shared" si="5"/>
        <v/>
      </c>
      <c r="K23" s="100" t="str">
        <f t="shared" si="0"/>
        <v/>
      </c>
      <c r="L23" s="21" t="str">
        <f t="shared" si="6"/>
        <v>0</v>
      </c>
      <c r="M23" s="100" t="str">
        <f t="shared" si="7"/>
        <v/>
      </c>
      <c r="N23" s="22" t="str">
        <f t="shared" si="8"/>
        <v>0</v>
      </c>
      <c r="O23" s="100" t="str">
        <f t="shared" si="9"/>
        <v/>
      </c>
      <c r="P23" s="22" t="str">
        <f t="shared" si="10"/>
        <v>0</v>
      </c>
      <c r="Q23" s="22" t="str">
        <f t="shared" si="1"/>
        <v/>
      </c>
      <c r="R23" s="22"/>
      <c r="S23" s="22"/>
      <c r="T23" s="22" t="str">
        <f t="shared" si="11"/>
        <v>0</v>
      </c>
      <c r="U23" s="76" t="s">
        <v>13</v>
      </c>
      <c r="AZ23" s="95" t="str">
        <f t="shared" si="12"/>
        <v/>
      </c>
      <c r="BA23" s="64" t="str">
        <f t="shared" si="2"/>
        <v>0</v>
      </c>
      <c r="BB23" s="95" t="str">
        <f t="shared" si="13"/>
        <v/>
      </c>
      <c r="BC23" s="62" t="str">
        <f t="shared" si="3"/>
        <v>0</v>
      </c>
      <c r="BD23" s="95" t="str">
        <f t="shared" si="14"/>
        <v/>
      </c>
      <c r="BE23" s="62" t="str">
        <f t="shared" si="4"/>
        <v>0</v>
      </c>
      <c r="BF23" s="95" t="str">
        <f t="shared" si="15"/>
        <v/>
      </c>
      <c r="BG23" s="65" t="str">
        <f t="shared" si="17"/>
        <v>0</v>
      </c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" thickBot="1" x14ac:dyDescent="0.4">
      <c r="B24" s="46"/>
      <c r="C24" s="115"/>
      <c r="D24" s="49"/>
      <c r="E24" s="50"/>
      <c r="F24" s="50"/>
      <c r="G24" s="123"/>
      <c r="H24" s="49"/>
      <c r="I24" s="51"/>
      <c r="J24" s="20" t="str">
        <f t="shared" si="5"/>
        <v/>
      </c>
      <c r="K24" s="100" t="str">
        <f t="shared" si="0"/>
        <v/>
      </c>
      <c r="L24" s="21" t="str">
        <f t="shared" si="6"/>
        <v>0</v>
      </c>
      <c r="M24" s="100" t="str">
        <f t="shared" si="7"/>
        <v/>
      </c>
      <c r="N24" s="22" t="str">
        <f t="shared" si="8"/>
        <v>0</v>
      </c>
      <c r="O24" s="100" t="str">
        <f t="shared" si="9"/>
        <v/>
      </c>
      <c r="P24" s="22" t="str">
        <f t="shared" si="10"/>
        <v>0</v>
      </c>
      <c r="Q24" s="22" t="str">
        <f t="shared" si="1"/>
        <v/>
      </c>
      <c r="R24" s="22"/>
      <c r="S24" s="22"/>
      <c r="T24" s="22" t="str">
        <f t="shared" si="11"/>
        <v>0</v>
      </c>
      <c r="U24" s="76" t="s">
        <v>13</v>
      </c>
      <c r="AR24" s="77"/>
      <c r="AS24" s="77"/>
      <c r="AT24" s="77"/>
      <c r="AU24" s="77"/>
      <c r="AV24" s="77"/>
      <c r="AW24" s="77"/>
      <c r="AX24" s="77"/>
      <c r="AZ24" s="95" t="str">
        <f t="shared" si="12"/>
        <v/>
      </c>
      <c r="BA24" s="64" t="str">
        <f t="shared" si="2"/>
        <v>0</v>
      </c>
      <c r="BB24" s="95" t="str">
        <f t="shared" si="13"/>
        <v/>
      </c>
      <c r="BC24" s="62" t="str">
        <f t="shared" si="3"/>
        <v>0</v>
      </c>
      <c r="BD24" s="95" t="str">
        <f t="shared" si="14"/>
        <v/>
      </c>
      <c r="BE24" s="62" t="str">
        <f t="shared" si="4"/>
        <v>0</v>
      </c>
      <c r="BF24" s="95" t="str">
        <f t="shared" si="15"/>
        <v/>
      </c>
      <c r="BG24" s="65" t="str">
        <f t="shared" si="17"/>
        <v>0</v>
      </c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" hidden="1" thickBot="1" x14ac:dyDescent="0.4">
      <c r="B25" s="105" t="s">
        <v>20</v>
      </c>
      <c r="C25" s="116"/>
      <c r="D25" s="106"/>
      <c r="E25" s="107"/>
      <c r="F25" s="107"/>
      <c r="G25" s="125"/>
      <c r="H25" s="106"/>
      <c r="I25" s="108">
        <v>0</v>
      </c>
      <c r="J25" s="109" t="str">
        <f t="shared" ref="J25" si="18">IF(AND(D25="",E25="",F25=""),"",IF(AND(D25&gt;0,E25&gt;0,F25=""),ROUND(DEGREES(IMARGUMENT(L25)),2),IF(AND(D25="",E25&gt;0,F25&gt;0),ROUND(DEGREES(IMARGUMENT(N25)),2),IF(AND(D25&gt;0,E25="",F25&gt;0),ROUND(DEGREES(IMARGUMENT(P25)),2),IF(AND(E25="",F25=""),ROUND(DEGREES(IMARGUMENT(L25)),2),IF(AND(D25="",F25=""),ROUND(DEGREES(IMARGUMENT(N25)),2),IF(AND(E25="",D25=""),ROUND(DEGREES(IMARGUMENT(P25)),2),ROUND(DEGREES(IMARGUMENT(L25)),2))))))))</f>
        <v/>
      </c>
      <c r="K25" s="110" t="str">
        <f t="shared" si="0"/>
        <v/>
      </c>
      <c r="L25" s="21" t="str">
        <f t="shared" ref="L25" si="19">IF(AND(D25&gt;0,E25&gt;0,F25=""),COMPLEX(D25*IF(C25="",1,C25)*(COS(-ACOS(IF(I25="",1,I25))+RADIANS(30))),D25*IF(C25="",1,C25)*SIN(-ACOS(COS(-ACOS(IF(I25="",1,I25))+RADIANS(30)))),"j"),IF(AND(D25&gt;0,E25="",F25&gt;0),COMPLEX(D25*IF(C25="",1,C25)*(COS(-ACOS(IF(I25="",1,I25))+RADIANS(-30))),D25*IF(C25="",1,C25)*SIN(-ACOS(COS(-ACOS(IF(I25="",1,I25))+RADIANS(-30)))),"j"),COMPLEX(D25*IF(C25="",1,C25)*IF(I25="",1,I25),D25*IF(C25="",1,C25)*SIN(-ACOS(IF(I25="",1,I25))),"j")))</f>
        <v>0</v>
      </c>
      <c r="M25" s="110" t="str">
        <f t="shared" si="7"/>
        <v/>
      </c>
      <c r="N25" s="112" t="str">
        <f>IF(AND(D25&gt;0,E25&gt;0,F25=""),COMPLEX(E25*IF(C25="",1,C25)*(COS(ACOS(IF(I25="",1,I25))+RADIANS(-30))),E25*IF(C25="",1,C25)*SIN(ACOS(COS(ACOS(IF(I25="",1,I25))+RADIANS(-30)))),"j"),IF(AND(D25="",E25&gt;0,F25&gt;0),COMPLEX(E25*IF(C25="",1,C25)*(COS(ACOS(IF(I25="",1,I25))+RADIANS(30))),E25*IF(C25="",1,C25)*SIN(ACOS(COS(ACOS(IF(I25="",1,I25))+RADIANS(30)))),"j"),COMPLEX(E25*IF(C25="",1,C25)*IF(I25="",1,I25),E25*IF(C25="",1,C25)*SIN(ACOS(IF(I25="",1,I25))),"j")))</f>
        <v>0</v>
      </c>
      <c r="O25" s="110" t="str">
        <f t="shared" si="9"/>
        <v/>
      </c>
      <c r="P25" s="112" t="str">
        <f>IF(AND(D25="",E25&gt;0,F25&gt;0),COMPLEX(F25*IF(C25="",1,C25)*(COS(ACOS(IF(I25="",1,I25))+RADIANS(-30))),F25*IF(C25="",1,C25)*SIN(ACOS(COS(ACOS(IF(I25="",1,I25))+RADIANS(-30)))),"j"),IF(AND(D25&gt;0,E25="",F25&gt;0),COMPLEX(F25*IF(C25="",1,C25)*(COS(ACOS(IF(I25="",1,I25))+RADIANS(30))),F25*IF(C25="",1,C25)*SIN(ACOS(COS(ACOS(IF(I25="",1,I25))+RADIANS(30)))),"j"),COMPLEX(F25*IF(C25="",1,C25)*IF(I25="",1,I25),F25*IF(C25="",1,C25)*SIN(ACOS(IF(I25="",1,I25))),"j")))</f>
        <v>0</v>
      </c>
      <c r="Q25" s="22" t="str">
        <f t="shared" si="1"/>
        <v/>
      </c>
      <c r="R25" s="22"/>
      <c r="S25" s="22"/>
      <c r="T25" s="22" t="str">
        <f t="shared" si="11"/>
        <v>0</v>
      </c>
      <c r="U25" s="76"/>
      <c r="AZ25" s="95" t="str">
        <f t="shared" si="12"/>
        <v/>
      </c>
      <c r="BA25" s="64" t="str">
        <f t="shared" si="2"/>
        <v>0</v>
      </c>
      <c r="BB25" s="95" t="str">
        <f t="shared" si="13"/>
        <v/>
      </c>
      <c r="BC25" s="62" t="str">
        <f t="shared" si="3"/>
        <v>0</v>
      </c>
      <c r="BD25" s="95" t="str">
        <f t="shared" si="14"/>
        <v/>
      </c>
      <c r="BE25" s="62" t="str">
        <f t="shared" si="4"/>
        <v>0</v>
      </c>
      <c r="BF25" s="95" t="str">
        <f t="shared" si="15"/>
        <v/>
      </c>
      <c r="BG25" s="65" t="str">
        <f t="shared" si="17"/>
        <v>0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" thickBot="1" x14ac:dyDescent="0.4">
      <c r="B26" s="25" t="s">
        <v>7</v>
      </c>
      <c r="C26" s="118"/>
      <c r="D26" s="26">
        <f>SUM(IF($C6="",1,$C6)*D6,IF($C7="",1,$C7)*D7,IF($C8="",1,$C8)*D8,IF($C9="",1,$C9)*D9,IF($C10="",1,$C10)*D10,IF($C11="",1,$C11)*D11,IF($C12="",1,$C12)*D12,IF($C13="",1,$C13)*D13,IF($C14="",1,$C14)*D14,IF($C15="",1,$C15)*D15,IF($C16="",1,$C16)*D16,IF($C17="",1,$C17)*D17,IF($C18="",1,$C18)*D18,IF($C19="",1,$C19)*D19,IF($C20="",1,$C20)*D20,IF($C21="",1,$C21)*D21,IF($C22="",1,$C22)*D22,IF($C23="",1,$C23)*D23,IF($C24="",1,$C24)*D24,IF($C25="",1,$C25)*D25)</f>
        <v>493.34749999999997</v>
      </c>
      <c r="E26" s="27">
        <f t="shared" ref="E26:F26" si="20">SUM(IF($C6="",1,$C6)*E6,IF($C7="",1,$C7)*E7,IF($C8="",1,$C8)*E8,IF($C9="",1,$C9)*E9,IF($C10="",1,$C10)*E10,IF($C11="",1,$C11)*E11,IF($C12="",1,$C12)*E12,IF($C13="",1,$C13)*E13,IF($C14="",1,$C14)*E14,IF($C15="",1,$C15)*E15,IF($C16="",1,$C16)*E16,IF($C17="",1,$C17)*E17,IF($C18="",1,$C18)*E18,IF($C19="",1,$C19)*E19,IF($C20="",1,$C20)*E20,IF($C21="",1,$C21)*E21,IF($C22="",1,$C22)*E22,IF($C23="",1,$C23)*E23,IF($C24="",1,$C24)*E24,IF($C25="",1,$C25)*E25)</f>
        <v>493.34749999999997</v>
      </c>
      <c r="F26" s="27">
        <f t="shared" si="20"/>
        <v>487.49099999999999</v>
      </c>
      <c r="G26" s="126">
        <f>SUM(G6:G24)</f>
        <v>0</v>
      </c>
      <c r="H26" s="126">
        <f>SUM(H6:H24)</f>
        <v>0</v>
      </c>
      <c r="I26" s="168" t="s">
        <v>18</v>
      </c>
      <c r="J26" s="169"/>
      <c r="K26" s="101" t="str">
        <f>ROUND(IMABS(L26),2)&amp;"∠"&amp;ROUND(DEGREES(IMARGUMENT(L26)),2)</f>
        <v>485,15∠-9,79</v>
      </c>
      <c r="L26" s="29" t="str">
        <f>IMSUM(L6,L7,L16,L17,L18,L19,L20,L21,L22,L23,L24,L25,L8,L9,L10,L11,L12,L13,L14,L15)</f>
        <v>478,07677-82,5228973959405j</v>
      </c>
      <c r="M26" s="102" t="str">
        <f>ROUND(IMABS(N26),2)&amp;"∠"&amp;ROUND(DEGREES(IMARGUMENT(N26)),2)</f>
        <v>485,15∠-9,79</v>
      </c>
      <c r="N26" s="29" t="str">
        <f>IMSUM(N6,N7,N16,N17,N18,N19,N20,N21,N22,N23,N24,N25,N8,N9,N10,N11,N12,N13,N14,N15)</f>
        <v>478,07677-82,5228973959405j</v>
      </c>
      <c r="O26" s="102" t="str">
        <f>ROUND(IMABS(P26),2)&amp;"∠"&amp;ROUND(DEGREES(IMARGUMENT(P26)),2)</f>
        <v>479,52∠-9,6</v>
      </c>
      <c r="P26" s="29" t="str">
        <f>IMSUM(P6,P7,P16,P17,P18,P19,P20,P21,P22,P23,P24,P25,P8,P9,P10,P11,P12,P13,P14,P15)</f>
        <v>472,80592-79,9701082296559j</v>
      </c>
      <c r="Q26" s="102" t="str">
        <f>ROUND(IMABS(T26),2)&amp;"∠"&amp;ROUND(DEGREES(IMARGUMENT(T26)),2)</f>
        <v>111,91∠-130,89</v>
      </c>
      <c r="R26" s="101"/>
      <c r="S26" s="101"/>
      <c r="T26" s="29" t="str">
        <f>IMSUM(T6,T7,T16,T17,T18,T19,T20,T21,T22,T23,T24,T25,T8,T9,T10,T11,T12,T13,T14,T15)</f>
        <v>-73,263601417162-84,59752j</v>
      </c>
      <c r="U26" s="76"/>
      <c r="AZ26" s="95" t="str">
        <f t="shared" si="12"/>
        <v>485,15∠-9,79</v>
      </c>
      <c r="BA26" s="3" t="str">
        <f>IMSUM(BA6:BA25)</f>
        <v>478,07677-82,5228973959405j</v>
      </c>
      <c r="BB26" s="95" t="str">
        <f t="shared" si="13"/>
        <v>551,09∠-124,29</v>
      </c>
      <c r="BC26" s="3" t="str">
        <f>IMSUM(BC6:BC25)</f>
        <v>-310,505310538781-455,288076477181j</v>
      </c>
      <c r="BD26" s="95" t="str">
        <f t="shared" si="14"/>
        <v>479,52∠129,6</v>
      </c>
      <c r="BE26" s="3" t="str">
        <f>IMSUM(BE6:BE25)</f>
        <v>-305,659105270273+369,476883664846j</v>
      </c>
      <c r="BF26" s="95" t="str">
        <f t="shared" si="15"/>
        <v>217,73∠-129,36</v>
      </c>
      <c r="BG26" s="3" t="str">
        <f>IMSUM(BG6:BG25)</f>
        <v>-138,087645809054-168,334090208276j</v>
      </c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" thickBot="1" x14ac:dyDescent="0.4">
      <c r="B27" s="30" t="s">
        <v>8</v>
      </c>
      <c r="C27" s="59"/>
      <c r="D27" s="31">
        <f>D26*IF(C27="",1,C27)</f>
        <v>493.34749999999997</v>
      </c>
      <c r="E27" s="32">
        <f>E26*IF(C27="",1,C27)</f>
        <v>493.34749999999997</v>
      </c>
      <c r="F27" s="32">
        <f>F26*IF(C27="",1,C27)</f>
        <v>487.49099999999999</v>
      </c>
      <c r="G27" s="127"/>
      <c r="H27" s="129"/>
      <c r="I27" s="80" t="s">
        <v>17</v>
      </c>
      <c r="J27" s="81" t="s">
        <v>6</v>
      </c>
      <c r="K27" s="101" t="str">
        <f>ROUND(IMABS(L27),2)&amp;"∠"&amp;ROUND(DEGREES(IMARGUMENT(L27)),2)</f>
        <v>485,15∠-9,79</v>
      </c>
      <c r="L27" s="33" t="str">
        <f>IMPRODUCT(L26,IF(C27="",1,C27))</f>
        <v>478,07677-82,5228973959405j</v>
      </c>
      <c r="M27" s="102" t="str">
        <f>ROUND(IMABS(N27),2)&amp;"∠"&amp;ROUND(DEGREES(IMARGUMENT(N27)),2)</f>
        <v>485,15∠-9,79</v>
      </c>
      <c r="N27" s="33" t="str">
        <f>IMPRODUCT(N26,IF(C27="",1,C27))</f>
        <v>478,07677-82,5228973959405j</v>
      </c>
      <c r="O27" s="102" t="str">
        <f>ROUND(IMABS(P27),2)&amp;"∠"&amp;ROUND(DEGREES(IMARGUMENT(P27)),2)</f>
        <v>479,52∠-9,6</v>
      </c>
      <c r="P27" s="33" t="str">
        <f>IMPRODUCT(P26,IF(C27="",1,C27))</f>
        <v>472,80592-79,9701082296559j</v>
      </c>
      <c r="Q27" s="102" t="str">
        <f>ROUND(IMABS(T27),2)&amp;"∠"&amp;ROUND(DEGREES(IMARGUMENT(T27)),2)</f>
        <v>55211,51∠-130,89</v>
      </c>
      <c r="R27" s="128"/>
      <c r="S27" s="128"/>
      <c r="T27" s="33" t="str">
        <f>IMPRODUCT(T26,IF(E27="",1,E27))</f>
        <v>-36144,4146001533-41735,9749982j</v>
      </c>
      <c r="U27" s="76"/>
      <c r="AR27" s="75" t="s">
        <v>1</v>
      </c>
      <c r="AS27" s="75" t="s">
        <v>2</v>
      </c>
      <c r="AT27" s="75" t="s">
        <v>3</v>
      </c>
      <c r="AU27" s="73" t="s">
        <v>15</v>
      </c>
      <c r="AV27" s="73" t="s">
        <v>14</v>
      </c>
      <c r="AW27" s="73" t="s">
        <v>19</v>
      </c>
      <c r="AX27" s="73" t="s">
        <v>16</v>
      </c>
      <c r="AZ27" s="95" t="str">
        <f t="shared" si="12"/>
        <v>485,15∠-9,79</v>
      </c>
      <c r="BA27" s="64" t="str">
        <f>IMPRODUCT(BA26,IF(C27="",1,C27))</f>
        <v>478,07677-82,5228973959405j</v>
      </c>
      <c r="BB27" s="95" t="str">
        <f t="shared" si="13"/>
        <v>551,09∠-124,29</v>
      </c>
      <c r="BC27" s="66" t="str">
        <f>IMPRODUCT(BC26,IF(C27="",1,C27))</f>
        <v>-310,505310538781-455,288076477181j</v>
      </c>
      <c r="BD27" s="95" t="str">
        <f t="shared" si="14"/>
        <v>479,52∠129,6</v>
      </c>
      <c r="BE27" s="66" t="str">
        <f>IMPRODUCT(BE26,IF(C27="",1,C27))</f>
        <v>-305,659105270273+369,476883664846j</v>
      </c>
      <c r="BF27" s="95" t="str">
        <f t="shared" si="15"/>
        <v>217,73∠-129,36</v>
      </c>
      <c r="BG27" s="66" t="str">
        <f>IMPRODUCT(BG26,IF(C27="",1,C27))</f>
        <v>-138,087645809054-168,334090208276j</v>
      </c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" thickBot="1" x14ac:dyDescent="0.4">
      <c r="B28" s="52" t="s">
        <v>9</v>
      </c>
      <c r="C28" s="117"/>
      <c r="D28" s="31">
        <f>D27*IF(C28="",1,C28)</f>
        <v>493.34749999999997</v>
      </c>
      <c r="E28" s="32">
        <f>E27*IF(C28="",1,C28)</f>
        <v>493.34749999999997</v>
      </c>
      <c r="F28" s="32">
        <f>F27*IF(C28="",1,C28)</f>
        <v>487.49099999999999</v>
      </c>
      <c r="G28" s="31"/>
      <c r="H28" s="130"/>
      <c r="I28" s="56">
        <f>AV28</f>
        <v>0.98543759063650493</v>
      </c>
      <c r="J28" s="57">
        <f>AU28</f>
        <v>-9.7899999999999991</v>
      </c>
      <c r="K28" s="101" t="str">
        <f>ROUND(IMABS(L28),2)&amp;"∠"&amp;ROUND(DEGREES(IMARGUMENT(L28)),2)</f>
        <v>485,15∠-9,79</v>
      </c>
      <c r="L28" s="33" t="str">
        <f>IMPRODUCT(L27,IF(C28="",1,C28))</f>
        <v>478,07677-82,5228973959405j</v>
      </c>
      <c r="M28" s="102" t="str">
        <f>ROUND(IMABS(N28),2)&amp;"∠"&amp;ROUND(DEGREES(IMARGUMENT(N28)),2)</f>
        <v>485,15∠-9,79</v>
      </c>
      <c r="N28" s="33" t="str">
        <f>IMPRODUCT(N27,IF(C28="",1,C28))</f>
        <v>478,07677-82,5228973959405j</v>
      </c>
      <c r="O28" s="102" t="str">
        <f>ROUND(IMABS(P28),2)&amp;"∠"&amp;ROUND(DEGREES(IMARGUMENT(P28)),2)</f>
        <v>479,52∠-9,6</v>
      </c>
      <c r="P28" s="33" t="str">
        <f>IMPRODUCT(P27,IF(C28="",1,C28))</f>
        <v>472,80592-79,9701082296559j</v>
      </c>
      <c r="Q28" s="102" t="str">
        <f>ROUND(IMABS(T28),2)&amp;"∠"&amp;ROUND(DEGREES(IMARGUMENT(T28)),2)</f>
        <v>27238458,1∠-130,89</v>
      </c>
      <c r="R28" s="128"/>
      <c r="S28" s="128"/>
      <c r="T28" s="33" t="str">
        <f>IMPRODUCT(T27,IF(E28="",1,E28))</f>
        <v>-17831756,5819491-20590338,9254245j</v>
      </c>
      <c r="U28" s="76"/>
      <c r="AR28" s="74">
        <f>IFERROR(ROUND(DEGREES(IMARGUMENT(L28)),2),0)</f>
        <v>-9.7899999999999991</v>
      </c>
      <c r="AS28" s="74">
        <f>IFERROR(ROUND(DEGREES(IMARGUMENT(N28)),2),0)</f>
        <v>-9.7899999999999991</v>
      </c>
      <c r="AT28" s="74">
        <f>IFERROR(ROUND(DEGREES(IMARGUMENT(P28)),2),0)</f>
        <v>-9.6</v>
      </c>
      <c r="AU28" s="62">
        <f>MIN(AR28:AT28)</f>
        <v>-9.7899999999999991</v>
      </c>
      <c r="AV28" s="79">
        <f>COS(RADIANS(AU28))</f>
        <v>0.98543759063650493</v>
      </c>
      <c r="AW28" s="62">
        <f>MAX(AR28:AT28)</f>
        <v>-9.6</v>
      </c>
      <c r="AX28" s="62">
        <f>COS(RADIANS(AW28))</f>
        <v>0.98599603707050498</v>
      </c>
      <c r="AZ28" s="95" t="str">
        <f t="shared" si="12"/>
        <v>485,15∠-9,79</v>
      </c>
      <c r="BA28" s="64" t="str">
        <f>IMPRODUCT(BA27,IF($C$28="",1,$C$28))</f>
        <v>478,07677-82,5228973959405j</v>
      </c>
      <c r="BB28" s="95" t="str">
        <f t="shared" si="13"/>
        <v>551,09∠-124,29</v>
      </c>
      <c r="BC28" s="66" t="str">
        <f>IMPRODUCT(BC27,IF($C$28="",1,$C$28))</f>
        <v>-310,505310538781-455,288076477181j</v>
      </c>
      <c r="BD28" s="95" t="str">
        <f t="shared" si="14"/>
        <v>479,52∠129,6</v>
      </c>
      <c r="BE28" s="66" t="str">
        <f>IMPRODUCT(BE27,IF($C$28="",1,$C$28))</f>
        <v>-305,659105270273+369,476883664846j</v>
      </c>
      <c r="BF28" s="95" t="str">
        <f t="shared" si="15"/>
        <v>217,73∠-129,36</v>
      </c>
      <c r="BG28" s="66" t="str">
        <f>IMPRODUCT(BG27,IF($C$28="",1,$C$28))</f>
        <v>-138,087645809054-168,334090208276j</v>
      </c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s="3" customFormat="1" x14ac:dyDescent="0.35">
      <c r="D29" s="2"/>
      <c r="E29" s="2"/>
      <c r="F29" s="2"/>
      <c r="G29" s="2"/>
      <c r="H29" s="2"/>
      <c r="I29" s="2"/>
      <c r="J29" s="2"/>
      <c r="K29" s="86"/>
      <c r="L29" s="34"/>
      <c r="M29" s="86"/>
      <c r="N29" s="34"/>
      <c r="O29" s="86"/>
      <c r="P29" s="34"/>
      <c r="Q29" s="4"/>
      <c r="R29" s="4"/>
      <c r="S29" s="4"/>
      <c r="T29" s="4"/>
      <c r="V29" s="152"/>
    </row>
    <row r="30" spans="2:105" s="3" customFormat="1" x14ac:dyDescent="0.35">
      <c r="B30" s="178" t="s">
        <v>35</v>
      </c>
      <c r="C30" s="178"/>
      <c r="D30" s="2"/>
      <c r="E30" s="2"/>
      <c r="F30" s="2"/>
      <c r="G30" s="2"/>
      <c r="H30" s="2"/>
      <c r="I30" s="2"/>
      <c r="J30" s="2"/>
      <c r="K30" s="86"/>
      <c r="L30" s="34"/>
      <c r="M30" s="86"/>
      <c r="N30" s="34"/>
      <c r="O30" s="86"/>
      <c r="P30" s="34"/>
      <c r="Q30" s="4"/>
      <c r="R30" s="4"/>
      <c r="S30" s="4"/>
      <c r="T30" s="4"/>
      <c r="V30" s="152"/>
    </row>
    <row r="31" spans="2:105" s="3" customFormat="1" ht="15" thickBot="1" x14ac:dyDescent="0.4">
      <c r="B31" s="179"/>
      <c r="C31" s="179"/>
      <c r="D31" s="35"/>
      <c r="E31" s="35"/>
      <c r="F31" s="35"/>
      <c r="G31" s="122"/>
      <c r="H31" s="122"/>
      <c r="I31" s="35"/>
      <c r="J31" s="85"/>
      <c r="K31" s="180"/>
      <c r="L31" s="180"/>
      <c r="M31" s="180"/>
      <c r="N31" s="180"/>
      <c r="O31" s="180"/>
      <c r="P31" s="180"/>
      <c r="Q31" s="36"/>
      <c r="R31" s="36"/>
      <c r="S31" s="36"/>
      <c r="T31" s="36"/>
      <c r="V31" s="152"/>
      <c r="AV31" s="61"/>
      <c r="AW31" s="61"/>
      <c r="AX31" s="61"/>
      <c r="AY31" s="61"/>
      <c r="AZ31" s="61"/>
    </row>
    <row r="32" spans="2:105" s="3" customFormat="1" ht="14.4" customHeight="1" x14ac:dyDescent="0.35">
      <c r="B32" s="5"/>
      <c r="C32" s="6"/>
      <c r="D32" s="7"/>
      <c r="E32" s="8" t="s">
        <v>0</v>
      </c>
      <c r="F32" s="8"/>
      <c r="G32" s="157" t="s">
        <v>40</v>
      </c>
      <c r="H32" s="157" t="s">
        <v>41</v>
      </c>
      <c r="I32" s="9"/>
      <c r="J32" s="10"/>
      <c r="K32" s="159" t="s">
        <v>1</v>
      </c>
      <c r="L32" s="163"/>
      <c r="M32" s="159" t="s">
        <v>2</v>
      </c>
      <c r="N32" s="163"/>
      <c r="O32" s="159" t="s">
        <v>3</v>
      </c>
      <c r="P32" s="163"/>
      <c r="Q32" s="159" t="s">
        <v>12</v>
      </c>
      <c r="R32" s="160"/>
      <c r="S32" s="160"/>
      <c r="T32" s="160"/>
      <c r="U32" s="71"/>
      <c r="V32" s="149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96"/>
      <c r="AL32" s="87"/>
      <c r="AM32" s="87"/>
      <c r="AN32" s="87"/>
      <c r="AO32" s="87"/>
      <c r="AP32" s="89"/>
      <c r="AZ32" s="185" t="s">
        <v>1</v>
      </c>
      <c r="BA32" s="186"/>
      <c r="BB32" s="181" t="s">
        <v>2</v>
      </c>
      <c r="BC32" s="182"/>
      <c r="BD32" s="181" t="s">
        <v>3</v>
      </c>
      <c r="BE32" s="182"/>
      <c r="BF32" s="181" t="s">
        <v>11</v>
      </c>
      <c r="BG32" s="187"/>
    </row>
    <row r="33" spans="2:59" s="3" customFormat="1" ht="15" customHeight="1" thickBot="1" x14ac:dyDescent="0.5">
      <c r="B33" s="12" t="s">
        <v>4</v>
      </c>
      <c r="C33" s="53" t="s">
        <v>10</v>
      </c>
      <c r="D33" s="14" t="s">
        <v>1</v>
      </c>
      <c r="E33" s="15" t="s">
        <v>2</v>
      </c>
      <c r="F33" s="15" t="s">
        <v>3</v>
      </c>
      <c r="G33" s="158"/>
      <c r="H33" s="158"/>
      <c r="I33" s="16" t="s">
        <v>5</v>
      </c>
      <c r="J33" s="17" t="s">
        <v>6</v>
      </c>
      <c r="K33" s="161"/>
      <c r="L33" s="164"/>
      <c r="M33" s="161"/>
      <c r="N33" s="164"/>
      <c r="O33" s="161"/>
      <c r="P33" s="164"/>
      <c r="Q33" s="161"/>
      <c r="R33" s="162"/>
      <c r="S33" s="162"/>
      <c r="T33" s="162"/>
      <c r="U33" s="71"/>
      <c r="V33" s="150"/>
      <c r="W33" s="113" t="s">
        <v>25</v>
      </c>
      <c r="X33" s="170">
        <v>400</v>
      </c>
      <c r="Y33" s="170"/>
      <c r="Z33" s="78" t="s">
        <v>29</v>
      </c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97"/>
      <c r="AL33" s="77"/>
      <c r="AM33" s="73" t="s">
        <v>24</v>
      </c>
      <c r="AN33" s="73" t="s">
        <v>26</v>
      </c>
      <c r="AO33" s="73" t="s">
        <v>30</v>
      </c>
      <c r="AP33" s="62"/>
      <c r="AZ33" s="185"/>
      <c r="BA33" s="186"/>
      <c r="BB33" s="183"/>
      <c r="BC33" s="184"/>
      <c r="BD33" s="183"/>
      <c r="BE33" s="184"/>
      <c r="BF33" s="183"/>
      <c r="BG33" s="188"/>
    </row>
    <row r="34" spans="2:59" s="3" customFormat="1" x14ac:dyDescent="0.35">
      <c r="B34" s="60" t="s">
        <v>51</v>
      </c>
      <c r="C34" s="114">
        <v>1</v>
      </c>
      <c r="D34" s="47">
        <v>24.1</v>
      </c>
      <c r="E34" s="48">
        <v>24.1</v>
      </c>
      <c r="F34" s="48">
        <v>24.1</v>
      </c>
      <c r="G34" s="123">
        <v>96.4</v>
      </c>
      <c r="H34" s="49"/>
      <c r="I34" s="51">
        <v>0.9</v>
      </c>
      <c r="J34" s="20">
        <f>IF(AND(D34="",E34="",F34=""),"",DEGREES(-ACOS(IF(I34="",1,I34))))</f>
        <v>-25.841932763167126</v>
      </c>
      <c r="K34" s="100" t="str">
        <f t="shared" ref="K34:K52" si="21">IF(L34="0","",ROUND(IMABS(L34),2)&amp;"∠"&amp;ROUND(DEGREES(IMARGUMENT(L34)),2))</f>
        <v>24,1∠-25,84</v>
      </c>
      <c r="L34" s="21" t="str">
        <f>IF(AND(D34&gt;0,E34&gt;0,F34=""),COMPLEX(D34*IF(C34="",1,C34)*(COS(-ACOS(IF(I34="",1,I34))+RADIANS(30))),D34*IF(C34="",1,C34)*SIN(ACOS(COS(-ACOS(IF(I34="",1,I34))+RADIANS(30)))),"j"),IF(AND(D34&gt;0,E34="",F34&gt;0),COMPLEX(D34*IF(C34="",1,C34)*(COS(-ACOS(IF(I34="",1,I34))+RADIANS(-30))),D34*IF(C34="",1,C34)*SIN(-ACOS(COS(-ACOS(IF(I34="",1,I34))+RADIANS(-30)))),"j"),COMPLEX(D34*IF(C34="",1,C34)*IF(I34="",1,I34),D34*IF(C34="",1,C34)*SIN(-ACOS(IF(I34="",1,I34))),"j")))</f>
        <v>21,69-10,504946453933j</v>
      </c>
      <c r="M34" s="100" t="str">
        <f>IF(N34="0","",ROUND(IMABS(N34),2)&amp;"∠"&amp;ROUND(DEGREES(IMARGUMENT(N34)),2))</f>
        <v>24,1∠-25,84</v>
      </c>
      <c r="N34" s="22" t="str">
        <f>IF(AND(D34&gt;0,E34&gt;0,F34=""),COMPLEX(E34*IF(C34="",1,C34)*(COS(-ACOS(IF(I34="",1,I34))+RADIANS(-30))),E34*IF(C34="",1,C34)*SIN(-ACOS(COS(-ACOS(IF(I34="",1,I34))+RADIANS(-30)))),"j"),IF(AND(D34="",E34&gt;0,F34&gt;0),COMPLEX(E34*IF(C34="",1,C34)*(COS(-ACOS(IF(I34="",1,I34))+RADIANS(30))),E34*IF(C34="",1,C34)*SIN(ACOS(COS(-ACOS(IF(I34="",1,I34))+RADIANS(30)))),"j"),COMPLEX(E34*IF(C34="",1,C34)*IF(I34="",1,I34),E34*IF(C34="",1,C34)*SIN(-ACOS(IF(I34="",1,I34))),"j")))</f>
        <v>21,69-10,504946453933j</v>
      </c>
      <c r="O34" s="100" t="str">
        <f>IF(P34="0","",ROUND(IMABS(P34),2)&amp;"∠"&amp;ROUND(DEGREES(IMARGUMENT(P34)),2))</f>
        <v>24,1∠-25,84</v>
      </c>
      <c r="P34" s="22" t="str">
        <f>IF(AND(D34="",E34&gt;0,F34&gt;0),COMPLEX(F34*IF(C34="",1,C34)*(COS(-ACOS(IF(I34="",1,I34))+RADIANS(-30))),F34*IF(C34="",1,C34)*SIN(-ACOS(COS(-ACOS(IF(I34="",1,I34))+RADIANS(-30)))),"j"),IF(AND(D34&gt;0,E34="",F34&gt;0),COMPLEX(F34*IF(C34="",1,C34)*(COS(-ACOS(IF(I34="",1,I34))+RADIANS(30))),F34*IF(C34="",1,C34)*SIN(ACOS(COS(-ACOS(IF(I34="",1,I34))+RADIANS(30)))),"j"),COMPLEX(F34*IF(C34="",1,C34)*IF(I34="",1,I34),F34*IF(C34="",1,C34)*SIN(-ACOS(IF(I34="",1,I34))),"j")))</f>
        <v>21,69-10,504946453933j</v>
      </c>
      <c r="Q34" s="22" t="str">
        <f t="shared" ref="Q34:Q53" si="22">BF34</f>
        <v>27,79∠-130,89</v>
      </c>
      <c r="R34" s="84"/>
      <c r="S34" s="84"/>
      <c r="T34" s="84" t="str">
        <f t="shared" ref="T34:T53" si="23">BG34</f>
        <v>-18,1951009890026-21,009892907866j</v>
      </c>
      <c r="U34" s="71"/>
      <c r="V34" s="150"/>
      <c r="W34" s="113" t="s">
        <v>26</v>
      </c>
      <c r="X34" s="170"/>
      <c r="Y34" s="170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97"/>
      <c r="AL34" s="77"/>
      <c r="AM34" s="73" t="s">
        <v>25</v>
      </c>
      <c r="AN34" s="73" t="s">
        <v>27</v>
      </c>
      <c r="AO34" s="73" t="s">
        <v>31</v>
      </c>
      <c r="AP34" s="62"/>
      <c r="AZ34" s="95" t="str">
        <f>IF(BA34="0","",ROUND(IMABS(BA34),2)&amp;"∠"&amp;ROUND(DEGREES(IMARGUMENT(BA34)),2))</f>
        <v>24,1∠-25,84</v>
      </c>
      <c r="BA34" s="64" t="str">
        <f t="shared" ref="BA34:BA53" si="24">IF(AND(D34&gt;0,E34&gt;0,F34=""),COMPLEX(D34*IF(C34="",1,C34)*(COS(ACOS(IF(I34="",1,I34))+RADIANS(30))),D34*IF(C34="",1,C34)*SIN(ACOS(COS(ACOS(IF(I34="",1,I34))+RADIANS(30)))),"j"),IF(AND(D34&gt;0,E34="",F34&gt;0),COMPLEX(D34*IF(C34="",1,C34)*(COS(ACOS(IF(I34="",1,I34))+RADIANS(-30))),D34*IF(C34="",1,C34)*SIN(-ACOS(COS(ACOS(IF(I34="",1,I34))+RADIANS(-30)))),"j"),COMPLEX(D34*IF(C34="",1,C34)*IF(I34="",1,I34),D34*IF(C34="",1,C34)*SIN(-ACOS(IF(I34="",1,I34))),"j")))</f>
        <v>21,69-10,504946453933j</v>
      </c>
      <c r="BB34" s="95" t="str">
        <f>IF(BC34="0","",ROUND(IMABS(BC34),2)&amp;"∠"&amp;ROUND(DEGREES(IMARGUMENT(BC34)),2))</f>
        <v>31,23∠-129,68</v>
      </c>
      <c r="BC34" s="62" t="str">
        <f t="shared" ref="BC34:BC53" si="25">IF(AND(D34&gt;0,E34&gt;0,F34=""),COMPLEX(E34*IF(C34="",1,C34)*(COS(ACOS(IF(I34="",1,I34))+RADIANS(-30))),E34*IF(C34="",1,C34)*SIN(-ACOS(COS(ACOS(IF(I34="",1,I34))+RADIANS(-30)))),"j"),IF(AND(D34="",E34&gt;0,F34&gt;0),COMPLEX(E34*IF(C34="",1,C34)*(COS(ACOS(IF(I34="",1,I34))+RADIANS(30))),E34*IF(C34="",1,C34)*SIN(ACOS(COS(ACOS(IF(I34="",1,I34))+RADIANS(30)))),"j"),COMPLEX(E34*IF(C34="",1,C34)*(COS(-ACOS(IF(I34="",1,I34))+RADIANS(-120))),E34*IF(C34="",1,C34)*SIN(-ACOS(COS(ACOS(IF(I34="",1,I34))+RADIANS(-120)))),"j")))</f>
        <v>-19,9425504945013-24,036564235051j</v>
      </c>
      <c r="BD34" s="95" t="str">
        <f>IF(BE34="0","",ROUND(IMABS(BE34),2)&amp;"∠"&amp;ROUND(DEGREES(IMARGUMENT(BE34)),2))</f>
        <v>24,1∠145,84</v>
      </c>
      <c r="BE34" s="62" t="str">
        <f t="shared" ref="BE34:BE53" si="26">IF(AND(D34="",E34&gt;0,F34&gt;0),COMPLEX(F34*IF(C34="",1,C34)*(COS(ACOS(IF(I34="",1,I34))+RADIANS(90))),F34*IF(C34="",1,C34)*SIN(ACOS(COS(ACOS(IF(I34="",1,I34))+RADIANS(90)))),"j"),IF(AND(D34&gt;0,E34="",F34&gt;0),COMPLEX(F34*IF(C34="",1,C34)*(COS(ACOS(IF(I34="",1,I34))+RADIANS(150))),F34*IF(C34="",1,C34)*SIN(ACOS(COS(ACOS(IF(I34="",1,I34))+RADIANS(150)))),"j"),COMPLEX(F34*IF(C34="",1,C34)*(COS(ACOS(IF(I34="",1,I34))+RADIANS(120))),F34*IF(C34="",1,C34)*SIN(ACOS(COS(ACOS(IF(I34="",1,I34))+RADIANS(120)))),"j")))</f>
        <v>-19,9425504945013+13,531617781118j</v>
      </c>
      <c r="BF34" s="95" t="str">
        <f>IF(BG34="0","",ROUND(IMABS(BG34),2)&amp;"∠"&amp;ROUND(DEGREES(IMARGUMENT(BG34)),2))</f>
        <v>27,79∠-130,89</v>
      </c>
      <c r="BG34" s="65" t="str">
        <f>IMSUM(BA34,BC34,BE34)</f>
        <v>-18,1951009890026-21,009892907866j</v>
      </c>
    </row>
    <row r="35" spans="2:59" s="3" customFormat="1" x14ac:dyDescent="0.35">
      <c r="B35" s="60" t="s">
        <v>52</v>
      </c>
      <c r="C35" s="115">
        <v>1</v>
      </c>
      <c r="D35" s="49">
        <v>25.5</v>
      </c>
      <c r="E35" s="50">
        <v>25.5</v>
      </c>
      <c r="F35" s="50">
        <v>25.5</v>
      </c>
      <c r="G35" s="123">
        <v>153</v>
      </c>
      <c r="H35" s="49"/>
      <c r="I35" s="51">
        <v>0.95</v>
      </c>
      <c r="J35" s="20">
        <f t="shared" ref="J35:J52" si="27">IF(AND(D35="",E35="",F35=""),"",DEGREES(-ACOS(IF(I35="",1,I35))))</f>
        <v>-18.194872338766785</v>
      </c>
      <c r="K35" s="100" t="str">
        <f t="shared" si="21"/>
        <v>25,5∠-18,19</v>
      </c>
      <c r="L35" s="21" t="str">
        <f t="shared" ref="L35:L52" si="28">IF(AND(D35&gt;0,E35&gt;0,F35=""),COMPLEX(D35*IF(C35="",1,C35)*(COS(-ACOS(IF(I35="",1,I35))+RADIANS(30))),D35*IF(C35="",1,C35)*SIN(ACOS(COS(-ACOS(IF(I35="",1,I35))+RADIANS(30)))),"j"),IF(AND(D35&gt;0,E35="",F35&gt;0),COMPLEX(D35*IF(C35="",1,C35)*(COS(-ACOS(IF(I35="",1,I35))+RADIANS(-30))),D35*IF(C35="",1,C35)*SIN(-ACOS(COS(-ACOS(IF(I35="",1,I35))+RADIANS(-30)))),"j"),COMPLEX(D35*IF(C35="",1,C35)*IF(I35="",1,I35),D35*IF(C35="",1,C35)*SIN(-ACOS(IF(I35="",1,I35))),"j")))</f>
        <v>24,225-7,96237244795796j</v>
      </c>
      <c r="M35" s="100" t="str">
        <f t="shared" ref="M35:M52" si="29">IF(N35="0","",ROUND(IMABS(N35),2)&amp;"∠"&amp;ROUND(DEGREES(IMARGUMENT(N35)),2))</f>
        <v>25,5∠-18,19</v>
      </c>
      <c r="N35" s="22" t="str">
        <f t="shared" ref="N35:N52" si="30">IF(AND(D35&gt;0,E35&gt;0,F35=""),COMPLEX(E35*IF(C35="",1,C35)*(COS(-ACOS(IF(I35="",1,I35))+RADIANS(-30))),E35*IF(C35="",1,C35)*SIN(-ACOS(COS(-ACOS(IF(I35="",1,I35))+RADIANS(-30)))),"j"),IF(AND(D35="",E35&gt;0,F35&gt;0),COMPLEX(E35*IF(C35="",1,C35)*(COS(-ACOS(IF(I35="",1,I35))+RADIANS(30))),E35*IF(C35="",1,C35)*SIN(ACOS(COS(-ACOS(IF(I35="",1,I35))+RADIANS(30)))),"j"),COMPLEX(E35*IF(C35="",1,C35)*IF(I35="",1,I35),E35*IF(C35="",1,C35)*SIN(-ACOS(IF(I35="",1,I35))),"j")))</f>
        <v>24,225-7,96237244795796j</v>
      </c>
      <c r="O35" s="100" t="str">
        <f t="shared" ref="O35:O52" si="31">IF(P35="0","",ROUND(IMABS(P35),2)&amp;"∠"&amp;ROUND(DEGREES(IMARGUMENT(P35)),2))</f>
        <v>25,5∠-18,19</v>
      </c>
      <c r="P35" s="22" t="str">
        <f t="shared" ref="P35:P52" si="32">IF(AND(D35="",E35&gt;0,F35&gt;0),COMPLEX(F35*IF(C35="",1,C35)*(COS(-ACOS(IF(I35="",1,I35))+RADIANS(-30))),F35*IF(C35="",1,C35)*SIN(-ACOS(COS(-ACOS(IF(I35="",1,I35))+RADIANS(-30)))),"j"),IF(AND(D35&gt;0,E35="",F35&gt;0),COMPLEX(F35*IF(C35="",1,C35)*(COS(-ACOS(IF(I35="",1,I35))+RADIANS(30))),F35*IF(C35="",1,C35)*SIN(ACOS(COS(-ACOS(IF(I35="",1,I35))+RADIANS(30)))),"j"),COMPLEX(F35*IF(C35="",1,C35)*IF(I35="",1,I35),F35*IF(C35="",1,C35)*SIN(-ACOS(IF(I35="",1,I35))),"j")))</f>
        <v>24,225-7,96237244795796j</v>
      </c>
      <c r="Q35" s="22" t="str">
        <f t="shared" si="22"/>
        <v>21,07∠-130,89</v>
      </c>
      <c r="R35" s="84"/>
      <c r="S35" s="84"/>
      <c r="T35" s="84" t="str">
        <f t="shared" si="23"/>
        <v>-13,7912336286498-15,9247448959159j</v>
      </c>
      <c r="U35" s="71"/>
      <c r="V35" s="150"/>
      <c r="W35" s="78" t="s">
        <v>28</v>
      </c>
      <c r="X35" s="170">
        <v>1</v>
      </c>
      <c r="Y35" s="170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97"/>
      <c r="AL35" s="77"/>
      <c r="AM35" s="73" t="s">
        <v>21</v>
      </c>
      <c r="AN35" s="62" t="e">
        <f>ROUND((X36/IF(OR(X35=1,X35=""),1,X35))/(X33*X34),2)</f>
        <v>#DIV/0!</v>
      </c>
      <c r="AO35" s="62" t="e">
        <f>ROUND((X36/IF(OR(X35=1,X35=""),1,X35))/(X33*SQRT(3)*X34),2)</f>
        <v>#DIV/0!</v>
      </c>
      <c r="AP35" s="62">
        <f>ROUND(DEGREES(-ACOS(X34)),2)</f>
        <v>-90</v>
      </c>
      <c r="AZ35" s="95" t="str">
        <f t="shared" ref="AZ35:AZ56" si="33">IF(BA35="0","",ROUND(IMABS(BA35),2)&amp;"∠"&amp;ROUND(DEGREES(IMARGUMENT(BA35)),2))</f>
        <v>25,5∠-18,19</v>
      </c>
      <c r="BA35" s="64" t="str">
        <f t="shared" si="24"/>
        <v>24,225-7,96237244795796j</v>
      </c>
      <c r="BB35" s="95" t="str">
        <f t="shared" ref="BB35:BB56" si="34">IF(BC35="0","",ROUND(IMABS(BC35),2)&amp;"∠"&amp;ROUND(DEGREES(IMARGUMENT(BC35)),2))</f>
        <v>31,37∠-127,29</v>
      </c>
      <c r="BC35" s="62" t="str">
        <f t="shared" si="25"/>
        <v>-19,0081168143249-24,960651630657j</v>
      </c>
      <c r="BD35" s="95" t="str">
        <f t="shared" ref="BD35:BD56" si="35">IF(BE35="0","",ROUND(IMABS(BE35),2)&amp;"∠"&amp;ROUND(DEGREES(IMARGUMENT(BE35)),2))</f>
        <v>25,5∠138,19</v>
      </c>
      <c r="BE35" s="62" t="str">
        <f t="shared" si="26"/>
        <v>-19,0081168143249+16,9982791826991j</v>
      </c>
      <c r="BF35" s="95" t="str">
        <f t="shared" ref="BF35:BF56" si="36">IF(BG35="0","",ROUND(IMABS(BG35),2)&amp;"∠"&amp;ROUND(DEGREES(IMARGUMENT(BG35)),2))</f>
        <v>21,07∠-130,89</v>
      </c>
      <c r="BG35" s="65" t="str">
        <f t="shared" ref="BG35:BG41" si="37">IMSUM(BA35,BC35,BE35)</f>
        <v>-13,7912336286498-15,9247448959159j</v>
      </c>
    </row>
    <row r="36" spans="2:59" s="3" customFormat="1" x14ac:dyDescent="0.35">
      <c r="B36" s="60" t="s">
        <v>53</v>
      </c>
      <c r="C36" s="115">
        <v>1</v>
      </c>
      <c r="D36" s="49">
        <v>83.5</v>
      </c>
      <c r="E36" s="50">
        <v>83.5</v>
      </c>
      <c r="F36" s="50">
        <v>83.5</v>
      </c>
      <c r="G36" s="123">
        <v>250.5</v>
      </c>
      <c r="H36" s="49"/>
      <c r="I36" s="51">
        <v>0.89</v>
      </c>
      <c r="J36" s="20">
        <f t="shared" si="27"/>
        <v>-27.12675311727396</v>
      </c>
      <c r="K36" s="100" t="str">
        <f t="shared" si="21"/>
        <v>83,5∠-27,13</v>
      </c>
      <c r="L36" s="21" t="str">
        <f t="shared" si="28"/>
        <v>74,315-38,0727038046945j</v>
      </c>
      <c r="M36" s="100" t="str">
        <f t="shared" si="29"/>
        <v>83,5∠-27,13</v>
      </c>
      <c r="N36" s="22" t="str">
        <f t="shared" si="30"/>
        <v>74,315-38,0727038046945j</v>
      </c>
      <c r="O36" s="100" t="str">
        <f t="shared" si="31"/>
        <v>83,5∠-27,13</v>
      </c>
      <c r="P36" s="22" t="str">
        <f t="shared" si="32"/>
        <v>74,315-38,0727038046945j</v>
      </c>
      <c r="Q36" s="22" t="str">
        <f t="shared" si="22"/>
        <v>100,73∠-130,89</v>
      </c>
      <c r="R36" s="84"/>
      <c r="S36" s="84"/>
      <c r="T36" s="84" t="str">
        <f t="shared" si="23"/>
        <v>-65,9438573712518-76,145407609389j</v>
      </c>
      <c r="U36" s="71"/>
      <c r="V36" s="150"/>
      <c r="W36" s="113" t="s">
        <v>21</v>
      </c>
      <c r="X36" s="170"/>
      <c r="Y36" s="170"/>
      <c r="Z36" s="78" t="str">
        <f>IF(W36="P","W",IF(W36="Q","VAR","VA"))</f>
        <v>W</v>
      </c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97"/>
      <c r="AL36" s="77"/>
      <c r="AM36" s="73" t="s">
        <v>22</v>
      </c>
      <c r="AN36" s="62" t="e">
        <f>ROUND((X36/IF(OR(X35=1,X35=""),1,X35))/(X33*X34),2)</f>
        <v>#DIV/0!</v>
      </c>
      <c r="AO36" s="62" t="e">
        <f>ROUND((X36/IF(OR(X35=1,X35=""),1,X35))/(X33*SQRT(3)*X34),2)</f>
        <v>#DIV/0!</v>
      </c>
      <c r="AP36" s="62">
        <f>ROUND(DEGREES(-ACOS(X34)),2)</f>
        <v>-90</v>
      </c>
      <c r="AZ36" s="95" t="str">
        <f t="shared" si="33"/>
        <v>83,5∠-27,13</v>
      </c>
      <c r="BA36" s="64" t="str">
        <f t="shared" si="24"/>
        <v>74,315-38,0727038046945j</v>
      </c>
      <c r="BB36" s="95" t="str">
        <f t="shared" si="34"/>
        <v>108,96∠-130,06</v>
      </c>
      <c r="BC36" s="62" t="str">
        <f t="shared" si="25"/>
        <v>-70,1294286856259-83,3950297845878j</v>
      </c>
      <c r="BD36" s="95" t="str">
        <f t="shared" si="35"/>
        <v>83,5∠147,13</v>
      </c>
      <c r="BE36" s="62" t="str">
        <f t="shared" si="26"/>
        <v>-70,1294286856259+45,3223259798933j</v>
      </c>
      <c r="BF36" s="95" t="str">
        <f t="shared" si="36"/>
        <v>100,73∠-130,89</v>
      </c>
      <c r="BG36" s="65" t="str">
        <f t="shared" si="37"/>
        <v>-65,9438573712518-76,145407609389j</v>
      </c>
    </row>
    <row r="37" spans="2:59" s="3" customFormat="1" x14ac:dyDescent="0.35">
      <c r="B37" s="60" t="s">
        <v>54</v>
      </c>
      <c r="C37" s="115">
        <v>1</v>
      </c>
      <c r="D37" s="49">
        <v>10</v>
      </c>
      <c r="E37" s="50"/>
      <c r="F37" s="50"/>
      <c r="G37" s="123"/>
      <c r="H37" s="49"/>
      <c r="I37" s="51">
        <v>1</v>
      </c>
      <c r="J37" s="20">
        <f t="shared" si="27"/>
        <v>0</v>
      </c>
      <c r="K37" s="100" t="str">
        <f t="shared" si="21"/>
        <v>10∠0</v>
      </c>
      <c r="L37" s="21" t="str">
        <f t="shared" si="28"/>
        <v>10</v>
      </c>
      <c r="M37" s="100" t="str">
        <f t="shared" si="29"/>
        <v/>
      </c>
      <c r="N37" s="22" t="str">
        <f t="shared" si="30"/>
        <v>0</v>
      </c>
      <c r="O37" s="100" t="str">
        <f t="shared" si="31"/>
        <v/>
      </c>
      <c r="P37" s="22" t="str">
        <f t="shared" si="32"/>
        <v>0</v>
      </c>
      <c r="Q37" s="22" t="str">
        <f t="shared" si="22"/>
        <v>10∠0</v>
      </c>
      <c r="R37" s="84"/>
      <c r="S37" s="84"/>
      <c r="T37" s="84" t="str">
        <f t="shared" si="23"/>
        <v>10</v>
      </c>
      <c r="U37" s="71"/>
      <c r="V37" s="150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97"/>
      <c r="AL37" s="77"/>
      <c r="AM37" s="73" t="s">
        <v>23</v>
      </c>
      <c r="AN37" s="62">
        <f>ROUND((X36/IF(OR(X35=1,X35=""),1,X35))/(X33),2)</f>
        <v>0</v>
      </c>
      <c r="AO37" s="62">
        <f>ROUND((X36/IF(OR(X35=1,X35=""),1,X35))/(X33*SQRT(3)),2)</f>
        <v>0</v>
      </c>
      <c r="AP37" s="62">
        <f>ROUND(DEGREES(-ACOS(X34)),2)</f>
        <v>-90</v>
      </c>
      <c r="AZ37" s="95" t="str">
        <f t="shared" si="33"/>
        <v>10∠0</v>
      </c>
      <c r="BA37" s="64" t="str">
        <f t="shared" si="24"/>
        <v>10</v>
      </c>
      <c r="BB37" s="95" t="str">
        <f t="shared" si="34"/>
        <v/>
      </c>
      <c r="BC37" s="62" t="str">
        <f t="shared" si="25"/>
        <v>0</v>
      </c>
      <c r="BD37" s="95" t="str">
        <f t="shared" si="35"/>
        <v/>
      </c>
      <c r="BE37" s="62" t="str">
        <f t="shared" si="26"/>
        <v>0</v>
      </c>
      <c r="BF37" s="95" t="str">
        <f t="shared" si="36"/>
        <v>10∠0</v>
      </c>
      <c r="BG37" s="65" t="str">
        <f t="shared" si="37"/>
        <v>10</v>
      </c>
    </row>
    <row r="38" spans="2:59" s="3" customFormat="1" ht="15" thickBot="1" x14ac:dyDescent="0.4">
      <c r="B38" s="60" t="s">
        <v>55</v>
      </c>
      <c r="C38" s="115">
        <v>1</v>
      </c>
      <c r="D38" s="49"/>
      <c r="E38" s="50">
        <v>10</v>
      </c>
      <c r="F38" s="50"/>
      <c r="G38" s="123"/>
      <c r="H38" s="49"/>
      <c r="I38" s="51">
        <v>1</v>
      </c>
      <c r="J38" s="20">
        <f t="shared" si="27"/>
        <v>0</v>
      </c>
      <c r="K38" s="100" t="str">
        <f t="shared" si="21"/>
        <v/>
      </c>
      <c r="L38" s="21" t="str">
        <f t="shared" si="28"/>
        <v>0</v>
      </c>
      <c r="M38" s="100" t="str">
        <f t="shared" si="29"/>
        <v>10∠0</v>
      </c>
      <c r="N38" s="22" t="str">
        <f t="shared" si="30"/>
        <v>10</v>
      </c>
      <c r="O38" s="100" t="str">
        <f t="shared" si="31"/>
        <v/>
      </c>
      <c r="P38" s="22" t="str">
        <f t="shared" si="32"/>
        <v>0</v>
      </c>
      <c r="Q38" s="22" t="str">
        <f t="shared" si="22"/>
        <v>10∠-120</v>
      </c>
      <c r="R38" s="84"/>
      <c r="S38" s="84"/>
      <c r="T38" s="84" t="str">
        <f t="shared" si="23"/>
        <v>-5-8,66025403784439j</v>
      </c>
      <c r="U38" s="71"/>
      <c r="V38" s="156" t="s">
        <v>33</v>
      </c>
      <c r="W38" s="61"/>
      <c r="X38" s="165" t="str">
        <f>"= ("</f>
        <v>= (</v>
      </c>
      <c r="Y38" s="166" t="str">
        <f>IF(OR(X35=1,X35=""),W36,W36&amp;"₂ / η")</f>
        <v>P</v>
      </c>
      <c r="Z38" s="166"/>
      <c r="AA38" s="166"/>
      <c r="AB38" s="167" t="str">
        <f>"∠-"&amp;IF(W34=AN33,AO33,AO34)&amp;"¯¹ ϕ)"</f>
        <v>∠-cos¯¹ ϕ)</v>
      </c>
      <c r="AC38" s="167"/>
      <c r="AD38" s="165" t="s">
        <v>34</v>
      </c>
      <c r="AE38" s="174">
        <f>IF(OR(X35=1,X35=""),X36,X36&amp;" / "&amp;X35)</f>
        <v>0</v>
      </c>
      <c r="AF38" s="174"/>
      <c r="AG38" s="174"/>
      <c r="AH38" s="167" t="str">
        <f>"∠-"&amp;IF(W34=AN33,AO33,AO34)&amp;"¯¹ "&amp;X34&amp;")"</f>
        <v>∠-cos¯¹ )</v>
      </c>
      <c r="AI38" s="167"/>
      <c r="AJ38" s="165" t="s">
        <v>32</v>
      </c>
      <c r="AK38" s="172" t="e">
        <f>"("&amp;IF(W33=AM33,VLOOKUP(W36,AM35:AO37,2,FALSE),VLOOKUP(W36,AM35:AO37,3,FALSE))&amp;" ∠"&amp;AP35&amp;") A"</f>
        <v>#DIV/0!</v>
      </c>
      <c r="AL38" s="94"/>
      <c r="AM38" s="77"/>
      <c r="AN38" s="77"/>
      <c r="AO38" s="77"/>
      <c r="AP38" s="90"/>
      <c r="AZ38" s="95" t="str">
        <f t="shared" si="33"/>
        <v/>
      </c>
      <c r="BA38" s="64" t="str">
        <f t="shared" si="24"/>
        <v>0</v>
      </c>
      <c r="BB38" s="95" t="str">
        <f t="shared" si="34"/>
        <v>10∠-120</v>
      </c>
      <c r="BC38" s="62" t="str">
        <f t="shared" si="25"/>
        <v>-5-8,66025403784439j</v>
      </c>
      <c r="BD38" s="95" t="str">
        <f t="shared" si="35"/>
        <v/>
      </c>
      <c r="BE38" s="62" t="str">
        <f t="shared" si="26"/>
        <v>0</v>
      </c>
      <c r="BF38" s="95" t="str">
        <f t="shared" si="36"/>
        <v>10∠-120</v>
      </c>
      <c r="BG38" s="65" t="str">
        <f t="shared" si="37"/>
        <v>-5-8,66025403784439j</v>
      </c>
    </row>
    <row r="39" spans="2:59" s="3" customFormat="1" x14ac:dyDescent="0.35">
      <c r="B39" s="60"/>
      <c r="C39" s="115"/>
      <c r="D39" s="49"/>
      <c r="E39" s="50"/>
      <c r="F39" s="50"/>
      <c r="G39" s="123"/>
      <c r="H39" s="49"/>
      <c r="I39" s="51"/>
      <c r="J39" s="20" t="str">
        <f t="shared" si="27"/>
        <v/>
      </c>
      <c r="K39" s="100" t="str">
        <f t="shared" si="21"/>
        <v/>
      </c>
      <c r="L39" s="21" t="str">
        <f t="shared" si="28"/>
        <v>0</v>
      </c>
      <c r="M39" s="100" t="str">
        <f t="shared" si="29"/>
        <v/>
      </c>
      <c r="N39" s="22" t="str">
        <f t="shared" si="30"/>
        <v>0</v>
      </c>
      <c r="O39" s="100" t="str">
        <f t="shared" si="31"/>
        <v/>
      </c>
      <c r="P39" s="22" t="str">
        <f t="shared" si="32"/>
        <v>0</v>
      </c>
      <c r="Q39" s="22" t="str">
        <f t="shared" si="22"/>
        <v/>
      </c>
      <c r="R39" s="84"/>
      <c r="S39" s="84"/>
      <c r="T39" s="84" t="str">
        <f t="shared" si="23"/>
        <v>0</v>
      </c>
      <c r="U39" s="71"/>
      <c r="V39" s="156"/>
      <c r="W39" s="155" t="s">
        <v>43</v>
      </c>
      <c r="X39" s="165"/>
      <c r="Y39" s="171" t="str">
        <f>IF(W33=AM34,"√3 · ","")&amp;IF(W33=AM33,AM33,AM34)&amp;IF(W36=AM35," · "&amp;W34,IF(W36=AM36," · "&amp;W34,""))</f>
        <v>√3 · Un · cosϕ</v>
      </c>
      <c r="Z39" s="171"/>
      <c r="AA39" s="171"/>
      <c r="AB39" s="167"/>
      <c r="AC39" s="167"/>
      <c r="AD39" s="165"/>
      <c r="AE39" s="173" t="str">
        <f>IF(W33=AM34,"√3 · ","")&amp;X33&amp;IF(W36=AM35," · "&amp;X34,IF(W36=AM36," · "&amp;X34,""))</f>
        <v xml:space="preserve">√3 · 400 · </v>
      </c>
      <c r="AF39" s="173"/>
      <c r="AG39" s="173"/>
      <c r="AH39" s="167"/>
      <c r="AI39" s="167"/>
      <c r="AJ39" s="165"/>
      <c r="AK39" s="172"/>
      <c r="AL39" s="94"/>
      <c r="AM39" s="77"/>
      <c r="AN39" s="77"/>
      <c r="AO39" s="77"/>
      <c r="AP39" s="90"/>
      <c r="AZ39" s="95" t="str">
        <f t="shared" si="33"/>
        <v/>
      </c>
      <c r="BA39" s="64" t="str">
        <f t="shared" si="24"/>
        <v>0</v>
      </c>
      <c r="BB39" s="95" t="str">
        <f t="shared" si="34"/>
        <v/>
      </c>
      <c r="BC39" s="62" t="str">
        <f t="shared" si="25"/>
        <v>0</v>
      </c>
      <c r="BD39" s="95" t="str">
        <f t="shared" si="35"/>
        <v/>
      </c>
      <c r="BE39" s="62" t="str">
        <f t="shared" si="26"/>
        <v>0</v>
      </c>
      <c r="BF39" s="95" t="str">
        <f t="shared" si="36"/>
        <v/>
      </c>
      <c r="BG39" s="65" t="str">
        <f t="shared" si="37"/>
        <v>0</v>
      </c>
    </row>
    <row r="40" spans="2:59" s="3" customFormat="1" x14ac:dyDescent="0.35">
      <c r="B40" s="60"/>
      <c r="C40" s="115"/>
      <c r="D40" s="49"/>
      <c r="E40" s="50"/>
      <c r="F40" s="50"/>
      <c r="G40" s="123"/>
      <c r="H40" s="49"/>
      <c r="I40" s="51"/>
      <c r="J40" s="20" t="str">
        <f t="shared" si="27"/>
        <v/>
      </c>
      <c r="K40" s="100" t="str">
        <f t="shared" si="21"/>
        <v/>
      </c>
      <c r="L40" s="21" t="str">
        <f t="shared" si="28"/>
        <v>0</v>
      </c>
      <c r="M40" s="100" t="str">
        <f t="shared" si="29"/>
        <v/>
      </c>
      <c r="N40" s="22" t="str">
        <f t="shared" si="30"/>
        <v>0</v>
      </c>
      <c r="O40" s="100" t="str">
        <f t="shared" si="31"/>
        <v/>
      </c>
      <c r="P40" s="22" t="str">
        <f t="shared" si="32"/>
        <v>0</v>
      </c>
      <c r="Q40" s="22" t="str">
        <f t="shared" si="22"/>
        <v/>
      </c>
      <c r="R40" s="84"/>
      <c r="S40" s="84"/>
      <c r="T40" s="84" t="str">
        <f t="shared" si="23"/>
        <v>0</v>
      </c>
      <c r="U40" s="71"/>
      <c r="V40" s="151"/>
      <c r="W40" s="92"/>
      <c r="X40" s="98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9"/>
      <c r="AL40" s="91"/>
      <c r="AM40" s="91"/>
      <c r="AN40" s="91"/>
      <c r="AO40" s="91"/>
      <c r="AP40" s="93"/>
      <c r="AZ40" s="95" t="str">
        <f t="shared" si="33"/>
        <v/>
      </c>
      <c r="BA40" s="64" t="str">
        <f t="shared" si="24"/>
        <v>0</v>
      </c>
      <c r="BB40" s="95" t="str">
        <f t="shared" si="34"/>
        <v/>
      </c>
      <c r="BC40" s="62" t="str">
        <f t="shared" si="25"/>
        <v>0</v>
      </c>
      <c r="BD40" s="95" t="str">
        <f t="shared" si="35"/>
        <v/>
      </c>
      <c r="BE40" s="62" t="str">
        <f t="shared" si="26"/>
        <v>0</v>
      </c>
      <c r="BF40" s="95" t="str">
        <f t="shared" si="36"/>
        <v/>
      </c>
      <c r="BG40" s="65" t="str">
        <f t="shared" si="37"/>
        <v>0</v>
      </c>
    </row>
    <row r="41" spans="2:59" s="3" customFormat="1" x14ac:dyDescent="0.35">
      <c r="B41" s="60"/>
      <c r="C41" s="115"/>
      <c r="D41" s="49"/>
      <c r="E41" s="50"/>
      <c r="F41" s="50"/>
      <c r="G41" s="123"/>
      <c r="H41" s="49"/>
      <c r="I41" s="51"/>
      <c r="J41" s="20" t="str">
        <f t="shared" si="27"/>
        <v/>
      </c>
      <c r="K41" s="100" t="str">
        <f t="shared" si="21"/>
        <v/>
      </c>
      <c r="L41" s="21" t="str">
        <f t="shared" si="28"/>
        <v>0</v>
      </c>
      <c r="M41" s="100" t="str">
        <f t="shared" si="29"/>
        <v/>
      </c>
      <c r="N41" s="22" t="str">
        <f t="shared" si="30"/>
        <v>0</v>
      </c>
      <c r="O41" s="100" t="str">
        <f t="shared" si="31"/>
        <v/>
      </c>
      <c r="P41" s="22" t="str">
        <f t="shared" si="32"/>
        <v>0</v>
      </c>
      <c r="Q41" s="22" t="str">
        <f t="shared" si="22"/>
        <v/>
      </c>
      <c r="R41" s="84"/>
      <c r="S41" s="84"/>
      <c r="T41" s="84" t="str">
        <f t="shared" si="23"/>
        <v>0</v>
      </c>
      <c r="U41" s="71"/>
      <c r="V41" s="153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Z41" s="95" t="str">
        <f t="shared" si="33"/>
        <v/>
      </c>
      <c r="BA41" s="64" t="str">
        <f t="shared" si="24"/>
        <v>0</v>
      </c>
      <c r="BB41" s="95" t="str">
        <f t="shared" si="34"/>
        <v/>
      </c>
      <c r="BC41" s="62" t="str">
        <f t="shared" si="25"/>
        <v>0</v>
      </c>
      <c r="BD41" s="95" t="str">
        <f t="shared" si="35"/>
        <v/>
      </c>
      <c r="BE41" s="62" t="str">
        <f t="shared" si="26"/>
        <v>0</v>
      </c>
      <c r="BF41" s="95" t="str">
        <f t="shared" si="36"/>
        <v/>
      </c>
      <c r="BG41" s="65" t="str">
        <f t="shared" si="37"/>
        <v>0</v>
      </c>
    </row>
    <row r="42" spans="2:59" s="3" customFormat="1" x14ac:dyDescent="0.35">
      <c r="B42" s="60"/>
      <c r="C42" s="115"/>
      <c r="D42" s="49"/>
      <c r="E42" s="50"/>
      <c r="F42" s="50"/>
      <c r="G42" s="123"/>
      <c r="H42" s="49"/>
      <c r="I42" s="51"/>
      <c r="J42" s="20" t="str">
        <f t="shared" si="27"/>
        <v/>
      </c>
      <c r="K42" s="100" t="str">
        <f t="shared" si="21"/>
        <v/>
      </c>
      <c r="L42" s="21" t="str">
        <f t="shared" si="28"/>
        <v>0</v>
      </c>
      <c r="M42" s="100" t="str">
        <f t="shared" si="29"/>
        <v/>
      </c>
      <c r="N42" s="22" t="str">
        <f t="shared" si="30"/>
        <v>0</v>
      </c>
      <c r="O42" s="100" t="str">
        <f t="shared" si="31"/>
        <v/>
      </c>
      <c r="P42" s="22" t="str">
        <f t="shared" si="32"/>
        <v>0</v>
      </c>
      <c r="Q42" s="22" t="str">
        <f t="shared" si="22"/>
        <v/>
      </c>
      <c r="R42" s="84"/>
      <c r="S42" s="84"/>
      <c r="T42" s="84" t="str">
        <f t="shared" si="23"/>
        <v>0</v>
      </c>
      <c r="U42" s="71"/>
      <c r="V42" s="149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96"/>
      <c r="AL42" s="87"/>
      <c r="AM42" s="87"/>
      <c r="AN42" s="87"/>
      <c r="AO42" s="87"/>
      <c r="AP42" s="89"/>
      <c r="AZ42" s="95" t="str">
        <f t="shared" si="33"/>
        <v/>
      </c>
      <c r="BA42" s="64" t="str">
        <f t="shared" si="24"/>
        <v>0</v>
      </c>
      <c r="BB42" s="95" t="str">
        <f t="shared" si="34"/>
        <v/>
      </c>
      <c r="BC42" s="62" t="str">
        <f t="shared" si="25"/>
        <v>0</v>
      </c>
      <c r="BD42" s="95" t="str">
        <f t="shared" si="35"/>
        <v/>
      </c>
      <c r="BE42" s="62" t="str">
        <f t="shared" si="26"/>
        <v>0</v>
      </c>
      <c r="BF42" s="95" t="str">
        <f t="shared" si="36"/>
        <v/>
      </c>
      <c r="BG42" s="65" t="str">
        <f t="shared" ref="BG42:BG53" si="38">IMSUM(BA42,BC42,BE42)</f>
        <v>0</v>
      </c>
    </row>
    <row r="43" spans="2:59" s="3" customFormat="1" x14ac:dyDescent="0.35">
      <c r="B43" s="60"/>
      <c r="C43" s="115"/>
      <c r="D43" s="49"/>
      <c r="E43" s="50"/>
      <c r="F43" s="50"/>
      <c r="G43" s="123"/>
      <c r="H43" s="49"/>
      <c r="I43" s="51"/>
      <c r="J43" s="20" t="str">
        <f t="shared" si="27"/>
        <v/>
      </c>
      <c r="K43" s="100" t="str">
        <f t="shared" si="21"/>
        <v/>
      </c>
      <c r="L43" s="21" t="str">
        <f t="shared" si="28"/>
        <v>0</v>
      </c>
      <c r="M43" s="100" t="str">
        <f t="shared" si="29"/>
        <v/>
      </c>
      <c r="N43" s="22" t="str">
        <f t="shared" si="30"/>
        <v>0</v>
      </c>
      <c r="O43" s="100" t="str">
        <f t="shared" si="31"/>
        <v/>
      </c>
      <c r="P43" s="22" t="str">
        <f t="shared" si="32"/>
        <v>0</v>
      </c>
      <c r="Q43" s="22" t="str">
        <f t="shared" si="22"/>
        <v/>
      </c>
      <c r="R43" s="84"/>
      <c r="S43" s="84"/>
      <c r="T43" s="84" t="str">
        <f t="shared" si="23"/>
        <v>0</v>
      </c>
      <c r="U43" s="71"/>
      <c r="V43" s="150"/>
      <c r="W43" s="113" t="s">
        <v>25</v>
      </c>
      <c r="X43" s="170">
        <v>400</v>
      </c>
      <c r="Y43" s="170"/>
      <c r="Z43" s="78" t="s">
        <v>29</v>
      </c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97"/>
      <c r="AL43" s="77"/>
      <c r="AM43" s="73" t="s">
        <v>24</v>
      </c>
      <c r="AN43" s="73" t="s">
        <v>26</v>
      </c>
      <c r="AO43" s="73" t="s">
        <v>30</v>
      </c>
      <c r="AP43" s="62"/>
      <c r="AZ43" s="95" t="str">
        <f t="shared" si="33"/>
        <v/>
      </c>
      <c r="BA43" s="64" t="str">
        <f t="shared" si="24"/>
        <v>0</v>
      </c>
      <c r="BB43" s="95" t="str">
        <f t="shared" si="34"/>
        <v/>
      </c>
      <c r="BC43" s="62" t="str">
        <f t="shared" si="25"/>
        <v>0</v>
      </c>
      <c r="BD43" s="95" t="str">
        <f t="shared" si="35"/>
        <v/>
      </c>
      <c r="BE43" s="62" t="str">
        <f t="shared" si="26"/>
        <v>0</v>
      </c>
      <c r="BF43" s="95" t="str">
        <f t="shared" si="36"/>
        <v/>
      </c>
      <c r="BG43" s="65" t="str">
        <f t="shared" si="38"/>
        <v>0</v>
      </c>
    </row>
    <row r="44" spans="2:59" s="3" customFormat="1" x14ac:dyDescent="0.35">
      <c r="B44" s="60"/>
      <c r="C44" s="115"/>
      <c r="D44" s="49"/>
      <c r="E44" s="50"/>
      <c r="F44" s="50"/>
      <c r="G44" s="123"/>
      <c r="H44" s="49"/>
      <c r="I44" s="51"/>
      <c r="J44" s="20" t="str">
        <f t="shared" si="27"/>
        <v/>
      </c>
      <c r="K44" s="100" t="str">
        <f t="shared" si="21"/>
        <v/>
      </c>
      <c r="L44" s="21" t="str">
        <f t="shared" si="28"/>
        <v>0</v>
      </c>
      <c r="M44" s="100" t="str">
        <f t="shared" si="29"/>
        <v/>
      </c>
      <c r="N44" s="22" t="str">
        <f t="shared" si="30"/>
        <v>0</v>
      </c>
      <c r="O44" s="100" t="str">
        <f t="shared" si="31"/>
        <v/>
      </c>
      <c r="P44" s="22" t="str">
        <f t="shared" si="32"/>
        <v>0</v>
      </c>
      <c r="Q44" s="22" t="str">
        <f t="shared" si="22"/>
        <v/>
      </c>
      <c r="R44" s="84"/>
      <c r="S44" s="84"/>
      <c r="T44" s="84" t="str">
        <f t="shared" si="23"/>
        <v>0</v>
      </c>
      <c r="U44" s="71"/>
      <c r="V44" s="150"/>
      <c r="W44" s="113" t="s">
        <v>26</v>
      </c>
      <c r="X44" s="170"/>
      <c r="Y44" s="170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97"/>
      <c r="AL44" s="77"/>
      <c r="AM44" s="73" t="s">
        <v>25</v>
      </c>
      <c r="AN44" s="73" t="s">
        <v>27</v>
      </c>
      <c r="AO44" s="73" t="s">
        <v>31</v>
      </c>
      <c r="AP44" s="62"/>
      <c r="AZ44" s="95" t="str">
        <f t="shared" si="33"/>
        <v/>
      </c>
      <c r="BA44" s="64" t="str">
        <f t="shared" si="24"/>
        <v>0</v>
      </c>
      <c r="BB44" s="95" t="str">
        <f t="shared" si="34"/>
        <v/>
      </c>
      <c r="BC44" s="62" t="str">
        <f t="shared" si="25"/>
        <v>0</v>
      </c>
      <c r="BD44" s="95" t="str">
        <f t="shared" si="35"/>
        <v/>
      </c>
      <c r="BE44" s="62" t="str">
        <f t="shared" si="26"/>
        <v>0</v>
      </c>
      <c r="BF44" s="95" t="str">
        <f t="shared" si="36"/>
        <v/>
      </c>
      <c r="BG44" s="65" t="str">
        <f t="shared" si="38"/>
        <v>0</v>
      </c>
    </row>
    <row r="45" spans="2:59" s="3" customFormat="1" x14ac:dyDescent="0.35">
      <c r="B45" s="46"/>
      <c r="C45" s="115"/>
      <c r="D45" s="49"/>
      <c r="E45" s="50"/>
      <c r="F45" s="50"/>
      <c r="G45" s="124"/>
      <c r="H45" s="51"/>
      <c r="I45" s="51"/>
      <c r="J45" s="20" t="str">
        <f t="shared" si="27"/>
        <v/>
      </c>
      <c r="K45" s="100" t="str">
        <f t="shared" si="21"/>
        <v/>
      </c>
      <c r="L45" s="21" t="str">
        <f t="shared" si="28"/>
        <v>0</v>
      </c>
      <c r="M45" s="100" t="str">
        <f t="shared" si="29"/>
        <v/>
      </c>
      <c r="N45" s="22" t="str">
        <f t="shared" si="30"/>
        <v>0</v>
      </c>
      <c r="O45" s="100" t="str">
        <f t="shared" si="31"/>
        <v/>
      </c>
      <c r="P45" s="22" t="str">
        <f t="shared" si="32"/>
        <v>0</v>
      </c>
      <c r="Q45" s="22" t="str">
        <f t="shared" si="22"/>
        <v/>
      </c>
      <c r="R45" s="84"/>
      <c r="S45" s="84"/>
      <c r="T45" s="84" t="str">
        <f t="shared" si="23"/>
        <v>0</v>
      </c>
      <c r="U45" s="71"/>
      <c r="V45" s="150"/>
      <c r="W45" s="78" t="s">
        <v>28</v>
      </c>
      <c r="X45" s="170">
        <v>1</v>
      </c>
      <c r="Y45" s="170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97"/>
      <c r="AL45" s="77"/>
      <c r="AM45" s="73" t="s">
        <v>21</v>
      </c>
      <c r="AN45" s="62" t="e">
        <f>ROUND((X46/IF(OR(X45=1,X45=""),1,X45))/(X43*X44),2)</f>
        <v>#DIV/0!</v>
      </c>
      <c r="AO45" s="62" t="e">
        <f>ROUND((X46/IF(OR(X45=1,X45=""),1,X45))/(X43*SQRT(3)*X44),2)</f>
        <v>#DIV/0!</v>
      </c>
      <c r="AP45" s="62">
        <f>ROUND(DEGREES(-ACOS(X44)),2)</f>
        <v>-90</v>
      </c>
      <c r="AZ45" s="95" t="str">
        <f t="shared" si="33"/>
        <v/>
      </c>
      <c r="BA45" s="64" t="str">
        <f t="shared" si="24"/>
        <v>0</v>
      </c>
      <c r="BB45" s="95" t="str">
        <f t="shared" si="34"/>
        <v/>
      </c>
      <c r="BC45" s="62" t="str">
        <f t="shared" si="25"/>
        <v>0</v>
      </c>
      <c r="BD45" s="95" t="str">
        <f t="shared" si="35"/>
        <v/>
      </c>
      <c r="BE45" s="62" t="str">
        <f t="shared" si="26"/>
        <v>0</v>
      </c>
      <c r="BF45" s="95" t="str">
        <f t="shared" si="36"/>
        <v/>
      </c>
      <c r="BG45" s="65" t="str">
        <f t="shared" si="38"/>
        <v>0</v>
      </c>
    </row>
    <row r="46" spans="2:59" s="3" customFormat="1" x14ac:dyDescent="0.35">
      <c r="B46" s="46"/>
      <c r="C46" s="115"/>
      <c r="D46" s="49"/>
      <c r="E46" s="50"/>
      <c r="F46" s="50"/>
      <c r="G46" s="124"/>
      <c r="H46" s="51"/>
      <c r="I46" s="51"/>
      <c r="J46" s="20" t="str">
        <f t="shared" si="27"/>
        <v/>
      </c>
      <c r="K46" s="100" t="str">
        <f t="shared" si="21"/>
        <v/>
      </c>
      <c r="L46" s="21" t="str">
        <f t="shared" si="28"/>
        <v>0</v>
      </c>
      <c r="M46" s="100" t="str">
        <f t="shared" si="29"/>
        <v/>
      </c>
      <c r="N46" s="22" t="str">
        <f t="shared" si="30"/>
        <v>0</v>
      </c>
      <c r="O46" s="100" t="str">
        <f t="shared" si="31"/>
        <v/>
      </c>
      <c r="P46" s="22" t="str">
        <f t="shared" si="32"/>
        <v>0</v>
      </c>
      <c r="Q46" s="22" t="str">
        <f t="shared" si="22"/>
        <v/>
      </c>
      <c r="R46" s="84"/>
      <c r="S46" s="84"/>
      <c r="T46" s="84" t="str">
        <f t="shared" si="23"/>
        <v>0</v>
      </c>
      <c r="U46" s="71"/>
      <c r="V46" s="150"/>
      <c r="W46" s="113" t="s">
        <v>21</v>
      </c>
      <c r="X46" s="170"/>
      <c r="Y46" s="170"/>
      <c r="Z46" s="78" t="str">
        <f>IF(W46="P","W",IF(W46="Q","VAR","VA"))</f>
        <v>W</v>
      </c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97"/>
      <c r="AL46" s="77"/>
      <c r="AM46" s="73" t="s">
        <v>22</v>
      </c>
      <c r="AN46" s="62" t="e">
        <f>ROUND((X46/IF(OR(X45=1,X45=""),1,X45))/(X43*X44),2)</f>
        <v>#DIV/0!</v>
      </c>
      <c r="AO46" s="62" t="e">
        <f>ROUND((X46/IF(OR(X45=1,X45=""),1,X45))/(X43*SQRT(3)*X44),2)</f>
        <v>#DIV/0!</v>
      </c>
      <c r="AP46" s="62">
        <f>ROUND(DEGREES(-ACOS(X44)),2)</f>
        <v>-90</v>
      </c>
      <c r="AZ46" s="95" t="str">
        <f t="shared" si="33"/>
        <v/>
      </c>
      <c r="BA46" s="64" t="str">
        <f t="shared" si="24"/>
        <v>0</v>
      </c>
      <c r="BB46" s="95" t="str">
        <f t="shared" si="34"/>
        <v/>
      </c>
      <c r="BC46" s="62" t="str">
        <f t="shared" si="25"/>
        <v>0</v>
      </c>
      <c r="BD46" s="95" t="str">
        <f t="shared" si="35"/>
        <v/>
      </c>
      <c r="BE46" s="62" t="str">
        <f t="shared" si="26"/>
        <v>0</v>
      </c>
      <c r="BF46" s="95" t="str">
        <f t="shared" si="36"/>
        <v/>
      </c>
      <c r="BG46" s="65" t="str">
        <f t="shared" si="38"/>
        <v>0</v>
      </c>
    </row>
    <row r="47" spans="2:59" s="3" customFormat="1" x14ac:dyDescent="0.35">
      <c r="B47" s="46"/>
      <c r="C47" s="115"/>
      <c r="D47" s="49"/>
      <c r="E47" s="50"/>
      <c r="F47" s="50"/>
      <c r="G47" s="124"/>
      <c r="H47" s="51"/>
      <c r="I47" s="51"/>
      <c r="J47" s="20" t="str">
        <f t="shared" si="27"/>
        <v/>
      </c>
      <c r="K47" s="100" t="str">
        <f t="shared" si="21"/>
        <v/>
      </c>
      <c r="L47" s="21" t="str">
        <f t="shared" si="28"/>
        <v>0</v>
      </c>
      <c r="M47" s="100" t="str">
        <f t="shared" si="29"/>
        <v/>
      </c>
      <c r="N47" s="22" t="str">
        <f t="shared" si="30"/>
        <v>0</v>
      </c>
      <c r="O47" s="100" t="str">
        <f t="shared" si="31"/>
        <v/>
      </c>
      <c r="P47" s="22" t="str">
        <f t="shared" si="32"/>
        <v>0</v>
      </c>
      <c r="Q47" s="22" t="str">
        <f t="shared" si="22"/>
        <v/>
      </c>
      <c r="R47" s="84"/>
      <c r="S47" s="84"/>
      <c r="T47" s="84" t="str">
        <f t="shared" si="23"/>
        <v>0</v>
      </c>
      <c r="U47" s="71"/>
      <c r="V47" s="15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97"/>
      <c r="AL47" s="77"/>
      <c r="AM47" s="73" t="s">
        <v>23</v>
      </c>
      <c r="AN47" s="62">
        <f>ROUND((X46/IF(OR(X45=1,X45=""),1,X45))/(X43),2)</f>
        <v>0</v>
      </c>
      <c r="AO47" s="62">
        <f>ROUND((X46/IF(OR(X45=1,X45=""),1,X45))/(X43*SQRT(3)),2)</f>
        <v>0</v>
      </c>
      <c r="AP47" s="62">
        <f>ROUND(DEGREES(-ACOS(X44)),2)</f>
        <v>-90</v>
      </c>
      <c r="AZ47" s="95" t="str">
        <f t="shared" si="33"/>
        <v/>
      </c>
      <c r="BA47" s="64" t="str">
        <f t="shared" si="24"/>
        <v>0</v>
      </c>
      <c r="BB47" s="95" t="str">
        <f t="shared" si="34"/>
        <v/>
      </c>
      <c r="BC47" s="62" t="str">
        <f t="shared" si="25"/>
        <v>0</v>
      </c>
      <c r="BD47" s="95" t="str">
        <f t="shared" si="35"/>
        <v/>
      </c>
      <c r="BE47" s="62" t="str">
        <f t="shared" si="26"/>
        <v>0</v>
      </c>
      <c r="BF47" s="95" t="str">
        <f t="shared" si="36"/>
        <v/>
      </c>
      <c r="BG47" s="65" t="str">
        <f t="shared" si="38"/>
        <v>0</v>
      </c>
    </row>
    <row r="48" spans="2:59" s="3" customFormat="1" ht="15" thickBot="1" x14ac:dyDescent="0.4">
      <c r="B48" s="46"/>
      <c r="C48" s="115"/>
      <c r="D48" s="49"/>
      <c r="E48" s="50"/>
      <c r="F48" s="50"/>
      <c r="G48" s="124"/>
      <c r="H48" s="51"/>
      <c r="I48" s="51"/>
      <c r="J48" s="20" t="str">
        <f t="shared" si="27"/>
        <v/>
      </c>
      <c r="K48" s="100" t="str">
        <f t="shared" si="21"/>
        <v/>
      </c>
      <c r="L48" s="21" t="str">
        <f t="shared" si="28"/>
        <v>0</v>
      </c>
      <c r="M48" s="100" t="str">
        <f t="shared" si="29"/>
        <v/>
      </c>
      <c r="N48" s="22" t="str">
        <f t="shared" si="30"/>
        <v>0</v>
      </c>
      <c r="O48" s="100" t="str">
        <f t="shared" si="31"/>
        <v/>
      </c>
      <c r="P48" s="22" t="str">
        <f t="shared" si="32"/>
        <v>0</v>
      </c>
      <c r="Q48" s="22" t="str">
        <f t="shared" si="22"/>
        <v/>
      </c>
      <c r="R48" s="84"/>
      <c r="S48" s="84"/>
      <c r="T48" s="84" t="str">
        <f t="shared" si="23"/>
        <v>0</v>
      </c>
      <c r="U48" s="71"/>
      <c r="V48" s="156" t="s">
        <v>33</v>
      </c>
      <c r="W48" s="61"/>
      <c r="X48" s="165" t="str">
        <f>"= ("</f>
        <v>= (</v>
      </c>
      <c r="Y48" s="166" t="str">
        <f>IF(OR(X45=1,X45=""),W46,W46&amp;"₂ / η")</f>
        <v>P</v>
      </c>
      <c r="Z48" s="166"/>
      <c r="AA48" s="166"/>
      <c r="AB48" s="167" t="str">
        <f>"∠-"&amp;IF(W44=AN43,AO43,AO44)&amp;"¯¹ ϕ)"</f>
        <v>∠-cos¯¹ ϕ)</v>
      </c>
      <c r="AC48" s="167"/>
      <c r="AD48" s="165" t="s">
        <v>34</v>
      </c>
      <c r="AE48" s="174">
        <f>IF(OR(X45=1,X45=""),X46,X46&amp;" / "&amp;X45)</f>
        <v>0</v>
      </c>
      <c r="AF48" s="174"/>
      <c r="AG48" s="174"/>
      <c r="AH48" s="167" t="str">
        <f>"∠-"&amp;IF(W44=AN43,AO43,AO44)&amp;"¯¹ "&amp;X44&amp;")"</f>
        <v>∠-cos¯¹ )</v>
      </c>
      <c r="AI48" s="167"/>
      <c r="AJ48" s="165" t="s">
        <v>32</v>
      </c>
      <c r="AK48" s="172" t="e">
        <f>"("&amp;IF(W43=AM43,VLOOKUP(W46,AM45:AO47,2,FALSE),VLOOKUP(W46,AM45:AO47,3,FALSE))&amp;" ∠"&amp;AP45&amp;") A"</f>
        <v>#DIV/0!</v>
      </c>
      <c r="AL48" s="94"/>
      <c r="AM48" s="77"/>
      <c r="AN48" s="77"/>
      <c r="AO48" s="77"/>
      <c r="AP48" s="90"/>
      <c r="AZ48" s="95" t="str">
        <f t="shared" si="33"/>
        <v/>
      </c>
      <c r="BA48" s="64" t="str">
        <f t="shared" si="24"/>
        <v>0</v>
      </c>
      <c r="BB48" s="95" t="str">
        <f t="shared" si="34"/>
        <v/>
      </c>
      <c r="BC48" s="62" t="str">
        <f t="shared" si="25"/>
        <v>0</v>
      </c>
      <c r="BD48" s="95" t="str">
        <f t="shared" si="35"/>
        <v/>
      </c>
      <c r="BE48" s="62" t="str">
        <f t="shared" si="26"/>
        <v>0</v>
      </c>
      <c r="BF48" s="95" t="str">
        <f t="shared" si="36"/>
        <v/>
      </c>
      <c r="BG48" s="65" t="str">
        <f t="shared" si="38"/>
        <v>0</v>
      </c>
    </row>
    <row r="49" spans="2:59" s="3" customFormat="1" x14ac:dyDescent="0.35">
      <c r="B49" s="46"/>
      <c r="C49" s="115"/>
      <c r="D49" s="49"/>
      <c r="E49" s="50"/>
      <c r="F49" s="50"/>
      <c r="G49" s="123"/>
      <c r="H49" s="49"/>
      <c r="I49" s="51"/>
      <c r="J49" s="20" t="str">
        <f t="shared" si="27"/>
        <v/>
      </c>
      <c r="K49" s="100" t="str">
        <f t="shared" si="21"/>
        <v/>
      </c>
      <c r="L49" s="21" t="str">
        <f t="shared" si="28"/>
        <v>0</v>
      </c>
      <c r="M49" s="100" t="str">
        <f t="shared" si="29"/>
        <v/>
      </c>
      <c r="N49" s="22" t="str">
        <f t="shared" si="30"/>
        <v>0</v>
      </c>
      <c r="O49" s="100" t="str">
        <f t="shared" si="31"/>
        <v/>
      </c>
      <c r="P49" s="22" t="str">
        <f t="shared" si="32"/>
        <v>0</v>
      </c>
      <c r="Q49" s="22" t="str">
        <f t="shared" si="22"/>
        <v/>
      </c>
      <c r="R49" s="84"/>
      <c r="S49" s="84"/>
      <c r="T49" s="84" t="str">
        <f t="shared" si="23"/>
        <v>0</v>
      </c>
      <c r="U49" s="71"/>
      <c r="V49" s="156"/>
      <c r="W49" s="155" t="s">
        <v>43</v>
      </c>
      <c r="X49" s="165"/>
      <c r="Y49" s="171" t="str">
        <f>IF(W43=AM44,"√3 · ","")&amp;IF(W43=AM43,AM43,AM44)&amp;IF(W46=AM45," · "&amp;W44,IF(W46=AM46," · "&amp;W44,""))</f>
        <v>√3 · Un · cosϕ</v>
      </c>
      <c r="Z49" s="171"/>
      <c r="AA49" s="171"/>
      <c r="AB49" s="167"/>
      <c r="AC49" s="167"/>
      <c r="AD49" s="165"/>
      <c r="AE49" s="173" t="str">
        <f>IF(W43=AM44,"√3 · ","")&amp;X43&amp;IF(W46=AM45," · "&amp;X44,IF(W46=AM46," · "&amp;X44,""))</f>
        <v xml:space="preserve">√3 · 400 · </v>
      </c>
      <c r="AF49" s="173"/>
      <c r="AG49" s="173"/>
      <c r="AH49" s="167"/>
      <c r="AI49" s="167"/>
      <c r="AJ49" s="165"/>
      <c r="AK49" s="172"/>
      <c r="AL49" s="94"/>
      <c r="AM49" s="77"/>
      <c r="AN49" s="77"/>
      <c r="AO49" s="77"/>
      <c r="AP49" s="90"/>
      <c r="AZ49" s="95" t="str">
        <f t="shared" si="33"/>
        <v/>
      </c>
      <c r="BA49" s="64" t="str">
        <f t="shared" si="24"/>
        <v>0</v>
      </c>
      <c r="BB49" s="95" t="str">
        <f t="shared" si="34"/>
        <v/>
      </c>
      <c r="BC49" s="62" t="str">
        <f t="shared" si="25"/>
        <v>0</v>
      </c>
      <c r="BD49" s="95" t="str">
        <f t="shared" si="35"/>
        <v/>
      </c>
      <c r="BE49" s="62" t="str">
        <f t="shared" si="26"/>
        <v>0</v>
      </c>
      <c r="BF49" s="95" t="str">
        <f t="shared" si="36"/>
        <v/>
      </c>
      <c r="BG49" s="65" t="str">
        <f t="shared" si="38"/>
        <v>0</v>
      </c>
    </row>
    <row r="50" spans="2:59" s="3" customFormat="1" x14ac:dyDescent="0.35">
      <c r="B50" s="46"/>
      <c r="C50" s="115"/>
      <c r="D50" s="49"/>
      <c r="E50" s="50"/>
      <c r="F50" s="50"/>
      <c r="G50" s="123"/>
      <c r="H50" s="49"/>
      <c r="I50" s="51"/>
      <c r="J50" s="20" t="str">
        <f t="shared" si="27"/>
        <v/>
      </c>
      <c r="K50" s="100" t="str">
        <f t="shared" si="21"/>
        <v/>
      </c>
      <c r="L50" s="21" t="str">
        <f t="shared" si="28"/>
        <v>0</v>
      </c>
      <c r="M50" s="100" t="str">
        <f t="shared" si="29"/>
        <v/>
      </c>
      <c r="N50" s="22" t="str">
        <f t="shared" si="30"/>
        <v>0</v>
      </c>
      <c r="O50" s="100" t="str">
        <f t="shared" si="31"/>
        <v/>
      </c>
      <c r="P50" s="22" t="str">
        <f t="shared" si="32"/>
        <v>0</v>
      </c>
      <c r="Q50" s="22" t="str">
        <f t="shared" si="22"/>
        <v/>
      </c>
      <c r="R50" s="84"/>
      <c r="S50" s="84"/>
      <c r="T50" s="84" t="str">
        <f t="shared" si="23"/>
        <v>0</v>
      </c>
      <c r="U50" s="71"/>
      <c r="V50" s="151"/>
      <c r="W50" s="92"/>
      <c r="X50" s="98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9"/>
      <c r="AL50" s="91"/>
      <c r="AM50" s="91"/>
      <c r="AN50" s="91"/>
      <c r="AO50" s="91"/>
      <c r="AP50" s="93"/>
      <c r="AZ50" s="95" t="str">
        <f t="shared" si="33"/>
        <v/>
      </c>
      <c r="BA50" s="64" t="str">
        <f t="shared" si="24"/>
        <v>0</v>
      </c>
      <c r="BB50" s="95" t="str">
        <f t="shared" si="34"/>
        <v/>
      </c>
      <c r="BC50" s="62" t="str">
        <f t="shared" si="25"/>
        <v>0</v>
      </c>
      <c r="BD50" s="95" t="str">
        <f t="shared" si="35"/>
        <v/>
      </c>
      <c r="BE50" s="62" t="str">
        <f t="shared" si="26"/>
        <v>0</v>
      </c>
      <c r="BF50" s="95" t="str">
        <f t="shared" si="36"/>
        <v/>
      </c>
      <c r="BG50" s="65" t="str">
        <f t="shared" si="38"/>
        <v>0</v>
      </c>
    </row>
    <row r="51" spans="2:59" s="3" customFormat="1" x14ac:dyDescent="0.35">
      <c r="B51" s="46"/>
      <c r="C51" s="115"/>
      <c r="D51" s="49"/>
      <c r="E51" s="50"/>
      <c r="F51" s="50"/>
      <c r="G51" s="123"/>
      <c r="H51" s="49"/>
      <c r="I51" s="51"/>
      <c r="J51" s="20" t="str">
        <f t="shared" si="27"/>
        <v/>
      </c>
      <c r="K51" s="100" t="str">
        <f t="shared" si="21"/>
        <v/>
      </c>
      <c r="L51" s="21" t="str">
        <f t="shared" si="28"/>
        <v>0</v>
      </c>
      <c r="M51" s="100" t="str">
        <f t="shared" si="29"/>
        <v/>
      </c>
      <c r="N51" s="22" t="str">
        <f t="shared" si="30"/>
        <v>0</v>
      </c>
      <c r="O51" s="100" t="str">
        <f t="shared" si="31"/>
        <v/>
      </c>
      <c r="P51" s="22" t="str">
        <f t="shared" si="32"/>
        <v>0</v>
      </c>
      <c r="Q51" s="22" t="str">
        <f t="shared" si="22"/>
        <v/>
      </c>
      <c r="R51" s="84"/>
      <c r="S51" s="84"/>
      <c r="T51" s="84" t="str">
        <f t="shared" si="23"/>
        <v>0</v>
      </c>
      <c r="U51" s="71"/>
      <c r="V51" s="152"/>
      <c r="AZ51" s="95" t="str">
        <f t="shared" si="33"/>
        <v/>
      </c>
      <c r="BA51" s="64" t="str">
        <f t="shared" si="24"/>
        <v>0</v>
      </c>
      <c r="BB51" s="95" t="str">
        <f t="shared" si="34"/>
        <v/>
      </c>
      <c r="BC51" s="62" t="str">
        <f t="shared" si="25"/>
        <v>0</v>
      </c>
      <c r="BD51" s="95" t="str">
        <f t="shared" si="35"/>
        <v/>
      </c>
      <c r="BE51" s="62" t="str">
        <f t="shared" si="26"/>
        <v>0</v>
      </c>
      <c r="BF51" s="95" t="str">
        <f t="shared" si="36"/>
        <v/>
      </c>
      <c r="BG51" s="65" t="str">
        <f t="shared" si="38"/>
        <v>0</v>
      </c>
    </row>
    <row r="52" spans="2:59" s="3" customFormat="1" ht="15" thickBot="1" x14ac:dyDescent="0.4">
      <c r="B52" s="46"/>
      <c r="C52" s="115"/>
      <c r="D52" s="49"/>
      <c r="E52" s="50"/>
      <c r="F52" s="50"/>
      <c r="G52" s="123"/>
      <c r="H52" s="49"/>
      <c r="I52" s="51"/>
      <c r="J52" s="20" t="str">
        <f t="shared" si="27"/>
        <v/>
      </c>
      <c r="K52" s="100" t="str">
        <f t="shared" si="21"/>
        <v/>
      </c>
      <c r="L52" s="21" t="str">
        <f t="shared" si="28"/>
        <v>0</v>
      </c>
      <c r="M52" s="100" t="str">
        <f t="shared" si="29"/>
        <v/>
      </c>
      <c r="N52" s="22" t="str">
        <f t="shared" si="30"/>
        <v>0</v>
      </c>
      <c r="O52" s="100" t="str">
        <f t="shared" si="31"/>
        <v/>
      </c>
      <c r="P52" s="22" t="str">
        <f t="shared" si="32"/>
        <v>0</v>
      </c>
      <c r="Q52" s="22" t="str">
        <f t="shared" si="22"/>
        <v/>
      </c>
      <c r="R52" s="84"/>
      <c r="S52" s="84"/>
      <c r="T52" s="84" t="str">
        <f t="shared" si="23"/>
        <v>0</v>
      </c>
      <c r="U52" s="71"/>
      <c r="V52" s="152"/>
      <c r="AZ52" s="95" t="str">
        <f t="shared" si="33"/>
        <v/>
      </c>
      <c r="BA52" s="64" t="str">
        <f t="shared" si="24"/>
        <v>0</v>
      </c>
      <c r="BB52" s="95" t="str">
        <f t="shared" si="34"/>
        <v/>
      </c>
      <c r="BC52" s="62" t="str">
        <f t="shared" si="25"/>
        <v>0</v>
      </c>
      <c r="BD52" s="95" t="str">
        <f t="shared" si="35"/>
        <v/>
      </c>
      <c r="BE52" s="62" t="str">
        <f t="shared" si="26"/>
        <v>0</v>
      </c>
      <c r="BF52" s="95" t="str">
        <f t="shared" si="36"/>
        <v/>
      </c>
      <c r="BG52" s="65" t="str">
        <f t="shared" si="38"/>
        <v>0</v>
      </c>
    </row>
    <row r="53" spans="2:59" s="3" customFormat="1" ht="15" hidden="1" customHeight="1" thickBot="1" x14ac:dyDescent="0.4">
      <c r="B53" s="105" t="s">
        <v>20</v>
      </c>
      <c r="C53" s="116"/>
      <c r="D53" s="106"/>
      <c r="E53" s="107"/>
      <c r="F53" s="107"/>
      <c r="G53" s="125"/>
      <c r="H53" s="106"/>
      <c r="I53" s="108">
        <v>0</v>
      </c>
      <c r="J53" s="109" t="str">
        <f t="shared" ref="J53" si="39">IF(AND(D53="",E53="",F53=""),"",IF(AND(D53&gt;0,E53&gt;0,F53=""),ROUND(DEGREES(IMARGUMENT(L53)),2),IF(AND(D53="",E53&gt;0,F53&gt;0),ROUND(DEGREES(IMARGUMENT(N53)),2),IF(AND(D53&gt;0,E53="",F53&gt;0),ROUND(DEGREES(IMARGUMENT(P53)),2),IF(AND(E53="",F53=""),ROUND(DEGREES(IMARGUMENT(L53)),2),IF(AND(D53="",F53=""),ROUND(DEGREES(IMARGUMENT(N53)),2),IF(AND(E53="",D53=""),ROUND(DEGREES(IMARGUMENT(P53)),2),ROUND(DEGREES(IMARGUMENT(L53)),2))))))))</f>
        <v/>
      </c>
      <c r="K53" s="110" t="str">
        <f t="shared" ref="K53" si="40">IF(L53="0","",ROUND(IMABS(L53),2)&amp;"∠"&amp;ROUND(DEGREES(IMARGUMENT(L53)),2))</f>
        <v/>
      </c>
      <c r="L53" s="21" t="str">
        <f t="shared" ref="L53" si="41">IF(AND(D53&gt;0,E53&gt;0,F53=""),COMPLEX(D53*IF(C53="",1,C53)*(COS(-ACOS(IF(I53="",1,I53))+RADIANS(30))),D53*IF(C53="",1,C53)*SIN(ACOS(COS(-ACOS(IF(I53="",1,I53))+RADIANS(30)))),"j"),IF(AND(D53&gt;0,E53="",F53&gt;0),COMPLEX(D53*IF(C53="",1,C53)*(COS(-ACOS(IF(I53="",1,I53))+RADIANS(-30))),D53*IF(C53="",1,C53)*SIN(-ACOS(COS(-ACOS(IF(I53="",1,I53))+RADIANS(-30)))),"j"),COMPLEX(D53*IF(C53="",1,C53)*IF(I53="",1,I53),D53*IF(C53="",1,C53)*SIN(-ACOS(IF(I53="",1,I53))),"j")))</f>
        <v>0</v>
      </c>
      <c r="M53" s="110" t="str">
        <f t="shared" ref="M53" si="42">IF(N53="0","",ROUND(IMABS(N53),2)&amp;"∠"&amp;ROUND(DEGREES(IMARGUMENT(N53)),2))</f>
        <v/>
      </c>
      <c r="N53" s="112" t="str">
        <f>IF(AND(D53&gt;0,E53&gt;0,F53=""),COMPLEX(E53*IF(C53="",1,C53)*(COS(ACOS(IF(I53="",1,I53))+RADIANS(-30))),E53*IF(C53="",1,C53)*SIN(ACOS(COS(ACOS(IF(I53="",1,I53))+RADIANS(-30)))),"j"),IF(AND(D53="",E53&gt;0,F53&gt;0),COMPLEX(E53*IF(C53="",1,C53)*(COS(ACOS(IF(I53="",1,I53))+RADIANS(30))),E53*IF(C53="",1,C53)*SIN(ACOS(COS(ACOS(IF(I53="",1,I53))+RADIANS(30)))),"j"),COMPLEX(E53*IF(C53="",1,C53)*IF(I53="",1,I53),E53*IF(C53="",1,C53)*SIN(ACOS(IF(I53="",1,I53))),"j")))</f>
        <v>0</v>
      </c>
      <c r="O53" s="110" t="str">
        <f t="shared" ref="O53" si="43">IF(P53="0","",ROUND(IMABS(P53),2)&amp;"∠"&amp;ROUND(DEGREES(IMARGUMENT(P53)),2))</f>
        <v/>
      </c>
      <c r="P53" s="112" t="str">
        <f>IF(AND(D53="",E53&gt;0,F53&gt;0),COMPLEX(F53*IF(C53="",1,C53)*(COS(ACOS(IF(I53="",1,I53))+RADIANS(-30))),F53*IF(C53="",1,C53)*SIN(ACOS(COS(ACOS(IF(I53="",1,I53))+RADIANS(-30)))),"j"),IF(AND(D53&gt;0,E53="",F53&gt;0),COMPLEX(F53*IF(C53="",1,C53)*(COS(ACOS(IF(I53="",1,I53))+RADIANS(30))),F53*IF(C53="",1,C53)*SIN(ACOS(COS(ACOS(IF(I53="",1,I53))+RADIANS(30)))),"j"),COMPLEX(F53*IF(C53="",1,C53)*IF(I53="",1,I53),F53*IF(C53="",1,C53)*SIN(ACOS(IF(I53="",1,I53))),"j")))</f>
        <v>0</v>
      </c>
      <c r="Q53" s="22" t="str">
        <f t="shared" si="22"/>
        <v/>
      </c>
      <c r="R53" s="84"/>
      <c r="S53" s="84"/>
      <c r="T53" s="84" t="str">
        <f t="shared" si="23"/>
        <v>0</v>
      </c>
      <c r="U53" s="71"/>
      <c r="V53" s="152"/>
      <c r="AR53" s="74"/>
      <c r="AS53" s="75"/>
      <c r="AT53" s="75"/>
      <c r="AU53" s="75"/>
      <c r="AV53" s="73"/>
      <c r="AW53" s="78"/>
      <c r="AX53" s="78"/>
      <c r="AZ53" s="95" t="str">
        <f t="shared" si="33"/>
        <v/>
      </c>
      <c r="BA53" s="64" t="str">
        <f t="shared" si="24"/>
        <v>0</v>
      </c>
      <c r="BB53" s="95" t="str">
        <f t="shared" si="34"/>
        <v/>
      </c>
      <c r="BC53" s="62" t="str">
        <f t="shared" si="25"/>
        <v>0</v>
      </c>
      <c r="BD53" s="95" t="str">
        <f t="shared" si="35"/>
        <v/>
      </c>
      <c r="BE53" s="62" t="str">
        <f t="shared" si="26"/>
        <v>0</v>
      </c>
      <c r="BF53" s="95" t="str">
        <f t="shared" si="36"/>
        <v/>
      </c>
      <c r="BG53" s="65" t="str">
        <f t="shared" si="38"/>
        <v>0</v>
      </c>
    </row>
    <row r="54" spans="2:59" s="3" customFormat="1" ht="15" thickBot="1" x14ac:dyDescent="0.4">
      <c r="B54" s="25" t="s">
        <v>7</v>
      </c>
      <c r="C54" s="118"/>
      <c r="D54" s="26">
        <f>SUM(IF($C34="",1,$C34)*D34,IF($C35="",1,$C35)*D35,IF($C36="",1,$C36)*D36,IF($C37="",1,$C37)*D37,IF($C38="",1,$C38)*D38,IF($C39="",1,$C39)*D39,IF($C40="",1,$C40)*D40,IF($C41="",1,$C41)*D41,IF($C42="",1,$C42)*D42,IF($C43="",1,$C43)*D43,IF($C44="",1,$C44)*D44,IF($C45="",1,$C45)*D45,IF($C46="",1,$C46)*D46,IF($C47="",1,$C47)*D47,IF($C48="",1,$C48)*D48,IF($C49="",1,$C49)*D49,IF($C50="",1,$C50)*D50,IF($C51="",1,$C51)*D51,IF($C52="",1,$C52)*D52,IF($C53="",1,$C53)*D53)</f>
        <v>143.1</v>
      </c>
      <c r="E54" s="27">
        <f t="shared" ref="E54" si="44">SUM(IF($C34="",1,$C34)*E34,IF($C35="",1,$C35)*E35,IF($C36="",1,$C36)*E36,IF($C37="",1,$C37)*E37,IF($C38="",1,$C38)*E38,IF($C39="",1,$C39)*E39,IF($C40="",1,$C40)*E40,IF($C41="",1,$C41)*E41,IF($C42="",1,$C42)*E42,IF($C43="",1,$C43)*E43,IF($C44="",1,$C44)*E44,IF($C45="",1,$C45)*E45,IF($C46="",1,$C46)*E46,IF($C47="",1,$C47)*E47,IF($C48="",1,$C48)*E48,IF($C49="",1,$C49)*E49,IF($C50="",1,$C50)*E50,IF($C51="",1,$C51)*E51,IF($C52="",1,$C52)*E52,IF($C53="",1,$C53)*E53)</f>
        <v>143.1</v>
      </c>
      <c r="F54" s="63">
        <f t="shared" ref="F54" si="45">SUM(IF($C34="",1,$C34)*F34,IF($C35="",1,$C35)*F35,IF($C36="",1,$C36)*F36,IF($C37="",1,$C37)*F37,IF($C38="",1,$C38)*F38,IF($C39="",1,$C39)*F39,IF($C40="",1,$C40)*F40,IF($C41="",1,$C41)*F41,IF($C42="",1,$C42)*F42,IF($C43="",1,$C43)*F43,IF($C44="",1,$C44)*F44,IF($C45="",1,$C45)*F45,IF($C46="",1,$C46)*F46,IF($C47="",1,$C47)*F47,IF($C48="",1,$C48)*F48,IF($C49="",1,$C49)*F49,IF($C50="",1,$C50)*F50,IF($C51="",1,$C51)*F51,IF($C52="",1,$C52)*F52,IF($C53="",1,$C53)*F53)</f>
        <v>133.1</v>
      </c>
      <c r="G54" s="126">
        <f>SUM(G34:G52)</f>
        <v>499.9</v>
      </c>
      <c r="H54" s="126">
        <f>SUM(H34:H52)</f>
        <v>0</v>
      </c>
      <c r="I54" s="168" t="s">
        <v>18</v>
      </c>
      <c r="J54" s="169"/>
      <c r="K54" s="102" t="str">
        <f>ROUND(IMABS(L54),2)&amp;"∠"&amp;ROUND(DEGREES(IMARGUMENT(L54)),2)</f>
        <v>141,97∠-23,47</v>
      </c>
      <c r="L54" s="29" t="str">
        <f>IMSUM(L34,L35,L44,L45,L46,L47,L48,L49,L50,L51,L52,L53,L36,L37,L38,L39,L40,L41,L42,L43)</f>
        <v>130,23-56,5400227065855j</v>
      </c>
      <c r="M54" s="102" t="str">
        <f>ROUND(IMABS(N54),2)&amp;"∠"&amp;ROUND(DEGREES(IMARGUMENT(N54)),2)</f>
        <v>141,97∠-23,47</v>
      </c>
      <c r="N54" s="29" t="str">
        <f>IMSUM(N34,N35,N44,N45,N46,N47,N48,N49,N50,N51,N52,N53,N36,N37,N38,N39,N40,N41,N42,N43)</f>
        <v>130,23-56,5400227065855j</v>
      </c>
      <c r="O54" s="102" t="str">
        <f>ROUND(IMABS(P54),2)&amp;"∠"&amp;ROUND(DEGREES(IMARGUMENT(P54)),2)</f>
        <v>132,86∠-25,19</v>
      </c>
      <c r="P54" s="29" t="str">
        <f>IMSUM(P34,P35,P44,P45,P46,P47,P48,P49,P50,P51,P52,P53,P36,P37,P38,P39,P40,P41,P42,P43)</f>
        <v>120,23-56,5400227065855j</v>
      </c>
      <c r="Q54" s="28" t="str">
        <f>ROUND(IMABS(T54),2)&amp;"∠"&amp;ROUND(DEGREES(IMARGUMENT(T54)),2)</f>
        <v>153,16∠-127,36</v>
      </c>
      <c r="R54" s="120"/>
      <c r="S54" s="120"/>
      <c r="T54" s="121" t="str">
        <f>IMSUM(T34,T35,T44,T45,T46,T47,T48,T49,T50,T51,T52,T53,T36,T37,T38,T39,T40,T41,T42,T43)</f>
        <v>-92,9301919889042-121,740299451015j</v>
      </c>
      <c r="U54" s="72"/>
      <c r="V54" s="152"/>
      <c r="AR54" s="75"/>
      <c r="AS54" s="74"/>
      <c r="AT54" s="74"/>
      <c r="AU54" s="74"/>
      <c r="AV54" s="62"/>
      <c r="AW54" s="77"/>
      <c r="AX54" s="77"/>
      <c r="AZ54" s="95" t="str">
        <f t="shared" si="33"/>
        <v>141,97∠-23,47</v>
      </c>
      <c r="BA54" s="3" t="str">
        <f>IMSUM(BA34:BA53)</f>
        <v>130,23-56,5400227065855j</v>
      </c>
      <c r="BB54" s="95" t="str">
        <f t="shared" si="34"/>
        <v>181,41∠-128,97</v>
      </c>
      <c r="BC54" s="3" t="str">
        <f>IMSUM(BC34:BC53)</f>
        <v>-114,080095994452-141,05249968814j</v>
      </c>
      <c r="BD54" s="95" t="str">
        <f t="shared" si="35"/>
        <v>132,86∠145,19</v>
      </c>
      <c r="BE54" s="3" t="str">
        <f>IMSUM(BE34:BE53)</f>
        <v>-109,080095994452+75,8522229437104j</v>
      </c>
      <c r="BF54" s="95" t="str">
        <f t="shared" si="36"/>
        <v>153,16∠-127,36</v>
      </c>
      <c r="BG54" s="3" t="str">
        <f>IMSUM(BG34:BG53)</f>
        <v>-92,9301919889042-121,740299451015j</v>
      </c>
    </row>
    <row r="55" spans="2:59" s="3" customFormat="1" ht="15" thickBot="1" x14ac:dyDescent="0.4">
      <c r="B55" s="30" t="s">
        <v>8</v>
      </c>
      <c r="C55" s="59"/>
      <c r="D55" s="31">
        <f>D54*IF(C55="",1,C55)</f>
        <v>143.1</v>
      </c>
      <c r="E55" s="32">
        <f>E54*IF(C55="",1,C55)</f>
        <v>143.1</v>
      </c>
      <c r="F55" s="32">
        <f>F54*IF(C55="",1,C55)</f>
        <v>133.1</v>
      </c>
      <c r="G55" s="127"/>
      <c r="H55" s="129"/>
      <c r="I55" s="80" t="s">
        <v>17</v>
      </c>
      <c r="J55" s="81" t="s">
        <v>6</v>
      </c>
      <c r="K55" s="102" t="str">
        <f>ROUND(IMABS(L55),2)&amp;"∠"&amp;ROUND(DEGREES(IMARGUMENT(L55)),2)</f>
        <v>141,97∠-23,47</v>
      </c>
      <c r="L55" s="33" t="str">
        <f>IMPRODUCT(L54,IF(C55="",1,C55))</f>
        <v>130,23-56,5400227065855j</v>
      </c>
      <c r="M55" s="102" t="str">
        <f>ROUND(IMABS(N55),2)&amp;"∠"&amp;ROUND(DEGREES(IMARGUMENT(N55)),2)</f>
        <v>141,97∠-23,47</v>
      </c>
      <c r="N55" s="33" t="str">
        <f>IMPRODUCT(N54,IF(C55="",1,C55))</f>
        <v>130,23-56,5400227065855j</v>
      </c>
      <c r="O55" s="102" t="str">
        <f>ROUND(IMABS(P55),2)&amp;"∠"&amp;ROUND(DEGREES(IMARGUMENT(P55)),2)</f>
        <v>132,86∠-25,19</v>
      </c>
      <c r="P55" s="33" t="str">
        <f>IMPRODUCT(P54,IF(C55="",1,C55))</f>
        <v>120,23-56,5400227065855j</v>
      </c>
      <c r="Q55" s="28" t="str">
        <f>ROUND(IMABS(T55),2)&amp;"∠"&amp;ROUND(DEGREES(IMARGUMENT(T55)),2)</f>
        <v>21916,61∠-127,36</v>
      </c>
      <c r="R55" s="69"/>
      <c r="S55" s="69"/>
      <c r="T55" s="69" t="str">
        <f>IMPRODUCT(T54,IF(E55="",1,E55))</f>
        <v>-13298,3104736122-17421,0368514402j</v>
      </c>
      <c r="U55" s="71"/>
      <c r="V55" s="152"/>
      <c r="AR55" s="75" t="s">
        <v>1</v>
      </c>
      <c r="AS55" s="75" t="s">
        <v>2</v>
      </c>
      <c r="AT55" s="75" t="s">
        <v>3</v>
      </c>
      <c r="AU55" s="73" t="s">
        <v>15</v>
      </c>
      <c r="AV55" s="73" t="s">
        <v>14</v>
      </c>
      <c r="AW55" s="73" t="s">
        <v>19</v>
      </c>
      <c r="AX55" s="73" t="s">
        <v>16</v>
      </c>
      <c r="AZ55" s="95" t="str">
        <f t="shared" si="33"/>
        <v>141,97∠-23,47</v>
      </c>
      <c r="BA55" s="64" t="str">
        <f>IMPRODUCT(BA54,IF(C55="",1,C55))</f>
        <v>130,23-56,5400227065855j</v>
      </c>
      <c r="BB55" s="95" t="str">
        <f t="shared" si="34"/>
        <v>181,41∠-128,97</v>
      </c>
      <c r="BC55" s="66" t="str">
        <f>IMPRODUCT(BC54,IF(C55="",1,C55))</f>
        <v>-114,080095994452-141,05249968814j</v>
      </c>
      <c r="BD55" s="95" t="str">
        <f t="shared" si="35"/>
        <v>132,86∠145,19</v>
      </c>
      <c r="BE55" s="66" t="str">
        <f>IMPRODUCT(BE54,IF(C55="",1,C55))</f>
        <v>-109,080095994452+75,8522229437104j</v>
      </c>
      <c r="BF55" s="95" t="str">
        <f t="shared" si="36"/>
        <v>153,16∠-127,36</v>
      </c>
      <c r="BG55" s="66" t="str">
        <f>IMPRODUCT(BG54,IF(C55="",1,C55))</f>
        <v>-92,9301919889042-121,740299451015j</v>
      </c>
    </row>
    <row r="56" spans="2:59" s="3" customFormat="1" ht="15" thickBot="1" x14ac:dyDescent="0.4">
      <c r="B56" s="52" t="s">
        <v>9</v>
      </c>
      <c r="C56" s="117"/>
      <c r="D56" s="31">
        <f>D55*IF(C56="",1,C56)</f>
        <v>143.1</v>
      </c>
      <c r="E56" s="32">
        <f>E55*IF(C56="",1,C56)</f>
        <v>143.1</v>
      </c>
      <c r="F56" s="32">
        <f>F55*IF(C56="",1,C56)</f>
        <v>133.1</v>
      </c>
      <c r="G56" s="31"/>
      <c r="H56" s="130"/>
      <c r="I56" s="56">
        <f>AV56</f>
        <v>0.90490135118958437</v>
      </c>
      <c r="J56" s="57">
        <f>AU56</f>
        <v>-25.19</v>
      </c>
      <c r="K56" s="102" t="str">
        <f>ROUND(IMABS(L56),2)&amp;"∠"&amp;ROUND(DEGREES(IMARGUMENT(L56)),2)</f>
        <v>141,97∠-23,47</v>
      </c>
      <c r="L56" s="33" t="str">
        <f>IMPRODUCT(L55,IF(C56="",1,C56))</f>
        <v>130,23-56,5400227065855j</v>
      </c>
      <c r="M56" s="102" t="str">
        <f>ROUND(IMABS(N56),2)&amp;"∠"&amp;ROUND(DEGREES(IMARGUMENT(N56)),2)</f>
        <v>141,97∠-23,47</v>
      </c>
      <c r="N56" s="33" t="str">
        <f>IMPRODUCT(N55,IF(C56="",1,C56))</f>
        <v>130,23-56,5400227065855j</v>
      </c>
      <c r="O56" s="102" t="str">
        <f>ROUND(IMABS(P56),2)&amp;"∠"&amp;ROUND(DEGREES(IMARGUMENT(P56)),2)</f>
        <v>132,86∠-25,19</v>
      </c>
      <c r="P56" s="33" t="str">
        <f>IMPRODUCT(P55,IF(C56="",1,C56))</f>
        <v>120,23-56,5400227065855j</v>
      </c>
      <c r="Q56" s="67"/>
      <c r="R56" s="68"/>
      <c r="S56" s="68"/>
      <c r="T56" s="68"/>
      <c r="U56" s="71"/>
      <c r="V56" s="152"/>
      <c r="AR56" s="74">
        <f>IFERROR(ROUND(DEGREES(IMARGUMENT(L56)),2),0)</f>
        <v>-23.47</v>
      </c>
      <c r="AS56" s="74">
        <f>IFERROR(ROUND(DEGREES(IMARGUMENT(N56)),2),0)</f>
        <v>-23.47</v>
      </c>
      <c r="AT56" s="74">
        <f>IFERROR(ROUND(DEGREES(IMARGUMENT(P56)),2),0)</f>
        <v>-25.19</v>
      </c>
      <c r="AU56" s="62">
        <f>MIN(AR56:AT56)</f>
        <v>-25.19</v>
      </c>
      <c r="AV56" s="79">
        <f>COS(RADIANS(AU56))</f>
        <v>0.90490135118958437</v>
      </c>
      <c r="AW56" s="62">
        <f>MAX(AR56:AT56)</f>
        <v>-23.47</v>
      </c>
      <c r="AX56" s="62">
        <f>COS(RADIANS(AW56))</f>
        <v>0.91726873319123414</v>
      </c>
      <c r="AZ56" s="95" t="str">
        <f t="shared" si="33"/>
        <v>141,97∠-23,47</v>
      </c>
      <c r="BA56" s="64" t="str">
        <f>IMPRODUCT(BA55,IF($C$28="",1,$C$28))</f>
        <v>130,23-56,5400227065855j</v>
      </c>
      <c r="BB56" s="95" t="str">
        <f t="shared" si="34"/>
        <v>181,41∠-128,97</v>
      </c>
      <c r="BC56" s="66" t="str">
        <f>IMPRODUCT(BC55,IF($C$28="",1,$C$28))</f>
        <v>-114,080095994452-141,05249968814j</v>
      </c>
      <c r="BD56" s="95" t="str">
        <f t="shared" si="35"/>
        <v>132,86∠145,19</v>
      </c>
      <c r="BE56" s="66" t="str">
        <f>IMPRODUCT(BE55,IF($C$28="",1,$C$28))</f>
        <v>-109,080095994452+75,8522229437104j</v>
      </c>
      <c r="BF56" s="95" t="str">
        <f t="shared" si="36"/>
        <v>153,16∠-127,36</v>
      </c>
      <c r="BG56" s="66" t="str">
        <f>IMPRODUCT(BG55,IF($C$28="",1,$C$28))</f>
        <v>-92,9301919889042-121,740299451015j</v>
      </c>
    </row>
    <row r="57" spans="2:59" s="3" customFormat="1" x14ac:dyDescent="0.35">
      <c r="D57" s="2"/>
      <c r="E57" s="2"/>
      <c r="F57" s="2"/>
      <c r="G57" s="2"/>
      <c r="H57" s="2"/>
      <c r="I57" s="2"/>
      <c r="J57" s="2"/>
      <c r="K57" s="86"/>
      <c r="L57" s="34"/>
      <c r="M57" s="86"/>
      <c r="N57" s="34"/>
      <c r="O57" s="86"/>
      <c r="P57" s="34"/>
      <c r="Q57" s="4"/>
      <c r="R57" s="4"/>
      <c r="S57" s="4"/>
      <c r="T57" s="4"/>
      <c r="V57" s="152"/>
    </row>
    <row r="58" spans="2:59" s="3" customFormat="1" x14ac:dyDescent="0.35">
      <c r="B58" s="178" t="s">
        <v>36</v>
      </c>
      <c r="C58" s="178"/>
      <c r="D58" s="2"/>
      <c r="E58" s="2"/>
      <c r="F58" s="2"/>
      <c r="G58" s="2"/>
      <c r="H58" s="2"/>
      <c r="I58" s="2"/>
      <c r="J58" s="2"/>
      <c r="K58" s="86"/>
      <c r="L58" s="34"/>
      <c r="M58" s="86"/>
      <c r="N58" s="34"/>
      <c r="O58" s="86"/>
      <c r="P58" s="34"/>
      <c r="Q58" s="4"/>
      <c r="R58" s="4"/>
      <c r="S58" s="4"/>
      <c r="T58" s="4"/>
      <c r="V58" s="152"/>
    </row>
    <row r="59" spans="2:59" s="3" customFormat="1" ht="15" thickBot="1" x14ac:dyDescent="0.4">
      <c r="B59" s="179"/>
      <c r="C59" s="179"/>
      <c r="D59" s="2"/>
      <c r="E59" s="2"/>
      <c r="F59" s="2"/>
      <c r="G59" s="2"/>
      <c r="H59" s="2"/>
      <c r="I59" s="2"/>
      <c r="J59" s="2"/>
      <c r="K59" s="86"/>
      <c r="L59" s="34"/>
      <c r="M59" s="86"/>
      <c r="N59" s="34"/>
      <c r="O59" s="86"/>
      <c r="P59" s="34"/>
      <c r="Q59" s="4"/>
      <c r="R59" s="4"/>
      <c r="S59" s="4"/>
      <c r="T59" s="4"/>
      <c r="V59" s="152"/>
    </row>
    <row r="60" spans="2:59" s="3" customFormat="1" ht="14.4" customHeight="1" x14ac:dyDescent="0.35">
      <c r="B60" s="5"/>
      <c r="C60" s="6"/>
      <c r="D60" s="7"/>
      <c r="E60" s="8" t="s">
        <v>0</v>
      </c>
      <c r="F60" s="8"/>
      <c r="G60" s="157" t="s">
        <v>40</v>
      </c>
      <c r="H60" s="157" t="s">
        <v>41</v>
      </c>
      <c r="I60" s="9"/>
      <c r="J60" s="10"/>
      <c r="K60" s="159" t="s">
        <v>1</v>
      </c>
      <c r="L60" s="163"/>
      <c r="M60" s="159" t="s">
        <v>2</v>
      </c>
      <c r="N60" s="163"/>
      <c r="O60" s="159" t="s">
        <v>3</v>
      </c>
      <c r="P60" s="163"/>
      <c r="Q60" s="159" t="s">
        <v>12</v>
      </c>
      <c r="R60" s="160"/>
      <c r="S60" s="160"/>
      <c r="T60" s="160"/>
      <c r="U60" s="71"/>
      <c r="V60" s="149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96"/>
      <c r="AL60" s="87"/>
      <c r="AM60" s="87"/>
      <c r="AN60" s="87"/>
      <c r="AO60" s="87"/>
      <c r="AP60" s="89"/>
      <c r="AZ60" s="185" t="s">
        <v>1</v>
      </c>
      <c r="BA60" s="186"/>
      <c r="BB60" s="181" t="s">
        <v>2</v>
      </c>
      <c r="BC60" s="182"/>
      <c r="BD60" s="181" t="s">
        <v>3</v>
      </c>
      <c r="BE60" s="182"/>
      <c r="BF60" s="181" t="s">
        <v>11</v>
      </c>
      <c r="BG60" s="187"/>
    </row>
    <row r="61" spans="2:59" s="3" customFormat="1" ht="15" customHeight="1" thickBot="1" x14ac:dyDescent="0.5">
      <c r="B61" s="12" t="s">
        <v>4</v>
      </c>
      <c r="C61" s="53" t="s">
        <v>10</v>
      </c>
      <c r="D61" s="14" t="s">
        <v>1</v>
      </c>
      <c r="E61" s="15" t="s">
        <v>2</v>
      </c>
      <c r="F61" s="15" t="s">
        <v>3</v>
      </c>
      <c r="G61" s="158"/>
      <c r="H61" s="158"/>
      <c r="I61" s="16" t="s">
        <v>5</v>
      </c>
      <c r="J61" s="17" t="s">
        <v>6</v>
      </c>
      <c r="K61" s="161"/>
      <c r="L61" s="164"/>
      <c r="M61" s="161"/>
      <c r="N61" s="164"/>
      <c r="O61" s="161"/>
      <c r="P61" s="164"/>
      <c r="Q61" s="161"/>
      <c r="R61" s="162"/>
      <c r="S61" s="162"/>
      <c r="T61" s="162"/>
      <c r="U61" s="71"/>
      <c r="V61" s="150"/>
      <c r="W61" s="113" t="s">
        <v>25</v>
      </c>
      <c r="X61" s="170">
        <v>400</v>
      </c>
      <c r="Y61" s="170"/>
      <c r="Z61" s="78" t="s">
        <v>29</v>
      </c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97"/>
      <c r="AL61" s="77"/>
      <c r="AM61" s="73" t="s">
        <v>24</v>
      </c>
      <c r="AN61" s="73" t="s">
        <v>26</v>
      </c>
      <c r="AO61" s="73" t="s">
        <v>30</v>
      </c>
      <c r="AP61" s="62"/>
      <c r="AZ61" s="185"/>
      <c r="BA61" s="186"/>
      <c r="BB61" s="183"/>
      <c r="BC61" s="184"/>
      <c r="BD61" s="183"/>
      <c r="BE61" s="184"/>
      <c r="BF61" s="183"/>
      <c r="BG61" s="188"/>
    </row>
    <row r="62" spans="2:59" s="3" customFormat="1" x14ac:dyDescent="0.35">
      <c r="B62" s="60" t="s">
        <v>49</v>
      </c>
      <c r="C62" s="114">
        <v>1</v>
      </c>
      <c r="D62" s="47">
        <v>57.3</v>
      </c>
      <c r="E62" s="48">
        <v>57.3</v>
      </c>
      <c r="F62" s="48">
        <v>57.3</v>
      </c>
      <c r="G62" s="123"/>
      <c r="H62" s="189">
        <v>0.17</v>
      </c>
      <c r="I62" s="51">
        <v>0.98</v>
      </c>
      <c r="J62" s="20">
        <f>IF(AND(D62="",E62="",F62=""),"",DEGREES(-ACOS(IF(I62="",1,I62))))</f>
        <v>-11.47834095453358</v>
      </c>
      <c r="K62" s="100" t="str">
        <f t="shared" ref="K62:K80" si="46">IF(L62="0","",ROUND(IMABS(L62),2)&amp;"∠"&amp;ROUND(DEGREES(IMARGUMENT(L62)),2))</f>
        <v>57,3∠-11,48</v>
      </c>
      <c r="L62" s="21" t="str">
        <f>IF(AND(D62&gt;0,E62&gt;0,F62=""),COMPLEX(D62*IF(C62="",1,C62)*(COS(-ACOS(IF(I62="",1,I62))+RADIANS(30))),D62*IF(C62="",1,C62)*SIN(ACOS(COS(-ACOS(IF(I62="",1,I62))+RADIANS(30)))),"j"),IF(AND(D62&gt;0,E62="",F62&gt;0),COMPLEX(D62*IF(C62="",1,C62)*(COS(-ACOS(IF(I62="",1,I62))+RADIANS(-30))),D62*IF(C62="",1,C62)*SIN(-ACOS(COS(-ACOS(IF(I62="",1,I62))+RADIANS(-30)))),"j"),COMPLEX(D62*IF(C62="",1,C62)*IF(I62="",1,I62),D62*IF(C62="",1,C62)*SIN(-ACOS(IF(I62="",1,I62))),"j")))</f>
        <v>56,154-11,4025560292419j</v>
      </c>
      <c r="M62" s="100" t="str">
        <f>IF(N62="0","",ROUND(IMABS(N62),2)&amp;"∠"&amp;ROUND(DEGREES(IMARGUMENT(N62)),2))</f>
        <v>57,3∠-11,48</v>
      </c>
      <c r="N62" s="22" t="str">
        <f>IF(AND(D62&gt;0,E62&gt;0,F62=""),COMPLEX(E62*IF(C62="",1,C62)*(COS(-ACOS(IF(I62="",1,I62))+RADIANS(-30))),E62*IF(C62="",1,C62)*SIN(-ACOS(COS(-ACOS(IF(I62="",1,I62))+RADIANS(-30)))),"j"),IF(AND(D62="",E62&gt;0,F62&gt;0),COMPLEX(E62*IF(C62="",1,C62)*(COS(-ACOS(IF(I62="",1,I62))+RADIANS(30))),E62*IF(C62="",1,C62)*SIN(ACOS(COS(-ACOS(IF(I62="",1,I62))+RADIANS(30)))),"j"),COMPLEX(E62*IF(C62="",1,C62)*IF(I62="",1,I62),E62*IF(C62="",1,C62)*SIN(-ACOS(IF(I62="",1,I62))),"j")))</f>
        <v>56,154-11,4025560292419j</v>
      </c>
      <c r="O62" s="100" t="str">
        <f>IF(P62="0","",ROUND(IMABS(P62),2)&amp;"∠"&amp;ROUND(DEGREES(IMARGUMENT(P62)),2))</f>
        <v>57,3∠-11,48</v>
      </c>
      <c r="P62" s="22" t="str">
        <f>IF(AND(D62="",E62&gt;0,F62&gt;0),COMPLEX(F62*IF(C62="",1,C62)*(COS(-ACOS(IF(I62="",1,I62))+RADIANS(-30))),F62*IF(C62="",1,C62)*SIN(-ACOS(COS(-ACOS(IF(I62="",1,I62))+RADIANS(-30)))),"j"),IF(AND(D62&gt;0,E62="",F62&gt;0),COMPLEX(F62*IF(C62="",1,C62)*(COS(-ACOS(IF(I62="",1,I62))+RADIANS(30))),F62*IF(C62="",1,C62)*SIN(ACOS(COS(-ACOS(IF(I62="",1,I62))+RADIANS(30)))),"j"),COMPLEX(F62*IF(C62="",1,C62)*IF(I62="",1,I62),F62*IF(C62="",1,C62)*SIN(-ACOS(IF(I62="",1,I62))),"j")))</f>
        <v>56,154-11,4025560292419j</v>
      </c>
      <c r="Q62" s="22" t="str">
        <f t="shared" ref="Q62:Q81" si="47">BF62</f>
        <v>30,17∠-130,89</v>
      </c>
      <c r="R62" s="84"/>
      <c r="S62" s="84"/>
      <c r="T62" s="84" t="str">
        <f t="shared" ref="T62:T81" si="48">BG62</f>
        <v>-19,7498063787978-22,8051120584838j</v>
      </c>
      <c r="U62" s="71"/>
      <c r="V62" s="150"/>
      <c r="W62" s="113" t="s">
        <v>26</v>
      </c>
      <c r="X62" s="170"/>
      <c r="Y62" s="170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97"/>
      <c r="AL62" s="77"/>
      <c r="AM62" s="73" t="s">
        <v>25</v>
      </c>
      <c r="AN62" s="73" t="s">
        <v>27</v>
      </c>
      <c r="AO62" s="73" t="s">
        <v>31</v>
      </c>
      <c r="AP62" s="62"/>
      <c r="AZ62" s="95" t="str">
        <f>IF(BA62="0","",ROUND(IMABS(BA62),2)&amp;"∠"&amp;ROUND(DEGREES(IMARGUMENT(BA62)),2))</f>
        <v>57,3∠-11,48</v>
      </c>
      <c r="BA62" s="64" t="str">
        <f t="shared" ref="BA62:BA81" si="49">IF(AND(D62&gt;0,E62&gt;0,F62=""),COMPLEX(D62*IF(C62="",1,C62)*(COS(ACOS(IF(I62="",1,I62))+RADIANS(30))),D62*IF(C62="",1,C62)*SIN(ACOS(COS(ACOS(IF(I62="",1,I62))+RADIANS(30)))),"j"),IF(AND(D62&gt;0,E62="",F62&gt;0),COMPLEX(D62*IF(C62="",1,C62)*(COS(ACOS(IF(I62="",1,I62))+RADIANS(-30))),D62*IF(C62="",1,C62)*SIN(-ACOS(COS(ACOS(IF(I62="",1,I62))+RADIANS(-30)))),"j"),COMPLEX(D62*IF(C62="",1,C62)*IF(I62="",1,I62),D62*IF(C62="",1,C62)*SIN(-ACOS(IF(I62="",1,I62))),"j")))</f>
        <v>56,154-11,4025560292419j</v>
      </c>
      <c r="BB62" s="95" t="str">
        <f>IF(BC62="0","",ROUND(IMABS(BC62),2)&amp;"∠"&amp;ROUND(DEGREES(IMARGUMENT(BC62)),2))</f>
        <v>66,27∠-124,93</v>
      </c>
      <c r="BC62" s="62" t="str">
        <f t="shared" ref="BC62:BC81" si="50">IF(AND(D62&gt;0,E62&gt;0,F62=""),COMPLEX(E62*IF(C62="",1,C62)*(COS(ACOS(IF(I62="",1,I62))+RADIANS(-30))),E62*IF(C62="",1,C62)*SIN(-ACOS(COS(ACOS(IF(I62="",1,I62))+RADIANS(-30)))),"j"),IF(AND(D62="",E62&gt;0,F62&gt;0),COMPLEX(E62*IF(C62="",1,C62)*(COS(ACOS(IF(I62="",1,I62))+RADIANS(30))),E62*IF(C62="",1,C62)*SIN(ACOS(COS(ACOS(IF(I62="",1,I62))+RADIANS(30)))),"j"),COMPLEX(E62*IF(C62="",1,C62)*(COS(-ACOS(IF(I62="",1,I62))+RADIANS(-120))),E62*IF(C62="",1,C62)*SIN(-ACOS(COS(ACOS(IF(I62="",1,I62))+RADIANS(-120)))),"j")))</f>
        <v>-37,9519031893989-54,3320685387323j</v>
      </c>
      <c r="BD62" s="95" t="str">
        <f>IF(BE62="0","",ROUND(IMABS(BE62),2)&amp;"∠"&amp;ROUND(DEGREES(IMARGUMENT(BE62)),2))</f>
        <v>57,3∠131,48</v>
      </c>
      <c r="BE62" s="62" t="str">
        <f t="shared" ref="BE62:BE81" si="51">IF(AND(D62="",E62&gt;0,F62&gt;0),COMPLEX(F62*IF(C62="",1,C62)*(COS(ACOS(IF(I62="",1,I62))+RADIANS(90))),F62*IF(C62="",1,C62)*SIN(ACOS(COS(ACOS(IF(I62="",1,I62))+RADIANS(90)))),"j"),IF(AND(D62&gt;0,E62="",F62&gt;0),COMPLEX(F62*IF(C62="",1,C62)*(COS(ACOS(IF(I62="",1,I62))+RADIANS(150))),F62*IF(C62="",1,C62)*SIN(ACOS(COS(ACOS(IF(I62="",1,I62))+RADIANS(150)))),"j"),COMPLEX(F62*IF(C62="",1,C62)*(COS(ACOS(IF(I62="",1,I62))+RADIANS(120))),F62*IF(C62="",1,C62)*SIN(ACOS(COS(ACOS(IF(I62="",1,I62))+RADIANS(120)))),"j")))</f>
        <v>-37,9519031893989+42,9295125094904j</v>
      </c>
      <c r="BF62" s="95" t="str">
        <f>IF(BG62="0","",ROUND(IMABS(BG62),2)&amp;"∠"&amp;ROUND(DEGREES(IMARGUMENT(BG62)),2))</f>
        <v>30,17∠-130,89</v>
      </c>
      <c r="BG62" s="65" t="str">
        <f>IMSUM(BA62,BC62,BE62)</f>
        <v>-19,7498063787978-22,8051120584838j</v>
      </c>
    </row>
    <row r="63" spans="2:59" s="3" customFormat="1" x14ac:dyDescent="0.35">
      <c r="B63" s="46" t="s">
        <v>50</v>
      </c>
      <c r="C63" s="115">
        <v>1</v>
      </c>
      <c r="D63" s="49">
        <v>158.80000000000001</v>
      </c>
      <c r="E63" s="50">
        <v>158.80000000000001</v>
      </c>
      <c r="F63" s="50">
        <v>158.80000000000001</v>
      </c>
      <c r="G63" s="123"/>
      <c r="H63" s="49">
        <v>0</v>
      </c>
      <c r="I63" s="51">
        <v>0.95</v>
      </c>
      <c r="J63" s="20">
        <f t="shared" ref="J63:J80" si="52">IF(AND(D63="",E63="",F63=""),"",DEGREES(-ACOS(IF(I63="",1,I63))))</f>
        <v>-18.194872338766785</v>
      </c>
      <c r="K63" s="100" t="str">
        <f t="shared" si="46"/>
        <v>158,8∠-18,19</v>
      </c>
      <c r="L63" s="21" t="str">
        <f t="shared" ref="L63:L80" si="53">IF(AND(D63&gt;0,E63&gt;0,F63=""),COMPLEX(D63*IF(C63="",1,C63)*(COS(-ACOS(IF(I63="",1,I63))+RADIANS(30))),D63*IF(C63="",1,C63)*SIN(ACOS(COS(-ACOS(IF(I63="",1,I63))+RADIANS(30)))),"j"),IF(AND(D63&gt;0,E63="",F63&gt;0),COMPLEX(D63*IF(C63="",1,C63)*(COS(-ACOS(IF(I63="",1,I63))+RADIANS(-30))),D63*IF(C63="",1,C63)*SIN(-ACOS(COS(-ACOS(IF(I63="",1,I63))+RADIANS(-30)))),"j"),COMPLEX(D63*IF(C63="",1,C63)*IF(I63="",1,I63),D63*IF(C63="",1,C63)*SIN(-ACOS(IF(I63="",1,I63))),"j")))</f>
        <v>150,86-49,5852841072833j</v>
      </c>
      <c r="M63" s="100" t="str">
        <f t="shared" ref="M63:M80" si="54">IF(N63="0","",ROUND(IMABS(N63),2)&amp;"∠"&amp;ROUND(DEGREES(IMARGUMENT(N63)),2))</f>
        <v>158,8∠-18,19</v>
      </c>
      <c r="N63" s="22" t="str">
        <f t="shared" ref="N63:N80" si="55">IF(AND(D63&gt;0,E63&gt;0,F63=""),COMPLEX(E63*IF(C63="",1,C63)*(COS(-ACOS(IF(I63="",1,I63))+RADIANS(-30))),E63*IF(C63="",1,C63)*SIN(-ACOS(COS(-ACOS(IF(I63="",1,I63))+RADIANS(-30)))),"j"),IF(AND(D63="",E63&gt;0,F63&gt;0),COMPLEX(E63*IF(C63="",1,C63)*(COS(-ACOS(IF(I63="",1,I63))+RADIANS(30))),E63*IF(C63="",1,C63)*SIN(ACOS(COS(-ACOS(IF(I63="",1,I63))+RADIANS(30)))),"j"),COMPLEX(E63*IF(C63="",1,C63)*IF(I63="",1,I63),E63*IF(C63="",1,C63)*SIN(-ACOS(IF(I63="",1,I63))),"j")))</f>
        <v>150,86-49,5852841072833j</v>
      </c>
      <c r="O63" s="100" t="str">
        <f t="shared" ref="O63:O80" si="56">IF(P63="0","",ROUND(IMABS(P63),2)&amp;"∠"&amp;ROUND(DEGREES(IMARGUMENT(P63)),2))</f>
        <v>158,8∠-18,19</v>
      </c>
      <c r="P63" s="22" t="str">
        <f t="shared" ref="P63:P80" si="57">IF(AND(D63="",E63&gt;0,F63&gt;0),COMPLEX(F63*IF(C63="",1,C63)*(COS(-ACOS(IF(I63="",1,I63))+RADIANS(-30))),F63*IF(C63="",1,C63)*SIN(-ACOS(COS(-ACOS(IF(I63="",1,I63))+RADIANS(-30)))),"j"),IF(AND(D63&gt;0,E63="",F63&gt;0),COMPLEX(F63*IF(C63="",1,C63)*(COS(-ACOS(IF(I63="",1,I63))+RADIANS(30))),F63*IF(C63="",1,C63)*SIN(ACOS(COS(-ACOS(IF(I63="",1,I63))+RADIANS(30)))),"j"),COMPLEX(F63*IF(C63="",1,C63)*IF(I63="",1,I63),F63*IF(C63="",1,C63)*SIN(-ACOS(IF(I63="",1,I63))),"j")))</f>
        <v>150,86-49,5852841072833j</v>
      </c>
      <c r="Q63" s="22" t="str">
        <f t="shared" si="47"/>
        <v>131,19∠-130,89</v>
      </c>
      <c r="R63" s="84"/>
      <c r="S63" s="84"/>
      <c r="T63" s="84" t="str">
        <f t="shared" si="48"/>
        <v>-85,884231381552-99,1705682145663j</v>
      </c>
      <c r="U63" s="71"/>
      <c r="V63" s="150"/>
      <c r="W63" s="78" t="s">
        <v>28</v>
      </c>
      <c r="X63" s="170"/>
      <c r="Y63" s="170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97"/>
      <c r="AL63" s="77"/>
      <c r="AM63" s="73" t="s">
        <v>21</v>
      </c>
      <c r="AN63" s="62" t="e">
        <f>ROUND((X64/IF(OR(X63=1,X63=""),1,X63))/(X61*X62),2)</f>
        <v>#DIV/0!</v>
      </c>
      <c r="AO63" s="62" t="e">
        <f>ROUND((X64/IF(OR(X63=1,X63=""),1,X63))/(X61*SQRT(3)*X62),2)</f>
        <v>#DIV/0!</v>
      </c>
      <c r="AP63" s="62">
        <f>ROUND(DEGREES(-ACOS(X62)),2)</f>
        <v>-90</v>
      </c>
      <c r="AZ63" s="95" t="str">
        <f t="shared" ref="AZ63:AZ84" si="58">IF(BA63="0","",ROUND(IMABS(BA63),2)&amp;"∠"&amp;ROUND(DEGREES(IMARGUMENT(BA63)),2))</f>
        <v>158,8∠-18,19</v>
      </c>
      <c r="BA63" s="64" t="str">
        <f t="shared" si="49"/>
        <v>150,86-49,5852841072833j</v>
      </c>
      <c r="BB63" s="95" t="str">
        <f t="shared" ref="BB63:BB84" si="59">IF(BC63="0","",ROUND(IMABS(BC63),2)&amp;"∠"&amp;ROUND(DEGREES(IMARGUMENT(BC63)),2))</f>
        <v>195,38∠-127,29</v>
      </c>
      <c r="BC63" s="62" t="str">
        <f t="shared" si="50"/>
        <v>-118,372115690776-155,441234468562j</v>
      </c>
      <c r="BD63" s="95" t="str">
        <f t="shared" ref="BD63:BD84" si="60">IF(BE63="0","",ROUND(IMABS(BE63),2)&amp;"∠"&amp;ROUND(DEGREES(IMARGUMENT(BE63)),2))</f>
        <v>158,8∠138,19</v>
      </c>
      <c r="BE63" s="62" t="str">
        <f t="shared" si="51"/>
        <v>-118,372115690776+105,855950361279j</v>
      </c>
      <c r="BF63" s="95" t="str">
        <f t="shared" ref="BF63:BF84" si="61">IF(BG63="0","",ROUND(IMABS(BG63),2)&amp;"∠"&amp;ROUND(DEGREES(IMARGUMENT(BG63)),2))</f>
        <v>131,19∠-130,89</v>
      </c>
      <c r="BG63" s="65" t="str">
        <f t="shared" ref="BG63:BG69" si="62">IMSUM(BA63,BC63,BE63)</f>
        <v>-85,884231381552-99,1705682145663j</v>
      </c>
    </row>
    <row r="64" spans="2:59" s="3" customFormat="1" x14ac:dyDescent="0.35">
      <c r="B64" s="46"/>
      <c r="C64" s="115"/>
      <c r="D64" s="49"/>
      <c r="E64" s="50"/>
      <c r="F64" s="50"/>
      <c r="G64" s="123"/>
      <c r="H64" s="49"/>
      <c r="I64" s="51"/>
      <c r="J64" s="20" t="str">
        <f t="shared" si="52"/>
        <v/>
      </c>
      <c r="K64" s="100" t="str">
        <f t="shared" si="46"/>
        <v/>
      </c>
      <c r="L64" s="21" t="str">
        <f t="shared" si="53"/>
        <v>0</v>
      </c>
      <c r="M64" s="100" t="str">
        <f t="shared" si="54"/>
        <v/>
      </c>
      <c r="N64" s="22" t="str">
        <f t="shared" si="55"/>
        <v>0</v>
      </c>
      <c r="O64" s="100" t="str">
        <f t="shared" si="56"/>
        <v/>
      </c>
      <c r="P64" s="22" t="str">
        <f t="shared" si="57"/>
        <v>0</v>
      </c>
      <c r="Q64" s="22" t="str">
        <f t="shared" si="47"/>
        <v/>
      </c>
      <c r="R64" s="84"/>
      <c r="S64" s="84"/>
      <c r="T64" s="84" t="str">
        <f t="shared" si="48"/>
        <v>0</v>
      </c>
      <c r="U64" s="71"/>
      <c r="V64" s="150"/>
      <c r="W64" s="113" t="s">
        <v>21</v>
      </c>
      <c r="X64" s="170">
        <v>88</v>
      </c>
      <c r="Y64" s="170"/>
      <c r="Z64" s="78" t="str">
        <f>IF(W64="P","W",IF(W64="Q","VAR","VA"))</f>
        <v>W</v>
      </c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97"/>
      <c r="AL64" s="77"/>
      <c r="AM64" s="73" t="s">
        <v>22</v>
      </c>
      <c r="AN64" s="62" t="e">
        <f>ROUND((X64/IF(OR(X63=1,X63=""),1,X63))/(X61*X62),2)</f>
        <v>#DIV/0!</v>
      </c>
      <c r="AO64" s="62" t="e">
        <f>ROUND((X64/IF(OR(X63=1,X63=""),1,X63))/(X61*SQRT(3)*X62),2)</f>
        <v>#DIV/0!</v>
      </c>
      <c r="AP64" s="62">
        <f>ROUND(DEGREES(-ACOS(X62)),2)</f>
        <v>-90</v>
      </c>
      <c r="AZ64" s="95" t="str">
        <f t="shared" si="58"/>
        <v/>
      </c>
      <c r="BA64" s="64" t="str">
        <f t="shared" si="49"/>
        <v>0</v>
      </c>
      <c r="BB64" s="95" t="str">
        <f t="shared" si="59"/>
        <v/>
      </c>
      <c r="BC64" s="62" t="str">
        <f t="shared" si="50"/>
        <v>0</v>
      </c>
      <c r="BD64" s="95" t="str">
        <f t="shared" si="60"/>
        <v/>
      </c>
      <c r="BE64" s="62" t="str">
        <f t="shared" si="51"/>
        <v>0</v>
      </c>
      <c r="BF64" s="95" t="str">
        <f t="shared" si="61"/>
        <v/>
      </c>
      <c r="BG64" s="65" t="str">
        <f t="shared" si="62"/>
        <v>0</v>
      </c>
    </row>
    <row r="65" spans="2:59" s="3" customFormat="1" x14ac:dyDescent="0.35">
      <c r="B65" s="46"/>
      <c r="C65" s="115"/>
      <c r="D65" s="49"/>
      <c r="E65" s="50"/>
      <c r="F65" s="50"/>
      <c r="G65" s="123"/>
      <c r="H65" s="49"/>
      <c r="I65" s="51"/>
      <c r="J65" s="20" t="str">
        <f t="shared" si="52"/>
        <v/>
      </c>
      <c r="K65" s="100" t="str">
        <f t="shared" si="46"/>
        <v/>
      </c>
      <c r="L65" s="21" t="str">
        <f t="shared" si="53"/>
        <v>0</v>
      </c>
      <c r="M65" s="100" t="str">
        <f t="shared" si="54"/>
        <v/>
      </c>
      <c r="N65" s="22" t="str">
        <f t="shared" si="55"/>
        <v>0</v>
      </c>
      <c r="O65" s="100" t="str">
        <f t="shared" si="56"/>
        <v/>
      </c>
      <c r="P65" s="22" t="str">
        <f t="shared" si="57"/>
        <v>0</v>
      </c>
      <c r="Q65" s="22" t="str">
        <f t="shared" si="47"/>
        <v/>
      </c>
      <c r="R65" s="84"/>
      <c r="S65" s="84"/>
      <c r="T65" s="84" t="str">
        <f t="shared" si="48"/>
        <v>0</v>
      </c>
      <c r="U65" s="71"/>
      <c r="V65" s="15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97"/>
      <c r="AL65" s="77"/>
      <c r="AM65" s="73" t="s">
        <v>23</v>
      </c>
      <c r="AN65" s="62">
        <f>ROUND((X64/IF(OR(X63=1,X63=""),1,X63))/(X61),2)</f>
        <v>0.22</v>
      </c>
      <c r="AO65" s="62">
        <f>ROUND((X64/IF(OR(X63=1,X63=""),1,X63))/(X61*SQRT(3)),2)</f>
        <v>0.13</v>
      </c>
      <c r="AP65" s="62">
        <f>ROUND(DEGREES(-ACOS(X62)),2)</f>
        <v>-90</v>
      </c>
      <c r="AZ65" s="95" t="str">
        <f t="shared" si="58"/>
        <v/>
      </c>
      <c r="BA65" s="64" t="str">
        <f t="shared" si="49"/>
        <v>0</v>
      </c>
      <c r="BB65" s="95" t="str">
        <f t="shared" si="59"/>
        <v/>
      </c>
      <c r="BC65" s="62" t="str">
        <f t="shared" si="50"/>
        <v>0</v>
      </c>
      <c r="BD65" s="95" t="str">
        <f t="shared" si="60"/>
        <v/>
      </c>
      <c r="BE65" s="62" t="str">
        <f t="shared" si="51"/>
        <v>0</v>
      </c>
      <c r="BF65" s="95" t="str">
        <f t="shared" si="61"/>
        <v/>
      </c>
      <c r="BG65" s="65" t="str">
        <f t="shared" si="62"/>
        <v>0</v>
      </c>
    </row>
    <row r="66" spans="2:59" s="3" customFormat="1" ht="15" thickBot="1" x14ac:dyDescent="0.4">
      <c r="B66" s="46"/>
      <c r="C66" s="115"/>
      <c r="D66" s="49"/>
      <c r="E66" s="50"/>
      <c r="F66" s="50"/>
      <c r="G66" s="123"/>
      <c r="H66" s="49"/>
      <c r="I66" s="51"/>
      <c r="J66" s="20" t="str">
        <f t="shared" si="52"/>
        <v/>
      </c>
      <c r="K66" s="100" t="str">
        <f t="shared" si="46"/>
        <v/>
      </c>
      <c r="L66" s="21" t="str">
        <f t="shared" si="53"/>
        <v>0</v>
      </c>
      <c r="M66" s="100" t="str">
        <f t="shared" si="54"/>
        <v/>
      </c>
      <c r="N66" s="22" t="str">
        <f t="shared" si="55"/>
        <v>0</v>
      </c>
      <c r="O66" s="100" t="str">
        <f t="shared" si="56"/>
        <v/>
      </c>
      <c r="P66" s="22" t="str">
        <f t="shared" si="57"/>
        <v>0</v>
      </c>
      <c r="Q66" s="22" t="str">
        <f t="shared" si="47"/>
        <v/>
      </c>
      <c r="R66" s="84"/>
      <c r="S66" s="84"/>
      <c r="T66" s="84" t="str">
        <f t="shared" si="48"/>
        <v>0</v>
      </c>
      <c r="U66" s="71"/>
      <c r="V66" s="156" t="s">
        <v>33</v>
      </c>
      <c r="W66" s="61"/>
      <c r="X66" s="165" t="str">
        <f>"= ("</f>
        <v>= (</v>
      </c>
      <c r="Y66" s="166" t="str">
        <f>IF(OR(X63=1,X63=""),W64,W64&amp;"₂ / η")</f>
        <v>P</v>
      </c>
      <c r="Z66" s="166"/>
      <c r="AA66" s="166"/>
      <c r="AB66" s="167" t="str">
        <f>"∠-"&amp;IF(W62=AN61,AO61,AO62)&amp;"¯¹ ϕ)"</f>
        <v>∠-cos¯¹ ϕ)</v>
      </c>
      <c r="AC66" s="167"/>
      <c r="AD66" s="165" t="s">
        <v>34</v>
      </c>
      <c r="AE66" s="174">
        <f>IF(OR(X63=1,X63=""),X64,X64&amp;" / "&amp;X63)</f>
        <v>88</v>
      </c>
      <c r="AF66" s="174"/>
      <c r="AG66" s="174"/>
      <c r="AH66" s="167" t="str">
        <f>"∠-"&amp;IF(W62=AN61,AO61,AO62)&amp;"¯¹ "&amp;X62&amp;")"</f>
        <v>∠-cos¯¹ )</v>
      </c>
      <c r="AI66" s="167"/>
      <c r="AJ66" s="165" t="s">
        <v>32</v>
      </c>
      <c r="AK66" s="172" t="e">
        <f>"("&amp;IF(W61=AM61,VLOOKUP(W64,AM63:AO65,2,FALSE),VLOOKUP(W64,AM63:AO65,3,FALSE))&amp;" ∠"&amp;AP63&amp;") A"</f>
        <v>#DIV/0!</v>
      </c>
      <c r="AL66" s="94"/>
      <c r="AM66" s="77"/>
      <c r="AN66" s="77"/>
      <c r="AO66" s="77"/>
      <c r="AP66" s="90"/>
      <c r="AZ66" s="95" t="str">
        <f t="shared" si="58"/>
        <v/>
      </c>
      <c r="BA66" s="64" t="str">
        <f t="shared" si="49"/>
        <v>0</v>
      </c>
      <c r="BB66" s="95" t="str">
        <f t="shared" si="59"/>
        <v/>
      </c>
      <c r="BC66" s="62" t="str">
        <f t="shared" si="50"/>
        <v>0</v>
      </c>
      <c r="BD66" s="95" t="str">
        <f t="shared" si="60"/>
        <v/>
      </c>
      <c r="BE66" s="62" t="str">
        <f t="shared" si="51"/>
        <v>0</v>
      </c>
      <c r="BF66" s="95" t="str">
        <f t="shared" si="61"/>
        <v/>
      </c>
      <c r="BG66" s="65" t="str">
        <f t="shared" si="62"/>
        <v>0</v>
      </c>
    </row>
    <row r="67" spans="2:59" s="3" customFormat="1" x14ac:dyDescent="0.35">
      <c r="B67" s="46"/>
      <c r="C67" s="115"/>
      <c r="D67" s="49"/>
      <c r="E67" s="50"/>
      <c r="F67" s="50"/>
      <c r="G67" s="123"/>
      <c r="H67" s="49"/>
      <c r="I67" s="51"/>
      <c r="J67" s="20" t="str">
        <f t="shared" si="52"/>
        <v/>
      </c>
      <c r="K67" s="100" t="str">
        <f t="shared" si="46"/>
        <v/>
      </c>
      <c r="L67" s="21" t="str">
        <f t="shared" si="53"/>
        <v>0</v>
      </c>
      <c r="M67" s="100" t="str">
        <f t="shared" si="54"/>
        <v/>
      </c>
      <c r="N67" s="22" t="str">
        <f t="shared" si="55"/>
        <v>0</v>
      </c>
      <c r="O67" s="100" t="str">
        <f t="shared" si="56"/>
        <v/>
      </c>
      <c r="P67" s="22" t="str">
        <f t="shared" si="57"/>
        <v>0</v>
      </c>
      <c r="Q67" s="22" t="str">
        <f t="shared" si="47"/>
        <v/>
      </c>
      <c r="R67" s="84"/>
      <c r="S67" s="84"/>
      <c r="T67" s="84" t="str">
        <f t="shared" si="48"/>
        <v>0</v>
      </c>
      <c r="U67" s="71"/>
      <c r="V67" s="156"/>
      <c r="W67" s="155" t="s">
        <v>43</v>
      </c>
      <c r="X67" s="165"/>
      <c r="Y67" s="171" t="str">
        <f>IF(W61=AM62,"√3 · ","")&amp;IF(W61=AM61,AM61,AM62)&amp;IF(W64=AM63," · "&amp;W62,IF(W64=AM64," · "&amp;W62,""))</f>
        <v>√3 · Un · cosϕ</v>
      </c>
      <c r="Z67" s="171"/>
      <c r="AA67" s="171"/>
      <c r="AB67" s="167"/>
      <c r="AC67" s="167"/>
      <c r="AD67" s="165"/>
      <c r="AE67" s="173" t="str">
        <f>IF(W61=AM62,"√3 · ","")&amp;X61&amp;IF(W64=AM63," · "&amp;X62,IF(W64=AM64," · "&amp;X62,""))</f>
        <v xml:space="preserve">√3 · 400 · </v>
      </c>
      <c r="AF67" s="173"/>
      <c r="AG67" s="173"/>
      <c r="AH67" s="167"/>
      <c r="AI67" s="167"/>
      <c r="AJ67" s="165"/>
      <c r="AK67" s="172"/>
      <c r="AL67" s="94"/>
      <c r="AM67" s="77"/>
      <c r="AN67" s="77"/>
      <c r="AO67" s="77"/>
      <c r="AP67" s="90"/>
      <c r="AZ67" s="95" t="str">
        <f t="shared" si="58"/>
        <v/>
      </c>
      <c r="BA67" s="64" t="str">
        <f t="shared" si="49"/>
        <v>0</v>
      </c>
      <c r="BB67" s="95" t="str">
        <f t="shared" si="59"/>
        <v/>
      </c>
      <c r="BC67" s="62" t="str">
        <f t="shared" si="50"/>
        <v>0</v>
      </c>
      <c r="BD67" s="95" t="str">
        <f t="shared" si="60"/>
        <v/>
      </c>
      <c r="BE67" s="62" t="str">
        <f t="shared" si="51"/>
        <v>0</v>
      </c>
      <c r="BF67" s="95" t="str">
        <f t="shared" si="61"/>
        <v/>
      </c>
      <c r="BG67" s="65" t="str">
        <f t="shared" si="62"/>
        <v>0</v>
      </c>
    </row>
    <row r="68" spans="2:59" s="3" customFormat="1" x14ac:dyDescent="0.35">
      <c r="B68" s="46"/>
      <c r="C68" s="115"/>
      <c r="D68" s="49"/>
      <c r="E68" s="50"/>
      <c r="F68" s="50"/>
      <c r="G68" s="123"/>
      <c r="H68" s="49"/>
      <c r="I68" s="51"/>
      <c r="J68" s="20" t="str">
        <f t="shared" si="52"/>
        <v/>
      </c>
      <c r="K68" s="100" t="str">
        <f t="shared" si="46"/>
        <v/>
      </c>
      <c r="L68" s="21" t="str">
        <f t="shared" si="53"/>
        <v>0</v>
      </c>
      <c r="M68" s="100" t="str">
        <f t="shared" si="54"/>
        <v/>
      </c>
      <c r="N68" s="22" t="str">
        <f t="shared" si="55"/>
        <v>0</v>
      </c>
      <c r="O68" s="100" t="str">
        <f t="shared" si="56"/>
        <v/>
      </c>
      <c r="P68" s="22" t="str">
        <f t="shared" si="57"/>
        <v>0</v>
      </c>
      <c r="Q68" s="22" t="str">
        <f t="shared" si="47"/>
        <v/>
      </c>
      <c r="R68" s="84"/>
      <c r="S68" s="84"/>
      <c r="T68" s="84" t="str">
        <f t="shared" si="48"/>
        <v>0</v>
      </c>
      <c r="U68" s="71"/>
      <c r="V68" s="151"/>
      <c r="W68" s="92"/>
      <c r="X68" s="98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9"/>
      <c r="AL68" s="91"/>
      <c r="AM68" s="91"/>
      <c r="AN68" s="91"/>
      <c r="AO68" s="91"/>
      <c r="AP68" s="93"/>
      <c r="AZ68" s="95" t="str">
        <f t="shared" si="58"/>
        <v/>
      </c>
      <c r="BA68" s="64" t="str">
        <f t="shared" si="49"/>
        <v>0</v>
      </c>
      <c r="BB68" s="95" t="str">
        <f t="shared" si="59"/>
        <v/>
      </c>
      <c r="BC68" s="62" t="str">
        <f t="shared" si="50"/>
        <v>0</v>
      </c>
      <c r="BD68" s="95" t="str">
        <f t="shared" si="60"/>
        <v/>
      </c>
      <c r="BE68" s="62" t="str">
        <f t="shared" si="51"/>
        <v>0</v>
      </c>
      <c r="BF68" s="95" t="str">
        <f t="shared" si="61"/>
        <v/>
      </c>
      <c r="BG68" s="65" t="str">
        <f t="shared" si="62"/>
        <v>0</v>
      </c>
    </row>
    <row r="69" spans="2:59" s="3" customFormat="1" x14ac:dyDescent="0.35">
      <c r="B69" s="46"/>
      <c r="C69" s="115"/>
      <c r="D69" s="49"/>
      <c r="E69" s="50"/>
      <c r="F69" s="50"/>
      <c r="G69" s="123"/>
      <c r="H69" s="49"/>
      <c r="I69" s="51"/>
      <c r="J69" s="20" t="str">
        <f t="shared" si="52"/>
        <v/>
      </c>
      <c r="K69" s="100" t="str">
        <f t="shared" si="46"/>
        <v/>
      </c>
      <c r="L69" s="21" t="str">
        <f t="shared" si="53"/>
        <v>0</v>
      </c>
      <c r="M69" s="100" t="str">
        <f t="shared" si="54"/>
        <v/>
      </c>
      <c r="N69" s="22" t="str">
        <f t="shared" si="55"/>
        <v>0</v>
      </c>
      <c r="O69" s="100" t="str">
        <f t="shared" si="56"/>
        <v/>
      </c>
      <c r="P69" s="22" t="str">
        <f t="shared" si="57"/>
        <v>0</v>
      </c>
      <c r="Q69" s="22" t="str">
        <f t="shared" si="47"/>
        <v/>
      </c>
      <c r="R69" s="84"/>
      <c r="S69" s="84"/>
      <c r="T69" s="84" t="str">
        <f t="shared" si="48"/>
        <v>0</v>
      </c>
      <c r="U69" s="71"/>
      <c r="V69" s="153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Z69" s="95" t="str">
        <f t="shared" si="58"/>
        <v/>
      </c>
      <c r="BA69" s="64" t="str">
        <f t="shared" si="49"/>
        <v>0</v>
      </c>
      <c r="BB69" s="95" t="str">
        <f t="shared" si="59"/>
        <v/>
      </c>
      <c r="BC69" s="62" t="str">
        <f t="shared" si="50"/>
        <v>0</v>
      </c>
      <c r="BD69" s="95" t="str">
        <f t="shared" si="60"/>
        <v/>
      </c>
      <c r="BE69" s="62" t="str">
        <f t="shared" si="51"/>
        <v>0</v>
      </c>
      <c r="BF69" s="95" t="str">
        <f t="shared" si="61"/>
        <v/>
      </c>
      <c r="BG69" s="65" t="str">
        <f t="shared" si="62"/>
        <v>0</v>
      </c>
    </row>
    <row r="70" spans="2:59" s="3" customFormat="1" x14ac:dyDescent="0.35">
      <c r="B70" s="46"/>
      <c r="C70" s="115"/>
      <c r="D70" s="49"/>
      <c r="E70" s="50"/>
      <c r="F70" s="50"/>
      <c r="G70" s="123"/>
      <c r="H70" s="49"/>
      <c r="I70" s="51"/>
      <c r="J70" s="20" t="str">
        <f t="shared" si="52"/>
        <v/>
      </c>
      <c r="K70" s="100" t="str">
        <f t="shared" si="46"/>
        <v/>
      </c>
      <c r="L70" s="21" t="str">
        <f t="shared" si="53"/>
        <v>0</v>
      </c>
      <c r="M70" s="100" t="str">
        <f t="shared" si="54"/>
        <v/>
      </c>
      <c r="N70" s="22" t="str">
        <f t="shared" si="55"/>
        <v>0</v>
      </c>
      <c r="O70" s="100" t="str">
        <f t="shared" si="56"/>
        <v/>
      </c>
      <c r="P70" s="22" t="str">
        <f t="shared" si="57"/>
        <v>0</v>
      </c>
      <c r="Q70" s="22" t="str">
        <f t="shared" si="47"/>
        <v/>
      </c>
      <c r="R70" s="84"/>
      <c r="S70" s="84"/>
      <c r="T70" s="84" t="str">
        <f t="shared" si="48"/>
        <v>0</v>
      </c>
      <c r="U70" s="71"/>
      <c r="V70" s="149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96"/>
      <c r="AL70" s="87"/>
      <c r="AM70" s="87"/>
      <c r="AN70" s="87"/>
      <c r="AO70" s="87"/>
      <c r="AP70" s="89"/>
      <c r="AZ70" s="95" t="str">
        <f t="shared" si="58"/>
        <v/>
      </c>
      <c r="BA70" s="64" t="str">
        <f t="shared" si="49"/>
        <v>0</v>
      </c>
      <c r="BB70" s="95" t="str">
        <f t="shared" si="59"/>
        <v/>
      </c>
      <c r="BC70" s="62" t="str">
        <f t="shared" si="50"/>
        <v>0</v>
      </c>
      <c r="BD70" s="95" t="str">
        <f t="shared" si="60"/>
        <v/>
      </c>
      <c r="BE70" s="62" t="str">
        <f t="shared" si="51"/>
        <v>0</v>
      </c>
      <c r="BF70" s="95" t="str">
        <f t="shared" si="61"/>
        <v/>
      </c>
      <c r="BG70" s="65" t="str">
        <f t="shared" ref="BG70:BG81" si="63">IMSUM(BA70,BC70,BE70)</f>
        <v>0</v>
      </c>
    </row>
    <row r="71" spans="2:59" s="3" customFormat="1" x14ac:dyDescent="0.35">
      <c r="B71" s="46"/>
      <c r="C71" s="115"/>
      <c r="D71" s="49"/>
      <c r="E71" s="50"/>
      <c r="F71" s="50"/>
      <c r="G71" s="123"/>
      <c r="H71" s="49"/>
      <c r="I71" s="51"/>
      <c r="J71" s="20" t="str">
        <f t="shared" si="52"/>
        <v/>
      </c>
      <c r="K71" s="100" t="str">
        <f t="shared" si="46"/>
        <v/>
      </c>
      <c r="L71" s="21" t="str">
        <f t="shared" si="53"/>
        <v>0</v>
      </c>
      <c r="M71" s="100" t="str">
        <f t="shared" si="54"/>
        <v/>
      </c>
      <c r="N71" s="22" t="str">
        <f t="shared" si="55"/>
        <v>0</v>
      </c>
      <c r="O71" s="100" t="str">
        <f t="shared" si="56"/>
        <v/>
      </c>
      <c r="P71" s="22" t="str">
        <f t="shared" si="57"/>
        <v>0</v>
      </c>
      <c r="Q71" s="22" t="str">
        <f t="shared" si="47"/>
        <v/>
      </c>
      <c r="R71" s="84"/>
      <c r="S71" s="84"/>
      <c r="T71" s="84" t="str">
        <f t="shared" si="48"/>
        <v>0</v>
      </c>
      <c r="U71" s="71"/>
      <c r="V71" s="150"/>
      <c r="W71" s="113" t="s">
        <v>25</v>
      </c>
      <c r="X71" s="170">
        <v>400</v>
      </c>
      <c r="Y71" s="170"/>
      <c r="Z71" s="78" t="s">
        <v>29</v>
      </c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97"/>
      <c r="AL71" s="77"/>
      <c r="AM71" s="73" t="s">
        <v>24</v>
      </c>
      <c r="AN71" s="73" t="s">
        <v>26</v>
      </c>
      <c r="AO71" s="73" t="s">
        <v>30</v>
      </c>
      <c r="AP71" s="62"/>
      <c r="AZ71" s="95" t="str">
        <f t="shared" si="58"/>
        <v/>
      </c>
      <c r="BA71" s="64" t="str">
        <f t="shared" si="49"/>
        <v>0</v>
      </c>
      <c r="BB71" s="95" t="str">
        <f t="shared" si="59"/>
        <v/>
      </c>
      <c r="BC71" s="62" t="str">
        <f t="shared" si="50"/>
        <v>0</v>
      </c>
      <c r="BD71" s="95" t="str">
        <f t="shared" si="60"/>
        <v/>
      </c>
      <c r="BE71" s="62" t="str">
        <f t="shared" si="51"/>
        <v>0</v>
      </c>
      <c r="BF71" s="95" t="str">
        <f t="shared" si="61"/>
        <v/>
      </c>
      <c r="BG71" s="65" t="str">
        <f t="shared" si="63"/>
        <v>0</v>
      </c>
    </row>
    <row r="72" spans="2:59" s="3" customFormat="1" x14ac:dyDescent="0.35">
      <c r="B72" s="46"/>
      <c r="C72" s="115"/>
      <c r="D72" s="49"/>
      <c r="E72" s="50"/>
      <c r="F72" s="50"/>
      <c r="G72" s="123"/>
      <c r="H72" s="49"/>
      <c r="I72" s="51"/>
      <c r="J72" s="20" t="str">
        <f t="shared" si="52"/>
        <v/>
      </c>
      <c r="K72" s="100" t="str">
        <f t="shared" si="46"/>
        <v/>
      </c>
      <c r="L72" s="21" t="str">
        <f t="shared" si="53"/>
        <v>0</v>
      </c>
      <c r="M72" s="100" t="str">
        <f t="shared" si="54"/>
        <v/>
      </c>
      <c r="N72" s="22" t="str">
        <f t="shared" si="55"/>
        <v>0</v>
      </c>
      <c r="O72" s="100" t="str">
        <f t="shared" si="56"/>
        <v/>
      </c>
      <c r="P72" s="22" t="str">
        <f t="shared" si="57"/>
        <v>0</v>
      </c>
      <c r="Q72" s="22" t="str">
        <f t="shared" si="47"/>
        <v/>
      </c>
      <c r="R72" s="84"/>
      <c r="S72" s="84"/>
      <c r="T72" s="84" t="str">
        <f t="shared" si="48"/>
        <v>0</v>
      </c>
      <c r="U72" s="71"/>
      <c r="V72" s="150"/>
      <c r="W72" s="113" t="s">
        <v>26</v>
      </c>
      <c r="X72" s="170"/>
      <c r="Y72" s="170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97"/>
      <c r="AL72" s="77"/>
      <c r="AM72" s="73" t="s">
        <v>25</v>
      </c>
      <c r="AN72" s="73" t="s">
        <v>27</v>
      </c>
      <c r="AO72" s="73" t="s">
        <v>31</v>
      </c>
      <c r="AP72" s="62"/>
      <c r="AZ72" s="95" t="str">
        <f t="shared" si="58"/>
        <v/>
      </c>
      <c r="BA72" s="64" t="str">
        <f t="shared" si="49"/>
        <v>0</v>
      </c>
      <c r="BB72" s="95" t="str">
        <f t="shared" si="59"/>
        <v/>
      </c>
      <c r="BC72" s="62" t="str">
        <f t="shared" si="50"/>
        <v>0</v>
      </c>
      <c r="BD72" s="95" t="str">
        <f t="shared" si="60"/>
        <v/>
      </c>
      <c r="BE72" s="62" t="str">
        <f t="shared" si="51"/>
        <v>0</v>
      </c>
      <c r="BF72" s="95" t="str">
        <f t="shared" si="61"/>
        <v/>
      </c>
      <c r="BG72" s="65" t="str">
        <f t="shared" si="63"/>
        <v>0</v>
      </c>
    </row>
    <row r="73" spans="2:59" s="3" customFormat="1" x14ac:dyDescent="0.35">
      <c r="B73" s="46"/>
      <c r="C73" s="115"/>
      <c r="D73" s="49"/>
      <c r="E73" s="50"/>
      <c r="F73" s="50"/>
      <c r="G73" s="124"/>
      <c r="H73" s="51"/>
      <c r="I73" s="51"/>
      <c r="J73" s="20" t="str">
        <f t="shared" si="52"/>
        <v/>
      </c>
      <c r="K73" s="100" t="str">
        <f t="shared" si="46"/>
        <v/>
      </c>
      <c r="L73" s="21" t="str">
        <f t="shared" si="53"/>
        <v>0</v>
      </c>
      <c r="M73" s="100" t="str">
        <f t="shared" si="54"/>
        <v/>
      </c>
      <c r="N73" s="22" t="str">
        <f t="shared" si="55"/>
        <v>0</v>
      </c>
      <c r="O73" s="100" t="str">
        <f t="shared" si="56"/>
        <v/>
      </c>
      <c r="P73" s="22" t="str">
        <f t="shared" si="57"/>
        <v>0</v>
      </c>
      <c r="Q73" s="22" t="str">
        <f t="shared" si="47"/>
        <v/>
      </c>
      <c r="R73" s="84"/>
      <c r="S73" s="84"/>
      <c r="T73" s="84" t="str">
        <f t="shared" si="48"/>
        <v>0</v>
      </c>
      <c r="U73" s="71"/>
      <c r="V73" s="150"/>
      <c r="W73" s="78" t="s">
        <v>28</v>
      </c>
      <c r="X73" s="170">
        <v>1</v>
      </c>
      <c r="Y73" s="170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97"/>
      <c r="AL73" s="77"/>
      <c r="AM73" s="73" t="s">
        <v>21</v>
      </c>
      <c r="AN73" s="62" t="e">
        <f>ROUND((X74/IF(OR(X73=1,X73=""),1,X73))/(X71*X72),2)</f>
        <v>#DIV/0!</v>
      </c>
      <c r="AO73" s="62" t="e">
        <f>ROUND((X74/IF(OR(X73=1,X73=""),1,X73))/(X71*SQRT(3)*X72),2)</f>
        <v>#DIV/0!</v>
      </c>
      <c r="AP73" s="62">
        <f>ROUND(DEGREES(-ACOS(X72)),2)</f>
        <v>-90</v>
      </c>
      <c r="AZ73" s="95" t="str">
        <f t="shared" si="58"/>
        <v/>
      </c>
      <c r="BA73" s="64" t="str">
        <f t="shared" si="49"/>
        <v>0</v>
      </c>
      <c r="BB73" s="95" t="str">
        <f t="shared" si="59"/>
        <v/>
      </c>
      <c r="BC73" s="62" t="str">
        <f t="shared" si="50"/>
        <v>0</v>
      </c>
      <c r="BD73" s="95" t="str">
        <f t="shared" si="60"/>
        <v/>
      </c>
      <c r="BE73" s="62" t="str">
        <f t="shared" si="51"/>
        <v>0</v>
      </c>
      <c r="BF73" s="95" t="str">
        <f t="shared" si="61"/>
        <v/>
      </c>
      <c r="BG73" s="65" t="str">
        <f t="shared" si="63"/>
        <v>0</v>
      </c>
    </row>
    <row r="74" spans="2:59" s="3" customFormat="1" x14ac:dyDescent="0.35">
      <c r="B74" s="46"/>
      <c r="C74" s="115"/>
      <c r="D74" s="49"/>
      <c r="E74" s="50"/>
      <c r="F74" s="50"/>
      <c r="G74" s="124"/>
      <c r="H74" s="51"/>
      <c r="I74" s="51"/>
      <c r="J74" s="20" t="str">
        <f t="shared" si="52"/>
        <v/>
      </c>
      <c r="K74" s="100" t="str">
        <f t="shared" si="46"/>
        <v/>
      </c>
      <c r="L74" s="21" t="str">
        <f t="shared" si="53"/>
        <v>0</v>
      </c>
      <c r="M74" s="100" t="str">
        <f t="shared" si="54"/>
        <v/>
      </c>
      <c r="N74" s="22" t="str">
        <f t="shared" si="55"/>
        <v>0</v>
      </c>
      <c r="O74" s="100" t="str">
        <f t="shared" si="56"/>
        <v/>
      </c>
      <c r="P74" s="22" t="str">
        <f t="shared" si="57"/>
        <v>0</v>
      </c>
      <c r="Q74" s="22" t="str">
        <f t="shared" si="47"/>
        <v/>
      </c>
      <c r="R74" s="84"/>
      <c r="S74" s="84"/>
      <c r="T74" s="84" t="str">
        <f t="shared" si="48"/>
        <v>0</v>
      </c>
      <c r="U74" s="71"/>
      <c r="V74" s="150"/>
      <c r="W74" s="113" t="s">
        <v>21</v>
      </c>
      <c r="X74" s="170"/>
      <c r="Y74" s="170"/>
      <c r="Z74" s="78" t="str">
        <f>IF(W74="P","W",IF(W74="Q","VAR","VA"))</f>
        <v>W</v>
      </c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97"/>
      <c r="AL74" s="77"/>
      <c r="AM74" s="73" t="s">
        <v>22</v>
      </c>
      <c r="AN74" s="62" t="e">
        <f>ROUND((X74/IF(OR(X73=1,X73=""),1,X73))/(X71*X72),2)</f>
        <v>#DIV/0!</v>
      </c>
      <c r="AO74" s="62" t="e">
        <f>ROUND((X74/IF(OR(X73=1,X73=""),1,X73))/(X71*SQRT(3)*X72),2)</f>
        <v>#DIV/0!</v>
      </c>
      <c r="AP74" s="62">
        <f>ROUND(DEGREES(-ACOS(X72)),2)</f>
        <v>-90</v>
      </c>
      <c r="AZ74" s="95" t="str">
        <f t="shared" si="58"/>
        <v/>
      </c>
      <c r="BA74" s="64" t="str">
        <f t="shared" si="49"/>
        <v>0</v>
      </c>
      <c r="BB74" s="95" t="str">
        <f t="shared" si="59"/>
        <v/>
      </c>
      <c r="BC74" s="62" t="str">
        <f t="shared" si="50"/>
        <v>0</v>
      </c>
      <c r="BD74" s="95" t="str">
        <f t="shared" si="60"/>
        <v/>
      </c>
      <c r="BE74" s="62" t="str">
        <f t="shared" si="51"/>
        <v>0</v>
      </c>
      <c r="BF74" s="95" t="str">
        <f t="shared" si="61"/>
        <v/>
      </c>
      <c r="BG74" s="65" t="str">
        <f t="shared" si="63"/>
        <v>0</v>
      </c>
    </row>
    <row r="75" spans="2:59" s="3" customFormat="1" x14ac:dyDescent="0.35">
      <c r="B75" s="46"/>
      <c r="C75" s="115"/>
      <c r="D75" s="49"/>
      <c r="E75" s="50"/>
      <c r="F75" s="50"/>
      <c r="G75" s="124"/>
      <c r="H75" s="51"/>
      <c r="I75" s="51"/>
      <c r="J75" s="20" t="str">
        <f t="shared" si="52"/>
        <v/>
      </c>
      <c r="K75" s="100" t="str">
        <f t="shared" si="46"/>
        <v/>
      </c>
      <c r="L75" s="21" t="str">
        <f t="shared" si="53"/>
        <v>0</v>
      </c>
      <c r="M75" s="100" t="str">
        <f t="shared" si="54"/>
        <v/>
      </c>
      <c r="N75" s="22" t="str">
        <f t="shared" si="55"/>
        <v>0</v>
      </c>
      <c r="O75" s="100" t="str">
        <f t="shared" si="56"/>
        <v/>
      </c>
      <c r="P75" s="22" t="str">
        <f t="shared" si="57"/>
        <v>0</v>
      </c>
      <c r="Q75" s="22" t="str">
        <f t="shared" si="47"/>
        <v/>
      </c>
      <c r="R75" s="84"/>
      <c r="S75" s="84"/>
      <c r="T75" s="84" t="str">
        <f t="shared" si="48"/>
        <v>0</v>
      </c>
      <c r="U75" s="71"/>
      <c r="V75" s="150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97"/>
      <c r="AL75" s="77"/>
      <c r="AM75" s="73" t="s">
        <v>23</v>
      </c>
      <c r="AN75" s="62">
        <f>ROUND((X74/IF(OR(X73=1,X73=""),1,X73))/(X71),2)</f>
        <v>0</v>
      </c>
      <c r="AO75" s="62">
        <f>ROUND((X74/IF(OR(X73=1,X73=""),1,X73))/(X71*SQRT(3)),2)</f>
        <v>0</v>
      </c>
      <c r="AP75" s="62">
        <f>ROUND(DEGREES(-ACOS(X72)),2)</f>
        <v>-90</v>
      </c>
      <c r="AZ75" s="95" t="str">
        <f t="shared" si="58"/>
        <v/>
      </c>
      <c r="BA75" s="64" t="str">
        <f t="shared" si="49"/>
        <v>0</v>
      </c>
      <c r="BB75" s="95" t="str">
        <f t="shared" si="59"/>
        <v/>
      </c>
      <c r="BC75" s="62" t="str">
        <f t="shared" si="50"/>
        <v>0</v>
      </c>
      <c r="BD75" s="95" t="str">
        <f t="shared" si="60"/>
        <v/>
      </c>
      <c r="BE75" s="62" t="str">
        <f t="shared" si="51"/>
        <v>0</v>
      </c>
      <c r="BF75" s="95" t="str">
        <f t="shared" si="61"/>
        <v/>
      </c>
      <c r="BG75" s="65" t="str">
        <f t="shared" si="63"/>
        <v>0</v>
      </c>
    </row>
    <row r="76" spans="2:59" s="3" customFormat="1" ht="15" thickBot="1" x14ac:dyDescent="0.4">
      <c r="B76" s="46"/>
      <c r="C76" s="115"/>
      <c r="D76" s="49"/>
      <c r="E76" s="50"/>
      <c r="F76" s="50"/>
      <c r="G76" s="124"/>
      <c r="H76" s="51"/>
      <c r="I76" s="51"/>
      <c r="J76" s="20" t="str">
        <f t="shared" si="52"/>
        <v/>
      </c>
      <c r="K76" s="100" t="str">
        <f t="shared" si="46"/>
        <v/>
      </c>
      <c r="L76" s="21" t="str">
        <f t="shared" si="53"/>
        <v>0</v>
      </c>
      <c r="M76" s="100" t="str">
        <f t="shared" si="54"/>
        <v/>
      </c>
      <c r="N76" s="22" t="str">
        <f t="shared" si="55"/>
        <v>0</v>
      </c>
      <c r="O76" s="100" t="str">
        <f t="shared" si="56"/>
        <v/>
      </c>
      <c r="P76" s="22" t="str">
        <f t="shared" si="57"/>
        <v>0</v>
      </c>
      <c r="Q76" s="22" t="str">
        <f t="shared" si="47"/>
        <v/>
      </c>
      <c r="R76" s="84"/>
      <c r="S76" s="84"/>
      <c r="T76" s="84" t="str">
        <f t="shared" si="48"/>
        <v>0</v>
      </c>
      <c r="U76" s="71"/>
      <c r="V76" s="156" t="s">
        <v>33</v>
      </c>
      <c r="W76" s="61"/>
      <c r="X76" s="165" t="str">
        <f>"= ("</f>
        <v>= (</v>
      </c>
      <c r="Y76" s="166" t="str">
        <f>IF(OR(X73=1,X73=""),W74,W74&amp;"₂ / η")</f>
        <v>P</v>
      </c>
      <c r="Z76" s="166"/>
      <c r="AA76" s="166"/>
      <c r="AB76" s="167" t="str">
        <f>"∠-"&amp;IF(W72=AN71,AO71,AO72)&amp;"¯¹ ϕ)"</f>
        <v>∠-cos¯¹ ϕ)</v>
      </c>
      <c r="AC76" s="167"/>
      <c r="AD76" s="165" t="s">
        <v>34</v>
      </c>
      <c r="AE76" s="174">
        <f>IF(OR(X73=1,X73=""),X74,X74&amp;" / "&amp;X73)</f>
        <v>0</v>
      </c>
      <c r="AF76" s="174"/>
      <c r="AG76" s="174"/>
      <c r="AH76" s="167" t="str">
        <f>"∠-"&amp;IF(W72=AN71,AO71,AO72)&amp;"¯¹ "&amp;X72&amp;")"</f>
        <v>∠-cos¯¹ )</v>
      </c>
      <c r="AI76" s="167"/>
      <c r="AJ76" s="165" t="s">
        <v>32</v>
      </c>
      <c r="AK76" s="172" t="e">
        <f>"("&amp;IF(W71=AM71,VLOOKUP(W74,AM73:AO75,2,FALSE),VLOOKUP(W74,AM73:AO75,3,FALSE))&amp;" ∠"&amp;AP73&amp;") A"</f>
        <v>#DIV/0!</v>
      </c>
      <c r="AL76" s="94"/>
      <c r="AM76" s="77"/>
      <c r="AN76" s="77"/>
      <c r="AO76" s="77"/>
      <c r="AP76" s="90"/>
      <c r="AZ76" s="95" t="str">
        <f t="shared" si="58"/>
        <v/>
      </c>
      <c r="BA76" s="64" t="str">
        <f t="shared" si="49"/>
        <v>0</v>
      </c>
      <c r="BB76" s="95" t="str">
        <f t="shared" si="59"/>
        <v/>
      </c>
      <c r="BC76" s="62" t="str">
        <f t="shared" si="50"/>
        <v>0</v>
      </c>
      <c r="BD76" s="95" t="str">
        <f t="shared" si="60"/>
        <v/>
      </c>
      <c r="BE76" s="62" t="str">
        <f t="shared" si="51"/>
        <v>0</v>
      </c>
      <c r="BF76" s="95" t="str">
        <f t="shared" si="61"/>
        <v/>
      </c>
      <c r="BG76" s="65" t="str">
        <f t="shared" si="63"/>
        <v>0</v>
      </c>
    </row>
    <row r="77" spans="2:59" s="3" customFormat="1" x14ac:dyDescent="0.35">
      <c r="B77" s="46"/>
      <c r="C77" s="115"/>
      <c r="D77" s="49"/>
      <c r="E77" s="50"/>
      <c r="F77" s="50"/>
      <c r="G77" s="123"/>
      <c r="H77" s="49"/>
      <c r="I77" s="51"/>
      <c r="J77" s="20" t="str">
        <f t="shared" si="52"/>
        <v/>
      </c>
      <c r="K77" s="100" t="str">
        <f t="shared" si="46"/>
        <v/>
      </c>
      <c r="L77" s="21" t="str">
        <f t="shared" si="53"/>
        <v>0</v>
      </c>
      <c r="M77" s="100" t="str">
        <f t="shared" si="54"/>
        <v/>
      </c>
      <c r="N77" s="22" t="str">
        <f t="shared" si="55"/>
        <v>0</v>
      </c>
      <c r="O77" s="100" t="str">
        <f t="shared" si="56"/>
        <v/>
      </c>
      <c r="P77" s="22" t="str">
        <f t="shared" si="57"/>
        <v>0</v>
      </c>
      <c r="Q77" s="22" t="str">
        <f t="shared" si="47"/>
        <v/>
      </c>
      <c r="R77" s="84"/>
      <c r="S77" s="84"/>
      <c r="T77" s="84" t="str">
        <f t="shared" si="48"/>
        <v>0</v>
      </c>
      <c r="U77" s="71"/>
      <c r="V77" s="156"/>
      <c r="W77" s="155" t="s">
        <v>43</v>
      </c>
      <c r="X77" s="165"/>
      <c r="Y77" s="171" t="str">
        <f>IF(W71=AM72,"√3 · ","")&amp;IF(W71=AM71,AM71,AM72)&amp;IF(W74=AM73," · "&amp;W72,IF(W74=AM74," · "&amp;W72,""))</f>
        <v>√3 · Un · cosϕ</v>
      </c>
      <c r="Z77" s="171"/>
      <c r="AA77" s="171"/>
      <c r="AB77" s="167"/>
      <c r="AC77" s="167"/>
      <c r="AD77" s="165"/>
      <c r="AE77" s="173" t="str">
        <f>IF(W71=AM72,"√3 · ","")&amp;X71&amp;IF(W74=AM73," · "&amp;X72,IF(W74=AM74," · "&amp;X72,""))</f>
        <v xml:space="preserve">√3 · 400 · </v>
      </c>
      <c r="AF77" s="173"/>
      <c r="AG77" s="173"/>
      <c r="AH77" s="167"/>
      <c r="AI77" s="167"/>
      <c r="AJ77" s="165"/>
      <c r="AK77" s="172"/>
      <c r="AL77" s="94"/>
      <c r="AM77" s="77"/>
      <c r="AN77" s="77"/>
      <c r="AO77" s="77"/>
      <c r="AP77" s="90"/>
      <c r="AZ77" s="95" t="str">
        <f t="shared" si="58"/>
        <v/>
      </c>
      <c r="BA77" s="64" t="str">
        <f t="shared" si="49"/>
        <v>0</v>
      </c>
      <c r="BB77" s="95" t="str">
        <f t="shared" si="59"/>
        <v/>
      </c>
      <c r="BC77" s="62" t="str">
        <f t="shared" si="50"/>
        <v>0</v>
      </c>
      <c r="BD77" s="95" t="str">
        <f t="shared" si="60"/>
        <v/>
      </c>
      <c r="BE77" s="62" t="str">
        <f t="shared" si="51"/>
        <v>0</v>
      </c>
      <c r="BF77" s="95" t="str">
        <f t="shared" si="61"/>
        <v/>
      </c>
      <c r="BG77" s="65" t="str">
        <f t="shared" si="63"/>
        <v>0</v>
      </c>
    </row>
    <row r="78" spans="2:59" s="3" customFormat="1" x14ac:dyDescent="0.35">
      <c r="B78" s="46"/>
      <c r="C78" s="115"/>
      <c r="D78" s="49"/>
      <c r="E78" s="50"/>
      <c r="F78" s="50"/>
      <c r="G78" s="123"/>
      <c r="H78" s="49"/>
      <c r="I78" s="51"/>
      <c r="J78" s="20" t="str">
        <f t="shared" si="52"/>
        <v/>
      </c>
      <c r="K78" s="100" t="str">
        <f t="shared" si="46"/>
        <v/>
      </c>
      <c r="L78" s="21" t="str">
        <f t="shared" si="53"/>
        <v>0</v>
      </c>
      <c r="M78" s="100" t="str">
        <f t="shared" si="54"/>
        <v/>
      </c>
      <c r="N78" s="22" t="str">
        <f t="shared" si="55"/>
        <v>0</v>
      </c>
      <c r="O78" s="100" t="str">
        <f t="shared" si="56"/>
        <v/>
      </c>
      <c r="P78" s="22" t="str">
        <f t="shared" si="57"/>
        <v>0</v>
      </c>
      <c r="Q78" s="22" t="str">
        <f t="shared" si="47"/>
        <v/>
      </c>
      <c r="R78" s="84"/>
      <c r="S78" s="84"/>
      <c r="T78" s="84" t="str">
        <f t="shared" si="48"/>
        <v>0</v>
      </c>
      <c r="U78" s="71"/>
      <c r="V78" s="151"/>
      <c r="W78" s="92"/>
      <c r="X78" s="98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9"/>
      <c r="AL78" s="91"/>
      <c r="AM78" s="91"/>
      <c r="AN78" s="91"/>
      <c r="AO78" s="91"/>
      <c r="AP78" s="93"/>
      <c r="AZ78" s="95" t="str">
        <f t="shared" si="58"/>
        <v/>
      </c>
      <c r="BA78" s="64" t="str">
        <f t="shared" si="49"/>
        <v>0</v>
      </c>
      <c r="BB78" s="95" t="str">
        <f t="shared" si="59"/>
        <v/>
      </c>
      <c r="BC78" s="62" t="str">
        <f t="shared" si="50"/>
        <v>0</v>
      </c>
      <c r="BD78" s="95" t="str">
        <f t="shared" si="60"/>
        <v/>
      </c>
      <c r="BE78" s="62" t="str">
        <f t="shared" si="51"/>
        <v>0</v>
      </c>
      <c r="BF78" s="95" t="str">
        <f t="shared" si="61"/>
        <v/>
      </c>
      <c r="BG78" s="65" t="str">
        <f t="shared" si="63"/>
        <v>0</v>
      </c>
    </row>
    <row r="79" spans="2:59" s="3" customFormat="1" x14ac:dyDescent="0.35">
      <c r="B79" s="46"/>
      <c r="C79" s="115"/>
      <c r="D79" s="49"/>
      <c r="E79" s="50"/>
      <c r="F79" s="50"/>
      <c r="G79" s="123"/>
      <c r="H79" s="49"/>
      <c r="I79" s="51"/>
      <c r="J79" s="20" t="str">
        <f t="shared" si="52"/>
        <v/>
      </c>
      <c r="K79" s="100" t="str">
        <f t="shared" si="46"/>
        <v/>
      </c>
      <c r="L79" s="21" t="str">
        <f t="shared" si="53"/>
        <v>0</v>
      </c>
      <c r="M79" s="100" t="str">
        <f t="shared" si="54"/>
        <v/>
      </c>
      <c r="N79" s="22" t="str">
        <f t="shared" si="55"/>
        <v>0</v>
      </c>
      <c r="O79" s="100" t="str">
        <f t="shared" si="56"/>
        <v/>
      </c>
      <c r="P79" s="22" t="str">
        <f t="shared" si="57"/>
        <v>0</v>
      </c>
      <c r="Q79" s="22" t="str">
        <f t="shared" si="47"/>
        <v/>
      </c>
      <c r="R79" s="84"/>
      <c r="S79" s="84"/>
      <c r="T79" s="84" t="str">
        <f t="shared" si="48"/>
        <v>0</v>
      </c>
      <c r="U79" s="71"/>
      <c r="V79" s="153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Z79" s="95" t="str">
        <f t="shared" si="58"/>
        <v/>
      </c>
      <c r="BA79" s="64" t="str">
        <f t="shared" si="49"/>
        <v>0</v>
      </c>
      <c r="BB79" s="95" t="str">
        <f t="shared" si="59"/>
        <v/>
      </c>
      <c r="BC79" s="62" t="str">
        <f t="shared" si="50"/>
        <v>0</v>
      </c>
      <c r="BD79" s="95" t="str">
        <f t="shared" si="60"/>
        <v/>
      </c>
      <c r="BE79" s="62" t="str">
        <f t="shared" si="51"/>
        <v>0</v>
      </c>
      <c r="BF79" s="95" t="str">
        <f t="shared" si="61"/>
        <v/>
      </c>
      <c r="BG79" s="65" t="str">
        <f t="shared" si="63"/>
        <v>0</v>
      </c>
    </row>
    <row r="80" spans="2:59" s="3" customFormat="1" ht="15" thickBot="1" x14ac:dyDescent="0.4">
      <c r="B80" s="46"/>
      <c r="C80" s="115"/>
      <c r="D80" s="49"/>
      <c r="E80" s="50"/>
      <c r="F80" s="50"/>
      <c r="G80" s="123"/>
      <c r="H80" s="49"/>
      <c r="I80" s="51"/>
      <c r="J80" s="20" t="str">
        <f t="shared" si="52"/>
        <v/>
      </c>
      <c r="K80" s="100" t="str">
        <f t="shared" si="46"/>
        <v/>
      </c>
      <c r="L80" s="21" t="str">
        <f t="shared" si="53"/>
        <v>0</v>
      </c>
      <c r="M80" s="100" t="str">
        <f t="shared" si="54"/>
        <v/>
      </c>
      <c r="N80" s="22" t="str">
        <f t="shared" si="55"/>
        <v>0</v>
      </c>
      <c r="O80" s="100" t="str">
        <f t="shared" si="56"/>
        <v/>
      </c>
      <c r="P80" s="22" t="str">
        <f t="shared" si="57"/>
        <v>0</v>
      </c>
      <c r="Q80" s="22" t="str">
        <f t="shared" si="47"/>
        <v/>
      </c>
      <c r="R80" s="84"/>
      <c r="S80" s="84"/>
      <c r="T80" s="84" t="str">
        <f t="shared" si="48"/>
        <v>0</v>
      </c>
      <c r="U80" s="71"/>
      <c r="V80" s="152"/>
      <c r="AZ80" s="95" t="str">
        <f t="shared" si="58"/>
        <v/>
      </c>
      <c r="BA80" s="64" t="str">
        <f t="shared" si="49"/>
        <v>0</v>
      </c>
      <c r="BB80" s="95" t="str">
        <f t="shared" si="59"/>
        <v/>
      </c>
      <c r="BC80" s="62" t="str">
        <f t="shared" si="50"/>
        <v>0</v>
      </c>
      <c r="BD80" s="95" t="str">
        <f t="shared" si="60"/>
        <v/>
      </c>
      <c r="BE80" s="62" t="str">
        <f t="shared" si="51"/>
        <v>0</v>
      </c>
      <c r="BF80" s="95" t="str">
        <f t="shared" si="61"/>
        <v/>
      </c>
      <c r="BG80" s="65" t="str">
        <f t="shared" si="63"/>
        <v>0</v>
      </c>
    </row>
    <row r="81" spans="2:59" s="3" customFormat="1" ht="15" hidden="1" customHeight="1" thickBot="1" x14ac:dyDescent="0.4">
      <c r="B81" s="105" t="s">
        <v>20</v>
      </c>
      <c r="C81" s="116"/>
      <c r="D81" s="106"/>
      <c r="E81" s="107"/>
      <c r="F81" s="107"/>
      <c r="G81" s="125"/>
      <c r="H81" s="106"/>
      <c r="I81" s="108">
        <v>0</v>
      </c>
      <c r="J81" s="20">
        <f t="shared" ref="J81" si="64">DEGREES(-ACOS(I81))</f>
        <v>-90</v>
      </c>
      <c r="K81" s="110" t="str">
        <f t="shared" ref="K81" si="65">IF(L81="0","",ROUND(IMABS(L81),2)&amp;"∠"&amp;ROUND(DEGREES(IMARGUMENT(L81)),2))</f>
        <v/>
      </c>
      <c r="L81" s="21" t="str">
        <f t="shared" ref="L81" si="66">IF(AND(D81&gt;0,E81&gt;0,F81=""),COMPLEX(D81*IF(C81="",1,C81)*(COS(-ACOS(IF(I81="",1,I81))+RADIANS(30))),D81*IF(C81="",1,C81)*SIN(ACOS(COS(-ACOS(IF(I81="",1,I81))+RADIANS(30)))),"j"),IF(AND(D81&gt;0,E81="",F81&gt;0),COMPLEX(D81*IF(C81="",1,C81)*(COS(-ACOS(IF(I81="",1,I81))+RADIANS(-30))),D81*IF(C81="",1,C81)*SIN(-ACOS(COS(-ACOS(IF(I81="",1,I81))+RADIANS(-30)))),"j"),COMPLEX(D81*IF(C81="",1,C81)*IF(I81="",1,I81),D81*IF(C81="",1,C81)*SIN(-ACOS(IF(I81="",1,I81))),"j")))</f>
        <v>0</v>
      </c>
      <c r="M81" s="110" t="str">
        <f t="shared" ref="M81" si="67">IF(N81="0","",ROUND(IMABS(N81),2)&amp;"∠"&amp;ROUND(DEGREES(IMARGUMENT(N81)),2))</f>
        <v/>
      </c>
      <c r="N81" s="112" t="str">
        <f>IF(AND(D81&gt;0,E81&gt;0,F81=""),COMPLEX(E81*IF(C81="",1,C81)*(COS(ACOS(IF(I81="",1,I81))+RADIANS(-30))),E81*IF(C81="",1,C81)*SIN(ACOS(COS(ACOS(IF(I81="",1,I81))+RADIANS(-30)))),"j"),IF(AND(D81="",E81&gt;0,F81&gt;0),COMPLEX(E81*IF(C81="",1,C81)*(COS(ACOS(IF(I81="",1,I81))+RADIANS(30))),E81*IF(C81="",1,C81)*SIN(ACOS(COS(ACOS(IF(I81="",1,I81))+RADIANS(30)))),"j"),COMPLEX(E81*IF(C81="",1,C81)*IF(I81="",1,I81),E81*IF(C81="",1,C81)*SIN(ACOS(IF(I81="",1,I81))),"j")))</f>
        <v>0</v>
      </c>
      <c r="O81" s="110" t="str">
        <f t="shared" ref="O81" si="68">IF(P81="0","",ROUND(IMABS(P81),2)&amp;"∠"&amp;ROUND(DEGREES(IMARGUMENT(P81)),2))</f>
        <v/>
      </c>
      <c r="P81" s="112" t="str">
        <f>IF(AND(D81="",E81&gt;0,F81&gt;0),COMPLEX(F81*IF(C81="",1,C81)*(COS(ACOS(IF(I81="",1,I81))+RADIANS(-30))),F81*IF(C81="",1,C81)*SIN(ACOS(COS(ACOS(IF(I81="",1,I81))+RADIANS(-30)))),"j"),IF(AND(D81&gt;0,E81="",F81&gt;0),COMPLEX(F81*IF(C81="",1,C81)*(COS(ACOS(IF(I81="",1,I81))+RADIANS(30))),F81*IF(C81="",1,C81)*SIN(ACOS(COS(ACOS(IF(I81="",1,I81))+RADIANS(30)))),"j"),COMPLEX(F81*IF(C81="",1,C81)*IF(I81="",1,I81),F81*IF(C81="",1,C81)*SIN(ACOS(IF(I81="",1,I81))),"j")))</f>
        <v>0</v>
      </c>
      <c r="Q81" s="22" t="str">
        <f t="shared" si="47"/>
        <v/>
      </c>
      <c r="R81" s="84"/>
      <c r="S81" s="84"/>
      <c r="T81" s="84" t="str">
        <f t="shared" si="48"/>
        <v>0</v>
      </c>
      <c r="U81" s="71"/>
      <c r="V81" s="152"/>
      <c r="AR81" s="74"/>
      <c r="AS81" s="75"/>
      <c r="AT81" s="75"/>
      <c r="AU81" s="75"/>
      <c r="AV81" s="73"/>
      <c r="AW81" s="78"/>
      <c r="AX81" s="78"/>
      <c r="AZ81" s="95" t="str">
        <f t="shared" si="58"/>
        <v/>
      </c>
      <c r="BA81" s="64" t="str">
        <f t="shared" si="49"/>
        <v>0</v>
      </c>
      <c r="BB81" s="95" t="str">
        <f t="shared" si="59"/>
        <v/>
      </c>
      <c r="BC81" s="62" t="str">
        <f t="shared" si="50"/>
        <v>0</v>
      </c>
      <c r="BD81" s="95" t="str">
        <f t="shared" si="60"/>
        <v/>
      </c>
      <c r="BE81" s="62" t="str">
        <f t="shared" si="51"/>
        <v>0</v>
      </c>
      <c r="BF81" s="95" t="str">
        <f t="shared" si="61"/>
        <v/>
      </c>
      <c r="BG81" s="65" t="str">
        <f t="shared" si="63"/>
        <v>0</v>
      </c>
    </row>
    <row r="82" spans="2:59" s="3" customFormat="1" ht="15" thickBot="1" x14ac:dyDescent="0.4">
      <c r="B82" s="25" t="s">
        <v>7</v>
      </c>
      <c r="C82" s="118"/>
      <c r="D82" s="26">
        <f>SUM(IF($C62="",1,$C62)*D62,IF($C63="",1,$C63)*D63,IF($C64="",1,$C64)*D64,IF($C65="",1,$C65)*D65,IF($C66="",1,$C66)*D66,IF($C67="",1,$C67)*D67,IF($C68="",1,$C68)*D68,IF($C69="",1,$C69)*D69,IF($C70="",1,$C70)*D70,IF($C71="",1,$C71)*D71,IF($C72="",1,$C72)*D72,IF($C73="",1,$C73)*D73,IF($C74="",1,$C74)*D74,IF($C75="",1,$C75)*D75,IF($C76="",1,$C76)*D76,IF($C77="",1,$C77)*D77,IF($C78="",1,$C78)*D78,IF($C79="",1,$C79)*D79,IF($C80="",1,$C80)*D80,IF($C81="",1,$C81)*D81)</f>
        <v>216.10000000000002</v>
      </c>
      <c r="E82" s="27">
        <f t="shared" ref="E82" si="69">SUM(IF($C62="",1,$C62)*E62,IF($C63="",1,$C63)*E63,IF($C64="",1,$C64)*E64,IF($C65="",1,$C65)*E65,IF($C66="",1,$C66)*E66,IF($C67="",1,$C67)*E67,IF($C68="",1,$C68)*E68,IF($C69="",1,$C69)*E69,IF($C70="",1,$C70)*E70,IF($C71="",1,$C71)*E71,IF($C72="",1,$C72)*E72,IF($C73="",1,$C73)*E73,IF($C74="",1,$C74)*E74,IF($C75="",1,$C75)*E75,IF($C76="",1,$C76)*E76,IF($C77="",1,$C77)*E77,IF($C78="",1,$C78)*E78,IF($C79="",1,$C79)*E79,IF($C80="",1,$C80)*E80,IF($C81="",1,$C81)*E81)</f>
        <v>216.10000000000002</v>
      </c>
      <c r="F82" s="63">
        <f t="shared" ref="F82" si="70">SUM(IF($C62="",1,$C62)*F62,IF($C63="",1,$C63)*F63,IF($C64="",1,$C64)*F64,IF($C65="",1,$C65)*F65,IF($C66="",1,$C66)*F66,IF($C67="",1,$C67)*F67,IF($C68="",1,$C68)*F68,IF($C69="",1,$C69)*F69,IF($C70="",1,$C70)*F70,IF($C71="",1,$C71)*F71,IF($C72="",1,$C72)*F72,IF($C73="",1,$C73)*F73,IF($C74="",1,$C74)*F74,IF($C75="",1,$C75)*F75,IF($C76="",1,$C76)*F76,IF($C77="",1,$C77)*F77,IF($C78="",1,$C78)*F78,IF($C79="",1,$C79)*F79,IF($C80="",1,$C80)*F80,IF($C81="",1,$C81)*F81)</f>
        <v>216.10000000000002</v>
      </c>
      <c r="G82" s="126">
        <f>SUM(G62:G80)</f>
        <v>0</v>
      </c>
      <c r="H82" s="126">
        <f>SUM(H62:H80)</f>
        <v>0.17</v>
      </c>
      <c r="I82" s="168" t="s">
        <v>18</v>
      </c>
      <c r="J82" s="169"/>
      <c r="K82" s="102" t="str">
        <f>ROUND(IMABS(L82),2)&amp;"∠"&amp;ROUND(DEGREES(IMARGUMENT(L82)),2)</f>
        <v>215,81∠-16,42</v>
      </c>
      <c r="L82" s="29" t="str">
        <f>IMSUM(L62,L63,L72,L73,L74,L75,L76,L77,L78,L79,L80,L81,L64,L65,L66,L67,L68,L69,L70,L71)</f>
        <v>207,014-60,9878401365252j</v>
      </c>
      <c r="M82" s="102" t="str">
        <f>ROUND(IMABS(N82),2)&amp;"∠"&amp;ROUND(DEGREES(IMARGUMENT(N82)),2)</f>
        <v>215,81∠-16,42</v>
      </c>
      <c r="N82" s="29" t="str">
        <f>IMSUM(N62,N63,N72,N73,N74,N75,N76,N77,N78,N79,N80,N81,N64,N65,N66,N67,N68,N69,N70,N71)</f>
        <v>207,014-60,9878401365252j</v>
      </c>
      <c r="O82" s="102" t="str">
        <f>ROUND(IMABS(P82),2)&amp;"∠"&amp;ROUND(DEGREES(IMARGUMENT(P82)),2)</f>
        <v>215,81∠-16,42</v>
      </c>
      <c r="P82" s="29" t="str">
        <f>IMSUM(P62,P63,P72,P73,P74,P75,P76,P77,P78,P79,P80,P81,P64,P65,P66,P67,P68,P69,P70,P71)</f>
        <v>207,014-60,9878401365252j</v>
      </c>
      <c r="Q82" s="28" t="str">
        <f>ROUND(IMABS(T82),2)&amp;"∠"&amp;ROUND(DEGREES(IMARGUMENT(T82)),2)</f>
        <v>161,36∠-130,89</v>
      </c>
      <c r="R82" s="120"/>
      <c r="S82" s="120"/>
      <c r="T82" s="121" t="str">
        <f>IMSUM(T62,T63,T72,T73,T74,T75,T76,T77,T78,T79,T80,T81,T64,T65,T66,T67,T68,T69,T70,T71)</f>
        <v>-105,63403776035-121,97568027305j</v>
      </c>
      <c r="U82" s="72"/>
      <c r="V82" s="152"/>
      <c r="AR82" s="75"/>
      <c r="AS82" s="74"/>
      <c r="AT82" s="74"/>
      <c r="AU82" s="74"/>
      <c r="AV82" s="62"/>
      <c r="AW82" s="77"/>
      <c r="AX82" s="77"/>
      <c r="AZ82" s="95" t="str">
        <f t="shared" si="58"/>
        <v>215,81∠-16,42</v>
      </c>
      <c r="BA82" s="3" t="str">
        <f>IMSUM(BA62:BA81)</f>
        <v>207,014-60,9878401365252j</v>
      </c>
      <c r="BB82" s="95" t="str">
        <f t="shared" si="59"/>
        <v>261,61∠-126,69</v>
      </c>
      <c r="BC82" s="3" t="str">
        <f>IMSUM(BC62:BC81)</f>
        <v>-156,324018880175-209,773303007294j</v>
      </c>
      <c r="BD82" s="95" t="str">
        <f t="shared" si="60"/>
        <v>215,81∠136,42</v>
      </c>
      <c r="BE82" s="3" t="str">
        <f>IMSUM(BE62:BE81)</f>
        <v>-156,324018880175+148,785462870769j</v>
      </c>
      <c r="BF82" s="95" t="str">
        <f t="shared" si="61"/>
        <v>161,36∠-130,89</v>
      </c>
      <c r="BG82" s="3" t="str">
        <f>IMSUM(BG62:BG81)</f>
        <v>-105,63403776035-121,97568027305j</v>
      </c>
    </row>
    <row r="83" spans="2:59" s="3" customFormat="1" ht="15" thickBot="1" x14ac:dyDescent="0.4">
      <c r="B83" s="30" t="s">
        <v>8</v>
      </c>
      <c r="C83" s="59"/>
      <c r="D83" s="31">
        <f>D82*IF(C83="",1,C83)</f>
        <v>216.10000000000002</v>
      </c>
      <c r="E83" s="32">
        <f>E82*IF(C83="",1,C83)</f>
        <v>216.10000000000002</v>
      </c>
      <c r="F83" s="32">
        <f>F82*IF(C83="",1,C83)</f>
        <v>216.10000000000002</v>
      </c>
      <c r="G83" s="127"/>
      <c r="H83" s="129"/>
      <c r="I83" s="80" t="s">
        <v>17</v>
      </c>
      <c r="J83" s="81" t="s">
        <v>6</v>
      </c>
      <c r="K83" s="102" t="str">
        <f>ROUND(IMABS(L83),2)&amp;"∠"&amp;ROUND(DEGREES(IMARGUMENT(L83)),2)</f>
        <v>215,81∠-16,42</v>
      </c>
      <c r="L83" s="33" t="str">
        <f>IMPRODUCT(L82,IF(C83="",1,C83))</f>
        <v>207,014-60,9878401365252j</v>
      </c>
      <c r="M83" s="102" t="str">
        <f>ROUND(IMABS(N83),2)&amp;"∠"&amp;ROUND(DEGREES(IMARGUMENT(N83)),2)</f>
        <v>215,81∠-16,42</v>
      </c>
      <c r="N83" s="33" t="str">
        <f>IMPRODUCT(N82,IF(C83="",1,C83))</f>
        <v>207,014-60,9878401365252j</v>
      </c>
      <c r="O83" s="102" t="str">
        <f>ROUND(IMABS(P83),2)&amp;"∠"&amp;ROUND(DEGREES(IMARGUMENT(P83)),2)</f>
        <v>215,81∠-16,42</v>
      </c>
      <c r="P83" s="33" t="str">
        <f>IMPRODUCT(P82,IF(C83="",1,C83))</f>
        <v>207,014-60,9878401365252j</v>
      </c>
      <c r="Q83" s="28" t="str">
        <f>ROUND(IMABS(T83),2)&amp;"∠"&amp;ROUND(DEGREES(IMARGUMENT(T83)),2)</f>
        <v>34869,61∠-130,89</v>
      </c>
      <c r="R83" s="69"/>
      <c r="S83" s="69"/>
      <c r="T83" s="69" t="str">
        <f>IMPRODUCT(T82,IF(E83="",1,E83))</f>
        <v>-22827,5155600116-26358,9445070061j</v>
      </c>
      <c r="U83" s="71"/>
      <c r="V83" s="152"/>
      <c r="AR83" s="75" t="s">
        <v>1</v>
      </c>
      <c r="AS83" s="75" t="s">
        <v>2</v>
      </c>
      <c r="AT83" s="75" t="s">
        <v>3</v>
      </c>
      <c r="AU83" s="73" t="s">
        <v>15</v>
      </c>
      <c r="AV83" s="73" t="s">
        <v>14</v>
      </c>
      <c r="AW83" s="73" t="s">
        <v>19</v>
      </c>
      <c r="AX83" s="73" t="s">
        <v>16</v>
      </c>
      <c r="AZ83" s="95" t="str">
        <f t="shared" si="58"/>
        <v>215,81∠-16,42</v>
      </c>
      <c r="BA83" s="64" t="str">
        <f>IMPRODUCT(BA82,IF(C83="",1,C83))</f>
        <v>207,014-60,9878401365252j</v>
      </c>
      <c r="BB83" s="95" t="str">
        <f t="shared" si="59"/>
        <v>261,61∠-126,69</v>
      </c>
      <c r="BC83" s="66" t="str">
        <f>IMPRODUCT(BC82,IF(C83="",1,C83))</f>
        <v>-156,324018880175-209,773303007294j</v>
      </c>
      <c r="BD83" s="95" t="str">
        <f t="shared" si="60"/>
        <v>215,81∠136,42</v>
      </c>
      <c r="BE83" s="66" t="str">
        <f>IMPRODUCT(BE82,IF(C83="",1,C83))</f>
        <v>-156,324018880175+148,785462870769j</v>
      </c>
      <c r="BF83" s="95" t="str">
        <f t="shared" si="61"/>
        <v>161,36∠-130,89</v>
      </c>
      <c r="BG83" s="66" t="str">
        <f>IMPRODUCT(BG82,IF(C83="",1,C83))</f>
        <v>-105,63403776035-121,97568027305j</v>
      </c>
    </row>
    <row r="84" spans="2:59" s="3" customFormat="1" ht="15" thickBot="1" x14ac:dyDescent="0.4">
      <c r="B84" s="52" t="s">
        <v>9</v>
      </c>
      <c r="C84" s="117"/>
      <c r="D84" s="31">
        <f>D83*IF(C84="",1,C84)</f>
        <v>216.10000000000002</v>
      </c>
      <c r="E84" s="32">
        <f>E83*IF(C84="",1,C84)</f>
        <v>216.10000000000002</v>
      </c>
      <c r="F84" s="32">
        <f>F83*IF(C84="",1,C84)</f>
        <v>216.10000000000002</v>
      </c>
      <c r="G84" s="31"/>
      <c r="H84" s="130"/>
      <c r="I84" s="56">
        <f>AV84</f>
        <v>0.95921536033657429</v>
      </c>
      <c r="J84" s="57">
        <f>AU84</f>
        <v>-16.420000000000002</v>
      </c>
      <c r="K84" s="102" t="str">
        <f>ROUND(IMABS(L84),2)&amp;"∠"&amp;ROUND(DEGREES(IMARGUMENT(L84)),2)</f>
        <v>215,81∠-16,42</v>
      </c>
      <c r="L84" s="33" t="str">
        <f>IMPRODUCT(L83,IF(C84="",1,C84))</f>
        <v>207,014-60,9878401365252j</v>
      </c>
      <c r="M84" s="102" t="str">
        <f>ROUND(IMABS(N84),2)&amp;"∠"&amp;ROUND(DEGREES(IMARGUMENT(N84)),2)</f>
        <v>215,81∠-16,42</v>
      </c>
      <c r="N84" s="33" t="str">
        <f>IMPRODUCT(N83,IF(C84="",1,C84))</f>
        <v>207,014-60,9878401365252j</v>
      </c>
      <c r="O84" s="102" t="str">
        <f>ROUND(IMABS(P84),2)&amp;"∠"&amp;ROUND(DEGREES(IMARGUMENT(P84)),2)</f>
        <v>215,81∠-16,42</v>
      </c>
      <c r="P84" s="33" t="str">
        <f>IMPRODUCT(P83,IF(C84="",1,C84))</f>
        <v>207,014-60,9878401365252j</v>
      </c>
      <c r="Q84" s="67"/>
      <c r="R84" s="68"/>
      <c r="S84" s="68"/>
      <c r="T84" s="68"/>
      <c r="U84" s="71"/>
      <c r="V84" s="152"/>
      <c r="AR84" s="74">
        <f>IFERROR(ROUND(DEGREES(IMARGUMENT(L84)),2),0)</f>
        <v>-16.420000000000002</v>
      </c>
      <c r="AS84" s="74">
        <f>IFERROR(ROUND(DEGREES(IMARGUMENT(N84)),2),0)</f>
        <v>-16.420000000000002</v>
      </c>
      <c r="AT84" s="74">
        <f>IFERROR(ROUND(DEGREES(IMARGUMENT(P84)),2),0)</f>
        <v>-16.420000000000002</v>
      </c>
      <c r="AU84" s="62">
        <f>MIN(AR84:AT84)</f>
        <v>-16.420000000000002</v>
      </c>
      <c r="AV84" s="79">
        <f>COS(RADIANS(AU84))</f>
        <v>0.95921536033657429</v>
      </c>
      <c r="AW84" s="62">
        <f>MAX(AR84:AT84)</f>
        <v>-16.420000000000002</v>
      </c>
      <c r="AX84" s="62">
        <f>COS(RADIANS(AW84))</f>
        <v>0.95921536033657429</v>
      </c>
      <c r="AZ84" s="95" t="str">
        <f t="shared" si="58"/>
        <v>215,81∠-16,42</v>
      </c>
      <c r="BA84" s="64" t="str">
        <f>IMPRODUCT(BA83,IF($C$28="",1,$C$28))</f>
        <v>207,014-60,9878401365252j</v>
      </c>
      <c r="BB84" s="95" t="str">
        <f t="shared" si="59"/>
        <v>261,61∠-126,69</v>
      </c>
      <c r="BC84" s="66" t="str">
        <f>IMPRODUCT(BC83,IF($C$28="",1,$C$28))</f>
        <v>-156,324018880175-209,773303007294j</v>
      </c>
      <c r="BD84" s="95" t="str">
        <f t="shared" si="60"/>
        <v>215,81∠136,42</v>
      </c>
      <c r="BE84" s="66" t="str">
        <f>IMPRODUCT(BE83,IF($C$28="",1,$C$28))</f>
        <v>-156,324018880175+148,785462870769j</v>
      </c>
      <c r="BF84" s="95" t="str">
        <f t="shared" si="61"/>
        <v>161,36∠-130,89</v>
      </c>
      <c r="BG84" s="66" t="str">
        <f>IMPRODUCT(BG83,IF($C$28="",1,$C$28))</f>
        <v>-105,63403776035-121,97568027305j</v>
      </c>
    </row>
    <row r="85" spans="2:59" s="3" customFormat="1" x14ac:dyDescent="0.35">
      <c r="D85" s="2"/>
      <c r="E85" s="2"/>
      <c r="F85" s="2"/>
      <c r="G85" s="2"/>
      <c r="H85" s="2"/>
      <c r="I85" s="2"/>
      <c r="J85" s="2"/>
      <c r="K85" s="86"/>
      <c r="L85" s="34"/>
      <c r="M85" s="86"/>
      <c r="N85" s="34"/>
      <c r="O85" s="86"/>
      <c r="P85" s="34"/>
      <c r="Q85" s="4"/>
      <c r="R85" s="4"/>
      <c r="S85" s="4"/>
      <c r="T85" s="4"/>
      <c r="V85" s="152"/>
    </row>
    <row r="86" spans="2:59" s="3" customFormat="1" x14ac:dyDescent="0.35">
      <c r="B86" s="178" t="s">
        <v>37</v>
      </c>
      <c r="C86" s="178"/>
      <c r="D86" s="2"/>
      <c r="E86" s="2"/>
      <c r="F86" s="2"/>
      <c r="G86" s="2"/>
      <c r="H86" s="2"/>
      <c r="I86" s="2"/>
      <c r="J86" s="2"/>
      <c r="K86" s="86"/>
      <c r="L86" s="34"/>
      <c r="M86" s="86"/>
      <c r="N86" s="34"/>
      <c r="O86" s="86"/>
      <c r="P86" s="34"/>
      <c r="Q86" s="4"/>
      <c r="R86" s="4"/>
      <c r="S86" s="4"/>
      <c r="T86" s="4"/>
      <c r="V86" s="152"/>
    </row>
    <row r="87" spans="2:59" s="3" customFormat="1" ht="15" customHeight="1" thickBot="1" x14ac:dyDescent="0.4">
      <c r="B87" s="179"/>
      <c r="C87" s="179"/>
      <c r="D87" s="2"/>
      <c r="E87" s="2"/>
      <c r="F87" s="2"/>
      <c r="G87" s="2"/>
      <c r="H87" s="2"/>
      <c r="I87" s="2"/>
      <c r="J87" s="2"/>
      <c r="K87" s="86"/>
      <c r="L87" s="34"/>
      <c r="M87" s="86"/>
      <c r="N87" s="34"/>
      <c r="O87" s="86"/>
      <c r="P87" s="34"/>
      <c r="Q87" s="4"/>
      <c r="R87" s="4"/>
      <c r="S87" s="4"/>
      <c r="T87" s="4"/>
      <c r="V87" s="152"/>
    </row>
    <row r="88" spans="2:59" s="3" customFormat="1" ht="14.4" customHeight="1" x14ac:dyDescent="0.35">
      <c r="B88" s="5"/>
      <c r="C88" s="6"/>
      <c r="D88" s="7"/>
      <c r="E88" s="8" t="s">
        <v>0</v>
      </c>
      <c r="F88" s="8"/>
      <c r="G88" s="157" t="s">
        <v>40</v>
      </c>
      <c r="H88" s="157" t="s">
        <v>41</v>
      </c>
      <c r="I88" s="9"/>
      <c r="J88" s="10"/>
      <c r="K88" s="159" t="s">
        <v>1</v>
      </c>
      <c r="L88" s="163"/>
      <c r="M88" s="159" t="s">
        <v>2</v>
      </c>
      <c r="N88" s="163"/>
      <c r="O88" s="159" t="s">
        <v>3</v>
      </c>
      <c r="P88" s="163"/>
      <c r="Q88" s="159" t="s">
        <v>12</v>
      </c>
      <c r="R88" s="160"/>
      <c r="S88" s="160"/>
      <c r="T88" s="160"/>
      <c r="U88" s="71"/>
      <c r="V88" s="149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96"/>
      <c r="AL88" s="87"/>
      <c r="AM88" s="87"/>
      <c r="AN88" s="87"/>
      <c r="AO88" s="87"/>
      <c r="AP88" s="89"/>
    </row>
    <row r="89" spans="2:59" s="3" customFormat="1" ht="15" customHeight="1" thickBot="1" x14ac:dyDescent="0.5">
      <c r="B89" s="12" t="s">
        <v>4</v>
      </c>
      <c r="C89" s="53" t="s">
        <v>10</v>
      </c>
      <c r="D89" s="14" t="s">
        <v>1</v>
      </c>
      <c r="E89" s="15" t="s">
        <v>2</v>
      </c>
      <c r="F89" s="15" t="s">
        <v>3</v>
      </c>
      <c r="G89" s="158"/>
      <c r="H89" s="158"/>
      <c r="I89" s="16" t="s">
        <v>5</v>
      </c>
      <c r="J89" s="17" t="s">
        <v>6</v>
      </c>
      <c r="K89" s="161"/>
      <c r="L89" s="164"/>
      <c r="M89" s="161"/>
      <c r="N89" s="164"/>
      <c r="O89" s="161"/>
      <c r="P89" s="164"/>
      <c r="Q89" s="161"/>
      <c r="R89" s="162"/>
      <c r="S89" s="162"/>
      <c r="T89" s="162"/>
      <c r="U89" s="71"/>
      <c r="V89" s="150"/>
      <c r="W89" s="113" t="s">
        <v>25</v>
      </c>
      <c r="X89" s="170">
        <v>400</v>
      </c>
      <c r="Y89" s="170"/>
      <c r="Z89" s="78" t="s">
        <v>29</v>
      </c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97"/>
      <c r="AL89" s="77"/>
      <c r="AM89" s="73" t="s">
        <v>24</v>
      </c>
      <c r="AN89" s="73" t="s">
        <v>26</v>
      </c>
      <c r="AO89" s="73" t="s">
        <v>30</v>
      </c>
      <c r="AP89" s="62"/>
    </row>
    <row r="90" spans="2:59" s="3" customFormat="1" ht="15" customHeight="1" x14ac:dyDescent="0.35">
      <c r="B90" s="60" t="s">
        <v>46</v>
      </c>
      <c r="C90" s="114">
        <v>1</v>
      </c>
      <c r="D90" s="47">
        <v>14</v>
      </c>
      <c r="E90" s="48">
        <v>14</v>
      </c>
      <c r="F90" s="48">
        <v>14</v>
      </c>
      <c r="G90" s="123">
        <v>42</v>
      </c>
      <c r="H90" s="49"/>
      <c r="I90" s="51">
        <v>0.86</v>
      </c>
      <c r="J90" s="20">
        <f t="shared" ref="J90:J109" si="71">IF(AND(D90="",E90="",F90=""),"",IF(AND(D90&gt;0,E90&gt;0,F90=""),ROUND(DEGREES(IMARGUMENT(L90)),2),IF(AND(D90="",E90&gt;0,F90&gt;0),ROUND(DEGREES(IMARGUMENT(N90)),2),IF(AND(D90&gt;0,E90="",F90&gt;0),ROUND(DEGREES(IMARGUMENT(P90)),2),IF(AND(E90="",F90=""),ROUND(DEGREES(IMARGUMENT(L90)),2),IF(AND(D90="",F90=""),ROUND(DEGREES(IMARGUMENT(N90)),2),IF(AND(E90="",D90=""),ROUND(DEGREES(IMARGUMENT(P90)),2),ROUND(DEGREES(IMARGUMENT(L90)),2))))))))</f>
        <v>-30.68</v>
      </c>
      <c r="K90" s="100" t="str">
        <f t="shared" ref="K90" si="72">IF(L90="0","",ROUND(IMABS(L90),2)&amp;"∠"&amp;ROUND(DEGREES(IMARGUMENT(L90)),2))</f>
        <v>14∠-30,68</v>
      </c>
      <c r="L90" s="21" t="str">
        <f>IF(AND(D90&gt;0,E90&gt;0,F90=""),COMPLEX(D90*IF(C90="",1,C90)*(COS(-ACOS(IF(I90="",1,I90))+RADIANS(30))),D90*IF(C90="",1,C90)*SIN(ACOS(COS(-ACOS(IF(I90="",1,I90))+RADIANS(30)))),"j"),IF(AND(D90&gt;0,E90="",F90&gt;0),COMPLEX(D90*IF(C90="",1,C90)*(COS(-ACOS(IF(I90="",1,I90))+RADIANS(-30))),D90*IF(C90="",1,C90)*SIN(-ACOS(COS(-ACOS(IF(I90="",1,I90))+RADIANS(-30)))),"j"),COMPLEX(D90*IF(C90="",1,C90)*IF(I90="",1,I90),D90*IF(C90="",1,C90)*SIN(-ACOS(IF(I90="",1,I90))),"j")))</f>
        <v>12,04-7,14411646041692j</v>
      </c>
      <c r="M90" s="100" t="str">
        <f>IF(N90="0","",ROUND(IMABS(N90),2)&amp;"∠"&amp;ROUND(DEGREES(IMARGUMENT(N90)),2))</f>
        <v>14∠-30,68</v>
      </c>
      <c r="N90" s="22" t="str">
        <f>IF(AND(D90&gt;0,E90&gt;0,F90=""),COMPLEX(E90*IF(C90="",1,C90)*(COS(-ACOS(IF(I90="",1,I90))+RADIANS(-30))),E90*IF(C90="",1,C90)*SIN(-ACOS(COS(-ACOS(IF(I90="",1,I90))+RADIANS(-30)))),"j"),IF(AND(D90="",E90&gt;0,F90&gt;0),COMPLEX(E90*IF(C90="",1,C90)*(COS(-ACOS(IF(I90="",1,I90))+RADIANS(30))),E90*IF(C90="",1,C90)*SIN(ACOS(COS(-ACOS(IF(I90="",1,I90))+RADIANS(30)))),"j"),COMPLEX(E90*IF(C90="",1,C90)*IF(I90="",1,I90),E90*IF(C90="",1,C90)*SIN(-ACOS(IF(I90="",1,I90))),"j")))</f>
        <v>12,04-7,14411646041692j</v>
      </c>
      <c r="O90" s="100" t="str">
        <f>IF(P90="0","",ROUND(IMABS(P90),2)&amp;"∠"&amp;ROUND(DEGREES(IMARGUMENT(P90)),2))</f>
        <v>14∠-30,68</v>
      </c>
      <c r="P90" s="22" t="str">
        <f>IF(AND(D90="",E90&gt;0,F90&gt;0),COMPLEX(F90*IF(C90="",1,C90)*(COS(-ACOS(IF(I90="",1,I90))+RADIANS(-30))),F90*IF(C90="",1,C90)*SIN(-ACOS(COS(-ACOS(IF(I90="",1,I90))+RADIANS(-30)))),"j"),IF(AND(D90&gt;0,E90="",F90&gt;0),COMPLEX(F90*IF(C90="",1,C90)*(COS(-ACOS(IF(I90="",1,I90))+RADIANS(30))),F90*IF(C90="",1,C90)*SIN(ACOS(COS(-ACOS(IF(I90="",1,I90))+RADIANS(30)))),"j"),COMPLEX(F90*IF(C90="",1,C90)*IF(I90="",1,I90),F90*IF(C90="",1,C90)*SIN(-ACOS(IF(I90="",1,I90))),"j")))</f>
        <v>12,04-7,14411646041692j</v>
      </c>
      <c r="Q90" s="22">
        <f t="shared" ref="Q90:Q109" si="73">BF90</f>
        <v>0</v>
      </c>
      <c r="R90" s="84"/>
      <c r="S90" s="84"/>
      <c r="T90" s="84">
        <f t="shared" ref="T90:T109" si="74">BG90</f>
        <v>0</v>
      </c>
      <c r="U90" s="71"/>
      <c r="V90" s="150"/>
      <c r="W90" s="113" t="s">
        <v>26</v>
      </c>
      <c r="X90" s="170"/>
      <c r="Y90" s="170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97"/>
      <c r="AL90" s="77"/>
      <c r="AM90" s="73" t="s">
        <v>25</v>
      </c>
      <c r="AN90" s="73" t="s">
        <v>27</v>
      </c>
      <c r="AO90" s="73" t="s">
        <v>31</v>
      </c>
      <c r="AP90" s="62"/>
    </row>
    <row r="91" spans="2:59" s="3" customFormat="1" ht="15" customHeight="1" x14ac:dyDescent="0.35">
      <c r="B91" s="60" t="s">
        <v>47</v>
      </c>
      <c r="C91" s="115">
        <v>1</v>
      </c>
      <c r="D91" s="49">
        <v>35</v>
      </c>
      <c r="E91" s="50">
        <v>35</v>
      </c>
      <c r="F91" s="50">
        <v>35</v>
      </c>
      <c r="G91" s="123">
        <v>210</v>
      </c>
      <c r="H91" s="49"/>
      <c r="I91" s="51">
        <v>0.91</v>
      </c>
      <c r="J91" s="20">
        <f t="shared" si="71"/>
        <v>-24.49</v>
      </c>
      <c r="K91" s="100" t="str">
        <f t="shared" ref="K91:K109" si="75">IF(L91="0","",ROUND(IMABS(L91),2)&amp;"∠"&amp;ROUND(DEGREES(IMARGUMENT(L91)),2))</f>
        <v>35∠-24,49</v>
      </c>
      <c r="L91" s="21" t="str">
        <f t="shared" ref="L91:L108" si="76">IF(AND(D91&gt;0,E91&gt;0,F91=""),COMPLEX(D91*IF(C91="",1,C91)*(COS(-ACOS(IF(I91="",1,I91))+RADIANS(30))),D91*IF(C91="",1,C91)*SIN(ACOS(COS(-ACOS(IF(I91="",1,I91))+RADIANS(30)))),"j"),IF(AND(D91&gt;0,E91="",F91&gt;0),COMPLEX(D91*IF(C91="",1,C91)*(COS(-ACOS(IF(I91="",1,I91))+RADIANS(-30))),D91*IF(C91="",1,C91)*SIN(-ACOS(COS(-ACOS(IF(I91="",1,I91))+RADIANS(-30)))),"j"),COMPLEX(D91*IF(C91="",1,C91)*IF(I91="",1,I91),D91*IF(C91="",1,C91)*SIN(-ACOS(IF(I91="",1,I91))),"j")))</f>
        <v>31,85-14,5112887091395j</v>
      </c>
      <c r="M91" s="100" t="str">
        <f t="shared" ref="M91:M109" si="77">IF(N91="0","",ROUND(IMABS(N91),2)&amp;"∠"&amp;ROUND(DEGREES(IMARGUMENT(N91)),2))</f>
        <v>35∠-24,49</v>
      </c>
      <c r="N91" s="22" t="str">
        <f t="shared" ref="N91:N108" si="78">IF(AND(D91&gt;0,E91&gt;0,F91=""),COMPLEX(E91*IF(C91="",1,C91)*(COS(-ACOS(IF(I91="",1,I91))+RADIANS(-30))),E91*IF(C91="",1,C91)*SIN(-ACOS(COS(-ACOS(IF(I91="",1,I91))+RADIANS(-30)))),"j"),IF(AND(D91="",E91&gt;0,F91&gt;0),COMPLEX(E91*IF(C91="",1,C91)*(COS(-ACOS(IF(I91="",1,I91))+RADIANS(30))),E91*IF(C91="",1,C91)*SIN(ACOS(COS(-ACOS(IF(I91="",1,I91))+RADIANS(30)))),"j"),COMPLEX(E91*IF(C91="",1,C91)*IF(I91="",1,I91),E91*IF(C91="",1,C91)*SIN(-ACOS(IF(I91="",1,I91))),"j")))</f>
        <v>31,85-14,5112887091395j</v>
      </c>
      <c r="O91" s="100" t="str">
        <f t="shared" ref="O91:O109" si="79">IF(P91="0","",ROUND(IMABS(P91),2)&amp;"∠"&amp;ROUND(DEGREES(IMARGUMENT(P91)),2))</f>
        <v>35∠-24,49</v>
      </c>
      <c r="P91" s="22" t="str">
        <f t="shared" ref="P91:P108" si="80">IF(AND(D91="",E91&gt;0,F91&gt;0),COMPLEX(F91*IF(C91="",1,C91)*(COS(-ACOS(IF(I91="",1,I91))+RADIANS(-30))),F91*IF(C91="",1,C91)*SIN(-ACOS(COS(-ACOS(IF(I91="",1,I91))+RADIANS(-30)))),"j"),IF(AND(D91&gt;0,E91="",F91&gt;0),COMPLEX(F91*IF(C91="",1,C91)*(COS(-ACOS(IF(I91="",1,I91))+RADIANS(30))),F91*IF(C91="",1,C91)*SIN(ACOS(COS(-ACOS(IF(I91="",1,I91))+RADIANS(30)))),"j"),COMPLEX(F91*IF(C91="",1,C91)*IF(I91="",1,I91),F91*IF(C91="",1,C91)*SIN(-ACOS(IF(I91="",1,I91))),"j")))</f>
        <v>31,85-14,5112887091395j</v>
      </c>
      <c r="Q91" s="22">
        <f t="shared" si="73"/>
        <v>0</v>
      </c>
      <c r="R91" s="84"/>
      <c r="S91" s="84"/>
      <c r="T91" s="84">
        <f t="shared" si="74"/>
        <v>0</v>
      </c>
      <c r="U91" s="71"/>
      <c r="V91" s="150"/>
      <c r="W91" s="78" t="s">
        <v>28</v>
      </c>
      <c r="X91" s="170">
        <v>1</v>
      </c>
      <c r="Y91" s="170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97"/>
      <c r="AL91" s="77"/>
      <c r="AM91" s="73" t="s">
        <v>21</v>
      </c>
      <c r="AN91" s="62" t="e">
        <f>ROUND((X92/IF(OR(X91=1,X91=""),1,X91))/(X89*X90),2)</f>
        <v>#DIV/0!</v>
      </c>
      <c r="AO91" s="62" t="e">
        <f>ROUND((X92/IF(OR(X91=1,X91=""),1,X91))/(X89*SQRT(3)*X90),2)</f>
        <v>#DIV/0!</v>
      </c>
      <c r="AP91" s="62">
        <f>ROUND(DEGREES(-ACOS(X90)),2)</f>
        <v>-90</v>
      </c>
    </row>
    <row r="92" spans="2:59" s="3" customFormat="1" x14ac:dyDescent="0.35">
      <c r="B92" s="60" t="s">
        <v>48</v>
      </c>
      <c r="C92" s="115">
        <v>1</v>
      </c>
      <c r="D92" s="49">
        <v>85</v>
      </c>
      <c r="E92" s="50">
        <v>85</v>
      </c>
      <c r="F92" s="50">
        <v>85</v>
      </c>
      <c r="G92" s="123"/>
      <c r="H92" s="49"/>
      <c r="I92" s="51">
        <v>0.85</v>
      </c>
      <c r="J92" s="20">
        <f t="shared" si="71"/>
        <v>-31.79</v>
      </c>
      <c r="K92" s="100" t="str">
        <f t="shared" si="75"/>
        <v>85∠-31,79</v>
      </c>
      <c r="L92" s="21" t="str">
        <f t="shared" si="76"/>
        <v>72,25-44,7765284496241j</v>
      </c>
      <c r="M92" s="100" t="str">
        <f t="shared" si="77"/>
        <v>85∠-31,79</v>
      </c>
      <c r="N92" s="22" t="str">
        <f t="shared" si="78"/>
        <v>72,25-44,7765284496241j</v>
      </c>
      <c r="O92" s="100" t="str">
        <f t="shared" si="79"/>
        <v>85∠-31,79</v>
      </c>
      <c r="P92" s="22" t="str">
        <f t="shared" si="80"/>
        <v>72,25-44,7765284496241j</v>
      </c>
      <c r="Q92" s="22">
        <f t="shared" si="73"/>
        <v>0</v>
      </c>
      <c r="R92" s="84"/>
      <c r="S92" s="84"/>
      <c r="T92" s="84">
        <f t="shared" si="74"/>
        <v>0</v>
      </c>
      <c r="U92" s="71"/>
      <c r="V92" s="150"/>
      <c r="W92" s="113" t="s">
        <v>21</v>
      </c>
      <c r="X92" s="170"/>
      <c r="Y92" s="170"/>
      <c r="Z92" s="78" t="str">
        <f>IF(W92="P","W",IF(W92="Q","VAR","VA"))</f>
        <v>W</v>
      </c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97"/>
      <c r="AL92" s="77"/>
      <c r="AM92" s="73" t="s">
        <v>22</v>
      </c>
      <c r="AN92" s="62" t="e">
        <f>ROUND((X92/IF(OR(X91=1,X91=""),1,X91))/(X89*X90),2)</f>
        <v>#DIV/0!</v>
      </c>
      <c r="AO92" s="62" t="e">
        <f>ROUND((X92/IF(OR(X91=1,X91=""),1,X91))/(X89*SQRT(3)*X90),2)</f>
        <v>#DIV/0!</v>
      </c>
      <c r="AP92" s="62">
        <f>ROUND(DEGREES(-ACOS(X90)),2)</f>
        <v>-90</v>
      </c>
      <c r="AR92" s="74"/>
      <c r="AS92" s="75"/>
      <c r="AT92" s="75"/>
      <c r="AU92" s="75"/>
      <c r="AV92" s="73"/>
      <c r="AW92" s="78"/>
      <c r="AX92" s="78"/>
    </row>
    <row r="93" spans="2:59" s="3" customFormat="1" x14ac:dyDescent="0.35">
      <c r="B93" s="60"/>
      <c r="C93" s="115"/>
      <c r="D93" s="49"/>
      <c r="E93" s="50"/>
      <c r="F93" s="50"/>
      <c r="G93" s="123"/>
      <c r="H93" s="49"/>
      <c r="I93" s="51"/>
      <c r="J93" s="20" t="str">
        <f t="shared" si="71"/>
        <v/>
      </c>
      <c r="K93" s="100" t="str">
        <f t="shared" si="75"/>
        <v/>
      </c>
      <c r="L93" s="21" t="str">
        <f t="shared" si="76"/>
        <v>0</v>
      </c>
      <c r="M93" s="100" t="str">
        <f t="shared" si="77"/>
        <v/>
      </c>
      <c r="N93" s="22" t="str">
        <f t="shared" si="78"/>
        <v>0</v>
      </c>
      <c r="O93" s="100" t="str">
        <f t="shared" si="79"/>
        <v/>
      </c>
      <c r="P93" s="22" t="str">
        <f t="shared" si="80"/>
        <v>0</v>
      </c>
      <c r="Q93" s="22">
        <f t="shared" si="73"/>
        <v>0</v>
      </c>
      <c r="R93" s="84"/>
      <c r="S93" s="84"/>
      <c r="T93" s="84">
        <f t="shared" si="74"/>
        <v>0</v>
      </c>
      <c r="U93" s="71"/>
      <c r="V93" s="150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97"/>
      <c r="AL93" s="77"/>
      <c r="AM93" s="73" t="s">
        <v>23</v>
      </c>
      <c r="AN93" s="62">
        <f>ROUND((X92/IF(OR(X91=1,X91=""),1,X91))/(X89),2)</f>
        <v>0</v>
      </c>
      <c r="AO93" s="62">
        <f>ROUND((X92/IF(OR(X91=1,X91=""),1,X91))/(X89*SQRT(3)),2)</f>
        <v>0</v>
      </c>
      <c r="AP93" s="62">
        <f>ROUND(DEGREES(-ACOS(X90)),2)</f>
        <v>-90</v>
      </c>
      <c r="AR93" s="74"/>
      <c r="AS93" s="75"/>
      <c r="AT93" s="75"/>
      <c r="AU93" s="75"/>
      <c r="AV93" s="73"/>
      <c r="AW93" s="78"/>
      <c r="AX93" s="78"/>
    </row>
    <row r="94" spans="2:59" s="3" customFormat="1" ht="15" thickBot="1" x14ac:dyDescent="0.4">
      <c r="B94" s="60"/>
      <c r="C94" s="115"/>
      <c r="D94" s="49"/>
      <c r="E94" s="50"/>
      <c r="F94" s="50"/>
      <c r="G94" s="123"/>
      <c r="H94" s="49"/>
      <c r="I94" s="51"/>
      <c r="J94" s="20" t="str">
        <f t="shared" si="71"/>
        <v/>
      </c>
      <c r="K94" s="100" t="str">
        <f t="shared" si="75"/>
        <v/>
      </c>
      <c r="L94" s="21" t="str">
        <f t="shared" si="76"/>
        <v>0</v>
      </c>
      <c r="M94" s="100" t="str">
        <f t="shared" si="77"/>
        <v/>
      </c>
      <c r="N94" s="22" t="str">
        <f t="shared" si="78"/>
        <v>0</v>
      </c>
      <c r="O94" s="100" t="str">
        <f t="shared" si="79"/>
        <v/>
      </c>
      <c r="P94" s="22" t="str">
        <f t="shared" si="80"/>
        <v>0</v>
      </c>
      <c r="Q94" s="22">
        <f t="shared" si="73"/>
        <v>0</v>
      </c>
      <c r="R94" s="84"/>
      <c r="S94" s="84"/>
      <c r="T94" s="84">
        <f t="shared" si="74"/>
        <v>0</v>
      </c>
      <c r="U94" s="71"/>
      <c r="V94" s="156" t="s">
        <v>33</v>
      </c>
      <c r="W94" s="61"/>
      <c r="X94" s="165" t="str">
        <f>"= ("</f>
        <v>= (</v>
      </c>
      <c r="Y94" s="166" t="str">
        <f>IF(OR(X91=1,X91=""),W92,W92&amp;"₂ / η")</f>
        <v>P</v>
      </c>
      <c r="Z94" s="166"/>
      <c r="AA94" s="166"/>
      <c r="AB94" s="167" t="str">
        <f>"∠-"&amp;IF(W90=AN89,AO89,AO90)&amp;"¯¹ ϕ)"</f>
        <v>∠-cos¯¹ ϕ)</v>
      </c>
      <c r="AC94" s="167"/>
      <c r="AD94" s="165" t="s">
        <v>34</v>
      </c>
      <c r="AE94" s="174">
        <f>IF(OR(X91=1,X91=""),X92,X92&amp;" / "&amp;X91)</f>
        <v>0</v>
      </c>
      <c r="AF94" s="174"/>
      <c r="AG94" s="174"/>
      <c r="AH94" s="167" t="str">
        <f>"∠-"&amp;IF(W90=AN89,AO89,AO90)&amp;"¯¹ "&amp;X90&amp;")"</f>
        <v>∠-cos¯¹ )</v>
      </c>
      <c r="AI94" s="167"/>
      <c r="AJ94" s="165" t="s">
        <v>32</v>
      </c>
      <c r="AK94" s="172" t="e">
        <f>"("&amp;IF(W89=AM89,VLOOKUP(W92,AM91:AO93,2,FALSE),VLOOKUP(W92,AM91:AO93,3,FALSE))&amp;" ∠"&amp;AP91&amp;") A"</f>
        <v>#DIV/0!</v>
      </c>
      <c r="AL94" s="94"/>
      <c r="AM94" s="77"/>
      <c r="AN94" s="77"/>
      <c r="AO94" s="77"/>
      <c r="AP94" s="90"/>
      <c r="AR94" s="75"/>
      <c r="AS94" s="74"/>
      <c r="AT94" s="74"/>
      <c r="AU94" s="74"/>
      <c r="AV94" s="62"/>
      <c r="AW94" s="77"/>
      <c r="AX94" s="77"/>
    </row>
    <row r="95" spans="2:59" s="3" customFormat="1" x14ac:dyDescent="0.35">
      <c r="B95" s="60"/>
      <c r="C95" s="115"/>
      <c r="D95" s="49"/>
      <c r="E95" s="50"/>
      <c r="F95" s="50"/>
      <c r="G95" s="123"/>
      <c r="H95" s="49"/>
      <c r="I95" s="51"/>
      <c r="J95" s="20" t="str">
        <f t="shared" si="71"/>
        <v/>
      </c>
      <c r="K95" s="100" t="str">
        <f t="shared" si="75"/>
        <v/>
      </c>
      <c r="L95" s="21" t="str">
        <f t="shared" si="76"/>
        <v>0</v>
      </c>
      <c r="M95" s="100" t="str">
        <f t="shared" si="77"/>
        <v/>
      </c>
      <c r="N95" s="22" t="str">
        <f t="shared" si="78"/>
        <v>0</v>
      </c>
      <c r="O95" s="100" t="str">
        <f t="shared" si="79"/>
        <v/>
      </c>
      <c r="P95" s="22" t="str">
        <f t="shared" si="80"/>
        <v>0</v>
      </c>
      <c r="Q95" s="22">
        <f t="shared" si="73"/>
        <v>0</v>
      </c>
      <c r="R95" s="84"/>
      <c r="S95" s="84"/>
      <c r="T95" s="84">
        <f t="shared" si="74"/>
        <v>0</v>
      </c>
      <c r="U95" s="71"/>
      <c r="V95" s="156"/>
      <c r="W95" s="155" t="s">
        <v>43</v>
      </c>
      <c r="X95" s="165"/>
      <c r="Y95" s="171" t="str">
        <f>IF(W89=AM90,"√3 · ","")&amp;IF(W89=AM89,AM89,AM90)&amp;IF(W92=AM91," · "&amp;W90,IF(W92=AM92," · "&amp;W90,""))</f>
        <v>√3 · Un · cosϕ</v>
      </c>
      <c r="Z95" s="171"/>
      <c r="AA95" s="171"/>
      <c r="AB95" s="167"/>
      <c r="AC95" s="167"/>
      <c r="AD95" s="165"/>
      <c r="AE95" s="173" t="str">
        <f>IF(W89=AM90,"√3 · ","")&amp;X89&amp;IF(W92=AM91," · "&amp;X90,IF(W92=AM92," · "&amp;X90,""))</f>
        <v xml:space="preserve">√3 · 400 · </v>
      </c>
      <c r="AF95" s="173"/>
      <c r="AG95" s="173"/>
      <c r="AH95" s="167"/>
      <c r="AI95" s="167"/>
      <c r="AJ95" s="165"/>
      <c r="AK95" s="172"/>
      <c r="AL95" s="94"/>
      <c r="AM95" s="77"/>
      <c r="AN95" s="77"/>
      <c r="AO95" s="77"/>
      <c r="AP95" s="90"/>
    </row>
    <row r="96" spans="2:59" s="3" customFormat="1" x14ac:dyDescent="0.35">
      <c r="B96" s="60"/>
      <c r="C96" s="115"/>
      <c r="D96" s="49"/>
      <c r="E96" s="50"/>
      <c r="F96" s="50"/>
      <c r="G96" s="123"/>
      <c r="H96" s="49"/>
      <c r="I96" s="51"/>
      <c r="J96" s="20" t="str">
        <f t="shared" si="71"/>
        <v/>
      </c>
      <c r="K96" s="100" t="str">
        <f t="shared" si="75"/>
        <v/>
      </c>
      <c r="L96" s="21" t="str">
        <f t="shared" si="76"/>
        <v>0</v>
      </c>
      <c r="M96" s="100" t="str">
        <f t="shared" si="77"/>
        <v/>
      </c>
      <c r="N96" s="22" t="str">
        <f t="shared" si="78"/>
        <v>0</v>
      </c>
      <c r="O96" s="100" t="str">
        <f t="shared" si="79"/>
        <v/>
      </c>
      <c r="P96" s="22" t="str">
        <f t="shared" si="80"/>
        <v>0</v>
      </c>
      <c r="Q96" s="22">
        <f t="shared" si="73"/>
        <v>0</v>
      </c>
      <c r="R96" s="84"/>
      <c r="S96" s="84"/>
      <c r="T96" s="84">
        <f t="shared" si="74"/>
        <v>0</v>
      </c>
      <c r="U96" s="71"/>
      <c r="V96" s="151"/>
      <c r="W96" s="92"/>
      <c r="X96" s="98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9"/>
      <c r="AL96" s="91"/>
      <c r="AM96" s="91"/>
      <c r="AN96" s="91"/>
      <c r="AO96" s="91"/>
      <c r="AP96" s="93"/>
    </row>
    <row r="97" spans="2:50" s="3" customFormat="1" x14ac:dyDescent="0.35">
      <c r="B97" s="60"/>
      <c r="C97" s="115"/>
      <c r="D97" s="49"/>
      <c r="E97" s="50"/>
      <c r="F97" s="50"/>
      <c r="G97" s="123"/>
      <c r="H97" s="49"/>
      <c r="I97" s="51"/>
      <c r="J97" s="20" t="str">
        <f t="shared" si="71"/>
        <v/>
      </c>
      <c r="K97" s="100" t="str">
        <f t="shared" si="75"/>
        <v/>
      </c>
      <c r="L97" s="21" t="str">
        <f t="shared" si="76"/>
        <v>0</v>
      </c>
      <c r="M97" s="100" t="str">
        <f t="shared" si="77"/>
        <v/>
      </c>
      <c r="N97" s="22" t="str">
        <f t="shared" si="78"/>
        <v>0</v>
      </c>
      <c r="O97" s="100" t="str">
        <f t="shared" si="79"/>
        <v/>
      </c>
      <c r="P97" s="22" t="str">
        <f t="shared" si="80"/>
        <v>0</v>
      </c>
      <c r="Q97" s="22">
        <f t="shared" si="73"/>
        <v>0</v>
      </c>
      <c r="R97" s="84"/>
      <c r="S97" s="84"/>
      <c r="T97" s="84">
        <f t="shared" si="74"/>
        <v>0</v>
      </c>
      <c r="U97" s="71"/>
      <c r="V97" s="153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</row>
    <row r="98" spans="2:50" s="3" customFormat="1" x14ac:dyDescent="0.35">
      <c r="B98" s="60"/>
      <c r="C98" s="115"/>
      <c r="D98" s="49"/>
      <c r="E98" s="50"/>
      <c r="F98" s="50"/>
      <c r="G98" s="123"/>
      <c r="H98" s="49"/>
      <c r="I98" s="51"/>
      <c r="J98" s="20" t="str">
        <f t="shared" si="71"/>
        <v/>
      </c>
      <c r="K98" s="100" t="str">
        <f t="shared" si="75"/>
        <v/>
      </c>
      <c r="L98" s="21" t="str">
        <f t="shared" si="76"/>
        <v>0</v>
      </c>
      <c r="M98" s="100" t="str">
        <f t="shared" si="77"/>
        <v/>
      </c>
      <c r="N98" s="22" t="str">
        <f t="shared" si="78"/>
        <v>0</v>
      </c>
      <c r="O98" s="100" t="str">
        <f t="shared" si="79"/>
        <v/>
      </c>
      <c r="P98" s="22" t="str">
        <f t="shared" si="80"/>
        <v>0</v>
      </c>
      <c r="Q98" s="22">
        <f t="shared" si="73"/>
        <v>0</v>
      </c>
      <c r="R98" s="84"/>
      <c r="S98" s="84"/>
      <c r="T98" s="84">
        <f t="shared" si="74"/>
        <v>0</v>
      </c>
      <c r="U98" s="71"/>
      <c r="V98" s="149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96"/>
      <c r="AL98" s="87"/>
      <c r="AM98" s="87"/>
      <c r="AN98" s="87"/>
      <c r="AO98" s="87"/>
      <c r="AP98" s="89"/>
    </row>
    <row r="99" spans="2:50" s="3" customFormat="1" x14ac:dyDescent="0.35">
      <c r="B99" s="60"/>
      <c r="C99" s="115"/>
      <c r="D99" s="49"/>
      <c r="E99" s="50"/>
      <c r="F99" s="50"/>
      <c r="G99" s="123"/>
      <c r="H99" s="49"/>
      <c r="I99" s="51"/>
      <c r="J99" s="20" t="str">
        <f t="shared" si="71"/>
        <v/>
      </c>
      <c r="K99" s="100" t="str">
        <f t="shared" si="75"/>
        <v/>
      </c>
      <c r="L99" s="21" t="str">
        <f t="shared" si="76"/>
        <v>0</v>
      </c>
      <c r="M99" s="100" t="str">
        <f t="shared" si="77"/>
        <v/>
      </c>
      <c r="N99" s="22" t="str">
        <f t="shared" si="78"/>
        <v>0</v>
      </c>
      <c r="O99" s="100" t="str">
        <f t="shared" si="79"/>
        <v/>
      </c>
      <c r="P99" s="22" t="str">
        <f t="shared" si="80"/>
        <v>0</v>
      </c>
      <c r="Q99" s="22">
        <f t="shared" si="73"/>
        <v>0</v>
      </c>
      <c r="R99" s="84"/>
      <c r="S99" s="84"/>
      <c r="T99" s="84">
        <f t="shared" si="74"/>
        <v>0</v>
      </c>
      <c r="U99" s="71"/>
      <c r="V99" s="150"/>
      <c r="W99" s="113" t="s">
        <v>25</v>
      </c>
      <c r="X99" s="170">
        <v>400</v>
      </c>
      <c r="Y99" s="170"/>
      <c r="Z99" s="78" t="s">
        <v>29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97"/>
      <c r="AL99" s="77"/>
      <c r="AM99" s="73" t="s">
        <v>24</v>
      </c>
      <c r="AN99" s="73" t="s">
        <v>26</v>
      </c>
      <c r="AO99" s="73" t="s">
        <v>30</v>
      </c>
      <c r="AP99" s="62"/>
    </row>
    <row r="100" spans="2:50" s="3" customFormat="1" x14ac:dyDescent="0.35">
      <c r="B100" s="60"/>
      <c r="C100" s="115"/>
      <c r="D100" s="49"/>
      <c r="E100" s="50"/>
      <c r="F100" s="50"/>
      <c r="G100" s="123"/>
      <c r="H100" s="49"/>
      <c r="I100" s="51"/>
      <c r="J100" s="20" t="str">
        <f t="shared" si="71"/>
        <v/>
      </c>
      <c r="K100" s="100" t="str">
        <f t="shared" si="75"/>
        <v/>
      </c>
      <c r="L100" s="21" t="str">
        <f t="shared" si="76"/>
        <v>0</v>
      </c>
      <c r="M100" s="100" t="str">
        <f t="shared" si="77"/>
        <v/>
      </c>
      <c r="N100" s="22" t="str">
        <f t="shared" si="78"/>
        <v>0</v>
      </c>
      <c r="O100" s="100" t="str">
        <f t="shared" si="79"/>
        <v/>
      </c>
      <c r="P100" s="22" t="str">
        <f t="shared" si="80"/>
        <v>0</v>
      </c>
      <c r="Q100" s="22">
        <f t="shared" si="73"/>
        <v>0</v>
      </c>
      <c r="R100" s="84"/>
      <c r="S100" s="84"/>
      <c r="T100" s="84">
        <f t="shared" si="74"/>
        <v>0</v>
      </c>
      <c r="U100" s="71"/>
      <c r="V100" s="150"/>
      <c r="W100" s="113" t="s">
        <v>26</v>
      </c>
      <c r="X100" s="170"/>
      <c r="Y100" s="170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97"/>
      <c r="AL100" s="77"/>
      <c r="AM100" s="73" t="s">
        <v>25</v>
      </c>
      <c r="AN100" s="73" t="s">
        <v>27</v>
      </c>
      <c r="AO100" s="73" t="s">
        <v>31</v>
      </c>
      <c r="AP100" s="62"/>
    </row>
    <row r="101" spans="2:50" s="3" customFormat="1" x14ac:dyDescent="0.35">
      <c r="B101" s="46"/>
      <c r="C101" s="115"/>
      <c r="D101" s="49"/>
      <c r="E101" s="50"/>
      <c r="F101" s="50"/>
      <c r="G101" s="124"/>
      <c r="H101" s="51"/>
      <c r="I101" s="51"/>
      <c r="J101" s="20" t="str">
        <f t="shared" si="71"/>
        <v/>
      </c>
      <c r="K101" s="100" t="str">
        <f t="shared" si="75"/>
        <v/>
      </c>
      <c r="L101" s="21" t="str">
        <f t="shared" si="76"/>
        <v>0</v>
      </c>
      <c r="M101" s="100" t="str">
        <f t="shared" si="77"/>
        <v/>
      </c>
      <c r="N101" s="22" t="str">
        <f t="shared" si="78"/>
        <v>0</v>
      </c>
      <c r="O101" s="100" t="str">
        <f t="shared" si="79"/>
        <v/>
      </c>
      <c r="P101" s="22" t="str">
        <f t="shared" si="80"/>
        <v>0</v>
      </c>
      <c r="Q101" s="22">
        <f t="shared" si="73"/>
        <v>0</v>
      </c>
      <c r="R101" s="84"/>
      <c r="S101" s="84"/>
      <c r="T101" s="84">
        <f t="shared" si="74"/>
        <v>0</v>
      </c>
      <c r="U101" s="71"/>
      <c r="V101" s="150"/>
      <c r="W101" s="78" t="s">
        <v>28</v>
      </c>
      <c r="X101" s="170">
        <v>1</v>
      </c>
      <c r="Y101" s="170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97"/>
      <c r="AL101" s="77"/>
      <c r="AM101" s="73" t="s">
        <v>21</v>
      </c>
      <c r="AN101" s="62" t="e">
        <f>ROUND((X102/IF(OR(X101=1,X101=""),1,X101))/(X99*X100),2)</f>
        <v>#DIV/0!</v>
      </c>
      <c r="AO101" s="62" t="e">
        <f>ROUND((X102/IF(OR(X101=1,X101=""),1,X101))/(X99*SQRT(3)*X100),2)</f>
        <v>#DIV/0!</v>
      </c>
      <c r="AP101" s="62">
        <f>ROUND(DEGREES(-ACOS(X100)),2)</f>
        <v>-90</v>
      </c>
    </row>
    <row r="102" spans="2:50" s="3" customFormat="1" x14ac:dyDescent="0.35">
      <c r="B102" s="46"/>
      <c r="C102" s="115"/>
      <c r="D102" s="49"/>
      <c r="E102" s="50"/>
      <c r="F102" s="50"/>
      <c r="G102" s="124"/>
      <c r="H102" s="51"/>
      <c r="I102" s="51"/>
      <c r="J102" s="20" t="str">
        <f t="shared" si="71"/>
        <v/>
      </c>
      <c r="K102" s="100" t="str">
        <f t="shared" si="75"/>
        <v/>
      </c>
      <c r="L102" s="21" t="str">
        <f t="shared" si="76"/>
        <v>0</v>
      </c>
      <c r="M102" s="100" t="str">
        <f t="shared" si="77"/>
        <v/>
      </c>
      <c r="N102" s="22" t="str">
        <f t="shared" si="78"/>
        <v>0</v>
      </c>
      <c r="O102" s="100" t="str">
        <f t="shared" si="79"/>
        <v/>
      </c>
      <c r="P102" s="22" t="str">
        <f t="shared" si="80"/>
        <v>0</v>
      </c>
      <c r="Q102" s="22">
        <f t="shared" si="73"/>
        <v>0</v>
      </c>
      <c r="R102" s="84"/>
      <c r="S102" s="84"/>
      <c r="T102" s="84">
        <f t="shared" si="74"/>
        <v>0</v>
      </c>
      <c r="U102" s="71"/>
      <c r="V102" s="150"/>
      <c r="W102" s="113" t="s">
        <v>21</v>
      </c>
      <c r="X102" s="170"/>
      <c r="Y102" s="170"/>
      <c r="Z102" s="78" t="str">
        <f>IF(W102="P","W",IF(W102="Q","VAR","VA"))</f>
        <v>W</v>
      </c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97"/>
      <c r="AL102" s="77"/>
      <c r="AM102" s="73" t="s">
        <v>22</v>
      </c>
      <c r="AN102" s="62" t="e">
        <f>ROUND((X102/IF(OR(X101=1,X101=""),1,X101))/(X99*X100),2)</f>
        <v>#DIV/0!</v>
      </c>
      <c r="AO102" s="62" t="e">
        <f>ROUND((X102/IF(OR(X101=1,X101=""),1,X101))/(X99*SQRT(3)*X100),2)</f>
        <v>#DIV/0!</v>
      </c>
      <c r="AP102" s="62">
        <f>ROUND(DEGREES(-ACOS(X100)),2)</f>
        <v>-90</v>
      </c>
    </row>
    <row r="103" spans="2:50" s="3" customFormat="1" x14ac:dyDescent="0.35">
      <c r="B103" s="46"/>
      <c r="C103" s="115"/>
      <c r="D103" s="49"/>
      <c r="E103" s="50"/>
      <c r="F103" s="50"/>
      <c r="G103" s="124"/>
      <c r="H103" s="51"/>
      <c r="I103" s="51"/>
      <c r="J103" s="20" t="str">
        <f t="shared" si="71"/>
        <v/>
      </c>
      <c r="K103" s="100" t="str">
        <f t="shared" si="75"/>
        <v/>
      </c>
      <c r="L103" s="21" t="str">
        <f t="shared" si="76"/>
        <v>0</v>
      </c>
      <c r="M103" s="100" t="str">
        <f t="shared" si="77"/>
        <v/>
      </c>
      <c r="N103" s="22" t="str">
        <f t="shared" si="78"/>
        <v>0</v>
      </c>
      <c r="O103" s="100" t="str">
        <f t="shared" si="79"/>
        <v/>
      </c>
      <c r="P103" s="22" t="str">
        <f t="shared" si="80"/>
        <v>0</v>
      </c>
      <c r="Q103" s="22">
        <f t="shared" si="73"/>
        <v>0</v>
      </c>
      <c r="R103" s="84"/>
      <c r="S103" s="84"/>
      <c r="T103" s="84">
        <f t="shared" si="74"/>
        <v>0</v>
      </c>
      <c r="U103" s="71"/>
      <c r="V103" s="150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97"/>
      <c r="AL103" s="77"/>
      <c r="AM103" s="73" t="s">
        <v>23</v>
      </c>
      <c r="AN103" s="62">
        <f>ROUND((X102/IF(OR(X101=1,X101=""),1,X101))/(X99),2)</f>
        <v>0</v>
      </c>
      <c r="AO103" s="62">
        <f>ROUND((X102/IF(OR(X101=1,X101=""),1,X101))/(X99*SQRT(3)),2)</f>
        <v>0</v>
      </c>
      <c r="AP103" s="62">
        <f>ROUND(DEGREES(-ACOS(X100)),2)</f>
        <v>-90</v>
      </c>
    </row>
    <row r="104" spans="2:50" s="3" customFormat="1" ht="15" thickBot="1" x14ac:dyDescent="0.4">
      <c r="B104" s="46"/>
      <c r="C104" s="115"/>
      <c r="D104" s="49"/>
      <c r="E104" s="50"/>
      <c r="F104" s="50"/>
      <c r="G104" s="124"/>
      <c r="H104" s="51"/>
      <c r="I104" s="51"/>
      <c r="J104" s="20" t="str">
        <f t="shared" si="71"/>
        <v/>
      </c>
      <c r="K104" s="100" t="str">
        <f t="shared" si="75"/>
        <v/>
      </c>
      <c r="L104" s="21" t="str">
        <f t="shared" si="76"/>
        <v>0</v>
      </c>
      <c r="M104" s="100" t="str">
        <f t="shared" si="77"/>
        <v/>
      </c>
      <c r="N104" s="22" t="str">
        <f t="shared" si="78"/>
        <v>0</v>
      </c>
      <c r="O104" s="100" t="str">
        <f t="shared" si="79"/>
        <v/>
      </c>
      <c r="P104" s="22" t="str">
        <f t="shared" si="80"/>
        <v>0</v>
      </c>
      <c r="Q104" s="22">
        <f t="shared" si="73"/>
        <v>0</v>
      </c>
      <c r="R104" s="84"/>
      <c r="S104" s="84"/>
      <c r="T104" s="84">
        <f t="shared" si="74"/>
        <v>0</v>
      </c>
      <c r="U104" s="71"/>
      <c r="V104" s="156" t="s">
        <v>33</v>
      </c>
      <c r="W104" s="61"/>
      <c r="X104" s="165" t="str">
        <f>"= ("</f>
        <v>= (</v>
      </c>
      <c r="Y104" s="166" t="str">
        <f>IF(OR(X101=1,X101=""),W102,W102&amp;"₂ / η")</f>
        <v>P</v>
      </c>
      <c r="Z104" s="166"/>
      <c r="AA104" s="166"/>
      <c r="AB104" s="167" t="str">
        <f>"∠-"&amp;IF(W100=AN99,AO99,AO100)&amp;"¯¹ ϕ)"</f>
        <v>∠-cos¯¹ ϕ)</v>
      </c>
      <c r="AC104" s="167"/>
      <c r="AD104" s="165" t="s">
        <v>34</v>
      </c>
      <c r="AE104" s="174">
        <f>IF(OR(X101=1,X101=""),X102,X102&amp;" / "&amp;X101)</f>
        <v>0</v>
      </c>
      <c r="AF104" s="174"/>
      <c r="AG104" s="174"/>
      <c r="AH104" s="167" t="str">
        <f>"∠-"&amp;IF(W100=AN99,AO99,AO100)&amp;"¯¹ "&amp;X100&amp;")"</f>
        <v>∠-cos¯¹ )</v>
      </c>
      <c r="AI104" s="167"/>
      <c r="AJ104" s="165" t="s">
        <v>32</v>
      </c>
      <c r="AK104" s="172" t="e">
        <f>"("&amp;IF(W99=AM99,VLOOKUP(W102,AM101:AO103,2,FALSE),VLOOKUP(W102,AM101:AO103,3,FALSE))&amp;" ∠"&amp;AP101&amp;") A"</f>
        <v>#DIV/0!</v>
      </c>
      <c r="AL104" s="94"/>
      <c r="AM104" s="77"/>
      <c r="AN104" s="77"/>
      <c r="AO104" s="77"/>
      <c r="AP104" s="90"/>
    </row>
    <row r="105" spans="2:50" s="3" customFormat="1" x14ac:dyDescent="0.35">
      <c r="B105" s="46"/>
      <c r="C105" s="115"/>
      <c r="D105" s="49"/>
      <c r="E105" s="50"/>
      <c r="F105" s="50"/>
      <c r="G105" s="123"/>
      <c r="H105" s="49"/>
      <c r="I105" s="51"/>
      <c r="J105" s="20" t="str">
        <f t="shared" si="71"/>
        <v/>
      </c>
      <c r="K105" s="100" t="str">
        <f t="shared" si="75"/>
        <v/>
      </c>
      <c r="L105" s="21" t="str">
        <f t="shared" si="76"/>
        <v>0</v>
      </c>
      <c r="M105" s="100" t="str">
        <f t="shared" si="77"/>
        <v/>
      </c>
      <c r="N105" s="22" t="str">
        <f t="shared" si="78"/>
        <v>0</v>
      </c>
      <c r="O105" s="100" t="str">
        <f t="shared" si="79"/>
        <v/>
      </c>
      <c r="P105" s="22" t="str">
        <f t="shared" si="80"/>
        <v>0</v>
      </c>
      <c r="Q105" s="22">
        <f t="shared" si="73"/>
        <v>0</v>
      </c>
      <c r="R105" s="84"/>
      <c r="S105" s="84"/>
      <c r="T105" s="84">
        <f t="shared" si="74"/>
        <v>0</v>
      </c>
      <c r="U105" s="71"/>
      <c r="V105" s="156"/>
      <c r="W105" s="155" t="s">
        <v>43</v>
      </c>
      <c r="X105" s="165"/>
      <c r="Y105" s="171" t="str">
        <f>IF(W99=AM100,"√3 · ","")&amp;IF(W99=AM99,AM99,AM100)&amp;IF(W102=AM101," · "&amp;W100,IF(W102=AM102," · "&amp;W100,""))</f>
        <v>√3 · Un · cosϕ</v>
      </c>
      <c r="Z105" s="171"/>
      <c r="AA105" s="171"/>
      <c r="AB105" s="167"/>
      <c r="AC105" s="167"/>
      <c r="AD105" s="165"/>
      <c r="AE105" s="173" t="str">
        <f>IF(W99=AM100,"√3 · ","")&amp;X99&amp;IF(W102=AM101," · "&amp;X100,IF(W102=AM102," · "&amp;X100,""))</f>
        <v xml:space="preserve">√3 · 400 · </v>
      </c>
      <c r="AF105" s="173"/>
      <c r="AG105" s="173"/>
      <c r="AH105" s="167"/>
      <c r="AI105" s="167"/>
      <c r="AJ105" s="165"/>
      <c r="AK105" s="172"/>
      <c r="AL105" s="94"/>
      <c r="AM105" s="77"/>
      <c r="AN105" s="77"/>
      <c r="AO105" s="77"/>
      <c r="AP105" s="90"/>
    </row>
    <row r="106" spans="2:50" s="3" customFormat="1" x14ac:dyDescent="0.35">
      <c r="B106" s="46"/>
      <c r="C106" s="115"/>
      <c r="D106" s="49"/>
      <c r="E106" s="50"/>
      <c r="F106" s="50"/>
      <c r="G106" s="123"/>
      <c r="H106" s="49"/>
      <c r="I106" s="51"/>
      <c r="J106" s="20" t="str">
        <f t="shared" si="71"/>
        <v/>
      </c>
      <c r="K106" s="100" t="str">
        <f t="shared" si="75"/>
        <v/>
      </c>
      <c r="L106" s="21" t="str">
        <f t="shared" si="76"/>
        <v>0</v>
      </c>
      <c r="M106" s="100" t="str">
        <f t="shared" si="77"/>
        <v/>
      </c>
      <c r="N106" s="22" t="str">
        <f t="shared" si="78"/>
        <v>0</v>
      </c>
      <c r="O106" s="100" t="str">
        <f t="shared" si="79"/>
        <v/>
      </c>
      <c r="P106" s="22" t="str">
        <f t="shared" si="80"/>
        <v>0</v>
      </c>
      <c r="Q106" s="22">
        <f t="shared" si="73"/>
        <v>0</v>
      </c>
      <c r="R106" s="84"/>
      <c r="S106" s="84"/>
      <c r="T106" s="84">
        <f t="shared" si="74"/>
        <v>0</v>
      </c>
      <c r="U106" s="71"/>
      <c r="V106" s="151"/>
      <c r="W106" s="92"/>
      <c r="X106" s="98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9"/>
      <c r="AL106" s="91"/>
      <c r="AM106" s="91"/>
      <c r="AN106" s="91"/>
      <c r="AO106" s="91"/>
      <c r="AP106" s="93"/>
    </row>
    <row r="107" spans="2:50" s="3" customFormat="1" x14ac:dyDescent="0.35">
      <c r="B107" s="46"/>
      <c r="C107" s="115"/>
      <c r="D107" s="49"/>
      <c r="E107" s="50"/>
      <c r="F107" s="50"/>
      <c r="G107" s="123"/>
      <c r="H107" s="49"/>
      <c r="I107" s="51"/>
      <c r="J107" s="20" t="str">
        <f t="shared" si="71"/>
        <v/>
      </c>
      <c r="K107" s="100" t="str">
        <f t="shared" si="75"/>
        <v/>
      </c>
      <c r="L107" s="21" t="str">
        <f t="shared" si="76"/>
        <v>0</v>
      </c>
      <c r="M107" s="100" t="str">
        <f t="shared" si="77"/>
        <v/>
      </c>
      <c r="N107" s="22" t="str">
        <f t="shared" si="78"/>
        <v>0</v>
      </c>
      <c r="O107" s="100" t="str">
        <f t="shared" si="79"/>
        <v/>
      </c>
      <c r="P107" s="22" t="str">
        <f t="shared" si="80"/>
        <v>0</v>
      </c>
      <c r="Q107" s="22">
        <f t="shared" si="73"/>
        <v>0</v>
      </c>
      <c r="R107" s="84"/>
      <c r="S107" s="84"/>
      <c r="T107" s="84">
        <f t="shared" si="74"/>
        <v>0</v>
      </c>
      <c r="U107" s="71"/>
      <c r="V107" s="152"/>
    </row>
    <row r="108" spans="2:50" s="3" customFormat="1" ht="15" thickBot="1" x14ac:dyDescent="0.4">
      <c r="B108" s="46"/>
      <c r="C108" s="115"/>
      <c r="D108" s="49"/>
      <c r="E108" s="50"/>
      <c r="F108" s="50"/>
      <c r="G108" s="123"/>
      <c r="H108" s="49"/>
      <c r="I108" s="51"/>
      <c r="J108" s="20" t="str">
        <f t="shared" si="71"/>
        <v/>
      </c>
      <c r="K108" s="100" t="str">
        <f t="shared" si="75"/>
        <v/>
      </c>
      <c r="L108" s="21" t="str">
        <f t="shared" si="76"/>
        <v>0</v>
      </c>
      <c r="M108" s="100" t="str">
        <f t="shared" si="77"/>
        <v/>
      </c>
      <c r="N108" s="22" t="str">
        <f t="shared" si="78"/>
        <v>0</v>
      </c>
      <c r="O108" s="100" t="str">
        <f t="shared" si="79"/>
        <v/>
      </c>
      <c r="P108" s="22" t="str">
        <f t="shared" si="80"/>
        <v>0</v>
      </c>
      <c r="Q108" s="22">
        <f t="shared" si="73"/>
        <v>0</v>
      </c>
      <c r="R108" s="84"/>
      <c r="S108" s="84"/>
      <c r="T108" s="84">
        <f t="shared" si="74"/>
        <v>0</v>
      </c>
      <c r="U108" s="71"/>
      <c r="V108" s="152"/>
    </row>
    <row r="109" spans="2:50" s="3" customFormat="1" ht="15" hidden="1" customHeight="1" thickBot="1" x14ac:dyDescent="0.4">
      <c r="B109" s="105" t="s">
        <v>20</v>
      </c>
      <c r="C109" s="116"/>
      <c r="D109" s="106"/>
      <c r="E109" s="107"/>
      <c r="F109" s="107"/>
      <c r="G109" s="125"/>
      <c r="H109" s="106"/>
      <c r="I109" s="108">
        <v>0</v>
      </c>
      <c r="J109" s="109" t="str">
        <f t="shared" si="71"/>
        <v/>
      </c>
      <c r="K109" s="110" t="str">
        <f t="shared" si="75"/>
        <v/>
      </c>
      <c r="L109" s="111" t="str">
        <f>IF(AND(D109&gt;0,E109&gt;0,F109=""),COMPLEX(D109*IF(C109="",1,C109)*(COS(ACOS(IF(I109="",1,I109))+RADIANS(30))),D109*IF(C109="",1,C109)*SIN(ACOS(COS(ACOS(IF(I109="",1,I109))+RADIANS(30)))),"j"),IF(AND(D109&gt;0,E109="",F109&gt;0),COMPLEX(D109*IF(C109="",1,C109)*(COS(ACOS(IF(I109="",1,I109))+RADIANS(-30))),D109*IF(C109="",1,C109)*SIN(ACOS(COS(ACOS(IF(I109="",1,I109))+RADIANS(-30)))),"j"),COMPLEX(D109*IF(C109="",1,C109)*IF(I109="",1,I109),D109*IF(C109="",1,C109)*SIN(ACOS(IF(I109="",1,I109))),"j")))</f>
        <v>0</v>
      </c>
      <c r="M109" s="110" t="str">
        <f t="shared" si="77"/>
        <v/>
      </c>
      <c r="N109" s="112" t="str">
        <f>IF(AND(D109&gt;0,E109&gt;0,F109=""),COMPLEX(E109*IF(C109="",1,C109)*(COS(ACOS(IF(I109="",1,I109))+RADIANS(-30))),E109*IF(C109="",1,C109)*SIN(ACOS(COS(ACOS(IF(I109="",1,I109))+RADIANS(-30)))),"j"),IF(AND(D109="",E109&gt;0,F109&gt;0),COMPLEX(E109*IF(C109="",1,C109)*(COS(ACOS(IF(I109="",1,I109))+RADIANS(30))),E109*IF(C109="",1,C109)*SIN(ACOS(COS(ACOS(IF(I109="",1,I109))+RADIANS(30)))),"j"),COMPLEX(E109*IF(C109="",1,C109)*IF(I109="",1,I109),E109*IF(C109="",1,C109)*SIN(ACOS(IF(I109="",1,I109))),"j")))</f>
        <v>0</v>
      </c>
      <c r="O109" s="110" t="str">
        <f t="shared" si="79"/>
        <v/>
      </c>
      <c r="P109" s="112" t="str">
        <f>IF(AND(D109="",E109&gt;0,F109&gt;0),COMPLEX(F109*IF(C109="",1,C109)*(COS(ACOS(IF(I109="",1,I109))+RADIANS(-30))),F109*IF(C109="",1,C109)*SIN(ACOS(COS(ACOS(IF(I109="",1,I109))+RADIANS(-30)))),"j"),IF(AND(D109&gt;0,E109="",F109&gt;0),COMPLEX(F109*IF(C109="",1,C109)*(COS(ACOS(IF(I109="",1,I109))+RADIANS(30))),F109*IF(C109="",1,C109)*SIN(ACOS(COS(ACOS(IF(I109="",1,I109))+RADIANS(30)))),"j"),COMPLEX(F109*IF(C109="",1,C109)*IF(I109="",1,I109),F109*IF(C109="",1,C109)*SIN(ACOS(IF(I109="",1,I109))),"j")))</f>
        <v>0</v>
      </c>
      <c r="Q109" s="22">
        <f t="shared" si="73"/>
        <v>0</v>
      </c>
      <c r="R109" s="84"/>
      <c r="S109" s="84"/>
      <c r="T109" s="84">
        <f t="shared" si="74"/>
        <v>0</v>
      </c>
      <c r="U109" s="71"/>
      <c r="V109" s="152"/>
    </row>
    <row r="110" spans="2:50" s="3" customFormat="1" ht="15" thickBot="1" x14ac:dyDescent="0.4">
      <c r="B110" s="25" t="s">
        <v>7</v>
      </c>
      <c r="C110" s="118"/>
      <c r="D110" s="26">
        <f>SUM(IF($C90="",1,$C90)*D90,IF($C91="",1,$C91)*D91,IF($C92="",1,$C92)*D92,IF($C93="",1,$C93)*D93,IF($C94="",1,$C94)*D94,IF($C95="",1,$C95)*D95,IF($C96="",1,$C96)*D96,IF($C97="",1,$C97)*D97,IF($C98="",1,$C98)*D98,IF($C99="",1,$C99)*D99,IF($C100="",1,$C100)*D100,IF($C101="",1,$C101)*D101,IF($C102="",1,$C102)*D102,IF($C103="",1,$C103)*D103,IF($C104="",1,$C104)*D104,IF($C105="",1,$C105)*D105,IF($C106="",1,$C106)*D106,IF($C107="",1,$C107)*D107,IF($C108="",1,$C108)*D108,IF($C109="",1,$C109)*D109)</f>
        <v>134</v>
      </c>
      <c r="E110" s="27">
        <f t="shared" ref="E110:F110" si="81">SUM(IF($C90="",1,$C90)*E90,IF($C91="",1,$C91)*E91,IF($C92="",1,$C92)*E92,IF($C93="",1,$C93)*E93,IF($C94="",1,$C94)*E94,IF($C95="",1,$C95)*E95,IF($C96="",1,$C96)*E96,IF($C97="",1,$C97)*E97,IF($C98="",1,$C98)*E98,IF($C99="",1,$C99)*E99,IF($C100="",1,$C100)*E100,IF($C101="",1,$C101)*E101,IF($C102="",1,$C102)*E102,IF($C103="",1,$C103)*E103,IF($C104="",1,$C104)*E104,IF($C105="",1,$C105)*E105,IF($C106="",1,$C106)*E106,IF($C107="",1,$C107)*E107,IF($C108="",1,$C108)*E108,IF($C109="",1,$C109)*E109)</f>
        <v>134</v>
      </c>
      <c r="F110" s="63">
        <f t="shared" si="81"/>
        <v>134</v>
      </c>
      <c r="G110" s="126">
        <f>SUM(G90:G108)</f>
        <v>252</v>
      </c>
      <c r="H110" s="126">
        <f>SUM(H90:H108)</f>
        <v>0</v>
      </c>
      <c r="I110" s="168" t="s">
        <v>18</v>
      </c>
      <c r="J110" s="169"/>
      <c r="K110" s="102" t="str">
        <f>ROUND(IMABS(L110),2)&amp;"∠"&amp;ROUND(DEGREES(IMARGUMENT(L110)),2)</f>
        <v>133,8∠-29,77</v>
      </c>
      <c r="L110" s="29" t="str">
        <f>IMSUM(L90,L91,L100,L101,L102,L103,L104,L105,L106,L107,L108,L109,L92,L93,L94,L95,L96,L97,L98,L99)</f>
        <v>116,14-66,4319336191805j</v>
      </c>
      <c r="M110" s="102" t="str">
        <f>ROUND(IMABS(N110),2)&amp;"∠"&amp;ROUND(DEGREES(IMARGUMENT(N110)),2)</f>
        <v>133,8∠-29,77</v>
      </c>
      <c r="N110" s="29" t="str">
        <f>IMSUM(N90,N91,N100,N101,N102,N103,N104,N105,N106,N107,N108,N109,N92,N93,N94,N95,N96,N97,N98,N99)</f>
        <v>116,14-66,4319336191805j</v>
      </c>
      <c r="O110" s="102" t="str">
        <f>ROUND(IMABS(P110),2)&amp;"∠"&amp;ROUND(DEGREES(IMARGUMENT(P110)),2)</f>
        <v>133,8∠-29,77</v>
      </c>
      <c r="P110" s="29" t="str">
        <f>IMSUM(P90,P91,P100,P101,P102,P103,P104,P105,P106,P107,P108,P109,P92,P93,P94,P95,P96,P97,P98,P99)</f>
        <v>116,14-66,4319336191805j</v>
      </c>
      <c r="Q110" s="28" t="e">
        <f>ROUND(IMABS(T110),2)&amp;"∠"&amp;ROUND(DEGREES(IMARGUMENT(T110)),2)</f>
        <v>#DIV/0!</v>
      </c>
      <c r="R110" s="120"/>
      <c r="S110" s="120"/>
      <c r="T110" s="121" t="str">
        <f>IMSUM(T90,T91,T100,T101,T102,T103,T104,T105,T106,T107,T108,T109,T92,T93,T94,T95,T96,T97,T98,T99)</f>
        <v>0</v>
      </c>
      <c r="U110" s="71"/>
      <c r="V110" s="152"/>
    </row>
    <row r="111" spans="2:50" s="3" customFormat="1" ht="15" thickBot="1" x14ac:dyDescent="0.4">
      <c r="B111" s="30" t="s">
        <v>8</v>
      </c>
      <c r="C111" s="59"/>
      <c r="D111" s="31">
        <f>D110*IF(C111="",1,C111)</f>
        <v>134</v>
      </c>
      <c r="E111" s="32">
        <f>E110*IF(C111="",1,C111)</f>
        <v>134</v>
      </c>
      <c r="F111" s="32">
        <f>F110*IF(C111="",1,C111)</f>
        <v>134</v>
      </c>
      <c r="G111" s="127"/>
      <c r="H111" s="129"/>
      <c r="I111" s="80" t="s">
        <v>17</v>
      </c>
      <c r="J111" s="81" t="s">
        <v>6</v>
      </c>
      <c r="K111" s="102" t="str">
        <f>ROUND(IMABS(L111),2)&amp;"∠"&amp;ROUND(DEGREES(IMARGUMENT(L111)),2)</f>
        <v>133,8∠-29,77</v>
      </c>
      <c r="L111" s="33" t="str">
        <f>IMPRODUCT(L110,IF(C111="",1,C111))</f>
        <v>116,14-66,4319336191805j</v>
      </c>
      <c r="M111" s="102" t="str">
        <f>ROUND(IMABS(N111),2)&amp;"∠"&amp;ROUND(DEGREES(IMARGUMENT(N111)),2)</f>
        <v>133,8∠-29,77</v>
      </c>
      <c r="N111" s="33" t="str">
        <f>IMPRODUCT(N110,IF(C111="",1,C111))</f>
        <v>116,14-66,4319336191805j</v>
      </c>
      <c r="O111" s="102" t="str">
        <f>ROUND(IMABS(P111),2)&amp;"∠"&amp;ROUND(DEGREES(IMARGUMENT(P111)),2)</f>
        <v>133,8∠-29,77</v>
      </c>
      <c r="P111" s="33" t="str">
        <f>IMPRODUCT(P110,IF(C111="",1,C111))</f>
        <v>116,14-66,4319336191805j</v>
      </c>
      <c r="Q111" s="28" t="e">
        <f>ROUND(IMABS(T111),2)&amp;"∠"&amp;ROUND(DEGREES(IMARGUMENT(T111)),2)</f>
        <v>#DIV/0!</v>
      </c>
      <c r="R111" s="69"/>
      <c r="S111" s="69"/>
      <c r="T111" s="69" t="str">
        <f>IMPRODUCT(T110,IF(E111="",1,E111))</f>
        <v>0</v>
      </c>
      <c r="U111" s="71"/>
      <c r="V111" s="152"/>
      <c r="AR111" s="75" t="s">
        <v>1</v>
      </c>
      <c r="AS111" s="75" t="s">
        <v>2</v>
      </c>
      <c r="AT111" s="75" t="s">
        <v>3</v>
      </c>
      <c r="AU111" s="73" t="s">
        <v>15</v>
      </c>
      <c r="AV111" s="73" t="s">
        <v>14</v>
      </c>
      <c r="AW111" s="73" t="s">
        <v>19</v>
      </c>
      <c r="AX111" s="73" t="s">
        <v>16</v>
      </c>
    </row>
    <row r="112" spans="2:50" s="3" customFormat="1" ht="15" thickBot="1" x14ac:dyDescent="0.4">
      <c r="B112" s="52" t="s">
        <v>9</v>
      </c>
      <c r="C112" s="117"/>
      <c r="D112" s="31">
        <f>D111*IF(C112="",1,C112)</f>
        <v>134</v>
      </c>
      <c r="E112" s="32">
        <f>E111*IF(C112="",1,C112)</f>
        <v>134</v>
      </c>
      <c r="F112" s="32">
        <f>F111*IF(C112="",1,C112)</f>
        <v>134</v>
      </c>
      <c r="G112" s="31"/>
      <c r="H112" s="130"/>
      <c r="I112" s="56">
        <f>AV112</f>
        <v>0.86802554936312648</v>
      </c>
      <c r="J112" s="57">
        <f>AU112</f>
        <v>-29.77</v>
      </c>
      <c r="K112" s="102" t="str">
        <f>ROUND(IMABS(L112),2)&amp;"∠"&amp;ROUND(DEGREES(IMARGUMENT(L112)),2)</f>
        <v>133,8∠-29,77</v>
      </c>
      <c r="L112" s="33" t="str">
        <f>IMPRODUCT(L111,IF(C112="",1,C112))</f>
        <v>116,14-66,4319336191805j</v>
      </c>
      <c r="M112" s="102" t="str">
        <f>ROUND(IMABS(N112),2)&amp;"∠"&amp;ROUND(DEGREES(IMARGUMENT(N112)),2)</f>
        <v>133,8∠-29,77</v>
      </c>
      <c r="N112" s="33" t="str">
        <f>IMPRODUCT(N111,IF(C112="",1,C112))</f>
        <v>116,14-66,4319336191805j</v>
      </c>
      <c r="O112" s="102" t="str">
        <f>ROUND(IMABS(P112),2)&amp;"∠"&amp;ROUND(DEGREES(IMARGUMENT(P112)),2)</f>
        <v>133,8∠-29,77</v>
      </c>
      <c r="P112" s="33" t="str">
        <f>IMPRODUCT(P111,IF(C112="",1,C112))</f>
        <v>116,14-66,4319336191805j</v>
      </c>
      <c r="Q112" s="67"/>
      <c r="R112" s="68"/>
      <c r="S112" s="68"/>
      <c r="T112" s="68"/>
      <c r="U112" s="71"/>
      <c r="V112" s="152"/>
      <c r="AR112" s="74">
        <f>IFERROR(ROUND(DEGREES(IMARGUMENT(L112)),2),0)</f>
        <v>-29.77</v>
      </c>
      <c r="AS112" s="74">
        <f>IFERROR(ROUND(DEGREES(IMARGUMENT(N112)),2),0)</f>
        <v>-29.77</v>
      </c>
      <c r="AT112" s="74">
        <f>IFERROR(ROUND(DEGREES(IMARGUMENT(P112)),2),0)</f>
        <v>-29.77</v>
      </c>
      <c r="AU112" s="62">
        <f>MIN(AR112:AT112)</f>
        <v>-29.77</v>
      </c>
      <c r="AV112" s="79">
        <f>COS(RADIANS(AU112))</f>
        <v>0.86802554936312648</v>
      </c>
      <c r="AW112" s="62">
        <f>MAX(AR112:AT112)</f>
        <v>-29.77</v>
      </c>
      <c r="AX112" s="62">
        <f>COS(RADIANS(AW112))</f>
        <v>0.86802554936312648</v>
      </c>
    </row>
    <row r="113" spans="2:122" s="3" customFormat="1" x14ac:dyDescent="0.35">
      <c r="D113" s="2"/>
      <c r="E113" s="2"/>
      <c r="F113" s="2"/>
      <c r="G113" s="2"/>
      <c r="H113" s="2"/>
      <c r="I113" s="2"/>
      <c r="J113" s="2"/>
      <c r="K113" s="86"/>
      <c r="L113" s="34"/>
      <c r="M113" s="86"/>
      <c r="N113" s="34"/>
      <c r="O113" s="86"/>
      <c r="P113" s="34"/>
      <c r="Q113" s="4"/>
      <c r="R113" s="4"/>
      <c r="S113" s="4"/>
      <c r="T113" s="4"/>
      <c r="V113" s="152"/>
    </row>
    <row r="114" spans="2:122" s="3" customFormat="1" x14ac:dyDescent="0.35">
      <c r="B114" s="178" t="s">
        <v>38</v>
      </c>
      <c r="C114" s="178"/>
      <c r="D114" s="2"/>
      <c r="E114" s="2"/>
      <c r="F114" s="2"/>
      <c r="G114" s="2"/>
      <c r="H114" s="2"/>
      <c r="I114" s="2"/>
      <c r="J114" s="2"/>
      <c r="K114" s="86"/>
      <c r="L114" s="34"/>
      <c r="M114" s="86"/>
      <c r="N114" s="34"/>
      <c r="O114" s="86"/>
      <c r="P114" s="34"/>
      <c r="Q114" s="4"/>
      <c r="R114" s="4"/>
      <c r="S114" s="4"/>
      <c r="T114" s="4"/>
      <c r="V114" s="152"/>
    </row>
    <row r="115" spans="2:122" s="3" customFormat="1" ht="15" thickBot="1" x14ac:dyDescent="0.4">
      <c r="B115" s="179"/>
      <c r="C115" s="179"/>
      <c r="D115" s="2"/>
      <c r="E115" s="2"/>
      <c r="F115" s="2"/>
      <c r="G115" s="2"/>
      <c r="H115" s="2"/>
      <c r="I115" s="2"/>
      <c r="J115" s="2"/>
      <c r="K115" s="86"/>
      <c r="L115" s="34"/>
      <c r="M115" s="86"/>
      <c r="N115" s="34"/>
      <c r="O115" s="86"/>
      <c r="P115" s="34"/>
      <c r="Q115" s="4"/>
      <c r="R115" s="4"/>
      <c r="S115" s="4"/>
      <c r="T115" s="4"/>
      <c r="V115" s="152"/>
    </row>
    <row r="116" spans="2:122" s="3" customFormat="1" x14ac:dyDescent="0.35">
      <c r="B116" s="5"/>
      <c r="C116" s="6"/>
      <c r="D116" s="7"/>
      <c r="E116" s="8" t="s">
        <v>0</v>
      </c>
      <c r="F116" s="8"/>
      <c r="G116" s="157" t="s">
        <v>40</v>
      </c>
      <c r="H116" s="157" t="s">
        <v>41</v>
      </c>
      <c r="I116" s="9"/>
      <c r="J116" s="10"/>
      <c r="K116" s="159" t="s">
        <v>1</v>
      </c>
      <c r="L116" s="163"/>
      <c r="M116" s="159" t="s">
        <v>2</v>
      </c>
      <c r="N116" s="163"/>
      <c r="O116" s="159" t="s">
        <v>3</v>
      </c>
      <c r="P116" s="163"/>
      <c r="Q116" s="159" t="s">
        <v>12</v>
      </c>
      <c r="R116" s="160"/>
      <c r="S116" s="160"/>
      <c r="T116" s="160"/>
      <c r="U116" s="71"/>
      <c r="V116" s="149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96"/>
      <c r="AL116" s="87"/>
      <c r="AM116" s="87"/>
      <c r="AN116" s="87"/>
      <c r="AO116" s="87"/>
      <c r="AP116" s="89"/>
    </row>
    <row r="117" spans="2:122" s="3" customFormat="1" ht="17" thickBot="1" x14ac:dyDescent="0.5">
      <c r="B117" s="12" t="s">
        <v>4</v>
      </c>
      <c r="C117" s="53" t="s">
        <v>10</v>
      </c>
      <c r="D117" s="14" t="s">
        <v>1</v>
      </c>
      <c r="E117" s="15" t="s">
        <v>2</v>
      </c>
      <c r="F117" s="15" t="s">
        <v>3</v>
      </c>
      <c r="G117" s="158"/>
      <c r="H117" s="158"/>
      <c r="I117" s="16" t="s">
        <v>5</v>
      </c>
      <c r="J117" s="17" t="s">
        <v>6</v>
      </c>
      <c r="K117" s="161"/>
      <c r="L117" s="164"/>
      <c r="M117" s="161"/>
      <c r="N117" s="164"/>
      <c r="O117" s="161"/>
      <c r="P117" s="164"/>
      <c r="Q117" s="161"/>
      <c r="R117" s="162"/>
      <c r="S117" s="162"/>
      <c r="T117" s="162"/>
      <c r="U117" s="71"/>
      <c r="V117" s="150"/>
      <c r="W117" s="113" t="s">
        <v>25</v>
      </c>
      <c r="X117" s="170">
        <v>400</v>
      </c>
      <c r="Y117" s="170"/>
      <c r="Z117" s="78" t="s">
        <v>29</v>
      </c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97"/>
      <c r="AL117" s="77"/>
      <c r="AM117" s="73" t="s">
        <v>24</v>
      </c>
      <c r="AN117" s="73" t="s">
        <v>26</v>
      </c>
      <c r="AO117" s="73" t="s">
        <v>30</v>
      </c>
      <c r="AP117" s="62"/>
    </row>
    <row r="118" spans="2:122" s="3" customFormat="1" x14ac:dyDescent="0.35">
      <c r="B118" s="46"/>
      <c r="C118" s="114"/>
      <c r="D118" s="47"/>
      <c r="E118" s="48"/>
      <c r="F118" s="48"/>
      <c r="G118" s="123"/>
      <c r="H118" s="49"/>
      <c r="I118" s="51"/>
      <c r="J118" s="20" t="str">
        <f t="shared" ref="J118:J137" si="82">IF(AND(D118="",E118="",F118=""),"",IF(AND(D118&gt;0,E118&gt;0,F118=""),ROUND(DEGREES(IMARGUMENT(L118)),2),IF(AND(D118="",E118&gt;0,F118&gt;0),ROUND(DEGREES(IMARGUMENT(N118)),2),IF(AND(D118&gt;0,E118="",F118&gt;0),ROUND(DEGREES(IMARGUMENT(P118)),2),IF(AND(E118="",F118=""),ROUND(DEGREES(IMARGUMENT(L118)),2),IF(AND(D118="",F118=""),ROUND(DEGREES(IMARGUMENT(N118)),2),IF(AND(E118="",D118=""),ROUND(DEGREES(IMARGUMENT(P118)),2),ROUND(DEGREES(IMARGUMENT(L118)),2))))))))</f>
        <v/>
      </c>
      <c r="K118" s="100" t="str">
        <f t="shared" ref="K118" si="83">IF(L118="0","",ROUND(IMABS(L118),2)&amp;"∠"&amp;ROUND(DEGREES(IMARGUMENT(L118)),2))</f>
        <v/>
      </c>
      <c r="L118" s="21" t="str">
        <f>IF(AND(D118&gt;0,E118&gt;0,F118=""),COMPLEX(D118*IF(C118="",1,C118)*(COS(-ACOS(IF(I118="",1,I118))+RADIANS(30))),D118*IF(C118="",1,C118)*SIN(ACOS(COS(-ACOS(IF(I118="",1,I118))+RADIANS(30)))),"j"),IF(AND(D118&gt;0,E118="",F118&gt;0),COMPLEX(D118*IF(C118="",1,C118)*(COS(-ACOS(IF(I118="",1,I118))+RADIANS(-30))),D118*IF(C118="",1,C118)*SIN(-ACOS(COS(-ACOS(IF(I118="",1,I118))+RADIANS(-30)))),"j"),COMPLEX(D118*IF(C118="",1,C118)*IF(I118="",1,I118),D118*IF(C118="",1,C118)*SIN(-ACOS(IF(I118="",1,I118))),"j")))</f>
        <v>0</v>
      </c>
      <c r="M118" s="100" t="str">
        <f>IF(N118="0","",ROUND(IMABS(N118),2)&amp;"∠"&amp;ROUND(DEGREES(IMARGUMENT(N118)),2))</f>
        <v/>
      </c>
      <c r="N118" s="22" t="str">
        <f>IF(AND(D118&gt;0,E118&gt;0,F118=""),COMPLEX(E118*IF(C118="",1,C118)*(COS(-ACOS(IF(I118="",1,I118))+RADIANS(-30))),E118*IF(C118="",1,C118)*SIN(-ACOS(COS(-ACOS(IF(I118="",1,I118))+RADIANS(-30)))),"j"),IF(AND(D118="",E118&gt;0,F118&gt;0),COMPLEX(E118*IF(C118="",1,C118)*(COS(-ACOS(IF(I118="",1,I118))+RADIANS(30))),E118*IF(C118="",1,C118)*SIN(ACOS(COS(-ACOS(IF(I118="",1,I118))+RADIANS(30)))),"j"),COMPLEX(E118*IF(C118="",1,C118)*IF(I118="",1,I118),E118*IF(C118="",1,C118)*SIN(-ACOS(IF(I118="",1,I118))),"j")))</f>
        <v>0</v>
      </c>
      <c r="O118" s="100" t="str">
        <f>IF(P118="0","",ROUND(IMABS(P118),2)&amp;"∠"&amp;ROUND(DEGREES(IMARGUMENT(P118)),2))</f>
        <v/>
      </c>
      <c r="P118" s="22" t="str">
        <f>IF(AND(D118="",E118&gt;0,F118&gt;0),COMPLEX(F118*IF(C118="",1,C118)*(COS(-ACOS(IF(I118="",1,I118))+RADIANS(-30))),F118*IF(C118="",1,C118)*SIN(-ACOS(COS(-ACOS(IF(I118="",1,I118))+RADIANS(-30)))),"j"),IF(AND(D118&gt;0,E118="",F118&gt;0),COMPLEX(F118*IF(C118="",1,C118)*(COS(-ACOS(IF(I118="",1,I118))+RADIANS(30))),F118*IF(C118="",1,C118)*SIN(ACOS(COS(-ACOS(IF(I118="",1,I118))+RADIANS(30)))),"j"),COMPLEX(F118*IF(C118="",1,C118)*IF(I118="",1,I118),F118*IF(C118="",1,C118)*SIN(-ACOS(IF(I118="",1,I118))),"j")))</f>
        <v>0</v>
      </c>
      <c r="Q118" s="22">
        <f t="shared" ref="Q118:Q137" si="84">BF118</f>
        <v>0</v>
      </c>
      <c r="R118" s="84"/>
      <c r="S118" s="84"/>
      <c r="T118" s="84">
        <f t="shared" ref="T118:T137" si="85">BG118</f>
        <v>0</v>
      </c>
      <c r="U118" s="71"/>
      <c r="V118" s="150"/>
      <c r="W118" s="113" t="s">
        <v>26</v>
      </c>
      <c r="X118" s="170"/>
      <c r="Y118" s="170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97"/>
      <c r="AL118" s="77"/>
      <c r="AM118" s="73" t="s">
        <v>25</v>
      </c>
      <c r="AN118" s="73" t="s">
        <v>27</v>
      </c>
      <c r="AO118" s="73" t="s">
        <v>31</v>
      </c>
      <c r="AP118" s="62"/>
    </row>
    <row r="119" spans="2:122" s="3" customFormat="1" x14ac:dyDescent="0.35">
      <c r="B119" s="46"/>
      <c r="C119" s="115"/>
      <c r="D119" s="49"/>
      <c r="E119" s="50"/>
      <c r="F119" s="50"/>
      <c r="G119" s="123"/>
      <c r="H119" s="49"/>
      <c r="I119" s="51"/>
      <c r="J119" s="20" t="str">
        <f t="shared" si="82"/>
        <v/>
      </c>
      <c r="K119" s="100" t="str">
        <f t="shared" ref="K119:K137" si="86">IF(L119="0","",ROUND(IMABS(L119),2)&amp;"∠"&amp;ROUND(DEGREES(IMARGUMENT(L119)),2))</f>
        <v/>
      </c>
      <c r="L119" s="21" t="str">
        <f t="shared" ref="L119:L136" si="87">IF(AND(D119&gt;0,E119&gt;0,F119=""),COMPLEX(D119*IF(C119="",1,C119)*(COS(-ACOS(IF(I119="",1,I119))+RADIANS(30))),D119*IF(C119="",1,C119)*SIN(ACOS(COS(-ACOS(IF(I119="",1,I119))+RADIANS(30)))),"j"),IF(AND(D119&gt;0,E119="",F119&gt;0),COMPLEX(D119*IF(C119="",1,C119)*(COS(-ACOS(IF(I119="",1,I119))+RADIANS(-30))),D119*IF(C119="",1,C119)*SIN(-ACOS(COS(-ACOS(IF(I119="",1,I119))+RADIANS(-30)))),"j"),COMPLEX(D119*IF(C119="",1,C119)*IF(I119="",1,I119),D119*IF(C119="",1,C119)*SIN(-ACOS(IF(I119="",1,I119))),"j")))</f>
        <v>0</v>
      </c>
      <c r="M119" s="100" t="str">
        <f t="shared" ref="M119:M137" si="88">IF(N119="0","",ROUND(IMABS(N119),2)&amp;"∠"&amp;ROUND(DEGREES(IMARGUMENT(N119)),2))</f>
        <v/>
      </c>
      <c r="N119" s="22" t="str">
        <f t="shared" ref="N119:N136" si="89">IF(AND(D119&gt;0,E119&gt;0,F119=""),COMPLEX(E119*IF(C119="",1,C119)*(COS(-ACOS(IF(I119="",1,I119))+RADIANS(-30))),E119*IF(C119="",1,C119)*SIN(-ACOS(COS(-ACOS(IF(I119="",1,I119))+RADIANS(-30)))),"j"),IF(AND(D119="",E119&gt;0,F119&gt;0),COMPLEX(E119*IF(C119="",1,C119)*(COS(-ACOS(IF(I119="",1,I119))+RADIANS(30))),E119*IF(C119="",1,C119)*SIN(ACOS(COS(-ACOS(IF(I119="",1,I119))+RADIANS(30)))),"j"),COMPLEX(E119*IF(C119="",1,C119)*IF(I119="",1,I119),E119*IF(C119="",1,C119)*SIN(-ACOS(IF(I119="",1,I119))),"j")))</f>
        <v>0</v>
      </c>
      <c r="O119" s="100" t="str">
        <f t="shared" ref="O119:O137" si="90">IF(P119="0","",ROUND(IMABS(P119),2)&amp;"∠"&amp;ROUND(DEGREES(IMARGUMENT(P119)),2))</f>
        <v/>
      </c>
      <c r="P119" s="22" t="str">
        <f t="shared" ref="P119:P136" si="91">IF(AND(D119="",E119&gt;0,F119&gt;0),COMPLEX(F119*IF(C119="",1,C119)*(COS(-ACOS(IF(I119="",1,I119))+RADIANS(-30))),F119*IF(C119="",1,C119)*SIN(-ACOS(COS(-ACOS(IF(I119="",1,I119))+RADIANS(-30)))),"j"),IF(AND(D119&gt;0,E119="",F119&gt;0),COMPLEX(F119*IF(C119="",1,C119)*(COS(-ACOS(IF(I119="",1,I119))+RADIANS(30))),F119*IF(C119="",1,C119)*SIN(ACOS(COS(-ACOS(IF(I119="",1,I119))+RADIANS(30)))),"j"),COMPLEX(F119*IF(C119="",1,C119)*IF(I119="",1,I119),F119*IF(C119="",1,C119)*SIN(-ACOS(IF(I119="",1,I119))),"j")))</f>
        <v>0</v>
      </c>
      <c r="Q119" s="22">
        <f t="shared" si="84"/>
        <v>0</v>
      </c>
      <c r="R119" s="84"/>
      <c r="S119" s="84"/>
      <c r="T119" s="84">
        <f t="shared" si="85"/>
        <v>0</v>
      </c>
      <c r="U119" s="71"/>
      <c r="V119" s="150"/>
      <c r="W119" s="78" t="s">
        <v>28</v>
      </c>
      <c r="X119" s="170">
        <v>1</v>
      </c>
      <c r="Y119" s="170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97"/>
      <c r="AL119" s="77"/>
      <c r="AM119" s="73" t="s">
        <v>21</v>
      </c>
      <c r="AN119" s="62" t="e">
        <f>ROUND((X120/IF(OR(X119=1,X119=""),1,X119))/(X117*X118),2)</f>
        <v>#DIV/0!</v>
      </c>
      <c r="AO119" s="62" t="e">
        <f>ROUND((X120/IF(OR(X119=1,X119=""),1,X119))/(X117*SQRT(3)*X118),2)</f>
        <v>#DIV/0!</v>
      </c>
      <c r="AP119" s="62">
        <f>ROUND(DEGREES(-ACOS(X118)),2)</f>
        <v>-90</v>
      </c>
    </row>
    <row r="120" spans="2:122" s="3" customFormat="1" x14ac:dyDescent="0.35">
      <c r="B120" s="46"/>
      <c r="C120" s="115"/>
      <c r="D120" s="49"/>
      <c r="E120" s="50"/>
      <c r="F120" s="50"/>
      <c r="G120" s="123"/>
      <c r="H120" s="49"/>
      <c r="I120" s="51"/>
      <c r="J120" s="20" t="str">
        <f t="shared" si="82"/>
        <v/>
      </c>
      <c r="K120" s="100" t="str">
        <f t="shared" si="86"/>
        <v/>
      </c>
      <c r="L120" s="21" t="str">
        <f t="shared" si="87"/>
        <v>0</v>
      </c>
      <c r="M120" s="100" t="str">
        <f t="shared" si="88"/>
        <v/>
      </c>
      <c r="N120" s="22" t="str">
        <f t="shared" si="89"/>
        <v>0</v>
      </c>
      <c r="O120" s="100" t="str">
        <f t="shared" si="90"/>
        <v/>
      </c>
      <c r="P120" s="22" t="str">
        <f t="shared" si="91"/>
        <v>0</v>
      </c>
      <c r="Q120" s="22">
        <f t="shared" si="84"/>
        <v>0</v>
      </c>
      <c r="R120" s="84"/>
      <c r="S120" s="84"/>
      <c r="T120" s="84">
        <f t="shared" si="85"/>
        <v>0</v>
      </c>
      <c r="U120" s="71"/>
      <c r="V120" s="150"/>
      <c r="W120" s="113" t="s">
        <v>21</v>
      </c>
      <c r="X120" s="170"/>
      <c r="Y120" s="170"/>
      <c r="Z120" s="78" t="str">
        <f>IF(W120="P","W",IF(W120="Q","VAR","VA"))</f>
        <v>W</v>
      </c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97"/>
      <c r="AL120" s="77"/>
      <c r="AM120" s="73" t="s">
        <v>22</v>
      </c>
      <c r="AN120" s="62" t="e">
        <f>ROUND((X120/IF(OR(X119=1,X119=""),1,X119))/(X117*X118),2)</f>
        <v>#DIV/0!</v>
      </c>
      <c r="AO120" s="62" t="e">
        <f>ROUND((X120/IF(OR(X119=1,X119=""),1,X119))/(X117*SQRT(3)*X118),2)</f>
        <v>#DIV/0!</v>
      </c>
      <c r="AP120" s="62">
        <f>ROUND(DEGREES(-ACOS(X118)),2)</f>
        <v>-90</v>
      </c>
    </row>
    <row r="121" spans="2:122" s="3" customFormat="1" x14ac:dyDescent="0.35">
      <c r="B121" s="46"/>
      <c r="C121" s="115"/>
      <c r="D121" s="49"/>
      <c r="E121" s="50"/>
      <c r="F121" s="50"/>
      <c r="G121" s="123"/>
      <c r="H121" s="49"/>
      <c r="I121" s="51"/>
      <c r="J121" s="20" t="str">
        <f t="shared" si="82"/>
        <v/>
      </c>
      <c r="K121" s="100" t="str">
        <f t="shared" si="86"/>
        <v/>
      </c>
      <c r="L121" s="21" t="str">
        <f t="shared" si="87"/>
        <v>0</v>
      </c>
      <c r="M121" s="100" t="str">
        <f t="shared" si="88"/>
        <v/>
      </c>
      <c r="N121" s="22" t="str">
        <f t="shared" si="89"/>
        <v>0</v>
      </c>
      <c r="O121" s="100" t="str">
        <f t="shared" si="90"/>
        <v/>
      </c>
      <c r="P121" s="22" t="str">
        <f t="shared" si="91"/>
        <v>0</v>
      </c>
      <c r="Q121" s="22">
        <f t="shared" si="84"/>
        <v>0</v>
      </c>
      <c r="R121" s="84"/>
      <c r="S121" s="84"/>
      <c r="T121" s="84">
        <f t="shared" si="85"/>
        <v>0</v>
      </c>
      <c r="U121" s="71"/>
      <c r="V121" s="150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97"/>
      <c r="AL121" s="77"/>
      <c r="AM121" s="73" t="s">
        <v>23</v>
      </c>
      <c r="AN121" s="62">
        <f>ROUND((X120/IF(OR(X119=1,X119=""),1,X119))/(X117),2)</f>
        <v>0</v>
      </c>
      <c r="AO121" s="62">
        <f>ROUND((X120/IF(OR(X119=1,X119=""),1,X119))/(X117*SQRT(3)),2)</f>
        <v>0</v>
      </c>
      <c r="AP121" s="62">
        <f>ROUND(DEGREES(-ACOS(X118)),2)</f>
        <v>-90</v>
      </c>
    </row>
    <row r="122" spans="2:122" s="3" customFormat="1" ht="15" thickBot="1" x14ac:dyDescent="0.4">
      <c r="B122" s="46"/>
      <c r="C122" s="115"/>
      <c r="D122" s="49"/>
      <c r="E122" s="50"/>
      <c r="F122" s="50"/>
      <c r="G122" s="123"/>
      <c r="H122" s="49"/>
      <c r="I122" s="51"/>
      <c r="J122" s="20" t="str">
        <f t="shared" si="82"/>
        <v/>
      </c>
      <c r="K122" s="100" t="str">
        <f t="shared" si="86"/>
        <v/>
      </c>
      <c r="L122" s="21" t="str">
        <f t="shared" si="87"/>
        <v>0</v>
      </c>
      <c r="M122" s="100" t="str">
        <f t="shared" si="88"/>
        <v/>
      </c>
      <c r="N122" s="22" t="str">
        <f t="shared" si="89"/>
        <v>0</v>
      </c>
      <c r="O122" s="100" t="str">
        <f t="shared" si="90"/>
        <v/>
      </c>
      <c r="P122" s="22" t="str">
        <f t="shared" si="91"/>
        <v>0</v>
      </c>
      <c r="Q122" s="22">
        <f t="shared" si="84"/>
        <v>0</v>
      </c>
      <c r="R122" s="84"/>
      <c r="S122" s="84"/>
      <c r="T122" s="84">
        <f t="shared" si="85"/>
        <v>0</v>
      </c>
      <c r="U122" s="71"/>
      <c r="V122" s="156" t="s">
        <v>33</v>
      </c>
      <c r="W122" s="61"/>
      <c r="X122" s="165" t="str">
        <f>"= ("</f>
        <v>= (</v>
      </c>
      <c r="Y122" s="166" t="str">
        <f>IF(OR(X119=1,X119=""),W120,W120&amp;"₂ / η")</f>
        <v>P</v>
      </c>
      <c r="Z122" s="166"/>
      <c r="AA122" s="166"/>
      <c r="AB122" s="167" t="str">
        <f>"∠-"&amp;IF(W118=AN117,AO117,AO118)&amp;"¯¹ ϕ)"</f>
        <v>∠-cos¯¹ ϕ)</v>
      </c>
      <c r="AC122" s="167"/>
      <c r="AD122" s="165" t="s">
        <v>34</v>
      </c>
      <c r="AE122" s="174">
        <f>IF(OR(X119=1,X119=""),X120,X120&amp;" / "&amp;X119)</f>
        <v>0</v>
      </c>
      <c r="AF122" s="174"/>
      <c r="AG122" s="174"/>
      <c r="AH122" s="167" t="str">
        <f>"∠-"&amp;IF(W118=AN117,AO117,AO118)&amp;"¯¹ "&amp;X118&amp;")"</f>
        <v>∠-cos¯¹ )</v>
      </c>
      <c r="AI122" s="167"/>
      <c r="AJ122" s="165" t="s">
        <v>32</v>
      </c>
      <c r="AK122" s="172" t="e">
        <f>"("&amp;IF(W117=AM117,VLOOKUP(W120,AM119:AO121,2,FALSE),VLOOKUP(W120,AM119:AO121,3,FALSE))&amp;" ∠"&amp;AP119&amp;") A"</f>
        <v>#DIV/0!</v>
      </c>
      <c r="AL122" s="94"/>
      <c r="AM122" s="77"/>
      <c r="AN122" s="77"/>
      <c r="AO122" s="77"/>
      <c r="AP122" s="90"/>
    </row>
    <row r="123" spans="2:122" s="3" customFormat="1" x14ac:dyDescent="0.35">
      <c r="B123" s="46"/>
      <c r="C123" s="115"/>
      <c r="D123" s="49"/>
      <c r="E123" s="50"/>
      <c r="F123" s="50"/>
      <c r="G123" s="123"/>
      <c r="H123" s="49"/>
      <c r="I123" s="51"/>
      <c r="J123" s="20" t="str">
        <f t="shared" si="82"/>
        <v/>
      </c>
      <c r="K123" s="100" t="str">
        <f t="shared" si="86"/>
        <v/>
      </c>
      <c r="L123" s="21" t="str">
        <f t="shared" si="87"/>
        <v>0</v>
      </c>
      <c r="M123" s="100" t="str">
        <f t="shared" si="88"/>
        <v/>
      </c>
      <c r="N123" s="22" t="str">
        <f t="shared" si="89"/>
        <v>0</v>
      </c>
      <c r="O123" s="100" t="str">
        <f t="shared" si="90"/>
        <v/>
      </c>
      <c r="P123" s="22" t="str">
        <f t="shared" si="91"/>
        <v>0</v>
      </c>
      <c r="Q123" s="22">
        <f t="shared" si="84"/>
        <v>0</v>
      </c>
      <c r="R123" s="84"/>
      <c r="S123" s="84"/>
      <c r="T123" s="84">
        <f t="shared" si="85"/>
        <v>0</v>
      </c>
      <c r="U123" s="71"/>
      <c r="V123" s="156"/>
      <c r="W123" s="155" t="s">
        <v>43</v>
      </c>
      <c r="X123" s="165"/>
      <c r="Y123" s="171" t="str">
        <f>IF(W117=AM118,"√3 · ","")&amp;IF(W117=AM117,AM117,AM118)&amp;IF(W120=AM119," · "&amp;W118,IF(W120=AM120," · "&amp;W118,""))</f>
        <v>√3 · Un · cosϕ</v>
      </c>
      <c r="Z123" s="171"/>
      <c r="AA123" s="171"/>
      <c r="AB123" s="167"/>
      <c r="AC123" s="167"/>
      <c r="AD123" s="165"/>
      <c r="AE123" s="173" t="str">
        <f>IF(W117=AM118,"√3 · ","")&amp;X117&amp;IF(W120=AM119," · "&amp;X118,IF(W120=AM120," · "&amp;X118,""))</f>
        <v xml:space="preserve">√3 · 400 · </v>
      </c>
      <c r="AF123" s="173"/>
      <c r="AG123" s="173"/>
      <c r="AH123" s="167"/>
      <c r="AI123" s="167"/>
      <c r="AJ123" s="165"/>
      <c r="AK123" s="172"/>
      <c r="AL123" s="94"/>
      <c r="AM123" s="77"/>
      <c r="AN123" s="77"/>
      <c r="AO123" s="77"/>
      <c r="AP123" s="90"/>
    </row>
    <row r="124" spans="2:122" x14ac:dyDescent="0.35">
      <c r="B124" s="46"/>
      <c r="C124" s="115"/>
      <c r="D124" s="49"/>
      <c r="E124" s="50"/>
      <c r="F124" s="50"/>
      <c r="G124" s="123"/>
      <c r="H124" s="49"/>
      <c r="I124" s="51"/>
      <c r="J124" s="20" t="str">
        <f t="shared" si="82"/>
        <v/>
      </c>
      <c r="K124" s="100" t="str">
        <f t="shared" si="86"/>
        <v/>
      </c>
      <c r="L124" s="21" t="str">
        <f t="shared" si="87"/>
        <v>0</v>
      </c>
      <c r="M124" s="100" t="str">
        <f t="shared" si="88"/>
        <v/>
      </c>
      <c r="N124" s="22" t="str">
        <f t="shared" si="89"/>
        <v>0</v>
      </c>
      <c r="O124" s="100" t="str">
        <f t="shared" si="90"/>
        <v/>
      </c>
      <c r="P124" s="22" t="str">
        <f t="shared" si="91"/>
        <v>0</v>
      </c>
      <c r="Q124" s="22">
        <f t="shared" si="84"/>
        <v>0</v>
      </c>
      <c r="R124" s="84"/>
      <c r="S124" s="84"/>
      <c r="T124" s="84">
        <f t="shared" si="85"/>
        <v>0</v>
      </c>
      <c r="U124" s="71"/>
      <c r="V124" s="151"/>
      <c r="W124" s="92"/>
      <c r="X124" s="98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9"/>
      <c r="AL124" s="91"/>
      <c r="AM124" s="91"/>
      <c r="AN124" s="91"/>
      <c r="AO124" s="91"/>
      <c r="AP124" s="9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</row>
    <row r="125" spans="2:122" x14ac:dyDescent="0.35">
      <c r="B125" s="46"/>
      <c r="C125" s="115"/>
      <c r="D125" s="49"/>
      <c r="E125" s="50"/>
      <c r="F125" s="50"/>
      <c r="G125" s="123"/>
      <c r="H125" s="49"/>
      <c r="I125" s="51"/>
      <c r="J125" s="20" t="str">
        <f t="shared" si="82"/>
        <v/>
      </c>
      <c r="K125" s="100" t="str">
        <f t="shared" si="86"/>
        <v/>
      </c>
      <c r="L125" s="21" t="str">
        <f t="shared" si="87"/>
        <v>0</v>
      </c>
      <c r="M125" s="100" t="str">
        <f t="shared" si="88"/>
        <v/>
      </c>
      <c r="N125" s="22" t="str">
        <f t="shared" si="89"/>
        <v>0</v>
      </c>
      <c r="O125" s="100" t="str">
        <f t="shared" si="90"/>
        <v/>
      </c>
      <c r="P125" s="22" t="str">
        <f t="shared" si="91"/>
        <v>0</v>
      </c>
      <c r="Q125" s="22">
        <f t="shared" si="84"/>
        <v>0</v>
      </c>
      <c r="R125" s="84"/>
      <c r="S125" s="84"/>
      <c r="T125" s="84">
        <f t="shared" si="85"/>
        <v>0</v>
      </c>
      <c r="U125" s="71"/>
      <c r="V125" s="15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</row>
    <row r="126" spans="2:122" x14ac:dyDescent="0.35">
      <c r="B126" s="46"/>
      <c r="C126" s="115"/>
      <c r="D126" s="49"/>
      <c r="E126" s="50"/>
      <c r="F126" s="50"/>
      <c r="G126" s="123"/>
      <c r="H126" s="49"/>
      <c r="I126" s="51"/>
      <c r="J126" s="20" t="str">
        <f t="shared" si="82"/>
        <v/>
      </c>
      <c r="K126" s="100" t="str">
        <f t="shared" si="86"/>
        <v/>
      </c>
      <c r="L126" s="21" t="str">
        <f t="shared" si="87"/>
        <v>0</v>
      </c>
      <c r="M126" s="100" t="str">
        <f t="shared" si="88"/>
        <v/>
      </c>
      <c r="N126" s="22" t="str">
        <f t="shared" si="89"/>
        <v>0</v>
      </c>
      <c r="O126" s="100" t="str">
        <f t="shared" si="90"/>
        <v/>
      </c>
      <c r="P126" s="22" t="str">
        <f t="shared" si="91"/>
        <v>0</v>
      </c>
      <c r="Q126" s="22">
        <f t="shared" si="84"/>
        <v>0</v>
      </c>
      <c r="R126" s="84"/>
      <c r="S126" s="84"/>
      <c r="T126" s="84">
        <f t="shared" si="85"/>
        <v>0</v>
      </c>
      <c r="U126" s="71"/>
      <c r="V126" s="149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96"/>
      <c r="AL126" s="87"/>
      <c r="AM126" s="87"/>
      <c r="AN126" s="87"/>
      <c r="AO126" s="87"/>
      <c r="AP126" s="89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</row>
    <row r="127" spans="2:122" x14ac:dyDescent="0.35">
      <c r="B127" s="46"/>
      <c r="C127" s="115"/>
      <c r="D127" s="49"/>
      <c r="E127" s="50"/>
      <c r="F127" s="50"/>
      <c r="G127" s="123"/>
      <c r="H127" s="49"/>
      <c r="I127" s="51"/>
      <c r="J127" s="20" t="str">
        <f t="shared" si="82"/>
        <v/>
      </c>
      <c r="K127" s="100" t="str">
        <f t="shared" si="86"/>
        <v/>
      </c>
      <c r="L127" s="21" t="str">
        <f t="shared" si="87"/>
        <v>0</v>
      </c>
      <c r="M127" s="100" t="str">
        <f t="shared" si="88"/>
        <v/>
      </c>
      <c r="N127" s="22" t="str">
        <f t="shared" si="89"/>
        <v>0</v>
      </c>
      <c r="O127" s="100" t="str">
        <f t="shared" si="90"/>
        <v/>
      </c>
      <c r="P127" s="22" t="str">
        <f t="shared" si="91"/>
        <v>0</v>
      </c>
      <c r="Q127" s="22">
        <f t="shared" si="84"/>
        <v>0</v>
      </c>
      <c r="R127" s="84"/>
      <c r="S127" s="84"/>
      <c r="T127" s="84">
        <f t="shared" si="85"/>
        <v>0</v>
      </c>
      <c r="U127" s="71"/>
      <c r="V127" s="150"/>
      <c r="W127" s="113" t="s">
        <v>25</v>
      </c>
      <c r="X127" s="170">
        <v>400</v>
      </c>
      <c r="Y127" s="170"/>
      <c r="Z127" s="78" t="s">
        <v>29</v>
      </c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97"/>
      <c r="AL127" s="77"/>
      <c r="AM127" s="73" t="s">
        <v>24</v>
      </c>
      <c r="AN127" s="73" t="s">
        <v>26</v>
      </c>
      <c r="AO127" s="73" t="s">
        <v>30</v>
      </c>
      <c r="AP127" s="62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</row>
    <row r="128" spans="2:122" x14ac:dyDescent="0.35">
      <c r="B128" s="46"/>
      <c r="C128" s="115"/>
      <c r="D128" s="49"/>
      <c r="E128" s="50"/>
      <c r="F128" s="50"/>
      <c r="G128" s="123"/>
      <c r="H128" s="49"/>
      <c r="I128" s="51"/>
      <c r="J128" s="20" t="str">
        <f t="shared" si="82"/>
        <v/>
      </c>
      <c r="K128" s="100" t="str">
        <f t="shared" si="86"/>
        <v/>
      </c>
      <c r="L128" s="21" t="str">
        <f t="shared" si="87"/>
        <v>0</v>
      </c>
      <c r="M128" s="100" t="str">
        <f t="shared" si="88"/>
        <v/>
      </c>
      <c r="N128" s="22" t="str">
        <f t="shared" si="89"/>
        <v>0</v>
      </c>
      <c r="O128" s="100" t="str">
        <f t="shared" si="90"/>
        <v/>
      </c>
      <c r="P128" s="22" t="str">
        <f t="shared" si="91"/>
        <v>0</v>
      </c>
      <c r="Q128" s="22">
        <f t="shared" si="84"/>
        <v>0</v>
      </c>
      <c r="R128" s="84"/>
      <c r="S128" s="84"/>
      <c r="T128" s="84">
        <f t="shared" si="85"/>
        <v>0</v>
      </c>
      <c r="U128" s="71"/>
      <c r="V128" s="150"/>
      <c r="W128" s="113" t="s">
        <v>26</v>
      </c>
      <c r="X128" s="170"/>
      <c r="Y128" s="170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97"/>
      <c r="AL128" s="77"/>
      <c r="AM128" s="73" t="s">
        <v>25</v>
      </c>
      <c r="AN128" s="73" t="s">
        <v>27</v>
      </c>
      <c r="AO128" s="73" t="s">
        <v>31</v>
      </c>
      <c r="AP128" s="62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</row>
    <row r="129" spans="2:122" x14ac:dyDescent="0.35">
      <c r="B129" s="46"/>
      <c r="C129" s="115"/>
      <c r="D129" s="49"/>
      <c r="E129" s="50"/>
      <c r="F129" s="50"/>
      <c r="G129" s="124"/>
      <c r="H129" s="51"/>
      <c r="I129" s="51"/>
      <c r="J129" s="20" t="str">
        <f t="shared" si="82"/>
        <v/>
      </c>
      <c r="K129" s="100" t="str">
        <f t="shared" si="86"/>
        <v/>
      </c>
      <c r="L129" s="21" t="str">
        <f t="shared" si="87"/>
        <v>0</v>
      </c>
      <c r="M129" s="100" t="str">
        <f t="shared" si="88"/>
        <v/>
      </c>
      <c r="N129" s="22" t="str">
        <f t="shared" si="89"/>
        <v>0</v>
      </c>
      <c r="O129" s="100" t="str">
        <f t="shared" si="90"/>
        <v/>
      </c>
      <c r="P129" s="22" t="str">
        <f t="shared" si="91"/>
        <v>0</v>
      </c>
      <c r="Q129" s="22">
        <f t="shared" si="84"/>
        <v>0</v>
      </c>
      <c r="R129" s="84"/>
      <c r="S129" s="84"/>
      <c r="T129" s="84">
        <f t="shared" si="85"/>
        <v>0</v>
      </c>
      <c r="U129" s="71"/>
      <c r="V129" s="150"/>
      <c r="W129" s="78" t="s">
        <v>28</v>
      </c>
      <c r="X129" s="170">
        <v>1</v>
      </c>
      <c r="Y129" s="170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97"/>
      <c r="AL129" s="77"/>
      <c r="AM129" s="73" t="s">
        <v>21</v>
      </c>
      <c r="AN129" s="62" t="e">
        <f>ROUND((X130/IF(OR(X129=1,X129=""),1,X129))/(X127*X128),2)</f>
        <v>#DIV/0!</v>
      </c>
      <c r="AO129" s="62" t="e">
        <f>ROUND((X130/IF(OR(X129=1,X129=""),1,X129))/(X127*SQRT(3)*X128),2)</f>
        <v>#DIV/0!</v>
      </c>
      <c r="AP129" s="62">
        <f>ROUND(DEGREES(-ACOS(X128)),2)</f>
        <v>-90</v>
      </c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</row>
    <row r="130" spans="2:122" x14ac:dyDescent="0.35">
      <c r="B130" s="46"/>
      <c r="C130" s="115"/>
      <c r="D130" s="49"/>
      <c r="E130" s="50"/>
      <c r="F130" s="50"/>
      <c r="G130" s="124"/>
      <c r="H130" s="51"/>
      <c r="I130" s="51"/>
      <c r="J130" s="20" t="str">
        <f t="shared" si="82"/>
        <v/>
      </c>
      <c r="K130" s="100" t="str">
        <f t="shared" si="86"/>
        <v/>
      </c>
      <c r="L130" s="21" t="str">
        <f t="shared" si="87"/>
        <v>0</v>
      </c>
      <c r="M130" s="100" t="str">
        <f t="shared" si="88"/>
        <v/>
      </c>
      <c r="N130" s="22" t="str">
        <f t="shared" si="89"/>
        <v>0</v>
      </c>
      <c r="O130" s="100" t="str">
        <f t="shared" si="90"/>
        <v/>
      </c>
      <c r="P130" s="22" t="str">
        <f t="shared" si="91"/>
        <v>0</v>
      </c>
      <c r="Q130" s="22">
        <f t="shared" si="84"/>
        <v>0</v>
      </c>
      <c r="R130" s="84"/>
      <c r="S130" s="84"/>
      <c r="T130" s="84">
        <f t="shared" si="85"/>
        <v>0</v>
      </c>
      <c r="U130" s="71"/>
      <c r="V130" s="150"/>
      <c r="W130" s="113" t="s">
        <v>21</v>
      </c>
      <c r="X130" s="170"/>
      <c r="Y130" s="170"/>
      <c r="Z130" s="78" t="str">
        <f>IF(W130="P","W",IF(W130="Q","VAR","VA"))</f>
        <v>W</v>
      </c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97"/>
      <c r="AL130" s="77"/>
      <c r="AM130" s="73" t="s">
        <v>22</v>
      </c>
      <c r="AN130" s="62" t="e">
        <f>ROUND((X130/IF(OR(X129=1,X129=""),1,X129))/(X127*X128),2)</f>
        <v>#DIV/0!</v>
      </c>
      <c r="AO130" s="62" t="e">
        <f>ROUND((X130/IF(OR(X129=1,X129=""),1,X129))/(X127*SQRT(3)*X128),2)</f>
        <v>#DIV/0!</v>
      </c>
      <c r="AP130" s="62">
        <f>ROUND(DEGREES(-ACOS(X128)),2)</f>
        <v>-90</v>
      </c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</row>
    <row r="131" spans="2:122" x14ac:dyDescent="0.35">
      <c r="B131" s="46"/>
      <c r="C131" s="115"/>
      <c r="D131" s="49"/>
      <c r="E131" s="50"/>
      <c r="F131" s="50"/>
      <c r="G131" s="124"/>
      <c r="H131" s="51"/>
      <c r="I131" s="51"/>
      <c r="J131" s="20" t="str">
        <f t="shared" si="82"/>
        <v/>
      </c>
      <c r="K131" s="100" t="str">
        <f t="shared" si="86"/>
        <v/>
      </c>
      <c r="L131" s="21" t="str">
        <f t="shared" si="87"/>
        <v>0</v>
      </c>
      <c r="M131" s="100" t="str">
        <f t="shared" si="88"/>
        <v/>
      </c>
      <c r="N131" s="22" t="str">
        <f t="shared" si="89"/>
        <v>0</v>
      </c>
      <c r="O131" s="100" t="str">
        <f t="shared" si="90"/>
        <v/>
      </c>
      <c r="P131" s="22" t="str">
        <f t="shared" si="91"/>
        <v>0</v>
      </c>
      <c r="Q131" s="22">
        <f t="shared" si="84"/>
        <v>0</v>
      </c>
      <c r="R131" s="84"/>
      <c r="S131" s="84"/>
      <c r="T131" s="84">
        <f t="shared" si="85"/>
        <v>0</v>
      </c>
      <c r="U131" s="71"/>
      <c r="V131" s="150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97"/>
      <c r="AL131" s="77"/>
      <c r="AM131" s="73" t="s">
        <v>23</v>
      </c>
      <c r="AN131" s="62">
        <f>ROUND((X130/IF(OR(X129=1,X129=""),1,X129))/(X127),2)</f>
        <v>0</v>
      </c>
      <c r="AO131" s="62">
        <f>ROUND((X130/IF(OR(X129=1,X129=""),1,X129))/(X127*SQRT(3)),2)</f>
        <v>0</v>
      </c>
      <c r="AP131" s="62">
        <f>ROUND(DEGREES(-ACOS(X128)),2)</f>
        <v>-90</v>
      </c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</row>
    <row r="132" spans="2:122" ht="15" thickBot="1" x14ac:dyDescent="0.4">
      <c r="B132" s="46"/>
      <c r="C132" s="115"/>
      <c r="D132" s="49"/>
      <c r="E132" s="50"/>
      <c r="F132" s="50"/>
      <c r="G132" s="124"/>
      <c r="H132" s="51"/>
      <c r="I132" s="51"/>
      <c r="J132" s="20" t="str">
        <f t="shared" si="82"/>
        <v/>
      </c>
      <c r="K132" s="100" t="str">
        <f t="shared" si="86"/>
        <v/>
      </c>
      <c r="L132" s="21" t="str">
        <f t="shared" si="87"/>
        <v>0</v>
      </c>
      <c r="M132" s="100" t="str">
        <f t="shared" si="88"/>
        <v/>
      </c>
      <c r="N132" s="22" t="str">
        <f t="shared" si="89"/>
        <v>0</v>
      </c>
      <c r="O132" s="100" t="str">
        <f t="shared" si="90"/>
        <v/>
      </c>
      <c r="P132" s="22" t="str">
        <f t="shared" si="91"/>
        <v>0</v>
      </c>
      <c r="Q132" s="22">
        <f t="shared" si="84"/>
        <v>0</v>
      </c>
      <c r="R132" s="84"/>
      <c r="S132" s="84"/>
      <c r="T132" s="84">
        <f t="shared" si="85"/>
        <v>0</v>
      </c>
      <c r="U132" s="71"/>
      <c r="V132" s="156" t="s">
        <v>33</v>
      </c>
      <c r="X132" s="165" t="str">
        <f>"= ("</f>
        <v>= (</v>
      </c>
      <c r="Y132" s="166" t="str">
        <f>IF(OR(X129=1,X129=""),W130,W130&amp;"₂ / η")</f>
        <v>P</v>
      </c>
      <c r="Z132" s="166"/>
      <c r="AA132" s="166"/>
      <c r="AB132" s="167" t="str">
        <f>"∠-"&amp;IF(W128=AN127,AO127,AO128)&amp;"¯¹ ϕ)"</f>
        <v>∠-cos¯¹ ϕ)</v>
      </c>
      <c r="AC132" s="167"/>
      <c r="AD132" s="165" t="s">
        <v>34</v>
      </c>
      <c r="AE132" s="174">
        <f>IF(OR(X129=1,X129=""),X130,X130&amp;" / "&amp;X129)</f>
        <v>0</v>
      </c>
      <c r="AF132" s="174"/>
      <c r="AG132" s="174"/>
      <c r="AH132" s="167" t="str">
        <f>"∠-"&amp;IF(W128=AN127,AO127,AO128)&amp;"¯¹ "&amp;X128&amp;")"</f>
        <v>∠-cos¯¹ )</v>
      </c>
      <c r="AI132" s="167"/>
      <c r="AJ132" s="165" t="s">
        <v>32</v>
      </c>
      <c r="AK132" s="172" t="e">
        <f>"("&amp;IF(W127=AM127,VLOOKUP(W130,AM129:AO131,2,FALSE),VLOOKUP(W130,AM129:AO131,3,FALSE))&amp;" ∠"&amp;AP129&amp;") A"</f>
        <v>#DIV/0!</v>
      </c>
      <c r="AL132" s="94"/>
      <c r="AM132" s="77"/>
      <c r="AN132" s="77"/>
      <c r="AO132" s="77"/>
      <c r="AP132" s="90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</row>
    <row r="133" spans="2:122" x14ac:dyDescent="0.35">
      <c r="B133" s="46"/>
      <c r="C133" s="115"/>
      <c r="D133" s="49"/>
      <c r="E133" s="50"/>
      <c r="F133" s="50"/>
      <c r="G133" s="123"/>
      <c r="H133" s="49"/>
      <c r="I133" s="51"/>
      <c r="J133" s="20" t="str">
        <f t="shared" si="82"/>
        <v/>
      </c>
      <c r="K133" s="100" t="str">
        <f t="shared" si="86"/>
        <v/>
      </c>
      <c r="L133" s="21" t="str">
        <f t="shared" si="87"/>
        <v>0</v>
      </c>
      <c r="M133" s="100" t="str">
        <f t="shared" si="88"/>
        <v/>
      </c>
      <c r="N133" s="22" t="str">
        <f t="shared" si="89"/>
        <v>0</v>
      </c>
      <c r="O133" s="100" t="str">
        <f t="shared" si="90"/>
        <v/>
      </c>
      <c r="P133" s="22" t="str">
        <f t="shared" si="91"/>
        <v>0</v>
      </c>
      <c r="Q133" s="22">
        <f t="shared" si="84"/>
        <v>0</v>
      </c>
      <c r="R133" s="84"/>
      <c r="S133" s="84"/>
      <c r="T133" s="84">
        <f t="shared" si="85"/>
        <v>0</v>
      </c>
      <c r="U133" s="71"/>
      <c r="V133" s="156"/>
      <c r="W133" s="155" t="s">
        <v>43</v>
      </c>
      <c r="X133" s="165"/>
      <c r="Y133" s="171" t="str">
        <f>IF(W127=AM128,"√3 · ","")&amp;IF(W127=AM127,AM127,AM128)&amp;IF(W130=AM129," · "&amp;W128,IF(W130=AM130," · "&amp;W128,""))</f>
        <v>√3 · Un · cosϕ</v>
      </c>
      <c r="Z133" s="171"/>
      <c r="AA133" s="171"/>
      <c r="AB133" s="167"/>
      <c r="AC133" s="167"/>
      <c r="AD133" s="165"/>
      <c r="AE133" s="173" t="str">
        <f>IF(W127=AM128,"√3 · ","")&amp;X127&amp;IF(W130=AM129," · "&amp;X128,IF(W130=AM130," · "&amp;X128,""))</f>
        <v xml:space="preserve">√3 · 400 · </v>
      </c>
      <c r="AF133" s="173"/>
      <c r="AG133" s="173"/>
      <c r="AH133" s="167"/>
      <c r="AI133" s="167"/>
      <c r="AJ133" s="165"/>
      <c r="AK133" s="172"/>
      <c r="AL133" s="94"/>
      <c r="AM133" s="77"/>
      <c r="AN133" s="77"/>
      <c r="AO133" s="77"/>
      <c r="AP133" s="90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</row>
    <row r="134" spans="2:122" x14ac:dyDescent="0.35">
      <c r="B134" s="46"/>
      <c r="C134" s="115"/>
      <c r="D134" s="49"/>
      <c r="E134" s="50"/>
      <c r="F134" s="50"/>
      <c r="G134" s="123"/>
      <c r="H134" s="49"/>
      <c r="I134" s="51"/>
      <c r="J134" s="20" t="str">
        <f t="shared" si="82"/>
        <v/>
      </c>
      <c r="K134" s="100" t="str">
        <f t="shared" si="86"/>
        <v/>
      </c>
      <c r="L134" s="21" t="str">
        <f t="shared" si="87"/>
        <v>0</v>
      </c>
      <c r="M134" s="100" t="str">
        <f t="shared" si="88"/>
        <v/>
      </c>
      <c r="N134" s="22" t="str">
        <f t="shared" si="89"/>
        <v>0</v>
      </c>
      <c r="O134" s="100" t="str">
        <f t="shared" si="90"/>
        <v/>
      </c>
      <c r="P134" s="22" t="str">
        <f t="shared" si="91"/>
        <v>0</v>
      </c>
      <c r="Q134" s="22">
        <f t="shared" si="84"/>
        <v>0</v>
      </c>
      <c r="R134" s="84"/>
      <c r="S134" s="84"/>
      <c r="T134" s="84">
        <f t="shared" si="85"/>
        <v>0</v>
      </c>
      <c r="U134" s="71"/>
      <c r="V134" s="151"/>
      <c r="W134" s="92"/>
      <c r="X134" s="98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9"/>
      <c r="AL134" s="91"/>
      <c r="AM134" s="91"/>
      <c r="AN134" s="91"/>
      <c r="AO134" s="91"/>
      <c r="AP134" s="9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</row>
    <row r="135" spans="2:122" x14ac:dyDescent="0.35">
      <c r="B135" s="46"/>
      <c r="C135" s="115"/>
      <c r="D135" s="49"/>
      <c r="E135" s="50"/>
      <c r="F135" s="50"/>
      <c r="G135" s="123"/>
      <c r="H135" s="49"/>
      <c r="I135" s="51"/>
      <c r="J135" s="20" t="str">
        <f t="shared" si="82"/>
        <v/>
      </c>
      <c r="K135" s="100" t="str">
        <f t="shared" si="86"/>
        <v/>
      </c>
      <c r="L135" s="21" t="str">
        <f t="shared" si="87"/>
        <v>0</v>
      </c>
      <c r="M135" s="100" t="str">
        <f t="shared" si="88"/>
        <v/>
      </c>
      <c r="N135" s="22" t="str">
        <f t="shared" si="89"/>
        <v>0</v>
      </c>
      <c r="O135" s="100" t="str">
        <f t="shared" si="90"/>
        <v/>
      </c>
      <c r="P135" s="22" t="str">
        <f t="shared" si="91"/>
        <v>0</v>
      </c>
      <c r="Q135" s="22">
        <f t="shared" si="84"/>
        <v>0</v>
      </c>
      <c r="R135" s="84"/>
      <c r="S135" s="84"/>
      <c r="T135" s="84">
        <f t="shared" si="85"/>
        <v>0</v>
      </c>
      <c r="U135" s="71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</row>
    <row r="136" spans="2:122" ht="15" thickBot="1" x14ac:dyDescent="0.4">
      <c r="B136" s="46"/>
      <c r="C136" s="115"/>
      <c r="D136" s="49"/>
      <c r="E136" s="50"/>
      <c r="F136" s="50"/>
      <c r="G136" s="123"/>
      <c r="H136" s="49"/>
      <c r="I136" s="51"/>
      <c r="J136" s="20" t="str">
        <f t="shared" si="82"/>
        <v/>
      </c>
      <c r="K136" s="100" t="str">
        <f t="shared" si="86"/>
        <v/>
      </c>
      <c r="L136" s="21" t="str">
        <f t="shared" si="87"/>
        <v>0</v>
      </c>
      <c r="M136" s="100" t="str">
        <f t="shared" si="88"/>
        <v/>
      </c>
      <c r="N136" s="22" t="str">
        <f t="shared" si="89"/>
        <v>0</v>
      </c>
      <c r="O136" s="100" t="str">
        <f t="shared" si="90"/>
        <v/>
      </c>
      <c r="P136" s="22" t="str">
        <f t="shared" si="91"/>
        <v>0</v>
      </c>
      <c r="Q136" s="22">
        <f t="shared" si="84"/>
        <v>0</v>
      </c>
      <c r="R136" s="84"/>
      <c r="S136" s="84"/>
      <c r="T136" s="84">
        <f t="shared" si="85"/>
        <v>0</v>
      </c>
      <c r="U136" s="71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</row>
    <row r="137" spans="2:122" ht="15" hidden="1" customHeight="1" thickBot="1" x14ac:dyDescent="0.4">
      <c r="B137" s="105" t="s">
        <v>20</v>
      </c>
      <c r="C137" s="116"/>
      <c r="D137" s="106"/>
      <c r="E137" s="107"/>
      <c r="F137" s="107"/>
      <c r="G137" s="125"/>
      <c r="H137" s="106"/>
      <c r="I137" s="108">
        <v>0</v>
      </c>
      <c r="J137" s="109" t="str">
        <f t="shared" si="82"/>
        <v/>
      </c>
      <c r="K137" s="110" t="str">
        <f t="shared" si="86"/>
        <v/>
      </c>
      <c r="L137" s="111" t="str">
        <f>IF(AND(D137&gt;0,E137&gt;0,F137=""),COMPLEX(D137*IF(C137="",1,C137)*(COS(ACOS(IF(I137="",1,I137))+RADIANS(30))),D137*IF(C137="",1,C137)*SIN(ACOS(COS(ACOS(IF(I137="",1,I137))+RADIANS(30)))),"j"),IF(AND(D137&gt;0,E137="",F137&gt;0),COMPLEX(D137*IF(C137="",1,C137)*(COS(ACOS(IF(I137="",1,I137))+RADIANS(-30))),D137*IF(C137="",1,C137)*SIN(ACOS(COS(ACOS(IF(I137="",1,I137))+RADIANS(-30)))),"j"),COMPLEX(D137*IF(C137="",1,C137)*IF(I137="",1,I137),D137*IF(C137="",1,C137)*SIN(ACOS(IF(I137="",1,I137))),"j")))</f>
        <v>0</v>
      </c>
      <c r="M137" s="110" t="str">
        <f t="shared" si="88"/>
        <v/>
      </c>
      <c r="N137" s="112" t="str">
        <f>IF(AND(D137&gt;0,E137&gt;0,F137=""),COMPLEX(E137*IF(C137="",1,C137)*(COS(ACOS(IF(I137="",1,I137))+RADIANS(-30))),E137*IF(C137="",1,C137)*SIN(ACOS(COS(ACOS(IF(I137="",1,I137))+RADIANS(-30)))),"j"),IF(AND(D137="",E137&gt;0,F137&gt;0),COMPLEX(E137*IF(C137="",1,C137)*(COS(ACOS(IF(I137="",1,I137))+RADIANS(30))),E137*IF(C137="",1,C137)*SIN(ACOS(COS(ACOS(IF(I137="",1,I137))+RADIANS(30)))),"j"),COMPLEX(E137*IF(C137="",1,C137)*IF(I137="",1,I137),E137*IF(C137="",1,C137)*SIN(ACOS(IF(I137="",1,I137))),"j")))</f>
        <v>0</v>
      </c>
      <c r="O137" s="110" t="str">
        <f t="shared" si="90"/>
        <v/>
      </c>
      <c r="P137" s="112" t="str">
        <f>IF(AND(D137="",E137&gt;0,F137&gt;0),COMPLEX(F137*IF(C137="",1,C137)*(COS(ACOS(IF(I137="",1,I137))+RADIANS(-30))),F137*IF(C137="",1,C137)*SIN(ACOS(COS(ACOS(IF(I137="",1,I137))+RADIANS(-30)))),"j"),IF(AND(D137&gt;0,E137="",F137&gt;0),COMPLEX(F137*IF(C137="",1,C137)*(COS(ACOS(IF(I137="",1,I137))+RADIANS(30))),F137*IF(C137="",1,C137)*SIN(ACOS(COS(ACOS(IF(I137="",1,I137))+RADIANS(30)))),"j"),COMPLEX(F137*IF(C137="",1,C137)*IF(I137="",1,I137),F137*IF(C137="",1,C137)*SIN(ACOS(IF(I137="",1,I137))),"j")))</f>
        <v>0</v>
      </c>
      <c r="Q137" s="22">
        <f t="shared" si="84"/>
        <v>0</v>
      </c>
      <c r="R137" s="84"/>
      <c r="S137" s="84"/>
      <c r="T137" s="84">
        <f t="shared" si="85"/>
        <v>0</v>
      </c>
      <c r="U137" s="71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</row>
    <row r="138" spans="2:122" ht="15" thickBot="1" x14ac:dyDescent="0.4">
      <c r="B138" s="25" t="s">
        <v>7</v>
      </c>
      <c r="C138" s="118"/>
      <c r="D138" s="26">
        <f>SUM(IF($C118="",1,$C118)*D118,IF($C119="",1,$C119)*D119,IF($C120="",1,$C120)*D120,IF($C121="",1,$C121)*D121,IF($C122="",1,$C122)*D122,IF($C123="",1,$C123)*D123,IF($C124="",1,$C124)*D124,IF($C125="",1,$C125)*D125,IF($C126="",1,$C126)*D126,IF($C127="",1,$C127)*D127,IF($C128="",1,$C128)*D128,IF($C129="",1,$C129)*D129,IF($C130="",1,$C130)*D130,IF($C131="",1,$C131)*D131,IF($C132="",1,$C132)*D132,IF($C133="",1,$C133)*D133,IF($C134="",1,$C134)*D134,IF($C135="",1,$C135)*D135,IF($C136="",1,$C136)*D136,IF($C137="",1,$C137)*D137)</f>
        <v>0</v>
      </c>
      <c r="E138" s="27">
        <f t="shared" ref="E138:F138" si="92">SUM(IF($C118="",1,$C118)*E118,IF($C119="",1,$C119)*E119,IF($C120="",1,$C120)*E120,IF($C121="",1,$C121)*E121,IF($C122="",1,$C122)*E122,IF($C123="",1,$C123)*E123,IF($C124="",1,$C124)*E124,IF($C125="",1,$C125)*E125,IF($C126="",1,$C126)*E126,IF($C127="",1,$C127)*E127,IF($C128="",1,$C128)*E128,IF($C129="",1,$C129)*E129,IF($C130="",1,$C130)*E130,IF($C131="",1,$C131)*E131,IF($C132="",1,$C132)*E132,IF($C133="",1,$C133)*E133,IF($C134="",1,$C134)*E134,IF($C135="",1,$C135)*E135,IF($C136="",1,$C136)*E136,IF($C137="",1,$C137)*E137)</f>
        <v>0</v>
      </c>
      <c r="F138" s="63">
        <f t="shared" si="92"/>
        <v>0</v>
      </c>
      <c r="G138" s="126">
        <f>SUM(G118:G136)</f>
        <v>0</v>
      </c>
      <c r="H138" s="126">
        <f>SUM(H118:H136)</f>
        <v>0</v>
      </c>
      <c r="I138" s="168" t="s">
        <v>18</v>
      </c>
      <c r="J138" s="169"/>
      <c r="K138" s="102" t="e">
        <f>ROUND(IMABS(L138),2)&amp;"∠"&amp;ROUND(DEGREES(IMARGUMENT(L138)),2)</f>
        <v>#DIV/0!</v>
      </c>
      <c r="L138" s="29" t="str">
        <f>IMSUM(L118,L119,L128,L129,L130,L131,L132,L133,L134,L135,L136,L137,L120,L121,L122,L123,L124,L125,L126,L127)</f>
        <v>0</v>
      </c>
      <c r="M138" s="102" t="e">
        <f>ROUND(IMABS(N138),2)&amp;"∠"&amp;ROUND(DEGREES(IMARGUMENT(N138)),2)</f>
        <v>#DIV/0!</v>
      </c>
      <c r="N138" s="29" t="str">
        <f>IMSUM(N118,N119,N128,N129,N130,N131,N132,N133,N134,N135,N136,N137,N120,N121,N122,N123,N124,N125,N126,N127)</f>
        <v>0</v>
      </c>
      <c r="O138" s="102" t="e">
        <f>ROUND(IMABS(P138),2)&amp;"∠"&amp;ROUND(DEGREES(IMARGUMENT(P138)),2)</f>
        <v>#DIV/0!</v>
      </c>
      <c r="P138" s="29" t="str">
        <f>IMSUM(P118,P119,P128,P129,P130,P131,P132,P133,P134,P135,P136,P137,P120,P121,P122,P123,P124,P125,P126,P127)</f>
        <v>0</v>
      </c>
      <c r="Q138" s="28" t="e">
        <f>ROUND(IMABS(T138),2)&amp;"∠"&amp;ROUND(DEGREES(IMARGUMENT(T138)),2)</f>
        <v>#DIV/0!</v>
      </c>
      <c r="R138" s="120"/>
      <c r="S138" s="120"/>
      <c r="T138" s="121" t="str">
        <f>IMSUM(T118,T119,T128,T129,T130,T131,T132,T133,T134,T135,T136,T137,T120,T121,T122,T123,T124,T125,T126,T127)</f>
        <v>0</v>
      </c>
      <c r="U138" s="71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</row>
    <row r="139" spans="2:122" ht="15" thickBot="1" x14ac:dyDescent="0.4">
      <c r="B139" s="30" t="s">
        <v>8</v>
      </c>
      <c r="C139" s="59"/>
      <c r="D139" s="31">
        <f>D138*IF(C139="",1,C139)</f>
        <v>0</v>
      </c>
      <c r="E139" s="32">
        <f>E138*IF(C139="",1,C139)</f>
        <v>0</v>
      </c>
      <c r="F139" s="32">
        <f>F138*IF(C139="",1,C139)</f>
        <v>0</v>
      </c>
      <c r="G139" s="127"/>
      <c r="H139" s="129"/>
      <c r="I139" s="80" t="s">
        <v>17</v>
      </c>
      <c r="J139" s="81" t="s">
        <v>6</v>
      </c>
      <c r="K139" s="102" t="e">
        <f>ROUND(IMABS(L139),2)&amp;"∠"&amp;ROUND(DEGREES(IMARGUMENT(L139)),2)</f>
        <v>#DIV/0!</v>
      </c>
      <c r="L139" s="33" t="str">
        <f>IMPRODUCT(L138,IF(C139="",1,C139))</f>
        <v>0</v>
      </c>
      <c r="M139" s="102" t="e">
        <f>ROUND(IMABS(N139),2)&amp;"∠"&amp;ROUND(DEGREES(IMARGUMENT(N139)),2)</f>
        <v>#DIV/0!</v>
      </c>
      <c r="N139" s="33" t="str">
        <f>IMPRODUCT(N138,IF(C139="",1,C139))</f>
        <v>0</v>
      </c>
      <c r="O139" s="102" t="e">
        <f>ROUND(IMABS(P139),2)&amp;"∠"&amp;ROUND(DEGREES(IMARGUMENT(P139)),2)</f>
        <v>#DIV/0!</v>
      </c>
      <c r="P139" s="33" t="str">
        <f>IMPRODUCT(P138,IF(C139="",1,C139))</f>
        <v>0</v>
      </c>
      <c r="Q139" s="28" t="e">
        <f>ROUND(IMABS(T139),2)&amp;"∠"&amp;ROUND(DEGREES(IMARGUMENT(T139)),2)</f>
        <v>#DIV/0!</v>
      </c>
      <c r="R139" s="69"/>
      <c r="S139" s="69"/>
      <c r="T139" s="69" t="str">
        <f>IMPRODUCT(T138,IF(E139="",1,E139))</f>
        <v>0</v>
      </c>
      <c r="U139" s="71"/>
      <c r="AR139" s="75" t="s">
        <v>1</v>
      </c>
      <c r="AS139" s="75" t="s">
        <v>2</v>
      </c>
      <c r="AT139" s="75" t="s">
        <v>3</v>
      </c>
      <c r="AU139" s="73" t="s">
        <v>15</v>
      </c>
      <c r="AV139" s="73" t="s">
        <v>14</v>
      </c>
      <c r="AW139" s="73" t="s">
        <v>19</v>
      </c>
      <c r="AX139" s="73" t="s">
        <v>16</v>
      </c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</row>
    <row r="140" spans="2:122" ht="15" thickBot="1" x14ac:dyDescent="0.4">
      <c r="B140" s="52" t="s">
        <v>9</v>
      </c>
      <c r="C140" s="117"/>
      <c r="D140" s="31">
        <f>D139*IF(C140="",1,C140)</f>
        <v>0</v>
      </c>
      <c r="E140" s="32">
        <f>E139*IF(C140="",1,C140)</f>
        <v>0</v>
      </c>
      <c r="F140" s="32">
        <f>F139*IF(C140="",1,C140)</f>
        <v>0</v>
      </c>
      <c r="G140" s="31"/>
      <c r="H140" s="130"/>
      <c r="I140" s="56">
        <f>AV140</f>
        <v>1</v>
      </c>
      <c r="J140" s="57">
        <f>AU140</f>
        <v>0</v>
      </c>
      <c r="K140" s="102" t="e">
        <f>ROUND(IMABS(L140),2)&amp;"∠"&amp;ROUND(DEGREES(IMARGUMENT(L140)),2)</f>
        <v>#DIV/0!</v>
      </c>
      <c r="L140" s="33" t="str">
        <f>IMPRODUCT(L139,IF(C140="",1,C140))</f>
        <v>0</v>
      </c>
      <c r="M140" s="102" t="e">
        <f>ROUND(IMABS(N140),2)&amp;"∠"&amp;ROUND(DEGREES(IMARGUMENT(N140)),2)</f>
        <v>#DIV/0!</v>
      </c>
      <c r="N140" s="33" t="str">
        <f>IMPRODUCT(N139,IF(C140="",1,C140))</f>
        <v>0</v>
      </c>
      <c r="O140" s="102" t="e">
        <f>ROUND(IMABS(P140),2)&amp;"∠"&amp;ROUND(DEGREES(IMARGUMENT(P140)),2)</f>
        <v>#DIV/0!</v>
      </c>
      <c r="P140" s="33" t="str">
        <f>IMPRODUCT(P139,IF(C140="",1,C140))</f>
        <v>0</v>
      </c>
      <c r="Q140" s="67"/>
      <c r="R140" s="68"/>
      <c r="S140" s="68"/>
      <c r="T140" s="68"/>
      <c r="U140" s="71"/>
      <c r="AR140" s="74">
        <f>IFERROR(ROUND(DEGREES(IMARGUMENT(L140)),2),0)</f>
        <v>0</v>
      </c>
      <c r="AS140" s="74">
        <f>IFERROR(ROUND(DEGREES(IMARGUMENT(N140)),2),0)</f>
        <v>0</v>
      </c>
      <c r="AT140" s="74">
        <f>IFERROR(ROUND(DEGREES(IMARGUMENT(P140)),2),0)</f>
        <v>0</v>
      </c>
      <c r="AU140" s="62">
        <f>MIN(AR140:AT140)</f>
        <v>0</v>
      </c>
      <c r="AV140" s="79">
        <f>COS(RADIANS(AU140))</f>
        <v>1</v>
      </c>
      <c r="AW140" s="62">
        <f>MAX(AR140:AT140)</f>
        <v>0</v>
      </c>
      <c r="AX140" s="62">
        <f>COS(RADIANS(AW140))</f>
        <v>1</v>
      </c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</row>
    <row r="141" spans="2:122" x14ac:dyDescent="0.35">
      <c r="B141" s="3"/>
      <c r="C141" s="3"/>
      <c r="D141" s="2"/>
      <c r="E141" s="2"/>
      <c r="F141" s="2"/>
      <c r="G141" s="2"/>
      <c r="H141" s="2"/>
      <c r="I141" s="2"/>
      <c r="J141" s="2"/>
      <c r="K141" s="86"/>
      <c r="L141" s="34"/>
      <c r="M141" s="86"/>
      <c r="N141" s="34"/>
      <c r="O141" s="86"/>
      <c r="P141" s="34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</row>
    <row r="142" spans="2:122" x14ac:dyDescent="0.35">
      <c r="B142" s="178" t="s">
        <v>45</v>
      </c>
      <c r="C142" s="178"/>
      <c r="D142" s="2"/>
      <c r="E142" s="2"/>
      <c r="F142" s="2"/>
      <c r="G142" s="2"/>
      <c r="H142" s="2"/>
      <c r="I142" s="2"/>
      <c r="J142" s="2"/>
      <c r="K142" s="86"/>
      <c r="L142" s="34"/>
      <c r="M142" s="86"/>
      <c r="N142" s="34"/>
      <c r="O142" s="86"/>
      <c r="P142" s="34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</row>
    <row r="143" spans="2:122" ht="24" thickBot="1" x14ac:dyDescent="0.4">
      <c r="B143" s="179"/>
      <c r="C143" s="179"/>
      <c r="D143" s="2"/>
      <c r="E143" s="2"/>
      <c r="F143" s="2"/>
      <c r="G143" s="2"/>
      <c r="H143" s="2"/>
      <c r="I143" s="2"/>
      <c r="J143" s="2"/>
      <c r="K143" s="86"/>
      <c r="L143" s="34"/>
      <c r="M143" s="86"/>
      <c r="N143" s="34"/>
      <c r="O143" s="86"/>
      <c r="P143" s="34"/>
      <c r="Q143" s="70"/>
      <c r="R143" s="70"/>
      <c r="S143" s="70"/>
      <c r="T143" s="70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</row>
    <row r="144" spans="2:122" x14ac:dyDescent="0.35">
      <c r="B144" s="5"/>
      <c r="C144" s="6"/>
      <c r="D144" s="7"/>
      <c r="E144" s="8" t="s">
        <v>0</v>
      </c>
      <c r="F144" s="8"/>
      <c r="G144" s="157" t="s">
        <v>40</v>
      </c>
      <c r="H144" s="157" t="s">
        <v>41</v>
      </c>
      <c r="I144" s="9"/>
      <c r="J144" s="10"/>
      <c r="K144" s="159" t="s">
        <v>1</v>
      </c>
      <c r="L144" s="163"/>
      <c r="M144" s="159" t="s">
        <v>2</v>
      </c>
      <c r="N144" s="163"/>
      <c r="O144" s="159" t="s">
        <v>3</v>
      </c>
      <c r="P144" s="160"/>
      <c r="Q144" s="159" t="s">
        <v>12</v>
      </c>
      <c r="R144" s="160"/>
      <c r="S144" s="160"/>
      <c r="T144" s="160"/>
      <c r="U144" s="71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</row>
    <row r="145" spans="2:122" ht="15" thickBot="1" x14ac:dyDescent="0.4">
      <c r="B145" s="12" t="s">
        <v>4</v>
      </c>
      <c r="C145" s="13"/>
      <c r="D145" s="14" t="s">
        <v>1</v>
      </c>
      <c r="E145" s="15" t="s">
        <v>2</v>
      </c>
      <c r="F145" s="15" t="s">
        <v>3</v>
      </c>
      <c r="G145" s="158"/>
      <c r="H145" s="158"/>
      <c r="I145" s="54" t="s">
        <v>5</v>
      </c>
      <c r="J145" s="55" t="s">
        <v>6</v>
      </c>
      <c r="K145" s="175"/>
      <c r="L145" s="176"/>
      <c r="M145" s="175"/>
      <c r="N145" s="176"/>
      <c r="O145" s="175"/>
      <c r="P145" s="177"/>
      <c r="Q145" s="175"/>
      <c r="R145" s="177"/>
      <c r="S145" s="177"/>
      <c r="T145" s="177"/>
      <c r="U145" s="71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</row>
    <row r="146" spans="2:122" x14ac:dyDescent="0.35">
      <c r="B146" s="37" t="str">
        <f>B2</f>
        <v>Tavle -A1</v>
      </c>
      <c r="C146" s="38"/>
      <c r="D146" s="18">
        <f t="shared" ref="D146:P146" si="93">D28</f>
        <v>493.34749999999997</v>
      </c>
      <c r="E146" s="19">
        <f t="shared" si="93"/>
        <v>493.34749999999997</v>
      </c>
      <c r="F146" s="39">
        <f t="shared" si="93"/>
        <v>487.49099999999999</v>
      </c>
      <c r="G146" s="131">
        <f>G26</f>
        <v>0</v>
      </c>
      <c r="H146" s="131">
        <f>H26</f>
        <v>0</v>
      </c>
      <c r="I146" s="82">
        <f t="shared" si="93"/>
        <v>0.98543759063650493</v>
      </c>
      <c r="J146" s="39">
        <f t="shared" si="93"/>
        <v>-9.7899999999999991</v>
      </c>
      <c r="K146" s="103" t="str">
        <f t="shared" si="93"/>
        <v>485,15∠-9,79</v>
      </c>
      <c r="L146" s="83" t="str">
        <f t="shared" si="93"/>
        <v>478,07677-82,5228973959405j</v>
      </c>
      <c r="M146" s="103" t="str">
        <f t="shared" si="93"/>
        <v>485,15∠-9,79</v>
      </c>
      <c r="N146" s="83" t="str">
        <f t="shared" si="93"/>
        <v>478,07677-82,5228973959405j</v>
      </c>
      <c r="O146" s="103" t="str">
        <f t="shared" si="93"/>
        <v>479,52∠-9,6</v>
      </c>
      <c r="P146" s="83" t="str">
        <f t="shared" si="93"/>
        <v>472,80592-79,9701082296559j</v>
      </c>
      <c r="Q146" s="18" t="str">
        <f>Q27</f>
        <v>55211,51∠-130,89</v>
      </c>
      <c r="R146" s="19"/>
      <c r="S146" s="19"/>
      <c r="T146" s="19" t="str">
        <f>T27</f>
        <v>-36144,4146001533-41735,9749982j</v>
      </c>
      <c r="U146" s="71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</row>
    <row r="147" spans="2:122" x14ac:dyDescent="0.35">
      <c r="B147" s="37" t="str">
        <f>B30</f>
        <v>Tavle -A2</v>
      </c>
      <c r="C147" s="38"/>
      <c r="D147" s="23">
        <f t="shared" ref="D147:P147" si="94">D56</f>
        <v>143.1</v>
      </c>
      <c r="E147" s="24">
        <f t="shared" si="94"/>
        <v>143.1</v>
      </c>
      <c r="F147" s="40">
        <f t="shared" si="94"/>
        <v>133.1</v>
      </c>
      <c r="G147" s="132">
        <f>G54</f>
        <v>499.9</v>
      </c>
      <c r="H147" s="132">
        <f>H54</f>
        <v>0</v>
      </c>
      <c r="I147" s="134">
        <f t="shared" si="94"/>
        <v>0.90490135118958437</v>
      </c>
      <c r="J147" s="40">
        <f t="shared" si="94"/>
        <v>-25.19</v>
      </c>
      <c r="K147" s="100" t="str">
        <f t="shared" si="94"/>
        <v>141,97∠-23,47</v>
      </c>
      <c r="L147" s="22" t="str">
        <f t="shared" si="94"/>
        <v>130,23-56,5400227065855j</v>
      </c>
      <c r="M147" s="100" t="str">
        <f t="shared" si="94"/>
        <v>141,97∠-23,47</v>
      </c>
      <c r="N147" s="22" t="str">
        <f t="shared" si="94"/>
        <v>130,23-56,5400227065855j</v>
      </c>
      <c r="O147" s="100" t="str">
        <f t="shared" si="94"/>
        <v>132,86∠-25,19</v>
      </c>
      <c r="P147" s="22" t="str">
        <f t="shared" si="94"/>
        <v>120,23-56,5400227065855j</v>
      </c>
      <c r="Q147" s="23" t="str">
        <f>Q55</f>
        <v>21916,61∠-127,36</v>
      </c>
      <c r="R147" s="24"/>
      <c r="S147" s="24"/>
      <c r="T147" s="24" t="str">
        <f>T55</f>
        <v>-13298,3104736122-17421,0368514402j</v>
      </c>
      <c r="U147" s="71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</row>
    <row r="148" spans="2:122" x14ac:dyDescent="0.35">
      <c r="B148" s="37" t="str">
        <f>B58</f>
        <v>Tavle -A3</v>
      </c>
      <c r="C148" s="38"/>
      <c r="D148" s="23">
        <f t="shared" ref="D148:P148" si="95">D84</f>
        <v>216.10000000000002</v>
      </c>
      <c r="E148" s="24">
        <f t="shared" si="95"/>
        <v>216.10000000000002</v>
      </c>
      <c r="F148" s="40">
        <f t="shared" si="95"/>
        <v>216.10000000000002</v>
      </c>
      <c r="G148" s="132">
        <f>G82</f>
        <v>0</v>
      </c>
      <c r="H148" s="132">
        <f>H82</f>
        <v>0.17</v>
      </c>
      <c r="I148" s="134">
        <f t="shared" si="95"/>
        <v>0.95921536033657429</v>
      </c>
      <c r="J148" s="40">
        <f t="shared" si="95"/>
        <v>-16.420000000000002</v>
      </c>
      <c r="K148" s="100" t="str">
        <f t="shared" si="95"/>
        <v>215,81∠-16,42</v>
      </c>
      <c r="L148" s="22" t="str">
        <f t="shared" si="95"/>
        <v>207,014-60,9878401365252j</v>
      </c>
      <c r="M148" s="100" t="str">
        <f t="shared" si="95"/>
        <v>215,81∠-16,42</v>
      </c>
      <c r="N148" s="22" t="str">
        <f t="shared" si="95"/>
        <v>207,014-60,9878401365252j</v>
      </c>
      <c r="O148" s="100" t="str">
        <f t="shared" si="95"/>
        <v>215,81∠-16,42</v>
      </c>
      <c r="P148" s="22" t="str">
        <f t="shared" si="95"/>
        <v>207,014-60,9878401365252j</v>
      </c>
      <c r="Q148" s="23" t="str">
        <f>Q83</f>
        <v>34869,61∠-130,89</v>
      </c>
      <c r="R148" s="24"/>
      <c r="S148" s="24"/>
      <c r="T148" s="24" t="str">
        <f>T83</f>
        <v>-22827,5155600116-26358,9445070061j</v>
      </c>
      <c r="U148" s="71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</row>
    <row r="149" spans="2:122" x14ac:dyDescent="0.35">
      <c r="B149" s="37" t="str">
        <f>B86</f>
        <v>Tavle -A4</v>
      </c>
      <c r="C149" s="38"/>
      <c r="D149" s="23">
        <f>D112</f>
        <v>134</v>
      </c>
      <c r="E149" s="24">
        <f t="shared" ref="E149:P149" si="96">E112</f>
        <v>134</v>
      </c>
      <c r="F149" s="40">
        <f t="shared" si="96"/>
        <v>134</v>
      </c>
      <c r="G149" s="132">
        <f>G110</f>
        <v>252</v>
      </c>
      <c r="H149" s="132">
        <f>H110</f>
        <v>0</v>
      </c>
      <c r="I149" s="134">
        <f t="shared" si="96"/>
        <v>0.86802554936312648</v>
      </c>
      <c r="J149" s="40">
        <f t="shared" si="96"/>
        <v>-29.77</v>
      </c>
      <c r="K149" s="23" t="str">
        <f t="shared" si="96"/>
        <v>133,8∠-29,77</v>
      </c>
      <c r="L149" s="22" t="str">
        <f t="shared" si="96"/>
        <v>116,14-66,4319336191805j</v>
      </c>
      <c r="M149" s="23" t="str">
        <f t="shared" si="96"/>
        <v>133,8∠-29,77</v>
      </c>
      <c r="N149" s="22" t="str">
        <f t="shared" si="96"/>
        <v>116,14-66,4319336191805j</v>
      </c>
      <c r="O149" s="23" t="str">
        <f t="shared" si="96"/>
        <v>133,8∠-29,77</v>
      </c>
      <c r="P149" s="22" t="str">
        <f t="shared" si="96"/>
        <v>116,14-66,4319336191805j</v>
      </c>
      <c r="Q149" s="23" t="e">
        <f>Q111</f>
        <v>#DIV/0!</v>
      </c>
      <c r="R149" s="24"/>
      <c r="S149" s="24"/>
      <c r="T149" s="24" t="str">
        <f>T111</f>
        <v>0</v>
      </c>
      <c r="U149" s="71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</row>
    <row r="150" spans="2:122" ht="15" thickBot="1" x14ac:dyDescent="0.4">
      <c r="B150" s="37" t="str">
        <f>B114</f>
        <v>Tavle -A5</v>
      </c>
      <c r="C150" s="38"/>
      <c r="D150" s="41">
        <f>D140</f>
        <v>0</v>
      </c>
      <c r="E150" s="42">
        <f t="shared" ref="E150:P150" si="97">E140</f>
        <v>0</v>
      </c>
      <c r="F150" s="43">
        <f t="shared" si="97"/>
        <v>0</v>
      </c>
      <c r="G150" s="133">
        <f>G138</f>
        <v>0</v>
      </c>
      <c r="H150" s="133">
        <f>H138</f>
        <v>0</v>
      </c>
      <c r="I150" s="147">
        <f t="shared" si="97"/>
        <v>1</v>
      </c>
      <c r="J150" s="43">
        <f t="shared" si="97"/>
        <v>0</v>
      </c>
      <c r="K150" s="41" t="e">
        <f t="shared" si="97"/>
        <v>#DIV/0!</v>
      </c>
      <c r="L150" s="145" t="str">
        <f t="shared" si="97"/>
        <v>0</v>
      </c>
      <c r="M150" s="41" t="e">
        <f t="shared" si="97"/>
        <v>#DIV/0!</v>
      </c>
      <c r="N150" s="145" t="str">
        <f t="shared" si="97"/>
        <v>0</v>
      </c>
      <c r="O150" s="41" t="e">
        <f t="shared" si="97"/>
        <v>#DIV/0!</v>
      </c>
      <c r="P150" s="145" t="str">
        <f t="shared" si="97"/>
        <v>0</v>
      </c>
      <c r="Q150" s="41" t="e">
        <f>Q139</f>
        <v>#DIV/0!</v>
      </c>
      <c r="R150" s="42"/>
      <c r="S150" s="42"/>
      <c r="T150" s="42" t="str">
        <f>T139</f>
        <v>0</v>
      </c>
      <c r="U150" s="71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</row>
    <row r="151" spans="2:122" ht="15" hidden="1" thickBot="1" x14ac:dyDescent="0.4">
      <c r="B151" s="105" t="s">
        <v>20</v>
      </c>
      <c r="C151" s="116"/>
      <c r="D151" s="106"/>
      <c r="E151" s="107"/>
      <c r="F151" s="107"/>
      <c r="G151" s="107"/>
      <c r="H151" s="107"/>
      <c r="I151" s="108">
        <v>0</v>
      </c>
      <c r="J151" s="109" t="str">
        <f t="shared" ref="J151" si="98">IF(AND(D151="",E151="",F151=""),"",IF(AND(D151&gt;0,E151&gt;0,F151=""),ROUND(DEGREES(IMARGUMENT(L151)),2),IF(AND(D151="",E151&gt;0,F151&gt;0),ROUND(DEGREES(IMARGUMENT(N151)),2),IF(AND(D151&gt;0,E151="",F151&gt;0),ROUND(DEGREES(IMARGUMENT(P151)),2),IF(AND(E151="",F151=""),ROUND(DEGREES(IMARGUMENT(L151)),2),IF(AND(D151="",F151=""),ROUND(DEGREES(IMARGUMENT(N151)),2),IF(AND(E151="",D151=""),ROUND(DEGREES(IMARGUMENT(P151)),2),ROUND(DEGREES(IMARGUMENT(L151)),2))))))))</f>
        <v/>
      </c>
      <c r="K151" s="110" t="str">
        <f t="shared" ref="K151" si="99">IF(L151="0","",ROUND(IMABS(L151),2)&amp;"∠"&amp;ROUND(DEGREES(IMARGUMENT(L151)),2))</f>
        <v/>
      </c>
      <c r="L151" s="111" t="str">
        <f>IF(AND(D151&gt;0,E151&gt;0,F151=""),COMPLEX(D151*IF(C151="",1,C151)*(COS(ACOS(IF(I151="",1,I151))+RADIANS(30))),D151*IF(C151="",1,C151)*SIN(ACOS(COS(ACOS(IF(I151="",1,I151))+RADIANS(30)))),"j"),IF(AND(D151&gt;0,E151="",F151&gt;0),COMPLEX(D151*IF(C151="",1,C151)*(COS(ACOS(IF(I151="",1,I151))+RADIANS(-30))),D151*IF(C151="",1,C151)*SIN(ACOS(COS(ACOS(IF(I151="",1,I151))+RADIANS(-30)))),"j"),COMPLEX(D151*IF(C151="",1,C151)*IF(I151="",1,I151),D151*IF(C151="",1,C151)*SIN(ACOS(IF(I151="",1,I151))),"j")))</f>
        <v>0</v>
      </c>
      <c r="M151" s="110" t="str">
        <f t="shared" ref="M151" si="100">IF(N151="0","",ROUND(IMABS(N151),2)&amp;"∠"&amp;ROUND(DEGREES(IMARGUMENT(N151)),2))</f>
        <v/>
      </c>
      <c r="N151" s="112" t="str">
        <f>IF(AND(D151&gt;0,E151&gt;0,F151=""),COMPLEX(E151*IF(C151="",1,C151)*(COS(ACOS(IF(I151="",1,I151))+RADIANS(-30))),E151*IF(C151="",1,C151)*SIN(ACOS(COS(ACOS(IF(I151="",1,I151))+RADIANS(-30)))),"j"),IF(AND(D151="",E151&gt;0,F151&gt;0),COMPLEX(E151*IF(C151="",1,C151)*(COS(ACOS(IF(I151="",1,I151))+RADIANS(30))),E151*IF(C151="",1,C151)*SIN(ACOS(COS(ACOS(IF(I151="",1,I151))+RADIANS(30)))),"j"),COMPLEX(E151*IF(C151="",1,C151)*IF(I151="",1,I151),E151*IF(C151="",1,C151)*SIN(ACOS(IF(I151="",1,I151))),"j")))</f>
        <v>0</v>
      </c>
      <c r="O151" s="110" t="str">
        <f t="shared" ref="O151" si="101">IF(P151="0","",ROUND(IMABS(P151),2)&amp;"∠"&amp;ROUND(DEGREES(IMARGUMENT(P151)),2))</f>
        <v/>
      </c>
      <c r="P151" s="112" t="str">
        <f>IF(AND(D151="",E151&gt;0,F151&gt;0),COMPLEX(F151*IF(C151="",1,C151)*(COS(ACOS(IF(I151="",1,I151))+RADIANS(-30))),F151*IF(C151="",1,C151)*SIN(ACOS(COS(ACOS(IF(I151="",1,I151))+RADIANS(-30)))),"j"),IF(AND(D151&gt;0,E151="",F151&gt;0),COMPLEX(F151*IF(C151="",1,C151)*(COS(ACOS(IF(I151="",1,I151))+RADIANS(30))),F151*IF(C151="",1,C151)*SIN(ACOS(COS(ACOS(IF(I151="",1,I151))+RADIANS(30)))),"j"),COMPLEX(F151*IF(C151="",1,C151)*IF(I151="",1,I151),F151*IF(C151="",1,C151)*SIN(ACOS(IF(I151="",1,I151))),"j")))</f>
        <v>0</v>
      </c>
      <c r="Q151" s="41"/>
      <c r="R151" s="42"/>
      <c r="S151" s="42"/>
      <c r="T151" s="42"/>
      <c r="U151" s="71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</row>
    <row r="152" spans="2:122" ht="15" thickBot="1" x14ac:dyDescent="0.4">
      <c r="B152" s="25" t="s">
        <v>7</v>
      </c>
      <c r="C152" s="118"/>
      <c r="D152" s="26">
        <f>SUM(D146:D150)-D151</f>
        <v>986.54750000000001</v>
      </c>
      <c r="E152" s="27">
        <f>SUM(E146:E150)-E151</f>
        <v>986.54750000000001</v>
      </c>
      <c r="F152" s="63">
        <f>SUM(F146:F150)-F151</f>
        <v>970.69100000000003</v>
      </c>
      <c r="G152" s="126">
        <f>SUM(G146:G150)</f>
        <v>751.9</v>
      </c>
      <c r="H152" s="126">
        <f>SUM(H146:H150)</f>
        <v>0.17</v>
      </c>
      <c r="I152" s="168" t="s">
        <v>18</v>
      </c>
      <c r="J152" s="169"/>
      <c r="K152" s="102" t="str">
        <f>ROUND(IMABS(L152),2)&amp;"∠"&amp;ROUND(DEGREES(IMARGUMENT(L152)),2)</f>
        <v>968,83∠-15,97</v>
      </c>
      <c r="L152" s="29" t="str">
        <f>IMSUM(L146,L147,L148,L151,L149,L150,L151)</f>
        <v>931,46077-266,482693858232j</v>
      </c>
      <c r="M152" s="102" t="str">
        <f>ROUND(IMABS(N152),2)&amp;"∠"&amp;ROUND(DEGREES(IMARGUMENT(N152)),2)</f>
        <v>968,83∠-15,97</v>
      </c>
      <c r="N152" s="29" t="str">
        <f>IMSUM(N146,N147,N148,N151,N149,N150,N151)</f>
        <v>931,46077-266,482693858232j</v>
      </c>
      <c r="O152" s="102" t="str">
        <f>ROUND(IMABS(P152),2)&amp;"∠"&amp;ROUND(DEGREES(IMARGUMENT(P152)),2)</f>
        <v>953,45∠-16,07</v>
      </c>
      <c r="P152" s="58" t="str">
        <f>IMSUM(P146,P147,P148,P151,P149,P150,P151)</f>
        <v>916,18992-263,929904691947j</v>
      </c>
      <c r="Q152" s="28" t="str">
        <f>ROUND(IMABS(T152),2)&amp;"∠"&amp;ROUND(DEGREES(IMARGUMENT(T152)),2)</f>
        <v>111964,13∠-130,2</v>
      </c>
      <c r="R152" s="69"/>
      <c r="S152" s="69"/>
      <c r="T152" s="119" t="str">
        <f>IMSUM(T146,T147,T148,T151,T149,T150,T151)</f>
        <v>-72270,2406337771-85515,9563566463j</v>
      </c>
      <c r="U152" s="71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</row>
    <row r="153" spans="2:122" ht="15" thickBot="1" x14ac:dyDescent="0.4">
      <c r="B153" s="30" t="s">
        <v>8</v>
      </c>
      <c r="C153" s="59"/>
      <c r="D153" s="31">
        <f>D152*IF(C153="",1,C153)</f>
        <v>986.54750000000001</v>
      </c>
      <c r="E153" s="32">
        <f>E152*IF(C153="",1,C153)</f>
        <v>986.54750000000001</v>
      </c>
      <c r="F153" s="32">
        <f>F152*IF(C153="",1,C153)</f>
        <v>970.69100000000003</v>
      </c>
      <c r="G153" s="127"/>
      <c r="H153" s="129"/>
      <c r="I153" s="80" t="s">
        <v>17</v>
      </c>
      <c r="J153" s="81" t="s">
        <v>6</v>
      </c>
      <c r="K153" s="102" t="str">
        <f>ROUND(IMABS(L153),2)&amp;"∠"&amp;ROUND(DEGREES(IMARGUMENT(L153)),2)</f>
        <v>968,83∠-15,97</v>
      </c>
      <c r="L153" s="33" t="str">
        <f>IMPRODUCT(L152,IF(C153="",1,C153))</f>
        <v>931,46077-266,482693858232j</v>
      </c>
      <c r="M153" s="102" t="str">
        <f>ROUND(IMABS(N153),2)&amp;"∠"&amp;ROUND(DEGREES(IMARGUMENT(N153)),2)</f>
        <v>968,83∠-15,97</v>
      </c>
      <c r="N153" s="33" t="str">
        <f>IMPRODUCT(N152,IF(C153="",1,C153))</f>
        <v>931,46077-266,482693858232j</v>
      </c>
      <c r="O153" s="102" t="str">
        <f>ROUND(IMABS(P153),2)&amp;"∠"&amp;ROUND(DEGREES(IMARGUMENT(P153)),2)</f>
        <v>953,45∠-16,07</v>
      </c>
      <c r="P153" s="33" t="str">
        <f>IMPRODUCT(P152,IF(C153="",1,C153))</f>
        <v>916,18992-263,929904691947j</v>
      </c>
      <c r="Q153" s="28" t="str">
        <f>ROUND(IMABS(T153),2)&amp;"∠"&amp;ROUND(DEGREES(IMARGUMENT(T153)),2)</f>
        <v>110457932,83∠-130,2</v>
      </c>
      <c r="R153" s="120"/>
      <c r="S153" s="120"/>
      <c r="T153" s="120" t="str">
        <f>IMPRODUCT(T152,IF(E153="",1,E153))</f>
        <v>-71298025,2216512-84365552,9537585j</v>
      </c>
      <c r="U153" s="71"/>
      <c r="AR153" s="75" t="s">
        <v>1</v>
      </c>
      <c r="AS153" s="75" t="s">
        <v>2</v>
      </c>
      <c r="AT153" s="75" t="s">
        <v>3</v>
      </c>
      <c r="AU153" s="73" t="s">
        <v>15</v>
      </c>
      <c r="AV153" s="73" t="s">
        <v>14</v>
      </c>
      <c r="AW153" s="73" t="s">
        <v>19</v>
      </c>
      <c r="AX153" s="73" t="s">
        <v>16</v>
      </c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</row>
    <row r="154" spans="2:122" ht="15" thickBot="1" x14ac:dyDescent="0.4">
      <c r="B154" s="52" t="s">
        <v>9</v>
      </c>
      <c r="C154" s="59"/>
      <c r="D154" s="31">
        <f>D153*IF(C154="",1,C154)</f>
        <v>986.54750000000001</v>
      </c>
      <c r="E154" s="32">
        <f>E153*IF(C154="",1,C154)</f>
        <v>986.54750000000001</v>
      </c>
      <c r="F154" s="32">
        <f>F153*IF(C154="",1,C154)</f>
        <v>970.69100000000003</v>
      </c>
      <c r="G154" s="31"/>
      <c r="H154" s="130"/>
      <c r="I154" s="56">
        <f>AV154</f>
        <v>0.960924224062357</v>
      </c>
      <c r="J154" s="57">
        <f>AU154</f>
        <v>-16.07</v>
      </c>
      <c r="K154" s="102" t="str">
        <f>ROUND(IMABS(L154),2)&amp;"∠"&amp;ROUND(DEGREES(IMARGUMENT(L154)),2)</f>
        <v>968,83∠-15,97</v>
      </c>
      <c r="L154" s="33" t="str">
        <f>IMPRODUCT(L153,IF(C154="",1,C154))</f>
        <v>931,46077-266,482693858232j</v>
      </c>
      <c r="M154" s="102" t="str">
        <f>ROUND(IMABS(N154),2)&amp;"∠"&amp;ROUND(DEGREES(IMARGUMENT(N154)),2)</f>
        <v>968,83∠-15,97</v>
      </c>
      <c r="N154" s="33" t="str">
        <f>IMPRODUCT(N153,IF(C154="",1,C154))</f>
        <v>931,46077-266,482693858232j</v>
      </c>
      <c r="O154" s="102" t="str">
        <f>ROUND(IMABS(P154),2)&amp;"∠"&amp;ROUND(DEGREES(IMARGUMENT(P154)),2)</f>
        <v>953,45∠-16,07</v>
      </c>
      <c r="P154" s="33" t="str">
        <f>IMPRODUCT(P153,IF(C154="",1,C154))</f>
        <v>916,18992-263,929904691947j</v>
      </c>
      <c r="Q154" s="67"/>
      <c r="R154" s="68"/>
      <c r="S154" s="68"/>
      <c r="T154" s="68"/>
      <c r="U154" s="71"/>
      <c r="AR154" s="74">
        <f>IFERROR(ROUND(DEGREES(IMARGUMENT(L154)),2),0)</f>
        <v>-15.97</v>
      </c>
      <c r="AS154" s="74">
        <f>IFERROR(ROUND(DEGREES(IMARGUMENT(N154)),2),0)</f>
        <v>-15.97</v>
      </c>
      <c r="AT154" s="74">
        <f>IFERROR(ROUND(DEGREES(IMARGUMENT(P154)),2),0)</f>
        <v>-16.07</v>
      </c>
      <c r="AU154" s="62">
        <f>MIN(AR154:AT154)</f>
        <v>-16.07</v>
      </c>
      <c r="AV154" s="79">
        <f>COS(RADIANS(AU154))</f>
        <v>0.960924224062357</v>
      </c>
      <c r="AW154" s="62">
        <f>MAX(AR154:AT154)</f>
        <v>-15.97</v>
      </c>
      <c r="AX154" s="62">
        <f>COS(RADIANS(AW154))</f>
        <v>0.96140588754606637</v>
      </c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</row>
    <row r="155" spans="2:122" ht="15" hidden="1" thickBot="1" x14ac:dyDescent="0.4">
      <c r="B155" s="105" t="s">
        <v>20</v>
      </c>
      <c r="C155" s="116"/>
      <c r="D155" s="106"/>
      <c r="E155" s="107"/>
      <c r="F155" s="107"/>
      <c r="G155" s="107"/>
      <c r="H155" s="107"/>
      <c r="I155" s="108">
        <v>0</v>
      </c>
      <c r="J155" s="109" t="str">
        <f t="shared" ref="J155" si="102">IF(AND(D155="",E155="",F155=""),"",IF(AND(D155&gt;0,E155&gt;0,F155=""),ROUND(DEGREES(IMARGUMENT(L155)),2),IF(AND(D155="",E155&gt;0,F155&gt;0),ROUND(DEGREES(IMARGUMENT(N155)),2),IF(AND(D155&gt;0,E155="",F155&gt;0),ROUND(DEGREES(IMARGUMENT(P155)),2),IF(AND(E155="",F155=""),ROUND(DEGREES(IMARGUMENT(L155)),2),IF(AND(D155="",F155=""),ROUND(DEGREES(IMARGUMENT(N155)),2),IF(AND(E155="",D155=""),ROUND(DEGREES(IMARGUMENT(P155)),2),ROUND(DEGREES(IMARGUMENT(L155)),2))))))))</f>
        <v/>
      </c>
      <c r="K155" s="110" t="str">
        <f t="shared" ref="K155" si="103">IF(L155="0","",ROUND(IMABS(L155),2)&amp;"∠"&amp;ROUND(DEGREES(IMARGUMENT(L155)),2))</f>
        <v/>
      </c>
      <c r="L155" s="111" t="str">
        <f>IF(AND(D155&gt;0,E155&gt;0,F155=""),COMPLEX(D155*IF(C155="",1,C155)*(COS(ACOS(IF(I155="",1,I155))+RADIANS(30))),D155*IF(C155="",1,C155)*SIN(ACOS(COS(ACOS(IF(I155="",1,I155))+RADIANS(30)))),"j"),IF(AND(D155&gt;0,E155="",F155&gt;0),COMPLEX(D155*IF(C155="",1,C155)*(COS(ACOS(IF(I155="",1,I155))+RADIANS(-30))),D155*IF(C155="",1,C155)*SIN(ACOS(COS(ACOS(IF(I155="",1,I155))+RADIANS(-30)))),"j"),COMPLEX(D155*IF(C155="",1,C155)*IF(I155="",1,I155),D155*IF(C155="",1,C155)*SIN(ACOS(IF(I155="",1,I155))),"j")))</f>
        <v>0</v>
      </c>
      <c r="M155" s="110" t="str">
        <f t="shared" ref="M155" si="104">IF(N155="0","",ROUND(IMABS(N155),2)&amp;"∠"&amp;ROUND(DEGREES(IMARGUMENT(N155)),2))</f>
        <v/>
      </c>
      <c r="N155" s="112" t="str">
        <f>IF(AND(D155&gt;0,E155&gt;0,F155=""),COMPLEX(E155*IF(C155="",1,C155)*(COS(ACOS(IF(I155="",1,I155))+RADIANS(-30))),E155*IF(C155="",1,C155)*SIN(ACOS(COS(ACOS(IF(I155="",1,I155))+RADIANS(-30)))),"j"),IF(AND(D155="",E155&gt;0,F155&gt;0),COMPLEX(E155*IF(C155="",1,C155)*(COS(ACOS(IF(I155="",1,I155))+RADIANS(30))),E155*IF(C155="",1,C155)*SIN(ACOS(COS(ACOS(IF(I155="",1,I155))+RADIANS(30)))),"j"),COMPLEX(E155*IF(C155="",1,C155)*IF(I155="",1,I155),E155*IF(C155="",1,C155)*SIN(ACOS(IF(I155="",1,I155))),"j")))</f>
        <v>0</v>
      </c>
      <c r="O155" s="110" t="str">
        <f t="shared" ref="O155" si="105">IF(P155="0","",ROUND(IMABS(P155),2)&amp;"∠"&amp;ROUND(DEGREES(IMARGUMENT(P155)),2))</f>
        <v/>
      </c>
      <c r="P155" s="112" t="str">
        <f>IF(AND(D155="",E155&gt;0,F155&gt;0),COMPLEX(F155*IF(C155="",1,C155)*(COS(ACOS(IF(I155="",1,I155))+RADIANS(-30))),F155*IF(C155="",1,C155)*SIN(ACOS(COS(ACOS(IF(I155="",1,I155))+RADIANS(-30)))),"j"),IF(AND(D155&gt;0,E155="",F155&gt;0),COMPLEX(F155*IF(C155="",1,C155)*(COS(ACOS(IF(I155="",1,I155))+RADIANS(30))),F155*IF(C155="",1,C155)*SIN(ACOS(COS(ACOS(IF(I155="",1,I155))+RADIANS(30)))),"j"),COMPLEX(F155*IF(C155="",1,C155)*IF(I155="",1,I155),F155*IF(C155="",1,C155)*SIN(ACOS(IF(I155="",1,I155))),"j")))</f>
        <v>0</v>
      </c>
      <c r="Q155" s="41"/>
      <c r="R155" s="42"/>
      <c r="S155" s="42"/>
      <c r="T155" s="42"/>
      <c r="U155" s="71"/>
      <c r="AR155" s="75" t="s">
        <v>1</v>
      </c>
      <c r="AS155" s="75" t="s">
        <v>2</v>
      </c>
      <c r="AT155" s="75" t="s">
        <v>3</v>
      </c>
      <c r="AU155" s="73" t="s">
        <v>15</v>
      </c>
      <c r="AV155" s="73" t="s">
        <v>14</v>
      </c>
      <c r="AW155" s="73" t="s">
        <v>19</v>
      </c>
      <c r="AX155" s="73" t="s">
        <v>16</v>
      </c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</row>
    <row r="156" spans="2:122" ht="15" hidden="1" thickBot="1" x14ac:dyDescent="0.4">
      <c r="B156" s="25" t="s">
        <v>7</v>
      </c>
      <c r="C156" s="118"/>
      <c r="D156" s="26">
        <f>D154-D155</f>
        <v>986.54750000000001</v>
      </c>
      <c r="E156" s="27">
        <f>E155</f>
        <v>0</v>
      </c>
      <c r="F156" s="63">
        <f>F154-F155</f>
        <v>970.69100000000003</v>
      </c>
      <c r="G156" s="126">
        <f>SUM(G150:G154)</f>
        <v>751.9</v>
      </c>
      <c r="H156" s="126">
        <f>SUM(H150:H154)</f>
        <v>0.17</v>
      </c>
      <c r="I156" s="139">
        <f>AV156</f>
        <v>0.960924224062357</v>
      </c>
      <c r="J156" s="140">
        <f>AU156</f>
        <v>-16.07</v>
      </c>
      <c r="K156" s="102" t="str">
        <f>ROUND(IMABS(L156),2)&amp;"∠"&amp;ROUND(DEGREES(IMARGUMENT(L156)),2)</f>
        <v>968,83∠-15,97</v>
      </c>
      <c r="L156" s="29" t="str">
        <f>IMSUM(L154,L155)</f>
        <v>931,46077-266,482693858232j</v>
      </c>
      <c r="M156" s="102" t="str">
        <f>ROUND(IMABS(N156),2)&amp;"∠"&amp;ROUND(DEGREES(IMARGUMENT(N156)),2)</f>
        <v>968,83∠-15,97</v>
      </c>
      <c r="N156" s="29" t="str">
        <f>IMSUM(N154,N155)</f>
        <v>931,46077-266,482693858232j</v>
      </c>
      <c r="O156" s="102" t="str">
        <f>ROUND(IMABS(P156),2)&amp;"∠"&amp;ROUND(DEGREES(IMARGUMENT(P156)),2)</f>
        <v>953,45∠-16,07</v>
      </c>
      <c r="P156" s="29" t="str">
        <f>IMSUM(P154,P155)</f>
        <v>916,18992-263,929904691947j</v>
      </c>
      <c r="Q156" s="135" t="str">
        <f>ROUND(IMABS(T156),2)&amp;"∠"&amp;ROUND(DEGREES(IMARGUMENT(T156)),2)</f>
        <v>110569896,96∠-130,2</v>
      </c>
      <c r="R156" s="136"/>
      <c r="S156" s="136"/>
      <c r="T156" s="137" t="str">
        <f>IMSUM(T150,T151,T152,T155,T153,T154,T155)</f>
        <v>-71370295,462285-84451068,9101151j</v>
      </c>
      <c r="U156" s="71"/>
      <c r="AR156" s="74">
        <f>IFERROR(ROUND(DEGREES(IMARGUMENT(L156)),2),0)</f>
        <v>-15.97</v>
      </c>
      <c r="AS156" s="74">
        <f>IFERROR(ROUND(DEGREES(IMARGUMENT(N156)),2),0)</f>
        <v>-15.97</v>
      </c>
      <c r="AT156" s="74">
        <f>IFERROR(ROUND(DEGREES(IMARGUMENT(P156)),2),0)</f>
        <v>-16.07</v>
      </c>
      <c r="AU156" s="62">
        <f>MIN(AR156:AT156)</f>
        <v>-16.07</v>
      </c>
      <c r="AV156" s="79">
        <f>COS(RADIANS(AU156))</f>
        <v>0.960924224062357</v>
      </c>
      <c r="AW156" s="62">
        <f>MAX(AR156:AT156)</f>
        <v>-15.97</v>
      </c>
      <c r="AX156" s="62">
        <f>COS(RADIANS(AW156))</f>
        <v>0.96140588754606637</v>
      </c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</row>
    <row r="157" spans="2:122" x14ac:dyDescent="0.35">
      <c r="B157" s="77"/>
      <c r="C157" s="141"/>
      <c r="D157" s="122"/>
      <c r="E157" s="122"/>
      <c r="F157" s="122"/>
      <c r="G157" s="122"/>
      <c r="H157" s="122"/>
      <c r="I157" s="142"/>
      <c r="J157" s="142"/>
      <c r="K157" s="143"/>
      <c r="L157" s="138"/>
      <c r="M157" s="143"/>
      <c r="N157" s="138"/>
      <c r="O157" s="143"/>
      <c r="P157" s="138"/>
      <c r="Q157" s="138"/>
      <c r="R157" s="138"/>
      <c r="S157" s="138"/>
      <c r="T157" s="138"/>
      <c r="U157" s="77"/>
      <c r="AR157" s="75"/>
      <c r="AS157" s="75"/>
      <c r="AT157" s="75"/>
      <c r="AU157" s="73"/>
      <c r="AV157" s="73"/>
      <c r="AW157" s="73"/>
      <c r="AX157" s="7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</row>
    <row r="158" spans="2:122" x14ac:dyDescent="0.35">
      <c r="B158" s="144"/>
      <c r="C158" s="141"/>
      <c r="D158" s="122"/>
      <c r="E158" s="122"/>
      <c r="F158" s="122"/>
      <c r="G158" s="122"/>
      <c r="H158" s="122"/>
      <c r="I158" s="122"/>
      <c r="J158" s="122"/>
      <c r="K158" s="143"/>
      <c r="L158" s="138"/>
      <c r="M158" s="143"/>
      <c r="N158" s="138"/>
      <c r="O158" s="143"/>
      <c r="P158" s="138"/>
      <c r="Q158" s="138"/>
      <c r="R158" s="138"/>
      <c r="S158" s="138"/>
      <c r="T158" s="138"/>
      <c r="U158" s="77"/>
      <c r="AR158" s="74"/>
      <c r="AS158" s="74"/>
      <c r="AT158" s="74"/>
      <c r="AU158" s="62"/>
      <c r="AV158" s="79"/>
      <c r="AW158" s="62"/>
      <c r="AX158" s="62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</row>
    <row r="159" spans="2:122" x14ac:dyDescent="0.35">
      <c r="B159" s="3"/>
      <c r="C159" s="3"/>
      <c r="D159" s="2"/>
      <c r="E159" s="2"/>
      <c r="F159" s="2"/>
      <c r="G159" s="2"/>
      <c r="H159" s="2"/>
      <c r="I159" s="2"/>
      <c r="J159" s="2"/>
      <c r="K159" s="86"/>
      <c r="L159" s="34"/>
      <c r="M159" s="86"/>
      <c r="N159" s="34"/>
      <c r="O159" s="86"/>
      <c r="P159" s="34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</row>
    <row r="160" spans="2:122" x14ac:dyDescent="0.35">
      <c r="B160" s="3"/>
      <c r="C160" s="3"/>
      <c r="D160" s="2"/>
      <c r="E160" s="2"/>
      <c r="F160" s="2"/>
      <c r="G160" s="2"/>
      <c r="H160" s="2"/>
      <c r="I160" s="2"/>
      <c r="J160" s="2"/>
      <c r="K160" s="86"/>
      <c r="L160" s="34"/>
      <c r="M160" s="86"/>
      <c r="N160" s="34"/>
      <c r="O160" s="86"/>
      <c r="P160" s="34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</row>
    <row r="161" spans="2:122" x14ac:dyDescent="0.35">
      <c r="B161" s="3"/>
      <c r="C161" s="3"/>
      <c r="D161" s="2"/>
      <c r="E161" s="2"/>
      <c r="F161" s="2"/>
      <c r="G161" s="2"/>
      <c r="H161" s="2"/>
      <c r="I161" s="2"/>
      <c r="J161" s="2"/>
      <c r="K161" s="86"/>
      <c r="L161" s="34"/>
      <c r="M161" s="86"/>
      <c r="N161" s="34"/>
      <c r="O161" s="86"/>
      <c r="P161" s="34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</row>
    <row r="162" spans="2:122" x14ac:dyDescent="0.35">
      <c r="B162" s="3"/>
      <c r="C162" s="3"/>
      <c r="D162" s="2"/>
      <c r="E162" s="2"/>
      <c r="F162" s="2"/>
      <c r="G162" s="2"/>
      <c r="H162" s="2"/>
      <c r="I162" s="2"/>
      <c r="J162" s="2"/>
      <c r="K162" s="86"/>
      <c r="L162" s="34"/>
      <c r="M162" s="86"/>
      <c r="N162" s="34"/>
      <c r="O162" s="86"/>
      <c r="P162" s="34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</row>
    <row r="163" spans="2:122" x14ac:dyDescent="0.35">
      <c r="B163" s="3"/>
      <c r="C163" s="3"/>
      <c r="D163" s="2"/>
      <c r="E163" s="2"/>
      <c r="F163" s="2"/>
      <c r="G163" s="2"/>
      <c r="H163" s="2"/>
      <c r="I163" s="2"/>
      <c r="J163" s="2"/>
      <c r="K163" s="86"/>
      <c r="L163" s="34"/>
      <c r="M163" s="86"/>
      <c r="N163" s="34"/>
      <c r="O163" s="86"/>
      <c r="P163" s="34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</row>
    <row r="164" spans="2:122" x14ac:dyDescent="0.35">
      <c r="B164" s="3"/>
      <c r="C164" s="3"/>
      <c r="D164" s="2"/>
      <c r="E164" s="2"/>
      <c r="F164" s="2"/>
      <c r="G164" s="2"/>
      <c r="H164" s="2"/>
      <c r="I164" s="2"/>
      <c r="J164" s="2"/>
      <c r="K164" s="86"/>
      <c r="L164" s="34"/>
      <c r="M164" s="86"/>
      <c r="N164" s="34"/>
      <c r="O164" s="86"/>
      <c r="P164" s="34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</row>
    <row r="165" spans="2:122" x14ac:dyDescent="0.35">
      <c r="B165" s="3"/>
      <c r="C165" s="3"/>
      <c r="D165" s="2"/>
      <c r="E165" s="2"/>
      <c r="F165" s="2"/>
      <c r="G165" s="2"/>
      <c r="H165" s="2"/>
      <c r="I165" s="2"/>
      <c r="J165" s="2"/>
      <c r="K165" s="86"/>
      <c r="L165" s="34"/>
      <c r="M165" s="86"/>
      <c r="N165" s="34"/>
      <c r="O165" s="86"/>
      <c r="P165" s="34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</row>
    <row r="166" spans="2:122" x14ac:dyDescent="0.35">
      <c r="B166" s="3"/>
      <c r="C166" s="3"/>
      <c r="D166" s="2"/>
      <c r="E166" s="2"/>
      <c r="F166" s="2"/>
      <c r="G166" s="2"/>
      <c r="H166" s="2"/>
      <c r="I166" s="2"/>
      <c r="J166" s="2"/>
      <c r="K166" s="86"/>
      <c r="L166" s="34"/>
      <c r="M166" s="86"/>
      <c r="N166" s="34"/>
      <c r="O166" s="86"/>
      <c r="P166" s="34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</row>
    <row r="167" spans="2:122" x14ac:dyDescent="0.35">
      <c r="B167" s="3"/>
      <c r="C167" s="3"/>
      <c r="D167" s="2"/>
      <c r="E167" s="2"/>
      <c r="F167" s="2"/>
      <c r="G167" s="2"/>
      <c r="H167" s="2"/>
      <c r="I167" s="2"/>
      <c r="J167" s="2"/>
      <c r="K167" s="86"/>
      <c r="L167" s="34"/>
      <c r="M167" s="86"/>
      <c r="N167" s="34"/>
      <c r="O167" s="86"/>
      <c r="P167" s="34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</row>
    <row r="168" spans="2:122" x14ac:dyDescent="0.35">
      <c r="B168" s="3"/>
      <c r="C168" s="3"/>
      <c r="D168" s="2"/>
      <c r="E168" s="2"/>
      <c r="F168" s="2"/>
      <c r="G168" s="2"/>
      <c r="H168" s="2"/>
      <c r="I168" s="2"/>
      <c r="J168" s="2"/>
      <c r="K168" s="86"/>
      <c r="L168" s="34"/>
      <c r="M168" s="86"/>
      <c r="N168" s="34"/>
      <c r="O168" s="86"/>
      <c r="P168" s="34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</row>
    <row r="169" spans="2:122" x14ac:dyDescent="0.35">
      <c r="B169" s="3"/>
      <c r="C169" s="3"/>
      <c r="D169" s="2"/>
      <c r="E169" s="2"/>
      <c r="F169" s="2"/>
      <c r="G169" s="2"/>
      <c r="H169" s="2"/>
      <c r="I169" s="2"/>
      <c r="J169" s="2"/>
      <c r="K169" s="86"/>
      <c r="L169" s="34"/>
      <c r="M169" s="86"/>
      <c r="N169" s="34"/>
      <c r="O169" s="86"/>
      <c r="P169" s="34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</row>
    <row r="170" spans="2:122" x14ac:dyDescent="0.35">
      <c r="B170" s="3"/>
      <c r="C170" s="3"/>
      <c r="D170" s="2"/>
      <c r="E170" s="2"/>
      <c r="F170" s="2"/>
      <c r="G170" s="2"/>
      <c r="H170" s="2"/>
      <c r="I170" s="2"/>
      <c r="J170" s="2"/>
      <c r="K170" s="86"/>
      <c r="L170" s="34"/>
      <c r="M170" s="86"/>
      <c r="N170" s="34"/>
      <c r="O170" s="86"/>
      <c r="P170" s="34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</row>
    <row r="171" spans="2:122" x14ac:dyDescent="0.35">
      <c r="B171" s="3"/>
      <c r="C171" s="3"/>
      <c r="D171" s="2"/>
      <c r="E171" s="2"/>
      <c r="F171" s="2"/>
      <c r="G171" s="2"/>
      <c r="H171" s="2"/>
      <c r="I171" s="2"/>
      <c r="J171" s="2"/>
      <c r="K171" s="86"/>
      <c r="L171" s="34"/>
      <c r="M171" s="86"/>
      <c r="N171" s="34"/>
      <c r="O171" s="86"/>
      <c r="P171" s="34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</row>
    <row r="172" spans="2:122" x14ac:dyDescent="0.35">
      <c r="B172" s="3"/>
      <c r="C172" s="3"/>
      <c r="D172" s="2"/>
      <c r="E172" s="2"/>
      <c r="F172" s="2"/>
      <c r="G172" s="2"/>
      <c r="H172" s="2"/>
      <c r="I172" s="2"/>
      <c r="J172" s="2"/>
      <c r="K172" s="86"/>
      <c r="L172" s="34"/>
      <c r="M172" s="86"/>
      <c r="N172" s="34"/>
      <c r="O172" s="86"/>
      <c r="P172" s="34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</row>
    <row r="173" spans="2:122" x14ac:dyDescent="0.35">
      <c r="B173" s="3"/>
      <c r="C173" s="3"/>
      <c r="D173" s="2"/>
      <c r="E173" s="2"/>
      <c r="F173" s="2"/>
      <c r="G173" s="2"/>
      <c r="H173" s="2"/>
      <c r="I173" s="2"/>
      <c r="J173" s="2"/>
      <c r="K173" s="86"/>
      <c r="L173" s="34"/>
      <c r="M173" s="86"/>
      <c r="N173" s="34"/>
      <c r="O173" s="86"/>
      <c r="P173" s="34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</row>
    <row r="174" spans="2:122" x14ac:dyDescent="0.35">
      <c r="B174" s="3"/>
      <c r="C174" s="3"/>
      <c r="D174" s="2"/>
      <c r="E174" s="2"/>
      <c r="F174" s="2"/>
      <c r="G174" s="2"/>
      <c r="H174" s="2"/>
      <c r="I174" s="2"/>
      <c r="J174" s="2"/>
      <c r="K174" s="86"/>
      <c r="L174" s="34"/>
      <c r="M174" s="86"/>
      <c r="N174" s="34"/>
      <c r="O174" s="86"/>
      <c r="P174" s="34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</row>
    <row r="175" spans="2:122" x14ac:dyDescent="0.35">
      <c r="B175" s="3"/>
      <c r="C175" s="3"/>
      <c r="D175" s="2"/>
      <c r="E175" s="2"/>
      <c r="F175" s="2"/>
      <c r="G175" s="2"/>
      <c r="H175" s="2"/>
      <c r="I175" s="2"/>
      <c r="J175" s="2"/>
      <c r="K175" s="86"/>
      <c r="L175" s="34"/>
      <c r="M175" s="86"/>
      <c r="N175" s="34"/>
      <c r="O175" s="86"/>
      <c r="P175" s="34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</row>
    <row r="176" spans="2:122" x14ac:dyDescent="0.35">
      <c r="B176" s="3"/>
      <c r="C176" s="3"/>
      <c r="D176" s="2"/>
      <c r="E176" s="2"/>
      <c r="F176" s="2"/>
      <c r="G176" s="2"/>
      <c r="H176" s="2"/>
      <c r="I176" s="2"/>
      <c r="J176" s="2"/>
      <c r="K176" s="86"/>
      <c r="L176" s="34"/>
      <c r="M176" s="86"/>
      <c r="N176" s="34"/>
      <c r="O176" s="86"/>
      <c r="P176" s="34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</row>
    <row r="177" spans="2:122" x14ac:dyDescent="0.35">
      <c r="B177" s="3"/>
      <c r="C177" s="3"/>
      <c r="D177" s="2"/>
      <c r="E177" s="2"/>
      <c r="F177" s="2"/>
      <c r="G177" s="2"/>
      <c r="H177" s="2"/>
      <c r="I177" s="2"/>
      <c r="J177" s="2"/>
      <c r="K177" s="86"/>
      <c r="L177" s="34"/>
      <c r="M177" s="86"/>
      <c r="N177" s="34"/>
      <c r="O177" s="86"/>
      <c r="P177" s="34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</row>
    <row r="178" spans="2:122" x14ac:dyDescent="0.35">
      <c r="B178" s="3"/>
      <c r="C178" s="3"/>
      <c r="D178" s="2"/>
      <c r="E178" s="2"/>
      <c r="F178" s="2"/>
      <c r="G178" s="2"/>
      <c r="H178" s="2"/>
      <c r="I178" s="2"/>
      <c r="J178" s="2"/>
      <c r="K178" s="86"/>
      <c r="L178" s="34"/>
      <c r="M178" s="86"/>
      <c r="N178" s="34"/>
      <c r="O178" s="86"/>
      <c r="P178" s="34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</row>
    <row r="179" spans="2:122" x14ac:dyDescent="0.35">
      <c r="B179" s="3"/>
      <c r="C179" s="3"/>
      <c r="D179" s="2"/>
      <c r="E179" s="2"/>
      <c r="F179" s="2"/>
      <c r="G179" s="2"/>
      <c r="H179" s="2"/>
      <c r="I179" s="2"/>
      <c r="J179" s="2"/>
      <c r="K179" s="86"/>
      <c r="L179" s="34"/>
      <c r="M179" s="86"/>
      <c r="N179" s="34"/>
      <c r="O179" s="86"/>
      <c r="P179" s="34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</row>
    <row r="180" spans="2:122" x14ac:dyDescent="0.35">
      <c r="B180" s="3"/>
      <c r="C180" s="3"/>
      <c r="D180" s="2"/>
      <c r="E180" s="2"/>
      <c r="F180" s="2"/>
      <c r="G180" s="2"/>
      <c r="H180" s="2"/>
      <c r="I180" s="2"/>
      <c r="J180" s="2"/>
      <c r="K180" s="86"/>
      <c r="L180" s="34"/>
      <c r="M180" s="86"/>
      <c r="N180" s="34"/>
      <c r="O180" s="86"/>
      <c r="P180" s="34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</row>
    <row r="181" spans="2:122" x14ac:dyDescent="0.35">
      <c r="B181" s="3"/>
      <c r="C181" s="3"/>
      <c r="D181" s="2"/>
      <c r="E181" s="2"/>
      <c r="F181" s="2"/>
      <c r="G181" s="2"/>
      <c r="H181" s="2"/>
      <c r="I181" s="2"/>
      <c r="J181" s="2"/>
      <c r="K181" s="86"/>
      <c r="L181" s="34"/>
      <c r="M181" s="86"/>
      <c r="N181" s="34"/>
      <c r="O181" s="86"/>
      <c r="P181" s="34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</row>
    <row r="182" spans="2:122" x14ac:dyDescent="0.35">
      <c r="B182" s="3"/>
      <c r="C182" s="3"/>
      <c r="D182" s="2"/>
      <c r="E182" s="2"/>
      <c r="F182" s="2"/>
      <c r="G182" s="2"/>
      <c r="H182" s="2"/>
      <c r="I182" s="2"/>
      <c r="J182" s="2"/>
      <c r="K182" s="86"/>
      <c r="L182" s="34"/>
      <c r="M182" s="86"/>
      <c r="N182" s="34"/>
      <c r="O182" s="86"/>
      <c r="P182" s="34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</row>
    <row r="183" spans="2:122" x14ac:dyDescent="0.35">
      <c r="B183" s="3"/>
      <c r="C183" s="3"/>
      <c r="D183" s="2"/>
      <c r="E183" s="2"/>
      <c r="F183" s="2"/>
      <c r="G183" s="2"/>
      <c r="H183" s="2"/>
      <c r="I183" s="2"/>
      <c r="J183" s="2"/>
      <c r="K183" s="86"/>
      <c r="L183" s="34"/>
      <c r="M183" s="86"/>
      <c r="N183" s="34"/>
      <c r="O183" s="86"/>
      <c r="P183" s="34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</row>
    <row r="184" spans="2:122" x14ac:dyDescent="0.35">
      <c r="B184" s="3"/>
      <c r="C184" s="3"/>
      <c r="D184" s="2"/>
      <c r="E184" s="2"/>
      <c r="F184" s="2"/>
      <c r="G184" s="2"/>
      <c r="H184" s="2"/>
      <c r="I184" s="2"/>
      <c r="J184" s="2"/>
      <c r="K184" s="86"/>
      <c r="L184" s="34"/>
      <c r="M184" s="86"/>
      <c r="N184" s="34"/>
      <c r="O184" s="86"/>
      <c r="P184" s="34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</row>
    <row r="185" spans="2:122" x14ac:dyDescent="0.35">
      <c r="B185" s="3"/>
      <c r="C185" s="3"/>
      <c r="D185" s="2"/>
      <c r="E185" s="2"/>
      <c r="F185" s="2"/>
      <c r="G185" s="2"/>
      <c r="H185" s="2"/>
      <c r="I185" s="2"/>
      <c r="J185" s="2"/>
      <c r="K185" s="86"/>
      <c r="L185" s="34"/>
      <c r="M185" s="86"/>
      <c r="N185" s="34"/>
      <c r="O185" s="86"/>
      <c r="P185" s="34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</row>
    <row r="186" spans="2:122" x14ac:dyDescent="0.35">
      <c r="B186" s="3"/>
      <c r="C186" s="3"/>
      <c r="D186" s="2"/>
      <c r="E186" s="2"/>
      <c r="F186" s="2"/>
      <c r="G186" s="2"/>
      <c r="H186" s="2"/>
      <c r="I186" s="2"/>
      <c r="J186" s="2"/>
      <c r="K186" s="86"/>
      <c r="L186" s="34"/>
      <c r="M186" s="86"/>
      <c r="N186" s="34"/>
      <c r="O186" s="86"/>
      <c r="P186" s="34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</row>
    <row r="187" spans="2:122" x14ac:dyDescent="0.35">
      <c r="B187" s="3"/>
      <c r="C187" s="3"/>
      <c r="D187" s="2"/>
      <c r="E187" s="2"/>
      <c r="F187" s="2"/>
      <c r="G187" s="2"/>
      <c r="H187" s="2"/>
      <c r="I187" s="2"/>
      <c r="J187" s="2"/>
      <c r="K187" s="86"/>
      <c r="L187" s="34"/>
      <c r="M187" s="86"/>
      <c r="N187" s="34"/>
      <c r="O187" s="86"/>
      <c r="P187" s="34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</row>
    <row r="188" spans="2:122" x14ac:dyDescent="0.35">
      <c r="B188" s="3"/>
      <c r="C188" s="3"/>
      <c r="D188" s="2"/>
      <c r="E188" s="2"/>
      <c r="F188" s="2"/>
      <c r="G188" s="2"/>
      <c r="H188" s="2"/>
      <c r="I188" s="2"/>
      <c r="J188" s="2"/>
      <c r="K188" s="86"/>
      <c r="L188" s="34"/>
      <c r="M188" s="86"/>
      <c r="N188" s="34"/>
      <c r="O188" s="86"/>
      <c r="P188" s="34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</row>
    <row r="189" spans="2:122" x14ac:dyDescent="0.35">
      <c r="B189" s="3"/>
      <c r="C189" s="3"/>
      <c r="D189" s="2"/>
      <c r="E189" s="2"/>
      <c r="F189" s="2"/>
      <c r="G189" s="2"/>
      <c r="H189" s="2"/>
      <c r="I189" s="2"/>
      <c r="J189" s="2"/>
      <c r="K189" s="86"/>
      <c r="L189" s="34"/>
      <c r="M189" s="86"/>
      <c r="N189" s="34"/>
      <c r="O189" s="86"/>
      <c r="P189" s="34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</row>
    <row r="190" spans="2:122" x14ac:dyDescent="0.35">
      <c r="B190" s="3"/>
      <c r="C190" s="3"/>
      <c r="D190" s="2"/>
      <c r="E190" s="2"/>
      <c r="F190" s="2"/>
      <c r="G190" s="2"/>
      <c r="H190" s="2"/>
      <c r="I190" s="2"/>
      <c r="J190" s="2"/>
      <c r="K190" s="86"/>
      <c r="L190" s="34"/>
      <c r="M190" s="86"/>
      <c r="N190" s="34"/>
      <c r="O190" s="86"/>
      <c r="P190" s="34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</row>
    <row r="191" spans="2:122" x14ac:dyDescent="0.35">
      <c r="B191" s="3"/>
      <c r="C191" s="3"/>
      <c r="D191" s="2"/>
      <c r="E191" s="2"/>
      <c r="F191" s="2"/>
      <c r="G191" s="2"/>
      <c r="H191" s="2"/>
      <c r="I191" s="2"/>
      <c r="J191" s="2"/>
      <c r="K191" s="86"/>
      <c r="L191" s="34"/>
      <c r="M191" s="86"/>
      <c r="N191" s="34"/>
      <c r="O191" s="86"/>
      <c r="P191" s="34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</row>
    <row r="192" spans="2:122" x14ac:dyDescent="0.35">
      <c r="B192" s="3"/>
      <c r="C192" s="3"/>
      <c r="D192" s="2"/>
      <c r="E192" s="2"/>
      <c r="F192" s="2"/>
      <c r="G192" s="2"/>
      <c r="H192" s="2"/>
      <c r="I192" s="2"/>
      <c r="J192" s="2"/>
      <c r="K192" s="86"/>
      <c r="L192" s="34"/>
      <c r="M192" s="86"/>
      <c r="N192" s="34"/>
      <c r="O192" s="86"/>
      <c r="P192" s="34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</row>
    <row r="193" spans="2:122" x14ac:dyDescent="0.35">
      <c r="B193" s="3"/>
      <c r="C193" s="3"/>
      <c r="D193" s="2"/>
      <c r="E193" s="2"/>
      <c r="F193" s="2"/>
      <c r="G193" s="2"/>
      <c r="H193" s="2"/>
      <c r="I193" s="2"/>
      <c r="J193" s="2"/>
      <c r="K193" s="86"/>
      <c r="L193" s="34"/>
      <c r="M193" s="86"/>
      <c r="N193" s="34"/>
      <c r="O193" s="86"/>
      <c r="P193" s="34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</row>
    <row r="194" spans="2:122" x14ac:dyDescent="0.35">
      <c r="B194" s="3"/>
      <c r="C194" s="3"/>
      <c r="D194" s="2"/>
      <c r="E194" s="2"/>
      <c r="F194" s="2"/>
      <c r="G194" s="2"/>
      <c r="H194" s="2"/>
      <c r="I194" s="2"/>
      <c r="J194" s="2"/>
      <c r="K194" s="86"/>
      <c r="L194" s="34"/>
      <c r="M194" s="86"/>
      <c r="N194" s="34"/>
      <c r="O194" s="86"/>
      <c r="P194" s="34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</row>
    <row r="195" spans="2:122" x14ac:dyDescent="0.35">
      <c r="B195" s="3"/>
      <c r="C195" s="3"/>
      <c r="D195" s="2"/>
      <c r="E195" s="2"/>
      <c r="F195" s="2"/>
      <c r="G195" s="2"/>
      <c r="H195" s="2"/>
      <c r="I195" s="2"/>
      <c r="J195" s="2"/>
      <c r="K195" s="86"/>
      <c r="L195" s="34"/>
      <c r="M195" s="86"/>
      <c r="N195" s="34"/>
      <c r="O195" s="86"/>
      <c r="P195" s="34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</row>
    <row r="196" spans="2:122" x14ac:dyDescent="0.35">
      <c r="B196" s="3"/>
      <c r="C196" s="3"/>
      <c r="D196" s="2"/>
      <c r="E196" s="2"/>
      <c r="F196" s="2"/>
      <c r="G196" s="2"/>
      <c r="H196" s="2"/>
      <c r="I196" s="2"/>
      <c r="J196" s="2"/>
      <c r="K196" s="86"/>
      <c r="L196" s="34"/>
      <c r="M196" s="86"/>
      <c r="N196" s="34"/>
      <c r="O196" s="86"/>
      <c r="P196" s="34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</row>
    <row r="197" spans="2:122" x14ac:dyDescent="0.35">
      <c r="B197" s="3"/>
      <c r="C197" s="3"/>
      <c r="D197" s="2"/>
      <c r="E197" s="2"/>
      <c r="F197" s="2"/>
      <c r="G197" s="2"/>
      <c r="H197" s="2"/>
      <c r="I197" s="2"/>
      <c r="J197" s="2"/>
      <c r="K197" s="86"/>
      <c r="L197" s="34"/>
      <c r="M197" s="86"/>
      <c r="N197" s="34"/>
      <c r="O197" s="86"/>
      <c r="P197" s="34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</row>
    <row r="198" spans="2:122" x14ac:dyDescent="0.35">
      <c r="B198" s="3"/>
      <c r="C198" s="3"/>
      <c r="D198" s="2"/>
      <c r="E198" s="2"/>
      <c r="F198" s="2"/>
      <c r="G198" s="2"/>
      <c r="H198" s="2"/>
      <c r="I198" s="2"/>
      <c r="J198" s="2"/>
      <c r="K198" s="86"/>
      <c r="L198" s="34"/>
      <c r="M198" s="86"/>
      <c r="N198" s="34"/>
      <c r="O198" s="86"/>
      <c r="P198" s="34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</row>
    <row r="199" spans="2:122" x14ac:dyDescent="0.35">
      <c r="B199" s="3"/>
      <c r="C199" s="3"/>
      <c r="D199" s="2"/>
      <c r="E199" s="2"/>
      <c r="F199" s="2"/>
      <c r="G199" s="2"/>
      <c r="H199" s="2"/>
      <c r="I199" s="2"/>
      <c r="J199" s="2"/>
      <c r="K199" s="86"/>
      <c r="L199" s="34"/>
      <c r="M199" s="86"/>
      <c r="N199" s="34"/>
      <c r="O199" s="86"/>
      <c r="P199" s="34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</row>
    <row r="200" spans="2:122" x14ac:dyDescent="0.35">
      <c r="B200" s="3"/>
      <c r="C200" s="3"/>
      <c r="D200" s="2"/>
      <c r="E200" s="2"/>
      <c r="F200" s="2"/>
      <c r="G200" s="2"/>
      <c r="H200" s="2"/>
      <c r="I200" s="2"/>
      <c r="J200" s="2"/>
      <c r="K200" s="86"/>
      <c r="L200" s="34"/>
      <c r="M200" s="86"/>
      <c r="N200" s="34"/>
      <c r="O200" s="86"/>
      <c r="P200" s="34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</row>
    <row r="201" spans="2:122" x14ac:dyDescent="0.35">
      <c r="B201" s="3"/>
      <c r="C201" s="3"/>
      <c r="D201" s="2"/>
      <c r="E201" s="2"/>
      <c r="F201" s="2"/>
      <c r="G201" s="2"/>
      <c r="H201" s="2"/>
      <c r="I201" s="2"/>
      <c r="J201" s="2"/>
      <c r="K201" s="86"/>
      <c r="L201" s="34"/>
      <c r="M201" s="86"/>
      <c r="N201" s="34"/>
      <c r="O201" s="86"/>
      <c r="P201" s="34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</row>
    <row r="202" spans="2:122" x14ac:dyDescent="0.35">
      <c r="B202" s="3"/>
      <c r="C202" s="3"/>
      <c r="D202" s="2"/>
      <c r="E202" s="2"/>
      <c r="F202" s="2"/>
      <c r="G202" s="2"/>
      <c r="H202" s="2"/>
      <c r="I202" s="2"/>
      <c r="J202" s="2"/>
      <c r="K202" s="86"/>
      <c r="L202" s="34"/>
      <c r="M202" s="86"/>
      <c r="N202" s="34"/>
      <c r="O202" s="86"/>
      <c r="P202" s="34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</row>
    <row r="203" spans="2:122" x14ac:dyDescent="0.35">
      <c r="B203" s="3"/>
      <c r="C203" s="3"/>
      <c r="D203" s="2"/>
      <c r="E203" s="2"/>
      <c r="F203" s="2"/>
      <c r="G203" s="2"/>
      <c r="H203" s="2"/>
      <c r="I203" s="2"/>
      <c r="J203" s="2"/>
      <c r="K203" s="86"/>
      <c r="L203" s="34"/>
      <c r="M203" s="86"/>
      <c r="N203" s="34"/>
      <c r="O203" s="86"/>
      <c r="P203" s="34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</row>
    <row r="204" spans="2:122" x14ac:dyDescent="0.35">
      <c r="B204" s="3"/>
      <c r="C204" s="3"/>
      <c r="D204" s="2"/>
      <c r="E204" s="2"/>
      <c r="F204" s="2"/>
      <c r="G204" s="2"/>
      <c r="H204" s="2"/>
      <c r="I204" s="2"/>
      <c r="J204" s="2"/>
      <c r="K204" s="86"/>
      <c r="L204" s="34"/>
      <c r="M204" s="86"/>
      <c r="N204" s="34"/>
      <c r="O204" s="86"/>
      <c r="P204" s="34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</row>
    <row r="205" spans="2:122" x14ac:dyDescent="0.35">
      <c r="B205" s="3"/>
      <c r="C205" s="3"/>
      <c r="D205" s="2"/>
      <c r="E205" s="2"/>
      <c r="F205" s="2"/>
      <c r="G205" s="2"/>
      <c r="H205" s="2"/>
      <c r="I205" s="2"/>
      <c r="J205" s="2"/>
      <c r="K205" s="86"/>
      <c r="L205" s="34"/>
      <c r="M205" s="86"/>
      <c r="N205" s="34"/>
      <c r="O205" s="86"/>
      <c r="P205" s="34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</row>
    <row r="206" spans="2:122" x14ac:dyDescent="0.35">
      <c r="B206" s="3"/>
      <c r="C206" s="3"/>
      <c r="D206" s="2"/>
      <c r="E206" s="2"/>
      <c r="F206" s="2"/>
      <c r="G206" s="2"/>
      <c r="H206" s="2"/>
      <c r="I206" s="2"/>
      <c r="J206" s="2"/>
      <c r="K206" s="86"/>
      <c r="L206" s="34"/>
      <c r="M206" s="86"/>
      <c r="N206" s="34"/>
      <c r="O206" s="86"/>
      <c r="P206" s="34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</row>
    <row r="207" spans="2:122" x14ac:dyDescent="0.35">
      <c r="B207" s="3"/>
      <c r="C207" s="3"/>
      <c r="D207" s="2"/>
      <c r="E207" s="2"/>
      <c r="F207" s="2"/>
      <c r="G207" s="2"/>
      <c r="H207" s="2"/>
      <c r="I207" s="2"/>
      <c r="J207" s="2"/>
      <c r="K207" s="86"/>
      <c r="L207" s="34"/>
      <c r="M207" s="86"/>
      <c r="N207" s="34"/>
      <c r="O207" s="86"/>
      <c r="P207" s="34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</row>
    <row r="208" spans="2:122" x14ac:dyDescent="0.35">
      <c r="B208" s="3"/>
      <c r="C208" s="3"/>
      <c r="D208" s="2"/>
      <c r="E208" s="2"/>
      <c r="F208" s="2"/>
      <c r="G208" s="2"/>
      <c r="H208" s="2"/>
      <c r="I208" s="2"/>
      <c r="J208" s="2"/>
      <c r="K208" s="86"/>
      <c r="L208" s="34"/>
      <c r="M208" s="86"/>
      <c r="N208" s="34"/>
      <c r="O208" s="86"/>
      <c r="P208" s="34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</row>
    <row r="209" spans="2:122" x14ac:dyDescent="0.35">
      <c r="B209" s="3"/>
      <c r="C209" s="3"/>
      <c r="D209" s="2"/>
      <c r="E209" s="2"/>
      <c r="F209" s="2"/>
      <c r="G209" s="2"/>
      <c r="H209" s="2"/>
      <c r="I209" s="2"/>
      <c r="J209" s="2"/>
      <c r="K209" s="86"/>
      <c r="L209" s="34"/>
      <c r="M209" s="86"/>
      <c r="N209" s="34"/>
      <c r="O209" s="86"/>
      <c r="P209" s="34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</row>
    <row r="210" spans="2:122" x14ac:dyDescent="0.35">
      <c r="B210" s="3"/>
      <c r="C210" s="3"/>
      <c r="D210" s="2"/>
      <c r="E210" s="2"/>
      <c r="F210" s="2"/>
      <c r="G210" s="2"/>
      <c r="H210" s="2"/>
      <c r="I210" s="2"/>
      <c r="J210" s="2"/>
      <c r="K210" s="86"/>
      <c r="L210" s="34"/>
      <c r="M210" s="86"/>
      <c r="N210" s="34"/>
      <c r="O210" s="86"/>
      <c r="P210" s="34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</row>
    <row r="211" spans="2:122" x14ac:dyDescent="0.35">
      <c r="B211" s="3"/>
      <c r="C211" s="3"/>
      <c r="D211" s="2"/>
      <c r="E211" s="2"/>
      <c r="F211" s="2"/>
      <c r="G211" s="2"/>
      <c r="H211" s="2"/>
      <c r="I211" s="2"/>
      <c r="J211" s="2"/>
      <c r="K211" s="86"/>
      <c r="L211" s="34"/>
      <c r="M211" s="86"/>
      <c r="N211" s="34"/>
      <c r="O211" s="86"/>
      <c r="P211" s="34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</row>
    <row r="212" spans="2:122" x14ac:dyDescent="0.35">
      <c r="B212" s="3"/>
      <c r="C212" s="3"/>
      <c r="D212" s="2"/>
      <c r="E212" s="2"/>
      <c r="F212" s="2"/>
      <c r="G212" s="2"/>
      <c r="H212" s="2"/>
      <c r="I212" s="2"/>
      <c r="J212" s="2"/>
      <c r="K212" s="86"/>
      <c r="L212" s="34"/>
      <c r="M212" s="86"/>
      <c r="N212" s="34"/>
      <c r="O212" s="86"/>
      <c r="P212" s="34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</row>
    <row r="213" spans="2:122" x14ac:dyDescent="0.35">
      <c r="B213" s="3"/>
      <c r="C213" s="3"/>
      <c r="D213" s="2"/>
      <c r="E213" s="2"/>
      <c r="F213" s="2"/>
      <c r="G213" s="2"/>
      <c r="H213" s="2"/>
      <c r="I213" s="2"/>
      <c r="J213" s="2"/>
      <c r="K213" s="86"/>
      <c r="L213" s="34"/>
      <c r="M213" s="86"/>
      <c r="N213" s="34"/>
      <c r="O213" s="86"/>
      <c r="P213" s="34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</row>
    <row r="214" spans="2:122" x14ac:dyDescent="0.35">
      <c r="B214" s="3"/>
      <c r="C214" s="3"/>
      <c r="D214" s="2"/>
      <c r="E214" s="2"/>
      <c r="F214" s="2"/>
      <c r="G214" s="2"/>
      <c r="H214" s="2"/>
      <c r="I214" s="2"/>
      <c r="J214" s="2"/>
      <c r="K214" s="86"/>
      <c r="L214" s="34"/>
      <c r="M214" s="86"/>
      <c r="N214" s="34"/>
      <c r="O214" s="86"/>
      <c r="P214" s="34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</row>
    <row r="215" spans="2:122" x14ac:dyDescent="0.35">
      <c r="B215" s="3"/>
      <c r="C215" s="3"/>
      <c r="D215" s="2"/>
      <c r="E215" s="2"/>
      <c r="F215" s="2"/>
      <c r="G215" s="2"/>
      <c r="H215" s="2"/>
      <c r="I215" s="2"/>
      <c r="J215" s="2"/>
      <c r="K215" s="86"/>
      <c r="L215" s="34"/>
      <c r="M215" s="86"/>
      <c r="N215" s="34"/>
      <c r="O215" s="86"/>
      <c r="P215" s="34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</row>
    <row r="216" spans="2:122" x14ac:dyDescent="0.35">
      <c r="B216" s="3"/>
      <c r="C216" s="3"/>
      <c r="D216" s="2"/>
      <c r="E216" s="2"/>
      <c r="F216" s="2"/>
      <c r="G216" s="2"/>
      <c r="H216" s="2"/>
      <c r="I216" s="2"/>
      <c r="J216" s="2"/>
      <c r="K216" s="86"/>
      <c r="L216" s="34"/>
      <c r="M216" s="86"/>
      <c r="N216" s="34"/>
      <c r="O216" s="86"/>
      <c r="P216" s="34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</row>
    <row r="217" spans="2:122" x14ac:dyDescent="0.35">
      <c r="B217" s="3"/>
      <c r="C217" s="3"/>
      <c r="D217" s="2"/>
      <c r="E217" s="2"/>
      <c r="F217" s="2"/>
      <c r="G217" s="2"/>
      <c r="H217" s="2"/>
      <c r="I217" s="2"/>
      <c r="J217" s="2"/>
      <c r="K217" s="86"/>
      <c r="L217" s="34"/>
      <c r="M217" s="86"/>
      <c r="N217" s="34"/>
      <c r="O217" s="86"/>
      <c r="P217" s="34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</row>
    <row r="218" spans="2:122" x14ac:dyDescent="0.35">
      <c r="B218" s="3"/>
      <c r="C218" s="3"/>
      <c r="D218" s="2"/>
      <c r="E218" s="2"/>
      <c r="F218" s="2"/>
      <c r="G218" s="2"/>
      <c r="H218" s="2"/>
      <c r="I218" s="2"/>
      <c r="J218" s="2"/>
      <c r="K218" s="86"/>
      <c r="L218" s="34"/>
      <c r="M218" s="86"/>
      <c r="N218" s="34"/>
      <c r="O218" s="86"/>
      <c r="P218" s="34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</row>
    <row r="219" spans="2:122" x14ac:dyDescent="0.35">
      <c r="B219" s="3"/>
      <c r="C219" s="3"/>
      <c r="D219" s="2"/>
      <c r="E219" s="2"/>
      <c r="F219" s="2"/>
      <c r="G219" s="2"/>
      <c r="H219" s="2"/>
      <c r="I219" s="2"/>
      <c r="J219" s="2"/>
      <c r="K219" s="86"/>
      <c r="L219" s="34"/>
      <c r="M219" s="86"/>
      <c r="N219" s="34"/>
      <c r="O219" s="86"/>
      <c r="P219" s="34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</row>
    <row r="220" spans="2:122" x14ac:dyDescent="0.35">
      <c r="B220" s="3"/>
      <c r="C220" s="3"/>
      <c r="D220" s="2"/>
      <c r="E220" s="2"/>
      <c r="F220" s="2"/>
      <c r="G220" s="2"/>
      <c r="H220" s="2"/>
      <c r="I220" s="2"/>
      <c r="J220" s="2"/>
      <c r="K220" s="86"/>
      <c r="L220" s="34"/>
      <c r="M220" s="86"/>
      <c r="N220" s="34"/>
      <c r="O220" s="86"/>
      <c r="P220" s="34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</row>
    <row r="221" spans="2:122" x14ac:dyDescent="0.35">
      <c r="B221" s="3"/>
      <c r="C221" s="3"/>
      <c r="D221" s="2"/>
      <c r="E221" s="2"/>
      <c r="F221" s="2"/>
      <c r="G221" s="2"/>
      <c r="H221" s="2"/>
      <c r="I221" s="2"/>
      <c r="J221" s="2"/>
      <c r="K221" s="86"/>
      <c r="L221" s="34"/>
      <c r="M221" s="86"/>
      <c r="N221" s="34"/>
      <c r="O221" s="86"/>
      <c r="P221" s="34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</row>
    <row r="222" spans="2:122" x14ac:dyDescent="0.35">
      <c r="B222" s="3"/>
      <c r="C222" s="3"/>
      <c r="D222" s="2"/>
      <c r="E222" s="2"/>
      <c r="F222" s="2"/>
      <c r="G222" s="2"/>
      <c r="H222" s="2"/>
      <c r="I222" s="2"/>
      <c r="J222" s="2"/>
      <c r="K222" s="86"/>
      <c r="L222" s="34"/>
      <c r="M222" s="86"/>
      <c r="N222" s="34"/>
      <c r="O222" s="86"/>
      <c r="P222" s="34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</row>
    <row r="223" spans="2:122" x14ac:dyDescent="0.35">
      <c r="B223" s="3"/>
      <c r="C223" s="3"/>
      <c r="D223" s="2"/>
      <c r="E223" s="2"/>
      <c r="F223" s="2"/>
      <c r="G223" s="2"/>
      <c r="H223" s="2"/>
      <c r="I223" s="2"/>
      <c r="J223" s="2"/>
      <c r="K223" s="86"/>
      <c r="L223" s="34"/>
      <c r="M223" s="86"/>
      <c r="N223" s="34"/>
      <c r="O223" s="86"/>
      <c r="P223" s="34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</row>
    <row r="224" spans="2:122" x14ac:dyDescent="0.35">
      <c r="B224" s="3"/>
      <c r="C224" s="3"/>
      <c r="D224" s="2"/>
      <c r="E224" s="2"/>
      <c r="F224" s="2"/>
      <c r="G224" s="2"/>
      <c r="H224" s="2"/>
      <c r="I224" s="2"/>
      <c r="J224" s="2"/>
      <c r="K224" s="86"/>
      <c r="L224" s="34"/>
      <c r="M224" s="86"/>
      <c r="N224" s="34"/>
      <c r="O224" s="86"/>
      <c r="P224" s="34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</row>
    <row r="225" spans="2:122" x14ac:dyDescent="0.35">
      <c r="B225" s="3"/>
      <c r="C225" s="3"/>
      <c r="D225" s="2"/>
      <c r="E225" s="2"/>
      <c r="F225" s="2"/>
      <c r="G225" s="2"/>
      <c r="H225" s="2"/>
      <c r="I225" s="2"/>
      <c r="J225" s="2"/>
      <c r="K225" s="86"/>
      <c r="L225" s="34"/>
      <c r="M225" s="86"/>
      <c r="N225" s="34"/>
      <c r="O225" s="86"/>
      <c r="P225" s="34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</row>
    <row r="226" spans="2:122" x14ac:dyDescent="0.35">
      <c r="B226" s="3"/>
      <c r="C226" s="3"/>
      <c r="D226" s="2"/>
      <c r="E226" s="2"/>
      <c r="F226" s="2"/>
      <c r="G226" s="2"/>
      <c r="H226" s="2"/>
      <c r="I226" s="2"/>
      <c r="J226" s="2"/>
      <c r="K226" s="86"/>
      <c r="L226" s="34"/>
      <c r="M226" s="86"/>
      <c r="N226" s="34"/>
      <c r="O226" s="86"/>
      <c r="P226" s="34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</row>
    <row r="227" spans="2:122" x14ac:dyDescent="0.35">
      <c r="B227" s="3"/>
      <c r="C227" s="3"/>
      <c r="D227" s="2"/>
      <c r="E227" s="2"/>
      <c r="F227" s="2"/>
      <c r="G227" s="2"/>
      <c r="H227" s="2"/>
      <c r="I227" s="2"/>
      <c r="J227" s="2"/>
      <c r="K227" s="86"/>
      <c r="L227" s="34"/>
      <c r="M227" s="86"/>
      <c r="N227" s="34"/>
      <c r="O227" s="86"/>
      <c r="P227" s="34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</row>
    <row r="228" spans="2:122" x14ac:dyDescent="0.35">
      <c r="B228" s="3"/>
      <c r="C228" s="3"/>
      <c r="D228" s="2"/>
      <c r="E228" s="2"/>
      <c r="F228" s="2"/>
      <c r="G228" s="2"/>
      <c r="H228" s="2"/>
      <c r="I228" s="2"/>
      <c r="J228" s="2"/>
      <c r="K228" s="86"/>
      <c r="L228" s="34"/>
      <c r="M228" s="86"/>
      <c r="N228" s="34"/>
      <c r="O228" s="86"/>
      <c r="P228" s="34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</row>
    <row r="229" spans="2:122" x14ac:dyDescent="0.35">
      <c r="B229" s="3"/>
      <c r="C229" s="3"/>
      <c r="D229" s="2"/>
      <c r="E229" s="2"/>
      <c r="F229" s="2"/>
      <c r="G229" s="2"/>
      <c r="H229" s="2"/>
      <c r="I229" s="2"/>
      <c r="J229" s="2"/>
      <c r="K229" s="86"/>
      <c r="L229" s="34"/>
      <c r="M229" s="86"/>
      <c r="N229" s="34"/>
      <c r="O229" s="86"/>
      <c r="P229" s="34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</row>
    <row r="230" spans="2:122" x14ac:dyDescent="0.35">
      <c r="B230" s="3"/>
      <c r="C230" s="3"/>
      <c r="D230" s="2"/>
      <c r="E230" s="2"/>
      <c r="F230" s="2"/>
      <c r="G230" s="2"/>
      <c r="H230" s="2"/>
      <c r="I230" s="2"/>
      <c r="J230" s="2"/>
      <c r="K230" s="86"/>
      <c r="L230" s="34"/>
      <c r="M230" s="86"/>
      <c r="N230" s="34"/>
      <c r="O230" s="86"/>
      <c r="P230" s="34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</row>
    <row r="231" spans="2:122" x14ac:dyDescent="0.35">
      <c r="B231" s="3"/>
      <c r="C231" s="3"/>
      <c r="D231" s="2"/>
      <c r="E231" s="2"/>
      <c r="F231" s="2"/>
      <c r="G231" s="2"/>
      <c r="H231" s="2"/>
      <c r="I231" s="2"/>
      <c r="J231" s="2"/>
      <c r="K231" s="86"/>
      <c r="L231" s="34"/>
      <c r="M231" s="86"/>
      <c r="N231" s="34"/>
      <c r="O231" s="86"/>
      <c r="P231" s="34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</row>
    <row r="232" spans="2:122" x14ac:dyDescent="0.35">
      <c r="B232" s="3"/>
      <c r="C232" s="3"/>
      <c r="D232" s="2"/>
      <c r="E232" s="2"/>
      <c r="F232" s="2"/>
      <c r="G232" s="2"/>
      <c r="H232" s="2"/>
      <c r="I232" s="2"/>
      <c r="J232" s="2"/>
      <c r="K232" s="86"/>
      <c r="L232" s="34"/>
      <c r="M232" s="86"/>
      <c r="N232" s="34"/>
      <c r="O232" s="86"/>
      <c r="P232" s="34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</row>
    <row r="233" spans="2:122" x14ac:dyDescent="0.35">
      <c r="B233" s="3"/>
      <c r="C233" s="3"/>
      <c r="D233" s="2"/>
      <c r="E233" s="2"/>
      <c r="F233" s="2"/>
      <c r="G233" s="2"/>
      <c r="H233" s="2"/>
      <c r="I233" s="2"/>
      <c r="J233" s="2"/>
      <c r="K233" s="86"/>
      <c r="L233" s="34"/>
      <c r="M233" s="86"/>
      <c r="N233" s="34"/>
      <c r="O233" s="86"/>
      <c r="P233" s="34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</row>
    <row r="234" spans="2:122" x14ac:dyDescent="0.35">
      <c r="B234" s="3"/>
      <c r="C234" s="3"/>
      <c r="D234" s="2"/>
      <c r="E234" s="2"/>
      <c r="F234" s="2"/>
      <c r="G234" s="2"/>
      <c r="H234" s="2"/>
      <c r="I234" s="2"/>
      <c r="J234" s="2"/>
      <c r="K234" s="86"/>
      <c r="L234" s="34"/>
      <c r="M234" s="86"/>
      <c r="N234" s="34"/>
      <c r="O234" s="86"/>
      <c r="P234" s="34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</row>
    <row r="235" spans="2:122" x14ac:dyDescent="0.35">
      <c r="B235" s="3"/>
      <c r="C235" s="3"/>
      <c r="D235" s="2"/>
      <c r="E235" s="2"/>
      <c r="F235" s="2"/>
      <c r="G235" s="2"/>
      <c r="H235" s="2"/>
      <c r="I235" s="2"/>
      <c r="J235" s="2"/>
      <c r="K235" s="86"/>
      <c r="L235" s="34"/>
      <c r="M235" s="86"/>
      <c r="N235" s="34"/>
      <c r="O235" s="86"/>
      <c r="P235" s="34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</row>
    <row r="236" spans="2:122" x14ac:dyDescent="0.35">
      <c r="B236" s="3"/>
      <c r="C236" s="3"/>
      <c r="D236" s="2"/>
      <c r="E236" s="2"/>
      <c r="F236" s="2"/>
      <c r="G236" s="2"/>
      <c r="H236" s="2"/>
      <c r="I236" s="2"/>
      <c r="J236" s="2"/>
      <c r="K236" s="86"/>
      <c r="L236" s="34"/>
      <c r="M236" s="86"/>
      <c r="N236" s="34"/>
      <c r="O236" s="86"/>
      <c r="P236" s="34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</row>
    <row r="237" spans="2:122" x14ac:dyDescent="0.35">
      <c r="B237" s="3"/>
      <c r="C237" s="3"/>
      <c r="D237" s="2"/>
      <c r="E237" s="2"/>
      <c r="F237" s="2"/>
      <c r="G237" s="2"/>
      <c r="H237" s="2"/>
      <c r="I237" s="2"/>
      <c r="J237" s="2"/>
      <c r="K237" s="86"/>
      <c r="L237" s="34"/>
      <c r="M237" s="86"/>
      <c r="N237" s="34"/>
      <c r="O237" s="86"/>
      <c r="P237" s="34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</row>
    <row r="238" spans="2:122" x14ac:dyDescent="0.35">
      <c r="B238" s="3"/>
      <c r="C238" s="3"/>
      <c r="D238" s="2"/>
      <c r="E238" s="2"/>
      <c r="F238" s="2"/>
      <c r="G238" s="2"/>
      <c r="H238" s="2"/>
      <c r="I238" s="2"/>
      <c r="J238" s="2"/>
      <c r="K238" s="86"/>
      <c r="L238" s="34"/>
      <c r="M238" s="86"/>
      <c r="N238" s="34"/>
      <c r="O238" s="86"/>
      <c r="P238" s="34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</row>
    <row r="239" spans="2:122" x14ac:dyDescent="0.35">
      <c r="B239" s="3"/>
      <c r="C239" s="3"/>
      <c r="D239" s="2"/>
      <c r="E239" s="2"/>
      <c r="F239" s="2"/>
      <c r="G239" s="2"/>
      <c r="H239" s="2"/>
      <c r="I239" s="2"/>
      <c r="J239" s="2"/>
      <c r="K239" s="86"/>
      <c r="L239" s="34"/>
      <c r="M239" s="86"/>
      <c r="N239" s="34"/>
      <c r="O239" s="86"/>
      <c r="P239" s="34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</row>
    <row r="240" spans="2:122" x14ac:dyDescent="0.35">
      <c r="B240" s="3"/>
      <c r="C240" s="3"/>
      <c r="D240" s="2"/>
      <c r="E240" s="2"/>
      <c r="F240" s="2"/>
      <c r="G240" s="2"/>
      <c r="H240" s="2"/>
      <c r="I240" s="2"/>
      <c r="J240" s="2"/>
      <c r="K240" s="86"/>
      <c r="L240" s="34"/>
      <c r="M240" s="86"/>
      <c r="N240" s="34"/>
      <c r="O240" s="86"/>
      <c r="P240" s="34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</row>
    <row r="241" spans="2:122" x14ac:dyDescent="0.35">
      <c r="B241" s="3"/>
      <c r="C241" s="3"/>
      <c r="D241" s="2"/>
      <c r="E241" s="2"/>
      <c r="F241" s="2"/>
      <c r="G241" s="2"/>
      <c r="H241" s="2"/>
      <c r="I241" s="2"/>
      <c r="J241" s="2"/>
      <c r="K241" s="86"/>
      <c r="L241" s="34"/>
      <c r="M241" s="86"/>
      <c r="N241" s="34"/>
      <c r="O241" s="86"/>
      <c r="P241" s="34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</row>
    <row r="242" spans="2:122" x14ac:dyDescent="0.35">
      <c r="B242" s="3"/>
      <c r="C242" s="3"/>
      <c r="D242" s="2"/>
      <c r="E242" s="2"/>
      <c r="F242" s="2"/>
      <c r="G242" s="2"/>
      <c r="H242" s="2"/>
      <c r="I242" s="2"/>
      <c r="J242" s="2"/>
      <c r="K242" s="86"/>
      <c r="L242" s="34"/>
      <c r="M242" s="86"/>
      <c r="N242" s="34"/>
      <c r="O242" s="86"/>
      <c r="P242" s="34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</row>
    <row r="243" spans="2:122" x14ac:dyDescent="0.35">
      <c r="B243" s="3"/>
      <c r="C243" s="3"/>
      <c r="D243" s="2"/>
      <c r="E243" s="2"/>
      <c r="F243" s="2"/>
      <c r="G243" s="2"/>
      <c r="H243" s="2"/>
      <c r="I243" s="2"/>
      <c r="J243" s="2"/>
      <c r="K243" s="86"/>
      <c r="L243" s="34"/>
      <c r="M243" s="86"/>
      <c r="N243" s="34"/>
      <c r="O243" s="86"/>
      <c r="P243" s="34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</row>
    <row r="244" spans="2:122" x14ac:dyDescent="0.35">
      <c r="B244" s="3"/>
      <c r="C244" s="3"/>
      <c r="D244" s="2"/>
      <c r="E244" s="2"/>
      <c r="F244" s="2"/>
      <c r="G244" s="2"/>
      <c r="H244" s="2"/>
      <c r="I244" s="2"/>
      <c r="J244" s="2"/>
      <c r="K244" s="86"/>
      <c r="L244" s="34"/>
      <c r="M244" s="86"/>
      <c r="N244" s="34"/>
      <c r="O244" s="86"/>
      <c r="P244" s="34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</row>
    <row r="245" spans="2:122" x14ac:dyDescent="0.35">
      <c r="B245" s="3"/>
      <c r="C245" s="3"/>
      <c r="D245" s="2"/>
      <c r="E245" s="2"/>
      <c r="F245" s="2"/>
      <c r="G245" s="2"/>
      <c r="H245" s="2"/>
      <c r="I245" s="2"/>
      <c r="J245" s="2"/>
      <c r="K245" s="86"/>
      <c r="L245" s="34"/>
      <c r="M245" s="86"/>
      <c r="N245" s="34"/>
      <c r="O245" s="86"/>
      <c r="P245" s="34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</row>
    <row r="246" spans="2:122" x14ac:dyDescent="0.35">
      <c r="B246" s="3"/>
      <c r="C246" s="3"/>
      <c r="D246" s="2"/>
      <c r="E246" s="2"/>
      <c r="F246" s="2"/>
      <c r="G246" s="2"/>
      <c r="H246" s="2"/>
      <c r="I246" s="2"/>
      <c r="J246" s="2"/>
      <c r="K246" s="86"/>
      <c r="L246" s="34"/>
      <c r="M246" s="86"/>
      <c r="N246" s="34"/>
      <c r="O246" s="86"/>
      <c r="P246" s="34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</row>
    <row r="247" spans="2:122" x14ac:dyDescent="0.35">
      <c r="B247" s="3"/>
      <c r="C247" s="3"/>
      <c r="D247" s="2"/>
      <c r="E247" s="2"/>
      <c r="F247" s="2"/>
      <c r="G247" s="2"/>
      <c r="H247" s="2"/>
      <c r="I247" s="2"/>
      <c r="J247" s="2"/>
      <c r="K247" s="86"/>
      <c r="L247" s="34"/>
      <c r="M247" s="86"/>
      <c r="N247" s="34"/>
      <c r="O247" s="86"/>
      <c r="P247" s="34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</row>
    <row r="248" spans="2:122" x14ac:dyDescent="0.35">
      <c r="B248" s="3"/>
      <c r="C248" s="3"/>
      <c r="D248" s="2"/>
      <c r="E248" s="2"/>
      <c r="F248" s="2"/>
      <c r="G248" s="2"/>
      <c r="H248" s="2"/>
      <c r="I248" s="2"/>
      <c r="J248" s="2"/>
      <c r="K248" s="86"/>
      <c r="L248" s="34"/>
      <c r="M248" s="86"/>
      <c r="N248" s="34"/>
      <c r="O248" s="86"/>
      <c r="P248" s="34"/>
    </row>
    <row r="249" spans="2:122" x14ac:dyDescent="0.35">
      <c r="B249" s="3"/>
      <c r="C249" s="3"/>
      <c r="D249" s="2"/>
      <c r="E249" s="2"/>
      <c r="F249" s="2"/>
      <c r="G249" s="2"/>
      <c r="H249" s="2"/>
      <c r="I249" s="2"/>
      <c r="J249" s="2"/>
      <c r="K249" s="86"/>
      <c r="L249" s="34"/>
      <c r="M249" s="86"/>
      <c r="N249" s="34"/>
      <c r="O249" s="86"/>
      <c r="P249" s="34"/>
    </row>
    <row r="250" spans="2:122" x14ac:dyDescent="0.35">
      <c r="B250" s="3"/>
      <c r="C250" s="3"/>
      <c r="D250" s="2"/>
      <c r="E250" s="2"/>
      <c r="F250" s="2"/>
      <c r="G250" s="2"/>
      <c r="H250" s="2"/>
      <c r="I250" s="2"/>
      <c r="J250" s="2"/>
      <c r="K250" s="86"/>
      <c r="L250" s="34"/>
      <c r="M250" s="86"/>
      <c r="N250" s="34"/>
      <c r="O250" s="86"/>
      <c r="P250" s="34"/>
    </row>
    <row r="251" spans="2:122" x14ac:dyDescent="0.35">
      <c r="B251" s="3"/>
      <c r="C251" s="3"/>
      <c r="D251" s="2"/>
      <c r="E251" s="2"/>
      <c r="F251" s="2"/>
      <c r="G251" s="2"/>
      <c r="H251" s="2"/>
      <c r="I251" s="2"/>
      <c r="J251" s="2"/>
      <c r="K251" s="86"/>
      <c r="L251" s="34"/>
      <c r="M251" s="86"/>
      <c r="N251" s="34"/>
      <c r="O251" s="86"/>
      <c r="P251" s="34"/>
    </row>
    <row r="252" spans="2:122" x14ac:dyDescent="0.35">
      <c r="B252" s="3"/>
      <c r="C252" s="3"/>
      <c r="D252" s="2"/>
      <c r="E252" s="2"/>
      <c r="F252" s="2"/>
      <c r="G252" s="2"/>
      <c r="H252" s="2"/>
      <c r="I252" s="2"/>
      <c r="J252" s="2"/>
      <c r="K252" s="86"/>
      <c r="L252" s="34"/>
      <c r="M252" s="86"/>
      <c r="N252" s="34"/>
      <c r="O252" s="86"/>
      <c r="P252" s="34"/>
    </row>
    <row r="253" spans="2:122" x14ac:dyDescent="0.35">
      <c r="B253" s="3"/>
      <c r="C253" s="3"/>
      <c r="D253" s="2"/>
      <c r="E253" s="2"/>
      <c r="F253" s="2"/>
      <c r="G253" s="2"/>
      <c r="H253" s="2"/>
      <c r="I253" s="2"/>
      <c r="J253" s="2"/>
      <c r="K253" s="86"/>
      <c r="L253" s="34"/>
      <c r="M253" s="86"/>
      <c r="N253" s="34"/>
      <c r="O253" s="86"/>
      <c r="P253" s="34"/>
    </row>
    <row r="254" spans="2:122" x14ac:dyDescent="0.35">
      <c r="B254" s="3"/>
      <c r="C254" s="3"/>
      <c r="D254" s="2"/>
      <c r="E254" s="2"/>
      <c r="F254" s="2"/>
      <c r="G254" s="2"/>
      <c r="H254" s="2"/>
      <c r="I254" s="2"/>
      <c r="J254" s="2"/>
      <c r="K254" s="86"/>
      <c r="L254" s="34"/>
      <c r="M254" s="86"/>
      <c r="N254" s="34"/>
      <c r="O254" s="86"/>
      <c r="P254" s="34"/>
    </row>
    <row r="255" spans="2:122" x14ac:dyDescent="0.35">
      <c r="B255" s="3"/>
      <c r="C255" s="3"/>
      <c r="D255" s="2"/>
      <c r="E255" s="2"/>
      <c r="F255" s="2"/>
      <c r="G255" s="2"/>
      <c r="H255" s="2"/>
      <c r="I255" s="2"/>
      <c r="J255" s="2"/>
      <c r="K255" s="86"/>
      <c r="L255" s="34"/>
      <c r="M255" s="86"/>
      <c r="N255" s="34"/>
      <c r="O255" s="86"/>
      <c r="P255" s="34"/>
    </row>
    <row r="256" spans="2:122" x14ac:dyDescent="0.35">
      <c r="B256" s="3"/>
      <c r="C256" s="3"/>
      <c r="D256" s="2"/>
      <c r="E256" s="2"/>
      <c r="F256" s="2"/>
      <c r="G256" s="2"/>
      <c r="H256" s="2"/>
      <c r="I256" s="2"/>
      <c r="J256" s="2"/>
      <c r="K256" s="86"/>
      <c r="L256" s="34"/>
      <c r="M256" s="86"/>
      <c r="N256" s="34"/>
      <c r="O256" s="86"/>
      <c r="P256" s="34"/>
    </row>
    <row r="257" spans="2:16" x14ac:dyDescent="0.35">
      <c r="B257" s="3"/>
      <c r="C257" s="3"/>
      <c r="D257" s="2"/>
      <c r="E257" s="2"/>
      <c r="F257" s="2"/>
      <c r="G257" s="2"/>
      <c r="H257" s="2"/>
      <c r="I257" s="2"/>
      <c r="J257" s="2"/>
      <c r="K257" s="86"/>
      <c r="L257" s="34"/>
      <c r="M257" s="86"/>
      <c r="N257" s="34"/>
      <c r="O257" s="86"/>
      <c r="P257" s="34"/>
    </row>
    <row r="258" spans="2:16" x14ac:dyDescent="0.35">
      <c r="B258" s="3"/>
      <c r="C258" s="3"/>
      <c r="D258" s="2"/>
      <c r="E258" s="2"/>
      <c r="F258" s="2"/>
      <c r="G258" s="2"/>
      <c r="H258" s="2"/>
      <c r="I258" s="2"/>
      <c r="J258" s="2"/>
      <c r="K258" s="86"/>
      <c r="L258" s="34"/>
      <c r="M258" s="86"/>
      <c r="N258" s="34"/>
      <c r="O258" s="86"/>
      <c r="P258" s="34"/>
    </row>
    <row r="259" spans="2:16" x14ac:dyDescent="0.35">
      <c r="B259" s="3"/>
      <c r="C259" s="3"/>
      <c r="D259" s="2"/>
      <c r="E259" s="2"/>
      <c r="F259" s="2"/>
      <c r="G259" s="2"/>
      <c r="H259" s="2"/>
      <c r="I259" s="2"/>
      <c r="J259" s="2"/>
      <c r="K259" s="86"/>
      <c r="L259" s="34"/>
      <c r="M259" s="86"/>
      <c r="N259" s="34"/>
      <c r="O259" s="86"/>
      <c r="P259" s="34"/>
    </row>
    <row r="260" spans="2:16" x14ac:dyDescent="0.35">
      <c r="B260" s="3"/>
      <c r="C260" s="3"/>
      <c r="D260" s="2"/>
      <c r="E260" s="2"/>
      <c r="F260" s="2"/>
      <c r="G260" s="2"/>
      <c r="H260" s="2"/>
      <c r="I260" s="2"/>
      <c r="J260" s="2"/>
      <c r="K260" s="86"/>
      <c r="L260" s="34"/>
      <c r="M260" s="86"/>
      <c r="N260" s="34"/>
      <c r="O260" s="86"/>
      <c r="P260" s="34"/>
    </row>
    <row r="261" spans="2:16" x14ac:dyDescent="0.35">
      <c r="B261" s="3"/>
      <c r="C261" s="3"/>
      <c r="D261" s="2"/>
      <c r="E261" s="2"/>
      <c r="F261" s="2"/>
      <c r="G261" s="2"/>
      <c r="H261" s="2"/>
      <c r="I261" s="2"/>
      <c r="J261" s="2"/>
      <c r="K261" s="86"/>
      <c r="L261" s="34"/>
      <c r="M261" s="86"/>
      <c r="N261" s="34"/>
      <c r="O261" s="86"/>
      <c r="P261" s="34"/>
    </row>
    <row r="262" spans="2:16" x14ac:dyDescent="0.35">
      <c r="B262" s="3"/>
      <c r="C262" s="3"/>
      <c r="D262" s="2"/>
      <c r="E262" s="2"/>
      <c r="F262" s="2"/>
      <c r="G262" s="2"/>
      <c r="H262" s="2"/>
      <c r="I262" s="2"/>
      <c r="J262" s="2"/>
      <c r="K262" s="86"/>
      <c r="L262" s="34"/>
      <c r="M262" s="86"/>
      <c r="N262" s="34"/>
      <c r="O262" s="86"/>
      <c r="P262" s="34"/>
    </row>
    <row r="263" spans="2:16" x14ac:dyDescent="0.35">
      <c r="B263" s="3"/>
      <c r="C263" s="3"/>
      <c r="D263" s="2"/>
      <c r="E263" s="2"/>
      <c r="F263" s="2"/>
      <c r="G263" s="2"/>
      <c r="H263" s="2"/>
      <c r="I263" s="2"/>
      <c r="J263" s="2"/>
      <c r="K263" s="86"/>
      <c r="L263" s="34"/>
      <c r="M263" s="86"/>
      <c r="N263" s="34"/>
      <c r="O263" s="86"/>
      <c r="P263" s="34"/>
    </row>
    <row r="264" spans="2:16" x14ac:dyDescent="0.35">
      <c r="B264" s="3"/>
      <c r="C264" s="3"/>
      <c r="D264" s="2"/>
      <c r="E264" s="2"/>
      <c r="F264" s="2"/>
      <c r="G264" s="2"/>
      <c r="H264" s="2"/>
      <c r="I264" s="2"/>
      <c r="J264" s="2"/>
      <c r="K264" s="86"/>
      <c r="L264" s="34"/>
      <c r="M264" s="86"/>
      <c r="N264" s="34"/>
      <c r="O264" s="86"/>
      <c r="P264" s="34"/>
    </row>
    <row r="265" spans="2:16" x14ac:dyDescent="0.35">
      <c r="B265" s="3"/>
      <c r="C265" s="3"/>
      <c r="D265" s="2"/>
      <c r="E265" s="2"/>
      <c r="F265" s="2"/>
      <c r="G265" s="2"/>
      <c r="H265" s="2"/>
      <c r="I265" s="2"/>
      <c r="J265" s="2"/>
      <c r="K265" s="86"/>
      <c r="L265" s="34"/>
      <c r="M265" s="86"/>
      <c r="N265" s="34"/>
      <c r="O265" s="86"/>
      <c r="P265" s="34"/>
    </row>
    <row r="266" spans="2:16" x14ac:dyDescent="0.35">
      <c r="B266" s="3"/>
      <c r="C266" s="3"/>
      <c r="D266" s="2"/>
      <c r="E266" s="2"/>
      <c r="F266" s="2"/>
      <c r="G266" s="2"/>
      <c r="H266" s="2"/>
      <c r="I266" s="2"/>
      <c r="J266" s="2"/>
      <c r="K266" s="86"/>
      <c r="L266" s="34"/>
      <c r="M266" s="86"/>
      <c r="N266" s="34"/>
      <c r="O266" s="86"/>
      <c r="P266" s="34"/>
    </row>
    <row r="267" spans="2:16" x14ac:dyDescent="0.35">
      <c r="B267" s="3"/>
      <c r="C267" s="3"/>
      <c r="D267" s="2"/>
      <c r="E267" s="2"/>
      <c r="F267" s="2"/>
      <c r="G267" s="2"/>
      <c r="H267" s="2"/>
      <c r="I267" s="2"/>
      <c r="J267" s="2"/>
      <c r="K267" s="86"/>
      <c r="L267" s="34"/>
      <c r="M267" s="86"/>
      <c r="N267" s="34"/>
      <c r="O267" s="86"/>
      <c r="P267" s="34"/>
    </row>
    <row r="268" spans="2:16" x14ac:dyDescent="0.35">
      <c r="B268" s="3"/>
      <c r="C268" s="3"/>
      <c r="D268" s="2"/>
      <c r="E268" s="2"/>
      <c r="F268" s="2"/>
      <c r="G268" s="2"/>
      <c r="H268" s="2"/>
      <c r="I268" s="2"/>
      <c r="J268" s="2"/>
      <c r="K268" s="86"/>
      <c r="L268" s="34"/>
      <c r="M268" s="86"/>
      <c r="N268" s="34"/>
      <c r="O268" s="86"/>
      <c r="P268" s="34"/>
    </row>
    <row r="269" spans="2:16" x14ac:dyDescent="0.35">
      <c r="B269" s="3"/>
      <c r="C269" s="3"/>
      <c r="D269" s="2"/>
      <c r="E269" s="2"/>
      <c r="F269" s="2"/>
      <c r="G269" s="2"/>
      <c r="H269" s="2"/>
      <c r="I269" s="2"/>
      <c r="J269" s="2"/>
      <c r="K269" s="86"/>
      <c r="L269" s="34"/>
      <c r="M269" s="86"/>
      <c r="N269" s="34"/>
      <c r="O269" s="86"/>
      <c r="P269" s="34"/>
    </row>
    <row r="270" spans="2:16" x14ac:dyDescent="0.35">
      <c r="B270" s="3"/>
      <c r="C270" s="3"/>
      <c r="D270" s="2"/>
      <c r="E270" s="2"/>
      <c r="F270" s="2"/>
      <c r="G270" s="2"/>
      <c r="H270" s="2"/>
      <c r="I270" s="2"/>
      <c r="J270" s="2"/>
      <c r="K270" s="86"/>
      <c r="L270" s="34"/>
      <c r="M270" s="86"/>
      <c r="N270" s="34"/>
      <c r="O270" s="86"/>
      <c r="P270" s="34"/>
    </row>
    <row r="271" spans="2:16" x14ac:dyDescent="0.35">
      <c r="B271" s="3"/>
      <c r="C271" s="3"/>
      <c r="D271" s="2"/>
      <c r="E271" s="2"/>
      <c r="F271" s="2"/>
      <c r="G271" s="2"/>
      <c r="H271" s="2"/>
      <c r="I271" s="2"/>
      <c r="J271" s="2"/>
      <c r="K271" s="86"/>
      <c r="L271" s="34"/>
      <c r="M271" s="86"/>
      <c r="N271" s="34"/>
      <c r="O271" s="86"/>
      <c r="P271" s="34"/>
    </row>
    <row r="272" spans="2:16" x14ac:dyDescent="0.35">
      <c r="B272" s="3"/>
      <c r="C272" s="3"/>
      <c r="D272" s="2"/>
      <c r="E272" s="2"/>
      <c r="F272" s="2"/>
      <c r="G272" s="2"/>
      <c r="H272" s="2"/>
      <c r="I272" s="2"/>
      <c r="J272" s="2"/>
      <c r="K272" s="86"/>
      <c r="L272" s="34"/>
      <c r="M272" s="86"/>
      <c r="N272" s="34"/>
      <c r="O272" s="86"/>
      <c r="P272" s="34"/>
    </row>
    <row r="273" spans="2:16" x14ac:dyDescent="0.35">
      <c r="B273" s="3"/>
      <c r="C273" s="3"/>
      <c r="D273" s="2"/>
      <c r="E273" s="2"/>
      <c r="F273" s="2"/>
      <c r="G273" s="2"/>
      <c r="H273" s="2"/>
      <c r="I273" s="2"/>
      <c r="J273" s="2"/>
      <c r="K273" s="86"/>
      <c r="L273" s="34"/>
      <c r="M273" s="86"/>
      <c r="N273" s="34"/>
      <c r="O273" s="86"/>
      <c r="P273" s="34"/>
    </row>
    <row r="274" spans="2:16" x14ac:dyDescent="0.35">
      <c r="B274" s="3"/>
      <c r="C274" s="3"/>
      <c r="D274" s="2"/>
      <c r="E274" s="2"/>
      <c r="F274" s="2"/>
      <c r="G274" s="2"/>
      <c r="H274" s="2"/>
      <c r="I274" s="2"/>
      <c r="J274" s="2"/>
      <c r="K274" s="86"/>
      <c r="L274" s="34"/>
      <c r="M274" s="86"/>
      <c r="N274" s="34"/>
      <c r="O274" s="86"/>
      <c r="P274" s="34"/>
    </row>
    <row r="275" spans="2:16" x14ac:dyDescent="0.35">
      <c r="B275" s="3"/>
      <c r="C275" s="3"/>
      <c r="D275" s="2"/>
      <c r="E275" s="2"/>
      <c r="F275" s="2"/>
      <c r="G275" s="2"/>
      <c r="H275" s="2"/>
      <c r="I275" s="2"/>
      <c r="J275" s="2"/>
      <c r="K275" s="86"/>
      <c r="L275" s="34"/>
      <c r="M275" s="86"/>
      <c r="N275" s="34"/>
      <c r="O275" s="86"/>
      <c r="P275" s="34"/>
    </row>
    <row r="276" spans="2:16" x14ac:dyDescent="0.35">
      <c r="B276" s="3"/>
      <c r="C276" s="3"/>
      <c r="D276" s="2"/>
      <c r="E276" s="2"/>
      <c r="F276" s="2"/>
      <c r="G276" s="2"/>
      <c r="H276" s="2"/>
      <c r="I276" s="2"/>
      <c r="J276" s="2"/>
      <c r="K276" s="86"/>
      <c r="L276" s="34"/>
      <c r="M276" s="86"/>
      <c r="N276" s="34"/>
      <c r="O276" s="86"/>
      <c r="P276" s="34"/>
    </row>
    <row r="277" spans="2:16" x14ac:dyDescent="0.35">
      <c r="B277" s="3"/>
      <c r="C277" s="3"/>
      <c r="D277" s="2"/>
      <c r="E277" s="2"/>
      <c r="F277" s="2"/>
      <c r="G277" s="2"/>
      <c r="H277" s="2"/>
      <c r="I277" s="2"/>
      <c r="J277" s="2"/>
      <c r="K277" s="86"/>
      <c r="L277" s="34"/>
      <c r="M277" s="86"/>
      <c r="N277" s="34"/>
      <c r="O277" s="86"/>
      <c r="P277" s="34"/>
    </row>
    <row r="278" spans="2:16" x14ac:dyDescent="0.35">
      <c r="B278" s="3"/>
      <c r="C278" s="3"/>
      <c r="D278" s="2"/>
      <c r="E278" s="2"/>
      <c r="F278" s="2"/>
      <c r="G278" s="2"/>
      <c r="H278" s="2"/>
      <c r="I278" s="2"/>
      <c r="J278" s="2"/>
      <c r="K278" s="86"/>
      <c r="L278" s="34"/>
      <c r="M278" s="86"/>
      <c r="N278" s="34"/>
      <c r="O278" s="86"/>
      <c r="P278" s="34"/>
    </row>
    <row r="279" spans="2:16" x14ac:dyDescent="0.35">
      <c r="B279" s="3"/>
      <c r="C279" s="3"/>
      <c r="D279" s="2"/>
      <c r="E279" s="2"/>
      <c r="F279" s="2"/>
      <c r="G279" s="2"/>
      <c r="H279" s="2"/>
      <c r="I279" s="2"/>
      <c r="J279" s="2"/>
      <c r="K279" s="86"/>
      <c r="L279" s="34"/>
      <c r="M279" s="86"/>
      <c r="N279" s="34"/>
      <c r="O279" s="86"/>
      <c r="P279" s="34"/>
    </row>
    <row r="280" spans="2:16" x14ac:dyDescent="0.35">
      <c r="B280" s="3"/>
      <c r="C280" s="3"/>
      <c r="D280" s="2"/>
      <c r="E280" s="2"/>
      <c r="F280" s="2"/>
      <c r="G280" s="2"/>
      <c r="H280" s="2"/>
      <c r="I280" s="2"/>
      <c r="J280" s="2"/>
      <c r="K280" s="86"/>
      <c r="L280" s="34"/>
      <c r="M280" s="86"/>
      <c r="N280" s="34"/>
      <c r="O280" s="86"/>
      <c r="P280" s="34"/>
    </row>
    <row r="281" spans="2:16" x14ac:dyDescent="0.35">
      <c r="B281" s="3"/>
      <c r="C281" s="3"/>
      <c r="D281" s="2"/>
      <c r="E281" s="2"/>
      <c r="F281" s="2"/>
      <c r="G281" s="2"/>
      <c r="H281" s="2"/>
      <c r="I281" s="2"/>
      <c r="J281" s="2"/>
      <c r="K281" s="86"/>
      <c r="L281" s="34"/>
      <c r="M281" s="86"/>
      <c r="N281" s="34"/>
      <c r="O281" s="86"/>
      <c r="P281" s="34"/>
    </row>
    <row r="282" spans="2:16" x14ac:dyDescent="0.35">
      <c r="B282" s="3"/>
      <c r="C282" s="3"/>
      <c r="D282" s="2"/>
      <c r="E282" s="2"/>
      <c r="F282" s="2"/>
      <c r="G282" s="2"/>
      <c r="H282" s="2"/>
      <c r="I282" s="2"/>
      <c r="J282" s="2"/>
      <c r="K282" s="86"/>
      <c r="L282" s="34"/>
      <c r="M282" s="86"/>
      <c r="N282" s="34"/>
      <c r="O282" s="86"/>
      <c r="P282" s="34"/>
    </row>
    <row r="283" spans="2:16" x14ac:dyDescent="0.35">
      <c r="B283" s="3"/>
      <c r="C283" s="3"/>
      <c r="D283" s="2"/>
      <c r="E283" s="2"/>
      <c r="F283" s="2"/>
      <c r="G283" s="2"/>
      <c r="H283" s="2"/>
      <c r="I283" s="2"/>
      <c r="J283" s="2"/>
      <c r="K283" s="86"/>
      <c r="L283" s="34"/>
      <c r="M283" s="86"/>
      <c r="N283" s="34"/>
      <c r="O283" s="86"/>
      <c r="P283" s="34"/>
    </row>
    <row r="284" spans="2:16" x14ac:dyDescent="0.35">
      <c r="B284" s="3"/>
      <c r="C284" s="3"/>
      <c r="D284" s="2"/>
      <c r="E284" s="2"/>
      <c r="F284" s="2"/>
      <c r="G284" s="2"/>
      <c r="H284" s="2"/>
      <c r="I284" s="2"/>
      <c r="J284" s="2"/>
      <c r="K284" s="86"/>
      <c r="L284" s="34"/>
      <c r="M284" s="86"/>
      <c r="N284" s="34"/>
      <c r="O284" s="86"/>
      <c r="P284" s="34"/>
    </row>
    <row r="285" spans="2:16" x14ac:dyDescent="0.35">
      <c r="B285" s="3"/>
      <c r="C285" s="3"/>
      <c r="D285" s="2"/>
      <c r="E285" s="2"/>
      <c r="F285" s="2"/>
      <c r="G285" s="2"/>
      <c r="H285" s="2"/>
      <c r="I285" s="2"/>
      <c r="J285" s="2"/>
      <c r="K285" s="86"/>
      <c r="L285" s="34"/>
      <c r="M285" s="86"/>
      <c r="N285" s="34"/>
      <c r="O285" s="86"/>
      <c r="P285" s="34"/>
    </row>
    <row r="286" spans="2:16" x14ac:dyDescent="0.35">
      <c r="B286" s="3"/>
      <c r="C286" s="3"/>
      <c r="D286" s="2"/>
      <c r="E286" s="2"/>
      <c r="F286" s="2"/>
      <c r="G286" s="2"/>
      <c r="H286" s="2"/>
      <c r="I286" s="2"/>
      <c r="J286" s="2"/>
      <c r="K286" s="86"/>
      <c r="L286" s="34"/>
      <c r="M286" s="86"/>
      <c r="N286" s="34"/>
      <c r="O286" s="86"/>
      <c r="P286" s="34"/>
    </row>
    <row r="287" spans="2:16" x14ac:dyDescent="0.35">
      <c r="B287" s="3"/>
      <c r="C287" s="3"/>
      <c r="D287" s="2"/>
      <c r="E287" s="2"/>
      <c r="F287" s="2"/>
      <c r="G287" s="2"/>
      <c r="H287" s="2"/>
      <c r="I287" s="2"/>
      <c r="J287" s="2"/>
      <c r="K287" s="86"/>
      <c r="L287" s="34"/>
      <c r="M287" s="86"/>
      <c r="N287" s="34"/>
      <c r="O287" s="86"/>
      <c r="P287" s="34"/>
    </row>
    <row r="288" spans="2:16" x14ac:dyDescent="0.35">
      <c r="B288" s="3"/>
      <c r="C288" s="3"/>
      <c r="D288" s="2"/>
      <c r="E288" s="2"/>
      <c r="F288" s="2"/>
      <c r="G288" s="2"/>
      <c r="H288" s="2"/>
      <c r="I288" s="2"/>
      <c r="J288" s="2"/>
      <c r="K288" s="86"/>
      <c r="L288" s="34"/>
      <c r="M288" s="86"/>
      <c r="N288" s="34"/>
      <c r="O288" s="86"/>
      <c r="P288" s="34"/>
    </row>
    <row r="289" spans="2:16" x14ac:dyDescent="0.35">
      <c r="B289" s="3"/>
      <c r="C289" s="3"/>
      <c r="D289" s="2"/>
      <c r="E289" s="2"/>
      <c r="F289" s="2"/>
      <c r="G289" s="2"/>
      <c r="H289" s="2"/>
      <c r="I289" s="2"/>
      <c r="J289" s="2"/>
      <c r="K289" s="86"/>
      <c r="L289" s="34"/>
      <c r="M289" s="86"/>
      <c r="N289" s="34"/>
      <c r="O289" s="86"/>
      <c r="P289" s="34"/>
    </row>
    <row r="290" spans="2:16" x14ac:dyDescent="0.35">
      <c r="B290" s="3"/>
      <c r="C290" s="3"/>
      <c r="D290" s="2"/>
      <c r="E290" s="2"/>
      <c r="F290" s="2"/>
      <c r="G290" s="2"/>
      <c r="H290" s="2"/>
      <c r="I290" s="2"/>
      <c r="J290" s="2"/>
      <c r="K290" s="86"/>
      <c r="L290" s="34"/>
      <c r="M290" s="86"/>
      <c r="N290" s="34"/>
      <c r="O290" s="86"/>
      <c r="P290" s="34"/>
    </row>
    <row r="291" spans="2:16" x14ac:dyDescent="0.35">
      <c r="B291" s="3"/>
      <c r="C291" s="3"/>
      <c r="D291" s="2"/>
      <c r="E291" s="2"/>
      <c r="F291" s="2"/>
      <c r="G291" s="2"/>
      <c r="H291" s="2"/>
      <c r="I291" s="2"/>
      <c r="J291" s="2"/>
      <c r="K291" s="86"/>
      <c r="L291" s="34"/>
      <c r="M291" s="86"/>
      <c r="N291" s="34"/>
      <c r="O291" s="86"/>
      <c r="P291" s="34"/>
    </row>
    <row r="292" spans="2:16" x14ac:dyDescent="0.35">
      <c r="B292" s="3"/>
      <c r="C292" s="3"/>
      <c r="D292" s="2"/>
      <c r="E292" s="2"/>
      <c r="F292" s="2"/>
      <c r="G292" s="2"/>
      <c r="H292" s="2"/>
      <c r="I292" s="2"/>
      <c r="J292" s="2"/>
      <c r="K292" s="86"/>
      <c r="L292" s="34"/>
      <c r="M292" s="86"/>
      <c r="N292" s="34"/>
      <c r="O292" s="86"/>
      <c r="P292" s="34"/>
    </row>
    <row r="293" spans="2:16" x14ac:dyDescent="0.35">
      <c r="B293" s="3"/>
      <c r="C293" s="3"/>
      <c r="D293" s="2"/>
      <c r="E293" s="2"/>
      <c r="F293" s="2"/>
      <c r="G293" s="2"/>
      <c r="H293" s="2"/>
      <c r="I293" s="2"/>
      <c r="J293" s="2"/>
      <c r="K293" s="86"/>
      <c r="L293" s="34"/>
      <c r="M293" s="86"/>
      <c r="N293" s="34"/>
      <c r="O293" s="86"/>
      <c r="P293" s="34"/>
    </row>
    <row r="294" spans="2:16" x14ac:dyDescent="0.35">
      <c r="B294" s="3"/>
      <c r="C294" s="3"/>
      <c r="D294" s="2"/>
      <c r="E294" s="2"/>
      <c r="F294" s="2"/>
      <c r="G294" s="2"/>
      <c r="H294" s="2"/>
      <c r="I294" s="2"/>
      <c r="J294" s="2"/>
      <c r="K294" s="86"/>
      <c r="L294" s="34"/>
      <c r="M294" s="86"/>
      <c r="N294" s="34"/>
      <c r="O294" s="86"/>
      <c r="P294" s="34"/>
    </row>
    <row r="295" spans="2:16" x14ac:dyDescent="0.35">
      <c r="B295" s="3"/>
      <c r="C295" s="3"/>
      <c r="D295" s="2"/>
      <c r="E295" s="2"/>
      <c r="F295" s="2"/>
      <c r="G295" s="2"/>
      <c r="H295" s="2"/>
      <c r="I295" s="2"/>
      <c r="J295" s="2"/>
      <c r="K295" s="86"/>
      <c r="L295" s="34"/>
      <c r="M295" s="86"/>
      <c r="N295" s="34"/>
      <c r="O295" s="86"/>
      <c r="P295" s="34"/>
    </row>
    <row r="296" spans="2:16" x14ac:dyDescent="0.35">
      <c r="B296" s="3"/>
      <c r="C296" s="3"/>
      <c r="D296" s="2"/>
      <c r="E296" s="2"/>
      <c r="F296" s="2"/>
      <c r="G296" s="2"/>
      <c r="H296" s="2"/>
      <c r="I296" s="2"/>
      <c r="J296" s="2"/>
      <c r="K296" s="86"/>
      <c r="L296" s="34"/>
      <c r="M296" s="86"/>
      <c r="N296" s="34"/>
      <c r="O296" s="86"/>
      <c r="P296" s="34"/>
    </row>
    <row r="297" spans="2:16" x14ac:dyDescent="0.35">
      <c r="B297" s="3"/>
      <c r="C297" s="3"/>
      <c r="D297" s="2"/>
      <c r="E297" s="2"/>
      <c r="F297" s="2"/>
      <c r="G297" s="2"/>
      <c r="H297" s="2"/>
      <c r="I297" s="2"/>
      <c r="J297" s="2"/>
      <c r="K297" s="86"/>
      <c r="L297" s="34"/>
      <c r="M297" s="86"/>
      <c r="N297" s="34"/>
      <c r="O297" s="86"/>
      <c r="P297" s="34"/>
    </row>
    <row r="298" spans="2:16" x14ac:dyDescent="0.35">
      <c r="B298" s="3"/>
      <c r="C298" s="3"/>
      <c r="D298" s="2"/>
      <c r="E298" s="2"/>
      <c r="F298" s="2"/>
      <c r="G298" s="2"/>
      <c r="H298" s="2"/>
      <c r="I298" s="2"/>
      <c r="J298" s="2"/>
      <c r="K298" s="86"/>
      <c r="L298" s="34"/>
      <c r="M298" s="86"/>
      <c r="N298" s="34"/>
      <c r="O298" s="86"/>
      <c r="P298" s="34"/>
    </row>
    <row r="299" spans="2:16" x14ac:dyDescent="0.35">
      <c r="B299" s="3"/>
      <c r="C299" s="3"/>
      <c r="D299" s="2"/>
      <c r="E299" s="2"/>
      <c r="F299" s="2"/>
      <c r="G299" s="2"/>
      <c r="H299" s="2"/>
      <c r="I299" s="2"/>
      <c r="J299" s="2"/>
      <c r="K299" s="86"/>
      <c r="L299" s="34"/>
      <c r="M299" s="86"/>
      <c r="N299" s="34"/>
      <c r="O299" s="86"/>
      <c r="P299" s="34"/>
    </row>
    <row r="300" spans="2:16" x14ac:dyDescent="0.35">
      <c r="B300" s="3"/>
      <c r="C300" s="3"/>
      <c r="D300" s="2"/>
      <c r="E300" s="2"/>
      <c r="F300" s="2"/>
      <c r="G300" s="2"/>
      <c r="H300" s="2"/>
      <c r="I300" s="2"/>
      <c r="J300" s="2"/>
      <c r="K300" s="86"/>
      <c r="L300" s="34"/>
      <c r="M300" s="86"/>
      <c r="N300" s="34"/>
      <c r="O300" s="86"/>
      <c r="P300" s="34"/>
    </row>
    <row r="301" spans="2:16" x14ac:dyDescent="0.35">
      <c r="B301" s="3"/>
      <c r="C301" s="3"/>
      <c r="D301" s="2"/>
      <c r="E301" s="2"/>
      <c r="F301" s="2"/>
      <c r="G301" s="2"/>
      <c r="H301" s="2"/>
      <c r="I301" s="2"/>
      <c r="J301" s="2"/>
      <c r="K301" s="86"/>
      <c r="L301" s="34"/>
      <c r="M301" s="86"/>
      <c r="N301" s="34"/>
      <c r="O301" s="86"/>
      <c r="P301" s="34"/>
    </row>
    <row r="302" spans="2:16" x14ac:dyDescent="0.35">
      <c r="B302" s="3"/>
      <c r="C302" s="3"/>
      <c r="D302" s="2"/>
      <c r="E302" s="2"/>
      <c r="F302" s="2"/>
      <c r="G302" s="2"/>
      <c r="H302" s="2"/>
      <c r="I302" s="2"/>
      <c r="J302" s="2"/>
      <c r="K302" s="86"/>
      <c r="L302" s="34"/>
      <c r="M302" s="86"/>
      <c r="N302" s="34"/>
      <c r="O302" s="86"/>
      <c r="P302" s="34"/>
    </row>
    <row r="303" spans="2:16" x14ac:dyDescent="0.35">
      <c r="B303" s="3"/>
      <c r="C303" s="3"/>
      <c r="D303" s="2"/>
      <c r="E303" s="2"/>
      <c r="F303" s="2"/>
      <c r="G303" s="2"/>
      <c r="H303" s="2"/>
      <c r="I303" s="2"/>
      <c r="J303" s="2"/>
      <c r="K303" s="86"/>
      <c r="L303" s="34"/>
      <c r="M303" s="86"/>
      <c r="N303" s="34"/>
      <c r="O303" s="86"/>
      <c r="P303" s="34"/>
    </row>
    <row r="304" spans="2:16" x14ac:dyDescent="0.35">
      <c r="B304" s="3"/>
      <c r="C304" s="3"/>
      <c r="D304" s="2"/>
      <c r="E304" s="2"/>
      <c r="F304" s="2"/>
      <c r="G304" s="2"/>
      <c r="H304" s="2"/>
      <c r="I304" s="2"/>
      <c r="J304" s="2"/>
      <c r="K304" s="86"/>
      <c r="L304" s="34"/>
      <c r="M304" s="86"/>
      <c r="N304" s="34"/>
      <c r="O304" s="86"/>
      <c r="P304" s="34"/>
    </row>
    <row r="305" spans="2:16" x14ac:dyDescent="0.35">
      <c r="B305" s="3"/>
      <c r="C305" s="3"/>
      <c r="D305" s="2"/>
      <c r="E305" s="2"/>
      <c r="F305" s="2"/>
      <c r="G305" s="2"/>
      <c r="H305" s="2"/>
      <c r="I305" s="2"/>
      <c r="J305" s="2"/>
      <c r="K305" s="86"/>
      <c r="L305" s="34"/>
      <c r="M305" s="86"/>
      <c r="N305" s="34"/>
      <c r="O305" s="86"/>
      <c r="P305" s="34"/>
    </row>
    <row r="306" spans="2:16" x14ac:dyDescent="0.35">
      <c r="B306" s="3"/>
      <c r="C306" s="3"/>
      <c r="D306" s="2"/>
      <c r="E306" s="2"/>
      <c r="F306" s="2"/>
      <c r="G306" s="2"/>
      <c r="H306" s="2"/>
      <c r="I306" s="2"/>
      <c r="J306" s="2"/>
      <c r="K306" s="86"/>
      <c r="L306" s="34"/>
      <c r="M306" s="86"/>
      <c r="N306" s="34"/>
      <c r="O306" s="86"/>
      <c r="P306" s="34"/>
    </row>
    <row r="307" spans="2:16" x14ac:dyDescent="0.35">
      <c r="B307" s="3"/>
      <c r="C307" s="3"/>
      <c r="D307" s="2"/>
      <c r="E307" s="2"/>
      <c r="F307" s="2"/>
      <c r="G307" s="2"/>
      <c r="H307" s="2"/>
      <c r="I307" s="2"/>
      <c r="J307" s="2"/>
      <c r="K307" s="86"/>
      <c r="L307" s="34"/>
      <c r="M307" s="86"/>
      <c r="N307" s="34"/>
      <c r="O307" s="86"/>
      <c r="P307" s="34"/>
    </row>
    <row r="308" spans="2:16" x14ac:dyDescent="0.35">
      <c r="B308" s="3"/>
      <c r="C308" s="3"/>
      <c r="D308" s="2"/>
      <c r="E308" s="2"/>
      <c r="F308" s="2"/>
      <c r="G308" s="2"/>
      <c r="H308" s="2"/>
      <c r="I308" s="2"/>
      <c r="J308" s="2"/>
      <c r="K308" s="86"/>
      <c r="L308" s="34"/>
      <c r="M308" s="86"/>
      <c r="N308" s="34"/>
      <c r="O308" s="86"/>
      <c r="P308" s="34"/>
    </row>
    <row r="309" spans="2:16" x14ac:dyDescent="0.35">
      <c r="B309" s="3"/>
      <c r="C309" s="3"/>
      <c r="D309" s="2"/>
      <c r="E309" s="2"/>
      <c r="F309" s="2"/>
      <c r="G309" s="2"/>
      <c r="H309" s="2"/>
      <c r="I309" s="2"/>
      <c r="J309" s="2"/>
      <c r="K309" s="86"/>
      <c r="L309" s="34"/>
      <c r="M309" s="86"/>
      <c r="N309" s="34"/>
      <c r="O309" s="86"/>
      <c r="P309" s="34"/>
    </row>
    <row r="310" spans="2:16" x14ac:dyDescent="0.35">
      <c r="B310" s="3"/>
      <c r="C310" s="3"/>
      <c r="D310" s="2"/>
      <c r="E310" s="2"/>
      <c r="F310" s="2"/>
      <c r="G310" s="2"/>
      <c r="H310" s="2"/>
      <c r="I310" s="2"/>
      <c r="J310" s="2"/>
      <c r="K310" s="86"/>
      <c r="L310" s="34"/>
      <c r="M310" s="86"/>
      <c r="N310" s="34"/>
      <c r="O310" s="86"/>
      <c r="P310" s="34"/>
    </row>
    <row r="311" spans="2:16" x14ac:dyDescent="0.35">
      <c r="B311" s="3"/>
      <c r="C311" s="3"/>
      <c r="D311" s="2"/>
      <c r="E311" s="2"/>
      <c r="F311" s="2"/>
      <c r="G311" s="2"/>
      <c r="H311" s="2"/>
      <c r="I311" s="2"/>
      <c r="J311" s="2"/>
      <c r="K311" s="86"/>
      <c r="L311" s="34"/>
      <c r="M311" s="86"/>
      <c r="N311" s="34"/>
      <c r="O311" s="86"/>
      <c r="P311" s="34"/>
    </row>
    <row r="312" spans="2:16" x14ac:dyDescent="0.35">
      <c r="B312" s="3"/>
      <c r="C312" s="3"/>
      <c r="D312" s="2"/>
      <c r="E312" s="2"/>
      <c r="F312" s="2"/>
      <c r="G312" s="2"/>
      <c r="H312" s="2"/>
      <c r="I312" s="2"/>
      <c r="J312" s="2"/>
      <c r="K312" s="86"/>
      <c r="L312" s="34"/>
      <c r="M312" s="86"/>
      <c r="N312" s="34"/>
      <c r="O312" s="86"/>
      <c r="P312" s="34"/>
    </row>
    <row r="313" spans="2:16" x14ac:dyDescent="0.35">
      <c r="B313" s="3"/>
      <c r="C313" s="3"/>
      <c r="D313" s="2"/>
      <c r="E313" s="2"/>
      <c r="F313" s="2"/>
      <c r="G313" s="2"/>
      <c r="H313" s="2"/>
      <c r="I313" s="2"/>
      <c r="J313" s="2"/>
      <c r="K313" s="86"/>
      <c r="L313" s="34"/>
      <c r="M313" s="86"/>
      <c r="N313" s="34"/>
      <c r="O313" s="86"/>
      <c r="P313" s="34"/>
    </row>
    <row r="314" spans="2:16" x14ac:dyDescent="0.35">
      <c r="B314" s="3"/>
      <c r="C314" s="3"/>
      <c r="D314" s="2"/>
      <c r="E314" s="2"/>
      <c r="F314" s="2"/>
      <c r="G314" s="2"/>
      <c r="H314" s="2"/>
      <c r="I314" s="2"/>
      <c r="J314" s="2"/>
      <c r="K314" s="86"/>
      <c r="L314" s="34"/>
      <c r="M314" s="86"/>
      <c r="N314" s="34"/>
      <c r="O314" s="86"/>
      <c r="P314" s="34"/>
    </row>
    <row r="315" spans="2:16" x14ac:dyDescent="0.35">
      <c r="B315" s="3"/>
      <c r="C315" s="3"/>
      <c r="D315" s="2"/>
      <c r="E315" s="2"/>
      <c r="F315" s="2"/>
      <c r="G315" s="2"/>
      <c r="H315" s="2"/>
      <c r="I315" s="2"/>
      <c r="J315" s="2"/>
      <c r="K315" s="86"/>
      <c r="L315" s="34"/>
      <c r="M315" s="86"/>
      <c r="N315" s="34"/>
      <c r="O315" s="86"/>
      <c r="P315" s="34"/>
    </row>
    <row r="316" spans="2:16" x14ac:dyDescent="0.35">
      <c r="B316" s="3"/>
      <c r="C316" s="3"/>
      <c r="D316" s="2"/>
      <c r="E316" s="2"/>
      <c r="F316" s="2"/>
      <c r="G316" s="2"/>
      <c r="H316" s="2"/>
      <c r="I316" s="2"/>
      <c r="J316" s="2"/>
      <c r="K316" s="86"/>
      <c r="L316" s="34"/>
      <c r="M316" s="86"/>
      <c r="N316" s="34"/>
      <c r="O316" s="86"/>
      <c r="P316" s="34"/>
    </row>
    <row r="317" spans="2:16" x14ac:dyDescent="0.35">
      <c r="B317" s="3"/>
      <c r="C317" s="3"/>
      <c r="D317" s="2"/>
      <c r="E317" s="2"/>
      <c r="F317" s="2"/>
      <c r="G317" s="2"/>
      <c r="H317" s="2"/>
      <c r="I317" s="2"/>
      <c r="J317" s="2"/>
      <c r="K317" s="86"/>
      <c r="L317" s="34"/>
      <c r="M317" s="86"/>
      <c r="N317" s="34"/>
      <c r="O317" s="86"/>
      <c r="P317" s="34"/>
    </row>
    <row r="318" spans="2:16" x14ac:dyDescent="0.35">
      <c r="B318" s="3"/>
      <c r="C318" s="3"/>
      <c r="D318" s="2"/>
      <c r="E318" s="2"/>
      <c r="F318" s="2"/>
      <c r="G318" s="2"/>
      <c r="H318" s="2"/>
      <c r="I318" s="2"/>
      <c r="J318" s="2"/>
      <c r="K318" s="86"/>
      <c r="L318" s="34"/>
      <c r="M318" s="86"/>
      <c r="N318" s="34"/>
      <c r="O318" s="86"/>
      <c r="P318" s="34"/>
    </row>
    <row r="319" spans="2:16" x14ac:dyDescent="0.35">
      <c r="B319" s="3"/>
      <c r="C319" s="3"/>
      <c r="D319" s="2"/>
      <c r="E319" s="2"/>
      <c r="F319" s="2"/>
      <c r="G319" s="2"/>
      <c r="H319" s="2"/>
      <c r="I319" s="2"/>
      <c r="J319" s="2"/>
      <c r="K319" s="86"/>
      <c r="L319" s="34"/>
      <c r="M319" s="86"/>
      <c r="N319" s="34"/>
      <c r="O319" s="86"/>
      <c r="P319" s="34"/>
    </row>
    <row r="320" spans="2:16" x14ac:dyDescent="0.35">
      <c r="B320" s="3"/>
      <c r="C320" s="3"/>
      <c r="D320" s="2"/>
      <c r="E320" s="2"/>
      <c r="F320" s="2"/>
      <c r="G320" s="2"/>
      <c r="H320" s="2"/>
      <c r="I320" s="2"/>
      <c r="J320" s="2"/>
      <c r="K320" s="86"/>
      <c r="L320" s="34"/>
      <c r="M320" s="86"/>
      <c r="N320" s="34"/>
      <c r="O320" s="86"/>
      <c r="P320" s="34"/>
    </row>
    <row r="321" spans="2:16" x14ac:dyDescent="0.35">
      <c r="B321" s="3"/>
      <c r="C321" s="3"/>
      <c r="D321" s="2"/>
      <c r="E321" s="2"/>
      <c r="F321" s="2"/>
      <c r="G321" s="2"/>
      <c r="H321" s="2"/>
      <c r="I321" s="2"/>
      <c r="J321" s="2"/>
      <c r="K321" s="86"/>
      <c r="L321" s="34"/>
      <c r="M321" s="86"/>
      <c r="N321" s="34"/>
      <c r="O321" s="86"/>
      <c r="P321" s="34"/>
    </row>
    <row r="322" spans="2:16" x14ac:dyDescent="0.35">
      <c r="B322" s="3"/>
      <c r="C322" s="3"/>
      <c r="D322" s="2"/>
      <c r="E322" s="2"/>
      <c r="F322" s="2"/>
      <c r="G322" s="2"/>
      <c r="H322" s="2"/>
      <c r="I322" s="2"/>
      <c r="J322" s="2"/>
      <c r="K322" s="86"/>
      <c r="L322" s="34"/>
      <c r="M322" s="86"/>
      <c r="N322" s="34"/>
      <c r="O322" s="86"/>
      <c r="P322" s="34"/>
    </row>
    <row r="323" spans="2:16" x14ac:dyDescent="0.35">
      <c r="B323" s="3"/>
      <c r="C323" s="3"/>
      <c r="D323" s="2"/>
      <c r="E323" s="2"/>
      <c r="F323" s="2"/>
      <c r="G323" s="2"/>
      <c r="H323" s="2"/>
      <c r="I323" s="2"/>
      <c r="J323" s="2"/>
      <c r="K323" s="86"/>
      <c r="L323" s="34"/>
      <c r="M323" s="86"/>
      <c r="N323" s="34"/>
      <c r="O323" s="86"/>
      <c r="P323" s="34"/>
    </row>
    <row r="324" spans="2:16" x14ac:dyDescent="0.35">
      <c r="B324" s="3"/>
      <c r="C324" s="3"/>
      <c r="D324" s="2"/>
      <c r="E324" s="2"/>
      <c r="F324" s="2"/>
      <c r="G324" s="2"/>
      <c r="H324" s="2"/>
      <c r="I324" s="2"/>
      <c r="J324" s="2"/>
      <c r="K324" s="86"/>
      <c r="L324" s="34"/>
      <c r="M324" s="86"/>
      <c r="N324" s="34"/>
      <c r="O324" s="86"/>
      <c r="P324" s="34"/>
    </row>
    <row r="325" spans="2:16" x14ac:dyDescent="0.35">
      <c r="B325" s="3"/>
      <c r="C325" s="3"/>
      <c r="D325" s="2"/>
      <c r="E325" s="2"/>
      <c r="F325" s="2"/>
      <c r="G325" s="2"/>
      <c r="H325" s="2"/>
      <c r="I325" s="2"/>
      <c r="J325" s="2"/>
      <c r="K325" s="86"/>
      <c r="L325" s="34"/>
      <c r="M325" s="86"/>
      <c r="N325" s="34"/>
      <c r="O325" s="86"/>
      <c r="P325" s="34"/>
    </row>
    <row r="326" spans="2:16" x14ac:dyDescent="0.35">
      <c r="B326" s="3"/>
      <c r="C326" s="3"/>
      <c r="D326" s="2"/>
      <c r="E326" s="2"/>
      <c r="F326" s="2"/>
      <c r="G326" s="2"/>
      <c r="H326" s="2"/>
      <c r="I326" s="2"/>
      <c r="J326" s="2"/>
      <c r="K326" s="86"/>
      <c r="L326" s="34"/>
      <c r="M326" s="86"/>
      <c r="N326" s="34"/>
      <c r="O326" s="86"/>
      <c r="P326" s="34"/>
    </row>
    <row r="327" spans="2:16" x14ac:dyDescent="0.35">
      <c r="B327" s="3"/>
      <c r="C327" s="3"/>
      <c r="D327" s="2"/>
      <c r="E327" s="2"/>
      <c r="F327" s="2"/>
      <c r="G327" s="2"/>
      <c r="H327" s="2"/>
      <c r="I327" s="2"/>
      <c r="J327" s="2"/>
      <c r="K327" s="86"/>
      <c r="L327" s="34"/>
      <c r="M327" s="86"/>
      <c r="N327" s="34"/>
      <c r="O327" s="86"/>
      <c r="P327" s="34"/>
    </row>
    <row r="328" spans="2:16" x14ac:dyDescent="0.35">
      <c r="B328" s="3"/>
      <c r="C328" s="3"/>
      <c r="D328" s="2"/>
      <c r="E328" s="2"/>
      <c r="F328" s="2"/>
      <c r="G328" s="2"/>
      <c r="H328" s="2"/>
      <c r="I328" s="2"/>
      <c r="J328" s="2"/>
      <c r="K328" s="86"/>
      <c r="L328" s="34"/>
      <c r="M328" s="86"/>
      <c r="N328" s="34"/>
      <c r="O328" s="86"/>
      <c r="P328" s="34"/>
    </row>
    <row r="329" spans="2:16" x14ac:dyDescent="0.35">
      <c r="B329" s="3"/>
      <c r="C329" s="3"/>
      <c r="D329" s="2"/>
      <c r="E329" s="2"/>
      <c r="F329" s="2"/>
      <c r="G329" s="2"/>
      <c r="H329" s="2"/>
      <c r="I329" s="2"/>
      <c r="J329" s="2"/>
      <c r="K329" s="86"/>
      <c r="L329" s="34"/>
      <c r="M329" s="86"/>
      <c r="N329" s="34"/>
      <c r="O329" s="86"/>
      <c r="P329" s="34"/>
    </row>
    <row r="330" spans="2:16" x14ac:dyDescent="0.35">
      <c r="B330" s="3"/>
      <c r="C330" s="3"/>
      <c r="D330" s="2"/>
      <c r="E330" s="2"/>
      <c r="F330" s="2"/>
      <c r="G330" s="2"/>
      <c r="H330" s="2"/>
      <c r="I330" s="2"/>
      <c r="J330" s="2"/>
      <c r="K330" s="86"/>
      <c r="L330" s="34"/>
      <c r="M330" s="86"/>
      <c r="N330" s="34"/>
      <c r="O330" s="86"/>
      <c r="P330" s="34"/>
    </row>
    <row r="331" spans="2:16" x14ac:dyDescent="0.35">
      <c r="B331" s="3"/>
      <c r="C331" s="3"/>
      <c r="D331" s="2"/>
      <c r="E331" s="2"/>
      <c r="F331" s="2"/>
      <c r="G331" s="2"/>
      <c r="H331" s="2"/>
      <c r="I331" s="2"/>
      <c r="J331" s="2"/>
      <c r="K331" s="86"/>
      <c r="L331" s="34"/>
      <c r="M331" s="86"/>
      <c r="N331" s="34"/>
      <c r="O331" s="86"/>
      <c r="P331" s="34"/>
    </row>
    <row r="332" spans="2:16" x14ac:dyDescent="0.35">
      <c r="B332" s="3"/>
      <c r="C332" s="3"/>
      <c r="D332" s="2"/>
      <c r="E332" s="2"/>
      <c r="F332" s="2"/>
      <c r="G332" s="2"/>
      <c r="H332" s="2"/>
      <c r="I332" s="2"/>
      <c r="J332" s="2"/>
      <c r="K332" s="86"/>
      <c r="L332" s="34"/>
      <c r="M332" s="86"/>
      <c r="N332" s="34"/>
      <c r="O332" s="86"/>
      <c r="P332" s="34"/>
    </row>
    <row r="333" spans="2:16" x14ac:dyDescent="0.35">
      <c r="B333" s="3"/>
      <c r="C333" s="3"/>
      <c r="D333" s="2"/>
      <c r="E333" s="2"/>
      <c r="F333" s="2"/>
      <c r="G333" s="2"/>
      <c r="H333" s="2"/>
      <c r="I333" s="2"/>
      <c r="J333" s="2"/>
      <c r="K333" s="86"/>
      <c r="L333" s="34"/>
      <c r="M333" s="86"/>
      <c r="N333" s="34"/>
      <c r="O333" s="86"/>
      <c r="P333" s="34"/>
    </row>
    <row r="334" spans="2:16" x14ac:dyDescent="0.35">
      <c r="B334" s="3"/>
      <c r="C334" s="3"/>
      <c r="D334" s="2"/>
      <c r="E334" s="2"/>
      <c r="F334" s="2"/>
      <c r="G334" s="2"/>
      <c r="H334" s="2"/>
      <c r="I334" s="2"/>
      <c r="J334" s="2"/>
      <c r="K334" s="86"/>
      <c r="L334" s="34"/>
      <c r="M334" s="86"/>
      <c r="N334" s="34"/>
      <c r="O334" s="86"/>
      <c r="P334" s="34"/>
    </row>
    <row r="335" spans="2:16" x14ac:dyDescent="0.35">
      <c r="B335" s="3"/>
      <c r="C335" s="3"/>
      <c r="D335" s="2"/>
      <c r="E335" s="2"/>
      <c r="F335" s="2"/>
      <c r="G335" s="2"/>
      <c r="H335" s="2"/>
      <c r="I335" s="2"/>
      <c r="J335" s="2"/>
      <c r="K335" s="86"/>
      <c r="L335" s="34"/>
      <c r="M335" s="86"/>
      <c r="N335" s="34"/>
      <c r="O335" s="86"/>
      <c r="P335" s="34"/>
    </row>
    <row r="336" spans="2:16" x14ac:dyDescent="0.35">
      <c r="B336" s="3"/>
      <c r="C336" s="3"/>
      <c r="D336" s="2"/>
      <c r="E336" s="2"/>
      <c r="F336" s="2"/>
      <c r="G336" s="2"/>
      <c r="H336" s="2"/>
      <c r="I336" s="2"/>
      <c r="J336" s="2"/>
      <c r="K336" s="86"/>
      <c r="L336" s="34"/>
      <c r="M336" s="86"/>
      <c r="N336" s="34"/>
      <c r="O336" s="86"/>
      <c r="P336" s="34"/>
    </row>
    <row r="337" spans="2:16" x14ac:dyDescent="0.35">
      <c r="B337" s="3"/>
      <c r="C337" s="3"/>
      <c r="D337" s="2"/>
      <c r="E337" s="2"/>
      <c r="F337" s="2"/>
      <c r="G337" s="2"/>
      <c r="H337" s="2"/>
      <c r="I337" s="2"/>
      <c r="J337" s="2"/>
      <c r="K337" s="86"/>
      <c r="L337" s="34"/>
      <c r="M337" s="86"/>
      <c r="N337" s="34"/>
      <c r="O337" s="86"/>
      <c r="P337" s="34"/>
    </row>
    <row r="338" spans="2:16" x14ac:dyDescent="0.35">
      <c r="B338" s="3"/>
      <c r="C338" s="3"/>
      <c r="D338" s="2"/>
      <c r="E338" s="2"/>
      <c r="F338" s="2"/>
      <c r="G338" s="2"/>
      <c r="H338" s="2"/>
      <c r="I338" s="2"/>
      <c r="J338" s="2"/>
      <c r="K338" s="86"/>
      <c r="L338" s="34"/>
      <c r="M338" s="86"/>
      <c r="N338" s="34"/>
      <c r="O338" s="86"/>
      <c r="P338" s="34"/>
    </row>
    <row r="339" spans="2:16" x14ac:dyDescent="0.35">
      <c r="B339" s="3"/>
      <c r="C339" s="3"/>
      <c r="D339" s="2"/>
      <c r="E339" s="2"/>
      <c r="F339" s="2"/>
      <c r="G339" s="2"/>
      <c r="H339" s="2"/>
      <c r="I339" s="2"/>
      <c r="J339" s="2"/>
      <c r="K339" s="86"/>
      <c r="L339" s="34"/>
      <c r="M339" s="86"/>
      <c r="N339" s="34"/>
      <c r="O339" s="86"/>
      <c r="P339" s="34"/>
    </row>
    <row r="340" spans="2:16" x14ac:dyDescent="0.35">
      <c r="B340" s="3"/>
      <c r="C340" s="3"/>
      <c r="D340" s="2"/>
      <c r="E340" s="2"/>
      <c r="F340" s="2"/>
      <c r="G340" s="2"/>
      <c r="H340" s="2"/>
      <c r="I340" s="2"/>
      <c r="J340" s="2"/>
      <c r="K340" s="86"/>
      <c r="L340" s="34"/>
      <c r="M340" s="86"/>
      <c r="N340" s="34"/>
      <c r="O340" s="86"/>
      <c r="P340" s="34"/>
    </row>
    <row r="341" spans="2:16" x14ac:dyDescent="0.35">
      <c r="B341" s="3"/>
      <c r="C341" s="3"/>
      <c r="D341" s="2"/>
      <c r="E341" s="2"/>
      <c r="F341" s="2"/>
      <c r="G341" s="2"/>
      <c r="H341" s="2"/>
      <c r="I341" s="2"/>
      <c r="J341" s="2"/>
      <c r="K341" s="86"/>
      <c r="L341" s="34"/>
      <c r="M341" s="86"/>
      <c r="N341" s="34"/>
      <c r="O341" s="86"/>
      <c r="P341" s="34"/>
    </row>
    <row r="342" spans="2:16" x14ac:dyDescent="0.35">
      <c r="B342" s="3"/>
      <c r="C342" s="3"/>
      <c r="D342" s="2"/>
      <c r="E342" s="2"/>
      <c r="F342" s="2"/>
      <c r="G342" s="2"/>
      <c r="H342" s="2"/>
      <c r="I342" s="2"/>
      <c r="J342" s="2"/>
      <c r="K342" s="86"/>
      <c r="L342" s="34"/>
      <c r="M342" s="86"/>
      <c r="N342" s="34"/>
      <c r="O342" s="86"/>
      <c r="P342" s="34"/>
    </row>
    <row r="343" spans="2:16" x14ac:dyDescent="0.35">
      <c r="B343" s="3"/>
      <c r="C343" s="3"/>
      <c r="D343" s="2"/>
      <c r="E343" s="2"/>
      <c r="F343" s="2"/>
      <c r="G343" s="2"/>
      <c r="H343" s="2"/>
      <c r="I343" s="2"/>
      <c r="J343" s="2"/>
      <c r="K343" s="86"/>
      <c r="L343" s="34"/>
      <c r="M343" s="86"/>
      <c r="N343" s="34"/>
      <c r="O343" s="86"/>
      <c r="P343" s="34"/>
    </row>
    <row r="344" spans="2:16" x14ac:dyDescent="0.35">
      <c r="B344" s="3"/>
      <c r="C344" s="3"/>
      <c r="D344" s="2"/>
      <c r="E344" s="2"/>
      <c r="F344" s="2"/>
      <c r="G344" s="2"/>
      <c r="H344" s="2"/>
      <c r="I344" s="2"/>
      <c r="J344" s="2"/>
      <c r="K344" s="86"/>
      <c r="L344" s="34"/>
      <c r="M344" s="86"/>
      <c r="N344" s="34"/>
      <c r="O344" s="86"/>
      <c r="P344" s="34"/>
    </row>
    <row r="345" spans="2:16" x14ac:dyDescent="0.35">
      <c r="B345" s="3"/>
      <c r="C345" s="3"/>
      <c r="D345" s="2"/>
      <c r="E345" s="2"/>
      <c r="F345" s="2"/>
      <c r="G345" s="2"/>
      <c r="H345" s="2"/>
      <c r="I345" s="2"/>
      <c r="J345" s="2"/>
      <c r="K345" s="86"/>
      <c r="L345" s="34"/>
      <c r="M345" s="86"/>
      <c r="N345" s="34"/>
      <c r="O345" s="86"/>
      <c r="P345" s="34"/>
    </row>
    <row r="346" spans="2:16" x14ac:dyDescent="0.35">
      <c r="B346" s="3"/>
      <c r="C346" s="3"/>
      <c r="D346" s="2"/>
      <c r="E346" s="2"/>
      <c r="F346" s="2"/>
      <c r="G346" s="2"/>
      <c r="H346" s="2"/>
      <c r="I346" s="2"/>
      <c r="J346" s="2"/>
      <c r="K346" s="86"/>
      <c r="L346" s="34"/>
      <c r="M346" s="86"/>
      <c r="N346" s="34"/>
      <c r="O346" s="86"/>
      <c r="P346" s="34"/>
    </row>
    <row r="347" spans="2:16" x14ac:dyDescent="0.35">
      <c r="B347" s="3"/>
      <c r="C347" s="3"/>
      <c r="D347" s="2"/>
      <c r="E347" s="2"/>
      <c r="F347" s="2"/>
      <c r="G347" s="2"/>
      <c r="H347" s="2"/>
      <c r="I347" s="2"/>
      <c r="J347" s="2"/>
      <c r="K347" s="86"/>
      <c r="L347" s="34"/>
      <c r="M347" s="86"/>
      <c r="N347" s="34"/>
      <c r="O347" s="86"/>
      <c r="P347" s="34"/>
    </row>
    <row r="348" spans="2:16" x14ac:dyDescent="0.35">
      <c r="B348" s="3"/>
      <c r="C348" s="3"/>
      <c r="D348" s="2"/>
      <c r="E348" s="2"/>
      <c r="F348" s="2"/>
      <c r="G348" s="2"/>
      <c r="H348" s="2"/>
      <c r="I348" s="2"/>
      <c r="J348" s="2"/>
      <c r="K348" s="86"/>
      <c r="L348" s="34"/>
      <c r="M348" s="86"/>
      <c r="N348" s="34"/>
      <c r="O348" s="86"/>
      <c r="P348" s="34"/>
    </row>
    <row r="349" spans="2:16" x14ac:dyDescent="0.35">
      <c r="B349" s="3"/>
      <c r="C349" s="3"/>
      <c r="D349" s="2"/>
      <c r="E349" s="2"/>
      <c r="F349" s="2"/>
      <c r="G349" s="2"/>
      <c r="H349" s="2"/>
      <c r="I349" s="2"/>
      <c r="J349" s="2"/>
      <c r="K349" s="86"/>
      <c r="L349" s="34"/>
      <c r="M349" s="86"/>
      <c r="N349" s="34"/>
      <c r="O349" s="86"/>
      <c r="P349" s="34"/>
    </row>
    <row r="350" spans="2:16" x14ac:dyDescent="0.35">
      <c r="B350" s="3"/>
      <c r="C350" s="3"/>
      <c r="D350" s="2"/>
      <c r="E350" s="2"/>
      <c r="F350" s="2"/>
      <c r="G350" s="2"/>
      <c r="H350" s="2"/>
      <c r="I350" s="2"/>
      <c r="J350" s="2"/>
      <c r="K350" s="86"/>
      <c r="L350" s="34"/>
      <c r="M350" s="86"/>
      <c r="N350" s="34"/>
      <c r="O350" s="86"/>
      <c r="P350" s="34"/>
    </row>
    <row r="351" spans="2:16" x14ac:dyDescent="0.35">
      <c r="B351" s="3"/>
      <c r="C351" s="3"/>
      <c r="D351" s="2"/>
      <c r="E351" s="2"/>
      <c r="F351" s="2"/>
      <c r="G351" s="2"/>
      <c r="H351" s="2"/>
      <c r="I351" s="2"/>
      <c r="J351" s="2"/>
      <c r="K351" s="86"/>
      <c r="L351" s="34"/>
      <c r="M351" s="86"/>
      <c r="N351" s="34"/>
      <c r="O351" s="86"/>
      <c r="P351" s="34"/>
    </row>
    <row r="352" spans="2:16" x14ac:dyDescent="0.35">
      <c r="B352" s="3"/>
      <c r="C352" s="3"/>
      <c r="D352" s="2"/>
      <c r="E352" s="2"/>
      <c r="F352" s="2"/>
      <c r="G352" s="2"/>
      <c r="H352" s="2"/>
      <c r="I352" s="2"/>
      <c r="J352" s="2"/>
      <c r="K352" s="86"/>
      <c r="L352" s="34"/>
      <c r="M352" s="86"/>
      <c r="N352" s="34"/>
      <c r="O352" s="86"/>
      <c r="P352" s="34"/>
    </row>
    <row r="353" spans="2:16" x14ac:dyDescent="0.35">
      <c r="B353" s="3"/>
      <c r="C353" s="3"/>
      <c r="D353" s="2"/>
      <c r="E353" s="2"/>
      <c r="F353" s="2"/>
      <c r="G353" s="2"/>
      <c r="H353" s="2"/>
      <c r="I353" s="2"/>
      <c r="J353" s="2"/>
      <c r="K353" s="86"/>
      <c r="L353" s="34"/>
      <c r="M353" s="86"/>
      <c r="N353" s="34"/>
      <c r="O353" s="86"/>
      <c r="P353" s="34"/>
    </row>
    <row r="354" spans="2:16" x14ac:dyDescent="0.35">
      <c r="B354" s="3"/>
      <c r="C354" s="3"/>
      <c r="D354" s="2"/>
      <c r="E354" s="2"/>
      <c r="F354" s="2"/>
      <c r="G354" s="2"/>
      <c r="H354" s="2"/>
      <c r="I354" s="2"/>
      <c r="J354" s="2"/>
      <c r="K354" s="86"/>
      <c r="L354" s="34"/>
      <c r="M354" s="86"/>
      <c r="N354" s="34"/>
      <c r="O354" s="86"/>
      <c r="P354" s="34"/>
    </row>
    <row r="355" spans="2:16" x14ac:dyDescent="0.35">
      <c r="B355" s="3"/>
      <c r="C355" s="3"/>
      <c r="D355" s="2"/>
      <c r="E355" s="2"/>
      <c r="F355" s="2"/>
      <c r="G355" s="2"/>
      <c r="H355" s="2"/>
      <c r="I355" s="2"/>
      <c r="J355" s="2"/>
      <c r="K355" s="86"/>
      <c r="L355" s="34"/>
      <c r="M355" s="86"/>
      <c r="N355" s="34"/>
      <c r="O355" s="86"/>
      <c r="P355" s="34"/>
    </row>
    <row r="356" spans="2:16" x14ac:dyDescent="0.35">
      <c r="B356" s="3"/>
      <c r="C356" s="3"/>
      <c r="D356" s="2"/>
      <c r="E356" s="2"/>
      <c r="F356" s="2"/>
      <c r="G356" s="2"/>
      <c r="H356" s="2"/>
      <c r="I356" s="2"/>
      <c r="J356" s="2"/>
      <c r="K356" s="86"/>
      <c r="L356" s="34"/>
      <c r="M356" s="86"/>
      <c r="N356" s="34"/>
      <c r="O356" s="86"/>
      <c r="P356" s="34"/>
    </row>
  </sheetData>
  <sheetProtection sheet="1" selectLockedCells="1"/>
  <protectedRanges>
    <protectedRange sqref="B4 B6:B25 C27 B32 C55 B60 C83 C153 B62:B81 B151 D151:I151 B88 C111 B90:B109 B116 C139 B118:B137 B34:B53 C157 B155 D155:I155 D6:I25 D34:I53 D62:I81 D90:I109 D118:I137" name="Tavle 1"/>
  </protectedRanges>
  <mergeCells count="214">
    <mergeCell ref="BD60:BE61"/>
    <mergeCell ref="BF60:BG61"/>
    <mergeCell ref="BF4:BG5"/>
    <mergeCell ref="Q32:T33"/>
    <mergeCell ref="AZ32:BA33"/>
    <mergeCell ref="BB32:BC33"/>
    <mergeCell ref="BD32:BE33"/>
    <mergeCell ref="BF32:BG33"/>
    <mergeCell ref="AZ4:BA5"/>
    <mergeCell ref="BB4:BC5"/>
    <mergeCell ref="BD4:BE5"/>
    <mergeCell ref="X16:Y16"/>
    <mergeCell ref="X17:Y17"/>
    <mergeCell ref="X18:Y18"/>
    <mergeCell ref="X20:X21"/>
    <mergeCell ref="Y20:AA20"/>
    <mergeCell ref="X5:Y5"/>
    <mergeCell ref="X6:Y6"/>
    <mergeCell ref="X7:Y7"/>
    <mergeCell ref="X8:Y8"/>
    <mergeCell ref="Q60:T61"/>
    <mergeCell ref="AD20:AD21"/>
    <mergeCell ref="AE20:AG20"/>
    <mergeCell ref="AH20:AI21"/>
    <mergeCell ref="M4:N5"/>
    <mergeCell ref="O4:P5"/>
    <mergeCell ref="K32:L33"/>
    <mergeCell ref="M32:N33"/>
    <mergeCell ref="O32:P33"/>
    <mergeCell ref="M31:N31"/>
    <mergeCell ref="O31:P31"/>
    <mergeCell ref="B86:C87"/>
    <mergeCell ref="BB60:BC61"/>
    <mergeCell ref="AZ60:BA61"/>
    <mergeCell ref="Y10:AA10"/>
    <mergeCell ref="Y11:AA11"/>
    <mergeCell ref="AB10:AC11"/>
    <mergeCell ref="AE10:AG10"/>
    <mergeCell ref="AE11:AG11"/>
    <mergeCell ref="AH10:AI11"/>
    <mergeCell ref="AD10:AD11"/>
    <mergeCell ref="AJ10:AJ11"/>
    <mergeCell ref="AK10:AK11"/>
    <mergeCell ref="X10:X11"/>
    <mergeCell ref="X15:Y15"/>
    <mergeCell ref="AK20:AK21"/>
    <mergeCell ref="Y21:AA21"/>
    <mergeCell ref="AE21:AG21"/>
    <mergeCell ref="B2:C3"/>
    <mergeCell ref="B30:C31"/>
    <mergeCell ref="B58:C59"/>
    <mergeCell ref="B142:C143"/>
    <mergeCell ref="K4:L5"/>
    <mergeCell ref="K60:L61"/>
    <mergeCell ref="K31:L31"/>
    <mergeCell ref="I26:J26"/>
    <mergeCell ref="I54:J54"/>
    <mergeCell ref="I82:J82"/>
    <mergeCell ref="G4:G5"/>
    <mergeCell ref="H4:H5"/>
    <mergeCell ref="G32:G33"/>
    <mergeCell ref="H32:H33"/>
    <mergeCell ref="G60:G61"/>
    <mergeCell ref="H60:H61"/>
    <mergeCell ref="G88:G89"/>
    <mergeCell ref="H88:H89"/>
    <mergeCell ref="G116:G117"/>
    <mergeCell ref="H116:H117"/>
    <mergeCell ref="B114:C115"/>
    <mergeCell ref="K116:L117"/>
    <mergeCell ref="X132:X133"/>
    <mergeCell ref="Y132:AA132"/>
    <mergeCell ref="AJ104:AJ105"/>
    <mergeCell ref="I152:J152"/>
    <mergeCell ref="K144:L145"/>
    <mergeCell ref="M144:N145"/>
    <mergeCell ref="O144:P145"/>
    <mergeCell ref="Q144:T145"/>
    <mergeCell ref="X119:Y119"/>
    <mergeCell ref="X120:Y120"/>
    <mergeCell ref="X122:X123"/>
    <mergeCell ref="Y122:AA122"/>
    <mergeCell ref="X117:Y117"/>
    <mergeCell ref="X118:Y118"/>
    <mergeCell ref="AB122:AC123"/>
    <mergeCell ref="AD122:AD123"/>
    <mergeCell ref="AE122:AG122"/>
    <mergeCell ref="AH122:AI123"/>
    <mergeCell ref="AJ122:AJ123"/>
    <mergeCell ref="I138:J138"/>
    <mergeCell ref="Y123:AA123"/>
    <mergeCell ref="AE123:AG123"/>
    <mergeCell ref="X127:Y127"/>
    <mergeCell ref="V132:V133"/>
    <mergeCell ref="AJ20:AJ21"/>
    <mergeCell ref="AK132:AK133"/>
    <mergeCell ref="Y133:AA133"/>
    <mergeCell ref="AE133:AG133"/>
    <mergeCell ref="X61:Y61"/>
    <mergeCell ref="X62:Y62"/>
    <mergeCell ref="AB132:AC133"/>
    <mergeCell ref="AD132:AD133"/>
    <mergeCell ref="AE132:AG132"/>
    <mergeCell ref="AH132:AI133"/>
    <mergeCell ref="AJ132:AJ133"/>
    <mergeCell ref="AD94:AD95"/>
    <mergeCell ref="AE94:AG94"/>
    <mergeCell ref="AH94:AI95"/>
    <mergeCell ref="AJ94:AJ95"/>
    <mergeCell ref="AK94:AK95"/>
    <mergeCell ref="AE95:AG95"/>
    <mergeCell ref="AD104:AD105"/>
    <mergeCell ref="AE104:AG104"/>
    <mergeCell ref="AH104:AI105"/>
    <mergeCell ref="X129:Y129"/>
    <mergeCell ref="AK122:AK123"/>
    <mergeCell ref="X128:Y128"/>
    <mergeCell ref="AB66:AC67"/>
    <mergeCell ref="AK76:AK77"/>
    <mergeCell ref="Y77:AA77"/>
    <mergeCell ref="AE77:AG77"/>
    <mergeCell ref="AK104:AK105"/>
    <mergeCell ref="AE105:AG105"/>
    <mergeCell ref="AB94:AC95"/>
    <mergeCell ref="X102:Y102"/>
    <mergeCell ref="AD76:AD77"/>
    <mergeCell ref="AE76:AG76"/>
    <mergeCell ref="AH76:AI77"/>
    <mergeCell ref="AJ76:AJ77"/>
    <mergeCell ref="AH48:AI49"/>
    <mergeCell ref="AJ48:AJ49"/>
    <mergeCell ref="X45:Y45"/>
    <mergeCell ref="X46:Y46"/>
    <mergeCell ref="X63:Y63"/>
    <mergeCell ref="X64:Y64"/>
    <mergeCell ref="X66:X67"/>
    <mergeCell ref="Y66:AA66"/>
    <mergeCell ref="AK66:AK67"/>
    <mergeCell ref="Y67:AA67"/>
    <mergeCell ref="AE67:AG67"/>
    <mergeCell ref="Y48:AA48"/>
    <mergeCell ref="AK48:AK49"/>
    <mergeCell ref="Y49:AA49"/>
    <mergeCell ref="AE49:AG49"/>
    <mergeCell ref="AB48:AC49"/>
    <mergeCell ref="AD48:AD49"/>
    <mergeCell ref="AE48:AG48"/>
    <mergeCell ref="AD66:AD67"/>
    <mergeCell ref="AE66:AG66"/>
    <mergeCell ref="AH66:AI67"/>
    <mergeCell ref="AJ66:AJ67"/>
    <mergeCell ref="AK38:AK39"/>
    <mergeCell ref="Y39:AA39"/>
    <mergeCell ref="AE39:AG39"/>
    <mergeCell ref="X43:Y43"/>
    <mergeCell ref="X44:Y44"/>
    <mergeCell ref="AB38:AC39"/>
    <mergeCell ref="AD38:AD39"/>
    <mergeCell ref="AE38:AG38"/>
    <mergeCell ref="AH38:AI39"/>
    <mergeCell ref="AJ38:AJ39"/>
    <mergeCell ref="X38:X39"/>
    <mergeCell ref="Y38:AA38"/>
    <mergeCell ref="M60:N61"/>
    <mergeCell ref="O60:P61"/>
    <mergeCell ref="Y105:AA105"/>
    <mergeCell ref="X89:Y89"/>
    <mergeCell ref="X90:Y90"/>
    <mergeCell ref="X91:Y91"/>
    <mergeCell ref="X92:Y92"/>
    <mergeCell ref="X94:X95"/>
    <mergeCell ref="Y94:AA94"/>
    <mergeCell ref="Y95:AA95"/>
    <mergeCell ref="X99:Y99"/>
    <mergeCell ref="X100:Y100"/>
    <mergeCell ref="X101:Y101"/>
    <mergeCell ref="X76:X77"/>
    <mergeCell ref="X73:Y73"/>
    <mergeCell ref="X74:Y74"/>
    <mergeCell ref="X71:Y71"/>
    <mergeCell ref="X72:Y72"/>
    <mergeCell ref="G144:G145"/>
    <mergeCell ref="H144:H145"/>
    <mergeCell ref="Q4:R5"/>
    <mergeCell ref="S4:T5"/>
    <mergeCell ref="X104:X105"/>
    <mergeCell ref="Y104:AA104"/>
    <mergeCell ref="AB104:AC105"/>
    <mergeCell ref="K88:L89"/>
    <mergeCell ref="M88:N89"/>
    <mergeCell ref="O88:P89"/>
    <mergeCell ref="Q88:T89"/>
    <mergeCell ref="I110:J110"/>
    <mergeCell ref="Y76:AA76"/>
    <mergeCell ref="X33:Y33"/>
    <mergeCell ref="X34:Y34"/>
    <mergeCell ref="AB76:AC77"/>
    <mergeCell ref="X35:Y35"/>
    <mergeCell ref="X36:Y36"/>
    <mergeCell ref="AB20:AC21"/>
    <mergeCell ref="X130:Y130"/>
    <mergeCell ref="M116:N117"/>
    <mergeCell ref="O116:P117"/>
    <mergeCell ref="Q116:T117"/>
    <mergeCell ref="X48:X49"/>
    <mergeCell ref="V10:V11"/>
    <mergeCell ref="V20:V21"/>
    <mergeCell ref="V38:V39"/>
    <mergeCell ref="V48:V49"/>
    <mergeCell ref="V66:V67"/>
    <mergeCell ref="V76:V77"/>
    <mergeCell ref="V94:V95"/>
    <mergeCell ref="V104:V105"/>
    <mergeCell ref="V122:V123"/>
  </mergeCells>
  <dataValidations count="3">
    <dataValidation type="list" allowBlank="1" showInputMessage="1" showErrorMessage="1" sqref="W15 W43 W33 W117 W127 W89 W71 W61 W99 W5" xr:uid="{6FDCB067-BE2F-4586-B3B7-1291DF85C598}">
      <formula1>$AM$5:$AM$6</formula1>
    </dataValidation>
    <dataValidation type="list" allowBlank="1" showInputMessage="1" showErrorMessage="1" sqref="W16 W44 W34 W118 W128 W90 W72 W62 W100 W6" xr:uid="{5E70CB3E-62E3-4167-8EC6-4472F0D35EB0}">
      <formula1>$AN$5:$AN$6</formula1>
    </dataValidation>
    <dataValidation type="list" allowBlank="1" showInputMessage="1" showErrorMessage="1" sqref="W18 W46 W36 W120 W130 W92 W74 W64 W102 W8" xr:uid="{EAC79C34-54E0-45D2-A486-83A46F987C8E}">
      <formula1>$AM$7:$AM$9</formula1>
    </dataValidation>
  </dataValidations>
  <pageMargins left="0.7" right="0.7" top="0.75" bottom="0.75" header="0.3" footer="0.3"/>
  <pageSetup orientation="portrait" r:id="rId1"/>
  <ignoredErrors>
    <ignoredError sqref="K26:P33 K54:P61 K82:P8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99A57F802F454CA02AF059F93ED4D8" ma:contentTypeVersion="2" ma:contentTypeDescription="Opret et nyt dokument." ma:contentTypeScope="" ma:versionID="fb303a790d6f658e23188f07172337ec">
  <xsd:schema xmlns:xsd="http://www.w3.org/2001/XMLSchema" xmlns:xs="http://www.w3.org/2001/XMLSchema" xmlns:p="http://schemas.microsoft.com/office/2006/metadata/properties" xmlns:ns2="36a27fca-3e39-4895-9c91-12a5fa749748" targetNamespace="http://schemas.microsoft.com/office/2006/metadata/properties" ma:root="true" ma:fieldsID="ced24c7ac7eda2fa16b4f73f5688a09a" ns2:_="">
    <xsd:import namespace="36a27fca-3e39-4895-9c91-12a5fa7497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27fca-3e39-4895-9c91-12a5fa749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57A942-C5A4-4122-A711-7CFEF6A72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27fca-3e39-4895-9c91-12a5fa7497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2CE009-3078-4D33-90F3-5A42ACF629B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36a27fca-3e39-4895-9c91-12a5fa74974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8113313-FB1C-47C5-8E0C-BB5DA8014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Mikkel</dc:creator>
  <cp:keywords/>
  <dc:description/>
  <cp:lastModifiedBy>Jesper Hansen</cp:lastModifiedBy>
  <cp:revision/>
  <dcterms:created xsi:type="dcterms:W3CDTF">2017-09-11T07:30:22Z</dcterms:created>
  <dcterms:modified xsi:type="dcterms:W3CDTF">2020-06-02T06:44:13Z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0x0101003799A57F802F454CA02AF059F93ED4D8</vt:lpwstr>
  </property>
</Properties>
</file>