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START HERE" sheetId="1" state="visible" r:id="rId1"/>
    <sheet name="1. MASTER_ENTRY" sheetId="2" state="visible" r:id="rId2"/>
    <sheet name="2. PM_TASKS" sheetId="3" state="visible" r:id="rId3"/>
    <sheet name="3. RISK_REGISTER" sheetId="4" state="visible" r:id="rId4"/>
    <sheet name="4. FMEA" sheetId="5" state="visible" r:id="rId5"/>
    <sheet name="5. PDCA" sheetId="6" state="visible" r:id="rId6"/>
    <sheet name="6. ACTION_LOG" sheetId="7" state="visible" r:id="rId7"/>
    <sheet name="7. TIMELINE" sheetId="8" state="visible" r:id="rId8"/>
    <sheet name="8. SIX_SIGMA" sheetId="9" state="visible" r:id="rId9"/>
    <sheet name="DASHBOARD" sheetId="10" state="visible" r:id="rId10"/>
    <sheet name="AI_ASSISTANT" sheetId="11" state="visible" r:id="rId11"/>
    <sheet name="LIST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dd-mmm"/>
    <numFmt numFmtId="167" formatCode="0.0%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8"/>
    </font>
    <font>
      <name val="Segoe UI"/>
      <b val="1"/>
      <color rgb="00000000"/>
      <sz val="9"/>
    </font>
    <font>
      <name val="Segoe UI"/>
      <color rgb="00FFFFFF"/>
      <sz val="9"/>
    </font>
    <font>
      <name val="Segoe UI"/>
      <b val="1"/>
      <color rgb="00FFFFFF"/>
      <sz val="9"/>
    </font>
    <font>
      <name val="Segoe UI"/>
      <b val="1"/>
      <color rgb="001F3864"/>
      <sz val="24"/>
    </font>
    <font>
      <name val="Segoe UI"/>
      <b val="1"/>
      <color rgb="002E5496"/>
      <sz val="24"/>
    </font>
    <font>
      <name val="Segoe UI"/>
      <b val="1"/>
      <color rgb="00C00000"/>
      <sz val="24"/>
    </font>
    <font>
      <name val="Segoe UI"/>
      <b val="1"/>
      <color rgb="00FFC000"/>
      <sz val="24"/>
    </font>
    <font>
      <name val="Segoe UI"/>
      <b val="1"/>
      <color rgb="00548235"/>
      <sz val="24"/>
    </font>
    <font>
      <name val="Segoe UI"/>
      <b val="1"/>
      <color rgb="001F8A8A"/>
      <sz val="24"/>
    </font>
    <font>
      <name val="Segoe UI"/>
      <b val="1"/>
      <color rgb="001F3864"/>
      <sz val="11"/>
    </font>
    <font>
      <name val="Segoe UI"/>
      <b val="1"/>
      <color rgb="00000000"/>
      <sz val="11"/>
    </font>
    <font>
      <name val="Segoe UI"/>
      <b val="1"/>
      <color rgb="00C00000"/>
      <sz val="9"/>
    </font>
    <font>
      <name val="Segoe UI"/>
      <b val="1"/>
      <color rgb="001F3864"/>
      <sz val="10"/>
    </font>
    <font>
      <name val="Segoe UI"/>
      <b val="1"/>
      <color rgb="001F3864"/>
      <sz val="12"/>
    </font>
    <font>
      <name val="Segoe UI"/>
      <color rgb="00000000"/>
      <sz val="11"/>
    </font>
    <font>
      <name val="Segoe UI"/>
      <b val="1"/>
      <color rgb="00C00000"/>
      <sz val="12"/>
    </font>
    <font>
      <name val="Segoe UI"/>
      <b val="1"/>
      <color rgb="001F3864"/>
      <sz val="13"/>
    </font>
    <font>
      <name val="Segoe UI"/>
      <b val="1"/>
      <color rgb="001F8A8A"/>
      <sz val="11"/>
    </font>
    <font>
      <name val="Segoe UI"/>
      <b val="1"/>
      <color rgb="002E5496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1FB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1F8A8A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hair">
        <color rgb="00D9D9D9"/>
      </left>
      <right style="hair">
        <color rgb="00D9D9D9"/>
      </right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1" fillId="12" borderId="0" pivotButton="0" quotePrefix="0" xfId="0"/>
    <xf numFmtId="0" fontId="22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5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left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165" fontId="0" fillId="4" borderId="1" applyAlignment="1" pivotButton="0" quotePrefix="0" xfId="0">
      <alignment horizontal="center" vertical="center" wrapText="1"/>
    </xf>
    <xf numFmtId="9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4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165" fontId="0" fillId="6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indent="1"/>
    </xf>
    <xf numFmtId="0" fontId="1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indent="1"/>
    </xf>
    <xf numFmtId="0" fontId="1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indent="1"/>
    </xf>
    <xf numFmtId="0" fontId="1" fillId="9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0" pivotButton="0" quotePrefix="0" xfId="0"/>
    <xf numFmtId="0" fontId="6" fillId="9" borderId="0" pivotButton="0" quotePrefix="0" xfId="0"/>
    <xf numFmtId="0" fontId="6" fillId="2" borderId="0" pivotButton="0" quotePrefix="0" xfId="0"/>
    <xf numFmtId="167" fontId="0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9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5" borderId="1" applyAlignment="1" applyProtection="1" pivotButton="0" quotePrefix="0" xfId="0">
      <alignment horizontal="center" vertical="center" wrapText="1"/>
      <protection locked="0" hidden="0"/>
    </xf>
    <xf numFmtId="0" fontId="1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0" pivotButton="0" quotePrefix="0" xfId="0"/>
    <xf numFmtId="0" fontId="19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20" fillId="0" borderId="0" pivotButton="0" quotePrefix="0" xfId="0"/>
    <xf numFmtId="0" fontId="19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4">
    <dxf>
      <font>
        <name val="Segoe UI"/>
        <b val="1"/>
        <color rgb="00C00000"/>
        <sz val="11"/>
      </font>
      <fill>
        <patternFill patternType="solid">
          <fgColor rgb="00FFC7CE"/>
        </patternFill>
      </fill>
    </dxf>
    <dxf>
      <font>
        <name val="Segoe UI"/>
        <b val="1"/>
        <color rgb="00548235"/>
        <sz val="11"/>
      </font>
      <fill>
        <patternFill patternType="solid">
          <fgColor rgb="00C6EFCE"/>
        </patternFill>
      </fill>
    </dxf>
    <dxf>
      <fill>
        <patternFill patternType="solid">
          <fgColor rgb="001F8A8A"/>
        </patternFill>
      </fill>
    </dxf>
    <dxf>
      <fill>
        <patternFill patternType="solid">
          <fgColor rgb="001F386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Sigma level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'8. SIX_SIGMA'!G3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'8. SIX_SIGMA'!$A$4:$A$11</f>
            </numRef>
          </cat>
          <val>
            <numRef>
              <f>'8. SIX_SIGMA'!$G$4:$G$11</f>
            </numRef>
          </val>
        </ser>
        <ser>
          <idx val="1"/>
          <order val="1"/>
          <tx>
            <strRef>
              <f>'8. SIX_SIGMA'!H3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'8. SIX_SIGMA'!$A$4:$A$11</f>
            </numRef>
          </cat>
          <val>
            <numRef>
              <f>'8. SIX_SIGMA'!$H$4:$H$11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 % trend</a:t>
            </a:r>
          </a:p>
        </rich>
      </tx>
    </title>
    <plotArea>
      <lineChart>
        <grouping val="standard"/>
        <ser>
          <idx val="0"/>
          <order val="0"/>
          <tx>
            <strRef>
              <f>'8. SIX_SIGMA'!E3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'8. SIX_SIGMA'!$A$4:$A$11</f>
            </numRef>
          </cat>
          <val>
            <numRef>
              <f>'8. SIX_SIGMA'!$E$4:$E$11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Cases by selected grouping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'DASHBOARD'!C14</f>
            </strRef>
          </tx>
          <spPr>
            <a:ln>
              <a:prstDash val="solid"/>
            </a:ln>
          </spPr>
          <cat>
            <numRef>
              <f>'DASHBOARD'!$B$15:$B$22</f>
            </numRef>
          </cat>
          <val>
            <numRef>
              <f>'DASHBOARD'!$C$15:$C$22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mix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'DASHBOARD'!$B$27:$B$32</f>
            </numRef>
          </cat>
          <val>
            <numRef>
              <f>'DASHBOARD'!$C$27:$C$32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exposure (RPN) by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'DASHBOARD'!$K$27:$K$34</f>
            </numRef>
          </cat>
          <val>
            <numRef>
              <f>'DASHBOARD'!$L$27:$L$34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26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13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MASTER_ENTRY'!A1" TargetMode="External" Id="rId1" /><Relationship Type="http://schemas.openxmlformats.org/officeDocument/2006/relationships/hyperlink" Target="#'2. PM_TASKS'!A1" TargetMode="External" Id="rId2" /><Relationship Type="http://schemas.openxmlformats.org/officeDocument/2006/relationships/hyperlink" Target="#'3. RISK_REGISTER'!A1" TargetMode="External" Id="rId3" /><Relationship Type="http://schemas.openxmlformats.org/officeDocument/2006/relationships/hyperlink" Target="#'4. FMEA'!A1" TargetMode="External" Id="rId4" /><Relationship Type="http://schemas.openxmlformats.org/officeDocument/2006/relationships/hyperlink" Target="#'5. PDCA'!A1" TargetMode="External" Id="rId5" /><Relationship Type="http://schemas.openxmlformats.org/officeDocument/2006/relationships/hyperlink" Target="#'6. ACTION_LOG'!A1" TargetMode="External" Id="rId6" /><Relationship Type="http://schemas.openxmlformats.org/officeDocument/2006/relationships/hyperlink" Target="#'7. TIMELINE'!A1" TargetMode="External" Id="rId7" /><Relationship Type="http://schemas.openxmlformats.org/officeDocument/2006/relationships/hyperlink" Target="#'8. SIX_SIGMA'!A1" TargetMode="External" Id="rId8" /><Relationship Type="http://schemas.openxmlformats.org/officeDocument/2006/relationships/hyperlink" Target="#'DASHBOARD'!A1" TargetMode="External" Id="rId9" /><Relationship Type="http://schemas.openxmlformats.org/officeDocument/2006/relationships/hyperlink" Target="#'AI_ASSISTANT'!A1" TargetMode="External" Id="rId10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 xml:space="preserve">  QI INTELLIGENCE PLATFORM v9  -  choose-only, fully integrated</t>
        </is>
      </c>
    </row>
    <row r="2" ht="20" customHeight="1">
      <c r="A2" s="2" t="inlineStr">
        <is>
          <t xml:space="preserve">  Graphical - AI-assisted - every sheet linked. You only ever pick from dropdowns.</t>
        </is>
      </c>
    </row>
    <row r="4">
      <c r="B4" s="3" t="inlineStr">
        <is>
          <t>HOW IT WORKS</t>
        </is>
      </c>
    </row>
    <row r="5">
      <c r="B5" s="4" t="inlineStr">
        <is>
          <t>1</t>
        </is>
      </c>
      <c r="C5" s="5" t="inlineStr">
        <is>
          <t>Open  '1. MASTER_ENTRY'  and fill ONE row by clicking the dropdown arrows (yellow cells only).</t>
        </is>
      </c>
    </row>
    <row r="6">
      <c r="B6" s="4" t="inlineStr">
        <is>
          <t>2</t>
        </is>
      </c>
      <c r="C6" s="5" t="inlineStr">
        <is>
          <t>RPN, timing, health and an AI recommendation calculate instantly.</t>
        </is>
      </c>
    </row>
    <row r="7">
      <c r="B7" s="4" t="inlineStr">
        <is>
          <t>3</t>
        </is>
      </c>
      <c r="C7" s="5" t="inlineStr">
        <is>
          <t>That single case auto-creates a PM task, scored risk, FMEA line, PDCA cycle, action-log entry and Gantt bar.</t>
        </is>
      </c>
    </row>
    <row r="8">
      <c r="B8" s="4" t="inlineStr">
        <is>
          <t>4</t>
        </is>
      </c>
      <c r="C8" s="5" t="inlineStr">
        <is>
          <t>Open  'DASHBOARD'  for live KPIs &amp; charts (change the chart with the D13 dropdown).</t>
        </is>
      </c>
    </row>
    <row r="9">
      <c r="B9" s="4" t="inlineStr">
        <is>
          <t>5</t>
        </is>
      </c>
      <c r="C9" s="5" t="inlineStr">
        <is>
          <t>Open  'AI_ASSISTANT'  for a ranked action queue and a Lean playbook advisor.</t>
        </is>
      </c>
    </row>
    <row r="10">
      <c r="B10" s="4" t="inlineStr"/>
      <c r="C10" s="5" t="inlineStr">
        <is>
          <t>ALL sheets are locked so you can only choose - never mistype. (Review &gt; Unprotect Sheet to edit structure.)</t>
        </is>
      </c>
    </row>
    <row r="11">
      <c r="B11" s="3" t="inlineStr">
        <is>
          <t>NAVIGATION</t>
        </is>
      </c>
    </row>
    <row r="12">
      <c r="C12" s="6" t="inlineStr">
        <is>
          <t>&gt;  1. MASTER_ENTRY</t>
        </is>
      </c>
    </row>
    <row r="13">
      <c r="C13" s="6" t="inlineStr">
        <is>
          <t>&gt;  2. PM_TASKS</t>
        </is>
      </c>
    </row>
    <row r="14">
      <c r="C14" s="6" t="inlineStr">
        <is>
          <t>&gt;  3. RISK_REGISTER</t>
        </is>
      </c>
    </row>
    <row r="15">
      <c r="C15" s="6" t="inlineStr">
        <is>
          <t>&gt;  4. FMEA</t>
        </is>
      </c>
    </row>
    <row r="16">
      <c r="C16" s="6" t="inlineStr">
        <is>
          <t>&gt;  5. PDCA</t>
        </is>
      </c>
    </row>
    <row r="17">
      <c r="C17" s="6" t="inlineStr">
        <is>
          <t>&gt;  6. ACTION_LOG</t>
        </is>
      </c>
    </row>
    <row r="18">
      <c r="C18" s="6" t="inlineStr">
        <is>
          <t>&gt;  7. TIMELINE</t>
        </is>
      </c>
    </row>
    <row r="19">
      <c r="C19" s="6" t="inlineStr">
        <is>
          <t>&gt;  8. SIX_SIGMA</t>
        </is>
      </c>
    </row>
    <row r="20">
      <c r="C20" s="6" t="inlineStr">
        <is>
          <t>&gt;  DASHBOARD</t>
        </is>
      </c>
    </row>
    <row r="21">
      <c r="C21" s="6" t="inlineStr">
        <is>
          <t>&gt;  AI_ASSISTANT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10">
    <mergeCell ref="C6:H6"/>
    <mergeCell ref="C10:H10"/>
    <mergeCell ref="B4:H4"/>
    <mergeCell ref="A2:H2"/>
    <mergeCell ref="C5:H5"/>
    <mergeCell ref="C9:H9"/>
    <mergeCell ref="C8:H8"/>
    <mergeCell ref="B11:H11"/>
    <mergeCell ref="A1:H1"/>
    <mergeCell ref="C7:H7"/>
  </mergeCells>
  <hyperlinks>
    <hyperlink xmlns:r="http://schemas.openxmlformats.org/officeDocument/2006/relationships" ref="C12" r:id="rId1"/>
    <hyperlink xmlns:r="http://schemas.openxmlformats.org/officeDocument/2006/relationships" ref="C13" r:id="rId2"/>
    <hyperlink xmlns:r="http://schemas.openxmlformats.org/officeDocument/2006/relationships" ref="C14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18" r:id="rId7"/>
    <hyperlink xmlns:r="http://schemas.openxmlformats.org/officeDocument/2006/relationships" ref="C19" r:id="rId8"/>
    <hyperlink xmlns:r="http://schemas.openxmlformats.org/officeDocument/2006/relationships" ref="C20" r:id="rId9"/>
    <hyperlink xmlns:r="http://schemas.openxmlformats.org/officeDocument/2006/relationships" ref="C2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17" customWidth="1" min="4" max="4"/>
    <col width="12" customWidth="1" min="5" max="5"/>
    <col width="6" customWidth="1" min="6" max="6"/>
    <col width="6" customWidth="1" min="7" max="7"/>
    <col width="6" customWidth="1" min="8" max="8"/>
    <col width="8" customWidth="1" min="9" max="9"/>
    <col width="12" customWidth="1" min="10" max="10"/>
    <col width="34" customWidth="1" min="11" max="11"/>
    <col width="22" customWidth="1" min="12" max="12"/>
    <col width="14" customWidth="1" min="13" max="13"/>
    <col width="34" customWidth="1" min="14" max="14"/>
    <col width="11" customWidth="1" min="15" max="15"/>
    <col width="9" customWidth="1" min="16" max="16"/>
    <col width="11" customWidth="1" min="17" max="17"/>
    <col width="13" customWidth="1" min="18" max="18"/>
    <col width="7" customWidth="1" min="19" max="19"/>
    <col width="12" customWidth="1" min="20" max="20"/>
    <col width="56" customWidth="1" min="21" max="21"/>
    <col hidden="1" width="13" customWidth="1" min="22" max="22"/>
  </cols>
  <sheetData>
    <row r="1" ht="34" customHeight="1">
      <c r="A1" s="1" t="inlineStr">
        <is>
          <t xml:space="preserve">  CHOOSE-ONLY MASTER ENTRY  -  click dropdowns in the YELLOW columns</t>
        </is>
      </c>
    </row>
    <row r="2" ht="20" customHeight="1">
      <c r="A2" s="2" t="inlineStr">
        <is>
          <t xml:space="preserve">  Nothing here can be typed. Pick from the lists. GREEN columns auto-calc. Each row drives PM Tasks, Risk, FMEA, PDCA, Action Log, Timeline, Dashboard &amp; AI.</t>
        </is>
      </c>
    </row>
    <row r="3" ht="30" customHeight="1">
      <c r="A3" s="7" t="inlineStr">
        <is>
          <t>CASE ID
(auto)</t>
        </is>
      </c>
      <c r="B3" s="7" t="inlineStr">
        <is>
          <t>DATE
LOGGED</t>
        </is>
      </c>
      <c r="C3" s="7" t="inlineStr">
        <is>
          <t>PROBLEM / CHALLENGE STATEMENT</t>
        </is>
      </c>
      <c r="D3" s="7" t="inlineStr">
        <is>
          <t>CATEGORY</t>
        </is>
      </c>
      <c r="E3" s="7" t="inlineStr">
        <is>
          <t>PRIORITY</t>
        </is>
      </c>
      <c r="F3" s="7" t="inlineStr">
        <is>
          <t>SEV
1-10</t>
        </is>
      </c>
      <c r="G3" s="7" t="inlineStr">
        <is>
          <t>OCC
1-10</t>
        </is>
      </c>
      <c r="H3" s="7" t="inlineStr">
        <is>
          <t>DET
1-10</t>
        </is>
      </c>
      <c r="I3" s="7" t="inlineStr">
        <is>
          <t>RPN
(auto)</t>
        </is>
      </c>
      <c r="J3" s="7" t="inlineStr">
        <is>
          <t>RPN BAND
(auto)</t>
        </is>
      </c>
      <c r="K3" s="7" t="inlineStr">
        <is>
          <t>ROOT CAUSE HYPOTHESIS</t>
        </is>
      </c>
      <c r="L3" s="7" t="inlineStr">
        <is>
          <t>LEAN METHOD</t>
        </is>
      </c>
      <c r="M3" s="7" t="inlineStr">
        <is>
          <t>OWNER</t>
        </is>
      </c>
      <c r="N3" s="7" t="inlineStr">
        <is>
          <t>TARGET OUTCOME (MEASURABLE)</t>
        </is>
      </c>
      <c r="O3" s="7" t="inlineStr">
        <is>
          <t>START
DATE</t>
        </is>
      </c>
      <c r="P3" s="7" t="inlineStr">
        <is>
          <t>EST. DAYS
(auto)</t>
        </is>
      </c>
      <c r="Q3" s="7" t="inlineStr">
        <is>
          <t>EST. END
(auto)</t>
        </is>
      </c>
      <c r="R3" s="7" t="inlineStr">
        <is>
          <t>STATUS</t>
        </is>
      </c>
      <c r="S3" s="7" t="inlineStr">
        <is>
          <t>%
DONE</t>
        </is>
      </c>
      <c r="T3" s="7" t="inlineStr">
        <is>
          <t>HEALTH
(auto)</t>
        </is>
      </c>
      <c r="U3" s="7" t="inlineStr">
        <is>
          <t>AI RECOMMENDED ACTION (auto-generated)</t>
        </is>
      </c>
    </row>
    <row r="4">
      <c r="A4" s="8">
        <f>IF($C4="","",TEXT(1,"\C\A\S\E-000"))</f>
        <v/>
      </c>
      <c r="B4" s="9" t="n">
        <v>46157</v>
      </c>
      <c r="C4" s="10" t="inlineStr">
        <is>
          <t>Delivery targets missed 20% consistently</t>
        </is>
      </c>
      <c r="D4" s="11" t="inlineStr">
        <is>
          <t>Delivery / Schedule</t>
        </is>
      </c>
      <c r="E4" s="11" t="inlineStr">
        <is>
          <t>1-CRITICAL</t>
        </is>
      </c>
      <c r="F4" s="11" t="n">
        <v>8</v>
      </c>
      <c r="G4" s="11" t="n">
        <v>7</v>
      </c>
      <c r="H4" s="11" t="n">
        <v>6</v>
      </c>
      <c r="I4" s="8">
        <f>IF($C4="","",IF(COUNT(F4,G4,H4)=3,F4*G4*H4,""))</f>
        <v/>
      </c>
      <c r="J4" s="8">
        <f>IF($I4="","",IF($I4&gt;=200,"1-CRITICAL",IF($I4&gt;=100,"2-HIGH",IF($I4&gt;=50,"3-MEDIUM","4-LOW"))))</f>
        <v/>
      </c>
      <c r="K4" s="10" t="inlineStr">
        <is>
          <t>Handoff delays invisible; no WIP limits</t>
        </is>
      </c>
      <c r="L4" s="11" t="inlineStr">
        <is>
          <t>Value Stream Mapping</t>
        </is>
      </c>
      <c r="M4" s="11" t="inlineStr">
        <is>
          <t>PM</t>
        </is>
      </c>
      <c r="N4" s="10" t="inlineStr">
        <is>
          <t>On-time delivery &gt;95% in 8 weeks</t>
        </is>
      </c>
      <c r="O4" s="9" t="n">
        <v>46174</v>
      </c>
      <c r="P4" s="8">
        <f>IF($C4="","",ROUND(IF($E4="1-CRITICAL",7,IF($E4="2-HIGH",14,IF($E4="3-MEDIUM",30,45)))*(1+IF($I4="",0,$I4)/400),0))</f>
        <v/>
      </c>
      <c r="Q4" s="12">
        <f>IF(OR($C4="",$O4=""),"",$O4+$P4)</f>
        <v/>
      </c>
      <c r="R4" s="11" t="inlineStr">
        <is>
          <t>IN PROGRESS</t>
        </is>
      </c>
      <c r="S4" s="13" t="n">
        <v>0.2</v>
      </c>
      <c r="T4" s="8">
        <f>IF($C4="","",IF($R4="CLOSED","Closed",IF($R4="RESOLVED","Resolved",IF($R4="BLOCKED","BLOCKED",IF($I4&gt;=200,"CRITICAL",IF($I4&gt;=100,"High",IF($E4="1-CRITICAL","High","On track")))))))</f>
        <v/>
      </c>
      <c r="U4" s="14">
        <f>IF($C4="","",IF($R4="CLOSED","Closed - capture lessons learned in PDCA Act phase.",IF($I4&gt;=200,"CRITICAL (RPN "&amp;$I4&amp;"): Escalate today. Open FMEA action + daily PDCA. Owner "&amp;IF($M4="","?",$M4)&amp;". Apply "&amp;IF($L4="","a Lean method",$L4)&amp;". Close by "&amp;IF($Q4="","ASAP",TEXT($Q4,"dd-mmm"))&amp;".",IF($I4&gt;=100,"HIGH (RPN "&amp;$I4&amp;"): Add to current sprint. Mitigate via "&amp;IF($L4="","Standard Work",$L4)&amp;". Review weekly with "&amp;IF($M4="","owner",$M4)&amp;".",IF(OR($E4="1-CRITICAL",$E4="2-HIGH"),"Priority case: schedule "&amp;IF($L4="","a Lean workshop",$L4)&amp;" within 2 weeks. Track to "&amp;IF($N4="","target",$N4)&amp;".","Monitor: apply "&amp;IF($L4="","standard cadence",$L4)&amp;". Re-score if conditions change.")))))</f>
        <v/>
      </c>
      <c r="V4">
        <f>IF($C4="","",IF($I4="",0,$I4)+ROW()/100000)</f>
        <v/>
      </c>
    </row>
    <row r="5">
      <c r="A5" s="8">
        <f>IF($C5="","",TEXT(2,"\C\A\S\E-000"))</f>
        <v/>
      </c>
      <c r="B5" s="9" t="n">
        <v>46157</v>
      </c>
      <c r="C5" s="10" t="inlineStr">
        <is>
          <t>Defect rate at 12% - customers complaining</t>
        </is>
      </c>
      <c r="D5" s="11" t="inlineStr">
        <is>
          <t>Quality / Defects</t>
        </is>
      </c>
      <c r="E5" s="11" t="inlineStr">
        <is>
          <t>1-CRITICAL</t>
        </is>
      </c>
      <c r="F5" s="11" t="n">
        <v>8</v>
      </c>
      <c r="G5" s="11" t="n">
        <v>7</v>
      </c>
      <c r="H5" s="11" t="n">
        <v>6</v>
      </c>
      <c r="I5" s="8">
        <f>IF($C5="","",IF(COUNT(F5,G5,H5)=3,F5*G5*H5,""))</f>
        <v/>
      </c>
      <c r="J5" s="8">
        <f>IF($I5="","",IF($I5&gt;=200,"1-CRITICAL",IF($I5&gt;=100,"2-HIGH",IF($I5&gt;=50,"3-MEDIUM","4-LOW"))))</f>
        <v/>
      </c>
      <c r="K5" s="10" t="inlineStr">
        <is>
          <t>No quality check at source</t>
        </is>
      </c>
      <c r="L5" s="11" t="inlineStr">
        <is>
          <t>PDCA</t>
        </is>
      </c>
      <c r="M5" s="11" t="inlineStr">
        <is>
          <t>PM</t>
        </is>
      </c>
      <c r="N5" s="10" t="inlineStr">
        <is>
          <t>Zero defect escapes within 4 weeks</t>
        </is>
      </c>
      <c r="O5" s="9" t="n">
        <v>46174</v>
      </c>
      <c r="P5" s="8">
        <f>IF($C5="","",ROUND(IF($E5="1-CRITICAL",7,IF($E5="2-HIGH",14,IF($E5="3-MEDIUM",30,45)))*(1+IF($I5="",0,$I5)/400),0))</f>
        <v/>
      </c>
      <c r="Q5" s="12">
        <f>IF(OR($C5="",$O5=""),"",$O5+$P5)</f>
        <v/>
      </c>
      <c r="R5" s="11" t="inlineStr">
        <is>
          <t>OPEN</t>
        </is>
      </c>
      <c r="S5" s="13" t="n">
        <v>0</v>
      </c>
      <c r="T5" s="8">
        <f>IF($C5="","",IF($R5="CLOSED","Closed",IF($R5="RESOLVED","Resolved",IF($R5="BLOCKED","BLOCKED",IF($I5&gt;=200,"CRITICAL",IF($I5&gt;=100,"High",IF($E5="1-CRITICAL","High","On track")))))))</f>
        <v/>
      </c>
      <c r="U5" s="14">
        <f>IF($C5="","",IF($R5="CLOSED","Closed - capture lessons learned in PDCA Act phase.",IF($I5&gt;=200,"CRITICAL (RPN "&amp;$I5&amp;"): Escalate today. Open FMEA action + daily PDCA. Owner "&amp;IF($M5="","?",$M5)&amp;". Apply "&amp;IF($L5="","a Lean method",$L5)&amp;". Close by "&amp;IF($Q5="","ASAP",TEXT($Q5,"dd-mmm"))&amp;".",IF($I5&gt;=100,"HIGH (RPN "&amp;$I5&amp;"): Add to current sprint. Mitigate via "&amp;IF($L5="","Standard Work",$L5)&amp;". Review weekly with "&amp;IF($M5="","owner",$M5)&amp;".",IF(OR($E5="1-CRITICAL",$E5="2-HIGH"),"Priority case: schedule "&amp;IF($L5="","a Lean workshop",$L5)&amp;" within 2 weeks. Track to "&amp;IF($N5="","target",$N5)&amp;".","Monitor: apply "&amp;IF($L5="","standard cadence",$L5)&amp;". Re-score if conditions change.")))))</f>
        <v/>
      </c>
      <c r="V5">
        <f>IF($C5="","",IF($I5="",0,$I5)+ROW()/100000)</f>
        <v/>
      </c>
    </row>
    <row r="6">
      <c r="A6" s="8">
        <f>IF($C6="","",TEXT(3,"\C\A\S\E-000"))</f>
        <v/>
      </c>
      <c r="B6" s="9" t="n">
        <v>46157</v>
      </c>
      <c r="C6" s="10" t="inlineStr">
        <is>
          <t>Team overwhelmed, parallel tasks &gt;8 each</t>
        </is>
      </c>
      <c r="D6" s="11" t="inlineStr">
        <is>
          <t>Process / Flow</t>
        </is>
      </c>
      <c r="E6" s="11" t="inlineStr">
        <is>
          <t>2-HIGH</t>
        </is>
      </c>
      <c r="F6" s="11" t="n">
        <v>7</v>
      </c>
      <c r="G6" s="11" t="n">
        <v>6</v>
      </c>
      <c r="H6" s="11" t="n">
        <v>5</v>
      </c>
      <c r="I6" s="8">
        <f>IF($C6="","",IF(COUNT(F6,G6,H6)=3,F6*G6*H6,""))</f>
        <v/>
      </c>
      <c r="J6" s="8">
        <f>IF($I6="","",IF($I6&gt;=200,"1-CRITICAL",IF($I6&gt;=100,"2-HIGH",IF($I6&gt;=50,"3-MEDIUM","4-LOW"))))</f>
        <v/>
      </c>
      <c r="K6" s="10" t="inlineStr">
        <is>
          <t>No WIP limits; everything is priority 1</t>
        </is>
      </c>
      <c r="L6" s="11" t="inlineStr">
        <is>
          <t>Kanban</t>
        </is>
      </c>
      <c r="M6" s="11" t="inlineStr">
        <is>
          <t>PM</t>
        </is>
      </c>
      <c r="N6" s="10" t="inlineStr">
        <is>
          <t>Max 3 active tasks per person</t>
        </is>
      </c>
      <c r="O6" s="9" t="n">
        <v>46174</v>
      </c>
      <c r="P6" s="8">
        <f>IF($C6="","",ROUND(IF($E6="1-CRITICAL",7,IF($E6="2-HIGH",14,IF($E6="3-MEDIUM",30,45)))*(1+IF($I6="",0,$I6)/400),0))</f>
        <v/>
      </c>
      <c r="Q6" s="12">
        <f>IF(OR($C6="",$O6=""),"",$O6+$P6)</f>
        <v/>
      </c>
      <c r="R6" s="11" t="inlineStr">
        <is>
          <t>OPEN</t>
        </is>
      </c>
      <c r="S6" s="13" t="n">
        <v>0</v>
      </c>
      <c r="T6" s="8">
        <f>IF($C6="","",IF($R6="CLOSED","Closed",IF($R6="RESOLVED","Resolved",IF($R6="BLOCKED","BLOCKED",IF($I6&gt;=200,"CRITICAL",IF($I6&gt;=100,"High",IF($E6="1-CRITICAL","High","On track")))))))</f>
        <v/>
      </c>
      <c r="U6" s="14">
        <f>IF($C6="","",IF($R6="CLOSED","Closed - capture lessons learned in PDCA Act phase.",IF($I6&gt;=200,"CRITICAL (RPN "&amp;$I6&amp;"): Escalate today. Open FMEA action + daily PDCA. Owner "&amp;IF($M6="","?",$M6)&amp;". Apply "&amp;IF($L6="","a Lean method",$L6)&amp;". Close by "&amp;IF($Q6="","ASAP",TEXT($Q6,"dd-mmm"))&amp;".",IF($I6&gt;=100,"HIGH (RPN "&amp;$I6&amp;"): Add to current sprint. Mitigate via "&amp;IF($L6="","Standard Work",$L6)&amp;". Review weekly with "&amp;IF($M6="","owner",$M6)&amp;".",IF(OR($E6="1-CRITICAL",$E6="2-HIGH"),"Priority case: schedule "&amp;IF($L6="","a Lean workshop",$L6)&amp;" within 2 weeks. Track to "&amp;IF($N6="","target",$N6)&amp;".","Monitor: apply "&amp;IF($L6="","standard cadence",$L6)&amp;". Re-score if conditions change.")))))</f>
        <v/>
      </c>
      <c r="V6">
        <f>IF($C6="","",IF($I6="",0,$I6)+ROW()/100000)</f>
        <v/>
      </c>
    </row>
    <row r="7">
      <c r="A7" s="8">
        <f>IF($C7="","",TEXT(4,"\C\A\S\E-000"))</f>
        <v/>
      </c>
      <c r="B7" s="9" t="n">
        <v>46157</v>
      </c>
      <c r="C7" s="10" t="inlineStr">
        <is>
          <t>Approval bottleneck adds 2.3 days per case</t>
        </is>
      </c>
      <c r="D7" s="11" t="inlineStr">
        <is>
          <t>Process / Flow</t>
        </is>
      </c>
      <c r="E7" s="11" t="inlineStr">
        <is>
          <t>2-HIGH</t>
        </is>
      </c>
      <c r="F7" s="11" t="n">
        <v>7</v>
      </c>
      <c r="G7" s="11" t="n">
        <v>6</v>
      </c>
      <c r="H7" s="11" t="n">
        <v>5</v>
      </c>
      <c r="I7" s="8">
        <f>IF($C7="","",IF(COUNT(F7,G7,H7)=3,F7*G7*H7,""))</f>
        <v/>
      </c>
      <c r="J7" s="8">
        <f>IF($I7="","",IF($I7&gt;=200,"1-CRITICAL",IF($I7&gt;=100,"2-HIGH",IF($I7&gt;=50,"3-MEDIUM","4-LOW"))))</f>
        <v/>
      </c>
      <c r="K7" s="10" t="inlineStr">
        <is>
          <t>Wrong routing; unclear decision authority</t>
        </is>
      </c>
      <c r="L7" s="11" t="inlineStr">
        <is>
          <t>Standard Work</t>
        </is>
      </c>
      <c r="M7" s="11" t="inlineStr">
        <is>
          <t>PM</t>
        </is>
      </c>
      <c r="N7" s="10" t="inlineStr">
        <is>
          <t>Approval time &lt;4 hours</t>
        </is>
      </c>
      <c r="O7" s="9" t="n">
        <v>46174</v>
      </c>
      <c r="P7" s="8">
        <f>IF($C7="","",ROUND(IF($E7="1-CRITICAL",7,IF($E7="2-HIGH",14,IF($E7="3-MEDIUM",30,45)))*(1+IF($I7="",0,$I7)/400),0))</f>
        <v/>
      </c>
      <c r="Q7" s="12">
        <f>IF(OR($C7="",$O7=""),"",$O7+$P7)</f>
        <v/>
      </c>
      <c r="R7" s="11" t="inlineStr">
        <is>
          <t>OPEN</t>
        </is>
      </c>
      <c r="S7" s="13" t="n">
        <v>0</v>
      </c>
      <c r="T7" s="8">
        <f>IF($C7="","",IF($R7="CLOSED","Closed",IF($R7="RESOLVED","Resolved",IF($R7="BLOCKED","BLOCKED",IF($I7&gt;=200,"CRITICAL",IF($I7&gt;=100,"High",IF($E7="1-CRITICAL","High","On track")))))))</f>
        <v/>
      </c>
      <c r="U7" s="14">
        <f>IF($C7="","",IF($R7="CLOSED","Closed - capture lessons learned in PDCA Act phase.",IF($I7&gt;=200,"CRITICAL (RPN "&amp;$I7&amp;"): Escalate today. Open FMEA action + daily PDCA. Owner "&amp;IF($M7="","?",$M7)&amp;". Apply "&amp;IF($L7="","a Lean method",$L7)&amp;". Close by "&amp;IF($Q7="","ASAP",TEXT($Q7,"dd-mmm"))&amp;".",IF($I7&gt;=100,"HIGH (RPN "&amp;$I7&amp;"): Add to current sprint. Mitigate via "&amp;IF($L7="","Standard Work",$L7)&amp;". Review weekly with "&amp;IF($M7="","owner",$M7)&amp;".",IF(OR($E7="1-CRITICAL",$E7="2-HIGH"),"Priority case: schedule "&amp;IF($L7="","a Lean workshop",$L7)&amp;" within 2 weeks. Track to "&amp;IF($N7="","target",$N7)&amp;".","Monitor: apply "&amp;IF($L7="","standard cadence",$L7)&amp;". Re-score if conditions change.")))))</f>
        <v/>
      </c>
      <c r="V7">
        <f>IF($C7="","",IF($I7="",0,$I7)+ROW()/100000)</f>
        <v/>
      </c>
    </row>
    <row r="8">
      <c r="A8" s="8">
        <f>IF($C8="","",TEXT(5,"\C\A\S\E-000"))</f>
        <v/>
      </c>
      <c r="B8" s="9" t="n">
        <v>46157</v>
      </c>
      <c r="C8" s="10" t="inlineStr">
        <is>
          <t>New hire onboarding takes 6 weeks</t>
        </is>
      </c>
      <c r="D8" s="11" t="inlineStr">
        <is>
          <t>Process / Flow</t>
        </is>
      </c>
      <c r="E8" s="11" t="inlineStr">
        <is>
          <t>3-MEDIUM</t>
        </is>
      </c>
      <c r="F8" s="11" t="n">
        <v>6</v>
      </c>
      <c r="G8" s="11" t="n">
        <v>5</v>
      </c>
      <c r="H8" s="11" t="n">
        <v>5</v>
      </c>
      <c r="I8" s="8">
        <f>IF($C8="","",IF(COUNT(F8,G8,H8)=3,F8*G8*H8,""))</f>
        <v/>
      </c>
      <c r="J8" s="8">
        <f>IF($I8="","",IF($I8&gt;=200,"1-CRITICAL",IF($I8&gt;=100,"2-HIGH",IF($I8&gt;=50,"3-MEDIUM","4-LOW"))))</f>
        <v/>
      </c>
      <c r="K8" s="10" t="inlineStr">
        <is>
          <t>No documented process; tribal knowledge</t>
        </is>
      </c>
      <c r="L8" s="11" t="inlineStr">
        <is>
          <t>Standard Work</t>
        </is>
      </c>
      <c r="M8" s="11" t="inlineStr">
        <is>
          <t>PM</t>
        </is>
      </c>
      <c r="N8" s="10" t="inlineStr">
        <is>
          <t>Onboard in 2 weeks, consistent quality</t>
        </is>
      </c>
      <c r="O8" s="9" t="n">
        <v>46174</v>
      </c>
      <c r="P8" s="8">
        <f>IF($C8="","",ROUND(IF($E8="1-CRITICAL",7,IF($E8="2-HIGH",14,IF($E8="3-MEDIUM",30,45)))*(1+IF($I8="",0,$I8)/400),0))</f>
        <v/>
      </c>
      <c r="Q8" s="12">
        <f>IF(OR($C8="",$O8=""),"",$O8+$P8)</f>
        <v/>
      </c>
      <c r="R8" s="11" t="inlineStr">
        <is>
          <t>OPEN</t>
        </is>
      </c>
      <c r="S8" s="13" t="n">
        <v>0</v>
      </c>
      <c r="T8" s="8">
        <f>IF($C8="","",IF($R8="CLOSED","Closed",IF($R8="RESOLVED","Resolved",IF($R8="BLOCKED","BLOCKED",IF($I8&gt;=200,"CRITICAL",IF($I8&gt;=100,"High",IF($E8="1-CRITICAL","High","On track")))))))</f>
        <v/>
      </c>
      <c r="U8" s="14">
        <f>IF($C8="","",IF($R8="CLOSED","Closed - capture lessons learned in PDCA Act phase.",IF($I8&gt;=200,"CRITICAL (RPN "&amp;$I8&amp;"): Escalate today. Open FMEA action + daily PDCA. Owner "&amp;IF($M8="","?",$M8)&amp;". Apply "&amp;IF($L8="","a Lean method",$L8)&amp;". Close by "&amp;IF($Q8="","ASAP",TEXT($Q8,"dd-mmm"))&amp;".",IF($I8&gt;=100,"HIGH (RPN "&amp;$I8&amp;"): Add to current sprint. Mitigate via "&amp;IF($L8="","Standard Work",$L8)&amp;". Review weekly with "&amp;IF($M8="","owner",$M8)&amp;".",IF(OR($E8="1-CRITICAL",$E8="2-HIGH"),"Priority case: schedule "&amp;IF($L8="","a Lean workshop",$L8)&amp;" within 2 weeks. Track to "&amp;IF($N8="","target",$N8)&amp;".","Monitor: apply "&amp;IF($L8="","standard cadence",$L8)&amp;". Re-score if conditions change.")))))</f>
        <v/>
      </c>
      <c r="V8">
        <f>IF($C8="","",IF($I8="",0,$I8)+ROW()/100000)</f>
        <v/>
      </c>
    </row>
    <row r="9">
      <c r="A9" s="8">
        <f>IF($C9="","",TEXT(6,"\C\A\S\E-000"))</f>
        <v/>
      </c>
      <c r="B9" s="9" t="n">
        <v>46157</v>
      </c>
      <c r="C9" s="10" t="inlineStr">
        <is>
          <t>Leader not visible to frontline team</t>
        </is>
      </c>
      <c r="D9" s="11" t="inlineStr">
        <is>
          <t>Process / Flow</t>
        </is>
      </c>
      <c r="E9" s="11" t="inlineStr">
        <is>
          <t>2-HIGH</t>
        </is>
      </c>
      <c r="F9" s="11" t="n">
        <v>7</v>
      </c>
      <c r="G9" s="11" t="n">
        <v>6</v>
      </c>
      <c r="H9" s="11" t="n">
        <v>5</v>
      </c>
      <c r="I9" s="8">
        <f>IF($C9="","",IF(COUNT(F9,G9,H9)=3,F9*G9*H9,""))</f>
        <v/>
      </c>
      <c r="J9" s="8">
        <f>IF($I9="","",IF($I9&gt;=200,"1-CRITICAL",IF($I9&gt;=100,"2-HIGH",IF($I9&gt;=50,"3-MEDIUM","4-LOW"))))</f>
        <v/>
      </c>
      <c r="K9" s="10" t="inlineStr">
        <is>
          <t>No structured Gemba cadence in place</t>
        </is>
      </c>
      <c r="L9" s="11" t="inlineStr">
        <is>
          <t>Gemba Walk</t>
        </is>
      </c>
      <c r="M9" s="11" t="inlineStr">
        <is>
          <t>PM</t>
        </is>
      </c>
      <c r="N9" s="10" t="inlineStr">
        <is>
          <t>Weekly Gemba walk every leader, every week</t>
        </is>
      </c>
      <c r="O9" s="9" t="n">
        <v>46174</v>
      </c>
      <c r="P9" s="8">
        <f>IF($C9="","",ROUND(IF($E9="1-CRITICAL",7,IF($E9="2-HIGH",14,IF($E9="3-MEDIUM",30,45)))*(1+IF($I9="",0,$I9)/400),0))</f>
        <v/>
      </c>
      <c r="Q9" s="12">
        <f>IF(OR($C9="",$O9=""),"",$O9+$P9)</f>
        <v/>
      </c>
      <c r="R9" s="11" t="inlineStr">
        <is>
          <t>IN PROGRESS</t>
        </is>
      </c>
      <c r="S9" s="13" t="n">
        <v>0.2</v>
      </c>
      <c r="T9" s="8">
        <f>IF($C9="","",IF($R9="CLOSED","Closed",IF($R9="RESOLVED","Resolved",IF($R9="BLOCKED","BLOCKED",IF($I9&gt;=200,"CRITICAL",IF($I9&gt;=100,"High",IF($E9="1-CRITICAL","High","On track")))))))</f>
        <v/>
      </c>
      <c r="U9" s="14">
        <f>IF($C9="","",IF($R9="CLOSED","Closed - capture lessons learned in PDCA Act phase.",IF($I9&gt;=200,"CRITICAL (RPN "&amp;$I9&amp;"): Escalate today. Open FMEA action + daily PDCA. Owner "&amp;IF($M9="","?",$M9)&amp;". Apply "&amp;IF($L9="","a Lean method",$L9)&amp;". Close by "&amp;IF($Q9="","ASAP",TEXT($Q9,"dd-mmm"))&amp;".",IF($I9&gt;=100,"HIGH (RPN "&amp;$I9&amp;"): Add to current sprint. Mitigate via "&amp;IF($L9="","Standard Work",$L9)&amp;". Review weekly with "&amp;IF($M9="","owner",$M9)&amp;".",IF(OR($E9="1-CRITICAL",$E9="2-HIGH"),"Priority case: schedule "&amp;IF($L9="","a Lean workshop",$L9)&amp;" within 2 weeks. Track to "&amp;IF($N9="","target",$N9)&amp;".","Monitor: apply "&amp;IF($L9="","standard cadence",$L9)&amp;". Re-score if conditions change.")))))</f>
        <v/>
      </c>
      <c r="V9">
        <f>IF($C9="","",IF($I9="",0,$I9)+ROW()/100000)</f>
        <v/>
      </c>
    </row>
    <row r="10">
      <c r="A10" s="8">
        <f>IF($C10="","",TEXT(7,"\C\A\S\E-000"))</f>
        <v/>
      </c>
      <c r="B10" s="9" t="n"/>
      <c r="C10" s="10" t="n"/>
      <c r="D10" s="11" t="n"/>
      <c r="E10" s="11" t="n"/>
      <c r="F10" s="11" t="n"/>
      <c r="G10" s="11" t="n"/>
      <c r="H10" s="11" t="n"/>
      <c r="I10" s="8">
        <f>IF($C10="","",IF(COUNT(F10,G10,H10)=3,F10*G10*H10,""))</f>
        <v/>
      </c>
      <c r="J10" s="8">
        <f>IF($I10="","",IF($I10&gt;=200,"1-CRITICAL",IF($I10&gt;=100,"2-HIGH",IF($I10&gt;=50,"3-MEDIUM","4-LOW"))))</f>
        <v/>
      </c>
      <c r="K10" s="10" t="n"/>
      <c r="L10" s="11" t="n"/>
      <c r="M10" s="11" t="n"/>
      <c r="N10" s="10" t="n"/>
      <c r="O10" s="9" t="n"/>
      <c r="P10" s="8">
        <f>IF($C10="","",ROUND(IF($E10="1-CRITICAL",7,IF($E10="2-HIGH",14,IF($E10="3-MEDIUM",30,45)))*(1+IF($I10="",0,$I10)/400),0))</f>
        <v/>
      </c>
      <c r="Q10" s="12">
        <f>IF(OR($C10="",$O10=""),"",$O10+$P10)</f>
        <v/>
      </c>
      <c r="R10" s="11" t="n"/>
      <c r="S10" s="13" t="n"/>
      <c r="T10" s="8">
        <f>IF($C10="","",IF($R10="CLOSED","Closed",IF($R10="RESOLVED","Resolved",IF($R10="BLOCKED","BLOCKED",IF($I10&gt;=200,"CRITICAL",IF($I10&gt;=100,"High",IF($E10="1-CRITICAL","High","On track")))))))</f>
        <v/>
      </c>
      <c r="U10" s="14">
        <f>IF($C10="","",IF($R10="CLOSED","Closed - capture lessons learned in PDCA Act phase.",IF($I10&gt;=200,"CRITICAL (RPN "&amp;$I10&amp;"): Escalate today. Open FMEA action + daily PDCA. Owner "&amp;IF($M10="","?",$M10)&amp;". Apply "&amp;IF($L10="","a Lean method",$L10)&amp;". Close by "&amp;IF($Q10="","ASAP",TEXT($Q10,"dd-mmm"))&amp;".",IF($I10&gt;=100,"HIGH (RPN "&amp;$I10&amp;"): Add to current sprint. Mitigate via "&amp;IF($L10="","Standard Work",$L10)&amp;". Review weekly with "&amp;IF($M10="","owner",$M10)&amp;".",IF(OR($E10="1-CRITICAL",$E10="2-HIGH"),"Priority case: schedule "&amp;IF($L10="","a Lean workshop",$L10)&amp;" within 2 weeks. Track to "&amp;IF($N10="","target",$N10)&amp;".","Monitor: apply "&amp;IF($L10="","standard cadence",$L10)&amp;". Re-score if conditions change.")))))</f>
        <v/>
      </c>
      <c r="V10">
        <f>IF($C10="","",IF($I10="",0,$I10)+ROW()/100000)</f>
        <v/>
      </c>
    </row>
    <row r="11">
      <c r="A11" s="8">
        <f>IF($C11="","",TEXT(8,"\C\A\S\E-000"))</f>
        <v/>
      </c>
      <c r="B11" s="9" t="n"/>
      <c r="C11" s="10" t="n"/>
      <c r="D11" s="11" t="n"/>
      <c r="E11" s="11" t="n"/>
      <c r="F11" s="11" t="n"/>
      <c r="G11" s="11" t="n"/>
      <c r="H11" s="11" t="n"/>
      <c r="I11" s="8">
        <f>IF($C11="","",IF(COUNT(F11,G11,H11)=3,F11*G11*H11,""))</f>
        <v/>
      </c>
      <c r="J11" s="8">
        <f>IF($I11="","",IF($I11&gt;=200,"1-CRITICAL",IF($I11&gt;=100,"2-HIGH",IF($I11&gt;=50,"3-MEDIUM","4-LOW"))))</f>
        <v/>
      </c>
      <c r="K11" s="10" t="n"/>
      <c r="L11" s="11" t="n"/>
      <c r="M11" s="11" t="n"/>
      <c r="N11" s="10" t="n"/>
      <c r="O11" s="9" t="n"/>
      <c r="P11" s="8">
        <f>IF($C11="","",ROUND(IF($E11="1-CRITICAL",7,IF($E11="2-HIGH",14,IF($E11="3-MEDIUM",30,45)))*(1+IF($I11="",0,$I11)/400),0))</f>
        <v/>
      </c>
      <c r="Q11" s="12">
        <f>IF(OR($C11="",$O11=""),"",$O11+$P11)</f>
        <v/>
      </c>
      <c r="R11" s="11" t="n"/>
      <c r="S11" s="13" t="n"/>
      <c r="T11" s="8">
        <f>IF($C11="","",IF($R11="CLOSED","Closed",IF($R11="RESOLVED","Resolved",IF($R11="BLOCKED","BLOCKED",IF($I11&gt;=200,"CRITICAL",IF($I11&gt;=100,"High",IF($E11="1-CRITICAL","High","On track")))))))</f>
        <v/>
      </c>
      <c r="U11" s="14">
        <f>IF($C11="","",IF($R11="CLOSED","Closed - capture lessons learned in PDCA Act phase.",IF($I11&gt;=200,"CRITICAL (RPN "&amp;$I11&amp;"): Escalate today. Open FMEA action + daily PDCA. Owner "&amp;IF($M11="","?",$M11)&amp;". Apply "&amp;IF($L11="","a Lean method",$L11)&amp;". Close by "&amp;IF($Q11="","ASAP",TEXT($Q11,"dd-mmm"))&amp;".",IF($I11&gt;=100,"HIGH (RPN "&amp;$I11&amp;"): Add to current sprint. Mitigate via "&amp;IF($L11="","Standard Work",$L11)&amp;". Review weekly with "&amp;IF($M11="","owner",$M11)&amp;".",IF(OR($E11="1-CRITICAL",$E11="2-HIGH"),"Priority case: schedule "&amp;IF($L11="","a Lean workshop",$L11)&amp;" within 2 weeks. Track to "&amp;IF($N11="","target",$N11)&amp;".","Monitor: apply "&amp;IF($L11="","standard cadence",$L11)&amp;". Re-score if conditions change.")))))</f>
        <v/>
      </c>
      <c r="V11">
        <f>IF($C11="","",IF($I11="",0,$I11)+ROW()/100000)</f>
        <v/>
      </c>
    </row>
    <row r="12">
      <c r="A12" s="8">
        <f>IF($C12="","",TEXT(9,"\C\A\S\E-000"))</f>
        <v/>
      </c>
      <c r="B12" s="9" t="n"/>
      <c r="C12" s="10" t="n"/>
      <c r="D12" s="11" t="n"/>
      <c r="E12" s="11" t="n"/>
      <c r="F12" s="11" t="n"/>
      <c r="G12" s="11" t="n"/>
      <c r="H12" s="11" t="n"/>
      <c r="I12" s="8">
        <f>IF($C12="","",IF(COUNT(F12,G12,H12)=3,F12*G12*H12,""))</f>
        <v/>
      </c>
      <c r="J12" s="8">
        <f>IF($I12="","",IF($I12&gt;=200,"1-CRITICAL",IF($I12&gt;=100,"2-HIGH",IF($I12&gt;=50,"3-MEDIUM","4-LOW"))))</f>
        <v/>
      </c>
      <c r="K12" s="10" t="n"/>
      <c r="L12" s="11" t="n"/>
      <c r="M12" s="11" t="n"/>
      <c r="N12" s="10" t="n"/>
      <c r="O12" s="9" t="n"/>
      <c r="P12" s="8">
        <f>IF($C12="","",ROUND(IF($E12="1-CRITICAL",7,IF($E12="2-HIGH",14,IF($E12="3-MEDIUM",30,45)))*(1+IF($I12="",0,$I12)/400),0))</f>
        <v/>
      </c>
      <c r="Q12" s="12">
        <f>IF(OR($C12="",$O12=""),"",$O12+$P12)</f>
        <v/>
      </c>
      <c r="R12" s="11" t="n"/>
      <c r="S12" s="13" t="n"/>
      <c r="T12" s="8">
        <f>IF($C12="","",IF($R12="CLOSED","Closed",IF($R12="RESOLVED","Resolved",IF($R12="BLOCKED","BLOCKED",IF($I12&gt;=200,"CRITICAL",IF($I12&gt;=100,"High",IF($E12="1-CRITICAL","High","On track")))))))</f>
        <v/>
      </c>
      <c r="U12" s="14">
        <f>IF($C12="","",IF($R12="CLOSED","Closed - capture lessons learned in PDCA Act phase.",IF($I12&gt;=200,"CRITICAL (RPN "&amp;$I12&amp;"): Escalate today. Open FMEA action + daily PDCA. Owner "&amp;IF($M12="","?",$M12)&amp;". Apply "&amp;IF($L12="","a Lean method",$L12)&amp;". Close by "&amp;IF($Q12="","ASAP",TEXT($Q12,"dd-mmm"))&amp;".",IF($I12&gt;=100,"HIGH (RPN "&amp;$I12&amp;"): Add to current sprint. Mitigate via "&amp;IF($L12="","Standard Work",$L12)&amp;". Review weekly with "&amp;IF($M12="","owner",$M12)&amp;".",IF(OR($E12="1-CRITICAL",$E12="2-HIGH"),"Priority case: schedule "&amp;IF($L12="","a Lean workshop",$L12)&amp;" within 2 weeks. Track to "&amp;IF($N12="","target",$N12)&amp;".","Monitor: apply "&amp;IF($L12="","standard cadence",$L12)&amp;". Re-score if conditions change.")))))</f>
        <v/>
      </c>
      <c r="V12">
        <f>IF($C12="","",IF($I12="",0,$I12)+ROW()/100000)</f>
        <v/>
      </c>
    </row>
    <row r="13">
      <c r="A13" s="8">
        <f>IF($C13="","",TEXT(10,"\C\A\S\E-000"))</f>
        <v/>
      </c>
      <c r="B13" s="9" t="n"/>
      <c r="C13" s="10" t="n"/>
      <c r="D13" s="11" t="n"/>
      <c r="E13" s="11" t="n"/>
      <c r="F13" s="11" t="n"/>
      <c r="G13" s="11" t="n"/>
      <c r="H13" s="11" t="n"/>
      <c r="I13" s="8">
        <f>IF($C13="","",IF(COUNT(F13,G13,H13)=3,F13*G13*H13,""))</f>
        <v/>
      </c>
      <c r="J13" s="8">
        <f>IF($I13="","",IF($I13&gt;=200,"1-CRITICAL",IF($I13&gt;=100,"2-HIGH",IF($I13&gt;=50,"3-MEDIUM","4-LOW"))))</f>
        <v/>
      </c>
      <c r="K13" s="10" t="n"/>
      <c r="L13" s="11" t="n"/>
      <c r="M13" s="11" t="n"/>
      <c r="N13" s="10" t="n"/>
      <c r="O13" s="9" t="n"/>
      <c r="P13" s="8">
        <f>IF($C13="","",ROUND(IF($E13="1-CRITICAL",7,IF($E13="2-HIGH",14,IF($E13="3-MEDIUM",30,45)))*(1+IF($I13="",0,$I13)/400),0))</f>
        <v/>
      </c>
      <c r="Q13" s="12">
        <f>IF(OR($C13="",$O13=""),"",$O13+$P13)</f>
        <v/>
      </c>
      <c r="R13" s="11" t="n"/>
      <c r="S13" s="13" t="n"/>
      <c r="T13" s="8">
        <f>IF($C13="","",IF($R13="CLOSED","Closed",IF($R13="RESOLVED","Resolved",IF($R13="BLOCKED","BLOCKED",IF($I13&gt;=200,"CRITICAL",IF($I13&gt;=100,"High",IF($E13="1-CRITICAL","High","On track")))))))</f>
        <v/>
      </c>
      <c r="U13" s="14">
        <f>IF($C13="","",IF($R13="CLOSED","Closed - capture lessons learned in PDCA Act phase.",IF($I13&gt;=200,"CRITICAL (RPN "&amp;$I13&amp;"): Escalate today. Open FMEA action + daily PDCA. Owner "&amp;IF($M13="","?",$M13)&amp;". Apply "&amp;IF($L13="","a Lean method",$L13)&amp;". Close by "&amp;IF($Q13="","ASAP",TEXT($Q13,"dd-mmm"))&amp;".",IF($I13&gt;=100,"HIGH (RPN "&amp;$I13&amp;"): Add to current sprint. Mitigate via "&amp;IF($L13="","Standard Work",$L13)&amp;". Review weekly with "&amp;IF($M13="","owner",$M13)&amp;".",IF(OR($E13="1-CRITICAL",$E13="2-HIGH"),"Priority case: schedule "&amp;IF($L13="","a Lean workshop",$L13)&amp;" within 2 weeks. Track to "&amp;IF($N13="","target",$N13)&amp;".","Monitor: apply "&amp;IF($L13="","standard cadence",$L13)&amp;". Re-score if conditions change.")))))</f>
        <v/>
      </c>
      <c r="V13">
        <f>IF($C13="","",IF($I13="",0,$I13)+ROW()/100000)</f>
        <v/>
      </c>
    </row>
    <row r="14">
      <c r="A14" s="8">
        <f>IF($C14="","",TEXT(11,"\C\A\S\E-000"))</f>
        <v/>
      </c>
      <c r="B14" s="9" t="n"/>
      <c r="C14" s="10" t="n"/>
      <c r="D14" s="11" t="n"/>
      <c r="E14" s="11" t="n"/>
      <c r="F14" s="11" t="n"/>
      <c r="G14" s="11" t="n"/>
      <c r="H14" s="11" t="n"/>
      <c r="I14" s="8">
        <f>IF($C14="","",IF(COUNT(F14,G14,H14)=3,F14*G14*H14,""))</f>
        <v/>
      </c>
      <c r="J14" s="8">
        <f>IF($I14="","",IF($I14&gt;=200,"1-CRITICAL",IF($I14&gt;=100,"2-HIGH",IF($I14&gt;=50,"3-MEDIUM","4-LOW"))))</f>
        <v/>
      </c>
      <c r="K14" s="10" t="n"/>
      <c r="L14" s="11" t="n"/>
      <c r="M14" s="11" t="n"/>
      <c r="N14" s="10" t="n"/>
      <c r="O14" s="9" t="n"/>
      <c r="P14" s="8">
        <f>IF($C14="","",ROUND(IF($E14="1-CRITICAL",7,IF($E14="2-HIGH",14,IF($E14="3-MEDIUM",30,45)))*(1+IF($I14="",0,$I14)/400),0))</f>
        <v/>
      </c>
      <c r="Q14" s="12">
        <f>IF(OR($C14="",$O14=""),"",$O14+$P14)</f>
        <v/>
      </c>
      <c r="R14" s="11" t="n"/>
      <c r="S14" s="13" t="n"/>
      <c r="T14" s="8">
        <f>IF($C14="","",IF($R14="CLOSED","Closed",IF($R14="RESOLVED","Resolved",IF($R14="BLOCKED","BLOCKED",IF($I14&gt;=200,"CRITICAL",IF($I14&gt;=100,"High",IF($E14="1-CRITICAL","High","On track")))))))</f>
        <v/>
      </c>
      <c r="U14" s="14">
        <f>IF($C14="","",IF($R14="CLOSED","Closed - capture lessons learned in PDCA Act phase.",IF($I14&gt;=200,"CRITICAL (RPN "&amp;$I14&amp;"): Escalate today. Open FMEA action + daily PDCA. Owner "&amp;IF($M14="","?",$M14)&amp;". Apply "&amp;IF($L14="","a Lean method",$L14)&amp;". Close by "&amp;IF($Q14="","ASAP",TEXT($Q14,"dd-mmm"))&amp;".",IF($I14&gt;=100,"HIGH (RPN "&amp;$I14&amp;"): Add to current sprint. Mitigate via "&amp;IF($L14="","Standard Work",$L14)&amp;". Review weekly with "&amp;IF($M14="","owner",$M14)&amp;".",IF(OR($E14="1-CRITICAL",$E14="2-HIGH"),"Priority case: schedule "&amp;IF($L14="","a Lean workshop",$L14)&amp;" within 2 weeks. Track to "&amp;IF($N14="","target",$N14)&amp;".","Monitor: apply "&amp;IF($L14="","standard cadence",$L14)&amp;". Re-score if conditions change.")))))</f>
        <v/>
      </c>
      <c r="V14">
        <f>IF($C14="","",IF($I14="",0,$I14)+ROW()/100000)</f>
        <v/>
      </c>
    </row>
    <row r="15">
      <c r="A15" s="8">
        <f>IF($C15="","",TEXT(12,"\C\A\S\E-000"))</f>
        <v/>
      </c>
      <c r="B15" s="9" t="n"/>
      <c r="C15" s="10" t="n"/>
      <c r="D15" s="11" t="n"/>
      <c r="E15" s="11" t="n"/>
      <c r="F15" s="11" t="n"/>
      <c r="G15" s="11" t="n"/>
      <c r="H15" s="11" t="n"/>
      <c r="I15" s="8">
        <f>IF($C15="","",IF(COUNT(F15,G15,H15)=3,F15*G15*H15,""))</f>
        <v/>
      </c>
      <c r="J15" s="8">
        <f>IF($I15="","",IF($I15&gt;=200,"1-CRITICAL",IF($I15&gt;=100,"2-HIGH",IF($I15&gt;=50,"3-MEDIUM","4-LOW"))))</f>
        <v/>
      </c>
      <c r="K15" s="10" t="n"/>
      <c r="L15" s="11" t="n"/>
      <c r="M15" s="11" t="n"/>
      <c r="N15" s="10" t="n"/>
      <c r="O15" s="9" t="n"/>
      <c r="P15" s="8">
        <f>IF($C15="","",ROUND(IF($E15="1-CRITICAL",7,IF($E15="2-HIGH",14,IF($E15="3-MEDIUM",30,45)))*(1+IF($I15="",0,$I15)/400),0))</f>
        <v/>
      </c>
      <c r="Q15" s="12">
        <f>IF(OR($C15="",$O15=""),"",$O15+$P15)</f>
        <v/>
      </c>
      <c r="R15" s="11" t="n"/>
      <c r="S15" s="13" t="n"/>
      <c r="T15" s="8">
        <f>IF($C15="","",IF($R15="CLOSED","Closed",IF($R15="RESOLVED","Resolved",IF($R15="BLOCKED","BLOCKED",IF($I15&gt;=200,"CRITICAL",IF($I15&gt;=100,"High",IF($E15="1-CRITICAL","High","On track")))))))</f>
        <v/>
      </c>
      <c r="U15" s="14">
        <f>IF($C15="","",IF($R15="CLOSED","Closed - capture lessons learned in PDCA Act phase.",IF($I15&gt;=200,"CRITICAL (RPN "&amp;$I15&amp;"): Escalate today. Open FMEA action + daily PDCA. Owner "&amp;IF($M15="","?",$M15)&amp;". Apply "&amp;IF($L15="","a Lean method",$L15)&amp;". Close by "&amp;IF($Q15="","ASAP",TEXT($Q15,"dd-mmm"))&amp;".",IF($I15&gt;=100,"HIGH (RPN "&amp;$I15&amp;"): Add to current sprint. Mitigate via "&amp;IF($L15="","Standard Work",$L15)&amp;". Review weekly with "&amp;IF($M15="","owner",$M15)&amp;".",IF(OR($E15="1-CRITICAL",$E15="2-HIGH"),"Priority case: schedule "&amp;IF($L15="","a Lean workshop",$L15)&amp;" within 2 weeks. Track to "&amp;IF($N15="","target",$N15)&amp;".","Monitor: apply "&amp;IF($L15="","standard cadence",$L15)&amp;". Re-score if conditions change.")))))</f>
        <v/>
      </c>
      <c r="V15">
        <f>IF($C15="","",IF($I15="",0,$I15)+ROW()/100000)</f>
        <v/>
      </c>
    </row>
    <row r="16">
      <c r="A16" s="8">
        <f>IF($C16="","",TEXT(13,"\C\A\S\E-000"))</f>
        <v/>
      </c>
      <c r="B16" s="9" t="n"/>
      <c r="C16" s="10" t="n"/>
      <c r="D16" s="11" t="n"/>
      <c r="E16" s="11" t="n"/>
      <c r="F16" s="11" t="n"/>
      <c r="G16" s="11" t="n"/>
      <c r="H16" s="11" t="n"/>
      <c r="I16" s="8">
        <f>IF($C16="","",IF(COUNT(F16,G16,H16)=3,F16*G16*H16,""))</f>
        <v/>
      </c>
      <c r="J16" s="8">
        <f>IF($I16="","",IF($I16&gt;=200,"1-CRITICAL",IF($I16&gt;=100,"2-HIGH",IF($I16&gt;=50,"3-MEDIUM","4-LOW"))))</f>
        <v/>
      </c>
      <c r="K16" s="10" t="n"/>
      <c r="L16" s="11" t="n"/>
      <c r="M16" s="11" t="n"/>
      <c r="N16" s="10" t="n"/>
      <c r="O16" s="9" t="n"/>
      <c r="P16" s="8">
        <f>IF($C16="","",ROUND(IF($E16="1-CRITICAL",7,IF($E16="2-HIGH",14,IF($E16="3-MEDIUM",30,45)))*(1+IF($I16="",0,$I16)/400),0))</f>
        <v/>
      </c>
      <c r="Q16" s="12">
        <f>IF(OR($C16="",$O16=""),"",$O16+$P16)</f>
        <v/>
      </c>
      <c r="R16" s="11" t="n"/>
      <c r="S16" s="13" t="n"/>
      <c r="T16" s="8">
        <f>IF($C16="","",IF($R16="CLOSED","Closed",IF($R16="RESOLVED","Resolved",IF($R16="BLOCKED","BLOCKED",IF($I16&gt;=200,"CRITICAL",IF($I16&gt;=100,"High",IF($E16="1-CRITICAL","High","On track")))))))</f>
        <v/>
      </c>
      <c r="U16" s="14">
        <f>IF($C16="","",IF($R16="CLOSED","Closed - capture lessons learned in PDCA Act phase.",IF($I16&gt;=200,"CRITICAL (RPN "&amp;$I16&amp;"): Escalate today. Open FMEA action + daily PDCA. Owner "&amp;IF($M16="","?",$M16)&amp;". Apply "&amp;IF($L16="","a Lean method",$L16)&amp;". Close by "&amp;IF($Q16="","ASAP",TEXT($Q16,"dd-mmm"))&amp;".",IF($I16&gt;=100,"HIGH (RPN "&amp;$I16&amp;"): Add to current sprint. Mitigate via "&amp;IF($L16="","Standard Work",$L16)&amp;". Review weekly with "&amp;IF($M16="","owner",$M16)&amp;".",IF(OR($E16="1-CRITICAL",$E16="2-HIGH"),"Priority case: schedule "&amp;IF($L16="","a Lean workshop",$L16)&amp;" within 2 weeks. Track to "&amp;IF($N16="","target",$N16)&amp;".","Monitor: apply "&amp;IF($L16="","standard cadence",$L16)&amp;". Re-score if conditions change.")))))</f>
        <v/>
      </c>
      <c r="V16">
        <f>IF($C16="","",IF($I16="",0,$I16)+ROW()/100000)</f>
        <v/>
      </c>
    </row>
    <row r="17">
      <c r="A17" s="8">
        <f>IF($C17="","",TEXT(14,"\C\A\S\E-000"))</f>
        <v/>
      </c>
      <c r="B17" s="9" t="n"/>
      <c r="C17" s="10" t="n"/>
      <c r="D17" s="11" t="n"/>
      <c r="E17" s="11" t="n"/>
      <c r="F17" s="11" t="n"/>
      <c r="G17" s="11" t="n"/>
      <c r="H17" s="11" t="n"/>
      <c r="I17" s="8">
        <f>IF($C17="","",IF(COUNT(F17,G17,H17)=3,F17*G17*H17,""))</f>
        <v/>
      </c>
      <c r="J17" s="8">
        <f>IF($I17="","",IF($I17&gt;=200,"1-CRITICAL",IF($I17&gt;=100,"2-HIGH",IF($I17&gt;=50,"3-MEDIUM","4-LOW"))))</f>
        <v/>
      </c>
      <c r="K17" s="10" t="n"/>
      <c r="L17" s="11" t="n"/>
      <c r="M17" s="11" t="n"/>
      <c r="N17" s="10" t="n"/>
      <c r="O17" s="9" t="n"/>
      <c r="P17" s="8">
        <f>IF($C17="","",ROUND(IF($E17="1-CRITICAL",7,IF($E17="2-HIGH",14,IF($E17="3-MEDIUM",30,45)))*(1+IF($I17="",0,$I17)/400),0))</f>
        <v/>
      </c>
      <c r="Q17" s="12">
        <f>IF(OR($C17="",$O17=""),"",$O17+$P17)</f>
        <v/>
      </c>
      <c r="R17" s="11" t="n"/>
      <c r="S17" s="13" t="n"/>
      <c r="T17" s="8">
        <f>IF($C17="","",IF($R17="CLOSED","Closed",IF($R17="RESOLVED","Resolved",IF($R17="BLOCKED","BLOCKED",IF($I17&gt;=200,"CRITICAL",IF($I17&gt;=100,"High",IF($E17="1-CRITICAL","High","On track")))))))</f>
        <v/>
      </c>
      <c r="U17" s="14">
        <f>IF($C17="","",IF($R17="CLOSED","Closed - capture lessons learned in PDCA Act phase.",IF($I17&gt;=200,"CRITICAL (RPN "&amp;$I17&amp;"): Escalate today. Open FMEA action + daily PDCA. Owner "&amp;IF($M17="","?",$M17)&amp;". Apply "&amp;IF($L17="","a Lean method",$L17)&amp;". Close by "&amp;IF($Q17="","ASAP",TEXT($Q17,"dd-mmm"))&amp;".",IF($I17&gt;=100,"HIGH (RPN "&amp;$I17&amp;"): Add to current sprint. Mitigate via "&amp;IF($L17="","Standard Work",$L17)&amp;". Review weekly with "&amp;IF($M17="","owner",$M17)&amp;".",IF(OR($E17="1-CRITICAL",$E17="2-HIGH"),"Priority case: schedule "&amp;IF($L17="","a Lean workshop",$L17)&amp;" within 2 weeks. Track to "&amp;IF($N17="","target",$N17)&amp;".","Monitor: apply "&amp;IF($L17="","standard cadence",$L17)&amp;". Re-score if conditions change.")))))</f>
        <v/>
      </c>
      <c r="V17">
        <f>IF($C17="","",IF($I17="",0,$I17)+ROW()/100000)</f>
        <v/>
      </c>
    </row>
    <row r="18">
      <c r="A18" s="8">
        <f>IF($C18="","",TEXT(15,"\C\A\S\E-000"))</f>
        <v/>
      </c>
      <c r="B18" s="9" t="n"/>
      <c r="C18" s="10" t="n"/>
      <c r="D18" s="11" t="n"/>
      <c r="E18" s="11" t="n"/>
      <c r="F18" s="11" t="n"/>
      <c r="G18" s="11" t="n"/>
      <c r="H18" s="11" t="n"/>
      <c r="I18" s="8">
        <f>IF($C18="","",IF(COUNT(F18,G18,H18)=3,F18*G18*H18,""))</f>
        <v/>
      </c>
      <c r="J18" s="8">
        <f>IF($I18="","",IF($I18&gt;=200,"1-CRITICAL",IF($I18&gt;=100,"2-HIGH",IF($I18&gt;=50,"3-MEDIUM","4-LOW"))))</f>
        <v/>
      </c>
      <c r="K18" s="10" t="n"/>
      <c r="L18" s="11" t="n"/>
      <c r="M18" s="11" t="n"/>
      <c r="N18" s="10" t="n"/>
      <c r="O18" s="9" t="n"/>
      <c r="P18" s="8">
        <f>IF($C18="","",ROUND(IF($E18="1-CRITICAL",7,IF($E18="2-HIGH",14,IF($E18="3-MEDIUM",30,45)))*(1+IF($I18="",0,$I18)/400),0))</f>
        <v/>
      </c>
      <c r="Q18" s="12">
        <f>IF(OR($C18="",$O18=""),"",$O18+$P18)</f>
        <v/>
      </c>
      <c r="R18" s="11" t="n"/>
      <c r="S18" s="13" t="n"/>
      <c r="T18" s="8">
        <f>IF($C18="","",IF($R18="CLOSED","Closed",IF($R18="RESOLVED","Resolved",IF($R18="BLOCKED","BLOCKED",IF($I18&gt;=200,"CRITICAL",IF($I18&gt;=100,"High",IF($E18="1-CRITICAL","High","On track")))))))</f>
        <v/>
      </c>
      <c r="U18" s="14">
        <f>IF($C18="","",IF($R18="CLOSED","Closed - capture lessons learned in PDCA Act phase.",IF($I18&gt;=200,"CRITICAL (RPN "&amp;$I18&amp;"): Escalate today. Open FMEA action + daily PDCA. Owner "&amp;IF($M18="","?",$M18)&amp;". Apply "&amp;IF($L18="","a Lean method",$L18)&amp;". Close by "&amp;IF($Q18="","ASAP",TEXT($Q18,"dd-mmm"))&amp;".",IF($I18&gt;=100,"HIGH (RPN "&amp;$I18&amp;"): Add to current sprint. Mitigate via "&amp;IF($L18="","Standard Work",$L18)&amp;". Review weekly with "&amp;IF($M18="","owner",$M18)&amp;".",IF(OR($E18="1-CRITICAL",$E18="2-HIGH"),"Priority case: schedule "&amp;IF($L18="","a Lean workshop",$L18)&amp;" within 2 weeks. Track to "&amp;IF($N18="","target",$N18)&amp;".","Monitor: apply "&amp;IF($L18="","standard cadence",$L18)&amp;". Re-score if conditions change.")))))</f>
        <v/>
      </c>
      <c r="V18">
        <f>IF($C18="","",IF($I18="",0,$I18)+ROW()/100000)</f>
        <v/>
      </c>
    </row>
    <row r="19">
      <c r="A19" s="8">
        <f>IF($C19="","",TEXT(16,"\C\A\S\E-000"))</f>
        <v/>
      </c>
      <c r="B19" s="9" t="n"/>
      <c r="C19" s="10" t="n"/>
      <c r="D19" s="11" t="n"/>
      <c r="E19" s="11" t="n"/>
      <c r="F19" s="11" t="n"/>
      <c r="G19" s="11" t="n"/>
      <c r="H19" s="11" t="n"/>
      <c r="I19" s="8">
        <f>IF($C19="","",IF(COUNT(F19,G19,H19)=3,F19*G19*H19,""))</f>
        <v/>
      </c>
      <c r="J19" s="8">
        <f>IF($I19="","",IF($I19&gt;=200,"1-CRITICAL",IF($I19&gt;=100,"2-HIGH",IF($I19&gt;=50,"3-MEDIUM","4-LOW"))))</f>
        <v/>
      </c>
      <c r="K19" s="10" t="n"/>
      <c r="L19" s="11" t="n"/>
      <c r="M19" s="11" t="n"/>
      <c r="N19" s="10" t="n"/>
      <c r="O19" s="9" t="n"/>
      <c r="P19" s="8">
        <f>IF($C19="","",ROUND(IF($E19="1-CRITICAL",7,IF($E19="2-HIGH",14,IF($E19="3-MEDIUM",30,45)))*(1+IF($I19="",0,$I19)/400),0))</f>
        <v/>
      </c>
      <c r="Q19" s="12">
        <f>IF(OR($C19="",$O19=""),"",$O19+$P19)</f>
        <v/>
      </c>
      <c r="R19" s="11" t="n"/>
      <c r="S19" s="13" t="n"/>
      <c r="T19" s="8">
        <f>IF($C19="","",IF($R19="CLOSED","Closed",IF($R19="RESOLVED","Resolved",IF($R19="BLOCKED","BLOCKED",IF($I19&gt;=200,"CRITICAL",IF($I19&gt;=100,"High",IF($E19="1-CRITICAL","High","On track")))))))</f>
        <v/>
      </c>
      <c r="U19" s="14">
        <f>IF($C19="","",IF($R19="CLOSED","Closed - capture lessons learned in PDCA Act phase.",IF($I19&gt;=200,"CRITICAL (RPN "&amp;$I19&amp;"): Escalate today. Open FMEA action + daily PDCA. Owner "&amp;IF($M19="","?",$M19)&amp;". Apply "&amp;IF($L19="","a Lean method",$L19)&amp;". Close by "&amp;IF($Q19="","ASAP",TEXT($Q19,"dd-mmm"))&amp;".",IF($I19&gt;=100,"HIGH (RPN "&amp;$I19&amp;"): Add to current sprint. Mitigate via "&amp;IF($L19="","Standard Work",$L19)&amp;". Review weekly with "&amp;IF($M19="","owner",$M19)&amp;".",IF(OR($E19="1-CRITICAL",$E19="2-HIGH"),"Priority case: schedule "&amp;IF($L19="","a Lean workshop",$L19)&amp;" within 2 weeks. Track to "&amp;IF($N19="","target",$N19)&amp;".","Monitor: apply "&amp;IF($L19="","standard cadence",$L19)&amp;". Re-score if conditions change.")))))</f>
        <v/>
      </c>
      <c r="V19">
        <f>IF($C19="","",IF($I19="",0,$I19)+ROW()/100000)</f>
        <v/>
      </c>
    </row>
    <row r="20">
      <c r="A20" s="8">
        <f>IF($C20="","",TEXT(17,"\C\A\S\E-000"))</f>
        <v/>
      </c>
      <c r="B20" s="9" t="n"/>
      <c r="C20" s="10" t="n"/>
      <c r="D20" s="11" t="n"/>
      <c r="E20" s="11" t="n"/>
      <c r="F20" s="11" t="n"/>
      <c r="G20" s="11" t="n"/>
      <c r="H20" s="11" t="n"/>
      <c r="I20" s="8">
        <f>IF($C20="","",IF(COUNT(F20,G20,H20)=3,F20*G20*H20,""))</f>
        <v/>
      </c>
      <c r="J20" s="8">
        <f>IF($I20="","",IF($I20&gt;=200,"1-CRITICAL",IF($I20&gt;=100,"2-HIGH",IF($I20&gt;=50,"3-MEDIUM","4-LOW"))))</f>
        <v/>
      </c>
      <c r="K20" s="10" t="n"/>
      <c r="L20" s="11" t="n"/>
      <c r="M20" s="11" t="n"/>
      <c r="N20" s="10" t="n"/>
      <c r="O20" s="9" t="n"/>
      <c r="P20" s="8">
        <f>IF($C20="","",ROUND(IF($E20="1-CRITICAL",7,IF($E20="2-HIGH",14,IF($E20="3-MEDIUM",30,45)))*(1+IF($I20="",0,$I20)/400),0))</f>
        <v/>
      </c>
      <c r="Q20" s="12">
        <f>IF(OR($C20="",$O20=""),"",$O20+$P20)</f>
        <v/>
      </c>
      <c r="R20" s="11" t="n"/>
      <c r="S20" s="13" t="n"/>
      <c r="T20" s="8">
        <f>IF($C20="","",IF($R20="CLOSED","Closed",IF($R20="RESOLVED","Resolved",IF($R20="BLOCKED","BLOCKED",IF($I20&gt;=200,"CRITICAL",IF($I20&gt;=100,"High",IF($E20="1-CRITICAL","High","On track")))))))</f>
        <v/>
      </c>
      <c r="U20" s="14">
        <f>IF($C20="","",IF($R20="CLOSED","Closed - capture lessons learned in PDCA Act phase.",IF($I20&gt;=200,"CRITICAL (RPN "&amp;$I20&amp;"): Escalate today. Open FMEA action + daily PDCA. Owner "&amp;IF($M20="","?",$M20)&amp;". Apply "&amp;IF($L20="","a Lean method",$L20)&amp;". Close by "&amp;IF($Q20="","ASAP",TEXT($Q20,"dd-mmm"))&amp;".",IF($I20&gt;=100,"HIGH (RPN "&amp;$I20&amp;"): Add to current sprint. Mitigate via "&amp;IF($L20="","Standard Work",$L20)&amp;". Review weekly with "&amp;IF($M20="","owner",$M20)&amp;".",IF(OR($E20="1-CRITICAL",$E20="2-HIGH"),"Priority case: schedule "&amp;IF($L20="","a Lean workshop",$L20)&amp;" within 2 weeks. Track to "&amp;IF($N20="","target",$N20)&amp;".","Monitor: apply "&amp;IF($L20="","standard cadence",$L20)&amp;". Re-score if conditions change.")))))</f>
        <v/>
      </c>
      <c r="V20">
        <f>IF($C20="","",IF($I20="",0,$I20)+ROW()/100000)</f>
        <v/>
      </c>
    </row>
    <row r="21">
      <c r="A21" s="8">
        <f>IF($C21="","",TEXT(18,"\C\A\S\E-000"))</f>
        <v/>
      </c>
      <c r="B21" s="9" t="n"/>
      <c r="C21" s="10" t="n"/>
      <c r="D21" s="11" t="n"/>
      <c r="E21" s="11" t="n"/>
      <c r="F21" s="11" t="n"/>
      <c r="G21" s="11" t="n"/>
      <c r="H21" s="11" t="n"/>
      <c r="I21" s="8">
        <f>IF($C21="","",IF(COUNT(F21,G21,H21)=3,F21*G21*H21,""))</f>
        <v/>
      </c>
      <c r="J21" s="8">
        <f>IF($I21="","",IF($I21&gt;=200,"1-CRITICAL",IF($I21&gt;=100,"2-HIGH",IF($I21&gt;=50,"3-MEDIUM","4-LOW"))))</f>
        <v/>
      </c>
      <c r="K21" s="10" t="n"/>
      <c r="L21" s="11" t="n"/>
      <c r="M21" s="11" t="n"/>
      <c r="N21" s="10" t="n"/>
      <c r="O21" s="9" t="n"/>
      <c r="P21" s="8">
        <f>IF($C21="","",ROUND(IF($E21="1-CRITICAL",7,IF($E21="2-HIGH",14,IF($E21="3-MEDIUM",30,45)))*(1+IF($I21="",0,$I21)/400),0))</f>
        <v/>
      </c>
      <c r="Q21" s="12">
        <f>IF(OR($C21="",$O21=""),"",$O21+$P21)</f>
        <v/>
      </c>
      <c r="R21" s="11" t="n"/>
      <c r="S21" s="13" t="n"/>
      <c r="T21" s="8">
        <f>IF($C21="","",IF($R21="CLOSED","Closed",IF($R21="RESOLVED","Resolved",IF($R21="BLOCKED","BLOCKED",IF($I21&gt;=200,"CRITICAL",IF($I21&gt;=100,"High",IF($E21="1-CRITICAL","High","On track")))))))</f>
        <v/>
      </c>
      <c r="U21" s="14">
        <f>IF($C21="","",IF($R21="CLOSED","Closed - capture lessons learned in PDCA Act phase.",IF($I21&gt;=200,"CRITICAL (RPN "&amp;$I21&amp;"): Escalate today. Open FMEA action + daily PDCA. Owner "&amp;IF($M21="","?",$M21)&amp;". Apply "&amp;IF($L21="","a Lean method",$L21)&amp;". Close by "&amp;IF($Q21="","ASAP",TEXT($Q21,"dd-mmm"))&amp;".",IF($I21&gt;=100,"HIGH (RPN "&amp;$I21&amp;"): Add to current sprint. Mitigate via "&amp;IF($L21="","Standard Work",$L21)&amp;". Review weekly with "&amp;IF($M21="","owner",$M21)&amp;".",IF(OR($E21="1-CRITICAL",$E21="2-HIGH"),"Priority case: schedule "&amp;IF($L21="","a Lean workshop",$L21)&amp;" within 2 weeks. Track to "&amp;IF($N21="","target",$N21)&amp;".","Monitor: apply "&amp;IF($L21="","standard cadence",$L21)&amp;". Re-score if conditions change.")))))</f>
        <v/>
      </c>
      <c r="V21">
        <f>IF($C21="","",IF($I21="",0,$I21)+ROW()/100000)</f>
        <v/>
      </c>
    </row>
    <row r="22">
      <c r="A22" s="8">
        <f>IF($C22="","",TEXT(19,"\C\A\S\E-000"))</f>
        <v/>
      </c>
      <c r="B22" s="9" t="n"/>
      <c r="C22" s="10" t="n"/>
      <c r="D22" s="11" t="n"/>
      <c r="E22" s="11" t="n"/>
      <c r="F22" s="11" t="n"/>
      <c r="G22" s="11" t="n"/>
      <c r="H22" s="11" t="n"/>
      <c r="I22" s="8">
        <f>IF($C22="","",IF(COUNT(F22,G22,H22)=3,F22*G22*H22,""))</f>
        <v/>
      </c>
      <c r="J22" s="8">
        <f>IF($I22="","",IF($I22&gt;=200,"1-CRITICAL",IF($I22&gt;=100,"2-HIGH",IF($I22&gt;=50,"3-MEDIUM","4-LOW"))))</f>
        <v/>
      </c>
      <c r="K22" s="10" t="n"/>
      <c r="L22" s="11" t="n"/>
      <c r="M22" s="11" t="n"/>
      <c r="N22" s="10" t="n"/>
      <c r="O22" s="9" t="n"/>
      <c r="P22" s="8">
        <f>IF($C22="","",ROUND(IF($E22="1-CRITICAL",7,IF($E22="2-HIGH",14,IF($E22="3-MEDIUM",30,45)))*(1+IF($I22="",0,$I22)/400),0))</f>
        <v/>
      </c>
      <c r="Q22" s="12">
        <f>IF(OR($C22="",$O22=""),"",$O22+$P22)</f>
        <v/>
      </c>
      <c r="R22" s="11" t="n"/>
      <c r="S22" s="13" t="n"/>
      <c r="T22" s="8">
        <f>IF($C22="","",IF($R22="CLOSED","Closed",IF($R22="RESOLVED","Resolved",IF($R22="BLOCKED","BLOCKED",IF($I22&gt;=200,"CRITICAL",IF($I22&gt;=100,"High",IF($E22="1-CRITICAL","High","On track")))))))</f>
        <v/>
      </c>
      <c r="U22" s="14">
        <f>IF($C22="","",IF($R22="CLOSED","Closed - capture lessons learned in PDCA Act phase.",IF($I22&gt;=200,"CRITICAL (RPN "&amp;$I22&amp;"): Escalate today. Open FMEA action + daily PDCA. Owner "&amp;IF($M22="","?",$M22)&amp;". Apply "&amp;IF($L22="","a Lean method",$L22)&amp;". Close by "&amp;IF($Q22="","ASAP",TEXT($Q22,"dd-mmm"))&amp;".",IF($I22&gt;=100,"HIGH (RPN "&amp;$I22&amp;"): Add to current sprint. Mitigate via "&amp;IF($L22="","Standard Work",$L22)&amp;". Review weekly with "&amp;IF($M22="","owner",$M22)&amp;".",IF(OR($E22="1-CRITICAL",$E22="2-HIGH"),"Priority case: schedule "&amp;IF($L22="","a Lean workshop",$L22)&amp;" within 2 weeks. Track to "&amp;IF($N22="","target",$N22)&amp;".","Monitor: apply "&amp;IF($L22="","standard cadence",$L22)&amp;". Re-score if conditions change.")))))</f>
        <v/>
      </c>
      <c r="V22">
        <f>IF($C22="","",IF($I22="",0,$I22)+ROW()/100000)</f>
        <v/>
      </c>
    </row>
    <row r="23">
      <c r="A23" s="8">
        <f>IF($C23="","",TEXT(20,"\C\A\S\E-000"))</f>
        <v/>
      </c>
      <c r="B23" s="9" t="n"/>
      <c r="C23" s="10" t="n"/>
      <c r="D23" s="11" t="n"/>
      <c r="E23" s="11" t="n"/>
      <c r="F23" s="11" t="n"/>
      <c r="G23" s="11" t="n"/>
      <c r="H23" s="11" t="n"/>
      <c r="I23" s="8">
        <f>IF($C23="","",IF(COUNT(F23,G23,H23)=3,F23*G23*H23,""))</f>
        <v/>
      </c>
      <c r="J23" s="8">
        <f>IF($I23="","",IF($I23&gt;=200,"1-CRITICAL",IF($I23&gt;=100,"2-HIGH",IF($I23&gt;=50,"3-MEDIUM","4-LOW"))))</f>
        <v/>
      </c>
      <c r="K23" s="10" t="n"/>
      <c r="L23" s="11" t="n"/>
      <c r="M23" s="11" t="n"/>
      <c r="N23" s="10" t="n"/>
      <c r="O23" s="9" t="n"/>
      <c r="P23" s="8">
        <f>IF($C23="","",ROUND(IF($E23="1-CRITICAL",7,IF($E23="2-HIGH",14,IF($E23="3-MEDIUM",30,45)))*(1+IF($I23="",0,$I23)/400),0))</f>
        <v/>
      </c>
      <c r="Q23" s="12">
        <f>IF(OR($C23="",$O23=""),"",$O23+$P23)</f>
        <v/>
      </c>
      <c r="R23" s="11" t="n"/>
      <c r="S23" s="13" t="n"/>
      <c r="T23" s="8">
        <f>IF($C23="","",IF($R23="CLOSED","Closed",IF($R23="RESOLVED","Resolved",IF($R23="BLOCKED","BLOCKED",IF($I23&gt;=200,"CRITICAL",IF($I23&gt;=100,"High",IF($E23="1-CRITICAL","High","On track")))))))</f>
        <v/>
      </c>
      <c r="U23" s="14">
        <f>IF($C23="","",IF($R23="CLOSED","Closed - capture lessons learned in PDCA Act phase.",IF($I23&gt;=200,"CRITICAL (RPN "&amp;$I23&amp;"): Escalate today. Open FMEA action + daily PDCA. Owner "&amp;IF($M23="","?",$M23)&amp;". Apply "&amp;IF($L23="","a Lean method",$L23)&amp;". Close by "&amp;IF($Q23="","ASAP",TEXT($Q23,"dd-mmm"))&amp;".",IF($I23&gt;=100,"HIGH (RPN "&amp;$I23&amp;"): Add to current sprint. Mitigate via "&amp;IF($L23="","Standard Work",$L23)&amp;". Review weekly with "&amp;IF($M23="","owner",$M23)&amp;".",IF(OR($E23="1-CRITICAL",$E23="2-HIGH"),"Priority case: schedule "&amp;IF($L23="","a Lean workshop",$L23)&amp;" within 2 weeks. Track to "&amp;IF($N23="","target",$N23)&amp;".","Monitor: apply "&amp;IF($L23="","standard cadence",$L23)&amp;". Re-score if conditions change.")))))</f>
        <v/>
      </c>
      <c r="V23">
        <f>IF($C23="","",IF($I23="",0,$I23)+ROW()/100000)</f>
        <v/>
      </c>
    </row>
    <row r="24">
      <c r="A24" s="8">
        <f>IF($C24="","",TEXT(21,"\C\A\S\E-000"))</f>
        <v/>
      </c>
      <c r="B24" s="9" t="n"/>
      <c r="C24" s="10" t="n"/>
      <c r="D24" s="11" t="n"/>
      <c r="E24" s="11" t="n"/>
      <c r="F24" s="11" t="n"/>
      <c r="G24" s="11" t="n"/>
      <c r="H24" s="11" t="n"/>
      <c r="I24" s="8">
        <f>IF($C24="","",IF(COUNT(F24,G24,H24)=3,F24*G24*H24,""))</f>
        <v/>
      </c>
      <c r="J24" s="8">
        <f>IF($I24="","",IF($I24&gt;=200,"1-CRITICAL",IF($I24&gt;=100,"2-HIGH",IF($I24&gt;=50,"3-MEDIUM","4-LOW"))))</f>
        <v/>
      </c>
      <c r="K24" s="10" t="n"/>
      <c r="L24" s="11" t="n"/>
      <c r="M24" s="11" t="n"/>
      <c r="N24" s="10" t="n"/>
      <c r="O24" s="9" t="n"/>
      <c r="P24" s="8">
        <f>IF($C24="","",ROUND(IF($E24="1-CRITICAL",7,IF($E24="2-HIGH",14,IF($E24="3-MEDIUM",30,45)))*(1+IF($I24="",0,$I24)/400),0))</f>
        <v/>
      </c>
      <c r="Q24" s="12">
        <f>IF(OR($C24="",$O24=""),"",$O24+$P24)</f>
        <v/>
      </c>
      <c r="R24" s="11" t="n"/>
      <c r="S24" s="13" t="n"/>
      <c r="T24" s="8">
        <f>IF($C24="","",IF($R24="CLOSED","Closed",IF($R24="RESOLVED","Resolved",IF($R24="BLOCKED","BLOCKED",IF($I24&gt;=200,"CRITICAL",IF($I24&gt;=100,"High",IF($E24="1-CRITICAL","High","On track")))))))</f>
        <v/>
      </c>
      <c r="U24" s="14">
        <f>IF($C24="","",IF($R24="CLOSED","Closed - capture lessons learned in PDCA Act phase.",IF($I24&gt;=200,"CRITICAL (RPN "&amp;$I24&amp;"): Escalate today. Open FMEA action + daily PDCA. Owner "&amp;IF($M24="","?",$M24)&amp;". Apply "&amp;IF($L24="","a Lean method",$L24)&amp;". Close by "&amp;IF($Q24="","ASAP",TEXT($Q24,"dd-mmm"))&amp;".",IF($I24&gt;=100,"HIGH (RPN "&amp;$I24&amp;"): Add to current sprint. Mitigate via "&amp;IF($L24="","Standard Work",$L24)&amp;". Review weekly with "&amp;IF($M24="","owner",$M24)&amp;".",IF(OR($E24="1-CRITICAL",$E24="2-HIGH"),"Priority case: schedule "&amp;IF($L24="","a Lean workshop",$L24)&amp;" within 2 weeks. Track to "&amp;IF($N24="","target",$N24)&amp;".","Monitor: apply "&amp;IF($L24="","standard cadence",$L24)&amp;". Re-score if conditions change.")))))</f>
        <v/>
      </c>
      <c r="V24">
        <f>IF($C24="","",IF($I24="",0,$I24)+ROW()/100000)</f>
        <v/>
      </c>
    </row>
    <row r="25">
      <c r="A25" s="8">
        <f>IF($C25="","",TEXT(22,"\C\A\S\E-000"))</f>
        <v/>
      </c>
      <c r="B25" s="9" t="n"/>
      <c r="C25" s="10" t="n"/>
      <c r="D25" s="11" t="n"/>
      <c r="E25" s="11" t="n"/>
      <c r="F25" s="11" t="n"/>
      <c r="G25" s="11" t="n"/>
      <c r="H25" s="11" t="n"/>
      <c r="I25" s="8">
        <f>IF($C25="","",IF(COUNT(F25,G25,H25)=3,F25*G25*H25,""))</f>
        <v/>
      </c>
      <c r="J25" s="8">
        <f>IF($I25="","",IF($I25&gt;=200,"1-CRITICAL",IF($I25&gt;=100,"2-HIGH",IF($I25&gt;=50,"3-MEDIUM","4-LOW"))))</f>
        <v/>
      </c>
      <c r="K25" s="10" t="n"/>
      <c r="L25" s="11" t="n"/>
      <c r="M25" s="11" t="n"/>
      <c r="N25" s="10" t="n"/>
      <c r="O25" s="9" t="n"/>
      <c r="P25" s="8">
        <f>IF($C25="","",ROUND(IF($E25="1-CRITICAL",7,IF($E25="2-HIGH",14,IF($E25="3-MEDIUM",30,45)))*(1+IF($I25="",0,$I25)/400),0))</f>
        <v/>
      </c>
      <c r="Q25" s="12">
        <f>IF(OR($C25="",$O25=""),"",$O25+$P25)</f>
        <v/>
      </c>
      <c r="R25" s="11" t="n"/>
      <c r="S25" s="13" t="n"/>
      <c r="T25" s="8">
        <f>IF($C25="","",IF($R25="CLOSED","Closed",IF($R25="RESOLVED","Resolved",IF($R25="BLOCKED","BLOCKED",IF($I25&gt;=200,"CRITICAL",IF($I25&gt;=100,"High",IF($E25="1-CRITICAL","High","On track")))))))</f>
        <v/>
      </c>
      <c r="U25" s="14">
        <f>IF($C25="","",IF($R25="CLOSED","Closed - capture lessons learned in PDCA Act phase.",IF($I25&gt;=200,"CRITICAL (RPN "&amp;$I25&amp;"): Escalate today. Open FMEA action + daily PDCA. Owner "&amp;IF($M25="","?",$M25)&amp;". Apply "&amp;IF($L25="","a Lean method",$L25)&amp;". Close by "&amp;IF($Q25="","ASAP",TEXT($Q25,"dd-mmm"))&amp;".",IF($I25&gt;=100,"HIGH (RPN "&amp;$I25&amp;"): Add to current sprint. Mitigate via "&amp;IF($L25="","Standard Work",$L25)&amp;". Review weekly with "&amp;IF($M25="","owner",$M25)&amp;".",IF(OR($E25="1-CRITICAL",$E25="2-HIGH"),"Priority case: schedule "&amp;IF($L25="","a Lean workshop",$L25)&amp;" within 2 weeks. Track to "&amp;IF($N25="","target",$N25)&amp;".","Monitor: apply "&amp;IF($L25="","standard cadence",$L25)&amp;". Re-score if conditions change.")))))</f>
        <v/>
      </c>
      <c r="V25">
        <f>IF($C25="","",IF($I25="",0,$I25)+ROW()/100000)</f>
        <v/>
      </c>
    </row>
    <row r="26">
      <c r="A26" s="8">
        <f>IF($C26="","",TEXT(23,"\C\A\S\E-000"))</f>
        <v/>
      </c>
      <c r="B26" s="9" t="n"/>
      <c r="C26" s="10" t="n"/>
      <c r="D26" s="11" t="n"/>
      <c r="E26" s="11" t="n"/>
      <c r="F26" s="11" t="n"/>
      <c r="G26" s="11" t="n"/>
      <c r="H26" s="11" t="n"/>
      <c r="I26" s="8">
        <f>IF($C26="","",IF(COUNT(F26,G26,H26)=3,F26*G26*H26,""))</f>
        <v/>
      </c>
      <c r="J26" s="8">
        <f>IF($I26="","",IF($I26&gt;=200,"1-CRITICAL",IF($I26&gt;=100,"2-HIGH",IF($I26&gt;=50,"3-MEDIUM","4-LOW"))))</f>
        <v/>
      </c>
      <c r="K26" s="10" t="n"/>
      <c r="L26" s="11" t="n"/>
      <c r="M26" s="11" t="n"/>
      <c r="N26" s="10" t="n"/>
      <c r="O26" s="9" t="n"/>
      <c r="P26" s="8">
        <f>IF($C26="","",ROUND(IF($E26="1-CRITICAL",7,IF($E26="2-HIGH",14,IF($E26="3-MEDIUM",30,45)))*(1+IF($I26="",0,$I26)/400),0))</f>
        <v/>
      </c>
      <c r="Q26" s="12">
        <f>IF(OR($C26="",$O26=""),"",$O26+$P26)</f>
        <v/>
      </c>
      <c r="R26" s="11" t="n"/>
      <c r="S26" s="13" t="n"/>
      <c r="T26" s="8">
        <f>IF($C26="","",IF($R26="CLOSED","Closed",IF($R26="RESOLVED","Resolved",IF($R26="BLOCKED","BLOCKED",IF($I26&gt;=200,"CRITICAL",IF($I26&gt;=100,"High",IF($E26="1-CRITICAL","High","On track")))))))</f>
        <v/>
      </c>
      <c r="U26" s="14">
        <f>IF($C26="","",IF($R26="CLOSED","Closed - capture lessons learned in PDCA Act phase.",IF($I26&gt;=200,"CRITICAL (RPN "&amp;$I26&amp;"): Escalate today. Open FMEA action + daily PDCA. Owner "&amp;IF($M26="","?",$M26)&amp;". Apply "&amp;IF($L26="","a Lean method",$L26)&amp;". Close by "&amp;IF($Q26="","ASAP",TEXT($Q26,"dd-mmm"))&amp;".",IF($I26&gt;=100,"HIGH (RPN "&amp;$I26&amp;"): Add to current sprint. Mitigate via "&amp;IF($L26="","Standard Work",$L26)&amp;". Review weekly with "&amp;IF($M26="","owner",$M26)&amp;".",IF(OR($E26="1-CRITICAL",$E26="2-HIGH"),"Priority case: schedule "&amp;IF($L26="","a Lean workshop",$L26)&amp;" within 2 weeks. Track to "&amp;IF($N26="","target",$N26)&amp;".","Monitor: apply "&amp;IF($L26="","standard cadence",$L26)&amp;". Re-score if conditions change.")))))</f>
        <v/>
      </c>
      <c r="V26">
        <f>IF($C26="","",IF($I26="",0,$I26)+ROW()/100000)</f>
        <v/>
      </c>
    </row>
    <row r="27">
      <c r="A27" s="8">
        <f>IF($C27="","",TEXT(24,"\C\A\S\E-000"))</f>
        <v/>
      </c>
      <c r="B27" s="9" t="n"/>
      <c r="C27" s="10" t="n"/>
      <c r="D27" s="11" t="n"/>
      <c r="E27" s="11" t="n"/>
      <c r="F27" s="11" t="n"/>
      <c r="G27" s="11" t="n"/>
      <c r="H27" s="11" t="n"/>
      <c r="I27" s="8">
        <f>IF($C27="","",IF(COUNT(F27,G27,H27)=3,F27*G27*H27,""))</f>
        <v/>
      </c>
      <c r="J27" s="8">
        <f>IF($I27="","",IF($I27&gt;=200,"1-CRITICAL",IF($I27&gt;=100,"2-HIGH",IF($I27&gt;=50,"3-MEDIUM","4-LOW"))))</f>
        <v/>
      </c>
      <c r="K27" s="10" t="n"/>
      <c r="L27" s="11" t="n"/>
      <c r="M27" s="11" t="n"/>
      <c r="N27" s="10" t="n"/>
      <c r="O27" s="9" t="n"/>
      <c r="P27" s="8">
        <f>IF($C27="","",ROUND(IF($E27="1-CRITICAL",7,IF($E27="2-HIGH",14,IF($E27="3-MEDIUM",30,45)))*(1+IF($I27="",0,$I27)/400),0))</f>
        <v/>
      </c>
      <c r="Q27" s="12">
        <f>IF(OR($C27="",$O27=""),"",$O27+$P27)</f>
        <v/>
      </c>
      <c r="R27" s="11" t="n"/>
      <c r="S27" s="13" t="n"/>
      <c r="T27" s="8">
        <f>IF($C27="","",IF($R27="CLOSED","Closed",IF($R27="RESOLVED","Resolved",IF($R27="BLOCKED","BLOCKED",IF($I27&gt;=200,"CRITICAL",IF($I27&gt;=100,"High",IF($E27="1-CRITICAL","High","On track")))))))</f>
        <v/>
      </c>
      <c r="U27" s="14">
        <f>IF($C27="","",IF($R27="CLOSED","Closed - capture lessons learned in PDCA Act phase.",IF($I27&gt;=200,"CRITICAL (RPN "&amp;$I27&amp;"): Escalate today. Open FMEA action + daily PDCA. Owner "&amp;IF($M27="","?",$M27)&amp;". Apply "&amp;IF($L27="","a Lean method",$L27)&amp;". Close by "&amp;IF($Q27="","ASAP",TEXT($Q27,"dd-mmm"))&amp;".",IF($I27&gt;=100,"HIGH (RPN "&amp;$I27&amp;"): Add to current sprint. Mitigate via "&amp;IF($L27="","Standard Work",$L27)&amp;". Review weekly with "&amp;IF($M27="","owner",$M27)&amp;".",IF(OR($E27="1-CRITICAL",$E27="2-HIGH"),"Priority case: schedule "&amp;IF($L27="","a Lean workshop",$L27)&amp;" within 2 weeks. Track to "&amp;IF($N27="","target",$N27)&amp;".","Monitor: apply "&amp;IF($L27="","standard cadence",$L27)&amp;". Re-score if conditions change.")))))</f>
        <v/>
      </c>
      <c r="V27">
        <f>IF($C27="","",IF($I27="",0,$I27)+ROW()/100000)</f>
        <v/>
      </c>
    </row>
    <row r="28">
      <c r="A28" s="8">
        <f>IF($C28="","",TEXT(25,"\C\A\S\E-000"))</f>
        <v/>
      </c>
      <c r="B28" s="9" t="n"/>
      <c r="C28" s="10" t="n"/>
      <c r="D28" s="11" t="n"/>
      <c r="E28" s="11" t="n"/>
      <c r="F28" s="11" t="n"/>
      <c r="G28" s="11" t="n"/>
      <c r="H28" s="11" t="n"/>
      <c r="I28" s="8">
        <f>IF($C28="","",IF(COUNT(F28,G28,H28)=3,F28*G28*H28,""))</f>
        <v/>
      </c>
      <c r="J28" s="8">
        <f>IF($I28="","",IF($I28&gt;=200,"1-CRITICAL",IF($I28&gt;=100,"2-HIGH",IF($I28&gt;=50,"3-MEDIUM","4-LOW"))))</f>
        <v/>
      </c>
      <c r="K28" s="10" t="n"/>
      <c r="L28" s="11" t="n"/>
      <c r="M28" s="11" t="n"/>
      <c r="N28" s="10" t="n"/>
      <c r="O28" s="9" t="n"/>
      <c r="P28" s="8">
        <f>IF($C28="","",ROUND(IF($E28="1-CRITICAL",7,IF($E28="2-HIGH",14,IF($E28="3-MEDIUM",30,45)))*(1+IF($I28="",0,$I28)/400),0))</f>
        <v/>
      </c>
      <c r="Q28" s="12">
        <f>IF(OR($C28="",$O28=""),"",$O28+$P28)</f>
        <v/>
      </c>
      <c r="R28" s="11" t="n"/>
      <c r="S28" s="13" t="n"/>
      <c r="T28" s="8">
        <f>IF($C28="","",IF($R28="CLOSED","Closed",IF($R28="RESOLVED","Resolved",IF($R28="BLOCKED","BLOCKED",IF($I28&gt;=200,"CRITICAL",IF($I28&gt;=100,"High",IF($E28="1-CRITICAL","High","On track")))))))</f>
        <v/>
      </c>
      <c r="U28" s="14">
        <f>IF($C28="","",IF($R28="CLOSED","Closed - capture lessons learned in PDCA Act phase.",IF($I28&gt;=200,"CRITICAL (RPN "&amp;$I28&amp;"): Escalate today. Open FMEA action + daily PDCA. Owner "&amp;IF($M28="","?",$M28)&amp;". Apply "&amp;IF($L28="","a Lean method",$L28)&amp;". Close by "&amp;IF($Q28="","ASAP",TEXT($Q28,"dd-mmm"))&amp;".",IF($I28&gt;=100,"HIGH (RPN "&amp;$I28&amp;"): Add to current sprint. Mitigate via "&amp;IF($L28="","Standard Work",$L28)&amp;". Review weekly with "&amp;IF($M28="","owner",$M28)&amp;".",IF(OR($E28="1-CRITICAL",$E28="2-HIGH"),"Priority case: schedule "&amp;IF($L28="","a Lean workshop",$L28)&amp;" within 2 weeks. Track to "&amp;IF($N28="","target",$N28)&amp;".","Monitor: apply "&amp;IF($L28="","standard cadence",$L28)&amp;". Re-score if conditions change.")))))</f>
        <v/>
      </c>
      <c r="V28">
        <f>IF($C28="","",IF($I28="",0,$I28)+ROW()/100000)</f>
        <v/>
      </c>
    </row>
    <row r="29">
      <c r="A29" s="8">
        <f>IF($C29="","",TEXT(26,"\C\A\S\E-000"))</f>
        <v/>
      </c>
      <c r="B29" s="9" t="n"/>
      <c r="C29" s="10" t="n"/>
      <c r="D29" s="11" t="n"/>
      <c r="E29" s="11" t="n"/>
      <c r="F29" s="11" t="n"/>
      <c r="G29" s="11" t="n"/>
      <c r="H29" s="11" t="n"/>
      <c r="I29" s="8">
        <f>IF($C29="","",IF(COUNT(F29,G29,H29)=3,F29*G29*H29,""))</f>
        <v/>
      </c>
      <c r="J29" s="8">
        <f>IF($I29="","",IF($I29&gt;=200,"1-CRITICAL",IF($I29&gt;=100,"2-HIGH",IF($I29&gt;=50,"3-MEDIUM","4-LOW"))))</f>
        <v/>
      </c>
      <c r="K29" s="10" t="n"/>
      <c r="L29" s="11" t="n"/>
      <c r="M29" s="11" t="n"/>
      <c r="N29" s="10" t="n"/>
      <c r="O29" s="9" t="n"/>
      <c r="P29" s="8">
        <f>IF($C29="","",ROUND(IF($E29="1-CRITICAL",7,IF($E29="2-HIGH",14,IF($E29="3-MEDIUM",30,45)))*(1+IF($I29="",0,$I29)/400),0))</f>
        <v/>
      </c>
      <c r="Q29" s="12">
        <f>IF(OR($C29="",$O29=""),"",$O29+$P29)</f>
        <v/>
      </c>
      <c r="R29" s="11" t="n"/>
      <c r="S29" s="13" t="n"/>
      <c r="T29" s="8">
        <f>IF($C29="","",IF($R29="CLOSED","Closed",IF($R29="RESOLVED","Resolved",IF($R29="BLOCKED","BLOCKED",IF($I29&gt;=200,"CRITICAL",IF($I29&gt;=100,"High",IF($E29="1-CRITICAL","High","On track")))))))</f>
        <v/>
      </c>
      <c r="U29" s="14">
        <f>IF($C29="","",IF($R29="CLOSED","Closed - capture lessons learned in PDCA Act phase.",IF($I29&gt;=200,"CRITICAL (RPN "&amp;$I29&amp;"): Escalate today. Open FMEA action + daily PDCA. Owner "&amp;IF($M29="","?",$M29)&amp;". Apply "&amp;IF($L29="","a Lean method",$L29)&amp;". Close by "&amp;IF($Q29="","ASAP",TEXT($Q29,"dd-mmm"))&amp;".",IF($I29&gt;=100,"HIGH (RPN "&amp;$I29&amp;"): Add to current sprint. Mitigate via "&amp;IF($L29="","Standard Work",$L29)&amp;". Review weekly with "&amp;IF($M29="","owner",$M29)&amp;".",IF(OR($E29="1-CRITICAL",$E29="2-HIGH"),"Priority case: schedule "&amp;IF($L29="","a Lean workshop",$L29)&amp;" within 2 weeks. Track to "&amp;IF($N29="","target",$N29)&amp;".","Monitor: apply "&amp;IF($L29="","standard cadence",$L29)&amp;". Re-score if conditions change.")))))</f>
        <v/>
      </c>
      <c r="V29">
        <f>IF($C29="","",IF($I29="",0,$I29)+ROW()/100000)</f>
        <v/>
      </c>
    </row>
    <row r="30">
      <c r="A30" s="8">
        <f>IF($C30="","",TEXT(27,"\C\A\S\E-000"))</f>
        <v/>
      </c>
      <c r="B30" s="9" t="n"/>
      <c r="C30" s="10" t="n"/>
      <c r="D30" s="11" t="n"/>
      <c r="E30" s="11" t="n"/>
      <c r="F30" s="11" t="n"/>
      <c r="G30" s="11" t="n"/>
      <c r="H30" s="11" t="n"/>
      <c r="I30" s="8">
        <f>IF($C30="","",IF(COUNT(F30,G30,H30)=3,F30*G30*H30,""))</f>
        <v/>
      </c>
      <c r="J30" s="8">
        <f>IF($I30="","",IF($I30&gt;=200,"1-CRITICAL",IF($I30&gt;=100,"2-HIGH",IF($I30&gt;=50,"3-MEDIUM","4-LOW"))))</f>
        <v/>
      </c>
      <c r="K30" s="10" t="n"/>
      <c r="L30" s="11" t="n"/>
      <c r="M30" s="11" t="n"/>
      <c r="N30" s="10" t="n"/>
      <c r="O30" s="9" t="n"/>
      <c r="P30" s="8">
        <f>IF($C30="","",ROUND(IF($E30="1-CRITICAL",7,IF($E30="2-HIGH",14,IF($E30="3-MEDIUM",30,45)))*(1+IF($I30="",0,$I30)/400),0))</f>
        <v/>
      </c>
      <c r="Q30" s="12">
        <f>IF(OR($C30="",$O30=""),"",$O30+$P30)</f>
        <v/>
      </c>
      <c r="R30" s="11" t="n"/>
      <c r="S30" s="13" t="n"/>
      <c r="T30" s="8">
        <f>IF($C30="","",IF($R30="CLOSED","Closed",IF($R30="RESOLVED","Resolved",IF($R30="BLOCKED","BLOCKED",IF($I30&gt;=200,"CRITICAL",IF($I30&gt;=100,"High",IF($E30="1-CRITICAL","High","On track")))))))</f>
        <v/>
      </c>
      <c r="U30" s="14">
        <f>IF($C30="","",IF($R30="CLOSED","Closed - capture lessons learned in PDCA Act phase.",IF($I30&gt;=200,"CRITICAL (RPN "&amp;$I30&amp;"): Escalate today. Open FMEA action + daily PDCA. Owner "&amp;IF($M30="","?",$M30)&amp;". Apply "&amp;IF($L30="","a Lean method",$L30)&amp;". Close by "&amp;IF($Q30="","ASAP",TEXT($Q30,"dd-mmm"))&amp;".",IF($I30&gt;=100,"HIGH (RPN "&amp;$I30&amp;"): Add to current sprint. Mitigate via "&amp;IF($L30="","Standard Work",$L30)&amp;". Review weekly with "&amp;IF($M30="","owner",$M30)&amp;".",IF(OR($E30="1-CRITICAL",$E30="2-HIGH"),"Priority case: schedule "&amp;IF($L30="","a Lean workshop",$L30)&amp;" within 2 weeks. Track to "&amp;IF($N30="","target",$N30)&amp;".","Monitor: apply "&amp;IF($L30="","standard cadence",$L30)&amp;". Re-score if conditions change.")))))</f>
        <v/>
      </c>
      <c r="V30">
        <f>IF($C30="","",IF($I30="",0,$I30)+ROW()/100000)</f>
        <v/>
      </c>
    </row>
    <row r="31">
      <c r="A31" s="8">
        <f>IF($C31="","",TEXT(28,"\C\A\S\E-000"))</f>
        <v/>
      </c>
      <c r="B31" s="9" t="n"/>
      <c r="C31" s="10" t="n"/>
      <c r="D31" s="11" t="n"/>
      <c r="E31" s="11" t="n"/>
      <c r="F31" s="11" t="n"/>
      <c r="G31" s="11" t="n"/>
      <c r="H31" s="11" t="n"/>
      <c r="I31" s="8">
        <f>IF($C31="","",IF(COUNT(F31,G31,H31)=3,F31*G31*H31,""))</f>
        <v/>
      </c>
      <c r="J31" s="8">
        <f>IF($I31="","",IF($I31&gt;=200,"1-CRITICAL",IF($I31&gt;=100,"2-HIGH",IF($I31&gt;=50,"3-MEDIUM","4-LOW"))))</f>
        <v/>
      </c>
      <c r="K31" s="10" t="n"/>
      <c r="L31" s="11" t="n"/>
      <c r="M31" s="11" t="n"/>
      <c r="N31" s="10" t="n"/>
      <c r="O31" s="9" t="n"/>
      <c r="P31" s="8">
        <f>IF($C31="","",ROUND(IF($E31="1-CRITICAL",7,IF($E31="2-HIGH",14,IF($E31="3-MEDIUM",30,45)))*(1+IF($I31="",0,$I31)/400),0))</f>
        <v/>
      </c>
      <c r="Q31" s="12">
        <f>IF(OR($C31="",$O31=""),"",$O31+$P31)</f>
        <v/>
      </c>
      <c r="R31" s="11" t="n"/>
      <c r="S31" s="13" t="n"/>
      <c r="T31" s="8">
        <f>IF($C31="","",IF($R31="CLOSED","Closed",IF($R31="RESOLVED","Resolved",IF($R31="BLOCKED","BLOCKED",IF($I31&gt;=200,"CRITICAL",IF($I31&gt;=100,"High",IF($E31="1-CRITICAL","High","On track")))))))</f>
        <v/>
      </c>
      <c r="U31" s="14">
        <f>IF($C31="","",IF($R31="CLOSED","Closed - capture lessons learned in PDCA Act phase.",IF($I31&gt;=200,"CRITICAL (RPN "&amp;$I31&amp;"): Escalate today. Open FMEA action + daily PDCA. Owner "&amp;IF($M31="","?",$M31)&amp;". Apply "&amp;IF($L31="","a Lean method",$L31)&amp;". Close by "&amp;IF($Q31="","ASAP",TEXT($Q31,"dd-mmm"))&amp;".",IF($I31&gt;=100,"HIGH (RPN "&amp;$I31&amp;"): Add to current sprint. Mitigate via "&amp;IF($L31="","Standard Work",$L31)&amp;". Review weekly with "&amp;IF($M31="","owner",$M31)&amp;".",IF(OR($E31="1-CRITICAL",$E31="2-HIGH"),"Priority case: schedule "&amp;IF($L31="","a Lean workshop",$L31)&amp;" within 2 weeks. Track to "&amp;IF($N31="","target",$N31)&amp;".","Monitor: apply "&amp;IF($L31="","standard cadence",$L31)&amp;". Re-score if conditions change.")))))</f>
        <v/>
      </c>
      <c r="V31">
        <f>IF($C31="","",IF($I31="",0,$I31)+ROW()/100000)</f>
        <v/>
      </c>
    </row>
    <row r="32">
      <c r="A32" s="8">
        <f>IF($C32="","",TEXT(29,"\C\A\S\E-000"))</f>
        <v/>
      </c>
      <c r="B32" s="9" t="n"/>
      <c r="C32" s="10" t="n"/>
      <c r="D32" s="11" t="n"/>
      <c r="E32" s="11" t="n"/>
      <c r="F32" s="11" t="n"/>
      <c r="G32" s="11" t="n"/>
      <c r="H32" s="11" t="n"/>
      <c r="I32" s="8">
        <f>IF($C32="","",IF(COUNT(F32,G32,H32)=3,F32*G32*H32,""))</f>
        <v/>
      </c>
      <c r="J32" s="8">
        <f>IF($I32="","",IF($I32&gt;=200,"1-CRITICAL",IF($I32&gt;=100,"2-HIGH",IF($I32&gt;=50,"3-MEDIUM","4-LOW"))))</f>
        <v/>
      </c>
      <c r="K32" s="10" t="n"/>
      <c r="L32" s="11" t="n"/>
      <c r="M32" s="11" t="n"/>
      <c r="N32" s="10" t="n"/>
      <c r="O32" s="9" t="n"/>
      <c r="P32" s="8">
        <f>IF($C32="","",ROUND(IF($E32="1-CRITICAL",7,IF($E32="2-HIGH",14,IF($E32="3-MEDIUM",30,45)))*(1+IF($I32="",0,$I32)/400),0))</f>
        <v/>
      </c>
      <c r="Q32" s="12">
        <f>IF(OR($C32="",$O32=""),"",$O32+$P32)</f>
        <v/>
      </c>
      <c r="R32" s="11" t="n"/>
      <c r="S32" s="13" t="n"/>
      <c r="T32" s="8">
        <f>IF($C32="","",IF($R32="CLOSED","Closed",IF($R32="RESOLVED","Resolved",IF($R32="BLOCKED","BLOCKED",IF($I32&gt;=200,"CRITICAL",IF($I32&gt;=100,"High",IF($E32="1-CRITICAL","High","On track")))))))</f>
        <v/>
      </c>
      <c r="U32" s="14">
        <f>IF($C32="","",IF($R32="CLOSED","Closed - capture lessons learned in PDCA Act phase.",IF($I32&gt;=200,"CRITICAL (RPN "&amp;$I32&amp;"): Escalate today. Open FMEA action + daily PDCA. Owner "&amp;IF($M32="","?",$M32)&amp;". Apply "&amp;IF($L32="","a Lean method",$L32)&amp;". Close by "&amp;IF($Q32="","ASAP",TEXT($Q32,"dd-mmm"))&amp;".",IF($I32&gt;=100,"HIGH (RPN "&amp;$I32&amp;"): Add to current sprint. Mitigate via "&amp;IF($L32="","Standard Work",$L32)&amp;". Review weekly with "&amp;IF($M32="","owner",$M32)&amp;".",IF(OR($E32="1-CRITICAL",$E32="2-HIGH"),"Priority case: schedule "&amp;IF($L32="","a Lean workshop",$L32)&amp;" within 2 weeks. Track to "&amp;IF($N32="","target",$N32)&amp;".","Monitor: apply "&amp;IF($L32="","standard cadence",$L32)&amp;". Re-score if conditions change.")))))</f>
        <v/>
      </c>
      <c r="V32">
        <f>IF($C32="","",IF($I32="",0,$I32)+ROW()/100000)</f>
        <v/>
      </c>
    </row>
    <row r="33">
      <c r="A33" s="8">
        <f>IF($C33="","",TEXT(30,"\C\A\S\E-000"))</f>
        <v/>
      </c>
      <c r="B33" s="9" t="n"/>
      <c r="C33" s="10" t="n"/>
      <c r="D33" s="11" t="n"/>
      <c r="E33" s="11" t="n"/>
      <c r="F33" s="11" t="n"/>
      <c r="G33" s="11" t="n"/>
      <c r="H33" s="11" t="n"/>
      <c r="I33" s="8">
        <f>IF($C33="","",IF(COUNT(F33,G33,H33)=3,F33*G33*H33,""))</f>
        <v/>
      </c>
      <c r="J33" s="8">
        <f>IF($I33="","",IF($I33&gt;=200,"1-CRITICAL",IF($I33&gt;=100,"2-HIGH",IF($I33&gt;=50,"3-MEDIUM","4-LOW"))))</f>
        <v/>
      </c>
      <c r="K33" s="10" t="n"/>
      <c r="L33" s="11" t="n"/>
      <c r="M33" s="11" t="n"/>
      <c r="N33" s="10" t="n"/>
      <c r="O33" s="9" t="n"/>
      <c r="P33" s="8">
        <f>IF($C33="","",ROUND(IF($E33="1-CRITICAL",7,IF($E33="2-HIGH",14,IF($E33="3-MEDIUM",30,45)))*(1+IF($I33="",0,$I33)/400),0))</f>
        <v/>
      </c>
      <c r="Q33" s="12">
        <f>IF(OR($C33="",$O33=""),"",$O33+$P33)</f>
        <v/>
      </c>
      <c r="R33" s="11" t="n"/>
      <c r="S33" s="13" t="n"/>
      <c r="T33" s="8">
        <f>IF($C33="","",IF($R33="CLOSED","Closed",IF($R33="RESOLVED","Resolved",IF($R33="BLOCKED","BLOCKED",IF($I33&gt;=200,"CRITICAL",IF($I33&gt;=100,"High",IF($E33="1-CRITICAL","High","On track")))))))</f>
        <v/>
      </c>
      <c r="U33" s="14">
        <f>IF($C33="","",IF($R33="CLOSED","Closed - capture lessons learned in PDCA Act phase.",IF($I33&gt;=200,"CRITICAL (RPN "&amp;$I33&amp;"): Escalate today. Open FMEA action + daily PDCA. Owner "&amp;IF($M33="","?",$M33)&amp;". Apply "&amp;IF($L33="","a Lean method",$L33)&amp;". Close by "&amp;IF($Q33="","ASAP",TEXT($Q33,"dd-mmm"))&amp;".",IF($I33&gt;=100,"HIGH (RPN "&amp;$I33&amp;"): Add to current sprint. Mitigate via "&amp;IF($L33="","Standard Work",$L33)&amp;". Review weekly with "&amp;IF($M33="","owner",$M33)&amp;".",IF(OR($E33="1-CRITICAL",$E33="2-HIGH"),"Priority case: schedule "&amp;IF($L33="","a Lean workshop",$L33)&amp;" within 2 weeks. Track to "&amp;IF($N33="","target",$N33)&amp;".","Monitor: apply "&amp;IF($L33="","standard cadence",$L33)&amp;". Re-score if conditions change.")))))</f>
        <v/>
      </c>
      <c r="V33">
        <f>IF($C33="","",IF($I33="",0,$I33)+ROW()/100000)</f>
        <v/>
      </c>
    </row>
    <row r="34">
      <c r="A34" s="8">
        <f>IF($C34="","",TEXT(31,"\C\A\S\E-000"))</f>
        <v/>
      </c>
      <c r="B34" s="9" t="n"/>
      <c r="C34" s="10" t="n"/>
      <c r="D34" s="11" t="n"/>
      <c r="E34" s="11" t="n"/>
      <c r="F34" s="11" t="n"/>
      <c r="G34" s="11" t="n"/>
      <c r="H34" s="11" t="n"/>
      <c r="I34" s="8">
        <f>IF($C34="","",IF(COUNT(F34,G34,H34)=3,F34*G34*H34,""))</f>
        <v/>
      </c>
      <c r="J34" s="8">
        <f>IF($I34="","",IF($I34&gt;=200,"1-CRITICAL",IF($I34&gt;=100,"2-HIGH",IF($I34&gt;=50,"3-MEDIUM","4-LOW"))))</f>
        <v/>
      </c>
      <c r="K34" s="10" t="n"/>
      <c r="L34" s="11" t="n"/>
      <c r="M34" s="11" t="n"/>
      <c r="N34" s="10" t="n"/>
      <c r="O34" s="9" t="n"/>
      <c r="P34" s="8">
        <f>IF($C34="","",ROUND(IF($E34="1-CRITICAL",7,IF($E34="2-HIGH",14,IF($E34="3-MEDIUM",30,45)))*(1+IF($I34="",0,$I34)/400),0))</f>
        <v/>
      </c>
      <c r="Q34" s="12">
        <f>IF(OR($C34="",$O34=""),"",$O34+$P34)</f>
        <v/>
      </c>
      <c r="R34" s="11" t="n"/>
      <c r="S34" s="13" t="n"/>
      <c r="T34" s="8">
        <f>IF($C34="","",IF($R34="CLOSED","Closed",IF($R34="RESOLVED","Resolved",IF($R34="BLOCKED","BLOCKED",IF($I34&gt;=200,"CRITICAL",IF($I34&gt;=100,"High",IF($E34="1-CRITICAL","High","On track")))))))</f>
        <v/>
      </c>
      <c r="U34" s="14">
        <f>IF($C34="","",IF($R34="CLOSED","Closed - capture lessons learned in PDCA Act phase.",IF($I34&gt;=200,"CRITICAL (RPN "&amp;$I34&amp;"): Escalate today. Open FMEA action + daily PDCA. Owner "&amp;IF($M34="","?",$M34)&amp;". Apply "&amp;IF($L34="","a Lean method",$L34)&amp;". Close by "&amp;IF($Q34="","ASAP",TEXT($Q34,"dd-mmm"))&amp;".",IF($I34&gt;=100,"HIGH (RPN "&amp;$I34&amp;"): Add to current sprint. Mitigate via "&amp;IF($L34="","Standard Work",$L34)&amp;". Review weekly with "&amp;IF($M34="","owner",$M34)&amp;".",IF(OR($E34="1-CRITICAL",$E34="2-HIGH"),"Priority case: schedule "&amp;IF($L34="","a Lean workshop",$L34)&amp;" within 2 weeks. Track to "&amp;IF($N34="","target",$N34)&amp;".","Monitor: apply "&amp;IF($L34="","standard cadence",$L34)&amp;". Re-score if conditions change.")))))</f>
        <v/>
      </c>
      <c r="V34">
        <f>IF($C34="","",IF($I34="",0,$I34)+ROW()/100000)</f>
        <v/>
      </c>
    </row>
    <row r="35">
      <c r="A35" s="8">
        <f>IF($C35="","",TEXT(32,"\C\A\S\E-000"))</f>
        <v/>
      </c>
      <c r="B35" s="9" t="n"/>
      <c r="C35" s="10" t="n"/>
      <c r="D35" s="11" t="n"/>
      <c r="E35" s="11" t="n"/>
      <c r="F35" s="11" t="n"/>
      <c r="G35" s="11" t="n"/>
      <c r="H35" s="11" t="n"/>
      <c r="I35" s="8">
        <f>IF($C35="","",IF(COUNT(F35,G35,H35)=3,F35*G35*H35,""))</f>
        <v/>
      </c>
      <c r="J35" s="8">
        <f>IF($I35="","",IF($I35&gt;=200,"1-CRITICAL",IF($I35&gt;=100,"2-HIGH",IF($I35&gt;=50,"3-MEDIUM","4-LOW"))))</f>
        <v/>
      </c>
      <c r="K35" s="10" t="n"/>
      <c r="L35" s="11" t="n"/>
      <c r="M35" s="11" t="n"/>
      <c r="N35" s="10" t="n"/>
      <c r="O35" s="9" t="n"/>
      <c r="P35" s="8">
        <f>IF($C35="","",ROUND(IF($E35="1-CRITICAL",7,IF($E35="2-HIGH",14,IF($E35="3-MEDIUM",30,45)))*(1+IF($I35="",0,$I35)/400),0))</f>
        <v/>
      </c>
      <c r="Q35" s="12">
        <f>IF(OR($C35="",$O35=""),"",$O35+$P35)</f>
        <v/>
      </c>
      <c r="R35" s="11" t="n"/>
      <c r="S35" s="13" t="n"/>
      <c r="T35" s="8">
        <f>IF($C35="","",IF($R35="CLOSED","Closed",IF($R35="RESOLVED","Resolved",IF($R35="BLOCKED","BLOCKED",IF($I35&gt;=200,"CRITICAL",IF($I35&gt;=100,"High",IF($E35="1-CRITICAL","High","On track")))))))</f>
        <v/>
      </c>
      <c r="U35" s="14">
        <f>IF($C35="","",IF($R35="CLOSED","Closed - capture lessons learned in PDCA Act phase.",IF($I35&gt;=200,"CRITICAL (RPN "&amp;$I35&amp;"): Escalate today. Open FMEA action + daily PDCA. Owner "&amp;IF($M35="","?",$M35)&amp;". Apply "&amp;IF($L35="","a Lean method",$L35)&amp;". Close by "&amp;IF($Q35="","ASAP",TEXT($Q35,"dd-mmm"))&amp;".",IF($I35&gt;=100,"HIGH (RPN "&amp;$I35&amp;"): Add to current sprint. Mitigate via "&amp;IF($L35="","Standard Work",$L35)&amp;". Review weekly with "&amp;IF($M35="","owner",$M35)&amp;".",IF(OR($E35="1-CRITICAL",$E35="2-HIGH"),"Priority case: schedule "&amp;IF($L35="","a Lean workshop",$L35)&amp;" within 2 weeks. Track to "&amp;IF($N35="","target",$N35)&amp;".","Monitor: apply "&amp;IF($L35="","standard cadence",$L35)&amp;". Re-score if conditions change.")))))</f>
        <v/>
      </c>
      <c r="V35">
        <f>IF($C35="","",IF($I35="",0,$I35)+ROW()/100000)</f>
        <v/>
      </c>
    </row>
    <row r="36">
      <c r="A36" s="8">
        <f>IF($C36="","",TEXT(33,"\C\A\S\E-000"))</f>
        <v/>
      </c>
      <c r="B36" s="9" t="n"/>
      <c r="C36" s="10" t="n"/>
      <c r="D36" s="11" t="n"/>
      <c r="E36" s="11" t="n"/>
      <c r="F36" s="11" t="n"/>
      <c r="G36" s="11" t="n"/>
      <c r="H36" s="11" t="n"/>
      <c r="I36" s="8">
        <f>IF($C36="","",IF(COUNT(F36,G36,H36)=3,F36*G36*H36,""))</f>
        <v/>
      </c>
      <c r="J36" s="8">
        <f>IF($I36="","",IF($I36&gt;=200,"1-CRITICAL",IF($I36&gt;=100,"2-HIGH",IF($I36&gt;=50,"3-MEDIUM","4-LOW"))))</f>
        <v/>
      </c>
      <c r="K36" s="10" t="n"/>
      <c r="L36" s="11" t="n"/>
      <c r="M36" s="11" t="n"/>
      <c r="N36" s="10" t="n"/>
      <c r="O36" s="9" t="n"/>
      <c r="P36" s="8">
        <f>IF($C36="","",ROUND(IF($E36="1-CRITICAL",7,IF($E36="2-HIGH",14,IF($E36="3-MEDIUM",30,45)))*(1+IF($I36="",0,$I36)/400),0))</f>
        <v/>
      </c>
      <c r="Q36" s="12">
        <f>IF(OR($C36="",$O36=""),"",$O36+$P36)</f>
        <v/>
      </c>
      <c r="R36" s="11" t="n"/>
      <c r="S36" s="13" t="n"/>
      <c r="T36" s="8">
        <f>IF($C36="","",IF($R36="CLOSED","Closed",IF($R36="RESOLVED","Resolved",IF($R36="BLOCKED","BLOCKED",IF($I36&gt;=200,"CRITICAL",IF($I36&gt;=100,"High",IF($E36="1-CRITICAL","High","On track")))))))</f>
        <v/>
      </c>
      <c r="U36" s="14">
        <f>IF($C36="","",IF($R36="CLOSED","Closed - capture lessons learned in PDCA Act phase.",IF($I36&gt;=200,"CRITICAL (RPN "&amp;$I36&amp;"): Escalate today. Open FMEA action + daily PDCA. Owner "&amp;IF($M36="","?",$M36)&amp;". Apply "&amp;IF($L36="","a Lean method",$L36)&amp;". Close by "&amp;IF($Q36="","ASAP",TEXT($Q36,"dd-mmm"))&amp;".",IF($I36&gt;=100,"HIGH (RPN "&amp;$I36&amp;"): Add to current sprint. Mitigate via "&amp;IF($L36="","Standard Work",$L36)&amp;". Review weekly with "&amp;IF($M36="","owner",$M36)&amp;".",IF(OR($E36="1-CRITICAL",$E36="2-HIGH"),"Priority case: schedule "&amp;IF($L36="","a Lean workshop",$L36)&amp;" within 2 weeks. Track to "&amp;IF($N36="","target",$N36)&amp;".","Monitor: apply "&amp;IF($L36="","standard cadence",$L36)&amp;". Re-score if conditions change.")))))</f>
        <v/>
      </c>
      <c r="V36">
        <f>IF($C36="","",IF($I36="",0,$I36)+ROW()/100000)</f>
        <v/>
      </c>
    </row>
    <row r="37">
      <c r="A37" s="8">
        <f>IF($C37="","",TEXT(34,"\C\A\S\E-000"))</f>
        <v/>
      </c>
      <c r="B37" s="9" t="n"/>
      <c r="C37" s="10" t="n"/>
      <c r="D37" s="11" t="n"/>
      <c r="E37" s="11" t="n"/>
      <c r="F37" s="11" t="n"/>
      <c r="G37" s="11" t="n"/>
      <c r="H37" s="11" t="n"/>
      <c r="I37" s="8">
        <f>IF($C37="","",IF(COUNT(F37,G37,H37)=3,F37*G37*H37,""))</f>
        <v/>
      </c>
      <c r="J37" s="8">
        <f>IF($I37="","",IF($I37&gt;=200,"1-CRITICAL",IF($I37&gt;=100,"2-HIGH",IF($I37&gt;=50,"3-MEDIUM","4-LOW"))))</f>
        <v/>
      </c>
      <c r="K37" s="10" t="n"/>
      <c r="L37" s="11" t="n"/>
      <c r="M37" s="11" t="n"/>
      <c r="N37" s="10" t="n"/>
      <c r="O37" s="9" t="n"/>
      <c r="P37" s="8">
        <f>IF($C37="","",ROUND(IF($E37="1-CRITICAL",7,IF($E37="2-HIGH",14,IF($E37="3-MEDIUM",30,45)))*(1+IF($I37="",0,$I37)/400),0))</f>
        <v/>
      </c>
      <c r="Q37" s="12">
        <f>IF(OR($C37="",$O37=""),"",$O37+$P37)</f>
        <v/>
      </c>
      <c r="R37" s="11" t="n"/>
      <c r="S37" s="13" t="n"/>
      <c r="T37" s="8">
        <f>IF($C37="","",IF($R37="CLOSED","Closed",IF($R37="RESOLVED","Resolved",IF($R37="BLOCKED","BLOCKED",IF($I37&gt;=200,"CRITICAL",IF($I37&gt;=100,"High",IF($E37="1-CRITICAL","High","On track")))))))</f>
        <v/>
      </c>
      <c r="U37" s="14">
        <f>IF($C37="","",IF($R37="CLOSED","Closed - capture lessons learned in PDCA Act phase.",IF($I37&gt;=200,"CRITICAL (RPN "&amp;$I37&amp;"): Escalate today. Open FMEA action + daily PDCA. Owner "&amp;IF($M37="","?",$M37)&amp;". Apply "&amp;IF($L37="","a Lean method",$L37)&amp;". Close by "&amp;IF($Q37="","ASAP",TEXT($Q37,"dd-mmm"))&amp;".",IF($I37&gt;=100,"HIGH (RPN "&amp;$I37&amp;"): Add to current sprint. Mitigate via "&amp;IF($L37="","Standard Work",$L37)&amp;". Review weekly with "&amp;IF($M37="","owner",$M37)&amp;".",IF(OR($E37="1-CRITICAL",$E37="2-HIGH"),"Priority case: schedule "&amp;IF($L37="","a Lean workshop",$L37)&amp;" within 2 weeks. Track to "&amp;IF($N37="","target",$N37)&amp;".","Monitor: apply "&amp;IF($L37="","standard cadence",$L37)&amp;". Re-score if conditions change.")))))</f>
        <v/>
      </c>
      <c r="V37">
        <f>IF($C37="","",IF($I37="",0,$I37)+ROW()/100000)</f>
        <v/>
      </c>
    </row>
    <row r="38">
      <c r="A38" s="8">
        <f>IF($C38="","",TEXT(35,"\C\A\S\E-000"))</f>
        <v/>
      </c>
      <c r="B38" s="9" t="n"/>
      <c r="C38" s="10" t="n"/>
      <c r="D38" s="11" t="n"/>
      <c r="E38" s="11" t="n"/>
      <c r="F38" s="11" t="n"/>
      <c r="G38" s="11" t="n"/>
      <c r="H38" s="11" t="n"/>
      <c r="I38" s="8">
        <f>IF($C38="","",IF(COUNT(F38,G38,H38)=3,F38*G38*H38,""))</f>
        <v/>
      </c>
      <c r="J38" s="8">
        <f>IF($I38="","",IF($I38&gt;=200,"1-CRITICAL",IF($I38&gt;=100,"2-HIGH",IF($I38&gt;=50,"3-MEDIUM","4-LOW"))))</f>
        <v/>
      </c>
      <c r="K38" s="10" t="n"/>
      <c r="L38" s="11" t="n"/>
      <c r="M38" s="11" t="n"/>
      <c r="N38" s="10" t="n"/>
      <c r="O38" s="9" t="n"/>
      <c r="P38" s="8">
        <f>IF($C38="","",ROUND(IF($E38="1-CRITICAL",7,IF($E38="2-HIGH",14,IF($E38="3-MEDIUM",30,45)))*(1+IF($I38="",0,$I38)/400),0))</f>
        <v/>
      </c>
      <c r="Q38" s="12">
        <f>IF(OR($C38="",$O38=""),"",$O38+$P38)</f>
        <v/>
      </c>
      <c r="R38" s="11" t="n"/>
      <c r="S38" s="13" t="n"/>
      <c r="T38" s="8">
        <f>IF($C38="","",IF($R38="CLOSED","Closed",IF($R38="RESOLVED","Resolved",IF($R38="BLOCKED","BLOCKED",IF($I38&gt;=200,"CRITICAL",IF($I38&gt;=100,"High",IF($E38="1-CRITICAL","High","On track")))))))</f>
        <v/>
      </c>
      <c r="U38" s="14">
        <f>IF($C38="","",IF($R38="CLOSED","Closed - capture lessons learned in PDCA Act phase.",IF($I38&gt;=200,"CRITICAL (RPN "&amp;$I38&amp;"): Escalate today. Open FMEA action + daily PDCA. Owner "&amp;IF($M38="","?",$M38)&amp;". Apply "&amp;IF($L38="","a Lean method",$L38)&amp;". Close by "&amp;IF($Q38="","ASAP",TEXT($Q38,"dd-mmm"))&amp;".",IF($I38&gt;=100,"HIGH (RPN "&amp;$I38&amp;"): Add to current sprint. Mitigate via "&amp;IF($L38="","Standard Work",$L38)&amp;". Review weekly with "&amp;IF($M38="","owner",$M38)&amp;".",IF(OR($E38="1-CRITICAL",$E38="2-HIGH"),"Priority case: schedule "&amp;IF($L38="","a Lean workshop",$L38)&amp;" within 2 weeks. Track to "&amp;IF($N38="","target",$N38)&amp;".","Monitor: apply "&amp;IF($L38="","standard cadence",$L38)&amp;". Re-score if conditions change.")))))</f>
        <v/>
      </c>
      <c r="V38">
        <f>IF($C38="","",IF($I38="",0,$I38)+ROW()/100000)</f>
        <v/>
      </c>
    </row>
    <row r="39">
      <c r="A39" s="8">
        <f>IF($C39="","",TEXT(36,"\C\A\S\E-000"))</f>
        <v/>
      </c>
      <c r="B39" s="9" t="n"/>
      <c r="C39" s="10" t="n"/>
      <c r="D39" s="11" t="n"/>
      <c r="E39" s="11" t="n"/>
      <c r="F39" s="11" t="n"/>
      <c r="G39" s="11" t="n"/>
      <c r="H39" s="11" t="n"/>
      <c r="I39" s="8">
        <f>IF($C39="","",IF(COUNT(F39,G39,H39)=3,F39*G39*H39,""))</f>
        <v/>
      </c>
      <c r="J39" s="8">
        <f>IF($I39="","",IF($I39&gt;=200,"1-CRITICAL",IF($I39&gt;=100,"2-HIGH",IF($I39&gt;=50,"3-MEDIUM","4-LOW"))))</f>
        <v/>
      </c>
      <c r="K39" s="10" t="n"/>
      <c r="L39" s="11" t="n"/>
      <c r="M39" s="11" t="n"/>
      <c r="N39" s="10" t="n"/>
      <c r="O39" s="9" t="n"/>
      <c r="P39" s="8">
        <f>IF($C39="","",ROUND(IF($E39="1-CRITICAL",7,IF($E39="2-HIGH",14,IF($E39="3-MEDIUM",30,45)))*(1+IF($I39="",0,$I39)/400),0))</f>
        <v/>
      </c>
      <c r="Q39" s="12">
        <f>IF(OR($C39="",$O39=""),"",$O39+$P39)</f>
        <v/>
      </c>
      <c r="R39" s="11" t="n"/>
      <c r="S39" s="13" t="n"/>
      <c r="T39" s="8">
        <f>IF($C39="","",IF($R39="CLOSED","Closed",IF($R39="RESOLVED","Resolved",IF($R39="BLOCKED","BLOCKED",IF($I39&gt;=200,"CRITICAL",IF($I39&gt;=100,"High",IF($E39="1-CRITICAL","High","On track")))))))</f>
        <v/>
      </c>
      <c r="U39" s="14">
        <f>IF($C39="","",IF($R39="CLOSED","Closed - capture lessons learned in PDCA Act phase.",IF($I39&gt;=200,"CRITICAL (RPN "&amp;$I39&amp;"): Escalate today. Open FMEA action + daily PDCA. Owner "&amp;IF($M39="","?",$M39)&amp;". Apply "&amp;IF($L39="","a Lean method",$L39)&amp;". Close by "&amp;IF($Q39="","ASAP",TEXT($Q39,"dd-mmm"))&amp;".",IF($I39&gt;=100,"HIGH (RPN "&amp;$I39&amp;"): Add to current sprint. Mitigate via "&amp;IF($L39="","Standard Work",$L39)&amp;". Review weekly with "&amp;IF($M39="","owner",$M39)&amp;".",IF(OR($E39="1-CRITICAL",$E39="2-HIGH"),"Priority case: schedule "&amp;IF($L39="","a Lean workshop",$L39)&amp;" within 2 weeks. Track to "&amp;IF($N39="","target",$N39)&amp;".","Monitor: apply "&amp;IF($L39="","standard cadence",$L39)&amp;". Re-score if conditions change.")))))</f>
        <v/>
      </c>
      <c r="V39">
        <f>IF($C39="","",IF($I39="",0,$I39)+ROW()/100000)</f>
        <v/>
      </c>
    </row>
    <row r="40">
      <c r="A40" s="8">
        <f>IF($C40="","",TEXT(37,"\C\A\S\E-000"))</f>
        <v/>
      </c>
      <c r="B40" s="9" t="n"/>
      <c r="C40" s="10" t="n"/>
      <c r="D40" s="11" t="n"/>
      <c r="E40" s="11" t="n"/>
      <c r="F40" s="11" t="n"/>
      <c r="G40" s="11" t="n"/>
      <c r="H40" s="11" t="n"/>
      <c r="I40" s="8">
        <f>IF($C40="","",IF(COUNT(F40,G40,H40)=3,F40*G40*H40,""))</f>
        <v/>
      </c>
      <c r="J40" s="8">
        <f>IF($I40="","",IF($I40&gt;=200,"1-CRITICAL",IF($I40&gt;=100,"2-HIGH",IF($I40&gt;=50,"3-MEDIUM","4-LOW"))))</f>
        <v/>
      </c>
      <c r="K40" s="10" t="n"/>
      <c r="L40" s="11" t="n"/>
      <c r="M40" s="11" t="n"/>
      <c r="N40" s="10" t="n"/>
      <c r="O40" s="9" t="n"/>
      <c r="P40" s="8">
        <f>IF($C40="","",ROUND(IF($E40="1-CRITICAL",7,IF($E40="2-HIGH",14,IF($E40="3-MEDIUM",30,45)))*(1+IF($I40="",0,$I40)/400),0))</f>
        <v/>
      </c>
      <c r="Q40" s="12">
        <f>IF(OR($C40="",$O40=""),"",$O40+$P40)</f>
        <v/>
      </c>
      <c r="R40" s="11" t="n"/>
      <c r="S40" s="13" t="n"/>
      <c r="T40" s="8">
        <f>IF($C40="","",IF($R40="CLOSED","Closed",IF($R40="RESOLVED","Resolved",IF($R40="BLOCKED","BLOCKED",IF($I40&gt;=200,"CRITICAL",IF($I40&gt;=100,"High",IF($E40="1-CRITICAL","High","On track")))))))</f>
        <v/>
      </c>
      <c r="U40" s="14">
        <f>IF($C40="","",IF($R40="CLOSED","Closed - capture lessons learned in PDCA Act phase.",IF($I40&gt;=200,"CRITICAL (RPN "&amp;$I40&amp;"): Escalate today. Open FMEA action + daily PDCA. Owner "&amp;IF($M40="","?",$M40)&amp;". Apply "&amp;IF($L40="","a Lean method",$L40)&amp;". Close by "&amp;IF($Q40="","ASAP",TEXT($Q40,"dd-mmm"))&amp;".",IF($I40&gt;=100,"HIGH (RPN "&amp;$I40&amp;"): Add to current sprint. Mitigate via "&amp;IF($L40="","Standard Work",$L40)&amp;". Review weekly with "&amp;IF($M40="","owner",$M40)&amp;".",IF(OR($E40="1-CRITICAL",$E40="2-HIGH"),"Priority case: schedule "&amp;IF($L40="","a Lean workshop",$L40)&amp;" within 2 weeks. Track to "&amp;IF($N40="","target",$N40)&amp;".","Monitor: apply "&amp;IF($L40="","standard cadence",$L40)&amp;". Re-score if conditions change.")))))</f>
        <v/>
      </c>
      <c r="V40">
        <f>IF($C40="","",IF($I40="",0,$I40)+ROW()/100000)</f>
        <v/>
      </c>
    </row>
    <row r="41">
      <c r="A41" s="8">
        <f>IF($C41="","",TEXT(38,"\C\A\S\E-000"))</f>
        <v/>
      </c>
      <c r="B41" s="9" t="n"/>
      <c r="C41" s="10" t="n"/>
      <c r="D41" s="11" t="n"/>
      <c r="E41" s="11" t="n"/>
      <c r="F41" s="11" t="n"/>
      <c r="G41" s="11" t="n"/>
      <c r="H41" s="11" t="n"/>
      <c r="I41" s="8">
        <f>IF($C41="","",IF(COUNT(F41,G41,H41)=3,F41*G41*H41,""))</f>
        <v/>
      </c>
      <c r="J41" s="8">
        <f>IF($I41="","",IF($I41&gt;=200,"1-CRITICAL",IF($I41&gt;=100,"2-HIGH",IF($I41&gt;=50,"3-MEDIUM","4-LOW"))))</f>
        <v/>
      </c>
      <c r="K41" s="10" t="n"/>
      <c r="L41" s="11" t="n"/>
      <c r="M41" s="11" t="n"/>
      <c r="N41" s="10" t="n"/>
      <c r="O41" s="9" t="n"/>
      <c r="P41" s="8">
        <f>IF($C41="","",ROUND(IF($E41="1-CRITICAL",7,IF($E41="2-HIGH",14,IF($E41="3-MEDIUM",30,45)))*(1+IF($I41="",0,$I41)/400),0))</f>
        <v/>
      </c>
      <c r="Q41" s="12">
        <f>IF(OR($C41="",$O41=""),"",$O41+$P41)</f>
        <v/>
      </c>
      <c r="R41" s="11" t="n"/>
      <c r="S41" s="13" t="n"/>
      <c r="T41" s="8">
        <f>IF($C41="","",IF($R41="CLOSED","Closed",IF($R41="RESOLVED","Resolved",IF($R41="BLOCKED","BLOCKED",IF($I41&gt;=200,"CRITICAL",IF($I41&gt;=100,"High",IF($E41="1-CRITICAL","High","On track")))))))</f>
        <v/>
      </c>
      <c r="U41" s="14">
        <f>IF($C41="","",IF($R41="CLOSED","Closed - capture lessons learned in PDCA Act phase.",IF($I41&gt;=200,"CRITICAL (RPN "&amp;$I41&amp;"): Escalate today. Open FMEA action + daily PDCA. Owner "&amp;IF($M41="","?",$M41)&amp;". Apply "&amp;IF($L41="","a Lean method",$L41)&amp;". Close by "&amp;IF($Q41="","ASAP",TEXT($Q41,"dd-mmm"))&amp;".",IF($I41&gt;=100,"HIGH (RPN "&amp;$I41&amp;"): Add to current sprint. Mitigate via "&amp;IF($L41="","Standard Work",$L41)&amp;". Review weekly with "&amp;IF($M41="","owner",$M41)&amp;".",IF(OR($E41="1-CRITICAL",$E41="2-HIGH"),"Priority case: schedule "&amp;IF($L41="","a Lean workshop",$L41)&amp;" within 2 weeks. Track to "&amp;IF($N41="","target",$N41)&amp;".","Monitor: apply "&amp;IF($L41="","standard cadence",$L41)&amp;". Re-score if conditions change.")))))</f>
        <v/>
      </c>
      <c r="V41">
        <f>IF($C41="","",IF($I41="",0,$I41)+ROW()/100000)</f>
        <v/>
      </c>
    </row>
    <row r="42">
      <c r="A42" s="8">
        <f>IF($C42="","",TEXT(39,"\C\A\S\E-000"))</f>
        <v/>
      </c>
      <c r="B42" s="9" t="n"/>
      <c r="C42" s="10" t="n"/>
      <c r="D42" s="11" t="n"/>
      <c r="E42" s="11" t="n"/>
      <c r="F42" s="11" t="n"/>
      <c r="G42" s="11" t="n"/>
      <c r="H42" s="11" t="n"/>
      <c r="I42" s="8">
        <f>IF($C42="","",IF(COUNT(F42,G42,H42)=3,F42*G42*H42,""))</f>
        <v/>
      </c>
      <c r="J42" s="8">
        <f>IF($I42="","",IF($I42&gt;=200,"1-CRITICAL",IF($I42&gt;=100,"2-HIGH",IF($I42&gt;=50,"3-MEDIUM","4-LOW"))))</f>
        <v/>
      </c>
      <c r="K42" s="10" t="n"/>
      <c r="L42" s="11" t="n"/>
      <c r="M42" s="11" t="n"/>
      <c r="N42" s="10" t="n"/>
      <c r="O42" s="9" t="n"/>
      <c r="P42" s="8">
        <f>IF($C42="","",ROUND(IF($E42="1-CRITICAL",7,IF($E42="2-HIGH",14,IF($E42="3-MEDIUM",30,45)))*(1+IF($I42="",0,$I42)/400),0))</f>
        <v/>
      </c>
      <c r="Q42" s="12">
        <f>IF(OR($C42="",$O42=""),"",$O42+$P42)</f>
        <v/>
      </c>
      <c r="R42" s="11" t="n"/>
      <c r="S42" s="13" t="n"/>
      <c r="T42" s="8">
        <f>IF($C42="","",IF($R42="CLOSED","Closed",IF($R42="RESOLVED","Resolved",IF($R42="BLOCKED","BLOCKED",IF($I42&gt;=200,"CRITICAL",IF($I42&gt;=100,"High",IF($E42="1-CRITICAL","High","On track")))))))</f>
        <v/>
      </c>
      <c r="U42" s="14">
        <f>IF($C42="","",IF($R42="CLOSED","Closed - capture lessons learned in PDCA Act phase.",IF($I42&gt;=200,"CRITICAL (RPN "&amp;$I42&amp;"): Escalate today. Open FMEA action + daily PDCA. Owner "&amp;IF($M42="","?",$M42)&amp;". Apply "&amp;IF($L42="","a Lean method",$L42)&amp;". Close by "&amp;IF($Q42="","ASAP",TEXT($Q42,"dd-mmm"))&amp;".",IF($I42&gt;=100,"HIGH (RPN "&amp;$I42&amp;"): Add to current sprint. Mitigate via "&amp;IF($L42="","Standard Work",$L42)&amp;". Review weekly with "&amp;IF($M42="","owner",$M42)&amp;".",IF(OR($E42="1-CRITICAL",$E42="2-HIGH"),"Priority case: schedule "&amp;IF($L42="","a Lean workshop",$L42)&amp;" within 2 weeks. Track to "&amp;IF($N42="","target",$N42)&amp;".","Monitor: apply "&amp;IF($L42="","standard cadence",$L42)&amp;". Re-score if conditions change.")))))</f>
        <v/>
      </c>
      <c r="V42">
        <f>IF($C42="","",IF($I42="",0,$I42)+ROW()/100000)</f>
        <v/>
      </c>
    </row>
    <row r="43">
      <c r="A43" s="8">
        <f>IF($C43="","",TEXT(40,"\C\A\S\E-000"))</f>
        <v/>
      </c>
      <c r="B43" s="9" t="n"/>
      <c r="C43" s="10" t="n"/>
      <c r="D43" s="11" t="n"/>
      <c r="E43" s="11" t="n"/>
      <c r="F43" s="11" t="n"/>
      <c r="G43" s="11" t="n"/>
      <c r="H43" s="11" t="n"/>
      <c r="I43" s="8">
        <f>IF($C43="","",IF(COUNT(F43,G43,H43)=3,F43*G43*H43,""))</f>
        <v/>
      </c>
      <c r="J43" s="8">
        <f>IF($I43="","",IF($I43&gt;=200,"1-CRITICAL",IF($I43&gt;=100,"2-HIGH",IF($I43&gt;=50,"3-MEDIUM","4-LOW"))))</f>
        <v/>
      </c>
      <c r="K43" s="10" t="n"/>
      <c r="L43" s="11" t="n"/>
      <c r="M43" s="11" t="n"/>
      <c r="N43" s="10" t="n"/>
      <c r="O43" s="9" t="n"/>
      <c r="P43" s="8">
        <f>IF($C43="","",ROUND(IF($E43="1-CRITICAL",7,IF($E43="2-HIGH",14,IF($E43="3-MEDIUM",30,45)))*(1+IF($I43="",0,$I43)/400),0))</f>
        <v/>
      </c>
      <c r="Q43" s="12">
        <f>IF(OR($C43="",$O43=""),"",$O43+$P43)</f>
        <v/>
      </c>
      <c r="R43" s="11" t="n"/>
      <c r="S43" s="13" t="n"/>
      <c r="T43" s="8">
        <f>IF($C43="","",IF($R43="CLOSED","Closed",IF($R43="RESOLVED","Resolved",IF($R43="BLOCKED","BLOCKED",IF($I43&gt;=200,"CRITICAL",IF($I43&gt;=100,"High",IF($E43="1-CRITICAL","High","On track")))))))</f>
        <v/>
      </c>
      <c r="U43" s="14">
        <f>IF($C43="","",IF($R43="CLOSED","Closed - capture lessons learned in PDCA Act phase.",IF($I43&gt;=200,"CRITICAL (RPN "&amp;$I43&amp;"): Escalate today. Open FMEA action + daily PDCA. Owner "&amp;IF($M43="","?",$M43)&amp;". Apply "&amp;IF($L43="","a Lean method",$L43)&amp;". Close by "&amp;IF($Q43="","ASAP",TEXT($Q43,"dd-mmm"))&amp;".",IF($I43&gt;=100,"HIGH (RPN "&amp;$I43&amp;"): Add to current sprint. Mitigate via "&amp;IF($L43="","Standard Work",$L43)&amp;". Review weekly with "&amp;IF($M43="","owner",$M43)&amp;".",IF(OR($E43="1-CRITICAL",$E43="2-HIGH"),"Priority case: schedule "&amp;IF($L43="","a Lean workshop",$L43)&amp;" within 2 weeks. Track to "&amp;IF($N43="","target",$N43)&amp;".","Monitor: apply "&amp;IF($L43="","standard cadence",$L43)&amp;". Re-score if conditions change.")))))</f>
        <v/>
      </c>
      <c r="V43">
        <f>IF($C43="","",IF($I43="",0,$I43)+ROW()/100000)</f>
        <v/>
      </c>
    </row>
    <row r="44">
      <c r="A44" s="8">
        <f>IF($C44="","",TEXT(41,"\C\A\S\E-000"))</f>
        <v/>
      </c>
      <c r="B44" s="9" t="n"/>
      <c r="C44" s="10" t="n"/>
      <c r="D44" s="11" t="n"/>
      <c r="E44" s="11" t="n"/>
      <c r="F44" s="11" t="n"/>
      <c r="G44" s="11" t="n"/>
      <c r="H44" s="11" t="n"/>
      <c r="I44" s="8">
        <f>IF($C44="","",IF(COUNT(F44,G44,H44)=3,F44*G44*H44,""))</f>
        <v/>
      </c>
      <c r="J44" s="8">
        <f>IF($I44="","",IF($I44&gt;=200,"1-CRITICAL",IF($I44&gt;=100,"2-HIGH",IF($I44&gt;=50,"3-MEDIUM","4-LOW"))))</f>
        <v/>
      </c>
      <c r="K44" s="10" t="n"/>
      <c r="L44" s="11" t="n"/>
      <c r="M44" s="11" t="n"/>
      <c r="N44" s="10" t="n"/>
      <c r="O44" s="9" t="n"/>
      <c r="P44" s="8">
        <f>IF($C44="","",ROUND(IF($E44="1-CRITICAL",7,IF($E44="2-HIGH",14,IF($E44="3-MEDIUM",30,45)))*(1+IF($I44="",0,$I44)/400),0))</f>
        <v/>
      </c>
      <c r="Q44" s="12">
        <f>IF(OR($C44="",$O44=""),"",$O44+$P44)</f>
        <v/>
      </c>
      <c r="R44" s="11" t="n"/>
      <c r="S44" s="13" t="n"/>
      <c r="T44" s="8">
        <f>IF($C44="","",IF($R44="CLOSED","Closed",IF($R44="RESOLVED","Resolved",IF($R44="BLOCKED","BLOCKED",IF($I44&gt;=200,"CRITICAL",IF($I44&gt;=100,"High",IF($E44="1-CRITICAL","High","On track")))))))</f>
        <v/>
      </c>
      <c r="U44" s="14">
        <f>IF($C44="","",IF($R44="CLOSED","Closed - capture lessons learned in PDCA Act phase.",IF($I44&gt;=200,"CRITICAL (RPN "&amp;$I44&amp;"): Escalate today. Open FMEA action + daily PDCA. Owner "&amp;IF($M44="","?",$M44)&amp;". Apply "&amp;IF($L44="","a Lean method",$L44)&amp;". Close by "&amp;IF($Q44="","ASAP",TEXT($Q44,"dd-mmm"))&amp;".",IF($I44&gt;=100,"HIGH (RPN "&amp;$I44&amp;"): Add to current sprint. Mitigate via "&amp;IF($L44="","Standard Work",$L44)&amp;". Review weekly with "&amp;IF($M44="","owner",$M44)&amp;".",IF(OR($E44="1-CRITICAL",$E44="2-HIGH"),"Priority case: schedule "&amp;IF($L44="","a Lean workshop",$L44)&amp;" within 2 weeks. Track to "&amp;IF($N44="","target",$N44)&amp;".","Monitor: apply "&amp;IF($L44="","standard cadence",$L44)&amp;". Re-score if conditions change.")))))</f>
        <v/>
      </c>
      <c r="V44">
        <f>IF($C44="","",IF($I44="",0,$I44)+ROW()/100000)</f>
        <v/>
      </c>
    </row>
    <row r="45">
      <c r="A45" s="8">
        <f>IF($C45="","",TEXT(42,"\C\A\S\E-000"))</f>
        <v/>
      </c>
      <c r="B45" s="9" t="n"/>
      <c r="C45" s="10" t="n"/>
      <c r="D45" s="11" t="n"/>
      <c r="E45" s="11" t="n"/>
      <c r="F45" s="11" t="n"/>
      <c r="G45" s="11" t="n"/>
      <c r="H45" s="11" t="n"/>
      <c r="I45" s="8">
        <f>IF($C45="","",IF(COUNT(F45,G45,H45)=3,F45*G45*H45,""))</f>
        <v/>
      </c>
      <c r="J45" s="8">
        <f>IF($I45="","",IF($I45&gt;=200,"1-CRITICAL",IF($I45&gt;=100,"2-HIGH",IF($I45&gt;=50,"3-MEDIUM","4-LOW"))))</f>
        <v/>
      </c>
      <c r="K45" s="10" t="n"/>
      <c r="L45" s="11" t="n"/>
      <c r="M45" s="11" t="n"/>
      <c r="N45" s="10" t="n"/>
      <c r="O45" s="9" t="n"/>
      <c r="P45" s="8">
        <f>IF($C45="","",ROUND(IF($E45="1-CRITICAL",7,IF($E45="2-HIGH",14,IF($E45="3-MEDIUM",30,45)))*(1+IF($I45="",0,$I45)/400),0))</f>
        <v/>
      </c>
      <c r="Q45" s="12">
        <f>IF(OR($C45="",$O45=""),"",$O45+$P45)</f>
        <v/>
      </c>
      <c r="R45" s="11" t="n"/>
      <c r="S45" s="13" t="n"/>
      <c r="T45" s="8">
        <f>IF($C45="","",IF($R45="CLOSED","Closed",IF($R45="RESOLVED","Resolved",IF($R45="BLOCKED","BLOCKED",IF($I45&gt;=200,"CRITICAL",IF($I45&gt;=100,"High",IF($E45="1-CRITICAL","High","On track")))))))</f>
        <v/>
      </c>
      <c r="U45" s="14">
        <f>IF($C45="","",IF($R45="CLOSED","Closed - capture lessons learned in PDCA Act phase.",IF($I45&gt;=200,"CRITICAL (RPN "&amp;$I45&amp;"): Escalate today. Open FMEA action + daily PDCA. Owner "&amp;IF($M45="","?",$M45)&amp;". Apply "&amp;IF($L45="","a Lean method",$L45)&amp;". Close by "&amp;IF($Q45="","ASAP",TEXT($Q45,"dd-mmm"))&amp;".",IF($I45&gt;=100,"HIGH (RPN "&amp;$I45&amp;"): Add to current sprint. Mitigate via "&amp;IF($L45="","Standard Work",$L45)&amp;". Review weekly with "&amp;IF($M45="","owner",$M45)&amp;".",IF(OR($E45="1-CRITICAL",$E45="2-HIGH"),"Priority case: schedule "&amp;IF($L45="","a Lean workshop",$L45)&amp;" within 2 weeks. Track to "&amp;IF($N45="","target",$N45)&amp;".","Monitor: apply "&amp;IF($L45="","standard cadence",$L45)&amp;". Re-score if conditions change.")))))</f>
        <v/>
      </c>
      <c r="V45">
        <f>IF($C45="","",IF($I45="",0,$I45)+ROW()/100000)</f>
        <v/>
      </c>
    </row>
    <row r="46">
      <c r="A46" s="8">
        <f>IF($C46="","",TEXT(43,"\C\A\S\E-000"))</f>
        <v/>
      </c>
      <c r="B46" s="9" t="n"/>
      <c r="C46" s="10" t="n"/>
      <c r="D46" s="11" t="n"/>
      <c r="E46" s="11" t="n"/>
      <c r="F46" s="11" t="n"/>
      <c r="G46" s="11" t="n"/>
      <c r="H46" s="11" t="n"/>
      <c r="I46" s="8">
        <f>IF($C46="","",IF(COUNT(F46,G46,H46)=3,F46*G46*H46,""))</f>
        <v/>
      </c>
      <c r="J46" s="8">
        <f>IF($I46="","",IF($I46&gt;=200,"1-CRITICAL",IF($I46&gt;=100,"2-HIGH",IF($I46&gt;=50,"3-MEDIUM","4-LOW"))))</f>
        <v/>
      </c>
      <c r="K46" s="10" t="n"/>
      <c r="L46" s="11" t="n"/>
      <c r="M46" s="11" t="n"/>
      <c r="N46" s="10" t="n"/>
      <c r="O46" s="9" t="n"/>
      <c r="P46" s="8">
        <f>IF($C46="","",ROUND(IF($E46="1-CRITICAL",7,IF($E46="2-HIGH",14,IF($E46="3-MEDIUM",30,45)))*(1+IF($I46="",0,$I46)/400),0))</f>
        <v/>
      </c>
      <c r="Q46" s="12">
        <f>IF(OR($C46="",$O46=""),"",$O46+$P46)</f>
        <v/>
      </c>
      <c r="R46" s="11" t="n"/>
      <c r="S46" s="13" t="n"/>
      <c r="T46" s="8">
        <f>IF($C46="","",IF($R46="CLOSED","Closed",IF($R46="RESOLVED","Resolved",IF($R46="BLOCKED","BLOCKED",IF($I46&gt;=200,"CRITICAL",IF($I46&gt;=100,"High",IF($E46="1-CRITICAL","High","On track")))))))</f>
        <v/>
      </c>
      <c r="U46" s="14">
        <f>IF($C46="","",IF($R46="CLOSED","Closed - capture lessons learned in PDCA Act phase.",IF($I46&gt;=200,"CRITICAL (RPN "&amp;$I46&amp;"): Escalate today. Open FMEA action + daily PDCA. Owner "&amp;IF($M46="","?",$M46)&amp;". Apply "&amp;IF($L46="","a Lean method",$L46)&amp;". Close by "&amp;IF($Q46="","ASAP",TEXT($Q46,"dd-mmm"))&amp;".",IF($I46&gt;=100,"HIGH (RPN "&amp;$I46&amp;"): Add to current sprint. Mitigate via "&amp;IF($L46="","Standard Work",$L46)&amp;". Review weekly with "&amp;IF($M46="","owner",$M46)&amp;".",IF(OR($E46="1-CRITICAL",$E46="2-HIGH"),"Priority case: schedule "&amp;IF($L46="","a Lean workshop",$L46)&amp;" within 2 weeks. Track to "&amp;IF($N46="","target",$N46)&amp;".","Monitor: apply "&amp;IF($L46="","standard cadence",$L46)&amp;". Re-score if conditions change.")))))</f>
        <v/>
      </c>
      <c r="V46">
        <f>IF($C46="","",IF($I46="",0,$I46)+ROW()/100000)</f>
        <v/>
      </c>
    </row>
    <row r="47">
      <c r="A47" s="8">
        <f>IF($C47="","",TEXT(44,"\C\A\S\E-000"))</f>
        <v/>
      </c>
      <c r="B47" s="9" t="n"/>
      <c r="C47" s="10" t="n"/>
      <c r="D47" s="11" t="n"/>
      <c r="E47" s="11" t="n"/>
      <c r="F47" s="11" t="n"/>
      <c r="G47" s="11" t="n"/>
      <c r="H47" s="11" t="n"/>
      <c r="I47" s="8">
        <f>IF($C47="","",IF(COUNT(F47,G47,H47)=3,F47*G47*H47,""))</f>
        <v/>
      </c>
      <c r="J47" s="8">
        <f>IF($I47="","",IF($I47&gt;=200,"1-CRITICAL",IF($I47&gt;=100,"2-HIGH",IF($I47&gt;=50,"3-MEDIUM","4-LOW"))))</f>
        <v/>
      </c>
      <c r="K47" s="10" t="n"/>
      <c r="L47" s="11" t="n"/>
      <c r="M47" s="11" t="n"/>
      <c r="N47" s="10" t="n"/>
      <c r="O47" s="9" t="n"/>
      <c r="P47" s="8">
        <f>IF($C47="","",ROUND(IF($E47="1-CRITICAL",7,IF($E47="2-HIGH",14,IF($E47="3-MEDIUM",30,45)))*(1+IF($I47="",0,$I47)/400),0))</f>
        <v/>
      </c>
      <c r="Q47" s="12">
        <f>IF(OR($C47="",$O47=""),"",$O47+$P47)</f>
        <v/>
      </c>
      <c r="R47" s="11" t="n"/>
      <c r="S47" s="13" t="n"/>
      <c r="T47" s="8">
        <f>IF($C47="","",IF($R47="CLOSED","Closed",IF($R47="RESOLVED","Resolved",IF($R47="BLOCKED","BLOCKED",IF($I47&gt;=200,"CRITICAL",IF($I47&gt;=100,"High",IF($E47="1-CRITICAL","High","On track")))))))</f>
        <v/>
      </c>
      <c r="U47" s="14">
        <f>IF($C47="","",IF($R47="CLOSED","Closed - capture lessons learned in PDCA Act phase.",IF($I47&gt;=200,"CRITICAL (RPN "&amp;$I47&amp;"): Escalate today. Open FMEA action + daily PDCA. Owner "&amp;IF($M47="","?",$M47)&amp;". Apply "&amp;IF($L47="","a Lean method",$L47)&amp;". Close by "&amp;IF($Q47="","ASAP",TEXT($Q47,"dd-mmm"))&amp;".",IF($I47&gt;=100,"HIGH (RPN "&amp;$I47&amp;"): Add to current sprint. Mitigate via "&amp;IF($L47="","Standard Work",$L47)&amp;". Review weekly with "&amp;IF($M47="","owner",$M47)&amp;".",IF(OR($E47="1-CRITICAL",$E47="2-HIGH"),"Priority case: schedule "&amp;IF($L47="","a Lean workshop",$L47)&amp;" within 2 weeks. Track to "&amp;IF($N47="","target",$N47)&amp;".","Monitor: apply "&amp;IF($L47="","standard cadence",$L47)&amp;". Re-score if conditions change.")))))</f>
        <v/>
      </c>
      <c r="V47">
        <f>IF($C47="","",IF($I47="",0,$I47)+ROW()/100000)</f>
        <v/>
      </c>
    </row>
    <row r="48">
      <c r="A48" s="8">
        <f>IF($C48="","",TEXT(45,"\C\A\S\E-000"))</f>
        <v/>
      </c>
      <c r="B48" s="9" t="n"/>
      <c r="C48" s="10" t="n"/>
      <c r="D48" s="11" t="n"/>
      <c r="E48" s="11" t="n"/>
      <c r="F48" s="11" t="n"/>
      <c r="G48" s="11" t="n"/>
      <c r="H48" s="11" t="n"/>
      <c r="I48" s="8">
        <f>IF($C48="","",IF(COUNT(F48,G48,H48)=3,F48*G48*H48,""))</f>
        <v/>
      </c>
      <c r="J48" s="8">
        <f>IF($I48="","",IF($I48&gt;=200,"1-CRITICAL",IF($I48&gt;=100,"2-HIGH",IF($I48&gt;=50,"3-MEDIUM","4-LOW"))))</f>
        <v/>
      </c>
      <c r="K48" s="10" t="n"/>
      <c r="L48" s="11" t="n"/>
      <c r="M48" s="11" t="n"/>
      <c r="N48" s="10" t="n"/>
      <c r="O48" s="9" t="n"/>
      <c r="P48" s="8">
        <f>IF($C48="","",ROUND(IF($E48="1-CRITICAL",7,IF($E48="2-HIGH",14,IF($E48="3-MEDIUM",30,45)))*(1+IF($I48="",0,$I48)/400),0))</f>
        <v/>
      </c>
      <c r="Q48" s="12">
        <f>IF(OR($C48="",$O48=""),"",$O48+$P48)</f>
        <v/>
      </c>
      <c r="R48" s="11" t="n"/>
      <c r="S48" s="13" t="n"/>
      <c r="T48" s="8">
        <f>IF($C48="","",IF($R48="CLOSED","Closed",IF($R48="RESOLVED","Resolved",IF($R48="BLOCKED","BLOCKED",IF($I48&gt;=200,"CRITICAL",IF($I48&gt;=100,"High",IF($E48="1-CRITICAL","High","On track")))))))</f>
        <v/>
      </c>
      <c r="U48" s="14">
        <f>IF($C48="","",IF($R48="CLOSED","Closed - capture lessons learned in PDCA Act phase.",IF($I48&gt;=200,"CRITICAL (RPN "&amp;$I48&amp;"): Escalate today. Open FMEA action + daily PDCA. Owner "&amp;IF($M48="","?",$M48)&amp;". Apply "&amp;IF($L48="","a Lean method",$L48)&amp;". Close by "&amp;IF($Q48="","ASAP",TEXT($Q48,"dd-mmm"))&amp;".",IF($I48&gt;=100,"HIGH (RPN "&amp;$I48&amp;"): Add to current sprint. Mitigate via "&amp;IF($L48="","Standard Work",$L48)&amp;". Review weekly with "&amp;IF($M48="","owner",$M48)&amp;".",IF(OR($E48="1-CRITICAL",$E48="2-HIGH"),"Priority case: schedule "&amp;IF($L48="","a Lean workshop",$L48)&amp;" within 2 weeks. Track to "&amp;IF($N48="","target",$N48)&amp;".","Monitor: apply "&amp;IF($L48="","standard cadence",$L48)&amp;". Re-score if conditions change.")))))</f>
        <v/>
      </c>
      <c r="V48">
        <f>IF($C48="","",IF($I48="",0,$I48)+ROW()/100000)</f>
        <v/>
      </c>
    </row>
    <row r="49">
      <c r="A49" s="8">
        <f>IF($C49="","",TEXT(46,"\C\A\S\E-000"))</f>
        <v/>
      </c>
      <c r="B49" s="9" t="n"/>
      <c r="C49" s="10" t="n"/>
      <c r="D49" s="11" t="n"/>
      <c r="E49" s="11" t="n"/>
      <c r="F49" s="11" t="n"/>
      <c r="G49" s="11" t="n"/>
      <c r="H49" s="11" t="n"/>
      <c r="I49" s="8">
        <f>IF($C49="","",IF(COUNT(F49,G49,H49)=3,F49*G49*H49,""))</f>
        <v/>
      </c>
      <c r="J49" s="8">
        <f>IF($I49="","",IF($I49&gt;=200,"1-CRITICAL",IF($I49&gt;=100,"2-HIGH",IF($I49&gt;=50,"3-MEDIUM","4-LOW"))))</f>
        <v/>
      </c>
      <c r="K49" s="10" t="n"/>
      <c r="L49" s="11" t="n"/>
      <c r="M49" s="11" t="n"/>
      <c r="N49" s="10" t="n"/>
      <c r="O49" s="9" t="n"/>
      <c r="P49" s="8">
        <f>IF($C49="","",ROUND(IF($E49="1-CRITICAL",7,IF($E49="2-HIGH",14,IF($E49="3-MEDIUM",30,45)))*(1+IF($I49="",0,$I49)/400),0))</f>
        <v/>
      </c>
      <c r="Q49" s="12">
        <f>IF(OR($C49="",$O49=""),"",$O49+$P49)</f>
        <v/>
      </c>
      <c r="R49" s="11" t="n"/>
      <c r="S49" s="13" t="n"/>
      <c r="T49" s="8">
        <f>IF($C49="","",IF($R49="CLOSED","Closed",IF($R49="RESOLVED","Resolved",IF($R49="BLOCKED","BLOCKED",IF($I49&gt;=200,"CRITICAL",IF($I49&gt;=100,"High",IF($E49="1-CRITICAL","High","On track")))))))</f>
        <v/>
      </c>
      <c r="U49" s="14">
        <f>IF($C49="","",IF($R49="CLOSED","Closed - capture lessons learned in PDCA Act phase.",IF($I49&gt;=200,"CRITICAL (RPN "&amp;$I49&amp;"): Escalate today. Open FMEA action + daily PDCA. Owner "&amp;IF($M49="","?",$M49)&amp;". Apply "&amp;IF($L49="","a Lean method",$L49)&amp;". Close by "&amp;IF($Q49="","ASAP",TEXT($Q49,"dd-mmm"))&amp;".",IF($I49&gt;=100,"HIGH (RPN "&amp;$I49&amp;"): Add to current sprint. Mitigate via "&amp;IF($L49="","Standard Work",$L49)&amp;". Review weekly with "&amp;IF($M49="","owner",$M49)&amp;".",IF(OR($E49="1-CRITICAL",$E49="2-HIGH"),"Priority case: schedule "&amp;IF($L49="","a Lean workshop",$L49)&amp;" within 2 weeks. Track to "&amp;IF($N49="","target",$N49)&amp;".","Monitor: apply "&amp;IF($L49="","standard cadence",$L49)&amp;". Re-score if conditions change.")))))</f>
        <v/>
      </c>
      <c r="V49">
        <f>IF($C49="","",IF($I49="",0,$I49)+ROW()/100000)</f>
        <v/>
      </c>
    </row>
    <row r="50">
      <c r="A50" s="8">
        <f>IF($C50="","",TEXT(47,"\C\A\S\E-000"))</f>
        <v/>
      </c>
      <c r="B50" s="9" t="n"/>
      <c r="C50" s="10" t="n"/>
      <c r="D50" s="11" t="n"/>
      <c r="E50" s="11" t="n"/>
      <c r="F50" s="11" t="n"/>
      <c r="G50" s="11" t="n"/>
      <c r="H50" s="11" t="n"/>
      <c r="I50" s="8">
        <f>IF($C50="","",IF(COUNT(F50,G50,H50)=3,F50*G50*H50,""))</f>
        <v/>
      </c>
      <c r="J50" s="8">
        <f>IF($I50="","",IF($I50&gt;=200,"1-CRITICAL",IF($I50&gt;=100,"2-HIGH",IF($I50&gt;=50,"3-MEDIUM","4-LOW"))))</f>
        <v/>
      </c>
      <c r="K50" s="10" t="n"/>
      <c r="L50" s="11" t="n"/>
      <c r="M50" s="11" t="n"/>
      <c r="N50" s="10" t="n"/>
      <c r="O50" s="9" t="n"/>
      <c r="P50" s="8">
        <f>IF($C50="","",ROUND(IF($E50="1-CRITICAL",7,IF($E50="2-HIGH",14,IF($E50="3-MEDIUM",30,45)))*(1+IF($I50="",0,$I50)/400),0))</f>
        <v/>
      </c>
      <c r="Q50" s="12">
        <f>IF(OR($C50="",$O50=""),"",$O50+$P50)</f>
        <v/>
      </c>
      <c r="R50" s="11" t="n"/>
      <c r="S50" s="13" t="n"/>
      <c r="T50" s="8">
        <f>IF($C50="","",IF($R50="CLOSED","Closed",IF($R50="RESOLVED","Resolved",IF($R50="BLOCKED","BLOCKED",IF($I50&gt;=200,"CRITICAL",IF($I50&gt;=100,"High",IF($E50="1-CRITICAL","High","On track")))))))</f>
        <v/>
      </c>
      <c r="U50" s="14">
        <f>IF($C50="","",IF($R50="CLOSED","Closed - capture lessons learned in PDCA Act phase.",IF($I50&gt;=200,"CRITICAL (RPN "&amp;$I50&amp;"): Escalate today. Open FMEA action + daily PDCA. Owner "&amp;IF($M50="","?",$M50)&amp;". Apply "&amp;IF($L50="","a Lean method",$L50)&amp;". Close by "&amp;IF($Q50="","ASAP",TEXT($Q50,"dd-mmm"))&amp;".",IF($I50&gt;=100,"HIGH (RPN "&amp;$I50&amp;"): Add to current sprint. Mitigate via "&amp;IF($L50="","Standard Work",$L50)&amp;". Review weekly with "&amp;IF($M50="","owner",$M50)&amp;".",IF(OR($E50="1-CRITICAL",$E50="2-HIGH"),"Priority case: schedule "&amp;IF($L50="","a Lean workshop",$L50)&amp;" within 2 weeks. Track to "&amp;IF($N50="","target",$N50)&amp;".","Monitor: apply "&amp;IF($L50="","standard cadence",$L50)&amp;". Re-score if conditions change.")))))</f>
        <v/>
      </c>
      <c r="V50">
        <f>IF($C50="","",IF($I50="",0,$I50)+ROW()/100000)</f>
        <v/>
      </c>
    </row>
    <row r="51">
      <c r="A51" s="8">
        <f>IF($C51="","",TEXT(48,"\C\A\S\E-000"))</f>
        <v/>
      </c>
      <c r="B51" s="9" t="n"/>
      <c r="C51" s="10" t="n"/>
      <c r="D51" s="11" t="n"/>
      <c r="E51" s="11" t="n"/>
      <c r="F51" s="11" t="n"/>
      <c r="G51" s="11" t="n"/>
      <c r="H51" s="11" t="n"/>
      <c r="I51" s="8">
        <f>IF($C51="","",IF(COUNT(F51,G51,H51)=3,F51*G51*H51,""))</f>
        <v/>
      </c>
      <c r="J51" s="8">
        <f>IF($I51="","",IF($I51&gt;=200,"1-CRITICAL",IF($I51&gt;=100,"2-HIGH",IF($I51&gt;=50,"3-MEDIUM","4-LOW"))))</f>
        <v/>
      </c>
      <c r="K51" s="10" t="n"/>
      <c r="L51" s="11" t="n"/>
      <c r="M51" s="11" t="n"/>
      <c r="N51" s="10" t="n"/>
      <c r="O51" s="9" t="n"/>
      <c r="P51" s="8">
        <f>IF($C51="","",ROUND(IF($E51="1-CRITICAL",7,IF($E51="2-HIGH",14,IF($E51="3-MEDIUM",30,45)))*(1+IF($I51="",0,$I51)/400),0))</f>
        <v/>
      </c>
      <c r="Q51" s="12">
        <f>IF(OR($C51="",$O51=""),"",$O51+$P51)</f>
        <v/>
      </c>
      <c r="R51" s="11" t="n"/>
      <c r="S51" s="13" t="n"/>
      <c r="T51" s="8">
        <f>IF($C51="","",IF($R51="CLOSED","Closed",IF($R51="RESOLVED","Resolved",IF($R51="BLOCKED","BLOCKED",IF($I51&gt;=200,"CRITICAL",IF($I51&gt;=100,"High",IF($E51="1-CRITICAL","High","On track")))))))</f>
        <v/>
      </c>
      <c r="U51" s="14">
        <f>IF($C51="","",IF($R51="CLOSED","Closed - capture lessons learned in PDCA Act phase.",IF($I51&gt;=200,"CRITICAL (RPN "&amp;$I51&amp;"): Escalate today. Open FMEA action + daily PDCA. Owner "&amp;IF($M51="","?",$M51)&amp;". Apply "&amp;IF($L51="","a Lean method",$L51)&amp;". Close by "&amp;IF($Q51="","ASAP",TEXT($Q51,"dd-mmm"))&amp;".",IF($I51&gt;=100,"HIGH (RPN "&amp;$I51&amp;"): Add to current sprint. Mitigate via "&amp;IF($L51="","Standard Work",$L51)&amp;". Review weekly with "&amp;IF($M51="","owner",$M51)&amp;".",IF(OR($E51="1-CRITICAL",$E51="2-HIGH"),"Priority case: schedule "&amp;IF($L51="","a Lean workshop",$L51)&amp;" within 2 weeks. Track to "&amp;IF($N51="","target",$N51)&amp;".","Monitor: apply "&amp;IF($L51="","standard cadence",$L51)&amp;". Re-score if conditions change.")))))</f>
        <v/>
      </c>
      <c r="V51">
        <f>IF($C51="","",IF($I51="",0,$I51)+ROW()/100000)</f>
        <v/>
      </c>
    </row>
    <row r="52">
      <c r="A52" s="8">
        <f>IF($C52="","",TEXT(49,"\C\A\S\E-000"))</f>
        <v/>
      </c>
      <c r="B52" s="9" t="n"/>
      <c r="C52" s="10" t="n"/>
      <c r="D52" s="11" t="n"/>
      <c r="E52" s="11" t="n"/>
      <c r="F52" s="11" t="n"/>
      <c r="G52" s="11" t="n"/>
      <c r="H52" s="11" t="n"/>
      <c r="I52" s="8">
        <f>IF($C52="","",IF(COUNT(F52,G52,H52)=3,F52*G52*H52,""))</f>
        <v/>
      </c>
      <c r="J52" s="8">
        <f>IF($I52="","",IF($I52&gt;=200,"1-CRITICAL",IF($I52&gt;=100,"2-HIGH",IF($I52&gt;=50,"3-MEDIUM","4-LOW"))))</f>
        <v/>
      </c>
      <c r="K52" s="10" t="n"/>
      <c r="L52" s="11" t="n"/>
      <c r="M52" s="11" t="n"/>
      <c r="N52" s="10" t="n"/>
      <c r="O52" s="9" t="n"/>
      <c r="P52" s="8">
        <f>IF($C52="","",ROUND(IF($E52="1-CRITICAL",7,IF($E52="2-HIGH",14,IF($E52="3-MEDIUM",30,45)))*(1+IF($I52="",0,$I52)/400),0))</f>
        <v/>
      </c>
      <c r="Q52" s="12">
        <f>IF(OR($C52="",$O52=""),"",$O52+$P52)</f>
        <v/>
      </c>
      <c r="R52" s="11" t="n"/>
      <c r="S52" s="13" t="n"/>
      <c r="T52" s="8">
        <f>IF($C52="","",IF($R52="CLOSED","Closed",IF($R52="RESOLVED","Resolved",IF($R52="BLOCKED","BLOCKED",IF($I52&gt;=200,"CRITICAL",IF($I52&gt;=100,"High",IF($E52="1-CRITICAL","High","On track")))))))</f>
        <v/>
      </c>
      <c r="U52" s="14">
        <f>IF($C52="","",IF($R52="CLOSED","Closed - capture lessons learned in PDCA Act phase.",IF($I52&gt;=200,"CRITICAL (RPN "&amp;$I52&amp;"): Escalate today. Open FMEA action + daily PDCA. Owner "&amp;IF($M52="","?",$M52)&amp;". Apply "&amp;IF($L52="","a Lean method",$L52)&amp;". Close by "&amp;IF($Q52="","ASAP",TEXT($Q52,"dd-mmm"))&amp;".",IF($I52&gt;=100,"HIGH (RPN "&amp;$I52&amp;"): Add to current sprint. Mitigate via "&amp;IF($L52="","Standard Work",$L52)&amp;". Review weekly with "&amp;IF($M52="","owner",$M52)&amp;".",IF(OR($E52="1-CRITICAL",$E52="2-HIGH"),"Priority case: schedule "&amp;IF($L52="","a Lean workshop",$L52)&amp;" within 2 weeks. Track to "&amp;IF($N52="","target",$N52)&amp;".","Monitor: apply "&amp;IF($L52="","standard cadence",$L52)&amp;". Re-score if conditions change.")))))</f>
        <v/>
      </c>
      <c r="V52">
        <f>IF($C52="","",IF($I52="",0,$I52)+ROW()/100000)</f>
        <v/>
      </c>
    </row>
    <row r="53">
      <c r="A53" s="8">
        <f>IF($C53="","",TEXT(50,"\C\A\S\E-000"))</f>
        <v/>
      </c>
      <c r="B53" s="9" t="n"/>
      <c r="C53" s="10" t="n"/>
      <c r="D53" s="11" t="n"/>
      <c r="E53" s="11" t="n"/>
      <c r="F53" s="11" t="n"/>
      <c r="G53" s="11" t="n"/>
      <c r="H53" s="11" t="n"/>
      <c r="I53" s="8">
        <f>IF($C53="","",IF(COUNT(F53,G53,H53)=3,F53*G53*H53,""))</f>
        <v/>
      </c>
      <c r="J53" s="8">
        <f>IF($I53="","",IF($I53&gt;=200,"1-CRITICAL",IF($I53&gt;=100,"2-HIGH",IF($I53&gt;=50,"3-MEDIUM","4-LOW"))))</f>
        <v/>
      </c>
      <c r="K53" s="10" t="n"/>
      <c r="L53" s="11" t="n"/>
      <c r="M53" s="11" t="n"/>
      <c r="N53" s="10" t="n"/>
      <c r="O53" s="9" t="n"/>
      <c r="P53" s="8">
        <f>IF($C53="","",ROUND(IF($E53="1-CRITICAL",7,IF($E53="2-HIGH",14,IF($E53="3-MEDIUM",30,45)))*(1+IF($I53="",0,$I53)/400),0))</f>
        <v/>
      </c>
      <c r="Q53" s="12">
        <f>IF(OR($C53="",$O53=""),"",$O53+$P53)</f>
        <v/>
      </c>
      <c r="R53" s="11" t="n"/>
      <c r="S53" s="13" t="n"/>
      <c r="T53" s="8">
        <f>IF($C53="","",IF($R53="CLOSED","Closed",IF($R53="RESOLVED","Resolved",IF($R53="BLOCKED","BLOCKED",IF($I53&gt;=200,"CRITICAL",IF($I53&gt;=100,"High",IF($E53="1-CRITICAL","High","On track")))))))</f>
        <v/>
      </c>
      <c r="U53" s="14">
        <f>IF($C53="","",IF($R53="CLOSED","Closed - capture lessons learned in PDCA Act phase.",IF($I53&gt;=200,"CRITICAL (RPN "&amp;$I53&amp;"): Escalate today. Open FMEA action + daily PDCA. Owner "&amp;IF($M53="","?",$M53)&amp;". Apply "&amp;IF($L53="","a Lean method",$L53)&amp;". Close by "&amp;IF($Q53="","ASAP",TEXT($Q53,"dd-mmm"))&amp;".",IF($I53&gt;=100,"HIGH (RPN "&amp;$I53&amp;"): Add to current sprint. Mitigate via "&amp;IF($L53="","Standard Work",$L53)&amp;". Review weekly with "&amp;IF($M53="","owner",$M53)&amp;".",IF(OR($E53="1-CRITICAL",$E53="2-HIGH"),"Priority case: schedule "&amp;IF($L53="","a Lean workshop",$L53)&amp;" within 2 weeks. Track to "&amp;IF($N53="","target",$N53)&amp;".","Monitor: apply "&amp;IF($L53="","standard cadence",$L53)&amp;". Re-score if conditions change.")))))</f>
        <v/>
      </c>
      <c r="V53">
        <f>IF($C53="","",IF($I53="",0,$I53)+ROW()/100000)</f>
        <v/>
      </c>
    </row>
    <row r="54">
      <c r="A54" s="8">
        <f>IF($C54="","",TEXT(51,"\C\A\S\E-000"))</f>
        <v/>
      </c>
      <c r="B54" s="9" t="n"/>
      <c r="C54" s="10" t="n"/>
      <c r="D54" s="11" t="n"/>
      <c r="E54" s="11" t="n"/>
      <c r="F54" s="11" t="n"/>
      <c r="G54" s="11" t="n"/>
      <c r="H54" s="11" t="n"/>
      <c r="I54" s="8">
        <f>IF($C54="","",IF(COUNT(F54,G54,H54)=3,F54*G54*H54,""))</f>
        <v/>
      </c>
      <c r="J54" s="8">
        <f>IF($I54="","",IF($I54&gt;=200,"1-CRITICAL",IF($I54&gt;=100,"2-HIGH",IF($I54&gt;=50,"3-MEDIUM","4-LOW"))))</f>
        <v/>
      </c>
      <c r="K54" s="10" t="n"/>
      <c r="L54" s="11" t="n"/>
      <c r="M54" s="11" t="n"/>
      <c r="N54" s="10" t="n"/>
      <c r="O54" s="9" t="n"/>
      <c r="P54" s="8">
        <f>IF($C54="","",ROUND(IF($E54="1-CRITICAL",7,IF($E54="2-HIGH",14,IF($E54="3-MEDIUM",30,45)))*(1+IF($I54="",0,$I54)/400),0))</f>
        <v/>
      </c>
      <c r="Q54" s="12">
        <f>IF(OR($C54="",$O54=""),"",$O54+$P54)</f>
        <v/>
      </c>
      <c r="R54" s="11" t="n"/>
      <c r="S54" s="13" t="n"/>
      <c r="T54" s="8">
        <f>IF($C54="","",IF($R54="CLOSED","Closed",IF($R54="RESOLVED","Resolved",IF($R54="BLOCKED","BLOCKED",IF($I54&gt;=200,"CRITICAL",IF($I54&gt;=100,"High",IF($E54="1-CRITICAL","High","On track")))))))</f>
        <v/>
      </c>
      <c r="U54" s="14">
        <f>IF($C54="","",IF($R54="CLOSED","Closed - capture lessons learned in PDCA Act phase.",IF($I54&gt;=200,"CRITICAL (RPN "&amp;$I54&amp;"): Escalate today. Open FMEA action + daily PDCA. Owner "&amp;IF($M54="","?",$M54)&amp;". Apply "&amp;IF($L54="","a Lean method",$L54)&amp;". Close by "&amp;IF($Q54="","ASAP",TEXT($Q54,"dd-mmm"))&amp;".",IF($I54&gt;=100,"HIGH (RPN "&amp;$I54&amp;"): Add to current sprint. Mitigate via "&amp;IF($L54="","Standard Work",$L54)&amp;". Review weekly with "&amp;IF($M54="","owner",$M54)&amp;".",IF(OR($E54="1-CRITICAL",$E54="2-HIGH"),"Priority case: schedule "&amp;IF($L54="","a Lean workshop",$L54)&amp;" within 2 weeks. Track to "&amp;IF($N54="","target",$N54)&amp;".","Monitor: apply "&amp;IF($L54="","standard cadence",$L54)&amp;". Re-score if conditions change.")))))</f>
        <v/>
      </c>
      <c r="V54">
        <f>IF($C54="","",IF($I54="",0,$I54)+ROW()/100000)</f>
        <v/>
      </c>
    </row>
    <row r="55">
      <c r="A55" s="8">
        <f>IF($C55="","",TEXT(52,"\C\A\S\E-000"))</f>
        <v/>
      </c>
      <c r="B55" s="9" t="n"/>
      <c r="C55" s="10" t="n"/>
      <c r="D55" s="11" t="n"/>
      <c r="E55" s="11" t="n"/>
      <c r="F55" s="11" t="n"/>
      <c r="G55" s="11" t="n"/>
      <c r="H55" s="11" t="n"/>
      <c r="I55" s="8">
        <f>IF($C55="","",IF(COUNT(F55,G55,H55)=3,F55*G55*H55,""))</f>
        <v/>
      </c>
      <c r="J55" s="8">
        <f>IF($I55="","",IF($I55&gt;=200,"1-CRITICAL",IF($I55&gt;=100,"2-HIGH",IF($I55&gt;=50,"3-MEDIUM","4-LOW"))))</f>
        <v/>
      </c>
      <c r="K55" s="10" t="n"/>
      <c r="L55" s="11" t="n"/>
      <c r="M55" s="11" t="n"/>
      <c r="N55" s="10" t="n"/>
      <c r="O55" s="9" t="n"/>
      <c r="P55" s="8">
        <f>IF($C55="","",ROUND(IF($E55="1-CRITICAL",7,IF($E55="2-HIGH",14,IF($E55="3-MEDIUM",30,45)))*(1+IF($I55="",0,$I55)/400),0))</f>
        <v/>
      </c>
      <c r="Q55" s="12">
        <f>IF(OR($C55="",$O55=""),"",$O55+$P55)</f>
        <v/>
      </c>
      <c r="R55" s="11" t="n"/>
      <c r="S55" s="13" t="n"/>
      <c r="T55" s="8">
        <f>IF($C55="","",IF($R55="CLOSED","Closed",IF($R55="RESOLVED","Resolved",IF($R55="BLOCKED","BLOCKED",IF($I55&gt;=200,"CRITICAL",IF($I55&gt;=100,"High",IF($E55="1-CRITICAL","High","On track")))))))</f>
        <v/>
      </c>
      <c r="U55" s="14">
        <f>IF($C55="","",IF($R55="CLOSED","Closed - capture lessons learned in PDCA Act phase.",IF($I55&gt;=200,"CRITICAL (RPN "&amp;$I55&amp;"): Escalate today. Open FMEA action + daily PDCA. Owner "&amp;IF($M55="","?",$M55)&amp;". Apply "&amp;IF($L55="","a Lean method",$L55)&amp;". Close by "&amp;IF($Q55="","ASAP",TEXT($Q55,"dd-mmm"))&amp;".",IF($I55&gt;=100,"HIGH (RPN "&amp;$I55&amp;"): Add to current sprint. Mitigate via "&amp;IF($L55="","Standard Work",$L55)&amp;". Review weekly with "&amp;IF($M55="","owner",$M55)&amp;".",IF(OR($E55="1-CRITICAL",$E55="2-HIGH"),"Priority case: schedule "&amp;IF($L55="","a Lean workshop",$L55)&amp;" within 2 weeks. Track to "&amp;IF($N55="","target",$N55)&amp;".","Monitor: apply "&amp;IF($L55="","standard cadence",$L55)&amp;". Re-score if conditions change.")))))</f>
        <v/>
      </c>
      <c r="V55">
        <f>IF($C55="","",IF($I55="",0,$I55)+ROW()/100000)</f>
        <v/>
      </c>
    </row>
    <row r="56">
      <c r="A56" s="8">
        <f>IF($C56="","",TEXT(53,"\C\A\S\E-000"))</f>
        <v/>
      </c>
      <c r="B56" s="9" t="n"/>
      <c r="C56" s="10" t="n"/>
      <c r="D56" s="11" t="n"/>
      <c r="E56" s="11" t="n"/>
      <c r="F56" s="11" t="n"/>
      <c r="G56" s="11" t="n"/>
      <c r="H56" s="11" t="n"/>
      <c r="I56" s="8">
        <f>IF($C56="","",IF(COUNT(F56,G56,H56)=3,F56*G56*H56,""))</f>
        <v/>
      </c>
      <c r="J56" s="8">
        <f>IF($I56="","",IF($I56&gt;=200,"1-CRITICAL",IF($I56&gt;=100,"2-HIGH",IF($I56&gt;=50,"3-MEDIUM","4-LOW"))))</f>
        <v/>
      </c>
      <c r="K56" s="10" t="n"/>
      <c r="L56" s="11" t="n"/>
      <c r="M56" s="11" t="n"/>
      <c r="N56" s="10" t="n"/>
      <c r="O56" s="9" t="n"/>
      <c r="P56" s="8">
        <f>IF($C56="","",ROUND(IF($E56="1-CRITICAL",7,IF($E56="2-HIGH",14,IF($E56="3-MEDIUM",30,45)))*(1+IF($I56="",0,$I56)/400),0))</f>
        <v/>
      </c>
      <c r="Q56" s="12">
        <f>IF(OR($C56="",$O56=""),"",$O56+$P56)</f>
        <v/>
      </c>
      <c r="R56" s="11" t="n"/>
      <c r="S56" s="13" t="n"/>
      <c r="T56" s="8">
        <f>IF($C56="","",IF($R56="CLOSED","Closed",IF($R56="RESOLVED","Resolved",IF($R56="BLOCKED","BLOCKED",IF($I56&gt;=200,"CRITICAL",IF($I56&gt;=100,"High",IF($E56="1-CRITICAL","High","On track")))))))</f>
        <v/>
      </c>
      <c r="U56" s="14">
        <f>IF($C56="","",IF($R56="CLOSED","Closed - capture lessons learned in PDCA Act phase.",IF($I56&gt;=200,"CRITICAL (RPN "&amp;$I56&amp;"): Escalate today. Open FMEA action + daily PDCA. Owner "&amp;IF($M56="","?",$M56)&amp;". Apply "&amp;IF($L56="","a Lean method",$L56)&amp;". Close by "&amp;IF($Q56="","ASAP",TEXT($Q56,"dd-mmm"))&amp;".",IF($I56&gt;=100,"HIGH (RPN "&amp;$I56&amp;"): Add to current sprint. Mitigate via "&amp;IF($L56="","Standard Work",$L56)&amp;". Review weekly with "&amp;IF($M56="","owner",$M56)&amp;".",IF(OR($E56="1-CRITICAL",$E56="2-HIGH"),"Priority case: schedule "&amp;IF($L56="","a Lean workshop",$L56)&amp;" within 2 weeks. Track to "&amp;IF($N56="","target",$N56)&amp;".","Monitor: apply "&amp;IF($L56="","standard cadence",$L56)&amp;". Re-score if conditions change.")))))</f>
        <v/>
      </c>
      <c r="V56">
        <f>IF($C56="","",IF($I56="",0,$I56)+ROW()/100000)</f>
        <v/>
      </c>
    </row>
    <row r="57">
      <c r="A57" s="8">
        <f>IF($C57="","",TEXT(54,"\C\A\S\E-000"))</f>
        <v/>
      </c>
      <c r="B57" s="9" t="n"/>
      <c r="C57" s="10" t="n"/>
      <c r="D57" s="11" t="n"/>
      <c r="E57" s="11" t="n"/>
      <c r="F57" s="11" t="n"/>
      <c r="G57" s="11" t="n"/>
      <c r="H57" s="11" t="n"/>
      <c r="I57" s="8">
        <f>IF($C57="","",IF(COUNT(F57,G57,H57)=3,F57*G57*H57,""))</f>
        <v/>
      </c>
      <c r="J57" s="8">
        <f>IF($I57="","",IF($I57&gt;=200,"1-CRITICAL",IF($I57&gt;=100,"2-HIGH",IF($I57&gt;=50,"3-MEDIUM","4-LOW"))))</f>
        <v/>
      </c>
      <c r="K57" s="10" t="n"/>
      <c r="L57" s="11" t="n"/>
      <c r="M57" s="11" t="n"/>
      <c r="N57" s="10" t="n"/>
      <c r="O57" s="9" t="n"/>
      <c r="P57" s="8">
        <f>IF($C57="","",ROUND(IF($E57="1-CRITICAL",7,IF($E57="2-HIGH",14,IF($E57="3-MEDIUM",30,45)))*(1+IF($I57="",0,$I57)/400),0))</f>
        <v/>
      </c>
      <c r="Q57" s="12">
        <f>IF(OR($C57="",$O57=""),"",$O57+$P57)</f>
        <v/>
      </c>
      <c r="R57" s="11" t="n"/>
      <c r="S57" s="13" t="n"/>
      <c r="T57" s="8">
        <f>IF($C57="","",IF($R57="CLOSED","Closed",IF($R57="RESOLVED","Resolved",IF($R57="BLOCKED","BLOCKED",IF($I57&gt;=200,"CRITICAL",IF($I57&gt;=100,"High",IF($E57="1-CRITICAL","High","On track")))))))</f>
        <v/>
      </c>
      <c r="U57" s="14">
        <f>IF($C57="","",IF($R57="CLOSED","Closed - capture lessons learned in PDCA Act phase.",IF($I57&gt;=200,"CRITICAL (RPN "&amp;$I57&amp;"): Escalate today. Open FMEA action + daily PDCA. Owner "&amp;IF($M57="","?",$M57)&amp;". Apply "&amp;IF($L57="","a Lean method",$L57)&amp;". Close by "&amp;IF($Q57="","ASAP",TEXT($Q57,"dd-mmm"))&amp;".",IF($I57&gt;=100,"HIGH (RPN "&amp;$I57&amp;"): Add to current sprint. Mitigate via "&amp;IF($L57="","Standard Work",$L57)&amp;". Review weekly with "&amp;IF($M57="","owner",$M57)&amp;".",IF(OR($E57="1-CRITICAL",$E57="2-HIGH"),"Priority case: schedule "&amp;IF($L57="","a Lean workshop",$L57)&amp;" within 2 weeks. Track to "&amp;IF($N57="","target",$N57)&amp;".","Monitor: apply "&amp;IF($L57="","standard cadence",$L57)&amp;". Re-score if conditions change.")))))</f>
        <v/>
      </c>
      <c r="V57">
        <f>IF($C57="","",IF($I57="",0,$I57)+ROW()/100000)</f>
        <v/>
      </c>
    </row>
    <row r="58">
      <c r="A58" s="8">
        <f>IF($C58="","",TEXT(55,"\C\A\S\E-000"))</f>
        <v/>
      </c>
      <c r="B58" s="9" t="n"/>
      <c r="C58" s="10" t="n"/>
      <c r="D58" s="11" t="n"/>
      <c r="E58" s="11" t="n"/>
      <c r="F58" s="11" t="n"/>
      <c r="G58" s="11" t="n"/>
      <c r="H58" s="11" t="n"/>
      <c r="I58" s="8">
        <f>IF($C58="","",IF(COUNT(F58,G58,H58)=3,F58*G58*H58,""))</f>
        <v/>
      </c>
      <c r="J58" s="8">
        <f>IF($I58="","",IF($I58&gt;=200,"1-CRITICAL",IF($I58&gt;=100,"2-HIGH",IF($I58&gt;=50,"3-MEDIUM","4-LOW"))))</f>
        <v/>
      </c>
      <c r="K58" s="10" t="n"/>
      <c r="L58" s="11" t="n"/>
      <c r="M58" s="11" t="n"/>
      <c r="N58" s="10" t="n"/>
      <c r="O58" s="9" t="n"/>
      <c r="P58" s="8">
        <f>IF($C58="","",ROUND(IF($E58="1-CRITICAL",7,IF($E58="2-HIGH",14,IF($E58="3-MEDIUM",30,45)))*(1+IF($I58="",0,$I58)/400),0))</f>
        <v/>
      </c>
      <c r="Q58" s="12">
        <f>IF(OR($C58="",$O58=""),"",$O58+$P58)</f>
        <v/>
      </c>
      <c r="R58" s="11" t="n"/>
      <c r="S58" s="13" t="n"/>
      <c r="T58" s="8">
        <f>IF($C58="","",IF($R58="CLOSED","Closed",IF($R58="RESOLVED","Resolved",IF($R58="BLOCKED","BLOCKED",IF($I58&gt;=200,"CRITICAL",IF($I58&gt;=100,"High",IF($E58="1-CRITICAL","High","On track")))))))</f>
        <v/>
      </c>
      <c r="U58" s="14">
        <f>IF($C58="","",IF($R58="CLOSED","Closed - capture lessons learned in PDCA Act phase.",IF($I58&gt;=200,"CRITICAL (RPN "&amp;$I58&amp;"): Escalate today. Open FMEA action + daily PDCA. Owner "&amp;IF($M58="","?",$M58)&amp;". Apply "&amp;IF($L58="","a Lean method",$L58)&amp;". Close by "&amp;IF($Q58="","ASAP",TEXT($Q58,"dd-mmm"))&amp;".",IF($I58&gt;=100,"HIGH (RPN "&amp;$I58&amp;"): Add to current sprint. Mitigate via "&amp;IF($L58="","Standard Work",$L58)&amp;". Review weekly with "&amp;IF($M58="","owner",$M58)&amp;".",IF(OR($E58="1-CRITICAL",$E58="2-HIGH"),"Priority case: schedule "&amp;IF($L58="","a Lean workshop",$L58)&amp;" within 2 weeks. Track to "&amp;IF($N58="","target",$N58)&amp;".","Monitor: apply "&amp;IF($L58="","standard cadence",$L58)&amp;". Re-score if conditions change.")))))</f>
        <v/>
      </c>
      <c r="V58">
        <f>IF($C58="","",IF($I58="",0,$I58)+ROW()/100000)</f>
        <v/>
      </c>
    </row>
    <row r="59">
      <c r="A59" s="8">
        <f>IF($C59="","",TEXT(56,"\C\A\S\E-000"))</f>
        <v/>
      </c>
      <c r="B59" s="9" t="n"/>
      <c r="C59" s="10" t="n"/>
      <c r="D59" s="11" t="n"/>
      <c r="E59" s="11" t="n"/>
      <c r="F59" s="11" t="n"/>
      <c r="G59" s="11" t="n"/>
      <c r="H59" s="11" t="n"/>
      <c r="I59" s="8">
        <f>IF($C59="","",IF(COUNT(F59,G59,H59)=3,F59*G59*H59,""))</f>
        <v/>
      </c>
      <c r="J59" s="8">
        <f>IF($I59="","",IF($I59&gt;=200,"1-CRITICAL",IF($I59&gt;=100,"2-HIGH",IF($I59&gt;=50,"3-MEDIUM","4-LOW"))))</f>
        <v/>
      </c>
      <c r="K59" s="10" t="n"/>
      <c r="L59" s="11" t="n"/>
      <c r="M59" s="11" t="n"/>
      <c r="N59" s="10" t="n"/>
      <c r="O59" s="9" t="n"/>
      <c r="P59" s="8">
        <f>IF($C59="","",ROUND(IF($E59="1-CRITICAL",7,IF($E59="2-HIGH",14,IF($E59="3-MEDIUM",30,45)))*(1+IF($I59="",0,$I59)/400),0))</f>
        <v/>
      </c>
      <c r="Q59" s="12">
        <f>IF(OR($C59="",$O59=""),"",$O59+$P59)</f>
        <v/>
      </c>
      <c r="R59" s="11" t="n"/>
      <c r="S59" s="13" t="n"/>
      <c r="T59" s="8">
        <f>IF($C59="","",IF($R59="CLOSED","Closed",IF($R59="RESOLVED","Resolved",IF($R59="BLOCKED","BLOCKED",IF($I59&gt;=200,"CRITICAL",IF($I59&gt;=100,"High",IF($E59="1-CRITICAL","High","On track")))))))</f>
        <v/>
      </c>
      <c r="U59" s="14">
        <f>IF($C59="","",IF($R59="CLOSED","Closed - capture lessons learned in PDCA Act phase.",IF($I59&gt;=200,"CRITICAL (RPN "&amp;$I59&amp;"): Escalate today. Open FMEA action + daily PDCA. Owner "&amp;IF($M59="","?",$M59)&amp;". Apply "&amp;IF($L59="","a Lean method",$L59)&amp;". Close by "&amp;IF($Q59="","ASAP",TEXT($Q59,"dd-mmm"))&amp;".",IF($I59&gt;=100,"HIGH (RPN "&amp;$I59&amp;"): Add to current sprint. Mitigate via "&amp;IF($L59="","Standard Work",$L59)&amp;". Review weekly with "&amp;IF($M59="","owner",$M59)&amp;".",IF(OR($E59="1-CRITICAL",$E59="2-HIGH"),"Priority case: schedule "&amp;IF($L59="","a Lean workshop",$L59)&amp;" within 2 weeks. Track to "&amp;IF($N59="","target",$N59)&amp;".","Monitor: apply "&amp;IF($L59="","standard cadence",$L59)&amp;". Re-score if conditions change.")))))</f>
        <v/>
      </c>
      <c r="V59">
        <f>IF($C59="","",IF($I59="",0,$I59)+ROW()/100000)</f>
        <v/>
      </c>
    </row>
    <row r="60">
      <c r="A60" s="8">
        <f>IF($C60="","",TEXT(57,"\C\A\S\E-000"))</f>
        <v/>
      </c>
      <c r="B60" s="9" t="n"/>
      <c r="C60" s="10" t="n"/>
      <c r="D60" s="11" t="n"/>
      <c r="E60" s="11" t="n"/>
      <c r="F60" s="11" t="n"/>
      <c r="G60" s="11" t="n"/>
      <c r="H60" s="11" t="n"/>
      <c r="I60" s="8">
        <f>IF($C60="","",IF(COUNT(F60,G60,H60)=3,F60*G60*H60,""))</f>
        <v/>
      </c>
      <c r="J60" s="8">
        <f>IF($I60="","",IF($I60&gt;=200,"1-CRITICAL",IF($I60&gt;=100,"2-HIGH",IF($I60&gt;=50,"3-MEDIUM","4-LOW"))))</f>
        <v/>
      </c>
      <c r="K60" s="10" t="n"/>
      <c r="L60" s="11" t="n"/>
      <c r="M60" s="11" t="n"/>
      <c r="N60" s="10" t="n"/>
      <c r="O60" s="9" t="n"/>
      <c r="P60" s="8">
        <f>IF($C60="","",ROUND(IF($E60="1-CRITICAL",7,IF($E60="2-HIGH",14,IF($E60="3-MEDIUM",30,45)))*(1+IF($I60="",0,$I60)/400),0))</f>
        <v/>
      </c>
      <c r="Q60" s="12">
        <f>IF(OR($C60="",$O60=""),"",$O60+$P60)</f>
        <v/>
      </c>
      <c r="R60" s="11" t="n"/>
      <c r="S60" s="13" t="n"/>
      <c r="T60" s="8">
        <f>IF($C60="","",IF($R60="CLOSED","Closed",IF($R60="RESOLVED","Resolved",IF($R60="BLOCKED","BLOCKED",IF($I60&gt;=200,"CRITICAL",IF($I60&gt;=100,"High",IF($E60="1-CRITICAL","High","On track")))))))</f>
        <v/>
      </c>
      <c r="U60" s="14">
        <f>IF($C60="","",IF($R60="CLOSED","Closed - capture lessons learned in PDCA Act phase.",IF($I60&gt;=200,"CRITICAL (RPN "&amp;$I60&amp;"): Escalate today. Open FMEA action + daily PDCA. Owner "&amp;IF($M60="","?",$M60)&amp;". Apply "&amp;IF($L60="","a Lean method",$L60)&amp;". Close by "&amp;IF($Q60="","ASAP",TEXT($Q60,"dd-mmm"))&amp;".",IF($I60&gt;=100,"HIGH (RPN "&amp;$I60&amp;"): Add to current sprint. Mitigate via "&amp;IF($L60="","Standard Work",$L60)&amp;". Review weekly with "&amp;IF($M60="","owner",$M60)&amp;".",IF(OR($E60="1-CRITICAL",$E60="2-HIGH"),"Priority case: schedule "&amp;IF($L60="","a Lean workshop",$L60)&amp;" within 2 weeks. Track to "&amp;IF($N60="","target",$N60)&amp;".","Monitor: apply "&amp;IF($L60="","standard cadence",$L60)&amp;". Re-score if conditions change.")))))</f>
        <v/>
      </c>
      <c r="V60">
        <f>IF($C60="","",IF($I60="",0,$I60)+ROW()/100000)</f>
        <v/>
      </c>
    </row>
    <row r="61">
      <c r="A61" s="8">
        <f>IF($C61="","",TEXT(58,"\C\A\S\E-000"))</f>
        <v/>
      </c>
      <c r="B61" s="9" t="n"/>
      <c r="C61" s="10" t="n"/>
      <c r="D61" s="11" t="n"/>
      <c r="E61" s="11" t="n"/>
      <c r="F61" s="11" t="n"/>
      <c r="G61" s="11" t="n"/>
      <c r="H61" s="11" t="n"/>
      <c r="I61" s="8">
        <f>IF($C61="","",IF(COUNT(F61,G61,H61)=3,F61*G61*H61,""))</f>
        <v/>
      </c>
      <c r="J61" s="8">
        <f>IF($I61="","",IF($I61&gt;=200,"1-CRITICAL",IF($I61&gt;=100,"2-HIGH",IF($I61&gt;=50,"3-MEDIUM","4-LOW"))))</f>
        <v/>
      </c>
      <c r="K61" s="10" t="n"/>
      <c r="L61" s="11" t="n"/>
      <c r="M61" s="11" t="n"/>
      <c r="N61" s="10" t="n"/>
      <c r="O61" s="9" t="n"/>
      <c r="P61" s="8">
        <f>IF($C61="","",ROUND(IF($E61="1-CRITICAL",7,IF($E61="2-HIGH",14,IF($E61="3-MEDIUM",30,45)))*(1+IF($I61="",0,$I61)/400),0))</f>
        <v/>
      </c>
      <c r="Q61" s="12">
        <f>IF(OR($C61="",$O61=""),"",$O61+$P61)</f>
        <v/>
      </c>
      <c r="R61" s="11" t="n"/>
      <c r="S61" s="13" t="n"/>
      <c r="T61" s="8">
        <f>IF($C61="","",IF($R61="CLOSED","Closed",IF($R61="RESOLVED","Resolved",IF($R61="BLOCKED","BLOCKED",IF($I61&gt;=200,"CRITICAL",IF($I61&gt;=100,"High",IF($E61="1-CRITICAL","High","On track")))))))</f>
        <v/>
      </c>
      <c r="U61" s="14">
        <f>IF($C61="","",IF($R61="CLOSED","Closed - capture lessons learned in PDCA Act phase.",IF($I61&gt;=200,"CRITICAL (RPN "&amp;$I61&amp;"): Escalate today. Open FMEA action + daily PDCA. Owner "&amp;IF($M61="","?",$M61)&amp;". Apply "&amp;IF($L61="","a Lean method",$L61)&amp;". Close by "&amp;IF($Q61="","ASAP",TEXT($Q61,"dd-mmm"))&amp;".",IF($I61&gt;=100,"HIGH (RPN "&amp;$I61&amp;"): Add to current sprint. Mitigate via "&amp;IF($L61="","Standard Work",$L61)&amp;". Review weekly with "&amp;IF($M61="","owner",$M61)&amp;".",IF(OR($E61="1-CRITICAL",$E61="2-HIGH"),"Priority case: schedule "&amp;IF($L61="","a Lean workshop",$L61)&amp;" within 2 weeks. Track to "&amp;IF($N61="","target",$N61)&amp;".","Monitor: apply "&amp;IF($L61="","standard cadence",$L61)&amp;". Re-score if conditions change.")))))</f>
        <v/>
      </c>
      <c r="V61">
        <f>IF($C61="","",IF($I61="",0,$I61)+ROW()/100000)</f>
        <v/>
      </c>
    </row>
    <row r="62">
      <c r="A62" s="8">
        <f>IF($C62="","",TEXT(59,"\C\A\S\E-000"))</f>
        <v/>
      </c>
      <c r="B62" s="9" t="n"/>
      <c r="C62" s="10" t="n"/>
      <c r="D62" s="11" t="n"/>
      <c r="E62" s="11" t="n"/>
      <c r="F62" s="11" t="n"/>
      <c r="G62" s="11" t="n"/>
      <c r="H62" s="11" t="n"/>
      <c r="I62" s="8">
        <f>IF($C62="","",IF(COUNT(F62,G62,H62)=3,F62*G62*H62,""))</f>
        <v/>
      </c>
      <c r="J62" s="8">
        <f>IF($I62="","",IF($I62&gt;=200,"1-CRITICAL",IF($I62&gt;=100,"2-HIGH",IF($I62&gt;=50,"3-MEDIUM","4-LOW"))))</f>
        <v/>
      </c>
      <c r="K62" s="10" t="n"/>
      <c r="L62" s="11" t="n"/>
      <c r="M62" s="11" t="n"/>
      <c r="N62" s="10" t="n"/>
      <c r="O62" s="9" t="n"/>
      <c r="P62" s="8">
        <f>IF($C62="","",ROUND(IF($E62="1-CRITICAL",7,IF($E62="2-HIGH",14,IF($E62="3-MEDIUM",30,45)))*(1+IF($I62="",0,$I62)/400),0))</f>
        <v/>
      </c>
      <c r="Q62" s="12">
        <f>IF(OR($C62="",$O62=""),"",$O62+$P62)</f>
        <v/>
      </c>
      <c r="R62" s="11" t="n"/>
      <c r="S62" s="13" t="n"/>
      <c r="T62" s="8">
        <f>IF($C62="","",IF($R62="CLOSED","Closed",IF($R62="RESOLVED","Resolved",IF($R62="BLOCKED","BLOCKED",IF($I62&gt;=200,"CRITICAL",IF($I62&gt;=100,"High",IF($E62="1-CRITICAL","High","On track")))))))</f>
        <v/>
      </c>
      <c r="U62" s="14">
        <f>IF($C62="","",IF($R62="CLOSED","Closed - capture lessons learned in PDCA Act phase.",IF($I62&gt;=200,"CRITICAL (RPN "&amp;$I62&amp;"): Escalate today. Open FMEA action + daily PDCA. Owner "&amp;IF($M62="","?",$M62)&amp;". Apply "&amp;IF($L62="","a Lean method",$L62)&amp;". Close by "&amp;IF($Q62="","ASAP",TEXT($Q62,"dd-mmm"))&amp;".",IF($I62&gt;=100,"HIGH (RPN "&amp;$I62&amp;"): Add to current sprint. Mitigate via "&amp;IF($L62="","Standard Work",$L62)&amp;". Review weekly with "&amp;IF($M62="","owner",$M62)&amp;".",IF(OR($E62="1-CRITICAL",$E62="2-HIGH"),"Priority case: schedule "&amp;IF($L62="","a Lean workshop",$L62)&amp;" within 2 weeks. Track to "&amp;IF($N62="","target",$N62)&amp;".","Monitor: apply "&amp;IF($L62="","standard cadence",$L62)&amp;". Re-score if conditions change.")))))</f>
        <v/>
      </c>
      <c r="V62">
        <f>IF($C62="","",IF($I62="",0,$I62)+ROW()/100000)</f>
        <v/>
      </c>
    </row>
    <row r="63">
      <c r="A63" s="8">
        <f>IF($C63="","",TEXT(60,"\C\A\S\E-000"))</f>
        <v/>
      </c>
      <c r="B63" s="9" t="n"/>
      <c r="C63" s="10" t="n"/>
      <c r="D63" s="11" t="n"/>
      <c r="E63" s="11" t="n"/>
      <c r="F63" s="11" t="n"/>
      <c r="G63" s="11" t="n"/>
      <c r="H63" s="11" t="n"/>
      <c r="I63" s="8">
        <f>IF($C63="","",IF(COUNT(F63,G63,H63)=3,F63*G63*H63,""))</f>
        <v/>
      </c>
      <c r="J63" s="8">
        <f>IF($I63="","",IF($I63&gt;=200,"1-CRITICAL",IF($I63&gt;=100,"2-HIGH",IF($I63&gt;=50,"3-MEDIUM","4-LOW"))))</f>
        <v/>
      </c>
      <c r="K63" s="10" t="n"/>
      <c r="L63" s="11" t="n"/>
      <c r="M63" s="11" t="n"/>
      <c r="N63" s="10" t="n"/>
      <c r="O63" s="9" t="n"/>
      <c r="P63" s="8">
        <f>IF($C63="","",ROUND(IF($E63="1-CRITICAL",7,IF($E63="2-HIGH",14,IF($E63="3-MEDIUM",30,45)))*(1+IF($I63="",0,$I63)/400),0))</f>
        <v/>
      </c>
      <c r="Q63" s="12">
        <f>IF(OR($C63="",$O63=""),"",$O63+$P63)</f>
        <v/>
      </c>
      <c r="R63" s="11" t="n"/>
      <c r="S63" s="13" t="n"/>
      <c r="T63" s="8">
        <f>IF($C63="","",IF($R63="CLOSED","Closed",IF($R63="RESOLVED","Resolved",IF($R63="BLOCKED","BLOCKED",IF($I63&gt;=200,"CRITICAL",IF($I63&gt;=100,"High",IF($E63="1-CRITICAL","High","On track")))))))</f>
        <v/>
      </c>
      <c r="U63" s="14">
        <f>IF($C63="","",IF($R63="CLOSED","Closed - capture lessons learned in PDCA Act phase.",IF($I63&gt;=200,"CRITICAL (RPN "&amp;$I63&amp;"): Escalate today. Open FMEA action + daily PDCA. Owner "&amp;IF($M63="","?",$M63)&amp;". Apply "&amp;IF($L63="","a Lean method",$L63)&amp;". Close by "&amp;IF($Q63="","ASAP",TEXT($Q63,"dd-mmm"))&amp;".",IF($I63&gt;=100,"HIGH (RPN "&amp;$I63&amp;"): Add to current sprint. Mitigate via "&amp;IF($L63="","Standard Work",$L63)&amp;". Review weekly with "&amp;IF($M63="","owner",$M63)&amp;".",IF(OR($E63="1-CRITICAL",$E63="2-HIGH"),"Priority case: schedule "&amp;IF($L63="","a Lean workshop",$L63)&amp;" within 2 weeks. Track to "&amp;IF($N63="","target",$N63)&amp;".","Monitor: apply "&amp;IF($L63="","standard cadence",$L63)&amp;". Re-score if conditions change.")))))</f>
        <v/>
      </c>
      <c r="V63">
        <f>IF($C63="","",IF($I63="",0,$I63)+ROW()/100000)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1:U1"/>
    <mergeCell ref="A2:U2"/>
  </mergeCells>
  <conditionalFormatting sqref="I4:I63">
    <cfRule type="colorScale" priority="1">
      <colorScale>
        <cfvo type="num" val="0"/>
        <cfvo type="num" val="100"/>
        <cfvo type="num" val="300"/>
        <color rgb="0063BE7B"/>
        <color rgb="00FFEB84"/>
        <color rgb="00F8696B"/>
      </colorScale>
    </cfRule>
  </conditionalFormatting>
  <conditionalFormatting sqref="R4:R63">
    <cfRule type="cellIs" priority="2" operator="equal" dxfId="0">
      <formula>"BLOCKED"</formula>
    </cfRule>
    <cfRule type="cellIs" priority="3" operator="equal" dxfId="1">
      <formula>"RESOLVED"</formula>
    </cfRule>
  </conditionalFormatting>
  <dataValidations count="14">
    <dataValidation sqref="B4:B63" showDropDown="0" showInputMessage="0" showErrorMessage="1" allowBlank="1" errorTitle="Choose from list" error="Please CHOOSE a value from the dropdown - free typing is not allowed." promptTitle="Dates" prompt="Click the arrow and choose" type="list" errorStyle="stop">
      <formula1>LISTS!$N$2:$N$731</formula1>
    </dataValidation>
    <dataValidation sqref="C4:C63" showDropDown="0" showInputMessage="0" showErrorMessage="1" allowBlank="1" errorTitle="Choose from list" error="Please CHOOSE a value from the dropdown - free typing is not allowed." promptTitle="Problems" prompt="Click the arrow and choose" type="list" errorStyle="stop">
      <formula1>LISTS!$G$2:$G$44</formula1>
    </dataValidation>
    <dataValidation sqref="D4:D63" showDropDown="0" showInputMessage="0" showErrorMessage="1" allowBlank="1" errorTitle="Choose from list" error="Please CHOOSE a value from the dropdown - free typing is not allowed." promptTitle="Category" prompt="Click the arrow and choose" type="list" errorStyle="stop">
      <formula1>LISTS!$A$2:$A$9</formula1>
    </dataValidation>
    <dataValidation sqref="E4:E63" showDropDown="0" showInputMessage="0" showErrorMessage="1" allowBlank="1" errorTitle="Choose from list" error="Please CHOOSE a value from the dropdown - free typing is not allowed." promptTitle="Priority" prompt="Click the arrow and choose" type="list" errorStyle="stop">
      <formula1>LISTS!$B$2:$B$5</formula1>
    </dataValidation>
    <dataValidation sqref="F4:F63" showDropDown="0" showInputMessage="0" showErrorMessage="1" allowBlank="1" errorTitle="Choose from list" error="Please CHOOSE a value from the dropdown - free typing is not allowed." promptTitle="Score" prompt="Click the arrow and choose" type="list" errorStyle="stop">
      <formula1>LISTS!$C$2:$C$11</formula1>
    </dataValidation>
    <dataValidation sqref="G4:G63" showDropDown="0" showInputMessage="0" showErrorMessage="1" allowBlank="1" errorTitle="Choose from list" error="Please CHOOSE a value from the dropdown - free typing is not allowed." promptTitle="Score" prompt="Click the arrow and choose" type="list" errorStyle="stop">
      <formula1>LISTS!$C$2:$C$11</formula1>
    </dataValidation>
    <dataValidation sqref="H4:H63" showDropDown="0" showInputMessage="0" showErrorMessage="1" allowBlank="1" errorTitle="Choose from list" error="Please CHOOSE a value from the dropdown - free typing is not allowed." promptTitle="Score" prompt="Click the arrow and choose" type="list" errorStyle="stop">
      <formula1>LISTS!$C$2:$C$11</formula1>
    </dataValidation>
    <dataValidation sqref="K4:K63" showDropDown="0" showInputMessage="0" showErrorMessage="1" allowBlank="1" errorTitle="Choose from list" error="Please CHOOSE a value from the dropdown - free typing is not allowed." promptTitle="RootCauses" prompt="Click the arrow and choose" type="list" errorStyle="stop">
      <formula1>LISTS!$H$2:$H$40</formula1>
    </dataValidation>
    <dataValidation sqref="L4:L63" showDropDown="0" showInputMessage="0" showErrorMessage="1" allowBlank="1" errorTitle="Choose from list" error="Please CHOOSE a value from the dropdown - free typing is not allowed." promptTitle="LeanMethod" prompt="Click the arrow and choose" type="list" errorStyle="stop">
      <formula1>LISTS!$D$2:$D$13</formula1>
    </dataValidation>
    <dataValidation sqref="M4:M63" showDropDown="0" showInputMessage="0" showErrorMessage="1" allowBlank="1" errorTitle="Choose from list" error="Please CHOOSE a value from the dropdown - free typing is not allowed." promptTitle="Owner" prompt="Click the arrow and choose" type="list" errorStyle="stop">
      <formula1>LISTS!$E$2:$E$15</formula1>
    </dataValidation>
    <dataValidation sqref="N4:N63" showDropDown="0" showInputMessage="0" showErrorMessage="1" allowBlank="1" errorTitle="Choose from list" error="Please CHOOSE a value from the dropdown - free typing is not allowed." promptTitle="Targets" prompt="Click the arrow and choose" type="list" errorStyle="stop">
      <formula1>LISTS!$I$2:$I$18</formula1>
    </dataValidation>
    <dataValidation sqref="O4:O63" showDropDown="0" showInputMessage="0" showErrorMessage="1" allowBlank="1" errorTitle="Choose from list" error="Please CHOOSE a value from the dropdown - free typing is not allowed." promptTitle="Dates" prompt="Click the arrow and choose" type="list" errorStyle="stop">
      <formula1>LISTS!$N$2:$N$731</formula1>
    </dataValidation>
    <dataValidation sqref="R4:R63" showDropDown="0" showInputMessage="0" showErrorMessage="1" allowBlank="1" errorTitle="Choose from list" error="Please CHOOSE a value from the dropdown - free typing is not allowed." promptTitle="Status" prompt="Click the arrow and choose" type="list" errorStyle="stop">
      <formula1>LISTS!$F$2:$F$7</formula1>
    </dataValidation>
    <dataValidation sqref="S4:S63" showDropDown="0" showInputMessage="0" showErrorMessage="1" allowBlank="1" errorTitle="Choose from list" error="Please CHOOSE a value from the dropdown - free typing is not allowed." promptTitle="Percent" prompt="Click the arrow and choose" type="list" errorStyle="stop">
      <formula1>LISTS!$J$2:$J$12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12" customWidth="1" min="4" max="4"/>
    <col width="11" customWidth="1" min="5" max="5"/>
    <col width="11" customWidth="1" min="6" max="6"/>
    <col width="9" customWidth="1" min="7" max="7"/>
    <col width="8" customWidth="1" min="8" max="8"/>
    <col width="13" customWidth="1" min="9" max="9"/>
    <col width="12" customWidth="1" min="10" max="10"/>
  </cols>
  <sheetData>
    <row r="1" ht="34" customHeight="1">
      <c r="A1" s="15" t="inlineStr">
        <is>
          <t xml:space="preserve">  PM TASK TRACKER  -  auto-built from every registered case</t>
        </is>
      </c>
    </row>
    <row r="2" ht="20" customHeight="1">
      <c r="A2" s="2" t="inlineStr">
        <is>
          <t xml:space="preserve">  Read-only. Each task mirrors a MASTER case. Edit on MASTER_ENTRY; this updates instantly.</t>
        </is>
      </c>
    </row>
    <row r="3" ht="30" customHeight="1">
      <c r="A3" s="7" t="inlineStr">
        <is>
          <t>TASK ID</t>
        </is>
      </c>
      <c r="B3" s="7" t="inlineStr">
        <is>
          <t>TASK / DELIVERABLE</t>
        </is>
      </c>
      <c r="C3" s="7" t="inlineStr">
        <is>
          <t>OWNER</t>
        </is>
      </c>
      <c r="D3" s="7" t="inlineStr">
        <is>
          <t>PRIORITY</t>
        </is>
      </c>
      <c r="E3" s="7" t="inlineStr">
        <is>
          <t>START</t>
        </is>
      </c>
      <c r="F3" s="7" t="inlineStr">
        <is>
          <t>DUE</t>
        </is>
      </c>
      <c r="G3" s="7" t="inlineStr">
        <is>
          <t>EST DAYS</t>
        </is>
      </c>
      <c r="H3" s="7" t="inlineStr">
        <is>
          <t>% DONE</t>
        </is>
      </c>
      <c r="I3" s="7" t="inlineStr">
        <is>
          <t>STATUS</t>
        </is>
      </c>
      <c r="J3" s="7" t="inlineStr">
        <is>
          <t>HEALTH</t>
        </is>
      </c>
    </row>
    <row r="4" ht="16" customHeight="1">
      <c r="A4" s="16">
        <f>IF('1. MASTER_ENTRY'!$C4="","",'1. MASTER_ENTRY'!$A4)</f>
        <v/>
      </c>
      <c r="B4" s="17">
        <f>IF('1. MASTER_ENTRY'!$C4="","",'1. MASTER_ENTRY'!$C4)</f>
        <v/>
      </c>
      <c r="C4" s="16">
        <f>IF('1. MASTER_ENTRY'!$C4="","",'1. MASTER_ENTRY'!$M4)</f>
        <v/>
      </c>
      <c r="D4" s="16">
        <f>IF('1. MASTER_ENTRY'!$C4="","",'1. MASTER_ENTRY'!$E4)</f>
        <v/>
      </c>
      <c r="E4" s="18">
        <f>IF('1. MASTER_ENTRY'!$C4="","",'1. MASTER_ENTRY'!$O4)</f>
        <v/>
      </c>
      <c r="F4" s="18">
        <f>IF('1. MASTER_ENTRY'!$C4="","",'1. MASTER_ENTRY'!$Q4)</f>
        <v/>
      </c>
      <c r="G4" s="16">
        <f>IF('1. MASTER_ENTRY'!$C4="","",'1. MASTER_ENTRY'!$P4)</f>
        <v/>
      </c>
      <c r="H4" s="19">
        <f>IF('1. MASTER_ENTRY'!$C4="","",'1. MASTER_ENTRY'!$S4)</f>
        <v/>
      </c>
      <c r="I4" s="16">
        <f>IF('1. MASTER_ENTRY'!$C4="","",'1. MASTER_ENTRY'!$R4)</f>
        <v/>
      </c>
      <c r="J4" s="16">
        <f>IF('1. MASTER_ENTRY'!$C4="","",'1. MASTER_ENTRY'!$T4)</f>
        <v/>
      </c>
    </row>
    <row r="5" ht="16" customHeight="1">
      <c r="A5" s="20">
        <f>IF('1. MASTER_ENTRY'!$C5="","",'1. MASTER_ENTRY'!$A5)</f>
        <v/>
      </c>
      <c r="B5" s="21">
        <f>IF('1. MASTER_ENTRY'!$C5="","",'1. MASTER_ENTRY'!$C5)</f>
        <v/>
      </c>
      <c r="C5" s="20">
        <f>IF('1. MASTER_ENTRY'!$C5="","",'1. MASTER_ENTRY'!$M5)</f>
        <v/>
      </c>
      <c r="D5" s="20">
        <f>IF('1. MASTER_ENTRY'!$C5="","",'1. MASTER_ENTRY'!$E5)</f>
        <v/>
      </c>
      <c r="E5" s="22">
        <f>IF('1. MASTER_ENTRY'!$C5="","",'1. MASTER_ENTRY'!$O5)</f>
        <v/>
      </c>
      <c r="F5" s="22">
        <f>IF('1. MASTER_ENTRY'!$C5="","",'1. MASTER_ENTRY'!$Q5)</f>
        <v/>
      </c>
      <c r="G5" s="20">
        <f>IF('1. MASTER_ENTRY'!$C5="","",'1. MASTER_ENTRY'!$P5)</f>
        <v/>
      </c>
      <c r="H5" s="23">
        <f>IF('1. MASTER_ENTRY'!$C5="","",'1. MASTER_ENTRY'!$S5)</f>
        <v/>
      </c>
      <c r="I5" s="20">
        <f>IF('1. MASTER_ENTRY'!$C5="","",'1. MASTER_ENTRY'!$R5)</f>
        <v/>
      </c>
      <c r="J5" s="20">
        <f>IF('1. MASTER_ENTRY'!$C5="","",'1. MASTER_ENTRY'!$T5)</f>
        <v/>
      </c>
    </row>
    <row r="6" ht="16" customHeight="1">
      <c r="A6" s="16">
        <f>IF('1. MASTER_ENTRY'!$C6="","",'1. MASTER_ENTRY'!$A6)</f>
        <v/>
      </c>
      <c r="B6" s="17">
        <f>IF('1. MASTER_ENTRY'!$C6="","",'1. MASTER_ENTRY'!$C6)</f>
        <v/>
      </c>
      <c r="C6" s="16">
        <f>IF('1. MASTER_ENTRY'!$C6="","",'1. MASTER_ENTRY'!$M6)</f>
        <v/>
      </c>
      <c r="D6" s="16">
        <f>IF('1. MASTER_ENTRY'!$C6="","",'1. MASTER_ENTRY'!$E6)</f>
        <v/>
      </c>
      <c r="E6" s="18">
        <f>IF('1. MASTER_ENTRY'!$C6="","",'1. MASTER_ENTRY'!$O6)</f>
        <v/>
      </c>
      <c r="F6" s="18">
        <f>IF('1. MASTER_ENTRY'!$C6="","",'1. MASTER_ENTRY'!$Q6)</f>
        <v/>
      </c>
      <c r="G6" s="16">
        <f>IF('1. MASTER_ENTRY'!$C6="","",'1. MASTER_ENTRY'!$P6)</f>
        <v/>
      </c>
      <c r="H6" s="19">
        <f>IF('1. MASTER_ENTRY'!$C6="","",'1. MASTER_ENTRY'!$S6)</f>
        <v/>
      </c>
      <c r="I6" s="16">
        <f>IF('1. MASTER_ENTRY'!$C6="","",'1. MASTER_ENTRY'!$R6)</f>
        <v/>
      </c>
      <c r="J6" s="16">
        <f>IF('1. MASTER_ENTRY'!$C6="","",'1. MASTER_ENTRY'!$T6)</f>
        <v/>
      </c>
    </row>
    <row r="7" ht="16" customHeight="1">
      <c r="A7" s="20">
        <f>IF('1. MASTER_ENTRY'!$C7="","",'1. MASTER_ENTRY'!$A7)</f>
        <v/>
      </c>
      <c r="B7" s="21">
        <f>IF('1. MASTER_ENTRY'!$C7="","",'1. MASTER_ENTRY'!$C7)</f>
        <v/>
      </c>
      <c r="C7" s="20">
        <f>IF('1. MASTER_ENTRY'!$C7="","",'1. MASTER_ENTRY'!$M7)</f>
        <v/>
      </c>
      <c r="D7" s="20">
        <f>IF('1. MASTER_ENTRY'!$C7="","",'1. MASTER_ENTRY'!$E7)</f>
        <v/>
      </c>
      <c r="E7" s="22">
        <f>IF('1. MASTER_ENTRY'!$C7="","",'1. MASTER_ENTRY'!$O7)</f>
        <v/>
      </c>
      <c r="F7" s="22">
        <f>IF('1. MASTER_ENTRY'!$C7="","",'1. MASTER_ENTRY'!$Q7)</f>
        <v/>
      </c>
      <c r="G7" s="20">
        <f>IF('1. MASTER_ENTRY'!$C7="","",'1. MASTER_ENTRY'!$P7)</f>
        <v/>
      </c>
      <c r="H7" s="23">
        <f>IF('1. MASTER_ENTRY'!$C7="","",'1. MASTER_ENTRY'!$S7)</f>
        <v/>
      </c>
      <c r="I7" s="20">
        <f>IF('1. MASTER_ENTRY'!$C7="","",'1. MASTER_ENTRY'!$R7)</f>
        <v/>
      </c>
      <c r="J7" s="20">
        <f>IF('1. MASTER_ENTRY'!$C7="","",'1. MASTER_ENTRY'!$T7)</f>
        <v/>
      </c>
    </row>
    <row r="8" ht="16" customHeight="1">
      <c r="A8" s="16">
        <f>IF('1. MASTER_ENTRY'!$C8="","",'1. MASTER_ENTRY'!$A8)</f>
        <v/>
      </c>
      <c r="B8" s="17">
        <f>IF('1. MASTER_ENTRY'!$C8="","",'1. MASTER_ENTRY'!$C8)</f>
        <v/>
      </c>
      <c r="C8" s="16">
        <f>IF('1. MASTER_ENTRY'!$C8="","",'1. MASTER_ENTRY'!$M8)</f>
        <v/>
      </c>
      <c r="D8" s="16">
        <f>IF('1. MASTER_ENTRY'!$C8="","",'1. MASTER_ENTRY'!$E8)</f>
        <v/>
      </c>
      <c r="E8" s="18">
        <f>IF('1. MASTER_ENTRY'!$C8="","",'1. MASTER_ENTRY'!$O8)</f>
        <v/>
      </c>
      <c r="F8" s="18">
        <f>IF('1. MASTER_ENTRY'!$C8="","",'1. MASTER_ENTRY'!$Q8)</f>
        <v/>
      </c>
      <c r="G8" s="16">
        <f>IF('1. MASTER_ENTRY'!$C8="","",'1. MASTER_ENTRY'!$P8)</f>
        <v/>
      </c>
      <c r="H8" s="19">
        <f>IF('1. MASTER_ENTRY'!$C8="","",'1. MASTER_ENTRY'!$S8)</f>
        <v/>
      </c>
      <c r="I8" s="16">
        <f>IF('1. MASTER_ENTRY'!$C8="","",'1. MASTER_ENTRY'!$R8)</f>
        <v/>
      </c>
      <c r="J8" s="16">
        <f>IF('1. MASTER_ENTRY'!$C8="","",'1. MASTER_ENTRY'!$T8)</f>
        <v/>
      </c>
    </row>
    <row r="9" ht="16" customHeight="1">
      <c r="A9" s="20">
        <f>IF('1. MASTER_ENTRY'!$C9="","",'1. MASTER_ENTRY'!$A9)</f>
        <v/>
      </c>
      <c r="B9" s="21">
        <f>IF('1. MASTER_ENTRY'!$C9="","",'1. MASTER_ENTRY'!$C9)</f>
        <v/>
      </c>
      <c r="C9" s="20">
        <f>IF('1. MASTER_ENTRY'!$C9="","",'1. MASTER_ENTRY'!$M9)</f>
        <v/>
      </c>
      <c r="D9" s="20">
        <f>IF('1. MASTER_ENTRY'!$C9="","",'1. MASTER_ENTRY'!$E9)</f>
        <v/>
      </c>
      <c r="E9" s="22">
        <f>IF('1. MASTER_ENTRY'!$C9="","",'1. MASTER_ENTRY'!$O9)</f>
        <v/>
      </c>
      <c r="F9" s="22">
        <f>IF('1. MASTER_ENTRY'!$C9="","",'1. MASTER_ENTRY'!$Q9)</f>
        <v/>
      </c>
      <c r="G9" s="20">
        <f>IF('1. MASTER_ENTRY'!$C9="","",'1. MASTER_ENTRY'!$P9)</f>
        <v/>
      </c>
      <c r="H9" s="23">
        <f>IF('1. MASTER_ENTRY'!$C9="","",'1. MASTER_ENTRY'!$S9)</f>
        <v/>
      </c>
      <c r="I9" s="20">
        <f>IF('1. MASTER_ENTRY'!$C9="","",'1. MASTER_ENTRY'!$R9)</f>
        <v/>
      </c>
      <c r="J9" s="20">
        <f>IF('1. MASTER_ENTRY'!$C9="","",'1. MASTER_ENTRY'!$T9)</f>
        <v/>
      </c>
    </row>
    <row r="10" ht="16" customHeight="1">
      <c r="A10" s="16">
        <f>IF('1. MASTER_ENTRY'!$C10="","",'1. MASTER_ENTRY'!$A10)</f>
        <v/>
      </c>
      <c r="B10" s="17">
        <f>IF('1. MASTER_ENTRY'!$C10="","",'1. MASTER_ENTRY'!$C10)</f>
        <v/>
      </c>
      <c r="C10" s="16">
        <f>IF('1. MASTER_ENTRY'!$C10="","",'1. MASTER_ENTRY'!$M10)</f>
        <v/>
      </c>
      <c r="D10" s="16">
        <f>IF('1. MASTER_ENTRY'!$C10="","",'1. MASTER_ENTRY'!$E10)</f>
        <v/>
      </c>
      <c r="E10" s="18">
        <f>IF('1. MASTER_ENTRY'!$C10="","",'1. MASTER_ENTRY'!$O10)</f>
        <v/>
      </c>
      <c r="F10" s="18">
        <f>IF('1. MASTER_ENTRY'!$C10="","",'1. MASTER_ENTRY'!$Q10)</f>
        <v/>
      </c>
      <c r="G10" s="16">
        <f>IF('1. MASTER_ENTRY'!$C10="","",'1. MASTER_ENTRY'!$P10)</f>
        <v/>
      </c>
      <c r="H10" s="19">
        <f>IF('1. MASTER_ENTRY'!$C10="","",'1. MASTER_ENTRY'!$S10)</f>
        <v/>
      </c>
      <c r="I10" s="16">
        <f>IF('1. MASTER_ENTRY'!$C10="","",'1. MASTER_ENTRY'!$R10)</f>
        <v/>
      </c>
      <c r="J10" s="16">
        <f>IF('1. MASTER_ENTRY'!$C10="","",'1. MASTER_ENTRY'!$T10)</f>
        <v/>
      </c>
    </row>
    <row r="11" ht="16" customHeight="1">
      <c r="A11" s="20">
        <f>IF('1. MASTER_ENTRY'!$C11="","",'1. MASTER_ENTRY'!$A11)</f>
        <v/>
      </c>
      <c r="B11" s="21">
        <f>IF('1. MASTER_ENTRY'!$C11="","",'1. MASTER_ENTRY'!$C11)</f>
        <v/>
      </c>
      <c r="C11" s="20">
        <f>IF('1. MASTER_ENTRY'!$C11="","",'1. MASTER_ENTRY'!$M11)</f>
        <v/>
      </c>
      <c r="D11" s="20">
        <f>IF('1. MASTER_ENTRY'!$C11="","",'1. MASTER_ENTRY'!$E11)</f>
        <v/>
      </c>
      <c r="E11" s="22">
        <f>IF('1. MASTER_ENTRY'!$C11="","",'1. MASTER_ENTRY'!$O11)</f>
        <v/>
      </c>
      <c r="F11" s="22">
        <f>IF('1. MASTER_ENTRY'!$C11="","",'1. MASTER_ENTRY'!$Q11)</f>
        <v/>
      </c>
      <c r="G11" s="20">
        <f>IF('1. MASTER_ENTRY'!$C11="","",'1. MASTER_ENTRY'!$P11)</f>
        <v/>
      </c>
      <c r="H11" s="23">
        <f>IF('1. MASTER_ENTRY'!$C11="","",'1. MASTER_ENTRY'!$S11)</f>
        <v/>
      </c>
      <c r="I11" s="20">
        <f>IF('1. MASTER_ENTRY'!$C11="","",'1. MASTER_ENTRY'!$R11)</f>
        <v/>
      </c>
      <c r="J11" s="20">
        <f>IF('1. MASTER_ENTRY'!$C11="","",'1. MASTER_ENTRY'!$T11)</f>
        <v/>
      </c>
    </row>
    <row r="12" ht="16" customHeight="1">
      <c r="A12" s="16">
        <f>IF('1. MASTER_ENTRY'!$C12="","",'1. MASTER_ENTRY'!$A12)</f>
        <v/>
      </c>
      <c r="B12" s="17">
        <f>IF('1. MASTER_ENTRY'!$C12="","",'1. MASTER_ENTRY'!$C12)</f>
        <v/>
      </c>
      <c r="C12" s="16">
        <f>IF('1. MASTER_ENTRY'!$C12="","",'1. MASTER_ENTRY'!$M12)</f>
        <v/>
      </c>
      <c r="D12" s="16">
        <f>IF('1. MASTER_ENTRY'!$C12="","",'1. MASTER_ENTRY'!$E12)</f>
        <v/>
      </c>
      <c r="E12" s="18">
        <f>IF('1. MASTER_ENTRY'!$C12="","",'1. MASTER_ENTRY'!$O12)</f>
        <v/>
      </c>
      <c r="F12" s="18">
        <f>IF('1. MASTER_ENTRY'!$C12="","",'1. MASTER_ENTRY'!$Q12)</f>
        <v/>
      </c>
      <c r="G12" s="16">
        <f>IF('1. MASTER_ENTRY'!$C12="","",'1. MASTER_ENTRY'!$P12)</f>
        <v/>
      </c>
      <c r="H12" s="19">
        <f>IF('1. MASTER_ENTRY'!$C12="","",'1. MASTER_ENTRY'!$S12)</f>
        <v/>
      </c>
      <c r="I12" s="16">
        <f>IF('1. MASTER_ENTRY'!$C12="","",'1. MASTER_ENTRY'!$R12)</f>
        <v/>
      </c>
      <c r="J12" s="16">
        <f>IF('1. MASTER_ENTRY'!$C12="","",'1. MASTER_ENTRY'!$T12)</f>
        <v/>
      </c>
    </row>
    <row r="13" ht="16" customHeight="1">
      <c r="A13" s="20">
        <f>IF('1. MASTER_ENTRY'!$C13="","",'1. MASTER_ENTRY'!$A13)</f>
        <v/>
      </c>
      <c r="B13" s="21">
        <f>IF('1. MASTER_ENTRY'!$C13="","",'1. MASTER_ENTRY'!$C13)</f>
        <v/>
      </c>
      <c r="C13" s="20">
        <f>IF('1. MASTER_ENTRY'!$C13="","",'1. MASTER_ENTRY'!$M13)</f>
        <v/>
      </c>
      <c r="D13" s="20">
        <f>IF('1. MASTER_ENTRY'!$C13="","",'1. MASTER_ENTRY'!$E13)</f>
        <v/>
      </c>
      <c r="E13" s="22">
        <f>IF('1. MASTER_ENTRY'!$C13="","",'1. MASTER_ENTRY'!$O13)</f>
        <v/>
      </c>
      <c r="F13" s="22">
        <f>IF('1. MASTER_ENTRY'!$C13="","",'1. MASTER_ENTRY'!$Q13)</f>
        <v/>
      </c>
      <c r="G13" s="20">
        <f>IF('1. MASTER_ENTRY'!$C13="","",'1. MASTER_ENTRY'!$P13)</f>
        <v/>
      </c>
      <c r="H13" s="23">
        <f>IF('1. MASTER_ENTRY'!$C13="","",'1. MASTER_ENTRY'!$S13)</f>
        <v/>
      </c>
      <c r="I13" s="20">
        <f>IF('1. MASTER_ENTRY'!$C13="","",'1. MASTER_ENTRY'!$R13)</f>
        <v/>
      </c>
      <c r="J13" s="20">
        <f>IF('1. MASTER_ENTRY'!$C13="","",'1. MASTER_ENTRY'!$T13)</f>
        <v/>
      </c>
    </row>
    <row r="14" ht="16" customHeight="1">
      <c r="A14" s="16">
        <f>IF('1. MASTER_ENTRY'!$C14="","",'1. MASTER_ENTRY'!$A14)</f>
        <v/>
      </c>
      <c r="B14" s="17">
        <f>IF('1. MASTER_ENTRY'!$C14="","",'1. MASTER_ENTRY'!$C14)</f>
        <v/>
      </c>
      <c r="C14" s="16">
        <f>IF('1. MASTER_ENTRY'!$C14="","",'1. MASTER_ENTRY'!$M14)</f>
        <v/>
      </c>
      <c r="D14" s="16">
        <f>IF('1. MASTER_ENTRY'!$C14="","",'1. MASTER_ENTRY'!$E14)</f>
        <v/>
      </c>
      <c r="E14" s="18">
        <f>IF('1. MASTER_ENTRY'!$C14="","",'1. MASTER_ENTRY'!$O14)</f>
        <v/>
      </c>
      <c r="F14" s="18">
        <f>IF('1. MASTER_ENTRY'!$C14="","",'1. MASTER_ENTRY'!$Q14)</f>
        <v/>
      </c>
      <c r="G14" s="16">
        <f>IF('1. MASTER_ENTRY'!$C14="","",'1. MASTER_ENTRY'!$P14)</f>
        <v/>
      </c>
      <c r="H14" s="19">
        <f>IF('1. MASTER_ENTRY'!$C14="","",'1. MASTER_ENTRY'!$S14)</f>
        <v/>
      </c>
      <c r="I14" s="16">
        <f>IF('1. MASTER_ENTRY'!$C14="","",'1. MASTER_ENTRY'!$R14)</f>
        <v/>
      </c>
      <c r="J14" s="16">
        <f>IF('1. MASTER_ENTRY'!$C14="","",'1. MASTER_ENTRY'!$T14)</f>
        <v/>
      </c>
    </row>
    <row r="15" ht="16" customHeight="1">
      <c r="A15" s="20">
        <f>IF('1. MASTER_ENTRY'!$C15="","",'1. MASTER_ENTRY'!$A15)</f>
        <v/>
      </c>
      <c r="B15" s="21">
        <f>IF('1. MASTER_ENTRY'!$C15="","",'1. MASTER_ENTRY'!$C15)</f>
        <v/>
      </c>
      <c r="C15" s="20">
        <f>IF('1. MASTER_ENTRY'!$C15="","",'1. MASTER_ENTRY'!$M15)</f>
        <v/>
      </c>
      <c r="D15" s="20">
        <f>IF('1. MASTER_ENTRY'!$C15="","",'1. MASTER_ENTRY'!$E15)</f>
        <v/>
      </c>
      <c r="E15" s="22">
        <f>IF('1. MASTER_ENTRY'!$C15="","",'1. MASTER_ENTRY'!$O15)</f>
        <v/>
      </c>
      <c r="F15" s="22">
        <f>IF('1. MASTER_ENTRY'!$C15="","",'1. MASTER_ENTRY'!$Q15)</f>
        <v/>
      </c>
      <c r="G15" s="20">
        <f>IF('1. MASTER_ENTRY'!$C15="","",'1. MASTER_ENTRY'!$P15)</f>
        <v/>
      </c>
      <c r="H15" s="23">
        <f>IF('1. MASTER_ENTRY'!$C15="","",'1. MASTER_ENTRY'!$S15)</f>
        <v/>
      </c>
      <c r="I15" s="20">
        <f>IF('1. MASTER_ENTRY'!$C15="","",'1. MASTER_ENTRY'!$R15)</f>
        <v/>
      </c>
      <c r="J15" s="20">
        <f>IF('1. MASTER_ENTRY'!$C15="","",'1. MASTER_ENTRY'!$T15)</f>
        <v/>
      </c>
    </row>
    <row r="16" ht="16" customHeight="1">
      <c r="A16" s="16">
        <f>IF('1. MASTER_ENTRY'!$C16="","",'1. MASTER_ENTRY'!$A16)</f>
        <v/>
      </c>
      <c r="B16" s="17">
        <f>IF('1. MASTER_ENTRY'!$C16="","",'1. MASTER_ENTRY'!$C16)</f>
        <v/>
      </c>
      <c r="C16" s="16">
        <f>IF('1. MASTER_ENTRY'!$C16="","",'1. MASTER_ENTRY'!$M16)</f>
        <v/>
      </c>
      <c r="D16" s="16">
        <f>IF('1. MASTER_ENTRY'!$C16="","",'1. MASTER_ENTRY'!$E16)</f>
        <v/>
      </c>
      <c r="E16" s="18">
        <f>IF('1. MASTER_ENTRY'!$C16="","",'1. MASTER_ENTRY'!$O16)</f>
        <v/>
      </c>
      <c r="F16" s="18">
        <f>IF('1. MASTER_ENTRY'!$C16="","",'1. MASTER_ENTRY'!$Q16)</f>
        <v/>
      </c>
      <c r="G16" s="16">
        <f>IF('1. MASTER_ENTRY'!$C16="","",'1. MASTER_ENTRY'!$P16)</f>
        <v/>
      </c>
      <c r="H16" s="19">
        <f>IF('1. MASTER_ENTRY'!$C16="","",'1. MASTER_ENTRY'!$S16)</f>
        <v/>
      </c>
      <c r="I16" s="16">
        <f>IF('1. MASTER_ENTRY'!$C16="","",'1. MASTER_ENTRY'!$R16)</f>
        <v/>
      </c>
      <c r="J16" s="16">
        <f>IF('1. MASTER_ENTRY'!$C16="","",'1. MASTER_ENTRY'!$T16)</f>
        <v/>
      </c>
    </row>
    <row r="17" ht="16" customHeight="1">
      <c r="A17" s="20">
        <f>IF('1. MASTER_ENTRY'!$C17="","",'1. MASTER_ENTRY'!$A17)</f>
        <v/>
      </c>
      <c r="B17" s="21">
        <f>IF('1. MASTER_ENTRY'!$C17="","",'1. MASTER_ENTRY'!$C17)</f>
        <v/>
      </c>
      <c r="C17" s="20">
        <f>IF('1. MASTER_ENTRY'!$C17="","",'1. MASTER_ENTRY'!$M17)</f>
        <v/>
      </c>
      <c r="D17" s="20">
        <f>IF('1. MASTER_ENTRY'!$C17="","",'1. MASTER_ENTRY'!$E17)</f>
        <v/>
      </c>
      <c r="E17" s="22">
        <f>IF('1. MASTER_ENTRY'!$C17="","",'1. MASTER_ENTRY'!$O17)</f>
        <v/>
      </c>
      <c r="F17" s="22">
        <f>IF('1. MASTER_ENTRY'!$C17="","",'1. MASTER_ENTRY'!$Q17)</f>
        <v/>
      </c>
      <c r="G17" s="20">
        <f>IF('1. MASTER_ENTRY'!$C17="","",'1. MASTER_ENTRY'!$P17)</f>
        <v/>
      </c>
      <c r="H17" s="23">
        <f>IF('1. MASTER_ENTRY'!$C17="","",'1. MASTER_ENTRY'!$S17)</f>
        <v/>
      </c>
      <c r="I17" s="20">
        <f>IF('1. MASTER_ENTRY'!$C17="","",'1. MASTER_ENTRY'!$R17)</f>
        <v/>
      </c>
      <c r="J17" s="20">
        <f>IF('1. MASTER_ENTRY'!$C17="","",'1. MASTER_ENTRY'!$T17)</f>
        <v/>
      </c>
    </row>
    <row r="18" ht="16" customHeight="1">
      <c r="A18" s="16">
        <f>IF('1. MASTER_ENTRY'!$C18="","",'1. MASTER_ENTRY'!$A18)</f>
        <v/>
      </c>
      <c r="B18" s="17">
        <f>IF('1. MASTER_ENTRY'!$C18="","",'1. MASTER_ENTRY'!$C18)</f>
        <v/>
      </c>
      <c r="C18" s="16">
        <f>IF('1. MASTER_ENTRY'!$C18="","",'1. MASTER_ENTRY'!$M18)</f>
        <v/>
      </c>
      <c r="D18" s="16">
        <f>IF('1. MASTER_ENTRY'!$C18="","",'1. MASTER_ENTRY'!$E18)</f>
        <v/>
      </c>
      <c r="E18" s="18">
        <f>IF('1. MASTER_ENTRY'!$C18="","",'1. MASTER_ENTRY'!$O18)</f>
        <v/>
      </c>
      <c r="F18" s="18">
        <f>IF('1. MASTER_ENTRY'!$C18="","",'1. MASTER_ENTRY'!$Q18)</f>
        <v/>
      </c>
      <c r="G18" s="16">
        <f>IF('1. MASTER_ENTRY'!$C18="","",'1. MASTER_ENTRY'!$P18)</f>
        <v/>
      </c>
      <c r="H18" s="19">
        <f>IF('1. MASTER_ENTRY'!$C18="","",'1. MASTER_ENTRY'!$S18)</f>
        <v/>
      </c>
      <c r="I18" s="16">
        <f>IF('1. MASTER_ENTRY'!$C18="","",'1. MASTER_ENTRY'!$R18)</f>
        <v/>
      </c>
      <c r="J18" s="16">
        <f>IF('1. MASTER_ENTRY'!$C18="","",'1. MASTER_ENTRY'!$T18)</f>
        <v/>
      </c>
    </row>
    <row r="19" ht="16" customHeight="1">
      <c r="A19" s="20">
        <f>IF('1. MASTER_ENTRY'!$C19="","",'1. MASTER_ENTRY'!$A19)</f>
        <v/>
      </c>
      <c r="B19" s="21">
        <f>IF('1. MASTER_ENTRY'!$C19="","",'1. MASTER_ENTRY'!$C19)</f>
        <v/>
      </c>
      <c r="C19" s="20">
        <f>IF('1. MASTER_ENTRY'!$C19="","",'1. MASTER_ENTRY'!$M19)</f>
        <v/>
      </c>
      <c r="D19" s="20">
        <f>IF('1. MASTER_ENTRY'!$C19="","",'1. MASTER_ENTRY'!$E19)</f>
        <v/>
      </c>
      <c r="E19" s="22">
        <f>IF('1. MASTER_ENTRY'!$C19="","",'1. MASTER_ENTRY'!$O19)</f>
        <v/>
      </c>
      <c r="F19" s="22">
        <f>IF('1. MASTER_ENTRY'!$C19="","",'1. MASTER_ENTRY'!$Q19)</f>
        <v/>
      </c>
      <c r="G19" s="20">
        <f>IF('1. MASTER_ENTRY'!$C19="","",'1. MASTER_ENTRY'!$P19)</f>
        <v/>
      </c>
      <c r="H19" s="23">
        <f>IF('1. MASTER_ENTRY'!$C19="","",'1. MASTER_ENTRY'!$S19)</f>
        <v/>
      </c>
      <c r="I19" s="20">
        <f>IF('1. MASTER_ENTRY'!$C19="","",'1. MASTER_ENTRY'!$R19)</f>
        <v/>
      </c>
      <c r="J19" s="20">
        <f>IF('1. MASTER_ENTRY'!$C19="","",'1. MASTER_ENTRY'!$T19)</f>
        <v/>
      </c>
    </row>
    <row r="20" ht="16" customHeight="1">
      <c r="A20" s="16">
        <f>IF('1. MASTER_ENTRY'!$C20="","",'1. MASTER_ENTRY'!$A20)</f>
        <v/>
      </c>
      <c r="B20" s="17">
        <f>IF('1. MASTER_ENTRY'!$C20="","",'1. MASTER_ENTRY'!$C20)</f>
        <v/>
      </c>
      <c r="C20" s="16">
        <f>IF('1. MASTER_ENTRY'!$C20="","",'1. MASTER_ENTRY'!$M20)</f>
        <v/>
      </c>
      <c r="D20" s="16">
        <f>IF('1. MASTER_ENTRY'!$C20="","",'1. MASTER_ENTRY'!$E20)</f>
        <v/>
      </c>
      <c r="E20" s="18">
        <f>IF('1. MASTER_ENTRY'!$C20="","",'1. MASTER_ENTRY'!$O20)</f>
        <v/>
      </c>
      <c r="F20" s="18">
        <f>IF('1. MASTER_ENTRY'!$C20="","",'1. MASTER_ENTRY'!$Q20)</f>
        <v/>
      </c>
      <c r="G20" s="16">
        <f>IF('1. MASTER_ENTRY'!$C20="","",'1. MASTER_ENTRY'!$P20)</f>
        <v/>
      </c>
      <c r="H20" s="19">
        <f>IF('1. MASTER_ENTRY'!$C20="","",'1. MASTER_ENTRY'!$S20)</f>
        <v/>
      </c>
      <c r="I20" s="16">
        <f>IF('1. MASTER_ENTRY'!$C20="","",'1. MASTER_ENTRY'!$R20)</f>
        <v/>
      </c>
      <c r="J20" s="16">
        <f>IF('1. MASTER_ENTRY'!$C20="","",'1. MASTER_ENTRY'!$T20)</f>
        <v/>
      </c>
    </row>
    <row r="21" ht="16" customHeight="1">
      <c r="A21" s="20">
        <f>IF('1. MASTER_ENTRY'!$C21="","",'1. MASTER_ENTRY'!$A21)</f>
        <v/>
      </c>
      <c r="B21" s="21">
        <f>IF('1. MASTER_ENTRY'!$C21="","",'1. MASTER_ENTRY'!$C21)</f>
        <v/>
      </c>
      <c r="C21" s="20">
        <f>IF('1. MASTER_ENTRY'!$C21="","",'1. MASTER_ENTRY'!$M21)</f>
        <v/>
      </c>
      <c r="D21" s="20">
        <f>IF('1. MASTER_ENTRY'!$C21="","",'1. MASTER_ENTRY'!$E21)</f>
        <v/>
      </c>
      <c r="E21" s="22">
        <f>IF('1. MASTER_ENTRY'!$C21="","",'1. MASTER_ENTRY'!$O21)</f>
        <v/>
      </c>
      <c r="F21" s="22">
        <f>IF('1. MASTER_ENTRY'!$C21="","",'1. MASTER_ENTRY'!$Q21)</f>
        <v/>
      </c>
      <c r="G21" s="20">
        <f>IF('1. MASTER_ENTRY'!$C21="","",'1. MASTER_ENTRY'!$P21)</f>
        <v/>
      </c>
      <c r="H21" s="23">
        <f>IF('1. MASTER_ENTRY'!$C21="","",'1. MASTER_ENTRY'!$S21)</f>
        <v/>
      </c>
      <c r="I21" s="20">
        <f>IF('1. MASTER_ENTRY'!$C21="","",'1. MASTER_ENTRY'!$R21)</f>
        <v/>
      </c>
      <c r="J21" s="20">
        <f>IF('1. MASTER_ENTRY'!$C21="","",'1. MASTER_ENTRY'!$T21)</f>
        <v/>
      </c>
    </row>
    <row r="22" ht="16" customHeight="1">
      <c r="A22" s="16">
        <f>IF('1. MASTER_ENTRY'!$C22="","",'1. MASTER_ENTRY'!$A22)</f>
        <v/>
      </c>
      <c r="B22" s="17">
        <f>IF('1. MASTER_ENTRY'!$C22="","",'1. MASTER_ENTRY'!$C22)</f>
        <v/>
      </c>
      <c r="C22" s="16">
        <f>IF('1. MASTER_ENTRY'!$C22="","",'1. MASTER_ENTRY'!$M22)</f>
        <v/>
      </c>
      <c r="D22" s="16">
        <f>IF('1. MASTER_ENTRY'!$C22="","",'1. MASTER_ENTRY'!$E22)</f>
        <v/>
      </c>
      <c r="E22" s="18">
        <f>IF('1. MASTER_ENTRY'!$C22="","",'1. MASTER_ENTRY'!$O22)</f>
        <v/>
      </c>
      <c r="F22" s="18">
        <f>IF('1. MASTER_ENTRY'!$C22="","",'1. MASTER_ENTRY'!$Q22)</f>
        <v/>
      </c>
      <c r="G22" s="16">
        <f>IF('1. MASTER_ENTRY'!$C22="","",'1. MASTER_ENTRY'!$P22)</f>
        <v/>
      </c>
      <c r="H22" s="19">
        <f>IF('1. MASTER_ENTRY'!$C22="","",'1. MASTER_ENTRY'!$S22)</f>
        <v/>
      </c>
      <c r="I22" s="16">
        <f>IF('1. MASTER_ENTRY'!$C22="","",'1. MASTER_ENTRY'!$R22)</f>
        <v/>
      </c>
      <c r="J22" s="16">
        <f>IF('1. MASTER_ENTRY'!$C22="","",'1. MASTER_ENTRY'!$T22)</f>
        <v/>
      </c>
    </row>
    <row r="23" ht="16" customHeight="1">
      <c r="A23" s="20">
        <f>IF('1. MASTER_ENTRY'!$C23="","",'1. MASTER_ENTRY'!$A23)</f>
        <v/>
      </c>
      <c r="B23" s="21">
        <f>IF('1. MASTER_ENTRY'!$C23="","",'1. MASTER_ENTRY'!$C23)</f>
        <v/>
      </c>
      <c r="C23" s="20">
        <f>IF('1. MASTER_ENTRY'!$C23="","",'1. MASTER_ENTRY'!$M23)</f>
        <v/>
      </c>
      <c r="D23" s="20">
        <f>IF('1. MASTER_ENTRY'!$C23="","",'1. MASTER_ENTRY'!$E23)</f>
        <v/>
      </c>
      <c r="E23" s="22">
        <f>IF('1. MASTER_ENTRY'!$C23="","",'1. MASTER_ENTRY'!$O23)</f>
        <v/>
      </c>
      <c r="F23" s="22">
        <f>IF('1. MASTER_ENTRY'!$C23="","",'1. MASTER_ENTRY'!$Q23)</f>
        <v/>
      </c>
      <c r="G23" s="20">
        <f>IF('1. MASTER_ENTRY'!$C23="","",'1. MASTER_ENTRY'!$P23)</f>
        <v/>
      </c>
      <c r="H23" s="23">
        <f>IF('1. MASTER_ENTRY'!$C23="","",'1. MASTER_ENTRY'!$S23)</f>
        <v/>
      </c>
      <c r="I23" s="20">
        <f>IF('1. MASTER_ENTRY'!$C23="","",'1. MASTER_ENTRY'!$R23)</f>
        <v/>
      </c>
      <c r="J23" s="20">
        <f>IF('1. MASTER_ENTRY'!$C23="","",'1. MASTER_ENTRY'!$T23)</f>
        <v/>
      </c>
    </row>
    <row r="24" ht="16" customHeight="1">
      <c r="A24" s="16">
        <f>IF('1. MASTER_ENTRY'!$C24="","",'1. MASTER_ENTRY'!$A24)</f>
        <v/>
      </c>
      <c r="B24" s="17">
        <f>IF('1. MASTER_ENTRY'!$C24="","",'1. MASTER_ENTRY'!$C24)</f>
        <v/>
      </c>
      <c r="C24" s="16">
        <f>IF('1. MASTER_ENTRY'!$C24="","",'1. MASTER_ENTRY'!$M24)</f>
        <v/>
      </c>
      <c r="D24" s="16">
        <f>IF('1. MASTER_ENTRY'!$C24="","",'1. MASTER_ENTRY'!$E24)</f>
        <v/>
      </c>
      <c r="E24" s="18">
        <f>IF('1. MASTER_ENTRY'!$C24="","",'1. MASTER_ENTRY'!$O24)</f>
        <v/>
      </c>
      <c r="F24" s="18">
        <f>IF('1. MASTER_ENTRY'!$C24="","",'1. MASTER_ENTRY'!$Q24)</f>
        <v/>
      </c>
      <c r="G24" s="16">
        <f>IF('1. MASTER_ENTRY'!$C24="","",'1. MASTER_ENTRY'!$P24)</f>
        <v/>
      </c>
      <c r="H24" s="19">
        <f>IF('1. MASTER_ENTRY'!$C24="","",'1. MASTER_ENTRY'!$S24)</f>
        <v/>
      </c>
      <c r="I24" s="16">
        <f>IF('1. MASTER_ENTRY'!$C24="","",'1. MASTER_ENTRY'!$R24)</f>
        <v/>
      </c>
      <c r="J24" s="16">
        <f>IF('1. MASTER_ENTRY'!$C24="","",'1. MASTER_ENTRY'!$T24)</f>
        <v/>
      </c>
    </row>
    <row r="25" ht="16" customHeight="1">
      <c r="A25" s="20">
        <f>IF('1. MASTER_ENTRY'!$C25="","",'1. MASTER_ENTRY'!$A25)</f>
        <v/>
      </c>
      <c r="B25" s="21">
        <f>IF('1. MASTER_ENTRY'!$C25="","",'1. MASTER_ENTRY'!$C25)</f>
        <v/>
      </c>
      <c r="C25" s="20">
        <f>IF('1. MASTER_ENTRY'!$C25="","",'1. MASTER_ENTRY'!$M25)</f>
        <v/>
      </c>
      <c r="D25" s="20">
        <f>IF('1. MASTER_ENTRY'!$C25="","",'1. MASTER_ENTRY'!$E25)</f>
        <v/>
      </c>
      <c r="E25" s="22">
        <f>IF('1. MASTER_ENTRY'!$C25="","",'1. MASTER_ENTRY'!$O25)</f>
        <v/>
      </c>
      <c r="F25" s="22">
        <f>IF('1. MASTER_ENTRY'!$C25="","",'1. MASTER_ENTRY'!$Q25)</f>
        <v/>
      </c>
      <c r="G25" s="20">
        <f>IF('1. MASTER_ENTRY'!$C25="","",'1. MASTER_ENTRY'!$P25)</f>
        <v/>
      </c>
      <c r="H25" s="23">
        <f>IF('1. MASTER_ENTRY'!$C25="","",'1. MASTER_ENTRY'!$S25)</f>
        <v/>
      </c>
      <c r="I25" s="20">
        <f>IF('1. MASTER_ENTRY'!$C25="","",'1. MASTER_ENTRY'!$R25)</f>
        <v/>
      </c>
      <c r="J25" s="20">
        <f>IF('1. MASTER_ENTRY'!$C25="","",'1. MASTER_ENTRY'!$T25)</f>
        <v/>
      </c>
    </row>
    <row r="26" ht="16" customHeight="1">
      <c r="A26" s="16">
        <f>IF('1. MASTER_ENTRY'!$C26="","",'1. MASTER_ENTRY'!$A26)</f>
        <v/>
      </c>
      <c r="B26" s="17">
        <f>IF('1. MASTER_ENTRY'!$C26="","",'1. MASTER_ENTRY'!$C26)</f>
        <v/>
      </c>
      <c r="C26" s="16">
        <f>IF('1. MASTER_ENTRY'!$C26="","",'1. MASTER_ENTRY'!$M26)</f>
        <v/>
      </c>
      <c r="D26" s="16">
        <f>IF('1. MASTER_ENTRY'!$C26="","",'1. MASTER_ENTRY'!$E26)</f>
        <v/>
      </c>
      <c r="E26" s="18">
        <f>IF('1. MASTER_ENTRY'!$C26="","",'1. MASTER_ENTRY'!$O26)</f>
        <v/>
      </c>
      <c r="F26" s="18">
        <f>IF('1. MASTER_ENTRY'!$C26="","",'1. MASTER_ENTRY'!$Q26)</f>
        <v/>
      </c>
      <c r="G26" s="16">
        <f>IF('1. MASTER_ENTRY'!$C26="","",'1. MASTER_ENTRY'!$P26)</f>
        <v/>
      </c>
      <c r="H26" s="19">
        <f>IF('1. MASTER_ENTRY'!$C26="","",'1. MASTER_ENTRY'!$S26)</f>
        <v/>
      </c>
      <c r="I26" s="16">
        <f>IF('1. MASTER_ENTRY'!$C26="","",'1. MASTER_ENTRY'!$R26)</f>
        <v/>
      </c>
      <c r="J26" s="16">
        <f>IF('1. MASTER_ENTRY'!$C26="","",'1. MASTER_ENTRY'!$T26)</f>
        <v/>
      </c>
    </row>
    <row r="27" ht="16" customHeight="1">
      <c r="A27" s="20">
        <f>IF('1. MASTER_ENTRY'!$C27="","",'1. MASTER_ENTRY'!$A27)</f>
        <v/>
      </c>
      <c r="B27" s="21">
        <f>IF('1. MASTER_ENTRY'!$C27="","",'1. MASTER_ENTRY'!$C27)</f>
        <v/>
      </c>
      <c r="C27" s="20">
        <f>IF('1. MASTER_ENTRY'!$C27="","",'1. MASTER_ENTRY'!$M27)</f>
        <v/>
      </c>
      <c r="D27" s="20">
        <f>IF('1. MASTER_ENTRY'!$C27="","",'1. MASTER_ENTRY'!$E27)</f>
        <v/>
      </c>
      <c r="E27" s="22">
        <f>IF('1. MASTER_ENTRY'!$C27="","",'1. MASTER_ENTRY'!$O27)</f>
        <v/>
      </c>
      <c r="F27" s="22">
        <f>IF('1. MASTER_ENTRY'!$C27="","",'1. MASTER_ENTRY'!$Q27)</f>
        <v/>
      </c>
      <c r="G27" s="20">
        <f>IF('1. MASTER_ENTRY'!$C27="","",'1. MASTER_ENTRY'!$P27)</f>
        <v/>
      </c>
      <c r="H27" s="23">
        <f>IF('1. MASTER_ENTRY'!$C27="","",'1. MASTER_ENTRY'!$S27)</f>
        <v/>
      </c>
      <c r="I27" s="20">
        <f>IF('1. MASTER_ENTRY'!$C27="","",'1. MASTER_ENTRY'!$R27)</f>
        <v/>
      </c>
      <c r="J27" s="20">
        <f>IF('1. MASTER_ENTRY'!$C27="","",'1. MASTER_ENTRY'!$T27)</f>
        <v/>
      </c>
    </row>
    <row r="28" ht="16" customHeight="1">
      <c r="A28" s="16">
        <f>IF('1. MASTER_ENTRY'!$C28="","",'1. MASTER_ENTRY'!$A28)</f>
        <v/>
      </c>
      <c r="B28" s="17">
        <f>IF('1. MASTER_ENTRY'!$C28="","",'1. MASTER_ENTRY'!$C28)</f>
        <v/>
      </c>
      <c r="C28" s="16">
        <f>IF('1. MASTER_ENTRY'!$C28="","",'1. MASTER_ENTRY'!$M28)</f>
        <v/>
      </c>
      <c r="D28" s="16">
        <f>IF('1. MASTER_ENTRY'!$C28="","",'1. MASTER_ENTRY'!$E28)</f>
        <v/>
      </c>
      <c r="E28" s="18">
        <f>IF('1. MASTER_ENTRY'!$C28="","",'1. MASTER_ENTRY'!$O28)</f>
        <v/>
      </c>
      <c r="F28" s="18">
        <f>IF('1. MASTER_ENTRY'!$C28="","",'1. MASTER_ENTRY'!$Q28)</f>
        <v/>
      </c>
      <c r="G28" s="16">
        <f>IF('1. MASTER_ENTRY'!$C28="","",'1. MASTER_ENTRY'!$P28)</f>
        <v/>
      </c>
      <c r="H28" s="19">
        <f>IF('1. MASTER_ENTRY'!$C28="","",'1. MASTER_ENTRY'!$S28)</f>
        <v/>
      </c>
      <c r="I28" s="16">
        <f>IF('1. MASTER_ENTRY'!$C28="","",'1. MASTER_ENTRY'!$R28)</f>
        <v/>
      </c>
      <c r="J28" s="16">
        <f>IF('1. MASTER_ENTRY'!$C28="","",'1. MASTER_ENTRY'!$T28)</f>
        <v/>
      </c>
    </row>
    <row r="29" ht="16" customHeight="1">
      <c r="A29" s="20">
        <f>IF('1. MASTER_ENTRY'!$C29="","",'1. MASTER_ENTRY'!$A29)</f>
        <v/>
      </c>
      <c r="B29" s="21">
        <f>IF('1. MASTER_ENTRY'!$C29="","",'1. MASTER_ENTRY'!$C29)</f>
        <v/>
      </c>
      <c r="C29" s="20">
        <f>IF('1. MASTER_ENTRY'!$C29="","",'1. MASTER_ENTRY'!$M29)</f>
        <v/>
      </c>
      <c r="D29" s="20">
        <f>IF('1. MASTER_ENTRY'!$C29="","",'1. MASTER_ENTRY'!$E29)</f>
        <v/>
      </c>
      <c r="E29" s="22">
        <f>IF('1. MASTER_ENTRY'!$C29="","",'1. MASTER_ENTRY'!$O29)</f>
        <v/>
      </c>
      <c r="F29" s="22">
        <f>IF('1. MASTER_ENTRY'!$C29="","",'1. MASTER_ENTRY'!$Q29)</f>
        <v/>
      </c>
      <c r="G29" s="20">
        <f>IF('1. MASTER_ENTRY'!$C29="","",'1. MASTER_ENTRY'!$P29)</f>
        <v/>
      </c>
      <c r="H29" s="23">
        <f>IF('1. MASTER_ENTRY'!$C29="","",'1. MASTER_ENTRY'!$S29)</f>
        <v/>
      </c>
      <c r="I29" s="20">
        <f>IF('1. MASTER_ENTRY'!$C29="","",'1. MASTER_ENTRY'!$R29)</f>
        <v/>
      </c>
      <c r="J29" s="20">
        <f>IF('1. MASTER_ENTRY'!$C29="","",'1. MASTER_ENTRY'!$T29)</f>
        <v/>
      </c>
    </row>
    <row r="30" ht="16" customHeight="1">
      <c r="A30" s="16">
        <f>IF('1. MASTER_ENTRY'!$C30="","",'1. MASTER_ENTRY'!$A30)</f>
        <v/>
      </c>
      <c r="B30" s="17">
        <f>IF('1. MASTER_ENTRY'!$C30="","",'1. MASTER_ENTRY'!$C30)</f>
        <v/>
      </c>
      <c r="C30" s="16">
        <f>IF('1. MASTER_ENTRY'!$C30="","",'1. MASTER_ENTRY'!$M30)</f>
        <v/>
      </c>
      <c r="D30" s="16">
        <f>IF('1. MASTER_ENTRY'!$C30="","",'1. MASTER_ENTRY'!$E30)</f>
        <v/>
      </c>
      <c r="E30" s="18">
        <f>IF('1. MASTER_ENTRY'!$C30="","",'1. MASTER_ENTRY'!$O30)</f>
        <v/>
      </c>
      <c r="F30" s="18">
        <f>IF('1. MASTER_ENTRY'!$C30="","",'1. MASTER_ENTRY'!$Q30)</f>
        <v/>
      </c>
      <c r="G30" s="16">
        <f>IF('1. MASTER_ENTRY'!$C30="","",'1. MASTER_ENTRY'!$P30)</f>
        <v/>
      </c>
      <c r="H30" s="19">
        <f>IF('1. MASTER_ENTRY'!$C30="","",'1. MASTER_ENTRY'!$S30)</f>
        <v/>
      </c>
      <c r="I30" s="16">
        <f>IF('1. MASTER_ENTRY'!$C30="","",'1. MASTER_ENTRY'!$R30)</f>
        <v/>
      </c>
      <c r="J30" s="16">
        <f>IF('1. MASTER_ENTRY'!$C30="","",'1. MASTER_ENTRY'!$T30)</f>
        <v/>
      </c>
    </row>
    <row r="31" ht="16" customHeight="1">
      <c r="A31" s="20">
        <f>IF('1. MASTER_ENTRY'!$C31="","",'1. MASTER_ENTRY'!$A31)</f>
        <v/>
      </c>
      <c r="B31" s="21">
        <f>IF('1. MASTER_ENTRY'!$C31="","",'1. MASTER_ENTRY'!$C31)</f>
        <v/>
      </c>
      <c r="C31" s="20">
        <f>IF('1. MASTER_ENTRY'!$C31="","",'1. MASTER_ENTRY'!$M31)</f>
        <v/>
      </c>
      <c r="D31" s="20">
        <f>IF('1. MASTER_ENTRY'!$C31="","",'1. MASTER_ENTRY'!$E31)</f>
        <v/>
      </c>
      <c r="E31" s="22">
        <f>IF('1. MASTER_ENTRY'!$C31="","",'1. MASTER_ENTRY'!$O31)</f>
        <v/>
      </c>
      <c r="F31" s="22">
        <f>IF('1. MASTER_ENTRY'!$C31="","",'1. MASTER_ENTRY'!$Q31)</f>
        <v/>
      </c>
      <c r="G31" s="20">
        <f>IF('1. MASTER_ENTRY'!$C31="","",'1. MASTER_ENTRY'!$P31)</f>
        <v/>
      </c>
      <c r="H31" s="23">
        <f>IF('1. MASTER_ENTRY'!$C31="","",'1. MASTER_ENTRY'!$S31)</f>
        <v/>
      </c>
      <c r="I31" s="20">
        <f>IF('1. MASTER_ENTRY'!$C31="","",'1. MASTER_ENTRY'!$R31)</f>
        <v/>
      </c>
      <c r="J31" s="20">
        <f>IF('1. MASTER_ENTRY'!$C31="","",'1. MASTER_ENTRY'!$T31)</f>
        <v/>
      </c>
    </row>
    <row r="32" ht="16" customHeight="1">
      <c r="A32" s="16">
        <f>IF('1. MASTER_ENTRY'!$C32="","",'1. MASTER_ENTRY'!$A32)</f>
        <v/>
      </c>
      <c r="B32" s="17">
        <f>IF('1. MASTER_ENTRY'!$C32="","",'1. MASTER_ENTRY'!$C32)</f>
        <v/>
      </c>
      <c r="C32" s="16">
        <f>IF('1. MASTER_ENTRY'!$C32="","",'1. MASTER_ENTRY'!$M32)</f>
        <v/>
      </c>
      <c r="D32" s="16">
        <f>IF('1. MASTER_ENTRY'!$C32="","",'1. MASTER_ENTRY'!$E32)</f>
        <v/>
      </c>
      <c r="E32" s="18">
        <f>IF('1. MASTER_ENTRY'!$C32="","",'1. MASTER_ENTRY'!$O32)</f>
        <v/>
      </c>
      <c r="F32" s="18">
        <f>IF('1. MASTER_ENTRY'!$C32="","",'1. MASTER_ENTRY'!$Q32)</f>
        <v/>
      </c>
      <c r="G32" s="16">
        <f>IF('1. MASTER_ENTRY'!$C32="","",'1. MASTER_ENTRY'!$P32)</f>
        <v/>
      </c>
      <c r="H32" s="19">
        <f>IF('1. MASTER_ENTRY'!$C32="","",'1. MASTER_ENTRY'!$S32)</f>
        <v/>
      </c>
      <c r="I32" s="16">
        <f>IF('1. MASTER_ENTRY'!$C32="","",'1. MASTER_ENTRY'!$R32)</f>
        <v/>
      </c>
      <c r="J32" s="16">
        <f>IF('1. MASTER_ENTRY'!$C32="","",'1. MASTER_ENTRY'!$T32)</f>
        <v/>
      </c>
    </row>
    <row r="33" ht="16" customHeight="1">
      <c r="A33" s="20">
        <f>IF('1. MASTER_ENTRY'!$C33="","",'1. MASTER_ENTRY'!$A33)</f>
        <v/>
      </c>
      <c r="B33" s="21">
        <f>IF('1. MASTER_ENTRY'!$C33="","",'1. MASTER_ENTRY'!$C33)</f>
        <v/>
      </c>
      <c r="C33" s="20">
        <f>IF('1. MASTER_ENTRY'!$C33="","",'1. MASTER_ENTRY'!$M33)</f>
        <v/>
      </c>
      <c r="D33" s="20">
        <f>IF('1. MASTER_ENTRY'!$C33="","",'1. MASTER_ENTRY'!$E33)</f>
        <v/>
      </c>
      <c r="E33" s="22">
        <f>IF('1. MASTER_ENTRY'!$C33="","",'1. MASTER_ENTRY'!$O33)</f>
        <v/>
      </c>
      <c r="F33" s="22">
        <f>IF('1. MASTER_ENTRY'!$C33="","",'1. MASTER_ENTRY'!$Q33)</f>
        <v/>
      </c>
      <c r="G33" s="20">
        <f>IF('1. MASTER_ENTRY'!$C33="","",'1. MASTER_ENTRY'!$P33)</f>
        <v/>
      </c>
      <c r="H33" s="23">
        <f>IF('1. MASTER_ENTRY'!$C33="","",'1. MASTER_ENTRY'!$S33)</f>
        <v/>
      </c>
      <c r="I33" s="20">
        <f>IF('1. MASTER_ENTRY'!$C33="","",'1. MASTER_ENTRY'!$R33)</f>
        <v/>
      </c>
      <c r="J33" s="20">
        <f>IF('1. MASTER_ENTRY'!$C33="","",'1. MASTER_ENTRY'!$T33)</f>
        <v/>
      </c>
    </row>
    <row r="34" ht="16" customHeight="1">
      <c r="A34" s="16">
        <f>IF('1. MASTER_ENTRY'!$C34="","",'1. MASTER_ENTRY'!$A34)</f>
        <v/>
      </c>
      <c r="B34" s="17">
        <f>IF('1. MASTER_ENTRY'!$C34="","",'1. MASTER_ENTRY'!$C34)</f>
        <v/>
      </c>
      <c r="C34" s="16">
        <f>IF('1. MASTER_ENTRY'!$C34="","",'1. MASTER_ENTRY'!$M34)</f>
        <v/>
      </c>
      <c r="D34" s="16">
        <f>IF('1. MASTER_ENTRY'!$C34="","",'1. MASTER_ENTRY'!$E34)</f>
        <v/>
      </c>
      <c r="E34" s="18">
        <f>IF('1. MASTER_ENTRY'!$C34="","",'1. MASTER_ENTRY'!$O34)</f>
        <v/>
      </c>
      <c r="F34" s="18">
        <f>IF('1. MASTER_ENTRY'!$C34="","",'1. MASTER_ENTRY'!$Q34)</f>
        <v/>
      </c>
      <c r="G34" s="16">
        <f>IF('1. MASTER_ENTRY'!$C34="","",'1. MASTER_ENTRY'!$P34)</f>
        <v/>
      </c>
      <c r="H34" s="19">
        <f>IF('1. MASTER_ENTRY'!$C34="","",'1. MASTER_ENTRY'!$S34)</f>
        <v/>
      </c>
      <c r="I34" s="16">
        <f>IF('1. MASTER_ENTRY'!$C34="","",'1. MASTER_ENTRY'!$R34)</f>
        <v/>
      </c>
      <c r="J34" s="16">
        <f>IF('1. MASTER_ENTRY'!$C34="","",'1. MASTER_ENTRY'!$T34)</f>
        <v/>
      </c>
    </row>
    <row r="35" ht="16" customHeight="1">
      <c r="A35" s="20">
        <f>IF('1. MASTER_ENTRY'!$C35="","",'1. MASTER_ENTRY'!$A35)</f>
        <v/>
      </c>
      <c r="B35" s="21">
        <f>IF('1. MASTER_ENTRY'!$C35="","",'1. MASTER_ENTRY'!$C35)</f>
        <v/>
      </c>
      <c r="C35" s="20">
        <f>IF('1. MASTER_ENTRY'!$C35="","",'1. MASTER_ENTRY'!$M35)</f>
        <v/>
      </c>
      <c r="D35" s="20">
        <f>IF('1. MASTER_ENTRY'!$C35="","",'1. MASTER_ENTRY'!$E35)</f>
        <v/>
      </c>
      <c r="E35" s="22">
        <f>IF('1. MASTER_ENTRY'!$C35="","",'1. MASTER_ENTRY'!$O35)</f>
        <v/>
      </c>
      <c r="F35" s="22">
        <f>IF('1. MASTER_ENTRY'!$C35="","",'1. MASTER_ENTRY'!$Q35)</f>
        <v/>
      </c>
      <c r="G35" s="20">
        <f>IF('1. MASTER_ENTRY'!$C35="","",'1. MASTER_ENTRY'!$P35)</f>
        <v/>
      </c>
      <c r="H35" s="23">
        <f>IF('1. MASTER_ENTRY'!$C35="","",'1. MASTER_ENTRY'!$S35)</f>
        <v/>
      </c>
      <c r="I35" s="20">
        <f>IF('1. MASTER_ENTRY'!$C35="","",'1. MASTER_ENTRY'!$R35)</f>
        <v/>
      </c>
      <c r="J35" s="20">
        <f>IF('1. MASTER_ENTRY'!$C35="","",'1. MASTER_ENTRY'!$T35)</f>
        <v/>
      </c>
    </row>
    <row r="36" ht="16" customHeight="1">
      <c r="A36" s="16">
        <f>IF('1. MASTER_ENTRY'!$C36="","",'1. MASTER_ENTRY'!$A36)</f>
        <v/>
      </c>
      <c r="B36" s="17">
        <f>IF('1. MASTER_ENTRY'!$C36="","",'1. MASTER_ENTRY'!$C36)</f>
        <v/>
      </c>
      <c r="C36" s="16">
        <f>IF('1. MASTER_ENTRY'!$C36="","",'1. MASTER_ENTRY'!$M36)</f>
        <v/>
      </c>
      <c r="D36" s="16">
        <f>IF('1. MASTER_ENTRY'!$C36="","",'1. MASTER_ENTRY'!$E36)</f>
        <v/>
      </c>
      <c r="E36" s="18">
        <f>IF('1. MASTER_ENTRY'!$C36="","",'1. MASTER_ENTRY'!$O36)</f>
        <v/>
      </c>
      <c r="F36" s="18">
        <f>IF('1. MASTER_ENTRY'!$C36="","",'1. MASTER_ENTRY'!$Q36)</f>
        <v/>
      </c>
      <c r="G36" s="16">
        <f>IF('1. MASTER_ENTRY'!$C36="","",'1. MASTER_ENTRY'!$P36)</f>
        <v/>
      </c>
      <c r="H36" s="19">
        <f>IF('1. MASTER_ENTRY'!$C36="","",'1. MASTER_ENTRY'!$S36)</f>
        <v/>
      </c>
      <c r="I36" s="16">
        <f>IF('1. MASTER_ENTRY'!$C36="","",'1. MASTER_ENTRY'!$R36)</f>
        <v/>
      </c>
      <c r="J36" s="16">
        <f>IF('1. MASTER_ENTRY'!$C36="","",'1. MASTER_ENTRY'!$T36)</f>
        <v/>
      </c>
    </row>
    <row r="37" ht="16" customHeight="1">
      <c r="A37" s="20">
        <f>IF('1. MASTER_ENTRY'!$C37="","",'1. MASTER_ENTRY'!$A37)</f>
        <v/>
      </c>
      <c r="B37" s="21">
        <f>IF('1. MASTER_ENTRY'!$C37="","",'1. MASTER_ENTRY'!$C37)</f>
        <v/>
      </c>
      <c r="C37" s="20">
        <f>IF('1. MASTER_ENTRY'!$C37="","",'1. MASTER_ENTRY'!$M37)</f>
        <v/>
      </c>
      <c r="D37" s="20">
        <f>IF('1. MASTER_ENTRY'!$C37="","",'1. MASTER_ENTRY'!$E37)</f>
        <v/>
      </c>
      <c r="E37" s="22">
        <f>IF('1. MASTER_ENTRY'!$C37="","",'1. MASTER_ENTRY'!$O37)</f>
        <v/>
      </c>
      <c r="F37" s="22">
        <f>IF('1. MASTER_ENTRY'!$C37="","",'1. MASTER_ENTRY'!$Q37)</f>
        <v/>
      </c>
      <c r="G37" s="20">
        <f>IF('1. MASTER_ENTRY'!$C37="","",'1. MASTER_ENTRY'!$P37)</f>
        <v/>
      </c>
      <c r="H37" s="23">
        <f>IF('1. MASTER_ENTRY'!$C37="","",'1. MASTER_ENTRY'!$S37)</f>
        <v/>
      </c>
      <c r="I37" s="20">
        <f>IF('1. MASTER_ENTRY'!$C37="","",'1. MASTER_ENTRY'!$R37)</f>
        <v/>
      </c>
      <c r="J37" s="20">
        <f>IF('1. MASTER_ENTRY'!$C37="","",'1. MASTER_ENTRY'!$T37)</f>
        <v/>
      </c>
    </row>
    <row r="38" ht="16" customHeight="1">
      <c r="A38" s="16">
        <f>IF('1. MASTER_ENTRY'!$C38="","",'1. MASTER_ENTRY'!$A38)</f>
        <v/>
      </c>
      <c r="B38" s="17">
        <f>IF('1. MASTER_ENTRY'!$C38="","",'1. MASTER_ENTRY'!$C38)</f>
        <v/>
      </c>
      <c r="C38" s="16">
        <f>IF('1. MASTER_ENTRY'!$C38="","",'1. MASTER_ENTRY'!$M38)</f>
        <v/>
      </c>
      <c r="D38" s="16">
        <f>IF('1. MASTER_ENTRY'!$C38="","",'1. MASTER_ENTRY'!$E38)</f>
        <v/>
      </c>
      <c r="E38" s="18">
        <f>IF('1. MASTER_ENTRY'!$C38="","",'1. MASTER_ENTRY'!$O38)</f>
        <v/>
      </c>
      <c r="F38" s="18">
        <f>IF('1. MASTER_ENTRY'!$C38="","",'1. MASTER_ENTRY'!$Q38)</f>
        <v/>
      </c>
      <c r="G38" s="16">
        <f>IF('1. MASTER_ENTRY'!$C38="","",'1. MASTER_ENTRY'!$P38)</f>
        <v/>
      </c>
      <c r="H38" s="19">
        <f>IF('1. MASTER_ENTRY'!$C38="","",'1. MASTER_ENTRY'!$S38)</f>
        <v/>
      </c>
      <c r="I38" s="16">
        <f>IF('1. MASTER_ENTRY'!$C38="","",'1. MASTER_ENTRY'!$R38)</f>
        <v/>
      </c>
      <c r="J38" s="16">
        <f>IF('1. MASTER_ENTRY'!$C38="","",'1. MASTER_ENTRY'!$T38)</f>
        <v/>
      </c>
    </row>
    <row r="39" ht="16" customHeight="1">
      <c r="A39" s="20">
        <f>IF('1. MASTER_ENTRY'!$C39="","",'1. MASTER_ENTRY'!$A39)</f>
        <v/>
      </c>
      <c r="B39" s="21">
        <f>IF('1. MASTER_ENTRY'!$C39="","",'1. MASTER_ENTRY'!$C39)</f>
        <v/>
      </c>
      <c r="C39" s="20">
        <f>IF('1. MASTER_ENTRY'!$C39="","",'1. MASTER_ENTRY'!$M39)</f>
        <v/>
      </c>
      <c r="D39" s="20">
        <f>IF('1. MASTER_ENTRY'!$C39="","",'1. MASTER_ENTRY'!$E39)</f>
        <v/>
      </c>
      <c r="E39" s="22">
        <f>IF('1. MASTER_ENTRY'!$C39="","",'1. MASTER_ENTRY'!$O39)</f>
        <v/>
      </c>
      <c r="F39" s="22">
        <f>IF('1. MASTER_ENTRY'!$C39="","",'1. MASTER_ENTRY'!$Q39)</f>
        <v/>
      </c>
      <c r="G39" s="20">
        <f>IF('1. MASTER_ENTRY'!$C39="","",'1. MASTER_ENTRY'!$P39)</f>
        <v/>
      </c>
      <c r="H39" s="23">
        <f>IF('1. MASTER_ENTRY'!$C39="","",'1. MASTER_ENTRY'!$S39)</f>
        <v/>
      </c>
      <c r="I39" s="20">
        <f>IF('1. MASTER_ENTRY'!$C39="","",'1. MASTER_ENTRY'!$R39)</f>
        <v/>
      </c>
      <c r="J39" s="20">
        <f>IF('1. MASTER_ENTRY'!$C39="","",'1. MASTER_ENTRY'!$T39)</f>
        <v/>
      </c>
    </row>
    <row r="40" ht="16" customHeight="1">
      <c r="A40" s="16">
        <f>IF('1. MASTER_ENTRY'!$C40="","",'1. MASTER_ENTRY'!$A40)</f>
        <v/>
      </c>
      <c r="B40" s="17">
        <f>IF('1. MASTER_ENTRY'!$C40="","",'1. MASTER_ENTRY'!$C40)</f>
        <v/>
      </c>
      <c r="C40" s="16">
        <f>IF('1. MASTER_ENTRY'!$C40="","",'1. MASTER_ENTRY'!$M40)</f>
        <v/>
      </c>
      <c r="D40" s="16">
        <f>IF('1. MASTER_ENTRY'!$C40="","",'1. MASTER_ENTRY'!$E40)</f>
        <v/>
      </c>
      <c r="E40" s="18">
        <f>IF('1. MASTER_ENTRY'!$C40="","",'1. MASTER_ENTRY'!$O40)</f>
        <v/>
      </c>
      <c r="F40" s="18">
        <f>IF('1. MASTER_ENTRY'!$C40="","",'1. MASTER_ENTRY'!$Q40)</f>
        <v/>
      </c>
      <c r="G40" s="16">
        <f>IF('1. MASTER_ENTRY'!$C40="","",'1. MASTER_ENTRY'!$P40)</f>
        <v/>
      </c>
      <c r="H40" s="19">
        <f>IF('1. MASTER_ENTRY'!$C40="","",'1. MASTER_ENTRY'!$S40)</f>
        <v/>
      </c>
      <c r="I40" s="16">
        <f>IF('1. MASTER_ENTRY'!$C40="","",'1. MASTER_ENTRY'!$R40)</f>
        <v/>
      </c>
      <c r="J40" s="16">
        <f>IF('1. MASTER_ENTRY'!$C40="","",'1. MASTER_ENTRY'!$T40)</f>
        <v/>
      </c>
    </row>
    <row r="41" ht="16" customHeight="1">
      <c r="A41" s="20">
        <f>IF('1. MASTER_ENTRY'!$C41="","",'1. MASTER_ENTRY'!$A41)</f>
        <v/>
      </c>
      <c r="B41" s="21">
        <f>IF('1. MASTER_ENTRY'!$C41="","",'1. MASTER_ENTRY'!$C41)</f>
        <v/>
      </c>
      <c r="C41" s="20">
        <f>IF('1. MASTER_ENTRY'!$C41="","",'1. MASTER_ENTRY'!$M41)</f>
        <v/>
      </c>
      <c r="D41" s="20">
        <f>IF('1. MASTER_ENTRY'!$C41="","",'1. MASTER_ENTRY'!$E41)</f>
        <v/>
      </c>
      <c r="E41" s="22">
        <f>IF('1. MASTER_ENTRY'!$C41="","",'1. MASTER_ENTRY'!$O41)</f>
        <v/>
      </c>
      <c r="F41" s="22">
        <f>IF('1. MASTER_ENTRY'!$C41="","",'1. MASTER_ENTRY'!$Q41)</f>
        <v/>
      </c>
      <c r="G41" s="20">
        <f>IF('1. MASTER_ENTRY'!$C41="","",'1. MASTER_ENTRY'!$P41)</f>
        <v/>
      </c>
      <c r="H41" s="23">
        <f>IF('1. MASTER_ENTRY'!$C41="","",'1. MASTER_ENTRY'!$S41)</f>
        <v/>
      </c>
      <c r="I41" s="20">
        <f>IF('1. MASTER_ENTRY'!$C41="","",'1. MASTER_ENTRY'!$R41)</f>
        <v/>
      </c>
      <c r="J41" s="20">
        <f>IF('1. MASTER_ENTRY'!$C41="","",'1. MASTER_ENTRY'!$T41)</f>
        <v/>
      </c>
    </row>
    <row r="42" ht="16" customHeight="1">
      <c r="A42" s="16">
        <f>IF('1. MASTER_ENTRY'!$C42="","",'1. MASTER_ENTRY'!$A42)</f>
        <v/>
      </c>
      <c r="B42" s="17">
        <f>IF('1. MASTER_ENTRY'!$C42="","",'1. MASTER_ENTRY'!$C42)</f>
        <v/>
      </c>
      <c r="C42" s="16">
        <f>IF('1. MASTER_ENTRY'!$C42="","",'1. MASTER_ENTRY'!$M42)</f>
        <v/>
      </c>
      <c r="D42" s="16">
        <f>IF('1. MASTER_ENTRY'!$C42="","",'1. MASTER_ENTRY'!$E42)</f>
        <v/>
      </c>
      <c r="E42" s="18">
        <f>IF('1. MASTER_ENTRY'!$C42="","",'1. MASTER_ENTRY'!$O42)</f>
        <v/>
      </c>
      <c r="F42" s="18">
        <f>IF('1. MASTER_ENTRY'!$C42="","",'1. MASTER_ENTRY'!$Q42)</f>
        <v/>
      </c>
      <c r="G42" s="16">
        <f>IF('1. MASTER_ENTRY'!$C42="","",'1. MASTER_ENTRY'!$P42)</f>
        <v/>
      </c>
      <c r="H42" s="19">
        <f>IF('1. MASTER_ENTRY'!$C42="","",'1. MASTER_ENTRY'!$S42)</f>
        <v/>
      </c>
      <c r="I42" s="16">
        <f>IF('1. MASTER_ENTRY'!$C42="","",'1. MASTER_ENTRY'!$R42)</f>
        <v/>
      </c>
      <c r="J42" s="16">
        <f>IF('1. MASTER_ENTRY'!$C42="","",'1. MASTER_ENTRY'!$T42)</f>
        <v/>
      </c>
    </row>
    <row r="43" ht="16" customHeight="1">
      <c r="A43" s="20">
        <f>IF('1. MASTER_ENTRY'!$C43="","",'1. MASTER_ENTRY'!$A43)</f>
        <v/>
      </c>
      <c r="B43" s="21">
        <f>IF('1. MASTER_ENTRY'!$C43="","",'1. MASTER_ENTRY'!$C43)</f>
        <v/>
      </c>
      <c r="C43" s="20">
        <f>IF('1. MASTER_ENTRY'!$C43="","",'1. MASTER_ENTRY'!$M43)</f>
        <v/>
      </c>
      <c r="D43" s="20">
        <f>IF('1. MASTER_ENTRY'!$C43="","",'1. MASTER_ENTRY'!$E43)</f>
        <v/>
      </c>
      <c r="E43" s="22">
        <f>IF('1. MASTER_ENTRY'!$C43="","",'1. MASTER_ENTRY'!$O43)</f>
        <v/>
      </c>
      <c r="F43" s="22">
        <f>IF('1. MASTER_ENTRY'!$C43="","",'1. MASTER_ENTRY'!$Q43)</f>
        <v/>
      </c>
      <c r="G43" s="20">
        <f>IF('1. MASTER_ENTRY'!$C43="","",'1. MASTER_ENTRY'!$P43)</f>
        <v/>
      </c>
      <c r="H43" s="23">
        <f>IF('1. MASTER_ENTRY'!$C43="","",'1. MASTER_ENTRY'!$S43)</f>
        <v/>
      </c>
      <c r="I43" s="20">
        <f>IF('1. MASTER_ENTRY'!$C43="","",'1. MASTER_ENTRY'!$R43)</f>
        <v/>
      </c>
      <c r="J43" s="20">
        <f>IF('1. MASTER_ENTRY'!$C43="","",'1. MASTER_ENTRY'!$T43)</f>
        <v/>
      </c>
    </row>
    <row r="44" ht="16" customHeight="1">
      <c r="A44" s="16">
        <f>IF('1. MASTER_ENTRY'!$C44="","",'1. MASTER_ENTRY'!$A44)</f>
        <v/>
      </c>
      <c r="B44" s="17">
        <f>IF('1. MASTER_ENTRY'!$C44="","",'1. MASTER_ENTRY'!$C44)</f>
        <v/>
      </c>
      <c r="C44" s="16">
        <f>IF('1. MASTER_ENTRY'!$C44="","",'1. MASTER_ENTRY'!$M44)</f>
        <v/>
      </c>
      <c r="D44" s="16">
        <f>IF('1. MASTER_ENTRY'!$C44="","",'1. MASTER_ENTRY'!$E44)</f>
        <v/>
      </c>
      <c r="E44" s="18">
        <f>IF('1. MASTER_ENTRY'!$C44="","",'1. MASTER_ENTRY'!$O44)</f>
        <v/>
      </c>
      <c r="F44" s="18">
        <f>IF('1. MASTER_ENTRY'!$C44="","",'1. MASTER_ENTRY'!$Q44)</f>
        <v/>
      </c>
      <c r="G44" s="16">
        <f>IF('1. MASTER_ENTRY'!$C44="","",'1. MASTER_ENTRY'!$P44)</f>
        <v/>
      </c>
      <c r="H44" s="19">
        <f>IF('1. MASTER_ENTRY'!$C44="","",'1. MASTER_ENTRY'!$S44)</f>
        <v/>
      </c>
      <c r="I44" s="16">
        <f>IF('1. MASTER_ENTRY'!$C44="","",'1. MASTER_ENTRY'!$R44)</f>
        <v/>
      </c>
      <c r="J44" s="16">
        <f>IF('1. MASTER_ENTRY'!$C44="","",'1. MASTER_ENTRY'!$T44)</f>
        <v/>
      </c>
    </row>
    <row r="45" ht="16" customHeight="1">
      <c r="A45" s="20">
        <f>IF('1. MASTER_ENTRY'!$C45="","",'1. MASTER_ENTRY'!$A45)</f>
        <v/>
      </c>
      <c r="B45" s="21">
        <f>IF('1. MASTER_ENTRY'!$C45="","",'1. MASTER_ENTRY'!$C45)</f>
        <v/>
      </c>
      <c r="C45" s="20">
        <f>IF('1. MASTER_ENTRY'!$C45="","",'1. MASTER_ENTRY'!$M45)</f>
        <v/>
      </c>
      <c r="D45" s="20">
        <f>IF('1. MASTER_ENTRY'!$C45="","",'1. MASTER_ENTRY'!$E45)</f>
        <v/>
      </c>
      <c r="E45" s="22">
        <f>IF('1. MASTER_ENTRY'!$C45="","",'1. MASTER_ENTRY'!$O45)</f>
        <v/>
      </c>
      <c r="F45" s="22">
        <f>IF('1. MASTER_ENTRY'!$C45="","",'1. MASTER_ENTRY'!$Q45)</f>
        <v/>
      </c>
      <c r="G45" s="20">
        <f>IF('1. MASTER_ENTRY'!$C45="","",'1. MASTER_ENTRY'!$P45)</f>
        <v/>
      </c>
      <c r="H45" s="23">
        <f>IF('1. MASTER_ENTRY'!$C45="","",'1. MASTER_ENTRY'!$S45)</f>
        <v/>
      </c>
      <c r="I45" s="20">
        <f>IF('1. MASTER_ENTRY'!$C45="","",'1. MASTER_ENTRY'!$R45)</f>
        <v/>
      </c>
      <c r="J45" s="20">
        <f>IF('1. MASTER_ENTRY'!$C45="","",'1. MASTER_ENTRY'!$T45)</f>
        <v/>
      </c>
    </row>
    <row r="46" ht="16" customHeight="1">
      <c r="A46" s="16">
        <f>IF('1. MASTER_ENTRY'!$C46="","",'1. MASTER_ENTRY'!$A46)</f>
        <v/>
      </c>
      <c r="B46" s="17">
        <f>IF('1. MASTER_ENTRY'!$C46="","",'1. MASTER_ENTRY'!$C46)</f>
        <v/>
      </c>
      <c r="C46" s="16">
        <f>IF('1. MASTER_ENTRY'!$C46="","",'1. MASTER_ENTRY'!$M46)</f>
        <v/>
      </c>
      <c r="D46" s="16">
        <f>IF('1. MASTER_ENTRY'!$C46="","",'1. MASTER_ENTRY'!$E46)</f>
        <v/>
      </c>
      <c r="E46" s="18">
        <f>IF('1. MASTER_ENTRY'!$C46="","",'1. MASTER_ENTRY'!$O46)</f>
        <v/>
      </c>
      <c r="F46" s="18">
        <f>IF('1. MASTER_ENTRY'!$C46="","",'1. MASTER_ENTRY'!$Q46)</f>
        <v/>
      </c>
      <c r="G46" s="16">
        <f>IF('1. MASTER_ENTRY'!$C46="","",'1. MASTER_ENTRY'!$P46)</f>
        <v/>
      </c>
      <c r="H46" s="19">
        <f>IF('1. MASTER_ENTRY'!$C46="","",'1. MASTER_ENTRY'!$S46)</f>
        <v/>
      </c>
      <c r="I46" s="16">
        <f>IF('1. MASTER_ENTRY'!$C46="","",'1. MASTER_ENTRY'!$R46)</f>
        <v/>
      </c>
      <c r="J46" s="16">
        <f>IF('1. MASTER_ENTRY'!$C46="","",'1. MASTER_ENTRY'!$T46)</f>
        <v/>
      </c>
    </row>
    <row r="47" ht="16" customHeight="1">
      <c r="A47" s="20">
        <f>IF('1. MASTER_ENTRY'!$C47="","",'1. MASTER_ENTRY'!$A47)</f>
        <v/>
      </c>
      <c r="B47" s="21">
        <f>IF('1. MASTER_ENTRY'!$C47="","",'1. MASTER_ENTRY'!$C47)</f>
        <v/>
      </c>
      <c r="C47" s="20">
        <f>IF('1. MASTER_ENTRY'!$C47="","",'1. MASTER_ENTRY'!$M47)</f>
        <v/>
      </c>
      <c r="D47" s="20">
        <f>IF('1. MASTER_ENTRY'!$C47="","",'1. MASTER_ENTRY'!$E47)</f>
        <v/>
      </c>
      <c r="E47" s="22">
        <f>IF('1. MASTER_ENTRY'!$C47="","",'1. MASTER_ENTRY'!$O47)</f>
        <v/>
      </c>
      <c r="F47" s="22">
        <f>IF('1. MASTER_ENTRY'!$C47="","",'1. MASTER_ENTRY'!$Q47)</f>
        <v/>
      </c>
      <c r="G47" s="20">
        <f>IF('1. MASTER_ENTRY'!$C47="","",'1. MASTER_ENTRY'!$P47)</f>
        <v/>
      </c>
      <c r="H47" s="23">
        <f>IF('1. MASTER_ENTRY'!$C47="","",'1. MASTER_ENTRY'!$S47)</f>
        <v/>
      </c>
      <c r="I47" s="20">
        <f>IF('1. MASTER_ENTRY'!$C47="","",'1. MASTER_ENTRY'!$R47)</f>
        <v/>
      </c>
      <c r="J47" s="20">
        <f>IF('1. MASTER_ENTRY'!$C47="","",'1. MASTER_ENTRY'!$T47)</f>
        <v/>
      </c>
    </row>
    <row r="48" ht="16" customHeight="1">
      <c r="A48" s="16">
        <f>IF('1. MASTER_ENTRY'!$C48="","",'1. MASTER_ENTRY'!$A48)</f>
        <v/>
      </c>
      <c r="B48" s="17">
        <f>IF('1. MASTER_ENTRY'!$C48="","",'1. MASTER_ENTRY'!$C48)</f>
        <v/>
      </c>
      <c r="C48" s="16">
        <f>IF('1. MASTER_ENTRY'!$C48="","",'1. MASTER_ENTRY'!$M48)</f>
        <v/>
      </c>
      <c r="D48" s="16">
        <f>IF('1. MASTER_ENTRY'!$C48="","",'1. MASTER_ENTRY'!$E48)</f>
        <v/>
      </c>
      <c r="E48" s="18">
        <f>IF('1. MASTER_ENTRY'!$C48="","",'1. MASTER_ENTRY'!$O48)</f>
        <v/>
      </c>
      <c r="F48" s="18">
        <f>IF('1. MASTER_ENTRY'!$C48="","",'1. MASTER_ENTRY'!$Q48)</f>
        <v/>
      </c>
      <c r="G48" s="16">
        <f>IF('1. MASTER_ENTRY'!$C48="","",'1. MASTER_ENTRY'!$P48)</f>
        <v/>
      </c>
      <c r="H48" s="19">
        <f>IF('1. MASTER_ENTRY'!$C48="","",'1. MASTER_ENTRY'!$S48)</f>
        <v/>
      </c>
      <c r="I48" s="16">
        <f>IF('1. MASTER_ENTRY'!$C48="","",'1. MASTER_ENTRY'!$R48)</f>
        <v/>
      </c>
      <c r="J48" s="16">
        <f>IF('1. MASTER_ENTRY'!$C48="","",'1. MASTER_ENTRY'!$T48)</f>
        <v/>
      </c>
    </row>
    <row r="49" ht="16" customHeight="1">
      <c r="A49" s="20">
        <f>IF('1. MASTER_ENTRY'!$C49="","",'1. MASTER_ENTRY'!$A49)</f>
        <v/>
      </c>
      <c r="B49" s="21">
        <f>IF('1. MASTER_ENTRY'!$C49="","",'1. MASTER_ENTRY'!$C49)</f>
        <v/>
      </c>
      <c r="C49" s="20">
        <f>IF('1. MASTER_ENTRY'!$C49="","",'1. MASTER_ENTRY'!$M49)</f>
        <v/>
      </c>
      <c r="D49" s="20">
        <f>IF('1. MASTER_ENTRY'!$C49="","",'1. MASTER_ENTRY'!$E49)</f>
        <v/>
      </c>
      <c r="E49" s="22">
        <f>IF('1. MASTER_ENTRY'!$C49="","",'1. MASTER_ENTRY'!$O49)</f>
        <v/>
      </c>
      <c r="F49" s="22">
        <f>IF('1. MASTER_ENTRY'!$C49="","",'1. MASTER_ENTRY'!$Q49)</f>
        <v/>
      </c>
      <c r="G49" s="20">
        <f>IF('1. MASTER_ENTRY'!$C49="","",'1. MASTER_ENTRY'!$P49)</f>
        <v/>
      </c>
      <c r="H49" s="23">
        <f>IF('1. MASTER_ENTRY'!$C49="","",'1. MASTER_ENTRY'!$S49)</f>
        <v/>
      </c>
      <c r="I49" s="20">
        <f>IF('1. MASTER_ENTRY'!$C49="","",'1. MASTER_ENTRY'!$R49)</f>
        <v/>
      </c>
      <c r="J49" s="20">
        <f>IF('1. MASTER_ENTRY'!$C49="","",'1. MASTER_ENTRY'!$T49)</f>
        <v/>
      </c>
    </row>
    <row r="50" ht="16" customHeight="1">
      <c r="A50" s="16">
        <f>IF('1. MASTER_ENTRY'!$C50="","",'1. MASTER_ENTRY'!$A50)</f>
        <v/>
      </c>
      <c r="B50" s="17">
        <f>IF('1. MASTER_ENTRY'!$C50="","",'1. MASTER_ENTRY'!$C50)</f>
        <v/>
      </c>
      <c r="C50" s="16">
        <f>IF('1. MASTER_ENTRY'!$C50="","",'1. MASTER_ENTRY'!$M50)</f>
        <v/>
      </c>
      <c r="D50" s="16">
        <f>IF('1. MASTER_ENTRY'!$C50="","",'1. MASTER_ENTRY'!$E50)</f>
        <v/>
      </c>
      <c r="E50" s="18">
        <f>IF('1. MASTER_ENTRY'!$C50="","",'1. MASTER_ENTRY'!$O50)</f>
        <v/>
      </c>
      <c r="F50" s="18">
        <f>IF('1. MASTER_ENTRY'!$C50="","",'1. MASTER_ENTRY'!$Q50)</f>
        <v/>
      </c>
      <c r="G50" s="16">
        <f>IF('1. MASTER_ENTRY'!$C50="","",'1. MASTER_ENTRY'!$P50)</f>
        <v/>
      </c>
      <c r="H50" s="19">
        <f>IF('1. MASTER_ENTRY'!$C50="","",'1. MASTER_ENTRY'!$S50)</f>
        <v/>
      </c>
      <c r="I50" s="16">
        <f>IF('1. MASTER_ENTRY'!$C50="","",'1. MASTER_ENTRY'!$R50)</f>
        <v/>
      </c>
      <c r="J50" s="16">
        <f>IF('1. MASTER_ENTRY'!$C50="","",'1. MASTER_ENTRY'!$T50)</f>
        <v/>
      </c>
    </row>
    <row r="51" ht="16" customHeight="1">
      <c r="A51" s="20">
        <f>IF('1. MASTER_ENTRY'!$C51="","",'1. MASTER_ENTRY'!$A51)</f>
        <v/>
      </c>
      <c r="B51" s="21">
        <f>IF('1. MASTER_ENTRY'!$C51="","",'1. MASTER_ENTRY'!$C51)</f>
        <v/>
      </c>
      <c r="C51" s="20">
        <f>IF('1. MASTER_ENTRY'!$C51="","",'1. MASTER_ENTRY'!$M51)</f>
        <v/>
      </c>
      <c r="D51" s="20">
        <f>IF('1. MASTER_ENTRY'!$C51="","",'1. MASTER_ENTRY'!$E51)</f>
        <v/>
      </c>
      <c r="E51" s="22">
        <f>IF('1. MASTER_ENTRY'!$C51="","",'1. MASTER_ENTRY'!$O51)</f>
        <v/>
      </c>
      <c r="F51" s="22">
        <f>IF('1. MASTER_ENTRY'!$C51="","",'1. MASTER_ENTRY'!$Q51)</f>
        <v/>
      </c>
      <c r="G51" s="20">
        <f>IF('1. MASTER_ENTRY'!$C51="","",'1. MASTER_ENTRY'!$P51)</f>
        <v/>
      </c>
      <c r="H51" s="23">
        <f>IF('1. MASTER_ENTRY'!$C51="","",'1. MASTER_ENTRY'!$S51)</f>
        <v/>
      </c>
      <c r="I51" s="20">
        <f>IF('1. MASTER_ENTRY'!$C51="","",'1. MASTER_ENTRY'!$R51)</f>
        <v/>
      </c>
      <c r="J51" s="20">
        <f>IF('1. MASTER_ENTRY'!$C51="","",'1. MASTER_ENTRY'!$T51)</f>
        <v/>
      </c>
    </row>
    <row r="52" ht="16" customHeight="1">
      <c r="A52" s="16">
        <f>IF('1. MASTER_ENTRY'!$C52="","",'1. MASTER_ENTRY'!$A52)</f>
        <v/>
      </c>
      <c r="B52" s="17">
        <f>IF('1. MASTER_ENTRY'!$C52="","",'1. MASTER_ENTRY'!$C52)</f>
        <v/>
      </c>
      <c r="C52" s="16">
        <f>IF('1. MASTER_ENTRY'!$C52="","",'1. MASTER_ENTRY'!$M52)</f>
        <v/>
      </c>
      <c r="D52" s="16">
        <f>IF('1. MASTER_ENTRY'!$C52="","",'1. MASTER_ENTRY'!$E52)</f>
        <v/>
      </c>
      <c r="E52" s="18">
        <f>IF('1. MASTER_ENTRY'!$C52="","",'1. MASTER_ENTRY'!$O52)</f>
        <v/>
      </c>
      <c r="F52" s="18">
        <f>IF('1. MASTER_ENTRY'!$C52="","",'1. MASTER_ENTRY'!$Q52)</f>
        <v/>
      </c>
      <c r="G52" s="16">
        <f>IF('1. MASTER_ENTRY'!$C52="","",'1. MASTER_ENTRY'!$P52)</f>
        <v/>
      </c>
      <c r="H52" s="19">
        <f>IF('1. MASTER_ENTRY'!$C52="","",'1. MASTER_ENTRY'!$S52)</f>
        <v/>
      </c>
      <c r="I52" s="16">
        <f>IF('1. MASTER_ENTRY'!$C52="","",'1. MASTER_ENTRY'!$R52)</f>
        <v/>
      </c>
      <c r="J52" s="16">
        <f>IF('1. MASTER_ENTRY'!$C52="","",'1. MASTER_ENTRY'!$T52)</f>
        <v/>
      </c>
    </row>
    <row r="53" ht="16" customHeight="1">
      <c r="A53" s="20">
        <f>IF('1. MASTER_ENTRY'!$C53="","",'1. MASTER_ENTRY'!$A53)</f>
        <v/>
      </c>
      <c r="B53" s="21">
        <f>IF('1. MASTER_ENTRY'!$C53="","",'1. MASTER_ENTRY'!$C53)</f>
        <v/>
      </c>
      <c r="C53" s="20">
        <f>IF('1. MASTER_ENTRY'!$C53="","",'1. MASTER_ENTRY'!$M53)</f>
        <v/>
      </c>
      <c r="D53" s="20">
        <f>IF('1. MASTER_ENTRY'!$C53="","",'1. MASTER_ENTRY'!$E53)</f>
        <v/>
      </c>
      <c r="E53" s="22">
        <f>IF('1. MASTER_ENTRY'!$C53="","",'1. MASTER_ENTRY'!$O53)</f>
        <v/>
      </c>
      <c r="F53" s="22">
        <f>IF('1. MASTER_ENTRY'!$C53="","",'1. MASTER_ENTRY'!$Q53)</f>
        <v/>
      </c>
      <c r="G53" s="20">
        <f>IF('1. MASTER_ENTRY'!$C53="","",'1. MASTER_ENTRY'!$P53)</f>
        <v/>
      </c>
      <c r="H53" s="23">
        <f>IF('1. MASTER_ENTRY'!$C53="","",'1. MASTER_ENTRY'!$S53)</f>
        <v/>
      </c>
      <c r="I53" s="20">
        <f>IF('1. MASTER_ENTRY'!$C53="","",'1. MASTER_ENTRY'!$R53)</f>
        <v/>
      </c>
      <c r="J53" s="20">
        <f>IF('1. MASTER_ENTRY'!$C53="","",'1. MASTER_ENTRY'!$T53)</f>
        <v/>
      </c>
    </row>
    <row r="54" ht="16" customHeight="1">
      <c r="A54" s="16">
        <f>IF('1. MASTER_ENTRY'!$C54="","",'1. MASTER_ENTRY'!$A54)</f>
        <v/>
      </c>
      <c r="B54" s="17">
        <f>IF('1. MASTER_ENTRY'!$C54="","",'1. MASTER_ENTRY'!$C54)</f>
        <v/>
      </c>
      <c r="C54" s="16">
        <f>IF('1. MASTER_ENTRY'!$C54="","",'1. MASTER_ENTRY'!$M54)</f>
        <v/>
      </c>
      <c r="D54" s="16">
        <f>IF('1. MASTER_ENTRY'!$C54="","",'1. MASTER_ENTRY'!$E54)</f>
        <v/>
      </c>
      <c r="E54" s="18">
        <f>IF('1. MASTER_ENTRY'!$C54="","",'1. MASTER_ENTRY'!$O54)</f>
        <v/>
      </c>
      <c r="F54" s="18">
        <f>IF('1. MASTER_ENTRY'!$C54="","",'1. MASTER_ENTRY'!$Q54)</f>
        <v/>
      </c>
      <c r="G54" s="16">
        <f>IF('1. MASTER_ENTRY'!$C54="","",'1. MASTER_ENTRY'!$P54)</f>
        <v/>
      </c>
      <c r="H54" s="19">
        <f>IF('1. MASTER_ENTRY'!$C54="","",'1. MASTER_ENTRY'!$S54)</f>
        <v/>
      </c>
      <c r="I54" s="16">
        <f>IF('1. MASTER_ENTRY'!$C54="","",'1. MASTER_ENTRY'!$R54)</f>
        <v/>
      </c>
      <c r="J54" s="16">
        <f>IF('1. MASTER_ENTRY'!$C54="","",'1. MASTER_ENTRY'!$T54)</f>
        <v/>
      </c>
    </row>
    <row r="55" ht="16" customHeight="1">
      <c r="A55" s="20">
        <f>IF('1. MASTER_ENTRY'!$C55="","",'1. MASTER_ENTRY'!$A55)</f>
        <v/>
      </c>
      <c r="B55" s="21">
        <f>IF('1. MASTER_ENTRY'!$C55="","",'1. MASTER_ENTRY'!$C55)</f>
        <v/>
      </c>
      <c r="C55" s="20">
        <f>IF('1. MASTER_ENTRY'!$C55="","",'1. MASTER_ENTRY'!$M55)</f>
        <v/>
      </c>
      <c r="D55" s="20">
        <f>IF('1. MASTER_ENTRY'!$C55="","",'1. MASTER_ENTRY'!$E55)</f>
        <v/>
      </c>
      <c r="E55" s="22">
        <f>IF('1. MASTER_ENTRY'!$C55="","",'1. MASTER_ENTRY'!$O55)</f>
        <v/>
      </c>
      <c r="F55" s="22">
        <f>IF('1. MASTER_ENTRY'!$C55="","",'1. MASTER_ENTRY'!$Q55)</f>
        <v/>
      </c>
      <c r="G55" s="20">
        <f>IF('1. MASTER_ENTRY'!$C55="","",'1. MASTER_ENTRY'!$P55)</f>
        <v/>
      </c>
      <c r="H55" s="23">
        <f>IF('1. MASTER_ENTRY'!$C55="","",'1. MASTER_ENTRY'!$S55)</f>
        <v/>
      </c>
      <c r="I55" s="20">
        <f>IF('1. MASTER_ENTRY'!$C55="","",'1. MASTER_ENTRY'!$R55)</f>
        <v/>
      </c>
      <c r="J55" s="20">
        <f>IF('1. MASTER_ENTRY'!$C55="","",'1. MASTER_ENTRY'!$T55)</f>
        <v/>
      </c>
    </row>
    <row r="56" ht="16" customHeight="1">
      <c r="A56" s="16">
        <f>IF('1. MASTER_ENTRY'!$C56="","",'1. MASTER_ENTRY'!$A56)</f>
        <v/>
      </c>
      <c r="B56" s="17">
        <f>IF('1. MASTER_ENTRY'!$C56="","",'1. MASTER_ENTRY'!$C56)</f>
        <v/>
      </c>
      <c r="C56" s="16">
        <f>IF('1. MASTER_ENTRY'!$C56="","",'1. MASTER_ENTRY'!$M56)</f>
        <v/>
      </c>
      <c r="D56" s="16">
        <f>IF('1. MASTER_ENTRY'!$C56="","",'1. MASTER_ENTRY'!$E56)</f>
        <v/>
      </c>
      <c r="E56" s="18">
        <f>IF('1. MASTER_ENTRY'!$C56="","",'1. MASTER_ENTRY'!$O56)</f>
        <v/>
      </c>
      <c r="F56" s="18">
        <f>IF('1. MASTER_ENTRY'!$C56="","",'1. MASTER_ENTRY'!$Q56)</f>
        <v/>
      </c>
      <c r="G56" s="16">
        <f>IF('1. MASTER_ENTRY'!$C56="","",'1. MASTER_ENTRY'!$P56)</f>
        <v/>
      </c>
      <c r="H56" s="19">
        <f>IF('1. MASTER_ENTRY'!$C56="","",'1. MASTER_ENTRY'!$S56)</f>
        <v/>
      </c>
      <c r="I56" s="16">
        <f>IF('1. MASTER_ENTRY'!$C56="","",'1. MASTER_ENTRY'!$R56)</f>
        <v/>
      </c>
      <c r="J56" s="16">
        <f>IF('1. MASTER_ENTRY'!$C56="","",'1. MASTER_ENTRY'!$T56)</f>
        <v/>
      </c>
    </row>
    <row r="57" ht="16" customHeight="1">
      <c r="A57" s="20">
        <f>IF('1. MASTER_ENTRY'!$C57="","",'1. MASTER_ENTRY'!$A57)</f>
        <v/>
      </c>
      <c r="B57" s="21">
        <f>IF('1. MASTER_ENTRY'!$C57="","",'1. MASTER_ENTRY'!$C57)</f>
        <v/>
      </c>
      <c r="C57" s="20">
        <f>IF('1. MASTER_ENTRY'!$C57="","",'1. MASTER_ENTRY'!$M57)</f>
        <v/>
      </c>
      <c r="D57" s="20">
        <f>IF('1. MASTER_ENTRY'!$C57="","",'1. MASTER_ENTRY'!$E57)</f>
        <v/>
      </c>
      <c r="E57" s="22">
        <f>IF('1. MASTER_ENTRY'!$C57="","",'1. MASTER_ENTRY'!$O57)</f>
        <v/>
      </c>
      <c r="F57" s="22">
        <f>IF('1. MASTER_ENTRY'!$C57="","",'1. MASTER_ENTRY'!$Q57)</f>
        <v/>
      </c>
      <c r="G57" s="20">
        <f>IF('1. MASTER_ENTRY'!$C57="","",'1. MASTER_ENTRY'!$P57)</f>
        <v/>
      </c>
      <c r="H57" s="23">
        <f>IF('1. MASTER_ENTRY'!$C57="","",'1. MASTER_ENTRY'!$S57)</f>
        <v/>
      </c>
      <c r="I57" s="20">
        <f>IF('1. MASTER_ENTRY'!$C57="","",'1. MASTER_ENTRY'!$R57)</f>
        <v/>
      </c>
      <c r="J57" s="20">
        <f>IF('1. MASTER_ENTRY'!$C57="","",'1. MASTER_ENTRY'!$T57)</f>
        <v/>
      </c>
    </row>
    <row r="58" ht="16" customHeight="1">
      <c r="A58" s="16">
        <f>IF('1. MASTER_ENTRY'!$C58="","",'1. MASTER_ENTRY'!$A58)</f>
        <v/>
      </c>
      <c r="B58" s="17">
        <f>IF('1. MASTER_ENTRY'!$C58="","",'1. MASTER_ENTRY'!$C58)</f>
        <v/>
      </c>
      <c r="C58" s="16">
        <f>IF('1. MASTER_ENTRY'!$C58="","",'1. MASTER_ENTRY'!$M58)</f>
        <v/>
      </c>
      <c r="D58" s="16">
        <f>IF('1. MASTER_ENTRY'!$C58="","",'1. MASTER_ENTRY'!$E58)</f>
        <v/>
      </c>
      <c r="E58" s="18">
        <f>IF('1. MASTER_ENTRY'!$C58="","",'1. MASTER_ENTRY'!$O58)</f>
        <v/>
      </c>
      <c r="F58" s="18">
        <f>IF('1. MASTER_ENTRY'!$C58="","",'1. MASTER_ENTRY'!$Q58)</f>
        <v/>
      </c>
      <c r="G58" s="16">
        <f>IF('1. MASTER_ENTRY'!$C58="","",'1. MASTER_ENTRY'!$P58)</f>
        <v/>
      </c>
      <c r="H58" s="19">
        <f>IF('1. MASTER_ENTRY'!$C58="","",'1. MASTER_ENTRY'!$S58)</f>
        <v/>
      </c>
      <c r="I58" s="16">
        <f>IF('1. MASTER_ENTRY'!$C58="","",'1. MASTER_ENTRY'!$R58)</f>
        <v/>
      </c>
      <c r="J58" s="16">
        <f>IF('1. MASTER_ENTRY'!$C58="","",'1. MASTER_ENTRY'!$T58)</f>
        <v/>
      </c>
    </row>
    <row r="59" ht="16" customHeight="1">
      <c r="A59" s="20">
        <f>IF('1. MASTER_ENTRY'!$C59="","",'1. MASTER_ENTRY'!$A59)</f>
        <v/>
      </c>
      <c r="B59" s="21">
        <f>IF('1. MASTER_ENTRY'!$C59="","",'1. MASTER_ENTRY'!$C59)</f>
        <v/>
      </c>
      <c r="C59" s="20">
        <f>IF('1. MASTER_ENTRY'!$C59="","",'1. MASTER_ENTRY'!$M59)</f>
        <v/>
      </c>
      <c r="D59" s="20">
        <f>IF('1. MASTER_ENTRY'!$C59="","",'1. MASTER_ENTRY'!$E59)</f>
        <v/>
      </c>
      <c r="E59" s="22">
        <f>IF('1. MASTER_ENTRY'!$C59="","",'1. MASTER_ENTRY'!$O59)</f>
        <v/>
      </c>
      <c r="F59" s="22">
        <f>IF('1. MASTER_ENTRY'!$C59="","",'1. MASTER_ENTRY'!$Q59)</f>
        <v/>
      </c>
      <c r="G59" s="20">
        <f>IF('1. MASTER_ENTRY'!$C59="","",'1. MASTER_ENTRY'!$P59)</f>
        <v/>
      </c>
      <c r="H59" s="23">
        <f>IF('1. MASTER_ENTRY'!$C59="","",'1. MASTER_ENTRY'!$S59)</f>
        <v/>
      </c>
      <c r="I59" s="20">
        <f>IF('1. MASTER_ENTRY'!$C59="","",'1. MASTER_ENTRY'!$R59)</f>
        <v/>
      </c>
      <c r="J59" s="20">
        <f>IF('1. MASTER_ENTRY'!$C59="","",'1. MASTER_ENTRY'!$T59)</f>
        <v/>
      </c>
    </row>
    <row r="60" ht="16" customHeight="1">
      <c r="A60" s="16">
        <f>IF('1. MASTER_ENTRY'!$C60="","",'1. MASTER_ENTRY'!$A60)</f>
        <v/>
      </c>
      <c r="B60" s="17">
        <f>IF('1. MASTER_ENTRY'!$C60="","",'1. MASTER_ENTRY'!$C60)</f>
        <v/>
      </c>
      <c r="C60" s="16">
        <f>IF('1. MASTER_ENTRY'!$C60="","",'1. MASTER_ENTRY'!$M60)</f>
        <v/>
      </c>
      <c r="D60" s="16">
        <f>IF('1. MASTER_ENTRY'!$C60="","",'1. MASTER_ENTRY'!$E60)</f>
        <v/>
      </c>
      <c r="E60" s="18">
        <f>IF('1. MASTER_ENTRY'!$C60="","",'1. MASTER_ENTRY'!$O60)</f>
        <v/>
      </c>
      <c r="F60" s="18">
        <f>IF('1. MASTER_ENTRY'!$C60="","",'1. MASTER_ENTRY'!$Q60)</f>
        <v/>
      </c>
      <c r="G60" s="16">
        <f>IF('1. MASTER_ENTRY'!$C60="","",'1. MASTER_ENTRY'!$P60)</f>
        <v/>
      </c>
      <c r="H60" s="19">
        <f>IF('1. MASTER_ENTRY'!$C60="","",'1. MASTER_ENTRY'!$S60)</f>
        <v/>
      </c>
      <c r="I60" s="16">
        <f>IF('1. MASTER_ENTRY'!$C60="","",'1. MASTER_ENTRY'!$R60)</f>
        <v/>
      </c>
      <c r="J60" s="16">
        <f>IF('1. MASTER_ENTRY'!$C60="","",'1. MASTER_ENTRY'!$T60)</f>
        <v/>
      </c>
    </row>
    <row r="61" ht="16" customHeight="1">
      <c r="A61" s="20">
        <f>IF('1. MASTER_ENTRY'!$C61="","",'1. MASTER_ENTRY'!$A61)</f>
        <v/>
      </c>
      <c r="B61" s="21">
        <f>IF('1. MASTER_ENTRY'!$C61="","",'1. MASTER_ENTRY'!$C61)</f>
        <v/>
      </c>
      <c r="C61" s="20">
        <f>IF('1. MASTER_ENTRY'!$C61="","",'1. MASTER_ENTRY'!$M61)</f>
        <v/>
      </c>
      <c r="D61" s="20">
        <f>IF('1. MASTER_ENTRY'!$C61="","",'1. MASTER_ENTRY'!$E61)</f>
        <v/>
      </c>
      <c r="E61" s="22">
        <f>IF('1. MASTER_ENTRY'!$C61="","",'1. MASTER_ENTRY'!$O61)</f>
        <v/>
      </c>
      <c r="F61" s="22">
        <f>IF('1. MASTER_ENTRY'!$C61="","",'1. MASTER_ENTRY'!$Q61)</f>
        <v/>
      </c>
      <c r="G61" s="20">
        <f>IF('1. MASTER_ENTRY'!$C61="","",'1. MASTER_ENTRY'!$P61)</f>
        <v/>
      </c>
      <c r="H61" s="23">
        <f>IF('1. MASTER_ENTRY'!$C61="","",'1. MASTER_ENTRY'!$S61)</f>
        <v/>
      </c>
      <c r="I61" s="20">
        <f>IF('1. MASTER_ENTRY'!$C61="","",'1. MASTER_ENTRY'!$R61)</f>
        <v/>
      </c>
      <c r="J61" s="20">
        <f>IF('1. MASTER_ENTRY'!$C61="","",'1. MASTER_ENTRY'!$T61)</f>
        <v/>
      </c>
    </row>
    <row r="62" ht="16" customHeight="1">
      <c r="A62" s="16">
        <f>IF('1. MASTER_ENTRY'!$C62="","",'1. MASTER_ENTRY'!$A62)</f>
        <v/>
      </c>
      <c r="B62" s="17">
        <f>IF('1. MASTER_ENTRY'!$C62="","",'1. MASTER_ENTRY'!$C62)</f>
        <v/>
      </c>
      <c r="C62" s="16">
        <f>IF('1. MASTER_ENTRY'!$C62="","",'1. MASTER_ENTRY'!$M62)</f>
        <v/>
      </c>
      <c r="D62" s="16">
        <f>IF('1. MASTER_ENTRY'!$C62="","",'1. MASTER_ENTRY'!$E62)</f>
        <v/>
      </c>
      <c r="E62" s="18">
        <f>IF('1. MASTER_ENTRY'!$C62="","",'1. MASTER_ENTRY'!$O62)</f>
        <v/>
      </c>
      <c r="F62" s="18">
        <f>IF('1. MASTER_ENTRY'!$C62="","",'1. MASTER_ENTRY'!$Q62)</f>
        <v/>
      </c>
      <c r="G62" s="16">
        <f>IF('1. MASTER_ENTRY'!$C62="","",'1. MASTER_ENTRY'!$P62)</f>
        <v/>
      </c>
      <c r="H62" s="19">
        <f>IF('1. MASTER_ENTRY'!$C62="","",'1. MASTER_ENTRY'!$S62)</f>
        <v/>
      </c>
      <c r="I62" s="16">
        <f>IF('1. MASTER_ENTRY'!$C62="","",'1. MASTER_ENTRY'!$R62)</f>
        <v/>
      </c>
      <c r="J62" s="16">
        <f>IF('1. MASTER_ENTRY'!$C62="","",'1. MASTER_ENTRY'!$T62)</f>
        <v/>
      </c>
    </row>
    <row r="63" ht="16" customHeight="1">
      <c r="A63" s="20">
        <f>IF('1. MASTER_ENTRY'!$C63="","",'1. MASTER_ENTRY'!$A63)</f>
        <v/>
      </c>
      <c r="B63" s="21">
        <f>IF('1. MASTER_ENTRY'!$C63="","",'1. MASTER_ENTRY'!$C63)</f>
        <v/>
      </c>
      <c r="C63" s="20">
        <f>IF('1. MASTER_ENTRY'!$C63="","",'1. MASTER_ENTRY'!$M63)</f>
        <v/>
      </c>
      <c r="D63" s="20">
        <f>IF('1. MASTER_ENTRY'!$C63="","",'1. MASTER_ENTRY'!$E63)</f>
        <v/>
      </c>
      <c r="E63" s="22">
        <f>IF('1. MASTER_ENTRY'!$C63="","",'1. MASTER_ENTRY'!$O63)</f>
        <v/>
      </c>
      <c r="F63" s="22">
        <f>IF('1. MASTER_ENTRY'!$C63="","",'1. MASTER_ENTRY'!$Q63)</f>
        <v/>
      </c>
      <c r="G63" s="20">
        <f>IF('1. MASTER_ENTRY'!$C63="","",'1. MASTER_ENTRY'!$P63)</f>
        <v/>
      </c>
      <c r="H63" s="23">
        <f>IF('1. MASTER_ENTRY'!$C63="","",'1. MASTER_ENTRY'!$S63)</f>
        <v/>
      </c>
      <c r="I63" s="20">
        <f>IF('1. MASTER_ENTRY'!$C63="","",'1. MASTER_ENTRY'!$R63)</f>
        <v/>
      </c>
      <c r="J63" s="20">
        <f>IF('1. MASTER_ENTRY'!$C63="","",'1. MASTER_ENTRY'!$T63)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7" customWidth="1" min="3" max="3"/>
    <col width="6" customWidth="1" min="4" max="4"/>
    <col width="6" customWidth="1" min="5" max="5"/>
    <col width="6" customWidth="1" min="6" max="6"/>
    <col width="8" customWidth="1" min="7" max="7"/>
    <col width="12" customWidth="1" min="8" max="8"/>
    <col width="24" customWidth="1" min="9" max="9"/>
    <col width="14" customWidth="1" min="10" max="10"/>
    <col width="13" customWidth="1" min="11" max="11"/>
  </cols>
  <sheetData>
    <row r="1" ht="34" customHeight="1">
      <c r="A1" s="24" t="inlineStr">
        <is>
          <t xml:space="preserve">  RISK REGISTER  -  every case scored (RPN = Sev x Occ x Det)</t>
        </is>
      </c>
    </row>
    <row r="2" ht="20" customHeight="1">
      <c r="A2" s="2" t="inlineStr">
        <is>
          <t xml:space="preserve">  Read-only. RPN band drives escalation. Mitigation method &amp; owner come from the case.</t>
        </is>
      </c>
    </row>
    <row r="3" ht="30" customHeight="1">
      <c r="A3" s="25" t="inlineStr">
        <is>
          <t>RISK ID</t>
        </is>
      </c>
      <c r="B3" s="25" t="inlineStr">
        <is>
          <t>RISK / EXPOSURE</t>
        </is>
      </c>
      <c r="C3" s="25" t="inlineStr">
        <is>
          <t>CATEGORY</t>
        </is>
      </c>
      <c r="D3" s="25" t="inlineStr">
        <is>
          <t>SEV</t>
        </is>
      </c>
      <c r="E3" s="25" t="inlineStr">
        <is>
          <t>OCC</t>
        </is>
      </c>
      <c r="F3" s="25" t="inlineStr">
        <is>
          <t>DET</t>
        </is>
      </c>
      <c r="G3" s="25" t="inlineStr">
        <is>
          <t>RPN</t>
        </is>
      </c>
      <c r="H3" s="25" t="inlineStr">
        <is>
          <t>RPN BAND</t>
        </is>
      </c>
      <c r="I3" s="25" t="inlineStr">
        <is>
          <t>MITIGATION METHOD</t>
        </is>
      </c>
      <c r="J3" s="25" t="inlineStr">
        <is>
          <t>OWNER</t>
        </is>
      </c>
      <c r="K3" s="25" t="inlineStr">
        <is>
          <t>STATUS</t>
        </is>
      </c>
    </row>
    <row r="4" ht="16" customHeight="1">
      <c r="A4" s="16">
        <f>IF('1. MASTER_ENTRY'!$C4="","",SUBSTITUTE('1. MASTER_ENTRY'!$A4,"CASE","RISK"))</f>
        <v/>
      </c>
      <c r="B4" s="17">
        <f>IF('1. MASTER_ENTRY'!$C4="","",'1. MASTER_ENTRY'!$C4)</f>
        <v/>
      </c>
      <c r="C4" s="16">
        <f>IF('1. MASTER_ENTRY'!$C4="","",'1. MASTER_ENTRY'!$D4)</f>
        <v/>
      </c>
      <c r="D4" s="16">
        <f>IF('1. MASTER_ENTRY'!$C4="","",'1. MASTER_ENTRY'!$F4)</f>
        <v/>
      </c>
      <c r="E4" s="16">
        <f>IF('1. MASTER_ENTRY'!$C4="","",'1. MASTER_ENTRY'!$G4)</f>
        <v/>
      </c>
      <c r="F4" s="16">
        <f>IF('1. MASTER_ENTRY'!$C4="","",'1. MASTER_ENTRY'!$H4)</f>
        <v/>
      </c>
      <c r="G4" s="16">
        <f>IF('1. MASTER_ENTRY'!$C4="","",'1. MASTER_ENTRY'!$I4)</f>
        <v/>
      </c>
      <c r="H4" s="16">
        <f>IF('1. MASTER_ENTRY'!$C4="","",'1. MASTER_ENTRY'!$J4)</f>
        <v/>
      </c>
      <c r="I4" s="16">
        <f>IF('1. MASTER_ENTRY'!$C4="","",'1. MASTER_ENTRY'!$L4)</f>
        <v/>
      </c>
      <c r="J4" s="16">
        <f>IF('1. MASTER_ENTRY'!$C4="","",'1. MASTER_ENTRY'!$M4)</f>
        <v/>
      </c>
      <c r="K4" s="16">
        <f>IF('1. MASTER_ENTRY'!$C4="","",'1. MASTER_ENTRY'!$R4)</f>
        <v/>
      </c>
    </row>
    <row r="5" ht="16" customHeight="1">
      <c r="A5" s="20">
        <f>IF('1. MASTER_ENTRY'!$C5="","",SUBSTITUTE('1. MASTER_ENTRY'!$A5,"CASE","RISK"))</f>
        <v/>
      </c>
      <c r="B5" s="21">
        <f>IF('1. MASTER_ENTRY'!$C5="","",'1. MASTER_ENTRY'!$C5)</f>
        <v/>
      </c>
      <c r="C5" s="20">
        <f>IF('1. MASTER_ENTRY'!$C5="","",'1. MASTER_ENTRY'!$D5)</f>
        <v/>
      </c>
      <c r="D5" s="20">
        <f>IF('1. MASTER_ENTRY'!$C5="","",'1. MASTER_ENTRY'!$F5)</f>
        <v/>
      </c>
      <c r="E5" s="20">
        <f>IF('1. MASTER_ENTRY'!$C5="","",'1. MASTER_ENTRY'!$G5)</f>
        <v/>
      </c>
      <c r="F5" s="20">
        <f>IF('1. MASTER_ENTRY'!$C5="","",'1. MASTER_ENTRY'!$H5)</f>
        <v/>
      </c>
      <c r="G5" s="20">
        <f>IF('1. MASTER_ENTRY'!$C5="","",'1. MASTER_ENTRY'!$I5)</f>
        <v/>
      </c>
      <c r="H5" s="20">
        <f>IF('1. MASTER_ENTRY'!$C5="","",'1. MASTER_ENTRY'!$J5)</f>
        <v/>
      </c>
      <c r="I5" s="20">
        <f>IF('1. MASTER_ENTRY'!$C5="","",'1. MASTER_ENTRY'!$L5)</f>
        <v/>
      </c>
      <c r="J5" s="20">
        <f>IF('1. MASTER_ENTRY'!$C5="","",'1. MASTER_ENTRY'!$M5)</f>
        <v/>
      </c>
      <c r="K5" s="20">
        <f>IF('1. MASTER_ENTRY'!$C5="","",'1. MASTER_ENTRY'!$R5)</f>
        <v/>
      </c>
    </row>
    <row r="6" ht="16" customHeight="1">
      <c r="A6" s="16">
        <f>IF('1. MASTER_ENTRY'!$C6="","",SUBSTITUTE('1. MASTER_ENTRY'!$A6,"CASE","RISK"))</f>
        <v/>
      </c>
      <c r="B6" s="17">
        <f>IF('1. MASTER_ENTRY'!$C6="","",'1. MASTER_ENTRY'!$C6)</f>
        <v/>
      </c>
      <c r="C6" s="16">
        <f>IF('1. MASTER_ENTRY'!$C6="","",'1. MASTER_ENTRY'!$D6)</f>
        <v/>
      </c>
      <c r="D6" s="16">
        <f>IF('1. MASTER_ENTRY'!$C6="","",'1. MASTER_ENTRY'!$F6)</f>
        <v/>
      </c>
      <c r="E6" s="16">
        <f>IF('1. MASTER_ENTRY'!$C6="","",'1. MASTER_ENTRY'!$G6)</f>
        <v/>
      </c>
      <c r="F6" s="16">
        <f>IF('1. MASTER_ENTRY'!$C6="","",'1. MASTER_ENTRY'!$H6)</f>
        <v/>
      </c>
      <c r="G6" s="16">
        <f>IF('1. MASTER_ENTRY'!$C6="","",'1. MASTER_ENTRY'!$I6)</f>
        <v/>
      </c>
      <c r="H6" s="16">
        <f>IF('1. MASTER_ENTRY'!$C6="","",'1. MASTER_ENTRY'!$J6)</f>
        <v/>
      </c>
      <c r="I6" s="16">
        <f>IF('1. MASTER_ENTRY'!$C6="","",'1. MASTER_ENTRY'!$L6)</f>
        <v/>
      </c>
      <c r="J6" s="16">
        <f>IF('1. MASTER_ENTRY'!$C6="","",'1. MASTER_ENTRY'!$M6)</f>
        <v/>
      </c>
      <c r="K6" s="16">
        <f>IF('1. MASTER_ENTRY'!$C6="","",'1. MASTER_ENTRY'!$R6)</f>
        <v/>
      </c>
    </row>
    <row r="7" ht="16" customHeight="1">
      <c r="A7" s="20">
        <f>IF('1. MASTER_ENTRY'!$C7="","",SUBSTITUTE('1. MASTER_ENTRY'!$A7,"CASE","RISK"))</f>
        <v/>
      </c>
      <c r="B7" s="21">
        <f>IF('1. MASTER_ENTRY'!$C7="","",'1. MASTER_ENTRY'!$C7)</f>
        <v/>
      </c>
      <c r="C7" s="20">
        <f>IF('1. MASTER_ENTRY'!$C7="","",'1. MASTER_ENTRY'!$D7)</f>
        <v/>
      </c>
      <c r="D7" s="20">
        <f>IF('1. MASTER_ENTRY'!$C7="","",'1. MASTER_ENTRY'!$F7)</f>
        <v/>
      </c>
      <c r="E7" s="20">
        <f>IF('1. MASTER_ENTRY'!$C7="","",'1. MASTER_ENTRY'!$G7)</f>
        <v/>
      </c>
      <c r="F7" s="20">
        <f>IF('1. MASTER_ENTRY'!$C7="","",'1. MASTER_ENTRY'!$H7)</f>
        <v/>
      </c>
      <c r="G7" s="20">
        <f>IF('1. MASTER_ENTRY'!$C7="","",'1. MASTER_ENTRY'!$I7)</f>
        <v/>
      </c>
      <c r="H7" s="20">
        <f>IF('1. MASTER_ENTRY'!$C7="","",'1. MASTER_ENTRY'!$J7)</f>
        <v/>
      </c>
      <c r="I7" s="20">
        <f>IF('1. MASTER_ENTRY'!$C7="","",'1. MASTER_ENTRY'!$L7)</f>
        <v/>
      </c>
      <c r="J7" s="20">
        <f>IF('1. MASTER_ENTRY'!$C7="","",'1. MASTER_ENTRY'!$M7)</f>
        <v/>
      </c>
      <c r="K7" s="20">
        <f>IF('1. MASTER_ENTRY'!$C7="","",'1. MASTER_ENTRY'!$R7)</f>
        <v/>
      </c>
    </row>
    <row r="8" ht="16" customHeight="1">
      <c r="A8" s="16">
        <f>IF('1. MASTER_ENTRY'!$C8="","",SUBSTITUTE('1. MASTER_ENTRY'!$A8,"CASE","RISK"))</f>
        <v/>
      </c>
      <c r="B8" s="17">
        <f>IF('1. MASTER_ENTRY'!$C8="","",'1. MASTER_ENTRY'!$C8)</f>
        <v/>
      </c>
      <c r="C8" s="16">
        <f>IF('1. MASTER_ENTRY'!$C8="","",'1. MASTER_ENTRY'!$D8)</f>
        <v/>
      </c>
      <c r="D8" s="16">
        <f>IF('1. MASTER_ENTRY'!$C8="","",'1. MASTER_ENTRY'!$F8)</f>
        <v/>
      </c>
      <c r="E8" s="16">
        <f>IF('1. MASTER_ENTRY'!$C8="","",'1. MASTER_ENTRY'!$G8)</f>
        <v/>
      </c>
      <c r="F8" s="16">
        <f>IF('1. MASTER_ENTRY'!$C8="","",'1. MASTER_ENTRY'!$H8)</f>
        <v/>
      </c>
      <c r="G8" s="16">
        <f>IF('1. MASTER_ENTRY'!$C8="","",'1. MASTER_ENTRY'!$I8)</f>
        <v/>
      </c>
      <c r="H8" s="16">
        <f>IF('1. MASTER_ENTRY'!$C8="","",'1. MASTER_ENTRY'!$J8)</f>
        <v/>
      </c>
      <c r="I8" s="16">
        <f>IF('1. MASTER_ENTRY'!$C8="","",'1. MASTER_ENTRY'!$L8)</f>
        <v/>
      </c>
      <c r="J8" s="16">
        <f>IF('1. MASTER_ENTRY'!$C8="","",'1. MASTER_ENTRY'!$M8)</f>
        <v/>
      </c>
      <c r="K8" s="16">
        <f>IF('1. MASTER_ENTRY'!$C8="","",'1. MASTER_ENTRY'!$R8)</f>
        <v/>
      </c>
    </row>
    <row r="9" ht="16" customHeight="1">
      <c r="A9" s="20">
        <f>IF('1. MASTER_ENTRY'!$C9="","",SUBSTITUTE('1. MASTER_ENTRY'!$A9,"CASE","RISK"))</f>
        <v/>
      </c>
      <c r="B9" s="21">
        <f>IF('1. MASTER_ENTRY'!$C9="","",'1. MASTER_ENTRY'!$C9)</f>
        <v/>
      </c>
      <c r="C9" s="20">
        <f>IF('1. MASTER_ENTRY'!$C9="","",'1. MASTER_ENTRY'!$D9)</f>
        <v/>
      </c>
      <c r="D9" s="20">
        <f>IF('1. MASTER_ENTRY'!$C9="","",'1. MASTER_ENTRY'!$F9)</f>
        <v/>
      </c>
      <c r="E9" s="20">
        <f>IF('1. MASTER_ENTRY'!$C9="","",'1. MASTER_ENTRY'!$G9)</f>
        <v/>
      </c>
      <c r="F9" s="20">
        <f>IF('1. MASTER_ENTRY'!$C9="","",'1. MASTER_ENTRY'!$H9)</f>
        <v/>
      </c>
      <c r="G9" s="20">
        <f>IF('1. MASTER_ENTRY'!$C9="","",'1. MASTER_ENTRY'!$I9)</f>
        <v/>
      </c>
      <c r="H9" s="20">
        <f>IF('1. MASTER_ENTRY'!$C9="","",'1. MASTER_ENTRY'!$J9)</f>
        <v/>
      </c>
      <c r="I9" s="20">
        <f>IF('1. MASTER_ENTRY'!$C9="","",'1. MASTER_ENTRY'!$L9)</f>
        <v/>
      </c>
      <c r="J9" s="20">
        <f>IF('1. MASTER_ENTRY'!$C9="","",'1. MASTER_ENTRY'!$M9)</f>
        <v/>
      </c>
      <c r="K9" s="20">
        <f>IF('1. MASTER_ENTRY'!$C9="","",'1. MASTER_ENTRY'!$R9)</f>
        <v/>
      </c>
    </row>
    <row r="10" ht="16" customHeight="1">
      <c r="A10" s="16">
        <f>IF('1. MASTER_ENTRY'!$C10="","",SUBSTITUTE('1. MASTER_ENTRY'!$A10,"CASE","RISK"))</f>
        <v/>
      </c>
      <c r="B10" s="17">
        <f>IF('1. MASTER_ENTRY'!$C10="","",'1. MASTER_ENTRY'!$C10)</f>
        <v/>
      </c>
      <c r="C10" s="16">
        <f>IF('1. MASTER_ENTRY'!$C10="","",'1. MASTER_ENTRY'!$D10)</f>
        <v/>
      </c>
      <c r="D10" s="16">
        <f>IF('1. MASTER_ENTRY'!$C10="","",'1. MASTER_ENTRY'!$F10)</f>
        <v/>
      </c>
      <c r="E10" s="16">
        <f>IF('1. MASTER_ENTRY'!$C10="","",'1. MASTER_ENTRY'!$G10)</f>
        <v/>
      </c>
      <c r="F10" s="16">
        <f>IF('1. MASTER_ENTRY'!$C10="","",'1. MASTER_ENTRY'!$H10)</f>
        <v/>
      </c>
      <c r="G10" s="16">
        <f>IF('1. MASTER_ENTRY'!$C10="","",'1. MASTER_ENTRY'!$I10)</f>
        <v/>
      </c>
      <c r="H10" s="16">
        <f>IF('1. MASTER_ENTRY'!$C10="","",'1. MASTER_ENTRY'!$J10)</f>
        <v/>
      </c>
      <c r="I10" s="16">
        <f>IF('1. MASTER_ENTRY'!$C10="","",'1. MASTER_ENTRY'!$L10)</f>
        <v/>
      </c>
      <c r="J10" s="16">
        <f>IF('1. MASTER_ENTRY'!$C10="","",'1. MASTER_ENTRY'!$M10)</f>
        <v/>
      </c>
      <c r="K10" s="16">
        <f>IF('1. MASTER_ENTRY'!$C10="","",'1. MASTER_ENTRY'!$R10)</f>
        <v/>
      </c>
    </row>
    <row r="11" ht="16" customHeight="1">
      <c r="A11" s="20">
        <f>IF('1. MASTER_ENTRY'!$C11="","",SUBSTITUTE('1. MASTER_ENTRY'!$A11,"CASE","RISK"))</f>
        <v/>
      </c>
      <c r="B11" s="21">
        <f>IF('1. MASTER_ENTRY'!$C11="","",'1. MASTER_ENTRY'!$C11)</f>
        <v/>
      </c>
      <c r="C11" s="20">
        <f>IF('1. MASTER_ENTRY'!$C11="","",'1. MASTER_ENTRY'!$D11)</f>
        <v/>
      </c>
      <c r="D11" s="20">
        <f>IF('1. MASTER_ENTRY'!$C11="","",'1. MASTER_ENTRY'!$F11)</f>
        <v/>
      </c>
      <c r="E11" s="20">
        <f>IF('1. MASTER_ENTRY'!$C11="","",'1. MASTER_ENTRY'!$G11)</f>
        <v/>
      </c>
      <c r="F11" s="20">
        <f>IF('1. MASTER_ENTRY'!$C11="","",'1. MASTER_ENTRY'!$H11)</f>
        <v/>
      </c>
      <c r="G11" s="20">
        <f>IF('1. MASTER_ENTRY'!$C11="","",'1. MASTER_ENTRY'!$I11)</f>
        <v/>
      </c>
      <c r="H11" s="20">
        <f>IF('1. MASTER_ENTRY'!$C11="","",'1. MASTER_ENTRY'!$J11)</f>
        <v/>
      </c>
      <c r="I11" s="20">
        <f>IF('1. MASTER_ENTRY'!$C11="","",'1. MASTER_ENTRY'!$L11)</f>
        <v/>
      </c>
      <c r="J11" s="20">
        <f>IF('1. MASTER_ENTRY'!$C11="","",'1. MASTER_ENTRY'!$M11)</f>
        <v/>
      </c>
      <c r="K11" s="20">
        <f>IF('1. MASTER_ENTRY'!$C11="","",'1. MASTER_ENTRY'!$R11)</f>
        <v/>
      </c>
    </row>
    <row r="12" ht="16" customHeight="1">
      <c r="A12" s="16">
        <f>IF('1. MASTER_ENTRY'!$C12="","",SUBSTITUTE('1. MASTER_ENTRY'!$A12,"CASE","RISK"))</f>
        <v/>
      </c>
      <c r="B12" s="17">
        <f>IF('1. MASTER_ENTRY'!$C12="","",'1. MASTER_ENTRY'!$C12)</f>
        <v/>
      </c>
      <c r="C12" s="16">
        <f>IF('1. MASTER_ENTRY'!$C12="","",'1. MASTER_ENTRY'!$D12)</f>
        <v/>
      </c>
      <c r="D12" s="16">
        <f>IF('1. MASTER_ENTRY'!$C12="","",'1. MASTER_ENTRY'!$F12)</f>
        <v/>
      </c>
      <c r="E12" s="16">
        <f>IF('1. MASTER_ENTRY'!$C12="","",'1. MASTER_ENTRY'!$G12)</f>
        <v/>
      </c>
      <c r="F12" s="16">
        <f>IF('1. MASTER_ENTRY'!$C12="","",'1. MASTER_ENTRY'!$H12)</f>
        <v/>
      </c>
      <c r="G12" s="16">
        <f>IF('1. MASTER_ENTRY'!$C12="","",'1. MASTER_ENTRY'!$I12)</f>
        <v/>
      </c>
      <c r="H12" s="16">
        <f>IF('1. MASTER_ENTRY'!$C12="","",'1. MASTER_ENTRY'!$J12)</f>
        <v/>
      </c>
      <c r="I12" s="16">
        <f>IF('1. MASTER_ENTRY'!$C12="","",'1. MASTER_ENTRY'!$L12)</f>
        <v/>
      </c>
      <c r="J12" s="16">
        <f>IF('1. MASTER_ENTRY'!$C12="","",'1. MASTER_ENTRY'!$M12)</f>
        <v/>
      </c>
      <c r="K12" s="16">
        <f>IF('1. MASTER_ENTRY'!$C12="","",'1. MASTER_ENTRY'!$R12)</f>
        <v/>
      </c>
    </row>
    <row r="13" ht="16" customHeight="1">
      <c r="A13" s="20">
        <f>IF('1. MASTER_ENTRY'!$C13="","",SUBSTITUTE('1. MASTER_ENTRY'!$A13,"CASE","RISK"))</f>
        <v/>
      </c>
      <c r="B13" s="21">
        <f>IF('1. MASTER_ENTRY'!$C13="","",'1. MASTER_ENTRY'!$C13)</f>
        <v/>
      </c>
      <c r="C13" s="20">
        <f>IF('1. MASTER_ENTRY'!$C13="","",'1. MASTER_ENTRY'!$D13)</f>
        <v/>
      </c>
      <c r="D13" s="20">
        <f>IF('1. MASTER_ENTRY'!$C13="","",'1. MASTER_ENTRY'!$F13)</f>
        <v/>
      </c>
      <c r="E13" s="20">
        <f>IF('1. MASTER_ENTRY'!$C13="","",'1. MASTER_ENTRY'!$G13)</f>
        <v/>
      </c>
      <c r="F13" s="20">
        <f>IF('1. MASTER_ENTRY'!$C13="","",'1. MASTER_ENTRY'!$H13)</f>
        <v/>
      </c>
      <c r="G13" s="20">
        <f>IF('1. MASTER_ENTRY'!$C13="","",'1. MASTER_ENTRY'!$I13)</f>
        <v/>
      </c>
      <c r="H13" s="20">
        <f>IF('1. MASTER_ENTRY'!$C13="","",'1. MASTER_ENTRY'!$J13)</f>
        <v/>
      </c>
      <c r="I13" s="20">
        <f>IF('1. MASTER_ENTRY'!$C13="","",'1. MASTER_ENTRY'!$L13)</f>
        <v/>
      </c>
      <c r="J13" s="20">
        <f>IF('1. MASTER_ENTRY'!$C13="","",'1. MASTER_ENTRY'!$M13)</f>
        <v/>
      </c>
      <c r="K13" s="20">
        <f>IF('1. MASTER_ENTRY'!$C13="","",'1. MASTER_ENTRY'!$R13)</f>
        <v/>
      </c>
    </row>
    <row r="14" ht="16" customHeight="1">
      <c r="A14" s="16">
        <f>IF('1. MASTER_ENTRY'!$C14="","",SUBSTITUTE('1. MASTER_ENTRY'!$A14,"CASE","RISK"))</f>
        <v/>
      </c>
      <c r="B14" s="17">
        <f>IF('1. MASTER_ENTRY'!$C14="","",'1. MASTER_ENTRY'!$C14)</f>
        <v/>
      </c>
      <c r="C14" s="16">
        <f>IF('1. MASTER_ENTRY'!$C14="","",'1. MASTER_ENTRY'!$D14)</f>
        <v/>
      </c>
      <c r="D14" s="16">
        <f>IF('1. MASTER_ENTRY'!$C14="","",'1. MASTER_ENTRY'!$F14)</f>
        <v/>
      </c>
      <c r="E14" s="16">
        <f>IF('1. MASTER_ENTRY'!$C14="","",'1. MASTER_ENTRY'!$G14)</f>
        <v/>
      </c>
      <c r="F14" s="16">
        <f>IF('1. MASTER_ENTRY'!$C14="","",'1. MASTER_ENTRY'!$H14)</f>
        <v/>
      </c>
      <c r="G14" s="16">
        <f>IF('1. MASTER_ENTRY'!$C14="","",'1. MASTER_ENTRY'!$I14)</f>
        <v/>
      </c>
      <c r="H14" s="16">
        <f>IF('1. MASTER_ENTRY'!$C14="","",'1. MASTER_ENTRY'!$J14)</f>
        <v/>
      </c>
      <c r="I14" s="16">
        <f>IF('1. MASTER_ENTRY'!$C14="","",'1. MASTER_ENTRY'!$L14)</f>
        <v/>
      </c>
      <c r="J14" s="16">
        <f>IF('1. MASTER_ENTRY'!$C14="","",'1. MASTER_ENTRY'!$M14)</f>
        <v/>
      </c>
      <c r="K14" s="16">
        <f>IF('1. MASTER_ENTRY'!$C14="","",'1. MASTER_ENTRY'!$R14)</f>
        <v/>
      </c>
    </row>
    <row r="15" ht="16" customHeight="1">
      <c r="A15" s="20">
        <f>IF('1. MASTER_ENTRY'!$C15="","",SUBSTITUTE('1. MASTER_ENTRY'!$A15,"CASE","RISK"))</f>
        <v/>
      </c>
      <c r="B15" s="21">
        <f>IF('1. MASTER_ENTRY'!$C15="","",'1. MASTER_ENTRY'!$C15)</f>
        <v/>
      </c>
      <c r="C15" s="20">
        <f>IF('1. MASTER_ENTRY'!$C15="","",'1. MASTER_ENTRY'!$D15)</f>
        <v/>
      </c>
      <c r="D15" s="20">
        <f>IF('1. MASTER_ENTRY'!$C15="","",'1. MASTER_ENTRY'!$F15)</f>
        <v/>
      </c>
      <c r="E15" s="20">
        <f>IF('1. MASTER_ENTRY'!$C15="","",'1. MASTER_ENTRY'!$G15)</f>
        <v/>
      </c>
      <c r="F15" s="20">
        <f>IF('1. MASTER_ENTRY'!$C15="","",'1. MASTER_ENTRY'!$H15)</f>
        <v/>
      </c>
      <c r="G15" s="20">
        <f>IF('1. MASTER_ENTRY'!$C15="","",'1. MASTER_ENTRY'!$I15)</f>
        <v/>
      </c>
      <c r="H15" s="20">
        <f>IF('1. MASTER_ENTRY'!$C15="","",'1. MASTER_ENTRY'!$J15)</f>
        <v/>
      </c>
      <c r="I15" s="20">
        <f>IF('1. MASTER_ENTRY'!$C15="","",'1. MASTER_ENTRY'!$L15)</f>
        <v/>
      </c>
      <c r="J15" s="20">
        <f>IF('1. MASTER_ENTRY'!$C15="","",'1. MASTER_ENTRY'!$M15)</f>
        <v/>
      </c>
      <c r="K15" s="20">
        <f>IF('1. MASTER_ENTRY'!$C15="","",'1. MASTER_ENTRY'!$R15)</f>
        <v/>
      </c>
    </row>
    <row r="16" ht="16" customHeight="1">
      <c r="A16" s="16">
        <f>IF('1. MASTER_ENTRY'!$C16="","",SUBSTITUTE('1. MASTER_ENTRY'!$A16,"CASE","RISK"))</f>
        <v/>
      </c>
      <c r="B16" s="17">
        <f>IF('1. MASTER_ENTRY'!$C16="","",'1. MASTER_ENTRY'!$C16)</f>
        <v/>
      </c>
      <c r="C16" s="16">
        <f>IF('1. MASTER_ENTRY'!$C16="","",'1. MASTER_ENTRY'!$D16)</f>
        <v/>
      </c>
      <c r="D16" s="16">
        <f>IF('1. MASTER_ENTRY'!$C16="","",'1. MASTER_ENTRY'!$F16)</f>
        <v/>
      </c>
      <c r="E16" s="16">
        <f>IF('1. MASTER_ENTRY'!$C16="","",'1. MASTER_ENTRY'!$G16)</f>
        <v/>
      </c>
      <c r="F16" s="16">
        <f>IF('1. MASTER_ENTRY'!$C16="","",'1. MASTER_ENTRY'!$H16)</f>
        <v/>
      </c>
      <c r="G16" s="16">
        <f>IF('1. MASTER_ENTRY'!$C16="","",'1. MASTER_ENTRY'!$I16)</f>
        <v/>
      </c>
      <c r="H16" s="16">
        <f>IF('1. MASTER_ENTRY'!$C16="","",'1. MASTER_ENTRY'!$J16)</f>
        <v/>
      </c>
      <c r="I16" s="16">
        <f>IF('1. MASTER_ENTRY'!$C16="","",'1. MASTER_ENTRY'!$L16)</f>
        <v/>
      </c>
      <c r="J16" s="16">
        <f>IF('1. MASTER_ENTRY'!$C16="","",'1. MASTER_ENTRY'!$M16)</f>
        <v/>
      </c>
      <c r="K16" s="16">
        <f>IF('1. MASTER_ENTRY'!$C16="","",'1. MASTER_ENTRY'!$R16)</f>
        <v/>
      </c>
    </row>
    <row r="17" ht="16" customHeight="1">
      <c r="A17" s="20">
        <f>IF('1. MASTER_ENTRY'!$C17="","",SUBSTITUTE('1. MASTER_ENTRY'!$A17,"CASE","RISK"))</f>
        <v/>
      </c>
      <c r="B17" s="21">
        <f>IF('1. MASTER_ENTRY'!$C17="","",'1. MASTER_ENTRY'!$C17)</f>
        <v/>
      </c>
      <c r="C17" s="20">
        <f>IF('1. MASTER_ENTRY'!$C17="","",'1. MASTER_ENTRY'!$D17)</f>
        <v/>
      </c>
      <c r="D17" s="20">
        <f>IF('1. MASTER_ENTRY'!$C17="","",'1. MASTER_ENTRY'!$F17)</f>
        <v/>
      </c>
      <c r="E17" s="20">
        <f>IF('1. MASTER_ENTRY'!$C17="","",'1. MASTER_ENTRY'!$G17)</f>
        <v/>
      </c>
      <c r="F17" s="20">
        <f>IF('1. MASTER_ENTRY'!$C17="","",'1. MASTER_ENTRY'!$H17)</f>
        <v/>
      </c>
      <c r="G17" s="20">
        <f>IF('1. MASTER_ENTRY'!$C17="","",'1. MASTER_ENTRY'!$I17)</f>
        <v/>
      </c>
      <c r="H17" s="20">
        <f>IF('1. MASTER_ENTRY'!$C17="","",'1. MASTER_ENTRY'!$J17)</f>
        <v/>
      </c>
      <c r="I17" s="20">
        <f>IF('1. MASTER_ENTRY'!$C17="","",'1. MASTER_ENTRY'!$L17)</f>
        <v/>
      </c>
      <c r="J17" s="20">
        <f>IF('1. MASTER_ENTRY'!$C17="","",'1. MASTER_ENTRY'!$M17)</f>
        <v/>
      </c>
      <c r="K17" s="20">
        <f>IF('1. MASTER_ENTRY'!$C17="","",'1. MASTER_ENTRY'!$R17)</f>
        <v/>
      </c>
    </row>
    <row r="18" ht="16" customHeight="1">
      <c r="A18" s="16">
        <f>IF('1. MASTER_ENTRY'!$C18="","",SUBSTITUTE('1. MASTER_ENTRY'!$A18,"CASE","RISK"))</f>
        <v/>
      </c>
      <c r="B18" s="17">
        <f>IF('1. MASTER_ENTRY'!$C18="","",'1. MASTER_ENTRY'!$C18)</f>
        <v/>
      </c>
      <c r="C18" s="16">
        <f>IF('1. MASTER_ENTRY'!$C18="","",'1. MASTER_ENTRY'!$D18)</f>
        <v/>
      </c>
      <c r="D18" s="16">
        <f>IF('1. MASTER_ENTRY'!$C18="","",'1. MASTER_ENTRY'!$F18)</f>
        <v/>
      </c>
      <c r="E18" s="16">
        <f>IF('1. MASTER_ENTRY'!$C18="","",'1. MASTER_ENTRY'!$G18)</f>
        <v/>
      </c>
      <c r="F18" s="16">
        <f>IF('1. MASTER_ENTRY'!$C18="","",'1. MASTER_ENTRY'!$H18)</f>
        <v/>
      </c>
      <c r="G18" s="16">
        <f>IF('1. MASTER_ENTRY'!$C18="","",'1. MASTER_ENTRY'!$I18)</f>
        <v/>
      </c>
      <c r="H18" s="16">
        <f>IF('1. MASTER_ENTRY'!$C18="","",'1. MASTER_ENTRY'!$J18)</f>
        <v/>
      </c>
      <c r="I18" s="16">
        <f>IF('1. MASTER_ENTRY'!$C18="","",'1. MASTER_ENTRY'!$L18)</f>
        <v/>
      </c>
      <c r="J18" s="16">
        <f>IF('1. MASTER_ENTRY'!$C18="","",'1. MASTER_ENTRY'!$M18)</f>
        <v/>
      </c>
      <c r="K18" s="16">
        <f>IF('1. MASTER_ENTRY'!$C18="","",'1. MASTER_ENTRY'!$R18)</f>
        <v/>
      </c>
    </row>
    <row r="19" ht="16" customHeight="1">
      <c r="A19" s="20">
        <f>IF('1. MASTER_ENTRY'!$C19="","",SUBSTITUTE('1. MASTER_ENTRY'!$A19,"CASE","RISK"))</f>
        <v/>
      </c>
      <c r="B19" s="21">
        <f>IF('1. MASTER_ENTRY'!$C19="","",'1. MASTER_ENTRY'!$C19)</f>
        <v/>
      </c>
      <c r="C19" s="20">
        <f>IF('1. MASTER_ENTRY'!$C19="","",'1. MASTER_ENTRY'!$D19)</f>
        <v/>
      </c>
      <c r="D19" s="20">
        <f>IF('1. MASTER_ENTRY'!$C19="","",'1. MASTER_ENTRY'!$F19)</f>
        <v/>
      </c>
      <c r="E19" s="20">
        <f>IF('1. MASTER_ENTRY'!$C19="","",'1. MASTER_ENTRY'!$G19)</f>
        <v/>
      </c>
      <c r="F19" s="20">
        <f>IF('1. MASTER_ENTRY'!$C19="","",'1. MASTER_ENTRY'!$H19)</f>
        <v/>
      </c>
      <c r="G19" s="20">
        <f>IF('1. MASTER_ENTRY'!$C19="","",'1. MASTER_ENTRY'!$I19)</f>
        <v/>
      </c>
      <c r="H19" s="20">
        <f>IF('1. MASTER_ENTRY'!$C19="","",'1. MASTER_ENTRY'!$J19)</f>
        <v/>
      </c>
      <c r="I19" s="20">
        <f>IF('1. MASTER_ENTRY'!$C19="","",'1. MASTER_ENTRY'!$L19)</f>
        <v/>
      </c>
      <c r="J19" s="20">
        <f>IF('1. MASTER_ENTRY'!$C19="","",'1. MASTER_ENTRY'!$M19)</f>
        <v/>
      </c>
      <c r="K19" s="20">
        <f>IF('1. MASTER_ENTRY'!$C19="","",'1. MASTER_ENTRY'!$R19)</f>
        <v/>
      </c>
    </row>
    <row r="20" ht="16" customHeight="1">
      <c r="A20" s="16">
        <f>IF('1. MASTER_ENTRY'!$C20="","",SUBSTITUTE('1. MASTER_ENTRY'!$A20,"CASE","RISK"))</f>
        <v/>
      </c>
      <c r="B20" s="17">
        <f>IF('1. MASTER_ENTRY'!$C20="","",'1. MASTER_ENTRY'!$C20)</f>
        <v/>
      </c>
      <c r="C20" s="16">
        <f>IF('1. MASTER_ENTRY'!$C20="","",'1. MASTER_ENTRY'!$D20)</f>
        <v/>
      </c>
      <c r="D20" s="16">
        <f>IF('1. MASTER_ENTRY'!$C20="","",'1. MASTER_ENTRY'!$F20)</f>
        <v/>
      </c>
      <c r="E20" s="16">
        <f>IF('1. MASTER_ENTRY'!$C20="","",'1. MASTER_ENTRY'!$G20)</f>
        <v/>
      </c>
      <c r="F20" s="16">
        <f>IF('1. MASTER_ENTRY'!$C20="","",'1. MASTER_ENTRY'!$H20)</f>
        <v/>
      </c>
      <c r="G20" s="16">
        <f>IF('1. MASTER_ENTRY'!$C20="","",'1. MASTER_ENTRY'!$I20)</f>
        <v/>
      </c>
      <c r="H20" s="16">
        <f>IF('1. MASTER_ENTRY'!$C20="","",'1. MASTER_ENTRY'!$J20)</f>
        <v/>
      </c>
      <c r="I20" s="16">
        <f>IF('1. MASTER_ENTRY'!$C20="","",'1. MASTER_ENTRY'!$L20)</f>
        <v/>
      </c>
      <c r="J20" s="16">
        <f>IF('1. MASTER_ENTRY'!$C20="","",'1. MASTER_ENTRY'!$M20)</f>
        <v/>
      </c>
      <c r="K20" s="16">
        <f>IF('1. MASTER_ENTRY'!$C20="","",'1. MASTER_ENTRY'!$R20)</f>
        <v/>
      </c>
    </row>
    <row r="21" ht="16" customHeight="1">
      <c r="A21" s="20">
        <f>IF('1. MASTER_ENTRY'!$C21="","",SUBSTITUTE('1. MASTER_ENTRY'!$A21,"CASE","RISK"))</f>
        <v/>
      </c>
      <c r="B21" s="21">
        <f>IF('1. MASTER_ENTRY'!$C21="","",'1. MASTER_ENTRY'!$C21)</f>
        <v/>
      </c>
      <c r="C21" s="20">
        <f>IF('1. MASTER_ENTRY'!$C21="","",'1. MASTER_ENTRY'!$D21)</f>
        <v/>
      </c>
      <c r="D21" s="20">
        <f>IF('1. MASTER_ENTRY'!$C21="","",'1. MASTER_ENTRY'!$F21)</f>
        <v/>
      </c>
      <c r="E21" s="20">
        <f>IF('1. MASTER_ENTRY'!$C21="","",'1. MASTER_ENTRY'!$G21)</f>
        <v/>
      </c>
      <c r="F21" s="20">
        <f>IF('1. MASTER_ENTRY'!$C21="","",'1. MASTER_ENTRY'!$H21)</f>
        <v/>
      </c>
      <c r="G21" s="20">
        <f>IF('1. MASTER_ENTRY'!$C21="","",'1. MASTER_ENTRY'!$I21)</f>
        <v/>
      </c>
      <c r="H21" s="20">
        <f>IF('1. MASTER_ENTRY'!$C21="","",'1. MASTER_ENTRY'!$J21)</f>
        <v/>
      </c>
      <c r="I21" s="20">
        <f>IF('1. MASTER_ENTRY'!$C21="","",'1. MASTER_ENTRY'!$L21)</f>
        <v/>
      </c>
      <c r="J21" s="20">
        <f>IF('1. MASTER_ENTRY'!$C21="","",'1. MASTER_ENTRY'!$M21)</f>
        <v/>
      </c>
      <c r="K21" s="20">
        <f>IF('1. MASTER_ENTRY'!$C21="","",'1. MASTER_ENTRY'!$R21)</f>
        <v/>
      </c>
    </row>
    <row r="22" ht="16" customHeight="1">
      <c r="A22" s="16">
        <f>IF('1. MASTER_ENTRY'!$C22="","",SUBSTITUTE('1. MASTER_ENTRY'!$A22,"CASE","RISK"))</f>
        <v/>
      </c>
      <c r="B22" s="17">
        <f>IF('1. MASTER_ENTRY'!$C22="","",'1. MASTER_ENTRY'!$C22)</f>
        <v/>
      </c>
      <c r="C22" s="16">
        <f>IF('1. MASTER_ENTRY'!$C22="","",'1. MASTER_ENTRY'!$D22)</f>
        <v/>
      </c>
      <c r="D22" s="16">
        <f>IF('1. MASTER_ENTRY'!$C22="","",'1. MASTER_ENTRY'!$F22)</f>
        <v/>
      </c>
      <c r="E22" s="16">
        <f>IF('1. MASTER_ENTRY'!$C22="","",'1. MASTER_ENTRY'!$G22)</f>
        <v/>
      </c>
      <c r="F22" s="16">
        <f>IF('1. MASTER_ENTRY'!$C22="","",'1. MASTER_ENTRY'!$H22)</f>
        <v/>
      </c>
      <c r="G22" s="16">
        <f>IF('1. MASTER_ENTRY'!$C22="","",'1. MASTER_ENTRY'!$I22)</f>
        <v/>
      </c>
      <c r="H22" s="16">
        <f>IF('1. MASTER_ENTRY'!$C22="","",'1. MASTER_ENTRY'!$J22)</f>
        <v/>
      </c>
      <c r="I22" s="16">
        <f>IF('1. MASTER_ENTRY'!$C22="","",'1. MASTER_ENTRY'!$L22)</f>
        <v/>
      </c>
      <c r="J22" s="16">
        <f>IF('1. MASTER_ENTRY'!$C22="","",'1. MASTER_ENTRY'!$M22)</f>
        <v/>
      </c>
      <c r="K22" s="16">
        <f>IF('1. MASTER_ENTRY'!$C22="","",'1. MASTER_ENTRY'!$R22)</f>
        <v/>
      </c>
    </row>
    <row r="23" ht="16" customHeight="1">
      <c r="A23" s="20">
        <f>IF('1. MASTER_ENTRY'!$C23="","",SUBSTITUTE('1. MASTER_ENTRY'!$A23,"CASE","RISK"))</f>
        <v/>
      </c>
      <c r="B23" s="21">
        <f>IF('1. MASTER_ENTRY'!$C23="","",'1. MASTER_ENTRY'!$C23)</f>
        <v/>
      </c>
      <c r="C23" s="20">
        <f>IF('1. MASTER_ENTRY'!$C23="","",'1. MASTER_ENTRY'!$D23)</f>
        <v/>
      </c>
      <c r="D23" s="20">
        <f>IF('1. MASTER_ENTRY'!$C23="","",'1. MASTER_ENTRY'!$F23)</f>
        <v/>
      </c>
      <c r="E23" s="20">
        <f>IF('1. MASTER_ENTRY'!$C23="","",'1. MASTER_ENTRY'!$G23)</f>
        <v/>
      </c>
      <c r="F23" s="20">
        <f>IF('1. MASTER_ENTRY'!$C23="","",'1. MASTER_ENTRY'!$H23)</f>
        <v/>
      </c>
      <c r="G23" s="20">
        <f>IF('1. MASTER_ENTRY'!$C23="","",'1. MASTER_ENTRY'!$I23)</f>
        <v/>
      </c>
      <c r="H23" s="20">
        <f>IF('1. MASTER_ENTRY'!$C23="","",'1. MASTER_ENTRY'!$J23)</f>
        <v/>
      </c>
      <c r="I23" s="20">
        <f>IF('1. MASTER_ENTRY'!$C23="","",'1. MASTER_ENTRY'!$L23)</f>
        <v/>
      </c>
      <c r="J23" s="20">
        <f>IF('1. MASTER_ENTRY'!$C23="","",'1. MASTER_ENTRY'!$M23)</f>
        <v/>
      </c>
      <c r="K23" s="20">
        <f>IF('1. MASTER_ENTRY'!$C23="","",'1. MASTER_ENTRY'!$R23)</f>
        <v/>
      </c>
    </row>
    <row r="24" ht="16" customHeight="1">
      <c r="A24" s="16">
        <f>IF('1. MASTER_ENTRY'!$C24="","",SUBSTITUTE('1. MASTER_ENTRY'!$A24,"CASE","RISK"))</f>
        <v/>
      </c>
      <c r="B24" s="17">
        <f>IF('1. MASTER_ENTRY'!$C24="","",'1. MASTER_ENTRY'!$C24)</f>
        <v/>
      </c>
      <c r="C24" s="16">
        <f>IF('1. MASTER_ENTRY'!$C24="","",'1. MASTER_ENTRY'!$D24)</f>
        <v/>
      </c>
      <c r="D24" s="16">
        <f>IF('1. MASTER_ENTRY'!$C24="","",'1. MASTER_ENTRY'!$F24)</f>
        <v/>
      </c>
      <c r="E24" s="16">
        <f>IF('1. MASTER_ENTRY'!$C24="","",'1. MASTER_ENTRY'!$G24)</f>
        <v/>
      </c>
      <c r="F24" s="16">
        <f>IF('1. MASTER_ENTRY'!$C24="","",'1. MASTER_ENTRY'!$H24)</f>
        <v/>
      </c>
      <c r="G24" s="16">
        <f>IF('1. MASTER_ENTRY'!$C24="","",'1. MASTER_ENTRY'!$I24)</f>
        <v/>
      </c>
      <c r="H24" s="16">
        <f>IF('1. MASTER_ENTRY'!$C24="","",'1. MASTER_ENTRY'!$J24)</f>
        <v/>
      </c>
      <c r="I24" s="16">
        <f>IF('1. MASTER_ENTRY'!$C24="","",'1. MASTER_ENTRY'!$L24)</f>
        <v/>
      </c>
      <c r="J24" s="16">
        <f>IF('1. MASTER_ENTRY'!$C24="","",'1. MASTER_ENTRY'!$M24)</f>
        <v/>
      </c>
      <c r="K24" s="16">
        <f>IF('1. MASTER_ENTRY'!$C24="","",'1. MASTER_ENTRY'!$R24)</f>
        <v/>
      </c>
    </row>
    <row r="25" ht="16" customHeight="1">
      <c r="A25" s="20">
        <f>IF('1. MASTER_ENTRY'!$C25="","",SUBSTITUTE('1. MASTER_ENTRY'!$A25,"CASE","RISK"))</f>
        <v/>
      </c>
      <c r="B25" s="21">
        <f>IF('1. MASTER_ENTRY'!$C25="","",'1. MASTER_ENTRY'!$C25)</f>
        <v/>
      </c>
      <c r="C25" s="20">
        <f>IF('1. MASTER_ENTRY'!$C25="","",'1. MASTER_ENTRY'!$D25)</f>
        <v/>
      </c>
      <c r="D25" s="20">
        <f>IF('1. MASTER_ENTRY'!$C25="","",'1. MASTER_ENTRY'!$F25)</f>
        <v/>
      </c>
      <c r="E25" s="20">
        <f>IF('1. MASTER_ENTRY'!$C25="","",'1. MASTER_ENTRY'!$G25)</f>
        <v/>
      </c>
      <c r="F25" s="20">
        <f>IF('1. MASTER_ENTRY'!$C25="","",'1. MASTER_ENTRY'!$H25)</f>
        <v/>
      </c>
      <c r="G25" s="20">
        <f>IF('1. MASTER_ENTRY'!$C25="","",'1. MASTER_ENTRY'!$I25)</f>
        <v/>
      </c>
      <c r="H25" s="20">
        <f>IF('1. MASTER_ENTRY'!$C25="","",'1. MASTER_ENTRY'!$J25)</f>
        <v/>
      </c>
      <c r="I25" s="20">
        <f>IF('1. MASTER_ENTRY'!$C25="","",'1. MASTER_ENTRY'!$L25)</f>
        <v/>
      </c>
      <c r="J25" s="20">
        <f>IF('1. MASTER_ENTRY'!$C25="","",'1. MASTER_ENTRY'!$M25)</f>
        <v/>
      </c>
      <c r="K25" s="20">
        <f>IF('1. MASTER_ENTRY'!$C25="","",'1. MASTER_ENTRY'!$R25)</f>
        <v/>
      </c>
    </row>
    <row r="26" ht="16" customHeight="1">
      <c r="A26" s="16">
        <f>IF('1. MASTER_ENTRY'!$C26="","",SUBSTITUTE('1. MASTER_ENTRY'!$A26,"CASE","RISK"))</f>
        <v/>
      </c>
      <c r="B26" s="17">
        <f>IF('1. MASTER_ENTRY'!$C26="","",'1. MASTER_ENTRY'!$C26)</f>
        <v/>
      </c>
      <c r="C26" s="16">
        <f>IF('1. MASTER_ENTRY'!$C26="","",'1. MASTER_ENTRY'!$D26)</f>
        <v/>
      </c>
      <c r="D26" s="16">
        <f>IF('1. MASTER_ENTRY'!$C26="","",'1. MASTER_ENTRY'!$F26)</f>
        <v/>
      </c>
      <c r="E26" s="16">
        <f>IF('1. MASTER_ENTRY'!$C26="","",'1. MASTER_ENTRY'!$G26)</f>
        <v/>
      </c>
      <c r="F26" s="16">
        <f>IF('1. MASTER_ENTRY'!$C26="","",'1. MASTER_ENTRY'!$H26)</f>
        <v/>
      </c>
      <c r="G26" s="16">
        <f>IF('1. MASTER_ENTRY'!$C26="","",'1. MASTER_ENTRY'!$I26)</f>
        <v/>
      </c>
      <c r="H26" s="16">
        <f>IF('1. MASTER_ENTRY'!$C26="","",'1. MASTER_ENTRY'!$J26)</f>
        <v/>
      </c>
      <c r="I26" s="16">
        <f>IF('1. MASTER_ENTRY'!$C26="","",'1. MASTER_ENTRY'!$L26)</f>
        <v/>
      </c>
      <c r="J26" s="16">
        <f>IF('1. MASTER_ENTRY'!$C26="","",'1. MASTER_ENTRY'!$M26)</f>
        <v/>
      </c>
      <c r="K26" s="16">
        <f>IF('1. MASTER_ENTRY'!$C26="","",'1. MASTER_ENTRY'!$R26)</f>
        <v/>
      </c>
    </row>
    <row r="27" ht="16" customHeight="1">
      <c r="A27" s="20">
        <f>IF('1. MASTER_ENTRY'!$C27="","",SUBSTITUTE('1. MASTER_ENTRY'!$A27,"CASE","RISK"))</f>
        <v/>
      </c>
      <c r="B27" s="21">
        <f>IF('1. MASTER_ENTRY'!$C27="","",'1. MASTER_ENTRY'!$C27)</f>
        <v/>
      </c>
      <c r="C27" s="20">
        <f>IF('1. MASTER_ENTRY'!$C27="","",'1. MASTER_ENTRY'!$D27)</f>
        <v/>
      </c>
      <c r="D27" s="20">
        <f>IF('1. MASTER_ENTRY'!$C27="","",'1. MASTER_ENTRY'!$F27)</f>
        <v/>
      </c>
      <c r="E27" s="20">
        <f>IF('1. MASTER_ENTRY'!$C27="","",'1. MASTER_ENTRY'!$G27)</f>
        <v/>
      </c>
      <c r="F27" s="20">
        <f>IF('1. MASTER_ENTRY'!$C27="","",'1. MASTER_ENTRY'!$H27)</f>
        <v/>
      </c>
      <c r="G27" s="20">
        <f>IF('1. MASTER_ENTRY'!$C27="","",'1. MASTER_ENTRY'!$I27)</f>
        <v/>
      </c>
      <c r="H27" s="20">
        <f>IF('1. MASTER_ENTRY'!$C27="","",'1. MASTER_ENTRY'!$J27)</f>
        <v/>
      </c>
      <c r="I27" s="20">
        <f>IF('1. MASTER_ENTRY'!$C27="","",'1. MASTER_ENTRY'!$L27)</f>
        <v/>
      </c>
      <c r="J27" s="20">
        <f>IF('1. MASTER_ENTRY'!$C27="","",'1. MASTER_ENTRY'!$M27)</f>
        <v/>
      </c>
      <c r="K27" s="20">
        <f>IF('1. MASTER_ENTRY'!$C27="","",'1. MASTER_ENTRY'!$R27)</f>
        <v/>
      </c>
    </row>
    <row r="28" ht="16" customHeight="1">
      <c r="A28" s="16">
        <f>IF('1. MASTER_ENTRY'!$C28="","",SUBSTITUTE('1. MASTER_ENTRY'!$A28,"CASE","RISK"))</f>
        <v/>
      </c>
      <c r="B28" s="17">
        <f>IF('1. MASTER_ENTRY'!$C28="","",'1. MASTER_ENTRY'!$C28)</f>
        <v/>
      </c>
      <c r="C28" s="16">
        <f>IF('1. MASTER_ENTRY'!$C28="","",'1. MASTER_ENTRY'!$D28)</f>
        <v/>
      </c>
      <c r="D28" s="16">
        <f>IF('1. MASTER_ENTRY'!$C28="","",'1. MASTER_ENTRY'!$F28)</f>
        <v/>
      </c>
      <c r="E28" s="16">
        <f>IF('1. MASTER_ENTRY'!$C28="","",'1. MASTER_ENTRY'!$G28)</f>
        <v/>
      </c>
      <c r="F28" s="16">
        <f>IF('1. MASTER_ENTRY'!$C28="","",'1. MASTER_ENTRY'!$H28)</f>
        <v/>
      </c>
      <c r="G28" s="16">
        <f>IF('1. MASTER_ENTRY'!$C28="","",'1. MASTER_ENTRY'!$I28)</f>
        <v/>
      </c>
      <c r="H28" s="16">
        <f>IF('1. MASTER_ENTRY'!$C28="","",'1. MASTER_ENTRY'!$J28)</f>
        <v/>
      </c>
      <c r="I28" s="16">
        <f>IF('1. MASTER_ENTRY'!$C28="","",'1. MASTER_ENTRY'!$L28)</f>
        <v/>
      </c>
      <c r="J28" s="16">
        <f>IF('1. MASTER_ENTRY'!$C28="","",'1. MASTER_ENTRY'!$M28)</f>
        <v/>
      </c>
      <c r="K28" s="16">
        <f>IF('1. MASTER_ENTRY'!$C28="","",'1. MASTER_ENTRY'!$R28)</f>
        <v/>
      </c>
    </row>
    <row r="29" ht="16" customHeight="1">
      <c r="A29" s="20">
        <f>IF('1. MASTER_ENTRY'!$C29="","",SUBSTITUTE('1. MASTER_ENTRY'!$A29,"CASE","RISK"))</f>
        <v/>
      </c>
      <c r="B29" s="21">
        <f>IF('1. MASTER_ENTRY'!$C29="","",'1. MASTER_ENTRY'!$C29)</f>
        <v/>
      </c>
      <c r="C29" s="20">
        <f>IF('1. MASTER_ENTRY'!$C29="","",'1. MASTER_ENTRY'!$D29)</f>
        <v/>
      </c>
      <c r="D29" s="20">
        <f>IF('1. MASTER_ENTRY'!$C29="","",'1. MASTER_ENTRY'!$F29)</f>
        <v/>
      </c>
      <c r="E29" s="20">
        <f>IF('1. MASTER_ENTRY'!$C29="","",'1. MASTER_ENTRY'!$G29)</f>
        <v/>
      </c>
      <c r="F29" s="20">
        <f>IF('1. MASTER_ENTRY'!$C29="","",'1. MASTER_ENTRY'!$H29)</f>
        <v/>
      </c>
      <c r="G29" s="20">
        <f>IF('1. MASTER_ENTRY'!$C29="","",'1. MASTER_ENTRY'!$I29)</f>
        <v/>
      </c>
      <c r="H29" s="20">
        <f>IF('1. MASTER_ENTRY'!$C29="","",'1. MASTER_ENTRY'!$J29)</f>
        <v/>
      </c>
      <c r="I29" s="20">
        <f>IF('1. MASTER_ENTRY'!$C29="","",'1. MASTER_ENTRY'!$L29)</f>
        <v/>
      </c>
      <c r="J29" s="20">
        <f>IF('1. MASTER_ENTRY'!$C29="","",'1. MASTER_ENTRY'!$M29)</f>
        <v/>
      </c>
      <c r="K29" s="20">
        <f>IF('1. MASTER_ENTRY'!$C29="","",'1. MASTER_ENTRY'!$R29)</f>
        <v/>
      </c>
    </row>
    <row r="30" ht="16" customHeight="1">
      <c r="A30" s="16">
        <f>IF('1. MASTER_ENTRY'!$C30="","",SUBSTITUTE('1. MASTER_ENTRY'!$A30,"CASE","RISK"))</f>
        <v/>
      </c>
      <c r="B30" s="17">
        <f>IF('1. MASTER_ENTRY'!$C30="","",'1. MASTER_ENTRY'!$C30)</f>
        <v/>
      </c>
      <c r="C30" s="16">
        <f>IF('1. MASTER_ENTRY'!$C30="","",'1. MASTER_ENTRY'!$D30)</f>
        <v/>
      </c>
      <c r="D30" s="16">
        <f>IF('1. MASTER_ENTRY'!$C30="","",'1. MASTER_ENTRY'!$F30)</f>
        <v/>
      </c>
      <c r="E30" s="16">
        <f>IF('1. MASTER_ENTRY'!$C30="","",'1. MASTER_ENTRY'!$G30)</f>
        <v/>
      </c>
      <c r="F30" s="16">
        <f>IF('1. MASTER_ENTRY'!$C30="","",'1. MASTER_ENTRY'!$H30)</f>
        <v/>
      </c>
      <c r="G30" s="16">
        <f>IF('1. MASTER_ENTRY'!$C30="","",'1. MASTER_ENTRY'!$I30)</f>
        <v/>
      </c>
      <c r="H30" s="16">
        <f>IF('1. MASTER_ENTRY'!$C30="","",'1. MASTER_ENTRY'!$J30)</f>
        <v/>
      </c>
      <c r="I30" s="16">
        <f>IF('1. MASTER_ENTRY'!$C30="","",'1. MASTER_ENTRY'!$L30)</f>
        <v/>
      </c>
      <c r="J30" s="16">
        <f>IF('1. MASTER_ENTRY'!$C30="","",'1. MASTER_ENTRY'!$M30)</f>
        <v/>
      </c>
      <c r="K30" s="16">
        <f>IF('1. MASTER_ENTRY'!$C30="","",'1. MASTER_ENTRY'!$R30)</f>
        <v/>
      </c>
    </row>
    <row r="31" ht="16" customHeight="1">
      <c r="A31" s="20">
        <f>IF('1. MASTER_ENTRY'!$C31="","",SUBSTITUTE('1. MASTER_ENTRY'!$A31,"CASE","RISK"))</f>
        <v/>
      </c>
      <c r="B31" s="21">
        <f>IF('1. MASTER_ENTRY'!$C31="","",'1. MASTER_ENTRY'!$C31)</f>
        <v/>
      </c>
      <c r="C31" s="20">
        <f>IF('1. MASTER_ENTRY'!$C31="","",'1. MASTER_ENTRY'!$D31)</f>
        <v/>
      </c>
      <c r="D31" s="20">
        <f>IF('1. MASTER_ENTRY'!$C31="","",'1. MASTER_ENTRY'!$F31)</f>
        <v/>
      </c>
      <c r="E31" s="20">
        <f>IF('1. MASTER_ENTRY'!$C31="","",'1. MASTER_ENTRY'!$G31)</f>
        <v/>
      </c>
      <c r="F31" s="20">
        <f>IF('1. MASTER_ENTRY'!$C31="","",'1. MASTER_ENTRY'!$H31)</f>
        <v/>
      </c>
      <c r="G31" s="20">
        <f>IF('1. MASTER_ENTRY'!$C31="","",'1. MASTER_ENTRY'!$I31)</f>
        <v/>
      </c>
      <c r="H31" s="20">
        <f>IF('1. MASTER_ENTRY'!$C31="","",'1. MASTER_ENTRY'!$J31)</f>
        <v/>
      </c>
      <c r="I31" s="20">
        <f>IF('1. MASTER_ENTRY'!$C31="","",'1. MASTER_ENTRY'!$L31)</f>
        <v/>
      </c>
      <c r="J31" s="20">
        <f>IF('1. MASTER_ENTRY'!$C31="","",'1. MASTER_ENTRY'!$M31)</f>
        <v/>
      </c>
      <c r="K31" s="20">
        <f>IF('1. MASTER_ENTRY'!$C31="","",'1. MASTER_ENTRY'!$R31)</f>
        <v/>
      </c>
    </row>
    <row r="32" ht="16" customHeight="1">
      <c r="A32" s="16">
        <f>IF('1. MASTER_ENTRY'!$C32="","",SUBSTITUTE('1. MASTER_ENTRY'!$A32,"CASE","RISK"))</f>
        <v/>
      </c>
      <c r="B32" s="17">
        <f>IF('1. MASTER_ENTRY'!$C32="","",'1. MASTER_ENTRY'!$C32)</f>
        <v/>
      </c>
      <c r="C32" s="16">
        <f>IF('1. MASTER_ENTRY'!$C32="","",'1. MASTER_ENTRY'!$D32)</f>
        <v/>
      </c>
      <c r="D32" s="16">
        <f>IF('1. MASTER_ENTRY'!$C32="","",'1. MASTER_ENTRY'!$F32)</f>
        <v/>
      </c>
      <c r="E32" s="16">
        <f>IF('1. MASTER_ENTRY'!$C32="","",'1. MASTER_ENTRY'!$G32)</f>
        <v/>
      </c>
      <c r="F32" s="16">
        <f>IF('1. MASTER_ENTRY'!$C32="","",'1. MASTER_ENTRY'!$H32)</f>
        <v/>
      </c>
      <c r="G32" s="16">
        <f>IF('1. MASTER_ENTRY'!$C32="","",'1. MASTER_ENTRY'!$I32)</f>
        <v/>
      </c>
      <c r="H32" s="16">
        <f>IF('1. MASTER_ENTRY'!$C32="","",'1. MASTER_ENTRY'!$J32)</f>
        <v/>
      </c>
      <c r="I32" s="16">
        <f>IF('1. MASTER_ENTRY'!$C32="","",'1. MASTER_ENTRY'!$L32)</f>
        <v/>
      </c>
      <c r="J32" s="16">
        <f>IF('1. MASTER_ENTRY'!$C32="","",'1. MASTER_ENTRY'!$M32)</f>
        <v/>
      </c>
      <c r="K32" s="16">
        <f>IF('1. MASTER_ENTRY'!$C32="","",'1. MASTER_ENTRY'!$R32)</f>
        <v/>
      </c>
    </row>
    <row r="33" ht="16" customHeight="1">
      <c r="A33" s="20">
        <f>IF('1. MASTER_ENTRY'!$C33="","",SUBSTITUTE('1. MASTER_ENTRY'!$A33,"CASE","RISK"))</f>
        <v/>
      </c>
      <c r="B33" s="21">
        <f>IF('1. MASTER_ENTRY'!$C33="","",'1. MASTER_ENTRY'!$C33)</f>
        <v/>
      </c>
      <c r="C33" s="20">
        <f>IF('1. MASTER_ENTRY'!$C33="","",'1. MASTER_ENTRY'!$D33)</f>
        <v/>
      </c>
      <c r="D33" s="20">
        <f>IF('1. MASTER_ENTRY'!$C33="","",'1. MASTER_ENTRY'!$F33)</f>
        <v/>
      </c>
      <c r="E33" s="20">
        <f>IF('1. MASTER_ENTRY'!$C33="","",'1. MASTER_ENTRY'!$G33)</f>
        <v/>
      </c>
      <c r="F33" s="20">
        <f>IF('1. MASTER_ENTRY'!$C33="","",'1. MASTER_ENTRY'!$H33)</f>
        <v/>
      </c>
      <c r="G33" s="20">
        <f>IF('1. MASTER_ENTRY'!$C33="","",'1. MASTER_ENTRY'!$I33)</f>
        <v/>
      </c>
      <c r="H33" s="20">
        <f>IF('1. MASTER_ENTRY'!$C33="","",'1. MASTER_ENTRY'!$J33)</f>
        <v/>
      </c>
      <c r="I33" s="20">
        <f>IF('1. MASTER_ENTRY'!$C33="","",'1. MASTER_ENTRY'!$L33)</f>
        <v/>
      </c>
      <c r="J33" s="20">
        <f>IF('1. MASTER_ENTRY'!$C33="","",'1. MASTER_ENTRY'!$M33)</f>
        <v/>
      </c>
      <c r="K33" s="20">
        <f>IF('1. MASTER_ENTRY'!$C33="","",'1. MASTER_ENTRY'!$R33)</f>
        <v/>
      </c>
    </row>
    <row r="34" ht="16" customHeight="1">
      <c r="A34" s="16">
        <f>IF('1. MASTER_ENTRY'!$C34="","",SUBSTITUTE('1. MASTER_ENTRY'!$A34,"CASE","RISK"))</f>
        <v/>
      </c>
      <c r="B34" s="17">
        <f>IF('1. MASTER_ENTRY'!$C34="","",'1. MASTER_ENTRY'!$C34)</f>
        <v/>
      </c>
      <c r="C34" s="16">
        <f>IF('1. MASTER_ENTRY'!$C34="","",'1. MASTER_ENTRY'!$D34)</f>
        <v/>
      </c>
      <c r="D34" s="16">
        <f>IF('1. MASTER_ENTRY'!$C34="","",'1. MASTER_ENTRY'!$F34)</f>
        <v/>
      </c>
      <c r="E34" s="16">
        <f>IF('1. MASTER_ENTRY'!$C34="","",'1. MASTER_ENTRY'!$G34)</f>
        <v/>
      </c>
      <c r="F34" s="16">
        <f>IF('1. MASTER_ENTRY'!$C34="","",'1. MASTER_ENTRY'!$H34)</f>
        <v/>
      </c>
      <c r="G34" s="16">
        <f>IF('1. MASTER_ENTRY'!$C34="","",'1. MASTER_ENTRY'!$I34)</f>
        <v/>
      </c>
      <c r="H34" s="16">
        <f>IF('1. MASTER_ENTRY'!$C34="","",'1. MASTER_ENTRY'!$J34)</f>
        <v/>
      </c>
      <c r="I34" s="16">
        <f>IF('1. MASTER_ENTRY'!$C34="","",'1. MASTER_ENTRY'!$L34)</f>
        <v/>
      </c>
      <c r="J34" s="16">
        <f>IF('1. MASTER_ENTRY'!$C34="","",'1. MASTER_ENTRY'!$M34)</f>
        <v/>
      </c>
      <c r="K34" s="16">
        <f>IF('1. MASTER_ENTRY'!$C34="","",'1. MASTER_ENTRY'!$R34)</f>
        <v/>
      </c>
    </row>
    <row r="35" ht="16" customHeight="1">
      <c r="A35" s="20">
        <f>IF('1. MASTER_ENTRY'!$C35="","",SUBSTITUTE('1. MASTER_ENTRY'!$A35,"CASE","RISK"))</f>
        <v/>
      </c>
      <c r="B35" s="21">
        <f>IF('1. MASTER_ENTRY'!$C35="","",'1. MASTER_ENTRY'!$C35)</f>
        <v/>
      </c>
      <c r="C35" s="20">
        <f>IF('1. MASTER_ENTRY'!$C35="","",'1. MASTER_ENTRY'!$D35)</f>
        <v/>
      </c>
      <c r="D35" s="20">
        <f>IF('1. MASTER_ENTRY'!$C35="","",'1. MASTER_ENTRY'!$F35)</f>
        <v/>
      </c>
      <c r="E35" s="20">
        <f>IF('1. MASTER_ENTRY'!$C35="","",'1. MASTER_ENTRY'!$G35)</f>
        <v/>
      </c>
      <c r="F35" s="20">
        <f>IF('1. MASTER_ENTRY'!$C35="","",'1. MASTER_ENTRY'!$H35)</f>
        <v/>
      </c>
      <c r="G35" s="20">
        <f>IF('1. MASTER_ENTRY'!$C35="","",'1. MASTER_ENTRY'!$I35)</f>
        <v/>
      </c>
      <c r="H35" s="20">
        <f>IF('1. MASTER_ENTRY'!$C35="","",'1. MASTER_ENTRY'!$J35)</f>
        <v/>
      </c>
      <c r="I35" s="20">
        <f>IF('1. MASTER_ENTRY'!$C35="","",'1. MASTER_ENTRY'!$L35)</f>
        <v/>
      </c>
      <c r="J35" s="20">
        <f>IF('1. MASTER_ENTRY'!$C35="","",'1. MASTER_ENTRY'!$M35)</f>
        <v/>
      </c>
      <c r="K35" s="20">
        <f>IF('1. MASTER_ENTRY'!$C35="","",'1. MASTER_ENTRY'!$R35)</f>
        <v/>
      </c>
    </row>
    <row r="36" ht="16" customHeight="1">
      <c r="A36" s="16">
        <f>IF('1. MASTER_ENTRY'!$C36="","",SUBSTITUTE('1. MASTER_ENTRY'!$A36,"CASE","RISK"))</f>
        <v/>
      </c>
      <c r="B36" s="17">
        <f>IF('1. MASTER_ENTRY'!$C36="","",'1. MASTER_ENTRY'!$C36)</f>
        <v/>
      </c>
      <c r="C36" s="16">
        <f>IF('1. MASTER_ENTRY'!$C36="","",'1. MASTER_ENTRY'!$D36)</f>
        <v/>
      </c>
      <c r="D36" s="16">
        <f>IF('1. MASTER_ENTRY'!$C36="","",'1. MASTER_ENTRY'!$F36)</f>
        <v/>
      </c>
      <c r="E36" s="16">
        <f>IF('1. MASTER_ENTRY'!$C36="","",'1. MASTER_ENTRY'!$G36)</f>
        <v/>
      </c>
      <c r="F36" s="16">
        <f>IF('1. MASTER_ENTRY'!$C36="","",'1. MASTER_ENTRY'!$H36)</f>
        <v/>
      </c>
      <c r="G36" s="16">
        <f>IF('1. MASTER_ENTRY'!$C36="","",'1. MASTER_ENTRY'!$I36)</f>
        <v/>
      </c>
      <c r="H36" s="16">
        <f>IF('1. MASTER_ENTRY'!$C36="","",'1. MASTER_ENTRY'!$J36)</f>
        <v/>
      </c>
      <c r="I36" s="16">
        <f>IF('1. MASTER_ENTRY'!$C36="","",'1. MASTER_ENTRY'!$L36)</f>
        <v/>
      </c>
      <c r="J36" s="16">
        <f>IF('1. MASTER_ENTRY'!$C36="","",'1. MASTER_ENTRY'!$M36)</f>
        <v/>
      </c>
      <c r="K36" s="16">
        <f>IF('1. MASTER_ENTRY'!$C36="","",'1. MASTER_ENTRY'!$R36)</f>
        <v/>
      </c>
    </row>
    <row r="37" ht="16" customHeight="1">
      <c r="A37" s="20">
        <f>IF('1. MASTER_ENTRY'!$C37="","",SUBSTITUTE('1. MASTER_ENTRY'!$A37,"CASE","RISK"))</f>
        <v/>
      </c>
      <c r="B37" s="21">
        <f>IF('1. MASTER_ENTRY'!$C37="","",'1. MASTER_ENTRY'!$C37)</f>
        <v/>
      </c>
      <c r="C37" s="20">
        <f>IF('1. MASTER_ENTRY'!$C37="","",'1. MASTER_ENTRY'!$D37)</f>
        <v/>
      </c>
      <c r="D37" s="20">
        <f>IF('1. MASTER_ENTRY'!$C37="","",'1. MASTER_ENTRY'!$F37)</f>
        <v/>
      </c>
      <c r="E37" s="20">
        <f>IF('1. MASTER_ENTRY'!$C37="","",'1. MASTER_ENTRY'!$G37)</f>
        <v/>
      </c>
      <c r="F37" s="20">
        <f>IF('1. MASTER_ENTRY'!$C37="","",'1. MASTER_ENTRY'!$H37)</f>
        <v/>
      </c>
      <c r="G37" s="20">
        <f>IF('1. MASTER_ENTRY'!$C37="","",'1. MASTER_ENTRY'!$I37)</f>
        <v/>
      </c>
      <c r="H37" s="20">
        <f>IF('1. MASTER_ENTRY'!$C37="","",'1. MASTER_ENTRY'!$J37)</f>
        <v/>
      </c>
      <c r="I37" s="20">
        <f>IF('1. MASTER_ENTRY'!$C37="","",'1. MASTER_ENTRY'!$L37)</f>
        <v/>
      </c>
      <c r="J37" s="20">
        <f>IF('1. MASTER_ENTRY'!$C37="","",'1. MASTER_ENTRY'!$M37)</f>
        <v/>
      </c>
      <c r="K37" s="20">
        <f>IF('1. MASTER_ENTRY'!$C37="","",'1. MASTER_ENTRY'!$R37)</f>
        <v/>
      </c>
    </row>
    <row r="38" ht="16" customHeight="1">
      <c r="A38" s="16">
        <f>IF('1. MASTER_ENTRY'!$C38="","",SUBSTITUTE('1. MASTER_ENTRY'!$A38,"CASE","RISK"))</f>
        <v/>
      </c>
      <c r="B38" s="17">
        <f>IF('1. MASTER_ENTRY'!$C38="","",'1. MASTER_ENTRY'!$C38)</f>
        <v/>
      </c>
      <c r="C38" s="16">
        <f>IF('1. MASTER_ENTRY'!$C38="","",'1. MASTER_ENTRY'!$D38)</f>
        <v/>
      </c>
      <c r="D38" s="16">
        <f>IF('1. MASTER_ENTRY'!$C38="","",'1. MASTER_ENTRY'!$F38)</f>
        <v/>
      </c>
      <c r="E38" s="16">
        <f>IF('1. MASTER_ENTRY'!$C38="","",'1. MASTER_ENTRY'!$G38)</f>
        <v/>
      </c>
      <c r="F38" s="16">
        <f>IF('1. MASTER_ENTRY'!$C38="","",'1. MASTER_ENTRY'!$H38)</f>
        <v/>
      </c>
      <c r="G38" s="16">
        <f>IF('1. MASTER_ENTRY'!$C38="","",'1. MASTER_ENTRY'!$I38)</f>
        <v/>
      </c>
      <c r="H38" s="16">
        <f>IF('1. MASTER_ENTRY'!$C38="","",'1. MASTER_ENTRY'!$J38)</f>
        <v/>
      </c>
      <c r="I38" s="16">
        <f>IF('1. MASTER_ENTRY'!$C38="","",'1. MASTER_ENTRY'!$L38)</f>
        <v/>
      </c>
      <c r="J38" s="16">
        <f>IF('1. MASTER_ENTRY'!$C38="","",'1. MASTER_ENTRY'!$M38)</f>
        <v/>
      </c>
      <c r="K38" s="16">
        <f>IF('1. MASTER_ENTRY'!$C38="","",'1. MASTER_ENTRY'!$R38)</f>
        <v/>
      </c>
    </row>
    <row r="39" ht="16" customHeight="1">
      <c r="A39" s="20">
        <f>IF('1. MASTER_ENTRY'!$C39="","",SUBSTITUTE('1. MASTER_ENTRY'!$A39,"CASE","RISK"))</f>
        <v/>
      </c>
      <c r="B39" s="21">
        <f>IF('1. MASTER_ENTRY'!$C39="","",'1. MASTER_ENTRY'!$C39)</f>
        <v/>
      </c>
      <c r="C39" s="20">
        <f>IF('1. MASTER_ENTRY'!$C39="","",'1. MASTER_ENTRY'!$D39)</f>
        <v/>
      </c>
      <c r="D39" s="20">
        <f>IF('1. MASTER_ENTRY'!$C39="","",'1. MASTER_ENTRY'!$F39)</f>
        <v/>
      </c>
      <c r="E39" s="20">
        <f>IF('1. MASTER_ENTRY'!$C39="","",'1. MASTER_ENTRY'!$G39)</f>
        <v/>
      </c>
      <c r="F39" s="20">
        <f>IF('1. MASTER_ENTRY'!$C39="","",'1. MASTER_ENTRY'!$H39)</f>
        <v/>
      </c>
      <c r="G39" s="20">
        <f>IF('1. MASTER_ENTRY'!$C39="","",'1. MASTER_ENTRY'!$I39)</f>
        <v/>
      </c>
      <c r="H39" s="20">
        <f>IF('1. MASTER_ENTRY'!$C39="","",'1. MASTER_ENTRY'!$J39)</f>
        <v/>
      </c>
      <c r="I39" s="20">
        <f>IF('1. MASTER_ENTRY'!$C39="","",'1. MASTER_ENTRY'!$L39)</f>
        <v/>
      </c>
      <c r="J39" s="20">
        <f>IF('1. MASTER_ENTRY'!$C39="","",'1. MASTER_ENTRY'!$M39)</f>
        <v/>
      </c>
      <c r="K39" s="20">
        <f>IF('1. MASTER_ENTRY'!$C39="","",'1. MASTER_ENTRY'!$R39)</f>
        <v/>
      </c>
    </row>
    <row r="40" ht="16" customHeight="1">
      <c r="A40" s="16">
        <f>IF('1. MASTER_ENTRY'!$C40="","",SUBSTITUTE('1. MASTER_ENTRY'!$A40,"CASE","RISK"))</f>
        <v/>
      </c>
      <c r="B40" s="17">
        <f>IF('1. MASTER_ENTRY'!$C40="","",'1. MASTER_ENTRY'!$C40)</f>
        <v/>
      </c>
      <c r="C40" s="16">
        <f>IF('1. MASTER_ENTRY'!$C40="","",'1. MASTER_ENTRY'!$D40)</f>
        <v/>
      </c>
      <c r="D40" s="16">
        <f>IF('1. MASTER_ENTRY'!$C40="","",'1. MASTER_ENTRY'!$F40)</f>
        <v/>
      </c>
      <c r="E40" s="16">
        <f>IF('1. MASTER_ENTRY'!$C40="","",'1. MASTER_ENTRY'!$G40)</f>
        <v/>
      </c>
      <c r="F40" s="16">
        <f>IF('1. MASTER_ENTRY'!$C40="","",'1. MASTER_ENTRY'!$H40)</f>
        <v/>
      </c>
      <c r="G40" s="16">
        <f>IF('1. MASTER_ENTRY'!$C40="","",'1. MASTER_ENTRY'!$I40)</f>
        <v/>
      </c>
      <c r="H40" s="16">
        <f>IF('1. MASTER_ENTRY'!$C40="","",'1. MASTER_ENTRY'!$J40)</f>
        <v/>
      </c>
      <c r="I40" s="16">
        <f>IF('1. MASTER_ENTRY'!$C40="","",'1. MASTER_ENTRY'!$L40)</f>
        <v/>
      </c>
      <c r="J40" s="16">
        <f>IF('1. MASTER_ENTRY'!$C40="","",'1. MASTER_ENTRY'!$M40)</f>
        <v/>
      </c>
      <c r="K40" s="16">
        <f>IF('1. MASTER_ENTRY'!$C40="","",'1. MASTER_ENTRY'!$R40)</f>
        <v/>
      </c>
    </row>
    <row r="41" ht="16" customHeight="1">
      <c r="A41" s="20">
        <f>IF('1. MASTER_ENTRY'!$C41="","",SUBSTITUTE('1. MASTER_ENTRY'!$A41,"CASE","RISK"))</f>
        <v/>
      </c>
      <c r="B41" s="21">
        <f>IF('1. MASTER_ENTRY'!$C41="","",'1. MASTER_ENTRY'!$C41)</f>
        <v/>
      </c>
      <c r="C41" s="20">
        <f>IF('1. MASTER_ENTRY'!$C41="","",'1. MASTER_ENTRY'!$D41)</f>
        <v/>
      </c>
      <c r="D41" s="20">
        <f>IF('1. MASTER_ENTRY'!$C41="","",'1. MASTER_ENTRY'!$F41)</f>
        <v/>
      </c>
      <c r="E41" s="20">
        <f>IF('1. MASTER_ENTRY'!$C41="","",'1. MASTER_ENTRY'!$G41)</f>
        <v/>
      </c>
      <c r="F41" s="20">
        <f>IF('1. MASTER_ENTRY'!$C41="","",'1. MASTER_ENTRY'!$H41)</f>
        <v/>
      </c>
      <c r="G41" s="20">
        <f>IF('1. MASTER_ENTRY'!$C41="","",'1. MASTER_ENTRY'!$I41)</f>
        <v/>
      </c>
      <c r="H41" s="20">
        <f>IF('1. MASTER_ENTRY'!$C41="","",'1. MASTER_ENTRY'!$J41)</f>
        <v/>
      </c>
      <c r="I41" s="20">
        <f>IF('1. MASTER_ENTRY'!$C41="","",'1. MASTER_ENTRY'!$L41)</f>
        <v/>
      </c>
      <c r="J41" s="20">
        <f>IF('1. MASTER_ENTRY'!$C41="","",'1. MASTER_ENTRY'!$M41)</f>
        <v/>
      </c>
      <c r="K41" s="20">
        <f>IF('1. MASTER_ENTRY'!$C41="","",'1. MASTER_ENTRY'!$R41)</f>
        <v/>
      </c>
    </row>
    <row r="42" ht="16" customHeight="1">
      <c r="A42" s="16">
        <f>IF('1. MASTER_ENTRY'!$C42="","",SUBSTITUTE('1. MASTER_ENTRY'!$A42,"CASE","RISK"))</f>
        <v/>
      </c>
      <c r="B42" s="17">
        <f>IF('1. MASTER_ENTRY'!$C42="","",'1. MASTER_ENTRY'!$C42)</f>
        <v/>
      </c>
      <c r="C42" s="16">
        <f>IF('1. MASTER_ENTRY'!$C42="","",'1. MASTER_ENTRY'!$D42)</f>
        <v/>
      </c>
      <c r="D42" s="16">
        <f>IF('1. MASTER_ENTRY'!$C42="","",'1. MASTER_ENTRY'!$F42)</f>
        <v/>
      </c>
      <c r="E42" s="16">
        <f>IF('1. MASTER_ENTRY'!$C42="","",'1. MASTER_ENTRY'!$G42)</f>
        <v/>
      </c>
      <c r="F42" s="16">
        <f>IF('1. MASTER_ENTRY'!$C42="","",'1. MASTER_ENTRY'!$H42)</f>
        <v/>
      </c>
      <c r="G42" s="16">
        <f>IF('1. MASTER_ENTRY'!$C42="","",'1. MASTER_ENTRY'!$I42)</f>
        <v/>
      </c>
      <c r="H42" s="16">
        <f>IF('1. MASTER_ENTRY'!$C42="","",'1. MASTER_ENTRY'!$J42)</f>
        <v/>
      </c>
      <c r="I42" s="16">
        <f>IF('1. MASTER_ENTRY'!$C42="","",'1. MASTER_ENTRY'!$L42)</f>
        <v/>
      </c>
      <c r="J42" s="16">
        <f>IF('1. MASTER_ENTRY'!$C42="","",'1. MASTER_ENTRY'!$M42)</f>
        <v/>
      </c>
      <c r="K42" s="16">
        <f>IF('1. MASTER_ENTRY'!$C42="","",'1. MASTER_ENTRY'!$R42)</f>
        <v/>
      </c>
    </row>
    <row r="43" ht="16" customHeight="1">
      <c r="A43" s="20">
        <f>IF('1. MASTER_ENTRY'!$C43="","",SUBSTITUTE('1. MASTER_ENTRY'!$A43,"CASE","RISK"))</f>
        <v/>
      </c>
      <c r="B43" s="21">
        <f>IF('1. MASTER_ENTRY'!$C43="","",'1. MASTER_ENTRY'!$C43)</f>
        <v/>
      </c>
      <c r="C43" s="20">
        <f>IF('1. MASTER_ENTRY'!$C43="","",'1. MASTER_ENTRY'!$D43)</f>
        <v/>
      </c>
      <c r="D43" s="20">
        <f>IF('1. MASTER_ENTRY'!$C43="","",'1. MASTER_ENTRY'!$F43)</f>
        <v/>
      </c>
      <c r="E43" s="20">
        <f>IF('1. MASTER_ENTRY'!$C43="","",'1. MASTER_ENTRY'!$G43)</f>
        <v/>
      </c>
      <c r="F43" s="20">
        <f>IF('1. MASTER_ENTRY'!$C43="","",'1. MASTER_ENTRY'!$H43)</f>
        <v/>
      </c>
      <c r="G43" s="20">
        <f>IF('1. MASTER_ENTRY'!$C43="","",'1. MASTER_ENTRY'!$I43)</f>
        <v/>
      </c>
      <c r="H43" s="20">
        <f>IF('1. MASTER_ENTRY'!$C43="","",'1. MASTER_ENTRY'!$J43)</f>
        <v/>
      </c>
      <c r="I43" s="20">
        <f>IF('1. MASTER_ENTRY'!$C43="","",'1. MASTER_ENTRY'!$L43)</f>
        <v/>
      </c>
      <c r="J43" s="20">
        <f>IF('1. MASTER_ENTRY'!$C43="","",'1. MASTER_ENTRY'!$M43)</f>
        <v/>
      </c>
      <c r="K43" s="20">
        <f>IF('1. MASTER_ENTRY'!$C43="","",'1. MASTER_ENTRY'!$R43)</f>
        <v/>
      </c>
    </row>
    <row r="44" ht="16" customHeight="1">
      <c r="A44" s="16">
        <f>IF('1. MASTER_ENTRY'!$C44="","",SUBSTITUTE('1. MASTER_ENTRY'!$A44,"CASE","RISK"))</f>
        <v/>
      </c>
      <c r="B44" s="17">
        <f>IF('1. MASTER_ENTRY'!$C44="","",'1. MASTER_ENTRY'!$C44)</f>
        <v/>
      </c>
      <c r="C44" s="16">
        <f>IF('1. MASTER_ENTRY'!$C44="","",'1. MASTER_ENTRY'!$D44)</f>
        <v/>
      </c>
      <c r="D44" s="16">
        <f>IF('1. MASTER_ENTRY'!$C44="","",'1. MASTER_ENTRY'!$F44)</f>
        <v/>
      </c>
      <c r="E44" s="16">
        <f>IF('1. MASTER_ENTRY'!$C44="","",'1. MASTER_ENTRY'!$G44)</f>
        <v/>
      </c>
      <c r="F44" s="16">
        <f>IF('1. MASTER_ENTRY'!$C44="","",'1. MASTER_ENTRY'!$H44)</f>
        <v/>
      </c>
      <c r="G44" s="16">
        <f>IF('1. MASTER_ENTRY'!$C44="","",'1. MASTER_ENTRY'!$I44)</f>
        <v/>
      </c>
      <c r="H44" s="16">
        <f>IF('1. MASTER_ENTRY'!$C44="","",'1. MASTER_ENTRY'!$J44)</f>
        <v/>
      </c>
      <c r="I44" s="16">
        <f>IF('1. MASTER_ENTRY'!$C44="","",'1. MASTER_ENTRY'!$L44)</f>
        <v/>
      </c>
      <c r="J44" s="16">
        <f>IF('1. MASTER_ENTRY'!$C44="","",'1. MASTER_ENTRY'!$M44)</f>
        <v/>
      </c>
      <c r="K44" s="16">
        <f>IF('1. MASTER_ENTRY'!$C44="","",'1. MASTER_ENTRY'!$R44)</f>
        <v/>
      </c>
    </row>
    <row r="45" ht="16" customHeight="1">
      <c r="A45" s="20">
        <f>IF('1. MASTER_ENTRY'!$C45="","",SUBSTITUTE('1. MASTER_ENTRY'!$A45,"CASE","RISK"))</f>
        <v/>
      </c>
      <c r="B45" s="21">
        <f>IF('1. MASTER_ENTRY'!$C45="","",'1. MASTER_ENTRY'!$C45)</f>
        <v/>
      </c>
      <c r="C45" s="20">
        <f>IF('1. MASTER_ENTRY'!$C45="","",'1. MASTER_ENTRY'!$D45)</f>
        <v/>
      </c>
      <c r="D45" s="20">
        <f>IF('1. MASTER_ENTRY'!$C45="","",'1. MASTER_ENTRY'!$F45)</f>
        <v/>
      </c>
      <c r="E45" s="20">
        <f>IF('1. MASTER_ENTRY'!$C45="","",'1. MASTER_ENTRY'!$G45)</f>
        <v/>
      </c>
      <c r="F45" s="20">
        <f>IF('1. MASTER_ENTRY'!$C45="","",'1. MASTER_ENTRY'!$H45)</f>
        <v/>
      </c>
      <c r="G45" s="20">
        <f>IF('1. MASTER_ENTRY'!$C45="","",'1. MASTER_ENTRY'!$I45)</f>
        <v/>
      </c>
      <c r="H45" s="20">
        <f>IF('1. MASTER_ENTRY'!$C45="","",'1. MASTER_ENTRY'!$J45)</f>
        <v/>
      </c>
      <c r="I45" s="20">
        <f>IF('1. MASTER_ENTRY'!$C45="","",'1. MASTER_ENTRY'!$L45)</f>
        <v/>
      </c>
      <c r="J45" s="20">
        <f>IF('1. MASTER_ENTRY'!$C45="","",'1. MASTER_ENTRY'!$M45)</f>
        <v/>
      </c>
      <c r="K45" s="20">
        <f>IF('1. MASTER_ENTRY'!$C45="","",'1. MASTER_ENTRY'!$R45)</f>
        <v/>
      </c>
    </row>
    <row r="46" ht="16" customHeight="1">
      <c r="A46" s="16">
        <f>IF('1. MASTER_ENTRY'!$C46="","",SUBSTITUTE('1. MASTER_ENTRY'!$A46,"CASE","RISK"))</f>
        <v/>
      </c>
      <c r="B46" s="17">
        <f>IF('1. MASTER_ENTRY'!$C46="","",'1. MASTER_ENTRY'!$C46)</f>
        <v/>
      </c>
      <c r="C46" s="16">
        <f>IF('1. MASTER_ENTRY'!$C46="","",'1. MASTER_ENTRY'!$D46)</f>
        <v/>
      </c>
      <c r="D46" s="16">
        <f>IF('1. MASTER_ENTRY'!$C46="","",'1. MASTER_ENTRY'!$F46)</f>
        <v/>
      </c>
      <c r="E46" s="16">
        <f>IF('1. MASTER_ENTRY'!$C46="","",'1. MASTER_ENTRY'!$G46)</f>
        <v/>
      </c>
      <c r="F46" s="16">
        <f>IF('1. MASTER_ENTRY'!$C46="","",'1. MASTER_ENTRY'!$H46)</f>
        <v/>
      </c>
      <c r="G46" s="16">
        <f>IF('1. MASTER_ENTRY'!$C46="","",'1. MASTER_ENTRY'!$I46)</f>
        <v/>
      </c>
      <c r="H46" s="16">
        <f>IF('1. MASTER_ENTRY'!$C46="","",'1. MASTER_ENTRY'!$J46)</f>
        <v/>
      </c>
      <c r="I46" s="16">
        <f>IF('1. MASTER_ENTRY'!$C46="","",'1. MASTER_ENTRY'!$L46)</f>
        <v/>
      </c>
      <c r="J46" s="16">
        <f>IF('1. MASTER_ENTRY'!$C46="","",'1. MASTER_ENTRY'!$M46)</f>
        <v/>
      </c>
      <c r="K46" s="16">
        <f>IF('1. MASTER_ENTRY'!$C46="","",'1. MASTER_ENTRY'!$R46)</f>
        <v/>
      </c>
    </row>
    <row r="47" ht="16" customHeight="1">
      <c r="A47" s="20">
        <f>IF('1. MASTER_ENTRY'!$C47="","",SUBSTITUTE('1. MASTER_ENTRY'!$A47,"CASE","RISK"))</f>
        <v/>
      </c>
      <c r="B47" s="21">
        <f>IF('1. MASTER_ENTRY'!$C47="","",'1. MASTER_ENTRY'!$C47)</f>
        <v/>
      </c>
      <c r="C47" s="20">
        <f>IF('1. MASTER_ENTRY'!$C47="","",'1. MASTER_ENTRY'!$D47)</f>
        <v/>
      </c>
      <c r="D47" s="20">
        <f>IF('1. MASTER_ENTRY'!$C47="","",'1. MASTER_ENTRY'!$F47)</f>
        <v/>
      </c>
      <c r="E47" s="20">
        <f>IF('1. MASTER_ENTRY'!$C47="","",'1. MASTER_ENTRY'!$G47)</f>
        <v/>
      </c>
      <c r="F47" s="20">
        <f>IF('1. MASTER_ENTRY'!$C47="","",'1. MASTER_ENTRY'!$H47)</f>
        <v/>
      </c>
      <c r="G47" s="20">
        <f>IF('1. MASTER_ENTRY'!$C47="","",'1. MASTER_ENTRY'!$I47)</f>
        <v/>
      </c>
      <c r="H47" s="20">
        <f>IF('1. MASTER_ENTRY'!$C47="","",'1. MASTER_ENTRY'!$J47)</f>
        <v/>
      </c>
      <c r="I47" s="20">
        <f>IF('1. MASTER_ENTRY'!$C47="","",'1. MASTER_ENTRY'!$L47)</f>
        <v/>
      </c>
      <c r="J47" s="20">
        <f>IF('1. MASTER_ENTRY'!$C47="","",'1. MASTER_ENTRY'!$M47)</f>
        <v/>
      </c>
      <c r="K47" s="20">
        <f>IF('1. MASTER_ENTRY'!$C47="","",'1. MASTER_ENTRY'!$R47)</f>
        <v/>
      </c>
    </row>
    <row r="48" ht="16" customHeight="1">
      <c r="A48" s="16">
        <f>IF('1. MASTER_ENTRY'!$C48="","",SUBSTITUTE('1. MASTER_ENTRY'!$A48,"CASE","RISK"))</f>
        <v/>
      </c>
      <c r="B48" s="17">
        <f>IF('1. MASTER_ENTRY'!$C48="","",'1. MASTER_ENTRY'!$C48)</f>
        <v/>
      </c>
      <c r="C48" s="16">
        <f>IF('1. MASTER_ENTRY'!$C48="","",'1. MASTER_ENTRY'!$D48)</f>
        <v/>
      </c>
      <c r="D48" s="16">
        <f>IF('1. MASTER_ENTRY'!$C48="","",'1. MASTER_ENTRY'!$F48)</f>
        <v/>
      </c>
      <c r="E48" s="16">
        <f>IF('1. MASTER_ENTRY'!$C48="","",'1. MASTER_ENTRY'!$G48)</f>
        <v/>
      </c>
      <c r="F48" s="16">
        <f>IF('1. MASTER_ENTRY'!$C48="","",'1. MASTER_ENTRY'!$H48)</f>
        <v/>
      </c>
      <c r="G48" s="16">
        <f>IF('1. MASTER_ENTRY'!$C48="","",'1. MASTER_ENTRY'!$I48)</f>
        <v/>
      </c>
      <c r="H48" s="16">
        <f>IF('1. MASTER_ENTRY'!$C48="","",'1. MASTER_ENTRY'!$J48)</f>
        <v/>
      </c>
      <c r="I48" s="16">
        <f>IF('1. MASTER_ENTRY'!$C48="","",'1. MASTER_ENTRY'!$L48)</f>
        <v/>
      </c>
      <c r="J48" s="16">
        <f>IF('1. MASTER_ENTRY'!$C48="","",'1. MASTER_ENTRY'!$M48)</f>
        <v/>
      </c>
      <c r="K48" s="16">
        <f>IF('1. MASTER_ENTRY'!$C48="","",'1. MASTER_ENTRY'!$R48)</f>
        <v/>
      </c>
    </row>
    <row r="49" ht="16" customHeight="1">
      <c r="A49" s="20">
        <f>IF('1. MASTER_ENTRY'!$C49="","",SUBSTITUTE('1. MASTER_ENTRY'!$A49,"CASE","RISK"))</f>
        <v/>
      </c>
      <c r="B49" s="21">
        <f>IF('1. MASTER_ENTRY'!$C49="","",'1. MASTER_ENTRY'!$C49)</f>
        <v/>
      </c>
      <c r="C49" s="20">
        <f>IF('1. MASTER_ENTRY'!$C49="","",'1. MASTER_ENTRY'!$D49)</f>
        <v/>
      </c>
      <c r="D49" s="20">
        <f>IF('1. MASTER_ENTRY'!$C49="","",'1. MASTER_ENTRY'!$F49)</f>
        <v/>
      </c>
      <c r="E49" s="20">
        <f>IF('1. MASTER_ENTRY'!$C49="","",'1. MASTER_ENTRY'!$G49)</f>
        <v/>
      </c>
      <c r="F49" s="20">
        <f>IF('1. MASTER_ENTRY'!$C49="","",'1. MASTER_ENTRY'!$H49)</f>
        <v/>
      </c>
      <c r="G49" s="20">
        <f>IF('1. MASTER_ENTRY'!$C49="","",'1. MASTER_ENTRY'!$I49)</f>
        <v/>
      </c>
      <c r="H49" s="20">
        <f>IF('1. MASTER_ENTRY'!$C49="","",'1. MASTER_ENTRY'!$J49)</f>
        <v/>
      </c>
      <c r="I49" s="20">
        <f>IF('1. MASTER_ENTRY'!$C49="","",'1. MASTER_ENTRY'!$L49)</f>
        <v/>
      </c>
      <c r="J49" s="20">
        <f>IF('1. MASTER_ENTRY'!$C49="","",'1. MASTER_ENTRY'!$M49)</f>
        <v/>
      </c>
      <c r="K49" s="20">
        <f>IF('1. MASTER_ENTRY'!$C49="","",'1. MASTER_ENTRY'!$R49)</f>
        <v/>
      </c>
    </row>
    <row r="50" ht="16" customHeight="1">
      <c r="A50" s="16">
        <f>IF('1. MASTER_ENTRY'!$C50="","",SUBSTITUTE('1. MASTER_ENTRY'!$A50,"CASE","RISK"))</f>
        <v/>
      </c>
      <c r="B50" s="17">
        <f>IF('1. MASTER_ENTRY'!$C50="","",'1. MASTER_ENTRY'!$C50)</f>
        <v/>
      </c>
      <c r="C50" s="16">
        <f>IF('1. MASTER_ENTRY'!$C50="","",'1. MASTER_ENTRY'!$D50)</f>
        <v/>
      </c>
      <c r="D50" s="16">
        <f>IF('1. MASTER_ENTRY'!$C50="","",'1. MASTER_ENTRY'!$F50)</f>
        <v/>
      </c>
      <c r="E50" s="16">
        <f>IF('1. MASTER_ENTRY'!$C50="","",'1. MASTER_ENTRY'!$G50)</f>
        <v/>
      </c>
      <c r="F50" s="16">
        <f>IF('1. MASTER_ENTRY'!$C50="","",'1. MASTER_ENTRY'!$H50)</f>
        <v/>
      </c>
      <c r="G50" s="16">
        <f>IF('1. MASTER_ENTRY'!$C50="","",'1. MASTER_ENTRY'!$I50)</f>
        <v/>
      </c>
      <c r="H50" s="16">
        <f>IF('1. MASTER_ENTRY'!$C50="","",'1. MASTER_ENTRY'!$J50)</f>
        <v/>
      </c>
      <c r="I50" s="16">
        <f>IF('1. MASTER_ENTRY'!$C50="","",'1. MASTER_ENTRY'!$L50)</f>
        <v/>
      </c>
      <c r="J50" s="16">
        <f>IF('1. MASTER_ENTRY'!$C50="","",'1. MASTER_ENTRY'!$M50)</f>
        <v/>
      </c>
      <c r="K50" s="16">
        <f>IF('1. MASTER_ENTRY'!$C50="","",'1. MASTER_ENTRY'!$R50)</f>
        <v/>
      </c>
    </row>
    <row r="51" ht="16" customHeight="1">
      <c r="A51" s="20">
        <f>IF('1. MASTER_ENTRY'!$C51="","",SUBSTITUTE('1. MASTER_ENTRY'!$A51,"CASE","RISK"))</f>
        <v/>
      </c>
      <c r="B51" s="21">
        <f>IF('1. MASTER_ENTRY'!$C51="","",'1. MASTER_ENTRY'!$C51)</f>
        <v/>
      </c>
      <c r="C51" s="20">
        <f>IF('1. MASTER_ENTRY'!$C51="","",'1. MASTER_ENTRY'!$D51)</f>
        <v/>
      </c>
      <c r="D51" s="20">
        <f>IF('1. MASTER_ENTRY'!$C51="","",'1. MASTER_ENTRY'!$F51)</f>
        <v/>
      </c>
      <c r="E51" s="20">
        <f>IF('1. MASTER_ENTRY'!$C51="","",'1. MASTER_ENTRY'!$G51)</f>
        <v/>
      </c>
      <c r="F51" s="20">
        <f>IF('1. MASTER_ENTRY'!$C51="","",'1. MASTER_ENTRY'!$H51)</f>
        <v/>
      </c>
      <c r="G51" s="20">
        <f>IF('1. MASTER_ENTRY'!$C51="","",'1. MASTER_ENTRY'!$I51)</f>
        <v/>
      </c>
      <c r="H51" s="20">
        <f>IF('1. MASTER_ENTRY'!$C51="","",'1. MASTER_ENTRY'!$J51)</f>
        <v/>
      </c>
      <c r="I51" s="20">
        <f>IF('1. MASTER_ENTRY'!$C51="","",'1. MASTER_ENTRY'!$L51)</f>
        <v/>
      </c>
      <c r="J51" s="20">
        <f>IF('1. MASTER_ENTRY'!$C51="","",'1. MASTER_ENTRY'!$M51)</f>
        <v/>
      </c>
      <c r="K51" s="20">
        <f>IF('1. MASTER_ENTRY'!$C51="","",'1. MASTER_ENTRY'!$R51)</f>
        <v/>
      </c>
    </row>
    <row r="52" ht="16" customHeight="1">
      <c r="A52" s="16">
        <f>IF('1. MASTER_ENTRY'!$C52="","",SUBSTITUTE('1. MASTER_ENTRY'!$A52,"CASE","RISK"))</f>
        <v/>
      </c>
      <c r="B52" s="17">
        <f>IF('1. MASTER_ENTRY'!$C52="","",'1. MASTER_ENTRY'!$C52)</f>
        <v/>
      </c>
      <c r="C52" s="16">
        <f>IF('1. MASTER_ENTRY'!$C52="","",'1. MASTER_ENTRY'!$D52)</f>
        <v/>
      </c>
      <c r="D52" s="16">
        <f>IF('1. MASTER_ENTRY'!$C52="","",'1. MASTER_ENTRY'!$F52)</f>
        <v/>
      </c>
      <c r="E52" s="16">
        <f>IF('1. MASTER_ENTRY'!$C52="","",'1. MASTER_ENTRY'!$G52)</f>
        <v/>
      </c>
      <c r="F52" s="16">
        <f>IF('1. MASTER_ENTRY'!$C52="","",'1. MASTER_ENTRY'!$H52)</f>
        <v/>
      </c>
      <c r="G52" s="16">
        <f>IF('1. MASTER_ENTRY'!$C52="","",'1. MASTER_ENTRY'!$I52)</f>
        <v/>
      </c>
      <c r="H52" s="16">
        <f>IF('1. MASTER_ENTRY'!$C52="","",'1. MASTER_ENTRY'!$J52)</f>
        <v/>
      </c>
      <c r="I52" s="16">
        <f>IF('1. MASTER_ENTRY'!$C52="","",'1. MASTER_ENTRY'!$L52)</f>
        <v/>
      </c>
      <c r="J52" s="16">
        <f>IF('1. MASTER_ENTRY'!$C52="","",'1. MASTER_ENTRY'!$M52)</f>
        <v/>
      </c>
      <c r="K52" s="16">
        <f>IF('1. MASTER_ENTRY'!$C52="","",'1. MASTER_ENTRY'!$R52)</f>
        <v/>
      </c>
    </row>
    <row r="53" ht="16" customHeight="1">
      <c r="A53" s="20">
        <f>IF('1. MASTER_ENTRY'!$C53="","",SUBSTITUTE('1. MASTER_ENTRY'!$A53,"CASE","RISK"))</f>
        <v/>
      </c>
      <c r="B53" s="21">
        <f>IF('1. MASTER_ENTRY'!$C53="","",'1. MASTER_ENTRY'!$C53)</f>
        <v/>
      </c>
      <c r="C53" s="20">
        <f>IF('1. MASTER_ENTRY'!$C53="","",'1. MASTER_ENTRY'!$D53)</f>
        <v/>
      </c>
      <c r="D53" s="20">
        <f>IF('1. MASTER_ENTRY'!$C53="","",'1. MASTER_ENTRY'!$F53)</f>
        <v/>
      </c>
      <c r="E53" s="20">
        <f>IF('1. MASTER_ENTRY'!$C53="","",'1. MASTER_ENTRY'!$G53)</f>
        <v/>
      </c>
      <c r="F53" s="20">
        <f>IF('1. MASTER_ENTRY'!$C53="","",'1. MASTER_ENTRY'!$H53)</f>
        <v/>
      </c>
      <c r="G53" s="20">
        <f>IF('1. MASTER_ENTRY'!$C53="","",'1. MASTER_ENTRY'!$I53)</f>
        <v/>
      </c>
      <c r="H53" s="20">
        <f>IF('1. MASTER_ENTRY'!$C53="","",'1. MASTER_ENTRY'!$J53)</f>
        <v/>
      </c>
      <c r="I53" s="20">
        <f>IF('1. MASTER_ENTRY'!$C53="","",'1. MASTER_ENTRY'!$L53)</f>
        <v/>
      </c>
      <c r="J53" s="20">
        <f>IF('1. MASTER_ENTRY'!$C53="","",'1. MASTER_ENTRY'!$M53)</f>
        <v/>
      </c>
      <c r="K53" s="20">
        <f>IF('1. MASTER_ENTRY'!$C53="","",'1. MASTER_ENTRY'!$R53)</f>
        <v/>
      </c>
    </row>
    <row r="54" ht="16" customHeight="1">
      <c r="A54" s="16">
        <f>IF('1. MASTER_ENTRY'!$C54="","",SUBSTITUTE('1. MASTER_ENTRY'!$A54,"CASE","RISK"))</f>
        <v/>
      </c>
      <c r="B54" s="17">
        <f>IF('1. MASTER_ENTRY'!$C54="","",'1. MASTER_ENTRY'!$C54)</f>
        <v/>
      </c>
      <c r="C54" s="16">
        <f>IF('1. MASTER_ENTRY'!$C54="","",'1. MASTER_ENTRY'!$D54)</f>
        <v/>
      </c>
      <c r="D54" s="16">
        <f>IF('1. MASTER_ENTRY'!$C54="","",'1. MASTER_ENTRY'!$F54)</f>
        <v/>
      </c>
      <c r="E54" s="16">
        <f>IF('1. MASTER_ENTRY'!$C54="","",'1. MASTER_ENTRY'!$G54)</f>
        <v/>
      </c>
      <c r="F54" s="16">
        <f>IF('1. MASTER_ENTRY'!$C54="","",'1. MASTER_ENTRY'!$H54)</f>
        <v/>
      </c>
      <c r="G54" s="16">
        <f>IF('1. MASTER_ENTRY'!$C54="","",'1. MASTER_ENTRY'!$I54)</f>
        <v/>
      </c>
      <c r="H54" s="16">
        <f>IF('1. MASTER_ENTRY'!$C54="","",'1. MASTER_ENTRY'!$J54)</f>
        <v/>
      </c>
      <c r="I54" s="16">
        <f>IF('1. MASTER_ENTRY'!$C54="","",'1. MASTER_ENTRY'!$L54)</f>
        <v/>
      </c>
      <c r="J54" s="16">
        <f>IF('1. MASTER_ENTRY'!$C54="","",'1. MASTER_ENTRY'!$M54)</f>
        <v/>
      </c>
      <c r="K54" s="16">
        <f>IF('1. MASTER_ENTRY'!$C54="","",'1. MASTER_ENTRY'!$R54)</f>
        <v/>
      </c>
    </row>
    <row r="55" ht="16" customHeight="1">
      <c r="A55" s="20">
        <f>IF('1. MASTER_ENTRY'!$C55="","",SUBSTITUTE('1. MASTER_ENTRY'!$A55,"CASE","RISK"))</f>
        <v/>
      </c>
      <c r="B55" s="21">
        <f>IF('1. MASTER_ENTRY'!$C55="","",'1. MASTER_ENTRY'!$C55)</f>
        <v/>
      </c>
      <c r="C55" s="20">
        <f>IF('1. MASTER_ENTRY'!$C55="","",'1. MASTER_ENTRY'!$D55)</f>
        <v/>
      </c>
      <c r="D55" s="20">
        <f>IF('1. MASTER_ENTRY'!$C55="","",'1. MASTER_ENTRY'!$F55)</f>
        <v/>
      </c>
      <c r="E55" s="20">
        <f>IF('1. MASTER_ENTRY'!$C55="","",'1. MASTER_ENTRY'!$G55)</f>
        <v/>
      </c>
      <c r="F55" s="20">
        <f>IF('1. MASTER_ENTRY'!$C55="","",'1. MASTER_ENTRY'!$H55)</f>
        <v/>
      </c>
      <c r="G55" s="20">
        <f>IF('1. MASTER_ENTRY'!$C55="","",'1. MASTER_ENTRY'!$I55)</f>
        <v/>
      </c>
      <c r="H55" s="20">
        <f>IF('1. MASTER_ENTRY'!$C55="","",'1. MASTER_ENTRY'!$J55)</f>
        <v/>
      </c>
      <c r="I55" s="20">
        <f>IF('1. MASTER_ENTRY'!$C55="","",'1. MASTER_ENTRY'!$L55)</f>
        <v/>
      </c>
      <c r="J55" s="20">
        <f>IF('1. MASTER_ENTRY'!$C55="","",'1. MASTER_ENTRY'!$M55)</f>
        <v/>
      </c>
      <c r="K55" s="20">
        <f>IF('1. MASTER_ENTRY'!$C55="","",'1. MASTER_ENTRY'!$R55)</f>
        <v/>
      </c>
    </row>
    <row r="56" ht="16" customHeight="1">
      <c r="A56" s="16">
        <f>IF('1. MASTER_ENTRY'!$C56="","",SUBSTITUTE('1. MASTER_ENTRY'!$A56,"CASE","RISK"))</f>
        <v/>
      </c>
      <c r="B56" s="17">
        <f>IF('1. MASTER_ENTRY'!$C56="","",'1. MASTER_ENTRY'!$C56)</f>
        <v/>
      </c>
      <c r="C56" s="16">
        <f>IF('1. MASTER_ENTRY'!$C56="","",'1. MASTER_ENTRY'!$D56)</f>
        <v/>
      </c>
      <c r="D56" s="16">
        <f>IF('1. MASTER_ENTRY'!$C56="","",'1. MASTER_ENTRY'!$F56)</f>
        <v/>
      </c>
      <c r="E56" s="16">
        <f>IF('1. MASTER_ENTRY'!$C56="","",'1. MASTER_ENTRY'!$G56)</f>
        <v/>
      </c>
      <c r="F56" s="16">
        <f>IF('1. MASTER_ENTRY'!$C56="","",'1. MASTER_ENTRY'!$H56)</f>
        <v/>
      </c>
      <c r="G56" s="16">
        <f>IF('1. MASTER_ENTRY'!$C56="","",'1. MASTER_ENTRY'!$I56)</f>
        <v/>
      </c>
      <c r="H56" s="16">
        <f>IF('1. MASTER_ENTRY'!$C56="","",'1. MASTER_ENTRY'!$J56)</f>
        <v/>
      </c>
      <c r="I56" s="16">
        <f>IF('1. MASTER_ENTRY'!$C56="","",'1. MASTER_ENTRY'!$L56)</f>
        <v/>
      </c>
      <c r="J56" s="16">
        <f>IF('1. MASTER_ENTRY'!$C56="","",'1. MASTER_ENTRY'!$M56)</f>
        <v/>
      </c>
      <c r="K56" s="16">
        <f>IF('1. MASTER_ENTRY'!$C56="","",'1. MASTER_ENTRY'!$R56)</f>
        <v/>
      </c>
    </row>
    <row r="57" ht="16" customHeight="1">
      <c r="A57" s="20">
        <f>IF('1. MASTER_ENTRY'!$C57="","",SUBSTITUTE('1. MASTER_ENTRY'!$A57,"CASE","RISK"))</f>
        <v/>
      </c>
      <c r="B57" s="21">
        <f>IF('1. MASTER_ENTRY'!$C57="","",'1. MASTER_ENTRY'!$C57)</f>
        <v/>
      </c>
      <c r="C57" s="20">
        <f>IF('1. MASTER_ENTRY'!$C57="","",'1. MASTER_ENTRY'!$D57)</f>
        <v/>
      </c>
      <c r="D57" s="20">
        <f>IF('1. MASTER_ENTRY'!$C57="","",'1. MASTER_ENTRY'!$F57)</f>
        <v/>
      </c>
      <c r="E57" s="20">
        <f>IF('1. MASTER_ENTRY'!$C57="","",'1. MASTER_ENTRY'!$G57)</f>
        <v/>
      </c>
      <c r="F57" s="20">
        <f>IF('1. MASTER_ENTRY'!$C57="","",'1. MASTER_ENTRY'!$H57)</f>
        <v/>
      </c>
      <c r="G57" s="20">
        <f>IF('1. MASTER_ENTRY'!$C57="","",'1. MASTER_ENTRY'!$I57)</f>
        <v/>
      </c>
      <c r="H57" s="20">
        <f>IF('1. MASTER_ENTRY'!$C57="","",'1. MASTER_ENTRY'!$J57)</f>
        <v/>
      </c>
      <c r="I57" s="20">
        <f>IF('1. MASTER_ENTRY'!$C57="","",'1. MASTER_ENTRY'!$L57)</f>
        <v/>
      </c>
      <c r="J57" s="20">
        <f>IF('1. MASTER_ENTRY'!$C57="","",'1. MASTER_ENTRY'!$M57)</f>
        <v/>
      </c>
      <c r="K57" s="20">
        <f>IF('1. MASTER_ENTRY'!$C57="","",'1. MASTER_ENTRY'!$R57)</f>
        <v/>
      </c>
    </row>
    <row r="58" ht="16" customHeight="1">
      <c r="A58" s="16">
        <f>IF('1. MASTER_ENTRY'!$C58="","",SUBSTITUTE('1. MASTER_ENTRY'!$A58,"CASE","RISK"))</f>
        <v/>
      </c>
      <c r="B58" s="17">
        <f>IF('1. MASTER_ENTRY'!$C58="","",'1. MASTER_ENTRY'!$C58)</f>
        <v/>
      </c>
      <c r="C58" s="16">
        <f>IF('1. MASTER_ENTRY'!$C58="","",'1. MASTER_ENTRY'!$D58)</f>
        <v/>
      </c>
      <c r="D58" s="16">
        <f>IF('1. MASTER_ENTRY'!$C58="","",'1. MASTER_ENTRY'!$F58)</f>
        <v/>
      </c>
      <c r="E58" s="16">
        <f>IF('1. MASTER_ENTRY'!$C58="","",'1. MASTER_ENTRY'!$G58)</f>
        <v/>
      </c>
      <c r="F58" s="16">
        <f>IF('1. MASTER_ENTRY'!$C58="","",'1. MASTER_ENTRY'!$H58)</f>
        <v/>
      </c>
      <c r="G58" s="16">
        <f>IF('1. MASTER_ENTRY'!$C58="","",'1. MASTER_ENTRY'!$I58)</f>
        <v/>
      </c>
      <c r="H58" s="16">
        <f>IF('1. MASTER_ENTRY'!$C58="","",'1. MASTER_ENTRY'!$J58)</f>
        <v/>
      </c>
      <c r="I58" s="16">
        <f>IF('1. MASTER_ENTRY'!$C58="","",'1. MASTER_ENTRY'!$L58)</f>
        <v/>
      </c>
      <c r="J58" s="16">
        <f>IF('1. MASTER_ENTRY'!$C58="","",'1. MASTER_ENTRY'!$M58)</f>
        <v/>
      </c>
      <c r="K58" s="16">
        <f>IF('1. MASTER_ENTRY'!$C58="","",'1. MASTER_ENTRY'!$R58)</f>
        <v/>
      </c>
    </row>
    <row r="59" ht="16" customHeight="1">
      <c r="A59" s="20">
        <f>IF('1. MASTER_ENTRY'!$C59="","",SUBSTITUTE('1. MASTER_ENTRY'!$A59,"CASE","RISK"))</f>
        <v/>
      </c>
      <c r="B59" s="21">
        <f>IF('1. MASTER_ENTRY'!$C59="","",'1. MASTER_ENTRY'!$C59)</f>
        <v/>
      </c>
      <c r="C59" s="20">
        <f>IF('1. MASTER_ENTRY'!$C59="","",'1. MASTER_ENTRY'!$D59)</f>
        <v/>
      </c>
      <c r="D59" s="20">
        <f>IF('1. MASTER_ENTRY'!$C59="","",'1. MASTER_ENTRY'!$F59)</f>
        <v/>
      </c>
      <c r="E59" s="20">
        <f>IF('1. MASTER_ENTRY'!$C59="","",'1. MASTER_ENTRY'!$G59)</f>
        <v/>
      </c>
      <c r="F59" s="20">
        <f>IF('1. MASTER_ENTRY'!$C59="","",'1. MASTER_ENTRY'!$H59)</f>
        <v/>
      </c>
      <c r="G59" s="20">
        <f>IF('1. MASTER_ENTRY'!$C59="","",'1. MASTER_ENTRY'!$I59)</f>
        <v/>
      </c>
      <c r="H59" s="20">
        <f>IF('1. MASTER_ENTRY'!$C59="","",'1. MASTER_ENTRY'!$J59)</f>
        <v/>
      </c>
      <c r="I59" s="20">
        <f>IF('1. MASTER_ENTRY'!$C59="","",'1. MASTER_ENTRY'!$L59)</f>
        <v/>
      </c>
      <c r="J59" s="20">
        <f>IF('1. MASTER_ENTRY'!$C59="","",'1. MASTER_ENTRY'!$M59)</f>
        <v/>
      </c>
      <c r="K59" s="20">
        <f>IF('1. MASTER_ENTRY'!$C59="","",'1. MASTER_ENTRY'!$R59)</f>
        <v/>
      </c>
    </row>
    <row r="60" ht="16" customHeight="1">
      <c r="A60" s="16">
        <f>IF('1. MASTER_ENTRY'!$C60="","",SUBSTITUTE('1. MASTER_ENTRY'!$A60,"CASE","RISK"))</f>
        <v/>
      </c>
      <c r="B60" s="17">
        <f>IF('1. MASTER_ENTRY'!$C60="","",'1. MASTER_ENTRY'!$C60)</f>
        <v/>
      </c>
      <c r="C60" s="16">
        <f>IF('1. MASTER_ENTRY'!$C60="","",'1. MASTER_ENTRY'!$D60)</f>
        <v/>
      </c>
      <c r="D60" s="16">
        <f>IF('1. MASTER_ENTRY'!$C60="","",'1. MASTER_ENTRY'!$F60)</f>
        <v/>
      </c>
      <c r="E60" s="16">
        <f>IF('1. MASTER_ENTRY'!$C60="","",'1. MASTER_ENTRY'!$G60)</f>
        <v/>
      </c>
      <c r="F60" s="16">
        <f>IF('1. MASTER_ENTRY'!$C60="","",'1. MASTER_ENTRY'!$H60)</f>
        <v/>
      </c>
      <c r="G60" s="16">
        <f>IF('1. MASTER_ENTRY'!$C60="","",'1. MASTER_ENTRY'!$I60)</f>
        <v/>
      </c>
      <c r="H60" s="16">
        <f>IF('1. MASTER_ENTRY'!$C60="","",'1. MASTER_ENTRY'!$J60)</f>
        <v/>
      </c>
      <c r="I60" s="16">
        <f>IF('1. MASTER_ENTRY'!$C60="","",'1. MASTER_ENTRY'!$L60)</f>
        <v/>
      </c>
      <c r="J60" s="16">
        <f>IF('1. MASTER_ENTRY'!$C60="","",'1. MASTER_ENTRY'!$M60)</f>
        <v/>
      </c>
      <c r="K60" s="16">
        <f>IF('1. MASTER_ENTRY'!$C60="","",'1. MASTER_ENTRY'!$R60)</f>
        <v/>
      </c>
    </row>
    <row r="61" ht="16" customHeight="1">
      <c r="A61" s="20">
        <f>IF('1. MASTER_ENTRY'!$C61="","",SUBSTITUTE('1. MASTER_ENTRY'!$A61,"CASE","RISK"))</f>
        <v/>
      </c>
      <c r="B61" s="21">
        <f>IF('1. MASTER_ENTRY'!$C61="","",'1. MASTER_ENTRY'!$C61)</f>
        <v/>
      </c>
      <c r="C61" s="20">
        <f>IF('1. MASTER_ENTRY'!$C61="","",'1. MASTER_ENTRY'!$D61)</f>
        <v/>
      </c>
      <c r="D61" s="20">
        <f>IF('1. MASTER_ENTRY'!$C61="","",'1. MASTER_ENTRY'!$F61)</f>
        <v/>
      </c>
      <c r="E61" s="20">
        <f>IF('1. MASTER_ENTRY'!$C61="","",'1. MASTER_ENTRY'!$G61)</f>
        <v/>
      </c>
      <c r="F61" s="20">
        <f>IF('1. MASTER_ENTRY'!$C61="","",'1. MASTER_ENTRY'!$H61)</f>
        <v/>
      </c>
      <c r="G61" s="20">
        <f>IF('1. MASTER_ENTRY'!$C61="","",'1. MASTER_ENTRY'!$I61)</f>
        <v/>
      </c>
      <c r="H61" s="20">
        <f>IF('1. MASTER_ENTRY'!$C61="","",'1. MASTER_ENTRY'!$J61)</f>
        <v/>
      </c>
      <c r="I61" s="20">
        <f>IF('1. MASTER_ENTRY'!$C61="","",'1. MASTER_ENTRY'!$L61)</f>
        <v/>
      </c>
      <c r="J61" s="20">
        <f>IF('1. MASTER_ENTRY'!$C61="","",'1. MASTER_ENTRY'!$M61)</f>
        <v/>
      </c>
      <c r="K61" s="20">
        <f>IF('1. MASTER_ENTRY'!$C61="","",'1. MASTER_ENTRY'!$R61)</f>
        <v/>
      </c>
    </row>
    <row r="62" ht="16" customHeight="1">
      <c r="A62" s="16">
        <f>IF('1. MASTER_ENTRY'!$C62="","",SUBSTITUTE('1. MASTER_ENTRY'!$A62,"CASE","RISK"))</f>
        <v/>
      </c>
      <c r="B62" s="17">
        <f>IF('1. MASTER_ENTRY'!$C62="","",'1. MASTER_ENTRY'!$C62)</f>
        <v/>
      </c>
      <c r="C62" s="16">
        <f>IF('1. MASTER_ENTRY'!$C62="","",'1. MASTER_ENTRY'!$D62)</f>
        <v/>
      </c>
      <c r="D62" s="16">
        <f>IF('1. MASTER_ENTRY'!$C62="","",'1. MASTER_ENTRY'!$F62)</f>
        <v/>
      </c>
      <c r="E62" s="16">
        <f>IF('1. MASTER_ENTRY'!$C62="","",'1. MASTER_ENTRY'!$G62)</f>
        <v/>
      </c>
      <c r="F62" s="16">
        <f>IF('1. MASTER_ENTRY'!$C62="","",'1. MASTER_ENTRY'!$H62)</f>
        <v/>
      </c>
      <c r="G62" s="16">
        <f>IF('1. MASTER_ENTRY'!$C62="","",'1. MASTER_ENTRY'!$I62)</f>
        <v/>
      </c>
      <c r="H62" s="16">
        <f>IF('1. MASTER_ENTRY'!$C62="","",'1. MASTER_ENTRY'!$J62)</f>
        <v/>
      </c>
      <c r="I62" s="16">
        <f>IF('1. MASTER_ENTRY'!$C62="","",'1. MASTER_ENTRY'!$L62)</f>
        <v/>
      </c>
      <c r="J62" s="16">
        <f>IF('1. MASTER_ENTRY'!$C62="","",'1. MASTER_ENTRY'!$M62)</f>
        <v/>
      </c>
      <c r="K62" s="16">
        <f>IF('1. MASTER_ENTRY'!$C62="","",'1. MASTER_ENTRY'!$R62)</f>
        <v/>
      </c>
    </row>
    <row r="63" ht="16" customHeight="1">
      <c r="A63" s="20">
        <f>IF('1. MASTER_ENTRY'!$C63="","",SUBSTITUTE('1. MASTER_ENTRY'!$A63,"CASE","RISK"))</f>
        <v/>
      </c>
      <c r="B63" s="21">
        <f>IF('1. MASTER_ENTRY'!$C63="","",'1. MASTER_ENTRY'!$C63)</f>
        <v/>
      </c>
      <c r="C63" s="20">
        <f>IF('1. MASTER_ENTRY'!$C63="","",'1. MASTER_ENTRY'!$D63)</f>
        <v/>
      </c>
      <c r="D63" s="20">
        <f>IF('1. MASTER_ENTRY'!$C63="","",'1. MASTER_ENTRY'!$F63)</f>
        <v/>
      </c>
      <c r="E63" s="20">
        <f>IF('1. MASTER_ENTRY'!$C63="","",'1. MASTER_ENTRY'!$G63)</f>
        <v/>
      </c>
      <c r="F63" s="20">
        <f>IF('1. MASTER_ENTRY'!$C63="","",'1. MASTER_ENTRY'!$H63)</f>
        <v/>
      </c>
      <c r="G63" s="20">
        <f>IF('1. MASTER_ENTRY'!$C63="","",'1. MASTER_ENTRY'!$I63)</f>
        <v/>
      </c>
      <c r="H63" s="20">
        <f>IF('1. MASTER_ENTRY'!$C63="","",'1. MASTER_ENTRY'!$J63)</f>
        <v/>
      </c>
      <c r="I63" s="20">
        <f>IF('1. MASTER_ENTRY'!$C63="","",'1. MASTER_ENTRY'!$L63)</f>
        <v/>
      </c>
      <c r="J63" s="20">
        <f>IF('1. MASTER_ENTRY'!$C63="","",'1. MASTER_ENTRY'!$M63)</f>
        <v/>
      </c>
      <c r="K63" s="20">
        <f>IF('1. MASTER_ENTRY'!$C63="","",'1. MASTER_ENTRY'!$R63)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K2"/>
    <mergeCell ref="A1:K1"/>
  </mergeCells>
  <conditionalFormatting sqref="G4:G63">
    <cfRule type="colorScale" priority="1">
      <colorScale>
        <cfvo type="num" val="0"/>
        <cfvo type="num" val="100"/>
        <cfvo type="num" val="3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4" customWidth="1" min="3" max="3"/>
    <col width="30" customWidth="1" min="4" max="4"/>
    <col width="6" customWidth="1" min="5" max="5"/>
    <col width="6" customWidth="1" min="6" max="6"/>
    <col width="6" customWidth="1" min="7" max="7"/>
    <col width="8" customWidth="1" min="8" max="8"/>
    <col width="12" customWidth="1" min="9" max="9"/>
    <col width="50" customWidth="1" min="10" max="10"/>
    <col width="14" customWidth="1" min="11" max="11"/>
    <col width="13" customWidth="1" min="12" max="12"/>
  </cols>
  <sheetData>
    <row r="1" ht="34" customHeight="1">
      <c r="A1" s="1" t="inlineStr">
        <is>
          <t xml:space="preserve">  FMEA  -  Failure Mode &amp; Effects Analysis (auto from cases)</t>
        </is>
      </c>
    </row>
    <row r="2" ht="20" customHeight="1">
      <c r="A2" s="2" t="inlineStr">
        <is>
          <t xml:space="preserve">  Read-only. Area=category, Failure=problem, Cause=root cause. RPN &amp; action auto-fill.</t>
        </is>
      </c>
    </row>
    <row r="3" ht="30" customHeight="1">
      <c r="A3" s="26" t="inlineStr">
        <is>
          <t>CASE ID</t>
        </is>
      </c>
      <c r="B3" s="26" t="inlineStr">
        <is>
          <t>PROCESS / AREA</t>
        </is>
      </c>
      <c r="C3" s="26" t="inlineStr">
        <is>
          <t>FAILURE MODE (problem)</t>
        </is>
      </c>
      <c r="D3" s="26" t="inlineStr">
        <is>
          <t>POTENTIAL CAUSE</t>
        </is>
      </c>
      <c r="E3" s="26" t="inlineStr">
        <is>
          <t>SEV</t>
        </is>
      </c>
      <c r="F3" s="26" t="inlineStr">
        <is>
          <t>OCC</t>
        </is>
      </c>
      <c r="G3" s="26" t="inlineStr">
        <is>
          <t>DET</t>
        </is>
      </c>
      <c r="H3" s="26" t="inlineStr">
        <is>
          <t>RPN</t>
        </is>
      </c>
      <c r="I3" s="26" t="inlineStr">
        <is>
          <t>BAND</t>
        </is>
      </c>
      <c r="J3" s="26" t="inlineStr">
        <is>
          <t>RECOMMENDED ACTION (AI)</t>
        </is>
      </c>
      <c r="K3" s="26" t="inlineStr">
        <is>
          <t>OWNER</t>
        </is>
      </c>
      <c r="L3" s="26" t="inlineStr">
        <is>
          <t>STATUS</t>
        </is>
      </c>
    </row>
    <row r="4" ht="16" customHeight="1">
      <c r="A4" s="16">
        <f>IF('1. MASTER_ENTRY'!$C4="","",'1. MASTER_ENTRY'!$A4)</f>
        <v/>
      </c>
      <c r="B4" s="16">
        <f>IF('1. MASTER_ENTRY'!$C4="","",'1. MASTER_ENTRY'!$D4)</f>
        <v/>
      </c>
      <c r="C4" s="17">
        <f>IF('1. MASTER_ENTRY'!$C4="","",'1. MASTER_ENTRY'!$C4)</f>
        <v/>
      </c>
      <c r="D4" s="17">
        <f>IF('1. MASTER_ENTRY'!$C4="","",'1. MASTER_ENTRY'!$K4)</f>
        <v/>
      </c>
      <c r="E4" s="16">
        <f>IF('1. MASTER_ENTRY'!$C4="","",'1. MASTER_ENTRY'!$F4)</f>
        <v/>
      </c>
      <c r="F4" s="16">
        <f>IF('1. MASTER_ENTRY'!$C4="","",'1. MASTER_ENTRY'!$G4)</f>
        <v/>
      </c>
      <c r="G4" s="16">
        <f>IF('1. MASTER_ENTRY'!$C4="","",'1. MASTER_ENTRY'!$H4)</f>
        <v/>
      </c>
      <c r="H4" s="16">
        <f>IF('1. MASTER_ENTRY'!$C4="","",'1. MASTER_ENTRY'!$I4)</f>
        <v/>
      </c>
      <c r="I4" s="16">
        <f>IF('1. MASTER_ENTRY'!$C4="","",'1. MASTER_ENTRY'!$J4)</f>
        <v/>
      </c>
      <c r="J4" s="17">
        <f>IF('1. MASTER_ENTRY'!$C4="","",'1. MASTER_ENTRY'!$U4)</f>
        <v/>
      </c>
      <c r="K4" s="16">
        <f>IF('1. MASTER_ENTRY'!$C4="","",'1. MASTER_ENTRY'!$M4)</f>
        <v/>
      </c>
      <c r="L4" s="16">
        <f>IF('1. MASTER_ENTRY'!$C4="","",'1. MASTER_ENTRY'!$R4)</f>
        <v/>
      </c>
    </row>
    <row r="5" ht="16" customHeight="1">
      <c r="A5" s="20">
        <f>IF('1. MASTER_ENTRY'!$C5="","",'1. MASTER_ENTRY'!$A5)</f>
        <v/>
      </c>
      <c r="B5" s="20">
        <f>IF('1. MASTER_ENTRY'!$C5="","",'1. MASTER_ENTRY'!$D5)</f>
        <v/>
      </c>
      <c r="C5" s="21">
        <f>IF('1. MASTER_ENTRY'!$C5="","",'1. MASTER_ENTRY'!$C5)</f>
        <v/>
      </c>
      <c r="D5" s="21">
        <f>IF('1. MASTER_ENTRY'!$C5="","",'1. MASTER_ENTRY'!$K5)</f>
        <v/>
      </c>
      <c r="E5" s="20">
        <f>IF('1. MASTER_ENTRY'!$C5="","",'1. MASTER_ENTRY'!$F5)</f>
        <v/>
      </c>
      <c r="F5" s="20">
        <f>IF('1. MASTER_ENTRY'!$C5="","",'1. MASTER_ENTRY'!$G5)</f>
        <v/>
      </c>
      <c r="G5" s="20">
        <f>IF('1. MASTER_ENTRY'!$C5="","",'1. MASTER_ENTRY'!$H5)</f>
        <v/>
      </c>
      <c r="H5" s="20">
        <f>IF('1. MASTER_ENTRY'!$C5="","",'1. MASTER_ENTRY'!$I5)</f>
        <v/>
      </c>
      <c r="I5" s="20">
        <f>IF('1. MASTER_ENTRY'!$C5="","",'1. MASTER_ENTRY'!$J5)</f>
        <v/>
      </c>
      <c r="J5" s="21">
        <f>IF('1. MASTER_ENTRY'!$C5="","",'1. MASTER_ENTRY'!$U5)</f>
        <v/>
      </c>
      <c r="K5" s="20">
        <f>IF('1. MASTER_ENTRY'!$C5="","",'1. MASTER_ENTRY'!$M5)</f>
        <v/>
      </c>
      <c r="L5" s="20">
        <f>IF('1. MASTER_ENTRY'!$C5="","",'1. MASTER_ENTRY'!$R5)</f>
        <v/>
      </c>
    </row>
    <row r="6" ht="16" customHeight="1">
      <c r="A6" s="16">
        <f>IF('1. MASTER_ENTRY'!$C6="","",'1. MASTER_ENTRY'!$A6)</f>
        <v/>
      </c>
      <c r="B6" s="16">
        <f>IF('1. MASTER_ENTRY'!$C6="","",'1. MASTER_ENTRY'!$D6)</f>
        <v/>
      </c>
      <c r="C6" s="17">
        <f>IF('1. MASTER_ENTRY'!$C6="","",'1. MASTER_ENTRY'!$C6)</f>
        <v/>
      </c>
      <c r="D6" s="17">
        <f>IF('1. MASTER_ENTRY'!$C6="","",'1. MASTER_ENTRY'!$K6)</f>
        <v/>
      </c>
      <c r="E6" s="16">
        <f>IF('1. MASTER_ENTRY'!$C6="","",'1. MASTER_ENTRY'!$F6)</f>
        <v/>
      </c>
      <c r="F6" s="16">
        <f>IF('1. MASTER_ENTRY'!$C6="","",'1. MASTER_ENTRY'!$G6)</f>
        <v/>
      </c>
      <c r="G6" s="16">
        <f>IF('1. MASTER_ENTRY'!$C6="","",'1. MASTER_ENTRY'!$H6)</f>
        <v/>
      </c>
      <c r="H6" s="16">
        <f>IF('1. MASTER_ENTRY'!$C6="","",'1. MASTER_ENTRY'!$I6)</f>
        <v/>
      </c>
      <c r="I6" s="16">
        <f>IF('1. MASTER_ENTRY'!$C6="","",'1. MASTER_ENTRY'!$J6)</f>
        <v/>
      </c>
      <c r="J6" s="17">
        <f>IF('1. MASTER_ENTRY'!$C6="","",'1. MASTER_ENTRY'!$U6)</f>
        <v/>
      </c>
      <c r="K6" s="16">
        <f>IF('1. MASTER_ENTRY'!$C6="","",'1. MASTER_ENTRY'!$M6)</f>
        <v/>
      </c>
      <c r="L6" s="16">
        <f>IF('1. MASTER_ENTRY'!$C6="","",'1. MASTER_ENTRY'!$R6)</f>
        <v/>
      </c>
    </row>
    <row r="7" ht="16" customHeight="1">
      <c r="A7" s="20">
        <f>IF('1. MASTER_ENTRY'!$C7="","",'1. MASTER_ENTRY'!$A7)</f>
        <v/>
      </c>
      <c r="B7" s="20">
        <f>IF('1. MASTER_ENTRY'!$C7="","",'1. MASTER_ENTRY'!$D7)</f>
        <v/>
      </c>
      <c r="C7" s="21">
        <f>IF('1. MASTER_ENTRY'!$C7="","",'1. MASTER_ENTRY'!$C7)</f>
        <v/>
      </c>
      <c r="D7" s="21">
        <f>IF('1. MASTER_ENTRY'!$C7="","",'1. MASTER_ENTRY'!$K7)</f>
        <v/>
      </c>
      <c r="E7" s="20">
        <f>IF('1. MASTER_ENTRY'!$C7="","",'1. MASTER_ENTRY'!$F7)</f>
        <v/>
      </c>
      <c r="F7" s="20">
        <f>IF('1. MASTER_ENTRY'!$C7="","",'1. MASTER_ENTRY'!$G7)</f>
        <v/>
      </c>
      <c r="G7" s="20">
        <f>IF('1. MASTER_ENTRY'!$C7="","",'1. MASTER_ENTRY'!$H7)</f>
        <v/>
      </c>
      <c r="H7" s="20">
        <f>IF('1. MASTER_ENTRY'!$C7="","",'1. MASTER_ENTRY'!$I7)</f>
        <v/>
      </c>
      <c r="I7" s="20">
        <f>IF('1. MASTER_ENTRY'!$C7="","",'1. MASTER_ENTRY'!$J7)</f>
        <v/>
      </c>
      <c r="J7" s="21">
        <f>IF('1. MASTER_ENTRY'!$C7="","",'1. MASTER_ENTRY'!$U7)</f>
        <v/>
      </c>
      <c r="K7" s="20">
        <f>IF('1. MASTER_ENTRY'!$C7="","",'1. MASTER_ENTRY'!$M7)</f>
        <v/>
      </c>
      <c r="L7" s="20">
        <f>IF('1. MASTER_ENTRY'!$C7="","",'1. MASTER_ENTRY'!$R7)</f>
        <v/>
      </c>
    </row>
    <row r="8" ht="16" customHeight="1">
      <c r="A8" s="16">
        <f>IF('1. MASTER_ENTRY'!$C8="","",'1. MASTER_ENTRY'!$A8)</f>
        <v/>
      </c>
      <c r="B8" s="16">
        <f>IF('1. MASTER_ENTRY'!$C8="","",'1. MASTER_ENTRY'!$D8)</f>
        <v/>
      </c>
      <c r="C8" s="17">
        <f>IF('1. MASTER_ENTRY'!$C8="","",'1. MASTER_ENTRY'!$C8)</f>
        <v/>
      </c>
      <c r="D8" s="17">
        <f>IF('1. MASTER_ENTRY'!$C8="","",'1. MASTER_ENTRY'!$K8)</f>
        <v/>
      </c>
      <c r="E8" s="16">
        <f>IF('1. MASTER_ENTRY'!$C8="","",'1. MASTER_ENTRY'!$F8)</f>
        <v/>
      </c>
      <c r="F8" s="16">
        <f>IF('1. MASTER_ENTRY'!$C8="","",'1. MASTER_ENTRY'!$G8)</f>
        <v/>
      </c>
      <c r="G8" s="16">
        <f>IF('1. MASTER_ENTRY'!$C8="","",'1. MASTER_ENTRY'!$H8)</f>
        <v/>
      </c>
      <c r="H8" s="16">
        <f>IF('1. MASTER_ENTRY'!$C8="","",'1. MASTER_ENTRY'!$I8)</f>
        <v/>
      </c>
      <c r="I8" s="16">
        <f>IF('1. MASTER_ENTRY'!$C8="","",'1. MASTER_ENTRY'!$J8)</f>
        <v/>
      </c>
      <c r="J8" s="17">
        <f>IF('1. MASTER_ENTRY'!$C8="","",'1. MASTER_ENTRY'!$U8)</f>
        <v/>
      </c>
      <c r="K8" s="16">
        <f>IF('1. MASTER_ENTRY'!$C8="","",'1. MASTER_ENTRY'!$M8)</f>
        <v/>
      </c>
      <c r="L8" s="16">
        <f>IF('1. MASTER_ENTRY'!$C8="","",'1. MASTER_ENTRY'!$R8)</f>
        <v/>
      </c>
    </row>
    <row r="9" ht="16" customHeight="1">
      <c r="A9" s="20">
        <f>IF('1. MASTER_ENTRY'!$C9="","",'1. MASTER_ENTRY'!$A9)</f>
        <v/>
      </c>
      <c r="B9" s="20">
        <f>IF('1. MASTER_ENTRY'!$C9="","",'1. MASTER_ENTRY'!$D9)</f>
        <v/>
      </c>
      <c r="C9" s="21">
        <f>IF('1. MASTER_ENTRY'!$C9="","",'1. MASTER_ENTRY'!$C9)</f>
        <v/>
      </c>
      <c r="D9" s="21">
        <f>IF('1. MASTER_ENTRY'!$C9="","",'1. MASTER_ENTRY'!$K9)</f>
        <v/>
      </c>
      <c r="E9" s="20">
        <f>IF('1. MASTER_ENTRY'!$C9="","",'1. MASTER_ENTRY'!$F9)</f>
        <v/>
      </c>
      <c r="F9" s="20">
        <f>IF('1. MASTER_ENTRY'!$C9="","",'1. MASTER_ENTRY'!$G9)</f>
        <v/>
      </c>
      <c r="G9" s="20">
        <f>IF('1. MASTER_ENTRY'!$C9="","",'1. MASTER_ENTRY'!$H9)</f>
        <v/>
      </c>
      <c r="H9" s="20">
        <f>IF('1. MASTER_ENTRY'!$C9="","",'1. MASTER_ENTRY'!$I9)</f>
        <v/>
      </c>
      <c r="I9" s="20">
        <f>IF('1. MASTER_ENTRY'!$C9="","",'1. MASTER_ENTRY'!$J9)</f>
        <v/>
      </c>
      <c r="J9" s="21">
        <f>IF('1. MASTER_ENTRY'!$C9="","",'1. MASTER_ENTRY'!$U9)</f>
        <v/>
      </c>
      <c r="K9" s="20">
        <f>IF('1. MASTER_ENTRY'!$C9="","",'1. MASTER_ENTRY'!$M9)</f>
        <v/>
      </c>
      <c r="L9" s="20">
        <f>IF('1. MASTER_ENTRY'!$C9="","",'1. MASTER_ENTRY'!$R9)</f>
        <v/>
      </c>
    </row>
    <row r="10" ht="16" customHeight="1">
      <c r="A10" s="16">
        <f>IF('1. MASTER_ENTRY'!$C10="","",'1. MASTER_ENTRY'!$A10)</f>
        <v/>
      </c>
      <c r="B10" s="16">
        <f>IF('1. MASTER_ENTRY'!$C10="","",'1. MASTER_ENTRY'!$D10)</f>
        <v/>
      </c>
      <c r="C10" s="17">
        <f>IF('1. MASTER_ENTRY'!$C10="","",'1. MASTER_ENTRY'!$C10)</f>
        <v/>
      </c>
      <c r="D10" s="17">
        <f>IF('1. MASTER_ENTRY'!$C10="","",'1. MASTER_ENTRY'!$K10)</f>
        <v/>
      </c>
      <c r="E10" s="16">
        <f>IF('1. MASTER_ENTRY'!$C10="","",'1. MASTER_ENTRY'!$F10)</f>
        <v/>
      </c>
      <c r="F10" s="16">
        <f>IF('1. MASTER_ENTRY'!$C10="","",'1. MASTER_ENTRY'!$G10)</f>
        <v/>
      </c>
      <c r="G10" s="16">
        <f>IF('1. MASTER_ENTRY'!$C10="","",'1. MASTER_ENTRY'!$H10)</f>
        <v/>
      </c>
      <c r="H10" s="16">
        <f>IF('1. MASTER_ENTRY'!$C10="","",'1. MASTER_ENTRY'!$I10)</f>
        <v/>
      </c>
      <c r="I10" s="16">
        <f>IF('1. MASTER_ENTRY'!$C10="","",'1. MASTER_ENTRY'!$J10)</f>
        <v/>
      </c>
      <c r="J10" s="17">
        <f>IF('1. MASTER_ENTRY'!$C10="","",'1. MASTER_ENTRY'!$U10)</f>
        <v/>
      </c>
      <c r="K10" s="16">
        <f>IF('1. MASTER_ENTRY'!$C10="","",'1. MASTER_ENTRY'!$M10)</f>
        <v/>
      </c>
      <c r="L10" s="16">
        <f>IF('1. MASTER_ENTRY'!$C10="","",'1. MASTER_ENTRY'!$R10)</f>
        <v/>
      </c>
    </row>
    <row r="11" ht="16" customHeight="1">
      <c r="A11" s="20">
        <f>IF('1. MASTER_ENTRY'!$C11="","",'1. MASTER_ENTRY'!$A11)</f>
        <v/>
      </c>
      <c r="B11" s="20">
        <f>IF('1. MASTER_ENTRY'!$C11="","",'1. MASTER_ENTRY'!$D11)</f>
        <v/>
      </c>
      <c r="C11" s="21">
        <f>IF('1. MASTER_ENTRY'!$C11="","",'1. MASTER_ENTRY'!$C11)</f>
        <v/>
      </c>
      <c r="D11" s="21">
        <f>IF('1. MASTER_ENTRY'!$C11="","",'1. MASTER_ENTRY'!$K11)</f>
        <v/>
      </c>
      <c r="E11" s="20">
        <f>IF('1. MASTER_ENTRY'!$C11="","",'1. MASTER_ENTRY'!$F11)</f>
        <v/>
      </c>
      <c r="F11" s="20">
        <f>IF('1. MASTER_ENTRY'!$C11="","",'1. MASTER_ENTRY'!$G11)</f>
        <v/>
      </c>
      <c r="G11" s="20">
        <f>IF('1. MASTER_ENTRY'!$C11="","",'1. MASTER_ENTRY'!$H11)</f>
        <v/>
      </c>
      <c r="H11" s="20">
        <f>IF('1. MASTER_ENTRY'!$C11="","",'1. MASTER_ENTRY'!$I11)</f>
        <v/>
      </c>
      <c r="I11" s="20">
        <f>IF('1. MASTER_ENTRY'!$C11="","",'1. MASTER_ENTRY'!$J11)</f>
        <v/>
      </c>
      <c r="J11" s="21">
        <f>IF('1. MASTER_ENTRY'!$C11="","",'1. MASTER_ENTRY'!$U11)</f>
        <v/>
      </c>
      <c r="K11" s="20">
        <f>IF('1. MASTER_ENTRY'!$C11="","",'1. MASTER_ENTRY'!$M11)</f>
        <v/>
      </c>
      <c r="L11" s="20">
        <f>IF('1. MASTER_ENTRY'!$C11="","",'1. MASTER_ENTRY'!$R11)</f>
        <v/>
      </c>
    </row>
    <row r="12" ht="16" customHeight="1">
      <c r="A12" s="16">
        <f>IF('1. MASTER_ENTRY'!$C12="","",'1. MASTER_ENTRY'!$A12)</f>
        <v/>
      </c>
      <c r="B12" s="16">
        <f>IF('1. MASTER_ENTRY'!$C12="","",'1. MASTER_ENTRY'!$D12)</f>
        <v/>
      </c>
      <c r="C12" s="17">
        <f>IF('1. MASTER_ENTRY'!$C12="","",'1. MASTER_ENTRY'!$C12)</f>
        <v/>
      </c>
      <c r="D12" s="17">
        <f>IF('1. MASTER_ENTRY'!$C12="","",'1. MASTER_ENTRY'!$K12)</f>
        <v/>
      </c>
      <c r="E12" s="16">
        <f>IF('1. MASTER_ENTRY'!$C12="","",'1. MASTER_ENTRY'!$F12)</f>
        <v/>
      </c>
      <c r="F12" s="16">
        <f>IF('1. MASTER_ENTRY'!$C12="","",'1. MASTER_ENTRY'!$G12)</f>
        <v/>
      </c>
      <c r="G12" s="16">
        <f>IF('1. MASTER_ENTRY'!$C12="","",'1. MASTER_ENTRY'!$H12)</f>
        <v/>
      </c>
      <c r="H12" s="16">
        <f>IF('1. MASTER_ENTRY'!$C12="","",'1. MASTER_ENTRY'!$I12)</f>
        <v/>
      </c>
      <c r="I12" s="16">
        <f>IF('1. MASTER_ENTRY'!$C12="","",'1. MASTER_ENTRY'!$J12)</f>
        <v/>
      </c>
      <c r="J12" s="17">
        <f>IF('1. MASTER_ENTRY'!$C12="","",'1. MASTER_ENTRY'!$U12)</f>
        <v/>
      </c>
      <c r="K12" s="16">
        <f>IF('1. MASTER_ENTRY'!$C12="","",'1. MASTER_ENTRY'!$M12)</f>
        <v/>
      </c>
      <c r="L12" s="16">
        <f>IF('1. MASTER_ENTRY'!$C12="","",'1. MASTER_ENTRY'!$R12)</f>
        <v/>
      </c>
    </row>
    <row r="13" ht="16" customHeight="1">
      <c r="A13" s="20">
        <f>IF('1. MASTER_ENTRY'!$C13="","",'1. MASTER_ENTRY'!$A13)</f>
        <v/>
      </c>
      <c r="B13" s="20">
        <f>IF('1. MASTER_ENTRY'!$C13="","",'1. MASTER_ENTRY'!$D13)</f>
        <v/>
      </c>
      <c r="C13" s="21">
        <f>IF('1. MASTER_ENTRY'!$C13="","",'1. MASTER_ENTRY'!$C13)</f>
        <v/>
      </c>
      <c r="D13" s="21">
        <f>IF('1. MASTER_ENTRY'!$C13="","",'1. MASTER_ENTRY'!$K13)</f>
        <v/>
      </c>
      <c r="E13" s="20">
        <f>IF('1. MASTER_ENTRY'!$C13="","",'1. MASTER_ENTRY'!$F13)</f>
        <v/>
      </c>
      <c r="F13" s="20">
        <f>IF('1. MASTER_ENTRY'!$C13="","",'1. MASTER_ENTRY'!$G13)</f>
        <v/>
      </c>
      <c r="G13" s="20">
        <f>IF('1. MASTER_ENTRY'!$C13="","",'1. MASTER_ENTRY'!$H13)</f>
        <v/>
      </c>
      <c r="H13" s="20">
        <f>IF('1. MASTER_ENTRY'!$C13="","",'1. MASTER_ENTRY'!$I13)</f>
        <v/>
      </c>
      <c r="I13" s="20">
        <f>IF('1. MASTER_ENTRY'!$C13="","",'1. MASTER_ENTRY'!$J13)</f>
        <v/>
      </c>
      <c r="J13" s="21">
        <f>IF('1. MASTER_ENTRY'!$C13="","",'1. MASTER_ENTRY'!$U13)</f>
        <v/>
      </c>
      <c r="K13" s="20">
        <f>IF('1. MASTER_ENTRY'!$C13="","",'1. MASTER_ENTRY'!$M13)</f>
        <v/>
      </c>
      <c r="L13" s="20">
        <f>IF('1. MASTER_ENTRY'!$C13="","",'1. MASTER_ENTRY'!$R13)</f>
        <v/>
      </c>
    </row>
    <row r="14" ht="16" customHeight="1">
      <c r="A14" s="16">
        <f>IF('1. MASTER_ENTRY'!$C14="","",'1. MASTER_ENTRY'!$A14)</f>
        <v/>
      </c>
      <c r="B14" s="16">
        <f>IF('1. MASTER_ENTRY'!$C14="","",'1. MASTER_ENTRY'!$D14)</f>
        <v/>
      </c>
      <c r="C14" s="17">
        <f>IF('1. MASTER_ENTRY'!$C14="","",'1. MASTER_ENTRY'!$C14)</f>
        <v/>
      </c>
      <c r="D14" s="17">
        <f>IF('1. MASTER_ENTRY'!$C14="","",'1. MASTER_ENTRY'!$K14)</f>
        <v/>
      </c>
      <c r="E14" s="16">
        <f>IF('1. MASTER_ENTRY'!$C14="","",'1. MASTER_ENTRY'!$F14)</f>
        <v/>
      </c>
      <c r="F14" s="16">
        <f>IF('1. MASTER_ENTRY'!$C14="","",'1. MASTER_ENTRY'!$G14)</f>
        <v/>
      </c>
      <c r="G14" s="16">
        <f>IF('1. MASTER_ENTRY'!$C14="","",'1. MASTER_ENTRY'!$H14)</f>
        <v/>
      </c>
      <c r="H14" s="16">
        <f>IF('1. MASTER_ENTRY'!$C14="","",'1. MASTER_ENTRY'!$I14)</f>
        <v/>
      </c>
      <c r="I14" s="16">
        <f>IF('1. MASTER_ENTRY'!$C14="","",'1. MASTER_ENTRY'!$J14)</f>
        <v/>
      </c>
      <c r="J14" s="17">
        <f>IF('1. MASTER_ENTRY'!$C14="","",'1. MASTER_ENTRY'!$U14)</f>
        <v/>
      </c>
      <c r="K14" s="16">
        <f>IF('1. MASTER_ENTRY'!$C14="","",'1. MASTER_ENTRY'!$M14)</f>
        <v/>
      </c>
      <c r="L14" s="16">
        <f>IF('1. MASTER_ENTRY'!$C14="","",'1. MASTER_ENTRY'!$R14)</f>
        <v/>
      </c>
    </row>
    <row r="15" ht="16" customHeight="1">
      <c r="A15" s="20">
        <f>IF('1. MASTER_ENTRY'!$C15="","",'1. MASTER_ENTRY'!$A15)</f>
        <v/>
      </c>
      <c r="B15" s="20">
        <f>IF('1. MASTER_ENTRY'!$C15="","",'1. MASTER_ENTRY'!$D15)</f>
        <v/>
      </c>
      <c r="C15" s="21">
        <f>IF('1. MASTER_ENTRY'!$C15="","",'1. MASTER_ENTRY'!$C15)</f>
        <v/>
      </c>
      <c r="D15" s="21">
        <f>IF('1. MASTER_ENTRY'!$C15="","",'1. MASTER_ENTRY'!$K15)</f>
        <v/>
      </c>
      <c r="E15" s="20">
        <f>IF('1. MASTER_ENTRY'!$C15="","",'1. MASTER_ENTRY'!$F15)</f>
        <v/>
      </c>
      <c r="F15" s="20">
        <f>IF('1. MASTER_ENTRY'!$C15="","",'1. MASTER_ENTRY'!$G15)</f>
        <v/>
      </c>
      <c r="G15" s="20">
        <f>IF('1. MASTER_ENTRY'!$C15="","",'1. MASTER_ENTRY'!$H15)</f>
        <v/>
      </c>
      <c r="H15" s="20">
        <f>IF('1. MASTER_ENTRY'!$C15="","",'1. MASTER_ENTRY'!$I15)</f>
        <v/>
      </c>
      <c r="I15" s="20">
        <f>IF('1. MASTER_ENTRY'!$C15="","",'1. MASTER_ENTRY'!$J15)</f>
        <v/>
      </c>
      <c r="J15" s="21">
        <f>IF('1. MASTER_ENTRY'!$C15="","",'1. MASTER_ENTRY'!$U15)</f>
        <v/>
      </c>
      <c r="K15" s="20">
        <f>IF('1. MASTER_ENTRY'!$C15="","",'1. MASTER_ENTRY'!$M15)</f>
        <v/>
      </c>
      <c r="L15" s="20">
        <f>IF('1. MASTER_ENTRY'!$C15="","",'1. MASTER_ENTRY'!$R15)</f>
        <v/>
      </c>
    </row>
    <row r="16" ht="16" customHeight="1">
      <c r="A16" s="16">
        <f>IF('1. MASTER_ENTRY'!$C16="","",'1. MASTER_ENTRY'!$A16)</f>
        <v/>
      </c>
      <c r="B16" s="16">
        <f>IF('1. MASTER_ENTRY'!$C16="","",'1. MASTER_ENTRY'!$D16)</f>
        <v/>
      </c>
      <c r="C16" s="17">
        <f>IF('1. MASTER_ENTRY'!$C16="","",'1. MASTER_ENTRY'!$C16)</f>
        <v/>
      </c>
      <c r="D16" s="17">
        <f>IF('1. MASTER_ENTRY'!$C16="","",'1. MASTER_ENTRY'!$K16)</f>
        <v/>
      </c>
      <c r="E16" s="16">
        <f>IF('1. MASTER_ENTRY'!$C16="","",'1. MASTER_ENTRY'!$F16)</f>
        <v/>
      </c>
      <c r="F16" s="16">
        <f>IF('1. MASTER_ENTRY'!$C16="","",'1. MASTER_ENTRY'!$G16)</f>
        <v/>
      </c>
      <c r="G16" s="16">
        <f>IF('1. MASTER_ENTRY'!$C16="","",'1. MASTER_ENTRY'!$H16)</f>
        <v/>
      </c>
      <c r="H16" s="16">
        <f>IF('1. MASTER_ENTRY'!$C16="","",'1. MASTER_ENTRY'!$I16)</f>
        <v/>
      </c>
      <c r="I16" s="16">
        <f>IF('1. MASTER_ENTRY'!$C16="","",'1. MASTER_ENTRY'!$J16)</f>
        <v/>
      </c>
      <c r="J16" s="17">
        <f>IF('1. MASTER_ENTRY'!$C16="","",'1. MASTER_ENTRY'!$U16)</f>
        <v/>
      </c>
      <c r="K16" s="16">
        <f>IF('1. MASTER_ENTRY'!$C16="","",'1. MASTER_ENTRY'!$M16)</f>
        <v/>
      </c>
      <c r="L16" s="16">
        <f>IF('1. MASTER_ENTRY'!$C16="","",'1. MASTER_ENTRY'!$R16)</f>
        <v/>
      </c>
    </row>
    <row r="17" ht="16" customHeight="1">
      <c r="A17" s="20">
        <f>IF('1. MASTER_ENTRY'!$C17="","",'1. MASTER_ENTRY'!$A17)</f>
        <v/>
      </c>
      <c r="B17" s="20">
        <f>IF('1. MASTER_ENTRY'!$C17="","",'1. MASTER_ENTRY'!$D17)</f>
        <v/>
      </c>
      <c r="C17" s="21">
        <f>IF('1. MASTER_ENTRY'!$C17="","",'1. MASTER_ENTRY'!$C17)</f>
        <v/>
      </c>
      <c r="D17" s="21">
        <f>IF('1. MASTER_ENTRY'!$C17="","",'1. MASTER_ENTRY'!$K17)</f>
        <v/>
      </c>
      <c r="E17" s="20">
        <f>IF('1. MASTER_ENTRY'!$C17="","",'1. MASTER_ENTRY'!$F17)</f>
        <v/>
      </c>
      <c r="F17" s="20">
        <f>IF('1. MASTER_ENTRY'!$C17="","",'1. MASTER_ENTRY'!$G17)</f>
        <v/>
      </c>
      <c r="G17" s="20">
        <f>IF('1. MASTER_ENTRY'!$C17="","",'1. MASTER_ENTRY'!$H17)</f>
        <v/>
      </c>
      <c r="H17" s="20">
        <f>IF('1. MASTER_ENTRY'!$C17="","",'1. MASTER_ENTRY'!$I17)</f>
        <v/>
      </c>
      <c r="I17" s="20">
        <f>IF('1. MASTER_ENTRY'!$C17="","",'1. MASTER_ENTRY'!$J17)</f>
        <v/>
      </c>
      <c r="J17" s="21">
        <f>IF('1. MASTER_ENTRY'!$C17="","",'1. MASTER_ENTRY'!$U17)</f>
        <v/>
      </c>
      <c r="K17" s="20">
        <f>IF('1. MASTER_ENTRY'!$C17="","",'1. MASTER_ENTRY'!$M17)</f>
        <v/>
      </c>
      <c r="L17" s="20">
        <f>IF('1. MASTER_ENTRY'!$C17="","",'1. MASTER_ENTRY'!$R17)</f>
        <v/>
      </c>
    </row>
    <row r="18" ht="16" customHeight="1">
      <c r="A18" s="16">
        <f>IF('1. MASTER_ENTRY'!$C18="","",'1. MASTER_ENTRY'!$A18)</f>
        <v/>
      </c>
      <c r="B18" s="16">
        <f>IF('1. MASTER_ENTRY'!$C18="","",'1. MASTER_ENTRY'!$D18)</f>
        <v/>
      </c>
      <c r="C18" s="17">
        <f>IF('1. MASTER_ENTRY'!$C18="","",'1. MASTER_ENTRY'!$C18)</f>
        <v/>
      </c>
      <c r="D18" s="17">
        <f>IF('1. MASTER_ENTRY'!$C18="","",'1. MASTER_ENTRY'!$K18)</f>
        <v/>
      </c>
      <c r="E18" s="16">
        <f>IF('1. MASTER_ENTRY'!$C18="","",'1. MASTER_ENTRY'!$F18)</f>
        <v/>
      </c>
      <c r="F18" s="16">
        <f>IF('1. MASTER_ENTRY'!$C18="","",'1. MASTER_ENTRY'!$G18)</f>
        <v/>
      </c>
      <c r="G18" s="16">
        <f>IF('1. MASTER_ENTRY'!$C18="","",'1. MASTER_ENTRY'!$H18)</f>
        <v/>
      </c>
      <c r="H18" s="16">
        <f>IF('1. MASTER_ENTRY'!$C18="","",'1. MASTER_ENTRY'!$I18)</f>
        <v/>
      </c>
      <c r="I18" s="16">
        <f>IF('1. MASTER_ENTRY'!$C18="","",'1. MASTER_ENTRY'!$J18)</f>
        <v/>
      </c>
      <c r="J18" s="17">
        <f>IF('1. MASTER_ENTRY'!$C18="","",'1. MASTER_ENTRY'!$U18)</f>
        <v/>
      </c>
      <c r="K18" s="16">
        <f>IF('1. MASTER_ENTRY'!$C18="","",'1. MASTER_ENTRY'!$M18)</f>
        <v/>
      </c>
      <c r="L18" s="16">
        <f>IF('1. MASTER_ENTRY'!$C18="","",'1. MASTER_ENTRY'!$R18)</f>
        <v/>
      </c>
    </row>
    <row r="19" ht="16" customHeight="1">
      <c r="A19" s="20">
        <f>IF('1. MASTER_ENTRY'!$C19="","",'1. MASTER_ENTRY'!$A19)</f>
        <v/>
      </c>
      <c r="B19" s="20">
        <f>IF('1. MASTER_ENTRY'!$C19="","",'1. MASTER_ENTRY'!$D19)</f>
        <v/>
      </c>
      <c r="C19" s="21">
        <f>IF('1. MASTER_ENTRY'!$C19="","",'1. MASTER_ENTRY'!$C19)</f>
        <v/>
      </c>
      <c r="D19" s="21">
        <f>IF('1. MASTER_ENTRY'!$C19="","",'1. MASTER_ENTRY'!$K19)</f>
        <v/>
      </c>
      <c r="E19" s="20">
        <f>IF('1. MASTER_ENTRY'!$C19="","",'1. MASTER_ENTRY'!$F19)</f>
        <v/>
      </c>
      <c r="F19" s="20">
        <f>IF('1. MASTER_ENTRY'!$C19="","",'1. MASTER_ENTRY'!$G19)</f>
        <v/>
      </c>
      <c r="G19" s="20">
        <f>IF('1. MASTER_ENTRY'!$C19="","",'1. MASTER_ENTRY'!$H19)</f>
        <v/>
      </c>
      <c r="H19" s="20">
        <f>IF('1. MASTER_ENTRY'!$C19="","",'1. MASTER_ENTRY'!$I19)</f>
        <v/>
      </c>
      <c r="I19" s="20">
        <f>IF('1. MASTER_ENTRY'!$C19="","",'1. MASTER_ENTRY'!$J19)</f>
        <v/>
      </c>
      <c r="J19" s="21">
        <f>IF('1. MASTER_ENTRY'!$C19="","",'1. MASTER_ENTRY'!$U19)</f>
        <v/>
      </c>
      <c r="K19" s="20">
        <f>IF('1. MASTER_ENTRY'!$C19="","",'1. MASTER_ENTRY'!$M19)</f>
        <v/>
      </c>
      <c r="L19" s="20">
        <f>IF('1. MASTER_ENTRY'!$C19="","",'1. MASTER_ENTRY'!$R19)</f>
        <v/>
      </c>
    </row>
    <row r="20" ht="16" customHeight="1">
      <c r="A20" s="16">
        <f>IF('1. MASTER_ENTRY'!$C20="","",'1. MASTER_ENTRY'!$A20)</f>
        <v/>
      </c>
      <c r="B20" s="16">
        <f>IF('1. MASTER_ENTRY'!$C20="","",'1. MASTER_ENTRY'!$D20)</f>
        <v/>
      </c>
      <c r="C20" s="17">
        <f>IF('1. MASTER_ENTRY'!$C20="","",'1. MASTER_ENTRY'!$C20)</f>
        <v/>
      </c>
      <c r="D20" s="17">
        <f>IF('1. MASTER_ENTRY'!$C20="","",'1. MASTER_ENTRY'!$K20)</f>
        <v/>
      </c>
      <c r="E20" s="16">
        <f>IF('1. MASTER_ENTRY'!$C20="","",'1. MASTER_ENTRY'!$F20)</f>
        <v/>
      </c>
      <c r="F20" s="16">
        <f>IF('1. MASTER_ENTRY'!$C20="","",'1. MASTER_ENTRY'!$G20)</f>
        <v/>
      </c>
      <c r="G20" s="16">
        <f>IF('1. MASTER_ENTRY'!$C20="","",'1. MASTER_ENTRY'!$H20)</f>
        <v/>
      </c>
      <c r="H20" s="16">
        <f>IF('1. MASTER_ENTRY'!$C20="","",'1. MASTER_ENTRY'!$I20)</f>
        <v/>
      </c>
      <c r="I20" s="16">
        <f>IF('1. MASTER_ENTRY'!$C20="","",'1. MASTER_ENTRY'!$J20)</f>
        <v/>
      </c>
      <c r="J20" s="17">
        <f>IF('1. MASTER_ENTRY'!$C20="","",'1. MASTER_ENTRY'!$U20)</f>
        <v/>
      </c>
      <c r="K20" s="16">
        <f>IF('1. MASTER_ENTRY'!$C20="","",'1. MASTER_ENTRY'!$M20)</f>
        <v/>
      </c>
      <c r="L20" s="16">
        <f>IF('1. MASTER_ENTRY'!$C20="","",'1. MASTER_ENTRY'!$R20)</f>
        <v/>
      </c>
    </row>
    <row r="21" ht="16" customHeight="1">
      <c r="A21" s="20">
        <f>IF('1. MASTER_ENTRY'!$C21="","",'1. MASTER_ENTRY'!$A21)</f>
        <v/>
      </c>
      <c r="B21" s="20">
        <f>IF('1. MASTER_ENTRY'!$C21="","",'1. MASTER_ENTRY'!$D21)</f>
        <v/>
      </c>
      <c r="C21" s="21">
        <f>IF('1. MASTER_ENTRY'!$C21="","",'1. MASTER_ENTRY'!$C21)</f>
        <v/>
      </c>
      <c r="D21" s="21">
        <f>IF('1. MASTER_ENTRY'!$C21="","",'1. MASTER_ENTRY'!$K21)</f>
        <v/>
      </c>
      <c r="E21" s="20">
        <f>IF('1. MASTER_ENTRY'!$C21="","",'1. MASTER_ENTRY'!$F21)</f>
        <v/>
      </c>
      <c r="F21" s="20">
        <f>IF('1. MASTER_ENTRY'!$C21="","",'1. MASTER_ENTRY'!$G21)</f>
        <v/>
      </c>
      <c r="G21" s="20">
        <f>IF('1. MASTER_ENTRY'!$C21="","",'1. MASTER_ENTRY'!$H21)</f>
        <v/>
      </c>
      <c r="H21" s="20">
        <f>IF('1. MASTER_ENTRY'!$C21="","",'1. MASTER_ENTRY'!$I21)</f>
        <v/>
      </c>
      <c r="I21" s="20">
        <f>IF('1. MASTER_ENTRY'!$C21="","",'1. MASTER_ENTRY'!$J21)</f>
        <v/>
      </c>
      <c r="J21" s="21">
        <f>IF('1. MASTER_ENTRY'!$C21="","",'1. MASTER_ENTRY'!$U21)</f>
        <v/>
      </c>
      <c r="K21" s="20">
        <f>IF('1. MASTER_ENTRY'!$C21="","",'1. MASTER_ENTRY'!$M21)</f>
        <v/>
      </c>
      <c r="L21" s="20">
        <f>IF('1. MASTER_ENTRY'!$C21="","",'1. MASTER_ENTRY'!$R21)</f>
        <v/>
      </c>
    </row>
    <row r="22" ht="16" customHeight="1">
      <c r="A22" s="16">
        <f>IF('1. MASTER_ENTRY'!$C22="","",'1. MASTER_ENTRY'!$A22)</f>
        <v/>
      </c>
      <c r="B22" s="16">
        <f>IF('1. MASTER_ENTRY'!$C22="","",'1. MASTER_ENTRY'!$D22)</f>
        <v/>
      </c>
      <c r="C22" s="17">
        <f>IF('1. MASTER_ENTRY'!$C22="","",'1. MASTER_ENTRY'!$C22)</f>
        <v/>
      </c>
      <c r="D22" s="17">
        <f>IF('1. MASTER_ENTRY'!$C22="","",'1. MASTER_ENTRY'!$K22)</f>
        <v/>
      </c>
      <c r="E22" s="16">
        <f>IF('1. MASTER_ENTRY'!$C22="","",'1. MASTER_ENTRY'!$F22)</f>
        <v/>
      </c>
      <c r="F22" s="16">
        <f>IF('1. MASTER_ENTRY'!$C22="","",'1. MASTER_ENTRY'!$G22)</f>
        <v/>
      </c>
      <c r="G22" s="16">
        <f>IF('1. MASTER_ENTRY'!$C22="","",'1. MASTER_ENTRY'!$H22)</f>
        <v/>
      </c>
      <c r="H22" s="16">
        <f>IF('1. MASTER_ENTRY'!$C22="","",'1. MASTER_ENTRY'!$I22)</f>
        <v/>
      </c>
      <c r="I22" s="16">
        <f>IF('1. MASTER_ENTRY'!$C22="","",'1. MASTER_ENTRY'!$J22)</f>
        <v/>
      </c>
      <c r="J22" s="17">
        <f>IF('1. MASTER_ENTRY'!$C22="","",'1. MASTER_ENTRY'!$U22)</f>
        <v/>
      </c>
      <c r="K22" s="16">
        <f>IF('1. MASTER_ENTRY'!$C22="","",'1. MASTER_ENTRY'!$M22)</f>
        <v/>
      </c>
      <c r="L22" s="16">
        <f>IF('1. MASTER_ENTRY'!$C22="","",'1. MASTER_ENTRY'!$R22)</f>
        <v/>
      </c>
    </row>
    <row r="23" ht="16" customHeight="1">
      <c r="A23" s="20">
        <f>IF('1. MASTER_ENTRY'!$C23="","",'1. MASTER_ENTRY'!$A23)</f>
        <v/>
      </c>
      <c r="B23" s="20">
        <f>IF('1. MASTER_ENTRY'!$C23="","",'1. MASTER_ENTRY'!$D23)</f>
        <v/>
      </c>
      <c r="C23" s="21">
        <f>IF('1. MASTER_ENTRY'!$C23="","",'1. MASTER_ENTRY'!$C23)</f>
        <v/>
      </c>
      <c r="D23" s="21">
        <f>IF('1. MASTER_ENTRY'!$C23="","",'1. MASTER_ENTRY'!$K23)</f>
        <v/>
      </c>
      <c r="E23" s="20">
        <f>IF('1. MASTER_ENTRY'!$C23="","",'1. MASTER_ENTRY'!$F23)</f>
        <v/>
      </c>
      <c r="F23" s="20">
        <f>IF('1. MASTER_ENTRY'!$C23="","",'1. MASTER_ENTRY'!$G23)</f>
        <v/>
      </c>
      <c r="G23" s="20">
        <f>IF('1. MASTER_ENTRY'!$C23="","",'1. MASTER_ENTRY'!$H23)</f>
        <v/>
      </c>
      <c r="H23" s="20">
        <f>IF('1. MASTER_ENTRY'!$C23="","",'1. MASTER_ENTRY'!$I23)</f>
        <v/>
      </c>
      <c r="I23" s="20">
        <f>IF('1. MASTER_ENTRY'!$C23="","",'1. MASTER_ENTRY'!$J23)</f>
        <v/>
      </c>
      <c r="J23" s="21">
        <f>IF('1. MASTER_ENTRY'!$C23="","",'1. MASTER_ENTRY'!$U23)</f>
        <v/>
      </c>
      <c r="K23" s="20">
        <f>IF('1. MASTER_ENTRY'!$C23="","",'1. MASTER_ENTRY'!$M23)</f>
        <v/>
      </c>
      <c r="L23" s="20">
        <f>IF('1. MASTER_ENTRY'!$C23="","",'1. MASTER_ENTRY'!$R23)</f>
        <v/>
      </c>
    </row>
    <row r="24" ht="16" customHeight="1">
      <c r="A24" s="16">
        <f>IF('1. MASTER_ENTRY'!$C24="","",'1. MASTER_ENTRY'!$A24)</f>
        <v/>
      </c>
      <c r="B24" s="16">
        <f>IF('1. MASTER_ENTRY'!$C24="","",'1. MASTER_ENTRY'!$D24)</f>
        <v/>
      </c>
      <c r="C24" s="17">
        <f>IF('1. MASTER_ENTRY'!$C24="","",'1. MASTER_ENTRY'!$C24)</f>
        <v/>
      </c>
      <c r="D24" s="17">
        <f>IF('1. MASTER_ENTRY'!$C24="","",'1. MASTER_ENTRY'!$K24)</f>
        <v/>
      </c>
      <c r="E24" s="16">
        <f>IF('1. MASTER_ENTRY'!$C24="","",'1. MASTER_ENTRY'!$F24)</f>
        <v/>
      </c>
      <c r="F24" s="16">
        <f>IF('1. MASTER_ENTRY'!$C24="","",'1. MASTER_ENTRY'!$G24)</f>
        <v/>
      </c>
      <c r="G24" s="16">
        <f>IF('1. MASTER_ENTRY'!$C24="","",'1. MASTER_ENTRY'!$H24)</f>
        <v/>
      </c>
      <c r="H24" s="16">
        <f>IF('1. MASTER_ENTRY'!$C24="","",'1. MASTER_ENTRY'!$I24)</f>
        <v/>
      </c>
      <c r="I24" s="16">
        <f>IF('1. MASTER_ENTRY'!$C24="","",'1. MASTER_ENTRY'!$J24)</f>
        <v/>
      </c>
      <c r="J24" s="17">
        <f>IF('1. MASTER_ENTRY'!$C24="","",'1. MASTER_ENTRY'!$U24)</f>
        <v/>
      </c>
      <c r="K24" s="16">
        <f>IF('1. MASTER_ENTRY'!$C24="","",'1. MASTER_ENTRY'!$M24)</f>
        <v/>
      </c>
      <c r="L24" s="16">
        <f>IF('1. MASTER_ENTRY'!$C24="","",'1. MASTER_ENTRY'!$R24)</f>
        <v/>
      </c>
    </row>
    <row r="25" ht="16" customHeight="1">
      <c r="A25" s="20">
        <f>IF('1. MASTER_ENTRY'!$C25="","",'1. MASTER_ENTRY'!$A25)</f>
        <v/>
      </c>
      <c r="B25" s="20">
        <f>IF('1. MASTER_ENTRY'!$C25="","",'1. MASTER_ENTRY'!$D25)</f>
        <v/>
      </c>
      <c r="C25" s="21">
        <f>IF('1. MASTER_ENTRY'!$C25="","",'1. MASTER_ENTRY'!$C25)</f>
        <v/>
      </c>
      <c r="D25" s="21">
        <f>IF('1. MASTER_ENTRY'!$C25="","",'1. MASTER_ENTRY'!$K25)</f>
        <v/>
      </c>
      <c r="E25" s="20">
        <f>IF('1. MASTER_ENTRY'!$C25="","",'1. MASTER_ENTRY'!$F25)</f>
        <v/>
      </c>
      <c r="F25" s="20">
        <f>IF('1. MASTER_ENTRY'!$C25="","",'1. MASTER_ENTRY'!$G25)</f>
        <v/>
      </c>
      <c r="G25" s="20">
        <f>IF('1. MASTER_ENTRY'!$C25="","",'1. MASTER_ENTRY'!$H25)</f>
        <v/>
      </c>
      <c r="H25" s="20">
        <f>IF('1. MASTER_ENTRY'!$C25="","",'1. MASTER_ENTRY'!$I25)</f>
        <v/>
      </c>
      <c r="I25" s="20">
        <f>IF('1. MASTER_ENTRY'!$C25="","",'1. MASTER_ENTRY'!$J25)</f>
        <v/>
      </c>
      <c r="J25" s="21">
        <f>IF('1. MASTER_ENTRY'!$C25="","",'1. MASTER_ENTRY'!$U25)</f>
        <v/>
      </c>
      <c r="K25" s="20">
        <f>IF('1. MASTER_ENTRY'!$C25="","",'1. MASTER_ENTRY'!$M25)</f>
        <v/>
      </c>
      <c r="L25" s="20">
        <f>IF('1. MASTER_ENTRY'!$C25="","",'1. MASTER_ENTRY'!$R25)</f>
        <v/>
      </c>
    </row>
    <row r="26" ht="16" customHeight="1">
      <c r="A26" s="16">
        <f>IF('1. MASTER_ENTRY'!$C26="","",'1. MASTER_ENTRY'!$A26)</f>
        <v/>
      </c>
      <c r="B26" s="16">
        <f>IF('1. MASTER_ENTRY'!$C26="","",'1. MASTER_ENTRY'!$D26)</f>
        <v/>
      </c>
      <c r="C26" s="17">
        <f>IF('1. MASTER_ENTRY'!$C26="","",'1. MASTER_ENTRY'!$C26)</f>
        <v/>
      </c>
      <c r="D26" s="17">
        <f>IF('1. MASTER_ENTRY'!$C26="","",'1. MASTER_ENTRY'!$K26)</f>
        <v/>
      </c>
      <c r="E26" s="16">
        <f>IF('1. MASTER_ENTRY'!$C26="","",'1. MASTER_ENTRY'!$F26)</f>
        <v/>
      </c>
      <c r="F26" s="16">
        <f>IF('1. MASTER_ENTRY'!$C26="","",'1. MASTER_ENTRY'!$G26)</f>
        <v/>
      </c>
      <c r="G26" s="16">
        <f>IF('1. MASTER_ENTRY'!$C26="","",'1. MASTER_ENTRY'!$H26)</f>
        <v/>
      </c>
      <c r="H26" s="16">
        <f>IF('1. MASTER_ENTRY'!$C26="","",'1. MASTER_ENTRY'!$I26)</f>
        <v/>
      </c>
      <c r="I26" s="16">
        <f>IF('1. MASTER_ENTRY'!$C26="","",'1. MASTER_ENTRY'!$J26)</f>
        <v/>
      </c>
      <c r="J26" s="17">
        <f>IF('1. MASTER_ENTRY'!$C26="","",'1. MASTER_ENTRY'!$U26)</f>
        <v/>
      </c>
      <c r="K26" s="16">
        <f>IF('1. MASTER_ENTRY'!$C26="","",'1. MASTER_ENTRY'!$M26)</f>
        <v/>
      </c>
      <c r="L26" s="16">
        <f>IF('1. MASTER_ENTRY'!$C26="","",'1. MASTER_ENTRY'!$R26)</f>
        <v/>
      </c>
    </row>
    <row r="27" ht="16" customHeight="1">
      <c r="A27" s="20">
        <f>IF('1. MASTER_ENTRY'!$C27="","",'1. MASTER_ENTRY'!$A27)</f>
        <v/>
      </c>
      <c r="B27" s="20">
        <f>IF('1. MASTER_ENTRY'!$C27="","",'1. MASTER_ENTRY'!$D27)</f>
        <v/>
      </c>
      <c r="C27" s="21">
        <f>IF('1. MASTER_ENTRY'!$C27="","",'1. MASTER_ENTRY'!$C27)</f>
        <v/>
      </c>
      <c r="D27" s="21">
        <f>IF('1. MASTER_ENTRY'!$C27="","",'1. MASTER_ENTRY'!$K27)</f>
        <v/>
      </c>
      <c r="E27" s="20">
        <f>IF('1. MASTER_ENTRY'!$C27="","",'1. MASTER_ENTRY'!$F27)</f>
        <v/>
      </c>
      <c r="F27" s="20">
        <f>IF('1. MASTER_ENTRY'!$C27="","",'1. MASTER_ENTRY'!$G27)</f>
        <v/>
      </c>
      <c r="G27" s="20">
        <f>IF('1. MASTER_ENTRY'!$C27="","",'1. MASTER_ENTRY'!$H27)</f>
        <v/>
      </c>
      <c r="H27" s="20">
        <f>IF('1. MASTER_ENTRY'!$C27="","",'1. MASTER_ENTRY'!$I27)</f>
        <v/>
      </c>
      <c r="I27" s="20">
        <f>IF('1. MASTER_ENTRY'!$C27="","",'1. MASTER_ENTRY'!$J27)</f>
        <v/>
      </c>
      <c r="J27" s="21">
        <f>IF('1. MASTER_ENTRY'!$C27="","",'1. MASTER_ENTRY'!$U27)</f>
        <v/>
      </c>
      <c r="K27" s="20">
        <f>IF('1. MASTER_ENTRY'!$C27="","",'1. MASTER_ENTRY'!$M27)</f>
        <v/>
      </c>
      <c r="L27" s="20">
        <f>IF('1. MASTER_ENTRY'!$C27="","",'1. MASTER_ENTRY'!$R27)</f>
        <v/>
      </c>
    </row>
    <row r="28" ht="16" customHeight="1">
      <c r="A28" s="16">
        <f>IF('1. MASTER_ENTRY'!$C28="","",'1. MASTER_ENTRY'!$A28)</f>
        <v/>
      </c>
      <c r="B28" s="16">
        <f>IF('1. MASTER_ENTRY'!$C28="","",'1. MASTER_ENTRY'!$D28)</f>
        <v/>
      </c>
      <c r="C28" s="17">
        <f>IF('1. MASTER_ENTRY'!$C28="","",'1. MASTER_ENTRY'!$C28)</f>
        <v/>
      </c>
      <c r="D28" s="17">
        <f>IF('1. MASTER_ENTRY'!$C28="","",'1. MASTER_ENTRY'!$K28)</f>
        <v/>
      </c>
      <c r="E28" s="16">
        <f>IF('1. MASTER_ENTRY'!$C28="","",'1. MASTER_ENTRY'!$F28)</f>
        <v/>
      </c>
      <c r="F28" s="16">
        <f>IF('1. MASTER_ENTRY'!$C28="","",'1. MASTER_ENTRY'!$G28)</f>
        <v/>
      </c>
      <c r="G28" s="16">
        <f>IF('1. MASTER_ENTRY'!$C28="","",'1. MASTER_ENTRY'!$H28)</f>
        <v/>
      </c>
      <c r="H28" s="16">
        <f>IF('1. MASTER_ENTRY'!$C28="","",'1. MASTER_ENTRY'!$I28)</f>
        <v/>
      </c>
      <c r="I28" s="16">
        <f>IF('1. MASTER_ENTRY'!$C28="","",'1. MASTER_ENTRY'!$J28)</f>
        <v/>
      </c>
      <c r="J28" s="17">
        <f>IF('1. MASTER_ENTRY'!$C28="","",'1. MASTER_ENTRY'!$U28)</f>
        <v/>
      </c>
      <c r="K28" s="16">
        <f>IF('1. MASTER_ENTRY'!$C28="","",'1. MASTER_ENTRY'!$M28)</f>
        <v/>
      </c>
      <c r="L28" s="16">
        <f>IF('1. MASTER_ENTRY'!$C28="","",'1. MASTER_ENTRY'!$R28)</f>
        <v/>
      </c>
    </row>
    <row r="29" ht="16" customHeight="1">
      <c r="A29" s="20">
        <f>IF('1. MASTER_ENTRY'!$C29="","",'1. MASTER_ENTRY'!$A29)</f>
        <v/>
      </c>
      <c r="B29" s="20">
        <f>IF('1. MASTER_ENTRY'!$C29="","",'1. MASTER_ENTRY'!$D29)</f>
        <v/>
      </c>
      <c r="C29" s="21">
        <f>IF('1. MASTER_ENTRY'!$C29="","",'1. MASTER_ENTRY'!$C29)</f>
        <v/>
      </c>
      <c r="D29" s="21">
        <f>IF('1. MASTER_ENTRY'!$C29="","",'1. MASTER_ENTRY'!$K29)</f>
        <v/>
      </c>
      <c r="E29" s="20">
        <f>IF('1. MASTER_ENTRY'!$C29="","",'1. MASTER_ENTRY'!$F29)</f>
        <v/>
      </c>
      <c r="F29" s="20">
        <f>IF('1. MASTER_ENTRY'!$C29="","",'1. MASTER_ENTRY'!$G29)</f>
        <v/>
      </c>
      <c r="G29" s="20">
        <f>IF('1. MASTER_ENTRY'!$C29="","",'1. MASTER_ENTRY'!$H29)</f>
        <v/>
      </c>
      <c r="H29" s="20">
        <f>IF('1. MASTER_ENTRY'!$C29="","",'1. MASTER_ENTRY'!$I29)</f>
        <v/>
      </c>
      <c r="I29" s="20">
        <f>IF('1. MASTER_ENTRY'!$C29="","",'1. MASTER_ENTRY'!$J29)</f>
        <v/>
      </c>
      <c r="J29" s="21">
        <f>IF('1. MASTER_ENTRY'!$C29="","",'1. MASTER_ENTRY'!$U29)</f>
        <v/>
      </c>
      <c r="K29" s="20">
        <f>IF('1. MASTER_ENTRY'!$C29="","",'1. MASTER_ENTRY'!$M29)</f>
        <v/>
      </c>
      <c r="L29" s="20">
        <f>IF('1. MASTER_ENTRY'!$C29="","",'1. MASTER_ENTRY'!$R29)</f>
        <v/>
      </c>
    </row>
    <row r="30" ht="16" customHeight="1">
      <c r="A30" s="16">
        <f>IF('1. MASTER_ENTRY'!$C30="","",'1. MASTER_ENTRY'!$A30)</f>
        <v/>
      </c>
      <c r="B30" s="16">
        <f>IF('1. MASTER_ENTRY'!$C30="","",'1. MASTER_ENTRY'!$D30)</f>
        <v/>
      </c>
      <c r="C30" s="17">
        <f>IF('1. MASTER_ENTRY'!$C30="","",'1. MASTER_ENTRY'!$C30)</f>
        <v/>
      </c>
      <c r="D30" s="17">
        <f>IF('1. MASTER_ENTRY'!$C30="","",'1. MASTER_ENTRY'!$K30)</f>
        <v/>
      </c>
      <c r="E30" s="16">
        <f>IF('1. MASTER_ENTRY'!$C30="","",'1. MASTER_ENTRY'!$F30)</f>
        <v/>
      </c>
      <c r="F30" s="16">
        <f>IF('1. MASTER_ENTRY'!$C30="","",'1. MASTER_ENTRY'!$G30)</f>
        <v/>
      </c>
      <c r="G30" s="16">
        <f>IF('1. MASTER_ENTRY'!$C30="","",'1. MASTER_ENTRY'!$H30)</f>
        <v/>
      </c>
      <c r="H30" s="16">
        <f>IF('1. MASTER_ENTRY'!$C30="","",'1. MASTER_ENTRY'!$I30)</f>
        <v/>
      </c>
      <c r="I30" s="16">
        <f>IF('1. MASTER_ENTRY'!$C30="","",'1. MASTER_ENTRY'!$J30)</f>
        <v/>
      </c>
      <c r="J30" s="17">
        <f>IF('1. MASTER_ENTRY'!$C30="","",'1. MASTER_ENTRY'!$U30)</f>
        <v/>
      </c>
      <c r="K30" s="16">
        <f>IF('1. MASTER_ENTRY'!$C30="","",'1. MASTER_ENTRY'!$M30)</f>
        <v/>
      </c>
      <c r="L30" s="16">
        <f>IF('1. MASTER_ENTRY'!$C30="","",'1. MASTER_ENTRY'!$R30)</f>
        <v/>
      </c>
    </row>
    <row r="31" ht="16" customHeight="1">
      <c r="A31" s="20">
        <f>IF('1. MASTER_ENTRY'!$C31="","",'1. MASTER_ENTRY'!$A31)</f>
        <v/>
      </c>
      <c r="B31" s="20">
        <f>IF('1. MASTER_ENTRY'!$C31="","",'1. MASTER_ENTRY'!$D31)</f>
        <v/>
      </c>
      <c r="C31" s="21">
        <f>IF('1. MASTER_ENTRY'!$C31="","",'1. MASTER_ENTRY'!$C31)</f>
        <v/>
      </c>
      <c r="D31" s="21">
        <f>IF('1. MASTER_ENTRY'!$C31="","",'1. MASTER_ENTRY'!$K31)</f>
        <v/>
      </c>
      <c r="E31" s="20">
        <f>IF('1. MASTER_ENTRY'!$C31="","",'1. MASTER_ENTRY'!$F31)</f>
        <v/>
      </c>
      <c r="F31" s="20">
        <f>IF('1. MASTER_ENTRY'!$C31="","",'1. MASTER_ENTRY'!$G31)</f>
        <v/>
      </c>
      <c r="G31" s="20">
        <f>IF('1. MASTER_ENTRY'!$C31="","",'1. MASTER_ENTRY'!$H31)</f>
        <v/>
      </c>
      <c r="H31" s="20">
        <f>IF('1. MASTER_ENTRY'!$C31="","",'1. MASTER_ENTRY'!$I31)</f>
        <v/>
      </c>
      <c r="I31" s="20">
        <f>IF('1. MASTER_ENTRY'!$C31="","",'1. MASTER_ENTRY'!$J31)</f>
        <v/>
      </c>
      <c r="J31" s="21">
        <f>IF('1. MASTER_ENTRY'!$C31="","",'1. MASTER_ENTRY'!$U31)</f>
        <v/>
      </c>
      <c r="K31" s="20">
        <f>IF('1. MASTER_ENTRY'!$C31="","",'1. MASTER_ENTRY'!$M31)</f>
        <v/>
      </c>
      <c r="L31" s="20">
        <f>IF('1. MASTER_ENTRY'!$C31="","",'1. MASTER_ENTRY'!$R31)</f>
        <v/>
      </c>
    </row>
    <row r="32" ht="16" customHeight="1">
      <c r="A32" s="16">
        <f>IF('1. MASTER_ENTRY'!$C32="","",'1. MASTER_ENTRY'!$A32)</f>
        <v/>
      </c>
      <c r="B32" s="16">
        <f>IF('1. MASTER_ENTRY'!$C32="","",'1. MASTER_ENTRY'!$D32)</f>
        <v/>
      </c>
      <c r="C32" s="17">
        <f>IF('1. MASTER_ENTRY'!$C32="","",'1. MASTER_ENTRY'!$C32)</f>
        <v/>
      </c>
      <c r="D32" s="17">
        <f>IF('1. MASTER_ENTRY'!$C32="","",'1. MASTER_ENTRY'!$K32)</f>
        <v/>
      </c>
      <c r="E32" s="16">
        <f>IF('1. MASTER_ENTRY'!$C32="","",'1. MASTER_ENTRY'!$F32)</f>
        <v/>
      </c>
      <c r="F32" s="16">
        <f>IF('1. MASTER_ENTRY'!$C32="","",'1. MASTER_ENTRY'!$G32)</f>
        <v/>
      </c>
      <c r="G32" s="16">
        <f>IF('1. MASTER_ENTRY'!$C32="","",'1. MASTER_ENTRY'!$H32)</f>
        <v/>
      </c>
      <c r="H32" s="16">
        <f>IF('1. MASTER_ENTRY'!$C32="","",'1. MASTER_ENTRY'!$I32)</f>
        <v/>
      </c>
      <c r="I32" s="16">
        <f>IF('1. MASTER_ENTRY'!$C32="","",'1. MASTER_ENTRY'!$J32)</f>
        <v/>
      </c>
      <c r="J32" s="17">
        <f>IF('1. MASTER_ENTRY'!$C32="","",'1. MASTER_ENTRY'!$U32)</f>
        <v/>
      </c>
      <c r="K32" s="16">
        <f>IF('1. MASTER_ENTRY'!$C32="","",'1. MASTER_ENTRY'!$M32)</f>
        <v/>
      </c>
      <c r="L32" s="16">
        <f>IF('1. MASTER_ENTRY'!$C32="","",'1. MASTER_ENTRY'!$R32)</f>
        <v/>
      </c>
    </row>
    <row r="33" ht="16" customHeight="1">
      <c r="A33" s="20">
        <f>IF('1. MASTER_ENTRY'!$C33="","",'1. MASTER_ENTRY'!$A33)</f>
        <v/>
      </c>
      <c r="B33" s="20">
        <f>IF('1. MASTER_ENTRY'!$C33="","",'1. MASTER_ENTRY'!$D33)</f>
        <v/>
      </c>
      <c r="C33" s="21">
        <f>IF('1. MASTER_ENTRY'!$C33="","",'1. MASTER_ENTRY'!$C33)</f>
        <v/>
      </c>
      <c r="D33" s="21">
        <f>IF('1. MASTER_ENTRY'!$C33="","",'1. MASTER_ENTRY'!$K33)</f>
        <v/>
      </c>
      <c r="E33" s="20">
        <f>IF('1. MASTER_ENTRY'!$C33="","",'1. MASTER_ENTRY'!$F33)</f>
        <v/>
      </c>
      <c r="F33" s="20">
        <f>IF('1. MASTER_ENTRY'!$C33="","",'1. MASTER_ENTRY'!$G33)</f>
        <v/>
      </c>
      <c r="G33" s="20">
        <f>IF('1. MASTER_ENTRY'!$C33="","",'1. MASTER_ENTRY'!$H33)</f>
        <v/>
      </c>
      <c r="H33" s="20">
        <f>IF('1. MASTER_ENTRY'!$C33="","",'1. MASTER_ENTRY'!$I33)</f>
        <v/>
      </c>
      <c r="I33" s="20">
        <f>IF('1. MASTER_ENTRY'!$C33="","",'1. MASTER_ENTRY'!$J33)</f>
        <v/>
      </c>
      <c r="J33" s="21">
        <f>IF('1. MASTER_ENTRY'!$C33="","",'1. MASTER_ENTRY'!$U33)</f>
        <v/>
      </c>
      <c r="K33" s="20">
        <f>IF('1. MASTER_ENTRY'!$C33="","",'1. MASTER_ENTRY'!$M33)</f>
        <v/>
      </c>
      <c r="L33" s="20">
        <f>IF('1. MASTER_ENTRY'!$C33="","",'1. MASTER_ENTRY'!$R33)</f>
        <v/>
      </c>
    </row>
    <row r="34" ht="16" customHeight="1">
      <c r="A34" s="16">
        <f>IF('1. MASTER_ENTRY'!$C34="","",'1. MASTER_ENTRY'!$A34)</f>
        <v/>
      </c>
      <c r="B34" s="16">
        <f>IF('1. MASTER_ENTRY'!$C34="","",'1. MASTER_ENTRY'!$D34)</f>
        <v/>
      </c>
      <c r="C34" s="17">
        <f>IF('1. MASTER_ENTRY'!$C34="","",'1. MASTER_ENTRY'!$C34)</f>
        <v/>
      </c>
      <c r="D34" s="17">
        <f>IF('1. MASTER_ENTRY'!$C34="","",'1. MASTER_ENTRY'!$K34)</f>
        <v/>
      </c>
      <c r="E34" s="16">
        <f>IF('1. MASTER_ENTRY'!$C34="","",'1. MASTER_ENTRY'!$F34)</f>
        <v/>
      </c>
      <c r="F34" s="16">
        <f>IF('1. MASTER_ENTRY'!$C34="","",'1. MASTER_ENTRY'!$G34)</f>
        <v/>
      </c>
      <c r="G34" s="16">
        <f>IF('1. MASTER_ENTRY'!$C34="","",'1. MASTER_ENTRY'!$H34)</f>
        <v/>
      </c>
      <c r="H34" s="16">
        <f>IF('1. MASTER_ENTRY'!$C34="","",'1. MASTER_ENTRY'!$I34)</f>
        <v/>
      </c>
      <c r="I34" s="16">
        <f>IF('1. MASTER_ENTRY'!$C34="","",'1. MASTER_ENTRY'!$J34)</f>
        <v/>
      </c>
      <c r="J34" s="17">
        <f>IF('1. MASTER_ENTRY'!$C34="","",'1. MASTER_ENTRY'!$U34)</f>
        <v/>
      </c>
      <c r="K34" s="16">
        <f>IF('1. MASTER_ENTRY'!$C34="","",'1. MASTER_ENTRY'!$M34)</f>
        <v/>
      </c>
      <c r="L34" s="16">
        <f>IF('1. MASTER_ENTRY'!$C34="","",'1. MASTER_ENTRY'!$R34)</f>
        <v/>
      </c>
    </row>
    <row r="35" ht="16" customHeight="1">
      <c r="A35" s="20">
        <f>IF('1. MASTER_ENTRY'!$C35="","",'1. MASTER_ENTRY'!$A35)</f>
        <v/>
      </c>
      <c r="B35" s="20">
        <f>IF('1. MASTER_ENTRY'!$C35="","",'1. MASTER_ENTRY'!$D35)</f>
        <v/>
      </c>
      <c r="C35" s="21">
        <f>IF('1. MASTER_ENTRY'!$C35="","",'1. MASTER_ENTRY'!$C35)</f>
        <v/>
      </c>
      <c r="D35" s="21">
        <f>IF('1. MASTER_ENTRY'!$C35="","",'1. MASTER_ENTRY'!$K35)</f>
        <v/>
      </c>
      <c r="E35" s="20">
        <f>IF('1. MASTER_ENTRY'!$C35="","",'1. MASTER_ENTRY'!$F35)</f>
        <v/>
      </c>
      <c r="F35" s="20">
        <f>IF('1. MASTER_ENTRY'!$C35="","",'1. MASTER_ENTRY'!$G35)</f>
        <v/>
      </c>
      <c r="G35" s="20">
        <f>IF('1. MASTER_ENTRY'!$C35="","",'1. MASTER_ENTRY'!$H35)</f>
        <v/>
      </c>
      <c r="H35" s="20">
        <f>IF('1. MASTER_ENTRY'!$C35="","",'1. MASTER_ENTRY'!$I35)</f>
        <v/>
      </c>
      <c r="I35" s="20">
        <f>IF('1. MASTER_ENTRY'!$C35="","",'1. MASTER_ENTRY'!$J35)</f>
        <v/>
      </c>
      <c r="J35" s="21">
        <f>IF('1. MASTER_ENTRY'!$C35="","",'1. MASTER_ENTRY'!$U35)</f>
        <v/>
      </c>
      <c r="K35" s="20">
        <f>IF('1. MASTER_ENTRY'!$C35="","",'1. MASTER_ENTRY'!$M35)</f>
        <v/>
      </c>
      <c r="L35" s="20">
        <f>IF('1. MASTER_ENTRY'!$C35="","",'1. MASTER_ENTRY'!$R35)</f>
        <v/>
      </c>
    </row>
    <row r="36" ht="16" customHeight="1">
      <c r="A36" s="16">
        <f>IF('1. MASTER_ENTRY'!$C36="","",'1. MASTER_ENTRY'!$A36)</f>
        <v/>
      </c>
      <c r="B36" s="16">
        <f>IF('1. MASTER_ENTRY'!$C36="","",'1. MASTER_ENTRY'!$D36)</f>
        <v/>
      </c>
      <c r="C36" s="17">
        <f>IF('1. MASTER_ENTRY'!$C36="","",'1. MASTER_ENTRY'!$C36)</f>
        <v/>
      </c>
      <c r="D36" s="17">
        <f>IF('1. MASTER_ENTRY'!$C36="","",'1. MASTER_ENTRY'!$K36)</f>
        <v/>
      </c>
      <c r="E36" s="16">
        <f>IF('1. MASTER_ENTRY'!$C36="","",'1. MASTER_ENTRY'!$F36)</f>
        <v/>
      </c>
      <c r="F36" s="16">
        <f>IF('1. MASTER_ENTRY'!$C36="","",'1. MASTER_ENTRY'!$G36)</f>
        <v/>
      </c>
      <c r="G36" s="16">
        <f>IF('1. MASTER_ENTRY'!$C36="","",'1. MASTER_ENTRY'!$H36)</f>
        <v/>
      </c>
      <c r="H36" s="16">
        <f>IF('1. MASTER_ENTRY'!$C36="","",'1. MASTER_ENTRY'!$I36)</f>
        <v/>
      </c>
      <c r="I36" s="16">
        <f>IF('1. MASTER_ENTRY'!$C36="","",'1. MASTER_ENTRY'!$J36)</f>
        <v/>
      </c>
      <c r="J36" s="17">
        <f>IF('1. MASTER_ENTRY'!$C36="","",'1. MASTER_ENTRY'!$U36)</f>
        <v/>
      </c>
      <c r="K36" s="16">
        <f>IF('1. MASTER_ENTRY'!$C36="","",'1. MASTER_ENTRY'!$M36)</f>
        <v/>
      </c>
      <c r="L36" s="16">
        <f>IF('1. MASTER_ENTRY'!$C36="","",'1. MASTER_ENTRY'!$R36)</f>
        <v/>
      </c>
    </row>
    <row r="37" ht="16" customHeight="1">
      <c r="A37" s="20">
        <f>IF('1. MASTER_ENTRY'!$C37="","",'1. MASTER_ENTRY'!$A37)</f>
        <v/>
      </c>
      <c r="B37" s="20">
        <f>IF('1. MASTER_ENTRY'!$C37="","",'1. MASTER_ENTRY'!$D37)</f>
        <v/>
      </c>
      <c r="C37" s="21">
        <f>IF('1. MASTER_ENTRY'!$C37="","",'1. MASTER_ENTRY'!$C37)</f>
        <v/>
      </c>
      <c r="D37" s="21">
        <f>IF('1. MASTER_ENTRY'!$C37="","",'1. MASTER_ENTRY'!$K37)</f>
        <v/>
      </c>
      <c r="E37" s="20">
        <f>IF('1. MASTER_ENTRY'!$C37="","",'1. MASTER_ENTRY'!$F37)</f>
        <v/>
      </c>
      <c r="F37" s="20">
        <f>IF('1. MASTER_ENTRY'!$C37="","",'1. MASTER_ENTRY'!$G37)</f>
        <v/>
      </c>
      <c r="G37" s="20">
        <f>IF('1. MASTER_ENTRY'!$C37="","",'1. MASTER_ENTRY'!$H37)</f>
        <v/>
      </c>
      <c r="H37" s="20">
        <f>IF('1. MASTER_ENTRY'!$C37="","",'1. MASTER_ENTRY'!$I37)</f>
        <v/>
      </c>
      <c r="I37" s="20">
        <f>IF('1. MASTER_ENTRY'!$C37="","",'1. MASTER_ENTRY'!$J37)</f>
        <v/>
      </c>
      <c r="J37" s="21">
        <f>IF('1. MASTER_ENTRY'!$C37="","",'1. MASTER_ENTRY'!$U37)</f>
        <v/>
      </c>
      <c r="K37" s="20">
        <f>IF('1. MASTER_ENTRY'!$C37="","",'1. MASTER_ENTRY'!$M37)</f>
        <v/>
      </c>
      <c r="L37" s="20">
        <f>IF('1. MASTER_ENTRY'!$C37="","",'1. MASTER_ENTRY'!$R37)</f>
        <v/>
      </c>
    </row>
    <row r="38" ht="16" customHeight="1">
      <c r="A38" s="16">
        <f>IF('1. MASTER_ENTRY'!$C38="","",'1. MASTER_ENTRY'!$A38)</f>
        <v/>
      </c>
      <c r="B38" s="16">
        <f>IF('1. MASTER_ENTRY'!$C38="","",'1. MASTER_ENTRY'!$D38)</f>
        <v/>
      </c>
      <c r="C38" s="17">
        <f>IF('1. MASTER_ENTRY'!$C38="","",'1. MASTER_ENTRY'!$C38)</f>
        <v/>
      </c>
      <c r="D38" s="17">
        <f>IF('1. MASTER_ENTRY'!$C38="","",'1. MASTER_ENTRY'!$K38)</f>
        <v/>
      </c>
      <c r="E38" s="16">
        <f>IF('1. MASTER_ENTRY'!$C38="","",'1. MASTER_ENTRY'!$F38)</f>
        <v/>
      </c>
      <c r="F38" s="16">
        <f>IF('1. MASTER_ENTRY'!$C38="","",'1. MASTER_ENTRY'!$G38)</f>
        <v/>
      </c>
      <c r="G38" s="16">
        <f>IF('1. MASTER_ENTRY'!$C38="","",'1. MASTER_ENTRY'!$H38)</f>
        <v/>
      </c>
      <c r="H38" s="16">
        <f>IF('1. MASTER_ENTRY'!$C38="","",'1. MASTER_ENTRY'!$I38)</f>
        <v/>
      </c>
      <c r="I38" s="16">
        <f>IF('1. MASTER_ENTRY'!$C38="","",'1. MASTER_ENTRY'!$J38)</f>
        <v/>
      </c>
      <c r="J38" s="17">
        <f>IF('1. MASTER_ENTRY'!$C38="","",'1. MASTER_ENTRY'!$U38)</f>
        <v/>
      </c>
      <c r="K38" s="16">
        <f>IF('1. MASTER_ENTRY'!$C38="","",'1. MASTER_ENTRY'!$M38)</f>
        <v/>
      </c>
      <c r="L38" s="16">
        <f>IF('1. MASTER_ENTRY'!$C38="","",'1. MASTER_ENTRY'!$R38)</f>
        <v/>
      </c>
    </row>
    <row r="39" ht="16" customHeight="1">
      <c r="A39" s="20">
        <f>IF('1. MASTER_ENTRY'!$C39="","",'1. MASTER_ENTRY'!$A39)</f>
        <v/>
      </c>
      <c r="B39" s="20">
        <f>IF('1. MASTER_ENTRY'!$C39="","",'1. MASTER_ENTRY'!$D39)</f>
        <v/>
      </c>
      <c r="C39" s="21">
        <f>IF('1. MASTER_ENTRY'!$C39="","",'1. MASTER_ENTRY'!$C39)</f>
        <v/>
      </c>
      <c r="D39" s="21">
        <f>IF('1. MASTER_ENTRY'!$C39="","",'1. MASTER_ENTRY'!$K39)</f>
        <v/>
      </c>
      <c r="E39" s="20">
        <f>IF('1. MASTER_ENTRY'!$C39="","",'1. MASTER_ENTRY'!$F39)</f>
        <v/>
      </c>
      <c r="F39" s="20">
        <f>IF('1. MASTER_ENTRY'!$C39="","",'1. MASTER_ENTRY'!$G39)</f>
        <v/>
      </c>
      <c r="G39" s="20">
        <f>IF('1. MASTER_ENTRY'!$C39="","",'1. MASTER_ENTRY'!$H39)</f>
        <v/>
      </c>
      <c r="H39" s="20">
        <f>IF('1. MASTER_ENTRY'!$C39="","",'1. MASTER_ENTRY'!$I39)</f>
        <v/>
      </c>
      <c r="I39" s="20">
        <f>IF('1. MASTER_ENTRY'!$C39="","",'1. MASTER_ENTRY'!$J39)</f>
        <v/>
      </c>
      <c r="J39" s="21">
        <f>IF('1. MASTER_ENTRY'!$C39="","",'1. MASTER_ENTRY'!$U39)</f>
        <v/>
      </c>
      <c r="K39" s="20">
        <f>IF('1. MASTER_ENTRY'!$C39="","",'1. MASTER_ENTRY'!$M39)</f>
        <v/>
      </c>
      <c r="L39" s="20">
        <f>IF('1. MASTER_ENTRY'!$C39="","",'1. MASTER_ENTRY'!$R39)</f>
        <v/>
      </c>
    </row>
    <row r="40" ht="16" customHeight="1">
      <c r="A40" s="16">
        <f>IF('1. MASTER_ENTRY'!$C40="","",'1. MASTER_ENTRY'!$A40)</f>
        <v/>
      </c>
      <c r="B40" s="16">
        <f>IF('1. MASTER_ENTRY'!$C40="","",'1. MASTER_ENTRY'!$D40)</f>
        <v/>
      </c>
      <c r="C40" s="17">
        <f>IF('1. MASTER_ENTRY'!$C40="","",'1. MASTER_ENTRY'!$C40)</f>
        <v/>
      </c>
      <c r="D40" s="17">
        <f>IF('1. MASTER_ENTRY'!$C40="","",'1. MASTER_ENTRY'!$K40)</f>
        <v/>
      </c>
      <c r="E40" s="16">
        <f>IF('1. MASTER_ENTRY'!$C40="","",'1. MASTER_ENTRY'!$F40)</f>
        <v/>
      </c>
      <c r="F40" s="16">
        <f>IF('1. MASTER_ENTRY'!$C40="","",'1. MASTER_ENTRY'!$G40)</f>
        <v/>
      </c>
      <c r="G40" s="16">
        <f>IF('1. MASTER_ENTRY'!$C40="","",'1. MASTER_ENTRY'!$H40)</f>
        <v/>
      </c>
      <c r="H40" s="16">
        <f>IF('1. MASTER_ENTRY'!$C40="","",'1. MASTER_ENTRY'!$I40)</f>
        <v/>
      </c>
      <c r="I40" s="16">
        <f>IF('1. MASTER_ENTRY'!$C40="","",'1. MASTER_ENTRY'!$J40)</f>
        <v/>
      </c>
      <c r="J40" s="17">
        <f>IF('1. MASTER_ENTRY'!$C40="","",'1. MASTER_ENTRY'!$U40)</f>
        <v/>
      </c>
      <c r="K40" s="16">
        <f>IF('1. MASTER_ENTRY'!$C40="","",'1. MASTER_ENTRY'!$M40)</f>
        <v/>
      </c>
      <c r="L40" s="16">
        <f>IF('1. MASTER_ENTRY'!$C40="","",'1. MASTER_ENTRY'!$R40)</f>
        <v/>
      </c>
    </row>
    <row r="41" ht="16" customHeight="1">
      <c r="A41" s="20">
        <f>IF('1. MASTER_ENTRY'!$C41="","",'1. MASTER_ENTRY'!$A41)</f>
        <v/>
      </c>
      <c r="B41" s="20">
        <f>IF('1. MASTER_ENTRY'!$C41="","",'1. MASTER_ENTRY'!$D41)</f>
        <v/>
      </c>
      <c r="C41" s="21">
        <f>IF('1. MASTER_ENTRY'!$C41="","",'1. MASTER_ENTRY'!$C41)</f>
        <v/>
      </c>
      <c r="D41" s="21">
        <f>IF('1. MASTER_ENTRY'!$C41="","",'1. MASTER_ENTRY'!$K41)</f>
        <v/>
      </c>
      <c r="E41" s="20">
        <f>IF('1. MASTER_ENTRY'!$C41="","",'1. MASTER_ENTRY'!$F41)</f>
        <v/>
      </c>
      <c r="F41" s="20">
        <f>IF('1. MASTER_ENTRY'!$C41="","",'1. MASTER_ENTRY'!$G41)</f>
        <v/>
      </c>
      <c r="G41" s="20">
        <f>IF('1. MASTER_ENTRY'!$C41="","",'1. MASTER_ENTRY'!$H41)</f>
        <v/>
      </c>
      <c r="H41" s="20">
        <f>IF('1. MASTER_ENTRY'!$C41="","",'1. MASTER_ENTRY'!$I41)</f>
        <v/>
      </c>
      <c r="I41" s="20">
        <f>IF('1. MASTER_ENTRY'!$C41="","",'1. MASTER_ENTRY'!$J41)</f>
        <v/>
      </c>
      <c r="J41" s="21">
        <f>IF('1. MASTER_ENTRY'!$C41="","",'1. MASTER_ENTRY'!$U41)</f>
        <v/>
      </c>
      <c r="K41" s="20">
        <f>IF('1. MASTER_ENTRY'!$C41="","",'1. MASTER_ENTRY'!$M41)</f>
        <v/>
      </c>
      <c r="L41" s="20">
        <f>IF('1. MASTER_ENTRY'!$C41="","",'1. MASTER_ENTRY'!$R41)</f>
        <v/>
      </c>
    </row>
    <row r="42" ht="16" customHeight="1">
      <c r="A42" s="16">
        <f>IF('1. MASTER_ENTRY'!$C42="","",'1. MASTER_ENTRY'!$A42)</f>
        <v/>
      </c>
      <c r="B42" s="16">
        <f>IF('1. MASTER_ENTRY'!$C42="","",'1. MASTER_ENTRY'!$D42)</f>
        <v/>
      </c>
      <c r="C42" s="17">
        <f>IF('1. MASTER_ENTRY'!$C42="","",'1. MASTER_ENTRY'!$C42)</f>
        <v/>
      </c>
      <c r="D42" s="17">
        <f>IF('1. MASTER_ENTRY'!$C42="","",'1. MASTER_ENTRY'!$K42)</f>
        <v/>
      </c>
      <c r="E42" s="16">
        <f>IF('1. MASTER_ENTRY'!$C42="","",'1. MASTER_ENTRY'!$F42)</f>
        <v/>
      </c>
      <c r="F42" s="16">
        <f>IF('1. MASTER_ENTRY'!$C42="","",'1. MASTER_ENTRY'!$G42)</f>
        <v/>
      </c>
      <c r="G42" s="16">
        <f>IF('1. MASTER_ENTRY'!$C42="","",'1. MASTER_ENTRY'!$H42)</f>
        <v/>
      </c>
      <c r="H42" s="16">
        <f>IF('1. MASTER_ENTRY'!$C42="","",'1. MASTER_ENTRY'!$I42)</f>
        <v/>
      </c>
      <c r="I42" s="16">
        <f>IF('1. MASTER_ENTRY'!$C42="","",'1. MASTER_ENTRY'!$J42)</f>
        <v/>
      </c>
      <c r="J42" s="17">
        <f>IF('1. MASTER_ENTRY'!$C42="","",'1. MASTER_ENTRY'!$U42)</f>
        <v/>
      </c>
      <c r="K42" s="16">
        <f>IF('1. MASTER_ENTRY'!$C42="","",'1. MASTER_ENTRY'!$M42)</f>
        <v/>
      </c>
      <c r="L42" s="16">
        <f>IF('1. MASTER_ENTRY'!$C42="","",'1. MASTER_ENTRY'!$R42)</f>
        <v/>
      </c>
    </row>
    <row r="43" ht="16" customHeight="1">
      <c r="A43" s="20">
        <f>IF('1. MASTER_ENTRY'!$C43="","",'1. MASTER_ENTRY'!$A43)</f>
        <v/>
      </c>
      <c r="B43" s="20">
        <f>IF('1. MASTER_ENTRY'!$C43="","",'1. MASTER_ENTRY'!$D43)</f>
        <v/>
      </c>
      <c r="C43" s="21">
        <f>IF('1. MASTER_ENTRY'!$C43="","",'1. MASTER_ENTRY'!$C43)</f>
        <v/>
      </c>
      <c r="D43" s="21">
        <f>IF('1. MASTER_ENTRY'!$C43="","",'1. MASTER_ENTRY'!$K43)</f>
        <v/>
      </c>
      <c r="E43" s="20">
        <f>IF('1. MASTER_ENTRY'!$C43="","",'1. MASTER_ENTRY'!$F43)</f>
        <v/>
      </c>
      <c r="F43" s="20">
        <f>IF('1. MASTER_ENTRY'!$C43="","",'1. MASTER_ENTRY'!$G43)</f>
        <v/>
      </c>
      <c r="G43" s="20">
        <f>IF('1. MASTER_ENTRY'!$C43="","",'1. MASTER_ENTRY'!$H43)</f>
        <v/>
      </c>
      <c r="H43" s="20">
        <f>IF('1. MASTER_ENTRY'!$C43="","",'1. MASTER_ENTRY'!$I43)</f>
        <v/>
      </c>
      <c r="I43" s="20">
        <f>IF('1. MASTER_ENTRY'!$C43="","",'1. MASTER_ENTRY'!$J43)</f>
        <v/>
      </c>
      <c r="J43" s="21">
        <f>IF('1. MASTER_ENTRY'!$C43="","",'1. MASTER_ENTRY'!$U43)</f>
        <v/>
      </c>
      <c r="K43" s="20">
        <f>IF('1. MASTER_ENTRY'!$C43="","",'1. MASTER_ENTRY'!$M43)</f>
        <v/>
      </c>
      <c r="L43" s="20">
        <f>IF('1. MASTER_ENTRY'!$C43="","",'1. MASTER_ENTRY'!$R43)</f>
        <v/>
      </c>
    </row>
    <row r="44" ht="16" customHeight="1">
      <c r="A44" s="16">
        <f>IF('1. MASTER_ENTRY'!$C44="","",'1. MASTER_ENTRY'!$A44)</f>
        <v/>
      </c>
      <c r="B44" s="16">
        <f>IF('1. MASTER_ENTRY'!$C44="","",'1. MASTER_ENTRY'!$D44)</f>
        <v/>
      </c>
      <c r="C44" s="17">
        <f>IF('1. MASTER_ENTRY'!$C44="","",'1. MASTER_ENTRY'!$C44)</f>
        <v/>
      </c>
      <c r="D44" s="17">
        <f>IF('1. MASTER_ENTRY'!$C44="","",'1. MASTER_ENTRY'!$K44)</f>
        <v/>
      </c>
      <c r="E44" s="16">
        <f>IF('1. MASTER_ENTRY'!$C44="","",'1. MASTER_ENTRY'!$F44)</f>
        <v/>
      </c>
      <c r="F44" s="16">
        <f>IF('1. MASTER_ENTRY'!$C44="","",'1. MASTER_ENTRY'!$G44)</f>
        <v/>
      </c>
      <c r="G44" s="16">
        <f>IF('1. MASTER_ENTRY'!$C44="","",'1. MASTER_ENTRY'!$H44)</f>
        <v/>
      </c>
      <c r="H44" s="16">
        <f>IF('1. MASTER_ENTRY'!$C44="","",'1. MASTER_ENTRY'!$I44)</f>
        <v/>
      </c>
      <c r="I44" s="16">
        <f>IF('1. MASTER_ENTRY'!$C44="","",'1. MASTER_ENTRY'!$J44)</f>
        <v/>
      </c>
      <c r="J44" s="17">
        <f>IF('1. MASTER_ENTRY'!$C44="","",'1. MASTER_ENTRY'!$U44)</f>
        <v/>
      </c>
      <c r="K44" s="16">
        <f>IF('1. MASTER_ENTRY'!$C44="","",'1. MASTER_ENTRY'!$M44)</f>
        <v/>
      </c>
      <c r="L44" s="16">
        <f>IF('1. MASTER_ENTRY'!$C44="","",'1. MASTER_ENTRY'!$R44)</f>
        <v/>
      </c>
    </row>
    <row r="45" ht="16" customHeight="1">
      <c r="A45" s="20">
        <f>IF('1. MASTER_ENTRY'!$C45="","",'1. MASTER_ENTRY'!$A45)</f>
        <v/>
      </c>
      <c r="B45" s="20">
        <f>IF('1. MASTER_ENTRY'!$C45="","",'1. MASTER_ENTRY'!$D45)</f>
        <v/>
      </c>
      <c r="C45" s="21">
        <f>IF('1. MASTER_ENTRY'!$C45="","",'1. MASTER_ENTRY'!$C45)</f>
        <v/>
      </c>
      <c r="D45" s="21">
        <f>IF('1. MASTER_ENTRY'!$C45="","",'1. MASTER_ENTRY'!$K45)</f>
        <v/>
      </c>
      <c r="E45" s="20">
        <f>IF('1. MASTER_ENTRY'!$C45="","",'1. MASTER_ENTRY'!$F45)</f>
        <v/>
      </c>
      <c r="F45" s="20">
        <f>IF('1. MASTER_ENTRY'!$C45="","",'1. MASTER_ENTRY'!$G45)</f>
        <v/>
      </c>
      <c r="G45" s="20">
        <f>IF('1. MASTER_ENTRY'!$C45="","",'1. MASTER_ENTRY'!$H45)</f>
        <v/>
      </c>
      <c r="H45" s="20">
        <f>IF('1. MASTER_ENTRY'!$C45="","",'1. MASTER_ENTRY'!$I45)</f>
        <v/>
      </c>
      <c r="I45" s="20">
        <f>IF('1. MASTER_ENTRY'!$C45="","",'1. MASTER_ENTRY'!$J45)</f>
        <v/>
      </c>
      <c r="J45" s="21">
        <f>IF('1. MASTER_ENTRY'!$C45="","",'1. MASTER_ENTRY'!$U45)</f>
        <v/>
      </c>
      <c r="K45" s="20">
        <f>IF('1. MASTER_ENTRY'!$C45="","",'1. MASTER_ENTRY'!$M45)</f>
        <v/>
      </c>
      <c r="L45" s="20">
        <f>IF('1. MASTER_ENTRY'!$C45="","",'1. MASTER_ENTRY'!$R45)</f>
        <v/>
      </c>
    </row>
    <row r="46" ht="16" customHeight="1">
      <c r="A46" s="16">
        <f>IF('1. MASTER_ENTRY'!$C46="","",'1. MASTER_ENTRY'!$A46)</f>
        <v/>
      </c>
      <c r="B46" s="16">
        <f>IF('1. MASTER_ENTRY'!$C46="","",'1. MASTER_ENTRY'!$D46)</f>
        <v/>
      </c>
      <c r="C46" s="17">
        <f>IF('1. MASTER_ENTRY'!$C46="","",'1. MASTER_ENTRY'!$C46)</f>
        <v/>
      </c>
      <c r="D46" s="17">
        <f>IF('1. MASTER_ENTRY'!$C46="","",'1. MASTER_ENTRY'!$K46)</f>
        <v/>
      </c>
      <c r="E46" s="16">
        <f>IF('1. MASTER_ENTRY'!$C46="","",'1. MASTER_ENTRY'!$F46)</f>
        <v/>
      </c>
      <c r="F46" s="16">
        <f>IF('1. MASTER_ENTRY'!$C46="","",'1. MASTER_ENTRY'!$G46)</f>
        <v/>
      </c>
      <c r="G46" s="16">
        <f>IF('1. MASTER_ENTRY'!$C46="","",'1. MASTER_ENTRY'!$H46)</f>
        <v/>
      </c>
      <c r="H46" s="16">
        <f>IF('1. MASTER_ENTRY'!$C46="","",'1. MASTER_ENTRY'!$I46)</f>
        <v/>
      </c>
      <c r="I46" s="16">
        <f>IF('1. MASTER_ENTRY'!$C46="","",'1. MASTER_ENTRY'!$J46)</f>
        <v/>
      </c>
      <c r="J46" s="17">
        <f>IF('1. MASTER_ENTRY'!$C46="","",'1. MASTER_ENTRY'!$U46)</f>
        <v/>
      </c>
      <c r="K46" s="16">
        <f>IF('1. MASTER_ENTRY'!$C46="","",'1. MASTER_ENTRY'!$M46)</f>
        <v/>
      </c>
      <c r="L46" s="16">
        <f>IF('1. MASTER_ENTRY'!$C46="","",'1. MASTER_ENTRY'!$R46)</f>
        <v/>
      </c>
    </row>
    <row r="47" ht="16" customHeight="1">
      <c r="A47" s="20">
        <f>IF('1. MASTER_ENTRY'!$C47="","",'1. MASTER_ENTRY'!$A47)</f>
        <v/>
      </c>
      <c r="B47" s="20">
        <f>IF('1. MASTER_ENTRY'!$C47="","",'1. MASTER_ENTRY'!$D47)</f>
        <v/>
      </c>
      <c r="C47" s="21">
        <f>IF('1. MASTER_ENTRY'!$C47="","",'1. MASTER_ENTRY'!$C47)</f>
        <v/>
      </c>
      <c r="D47" s="21">
        <f>IF('1. MASTER_ENTRY'!$C47="","",'1. MASTER_ENTRY'!$K47)</f>
        <v/>
      </c>
      <c r="E47" s="20">
        <f>IF('1. MASTER_ENTRY'!$C47="","",'1. MASTER_ENTRY'!$F47)</f>
        <v/>
      </c>
      <c r="F47" s="20">
        <f>IF('1. MASTER_ENTRY'!$C47="","",'1. MASTER_ENTRY'!$G47)</f>
        <v/>
      </c>
      <c r="G47" s="20">
        <f>IF('1. MASTER_ENTRY'!$C47="","",'1. MASTER_ENTRY'!$H47)</f>
        <v/>
      </c>
      <c r="H47" s="20">
        <f>IF('1. MASTER_ENTRY'!$C47="","",'1. MASTER_ENTRY'!$I47)</f>
        <v/>
      </c>
      <c r="I47" s="20">
        <f>IF('1. MASTER_ENTRY'!$C47="","",'1. MASTER_ENTRY'!$J47)</f>
        <v/>
      </c>
      <c r="J47" s="21">
        <f>IF('1. MASTER_ENTRY'!$C47="","",'1. MASTER_ENTRY'!$U47)</f>
        <v/>
      </c>
      <c r="K47" s="20">
        <f>IF('1. MASTER_ENTRY'!$C47="","",'1. MASTER_ENTRY'!$M47)</f>
        <v/>
      </c>
      <c r="L47" s="20">
        <f>IF('1. MASTER_ENTRY'!$C47="","",'1. MASTER_ENTRY'!$R47)</f>
        <v/>
      </c>
    </row>
    <row r="48" ht="16" customHeight="1">
      <c r="A48" s="16">
        <f>IF('1. MASTER_ENTRY'!$C48="","",'1. MASTER_ENTRY'!$A48)</f>
        <v/>
      </c>
      <c r="B48" s="16">
        <f>IF('1. MASTER_ENTRY'!$C48="","",'1. MASTER_ENTRY'!$D48)</f>
        <v/>
      </c>
      <c r="C48" s="17">
        <f>IF('1. MASTER_ENTRY'!$C48="","",'1. MASTER_ENTRY'!$C48)</f>
        <v/>
      </c>
      <c r="D48" s="17">
        <f>IF('1. MASTER_ENTRY'!$C48="","",'1. MASTER_ENTRY'!$K48)</f>
        <v/>
      </c>
      <c r="E48" s="16">
        <f>IF('1. MASTER_ENTRY'!$C48="","",'1. MASTER_ENTRY'!$F48)</f>
        <v/>
      </c>
      <c r="F48" s="16">
        <f>IF('1. MASTER_ENTRY'!$C48="","",'1. MASTER_ENTRY'!$G48)</f>
        <v/>
      </c>
      <c r="G48" s="16">
        <f>IF('1. MASTER_ENTRY'!$C48="","",'1. MASTER_ENTRY'!$H48)</f>
        <v/>
      </c>
      <c r="H48" s="16">
        <f>IF('1. MASTER_ENTRY'!$C48="","",'1. MASTER_ENTRY'!$I48)</f>
        <v/>
      </c>
      <c r="I48" s="16">
        <f>IF('1. MASTER_ENTRY'!$C48="","",'1. MASTER_ENTRY'!$J48)</f>
        <v/>
      </c>
      <c r="J48" s="17">
        <f>IF('1. MASTER_ENTRY'!$C48="","",'1. MASTER_ENTRY'!$U48)</f>
        <v/>
      </c>
      <c r="K48" s="16">
        <f>IF('1. MASTER_ENTRY'!$C48="","",'1. MASTER_ENTRY'!$M48)</f>
        <v/>
      </c>
      <c r="L48" s="16">
        <f>IF('1. MASTER_ENTRY'!$C48="","",'1. MASTER_ENTRY'!$R48)</f>
        <v/>
      </c>
    </row>
    <row r="49" ht="16" customHeight="1">
      <c r="A49" s="20">
        <f>IF('1. MASTER_ENTRY'!$C49="","",'1. MASTER_ENTRY'!$A49)</f>
        <v/>
      </c>
      <c r="B49" s="20">
        <f>IF('1. MASTER_ENTRY'!$C49="","",'1. MASTER_ENTRY'!$D49)</f>
        <v/>
      </c>
      <c r="C49" s="21">
        <f>IF('1. MASTER_ENTRY'!$C49="","",'1. MASTER_ENTRY'!$C49)</f>
        <v/>
      </c>
      <c r="D49" s="21">
        <f>IF('1. MASTER_ENTRY'!$C49="","",'1. MASTER_ENTRY'!$K49)</f>
        <v/>
      </c>
      <c r="E49" s="20">
        <f>IF('1. MASTER_ENTRY'!$C49="","",'1. MASTER_ENTRY'!$F49)</f>
        <v/>
      </c>
      <c r="F49" s="20">
        <f>IF('1. MASTER_ENTRY'!$C49="","",'1. MASTER_ENTRY'!$G49)</f>
        <v/>
      </c>
      <c r="G49" s="20">
        <f>IF('1. MASTER_ENTRY'!$C49="","",'1. MASTER_ENTRY'!$H49)</f>
        <v/>
      </c>
      <c r="H49" s="20">
        <f>IF('1. MASTER_ENTRY'!$C49="","",'1. MASTER_ENTRY'!$I49)</f>
        <v/>
      </c>
      <c r="I49" s="20">
        <f>IF('1. MASTER_ENTRY'!$C49="","",'1. MASTER_ENTRY'!$J49)</f>
        <v/>
      </c>
      <c r="J49" s="21">
        <f>IF('1. MASTER_ENTRY'!$C49="","",'1. MASTER_ENTRY'!$U49)</f>
        <v/>
      </c>
      <c r="K49" s="20">
        <f>IF('1. MASTER_ENTRY'!$C49="","",'1. MASTER_ENTRY'!$M49)</f>
        <v/>
      </c>
      <c r="L49" s="20">
        <f>IF('1. MASTER_ENTRY'!$C49="","",'1. MASTER_ENTRY'!$R49)</f>
        <v/>
      </c>
    </row>
    <row r="50" ht="16" customHeight="1">
      <c r="A50" s="16">
        <f>IF('1. MASTER_ENTRY'!$C50="","",'1. MASTER_ENTRY'!$A50)</f>
        <v/>
      </c>
      <c r="B50" s="16">
        <f>IF('1. MASTER_ENTRY'!$C50="","",'1. MASTER_ENTRY'!$D50)</f>
        <v/>
      </c>
      <c r="C50" s="17">
        <f>IF('1. MASTER_ENTRY'!$C50="","",'1. MASTER_ENTRY'!$C50)</f>
        <v/>
      </c>
      <c r="D50" s="17">
        <f>IF('1. MASTER_ENTRY'!$C50="","",'1. MASTER_ENTRY'!$K50)</f>
        <v/>
      </c>
      <c r="E50" s="16">
        <f>IF('1. MASTER_ENTRY'!$C50="","",'1. MASTER_ENTRY'!$F50)</f>
        <v/>
      </c>
      <c r="F50" s="16">
        <f>IF('1. MASTER_ENTRY'!$C50="","",'1. MASTER_ENTRY'!$G50)</f>
        <v/>
      </c>
      <c r="G50" s="16">
        <f>IF('1. MASTER_ENTRY'!$C50="","",'1. MASTER_ENTRY'!$H50)</f>
        <v/>
      </c>
      <c r="H50" s="16">
        <f>IF('1. MASTER_ENTRY'!$C50="","",'1. MASTER_ENTRY'!$I50)</f>
        <v/>
      </c>
      <c r="I50" s="16">
        <f>IF('1. MASTER_ENTRY'!$C50="","",'1. MASTER_ENTRY'!$J50)</f>
        <v/>
      </c>
      <c r="J50" s="17">
        <f>IF('1. MASTER_ENTRY'!$C50="","",'1. MASTER_ENTRY'!$U50)</f>
        <v/>
      </c>
      <c r="K50" s="16">
        <f>IF('1. MASTER_ENTRY'!$C50="","",'1. MASTER_ENTRY'!$M50)</f>
        <v/>
      </c>
      <c r="L50" s="16">
        <f>IF('1. MASTER_ENTRY'!$C50="","",'1. MASTER_ENTRY'!$R50)</f>
        <v/>
      </c>
    </row>
    <row r="51" ht="16" customHeight="1">
      <c r="A51" s="20">
        <f>IF('1. MASTER_ENTRY'!$C51="","",'1. MASTER_ENTRY'!$A51)</f>
        <v/>
      </c>
      <c r="B51" s="20">
        <f>IF('1. MASTER_ENTRY'!$C51="","",'1. MASTER_ENTRY'!$D51)</f>
        <v/>
      </c>
      <c r="C51" s="21">
        <f>IF('1. MASTER_ENTRY'!$C51="","",'1. MASTER_ENTRY'!$C51)</f>
        <v/>
      </c>
      <c r="D51" s="21">
        <f>IF('1. MASTER_ENTRY'!$C51="","",'1. MASTER_ENTRY'!$K51)</f>
        <v/>
      </c>
      <c r="E51" s="20">
        <f>IF('1. MASTER_ENTRY'!$C51="","",'1. MASTER_ENTRY'!$F51)</f>
        <v/>
      </c>
      <c r="F51" s="20">
        <f>IF('1. MASTER_ENTRY'!$C51="","",'1. MASTER_ENTRY'!$G51)</f>
        <v/>
      </c>
      <c r="G51" s="20">
        <f>IF('1. MASTER_ENTRY'!$C51="","",'1. MASTER_ENTRY'!$H51)</f>
        <v/>
      </c>
      <c r="H51" s="20">
        <f>IF('1. MASTER_ENTRY'!$C51="","",'1. MASTER_ENTRY'!$I51)</f>
        <v/>
      </c>
      <c r="I51" s="20">
        <f>IF('1. MASTER_ENTRY'!$C51="","",'1. MASTER_ENTRY'!$J51)</f>
        <v/>
      </c>
      <c r="J51" s="21">
        <f>IF('1. MASTER_ENTRY'!$C51="","",'1. MASTER_ENTRY'!$U51)</f>
        <v/>
      </c>
      <c r="K51" s="20">
        <f>IF('1. MASTER_ENTRY'!$C51="","",'1. MASTER_ENTRY'!$M51)</f>
        <v/>
      </c>
      <c r="L51" s="20">
        <f>IF('1. MASTER_ENTRY'!$C51="","",'1. MASTER_ENTRY'!$R51)</f>
        <v/>
      </c>
    </row>
    <row r="52" ht="16" customHeight="1">
      <c r="A52" s="16">
        <f>IF('1. MASTER_ENTRY'!$C52="","",'1. MASTER_ENTRY'!$A52)</f>
        <v/>
      </c>
      <c r="B52" s="16">
        <f>IF('1. MASTER_ENTRY'!$C52="","",'1. MASTER_ENTRY'!$D52)</f>
        <v/>
      </c>
      <c r="C52" s="17">
        <f>IF('1. MASTER_ENTRY'!$C52="","",'1. MASTER_ENTRY'!$C52)</f>
        <v/>
      </c>
      <c r="D52" s="17">
        <f>IF('1. MASTER_ENTRY'!$C52="","",'1. MASTER_ENTRY'!$K52)</f>
        <v/>
      </c>
      <c r="E52" s="16">
        <f>IF('1. MASTER_ENTRY'!$C52="","",'1. MASTER_ENTRY'!$F52)</f>
        <v/>
      </c>
      <c r="F52" s="16">
        <f>IF('1. MASTER_ENTRY'!$C52="","",'1. MASTER_ENTRY'!$G52)</f>
        <v/>
      </c>
      <c r="G52" s="16">
        <f>IF('1. MASTER_ENTRY'!$C52="","",'1. MASTER_ENTRY'!$H52)</f>
        <v/>
      </c>
      <c r="H52" s="16">
        <f>IF('1. MASTER_ENTRY'!$C52="","",'1. MASTER_ENTRY'!$I52)</f>
        <v/>
      </c>
      <c r="I52" s="16">
        <f>IF('1. MASTER_ENTRY'!$C52="","",'1. MASTER_ENTRY'!$J52)</f>
        <v/>
      </c>
      <c r="J52" s="17">
        <f>IF('1. MASTER_ENTRY'!$C52="","",'1. MASTER_ENTRY'!$U52)</f>
        <v/>
      </c>
      <c r="K52" s="16">
        <f>IF('1. MASTER_ENTRY'!$C52="","",'1. MASTER_ENTRY'!$M52)</f>
        <v/>
      </c>
      <c r="L52" s="16">
        <f>IF('1. MASTER_ENTRY'!$C52="","",'1. MASTER_ENTRY'!$R52)</f>
        <v/>
      </c>
    </row>
    <row r="53" ht="16" customHeight="1">
      <c r="A53" s="20">
        <f>IF('1. MASTER_ENTRY'!$C53="","",'1. MASTER_ENTRY'!$A53)</f>
        <v/>
      </c>
      <c r="B53" s="20">
        <f>IF('1. MASTER_ENTRY'!$C53="","",'1. MASTER_ENTRY'!$D53)</f>
        <v/>
      </c>
      <c r="C53" s="21">
        <f>IF('1. MASTER_ENTRY'!$C53="","",'1. MASTER_ENTRY'!$C53)</f>
        <v/>
      </c>
      <c r="D53" s="21">
        <f>IF('1. MASTER_ENTRY'!$C53="","",'1. MASTER_ENTRY'!$K53)</f>
        <v/>
      </c>
      <c r="E53" s="20">
        <f>IF('1. MASTER_ENTRY'!$C53="","",'1. MASTER_ENTRY'!$F53)</f>
        <v/>
      </c>
      <c r="F53" s="20">
        <f>IF('1. MASTER_ENTRY'!$C53="","",'1. MASTER_ENTRY'!$G53)</f>
        <v/>
      </c>
      <c r="G53" s="20">
        <f>IF('1. MASTER_ENTRY'!$C53="","",'1. MASTER_ENTRY'!$H53)</f>
        <v/>
      </c>
      <c r="H53" s="20">
        <f>IF('1. MASTER_ENTRY'!$C53="","",'1. MASTER_ENTRY'!$I53)</f>
        <v/>
      </c>
      <c r="I53" s="20">
        <f>IF('1. MASTER_ENTRY'!$C53="","",'1. MASTER_ENTRY'!$J53)</f>
        <v/>
      </c>
      <c r="J53" s="21">
        <f>IF('1. MASTER_ENTRY'!$C53="","",'1. MASTER_ENTRY'!$U53)</f>
        <v/>
      </c>
      <c r="K53" s="20">
        <f>IF('1. MASTER_ENTRY'!$C53="","",'1. MASTER_ENTRY'!$M53)</f>
        <v/>
      </c>
      <c r="L53" s="20">
        <f>IF('1. MASTER_ENTRY'!$C53="","",'1. MASTER_ENTRY'!$R53)</f>
        <v/>
      </c>
    </row>
    <row r="54" ht="16" customHeight="1">
      <c r="A54" s="16">
        <f>IF('1. MASTER_ENTRY'!$C54="","",'1. MASTER_ENTRY'!$A54)</f>
        <v/>
      </c>
      <c r="B54" s="16">
        <f>IF('1. MASTER_ENTRY'!$C54="","",'1. MASTER_ENTRY'!$D54)</f>
        <v/>
      </c>
      <c r="C54" s="17">
        <f>IF('1. MASTER_ENTRY'!$C54="","",'1. MASTER_ENTRY'!$C54)</f>
        <v/>
      </c>
      <c r="D54" s="17">
        <f>IF('1. MASTER_ENTRY'!$C54="","",'1. MASTER_ENTRY'!$K54)</f>
        <v/>
      </c>
      <c r="E54" s="16">
        <f>IF('1. MASTER_ENTRY'!$C54="","",'1. MASTER_ENTRY'!$F54)</f>
        <v/>
      </c>
      <c r="F54" s="16">
        <f>IF('1. MASTER_ENTRY'!$C54="","",'1. MASTER_ENTRY'!$G54)</f>
        <v/>
      </c>
      <c r="G54" s="16">
        <f>IF('1. MASTER_ENTRY'!$C54="","",'1. MASTER_ENTRY'!$H54)</f>
        <v/>
      </c>
      <c r="H54" s="16">
        <f>IF('1. MASTER_ENTRY'!$C54="","",'1. MASTER_ENTRY'!$I54)</f>
        <v/>
      </c>
      <c r="I54" s="16">
        <f>IF('1. MASTER_ENTRY'!$C54="","",'1. MASTER_ENTRY'!$J54)</f>
        <v/>
      </c>
      <c r="J54" s="17">
        <f>IF('1. MASTER_ENTRY'!$C54="","",'1. MASTER_ENTRY'!$U54)</f>
        <v/>
      </c>
      <c r="K54" s="16">
        <f>IF('1. MASTER_ENTRY'!$C54="","",'1. MASTER_ENTRY'!$M54)</f>
        <v/>
      </c>
      <c r="L54" s="16">
        <f>IF('1. MASTER_ENTRY'!$C54="","",'1. MASTER_ENTRY'!$R54)</f>
        <v/>
      </c>
    </row>
    <row r="55" ht="16" customHeight="1">
      <c r="A55" s="20">
        <f>IF('1. MASTER_ENTRY'!$C55="","",'1. MASTER_ENTRY'!$A55)</f>
        <v/>
      </c>
      <c r="B55" s="20">
        <f>IF('1. MASTER_ENTRY'!$C55="","",'1. MASTER_ENTRY'!$D55)</f>
        <v/>
      </c>
      <c r="C55" s="21">
        <f>IF('1. MASTER_ENTRY'!$C55="","",'1. MASTER_ENTRY'!$C55)</f>
        <v/>
      </c>
      <c r="D55" s="21">
        <f>IF('1. MASTER_ENTRY'!$C55="","",'1. MASTER_ENTRY'!$K55)</f>
        <v/>
      </c>
      <c r="E55" s="20">
        <f>IF('1. MASTER_ENTRY'!$C55="","",'1. MASTER_ENTRY'!$F55)</f>
        <v/>
      </c>
      <c r="F55" s="20">
        <f>IF('1. MASTER_ENTRY'!$C55="","",'1. MASTER_ENTRY'!$G55)</f>
        <v/>
      </c>
      <c r="G55" s="20">
        <f>IF('1. MASTER_ENTRY'!$C55="","",'1. MASTER_ENTRY'!$H55)</f>
        <v/>
      </c>
      <c r="H55" s="20">
        <f>IF('1. MASTER_ENTRY'!$C55="","",'1. MASTER_ENTRY'!$I55)</f>
        <v/>
      </c>
      <c r="I55" s="20">
        <f>IF('1. MASTER_ENTRY'!$C55="","",'1. MASTER_ENTRY'!$J55)</f>
        <v/>
      </c>
      <c r="J55" s="21">
        <f>IF('1. MASTER_ENTRY'!$C55="","",'1. MASTER_ENTRY'!$U55)</f>
        <v/>
      </c>
      <c r="K55" s="20">
        <f>IF('1. MASTER_ENTRY'!$C55="","",'1. MASTER_ENTRY'!$M55)</f>
        <v/>
      </c>
      <c r="L55" s="20">
        <f>IF('1. MASTER_ENTRY'!$C55="","",'1. MASTER_ENTRY'!$R55)</f>
        <v/>
      </c>
    </row>
    <row r="56" ht="16" customHeight="1">
      <c r="A56" s="16">
        <f>IF('1. MASTER_ENTRY'!$C56="","",'1. MASTER_ENTRY'!$A56)</f>
        <v/>
      </c>
      <c r="B56" s="16">
        <f>IF('1. MASTER_ENTRY'!$C56="","",'1. MASTER_ENTRY'!$D56)</f>
        <v/>
      </c>
      <c r="C56" s="17">
        <f>IF('1. MASTER_ENTRY'!$C56="","",'1. MASTER_ENTRY'!$C56)</f>
        <v/>
      </c>
      <c r="D56" s="17">
        <f>IF('1. MASTER_ENTRY'!$C56="","",'1. MASTER_ENTRY'!$K56)</f>
        <v/>
      </c>
      <c r="E56" s="16">
        <f>IF('1. MASTER_ENTRY'!$C56="","",'1. MASTER_ENTRY'!$F56)</f>
        <v/>
      </c>
      <c r="F56" s="16">
        <f>IF('1. MASTER_ENTRY'!$C56="","",'1. MASTER_ENTRY'!$G56)</f>
        <v/>
      </c>
      <c r="G56" s="16">
        <f>IF('1. MASTER_ENTRY'!$C56="","",'1. MASTER_ENTRY'!$H56)</f>
        <v/>
      </c>
      <c r="H56" s="16">
        <f>IF('1. MASTER_ENTRY'!$C56="","",'1. MASTER_ENTRY'!$I56)</f>
        <v/>
      </c>
      <c r="I56" s="16">
        <f>IF('1. MASTER_ENTRY'!$C56="","",'1. MASTER_ENTRY'!$J56)</f>
        <v/>
      </c>
      <c r="J56" s="17">
        <f>IF('1. MASTER_ENTRY'!$C56="","",'1. MASTER_ENTRY'!$U56)</f>
        <v/>
      </c>
      <c r="K56" s="16">
        <f>IF('1. MASTER_ENTRY'!$C56="","",'1. MASTER_ENTRY'!$M56)</f>
        <v/>
      </c>
      <c r="L56" s="16">
        <f>IF('1. MASTER_ENTRY'!$C56="","",'1. MASTER_ENTRY'!$R56)</f>
        <v/>
      </c>
    </row>
    <row r="57" ht="16" customHeight="1">
      <c r="A57" s="20">
        <f>IF('1. MASTER_ENTRY'!$C57="","",'1. MASTER_ENTRY'!$A57)</f>
        <v/>
      </c>
      <c r="B57" s="20">
        <f>IF('1. MASTER_ENTRY'!$C57="","",'1. MASTER_ENTRY'!$D57)</f>
        <v/>
      </c>
      <c r="C57" s="21">
        <f>IF('1. MASTER_ENTRY'!$C57="","",'1. MASTER_ENTRY'!$C57)</f>
        <v/>
      </c>
      <c r="D57" s="21">
        <f>IF('1. MASTER_ENTRY'!$C57="","",'1. MASTER_ENTRY'!$K57)</f>
        <v/>
      </c>
      <c r="E57" s="20">
        <f>IF('1. MASTER_ENTRY'!$C57="","",'1. MASTER_ENTRY'!$F57)</f>
        <v/>
      </c>
      <c r="F57" s="20">
        <f>IF('1. MASTER_ENTRY'!$C57="","",'1. MASTER_ENTRY'!$G57)</f>
        <v/>
      </c>
      <c r="G57" s="20">
        <f>IF('1. MASTER_ENTRY'!$C57="","",'1. MASTER_ENTRY'!$H57)</f>
        <v/>
      </c>
      <c r="H57" s="20">
        <f>IF('1. MASTER_ENTRY'!$C57="","",'1. MASTER_ENTRY'!$I57)</f>
        <v/>
      </c>
      <c r="I57" s="20">
        <f>IF('1. MASTER_ENTRY'!$C57="","",'1. MASTER_ENTRY'!$J57)</f>
        <v/>
      </c>
      <c r="J57" s="21">
        <f>IF('1. MASTER_ENTRY'!$C57="","",'1. MASTER_ENTRY'!$U57)</f>
        <v/>
      </c>
      <c r="K57" s="20">
        <f>IF('1. MASTER_ENTRY'!$C57="","",'1. MASTER_ENTRY'!$M57)</f>
        <v/>
      </c>
      <c r="L57" s="20">
        <f>IF('1. MASTER_ENTRY'!$C57="","",'1. MASTER_ENTRY'!$R57)</f>
        <v/>
      </c>
    </row>
    <row r="58" ht="16" customHeight="1">
      <c r="A58" s="16">
        <f>IF('1. MASTER_ENTRY'!$C58="","",'1. MASTER_ENTRY'!$A58)</f>
        <v/>
      </c>
      <c r="B58" s="16">
        <f>IF('1. MASTER_ENTRY'!$C58="","",'1. MASTER_ENTRY'!$D58)</f>
        <v/>
      </c>
      <c r="C58" s="17">
        <f>IF('1. MASTER_ENTRY'!$C58="","",'1. MASTER_ENTRY'!$C58)</f>
        <v/>
      </c>
      <c r="D58" s="17">
        <f>IF('1. MASTER_ENTRY'!$C58="","",'1. MASTER_ENTRY'!$K58)</f>
        <v/>
      </c>
      <c r="E58" s="16">
        <f>IF('1. MASTER_ENTRY'!$C58="","",'1. MASTER_ENTRY'!$F58)</f>
        <v/>
      </c>
      <c r="F58" s="16">
        <f>IF('1. MASTER_ENTRY'!$C58="","",'1. MASTER_ENTRY'!$G58)</f>
        <v/>
      </c>
      <c r="G58" s="16">
        <f>IF('1. MASTER_ENTRY'!$C58="","",'1. MASTER_ENTRY'!$H58)</f>
        <v/>
      </c>
      <c r="H58" s="16">
        <f>IF('1. MASTER_ENTRY'!$C58="","",'1. MASTER_ENTRY'!$I58)</f>
        <v/>
      </c>
      <c r="I58" s="16">
        <f>IF('1. MASTER_ENTRY'!$C58="","",'1. MASTER_ENTRY'!$J58)</f>
        <v/>
      </c>
      <c r="J58" s="17">
        <f>IF('1. MASTER_ENTRY'!$C58="","",'1. MASTER_ENTRY'!$U58)</f>
        <v/>
      </c>
      <c r="K58" s="16">
        <f>IF('1. MASTER_ENTRY'!$C58="","",'1. MASTER_ENTRY'!$M58)</f>
        <v/>
      </c>
      <c r="L58" s="16">
        <f>IF('1. MASTER_ENTRY'!$C58="","",'1. MASTER_ENTRY'!$R58)</f>
        <v/>
      </c>
    </row>
    <row r="59" ht="16" customHeight="1">
      <c r="A59" s="20">
        <f>IF('1. MASTER_ENTRY'!$C59="","",'1. MASTER_ENTRY'!$A59)</f>
        <v/>
      </c>
      <c r="B59" s="20">
        <f>IF('1. MASTER_ENTRY'!$C59="","",'1. MASTER_ENTRY'!$D59)</f>
        <v/>
      </c>
      <c r="C59" s="21">
        <f>IF('1. MASTER_ENTRY'!$C59="","",'1. MASTER_ENTRY'!$C59)</f>
        <v/>
      </c>
      <c r="D59" s="21">
        <f>IF('1. MASTER_ENTRY'!$C59="","",'1. MASTER_ENTRY'!$K59)</f>
        <v/>
      </c>
      <c r="E59" s="20">
        <f>IF('1. MASTER_ENTRY'!$C59="","",'1. MASTER_ENTRY'!$F59)</f>
        <v/>
      </c>
      <c r="F59" s="20">
        <f>IF('1. MASTER_ENTRY'!$C59="","",'1. MASTER_ENTRY'!$G59)</f>
        <v/>
      </c>
      <c r="G59" s="20">
        <f>IF('1. MASTER_ENTRY'!$C59="","",'1. MASTER_ENTRY'!$H59)</f>
        <v/>
      </c>
      <c r="H59" s="20">
        <f>IF('1. MASTER_ENTRY'!$C59="","",'1. MASTER_ENTRY'!$I59)</f>
        <v/>
      </c>
      <c r="I59" s="20">
        <f>IF('1. MASTER_ENTRY'!$C59="","",'1. MASTER_ENTRY'!$J59)</f>
        <v/>
      </c>
      <c r="J59" s="21">
        <f>IF('1. MASTER_ENTRY'!$C59="","",'1. MASTER_ENTRY'!$U59)</f>
        <v/>
      </c>
      <c r="K59" s="20">
        <f>IF('1. MASTER_ENTRY'!$C59="","",'1. MASTER_ENTRY'!$M59)</f>
        <v/>
      </c>
      <c r="L59" s="20">
        <f>IF('1. MASTER_ENTRY'!$C59="","",'1. MASTER_ENTRY'!$R59)</f>
        <v/>
      </c>
    </row>
    <row r="60" ht="16" customHeight="1">
      <c r="A60" s="16">
        <f>IF('1. MASTER_ENTRY'!$C60="","",'1. MASTER_ENTRY'!$A60)</f>
        <v/>
      </c>
      <c r="B60" s="16">
        <f>IF('1. MASTER_ENTRY'!$C60="","",'1. MASTER_ENTRY'!$D60)</f>
        <v/>
      </c>
      <c r="C60" s="17">
        <f>IF('1. MASTER_ENTRY'!$C60="","",'1. MASTER_ENTRY'!$C60)</f>
        <v/>
      </c>
      <c r="D60" s="17">
        <f>IF('1. MASTER_ENTRY'!$C60="","",'1. MASTER_ENTRY'!$K60)</f>
        <v/>
      </c>
      <c r="E60" s="16">
        <f>IF('1. MASTER_ENTRY'!$C60="","",'1. MASTER_ENTRY'!$F60)</f>
        <v/>
      </c>
      <c r="F60" s="16">
        <f>IF('1. MASTER_ENTRY'!$C60="","",'1. MASTER_ENTRY'!$G60)</f>
        <v/>
      </c>
      <c r="G60" s="16">
        <f>IF('1. MASTER_ENTRY'!$C60="","",'1. MASTER_ENTRY'!$H60)</f>
        <v/>
      </c>
      <c r="H60" s="16">
        <f>IF('1. MASTER_ENTRY'!$C60="","",'1. MASTER_ENTRY'!$I60)</f>
        <v/>
      </c>
      <c r="I60" s="16">
        <f>IF('1. MASTER_ENTRY'!$C60="","",'1. MASTER_ENTRY'!$J60)</f>
        <v/>
      </c>
      <c r="J60" s="17">
        <f>IF('1. MASTER_ENTRY'!$C60="","",'1. MASTER_ENTRY'!$U60)</f>
        <v/>
      </c>
      <c r="K60" s="16">
        <f>IF('1. MASTER_ENTRY'!$C60="","",'1. MASTER_ENTRY'!$M60)</f>
        <v/>
      </c>
      <c r="L60" s="16">
        <f>IF('1. MASTER_ENTRY'!$C60="","",'1. MASTER_ENTRY'!$R60)</f>
        <v/>
      </c>
    </row>
    <row r="61" ht="16" customHeight="1">
      <c r="A61" s="20">
        <f>IF('1. MASTER_ENTRY'!$C61="","",'1. MASTER_ENTRY'!$A61)</f>
        <v/>
      </c>
      <c r="B61" s="20">
        <f>IF('1. MASTER_ENTRY'!$C61="","",'1. MASTER_ENTRY'!$D61)</f>
        <v/>
      </c>
      <c r="C61" s="21">
        <f>IF('1. MASTER_ENTRY'!$C61="","",'1. MASTER_ENTRY'!$C61)</f>
        <v/>
      </c>
      <c r="D61" s="21">
        <f>IF('1. MASTER_ENTRY'!$C61="","",'1. MASTER_ENTRY'!$K61)</f>
        <v/>
      </c>
      <c r="E61" s="20">
        <f>IF('1. MASTER_ENTRY'!$C61="","",'1. MASTER_ENTRY'!$F61)</f>
        <v/>
      </c>
      <c r="F61" s="20">
        <f>IF('1. MASTER_ENTRY'!$C61="","",'1. MASTER_ENTRY'!$G61)</f>
        <v/>
      </c>
      <c r="G61" s="20">
        <f>IF('1. MASTER_ENTRY'!$C61="","",'1. MASTER_ENTRY'!$H61)</f>
        <v/>
      </c>
      <c r="H61" s="20">
        <f>IF('1. MASTER_ENTRY'!$C61="","",'1. MASTER_ENTRY'!$I61)</f>
        <v/>
      </c>
      <c r="I61" s="20">
        <f>IF('1. MASTER_ENTRY'!$C61="","",'1. MASTER_ENTRY'!$J61)</f>
        <v/>
      </c>
      <c r="J61" s="21">
        <f>IF('1. MASTER_ENTRY'!$C61="","",'1. MASTER_ENTRY'!$U61)</f>
        <v/>
      </c>
      <c r="K61" s="20">
        <f>IF('1. MASTER_ENTRY'!$C61="","",'1. MASTER_ENTRY'!$M61)</f>
        <v/>
      </c>
      <c r="L61" s="20">
        <f>IF('1. MASTER_ENTRY'!$C61="","",'1. MASTER_ENTRY'!$R61)</f>
        <v/>
      </c>
    </row>
    <row r="62" ht="16" customHeight="1">
      <c r="A62" s="16">
        <f>IF('1. MASTER_ENTRY'!$C62="","",'1. MASTER_ENTRY'!$A62)</f>
        <v/>
      </c>
      <c r="B62" s="16">
        <f>IF('1. MASTER_ENTRY'!$C62="","",'1. MASTER_ENTRY'!$D62)</f>
        <v/>
      </c>
      <c r="C62" s="17">
        <f>IF('1. MASTER_ENTRY'!$C62="","",'1. MASTER_ENTRY'!$C62)</f>
        <v/>
      </c>
      <c r="D62" s="17">
        <f>IF('1. MASTER_ENTRY'!$C62="","",'1. MASTER_ENTRY'!$K62)</f>
        <v/>
      </c>
      <c r="E62" s="16">
        <f>IF('1. MASTER_ENTRY'!$C62="","",'1. MASTER_ENTRY'!$F62)</f>
        <v/>
      </c>
      <c r="F62" s="16">
        <f>IF('1. MASTER_ENTRY'!$C62="","",'1. MASTER_ENTRY'!$G62)</f>
        <v/>
      </c>
      <c r="G62" s="16">
        <f>IF('1. MASTER_ENTRY'!$C62="","",'1. MASTER_ENTRY'!$H62)</f>
        <v/>
      </c>
      <c r="H62" s="16">
        <f>IF('1. MASTER_ENTRY'!$C62="","",'1. MASTER_ENTRY'!$I62)</f>
        <v/>
      </c>
      <c r="I62" s="16">
        <f>IF('1. MASTER_ENTRY'!$C62="","",'1. MASTER_ENTRY'!$J62)</f>
        <v/>
      </c>
      <c r="J62" s="17">
        <f>IF('1. MASTER_ENTRY'!$C62="","",'1. MASTER_ENTRY'!$U62)</f>
        <v/>
      </c>
      <c r="K62" s="16">
        <f>IF('1. MASTER_ENTRY'!$C62="","",'1. MASTER_ENTRY'!$M62)</f>
        <v/>
      </c>
      <c r="L62" s="16">
        <f>IF('1. MASTER_ENTRY'!$C62="","",'1. MASTER_ENTRY'!$R62)</f>
        <v/>
      </c>
    </row>
    <row r="63" ht="16" customHeight="1">
      <c r="A63" s="20">
        <f>IF('1. MASTER_ENTRY'!$C63="","",'1. MASTER_ENTRY'!$A63)</f>
        <v/>
      </c>
      <c r="B63" s="20">
        <f>IF('1. MASTER_ENTRY'!$C63="","",'1. MASTER_ENTRY'!$D63)</f>
        <v/>
      </c>
      <c r="C63" s="21">
        <f>IF('1. MASTER_ENTRY'!$C63="","",'1. MASTER_ENTRY'!$C63)</f>
        <v/>
      </c>
      <c r="D63" s="21">
        <f>IF('1. MASTER_ENTRY'!$C63="","",'1. MASTER_ENTRY'!$K63)</f>
        <v/>
      </c>
      <c r="E63" s="20">
        <f>IF('1. MASTER_ENTRY'!$C63="","",'1. MASTER_ENTRY'!$F63)</f>
        <v/>
      </c>
      <c r="F63" s="20">
        <f>IF('1. MASTER_ENTRY'!$C63="","",'1. MASTER_ENTRY'!$G63)</f>
        <v/>
      </c>
      <c r="G63" s="20">
        <f>IF('1. MASTER_ENTRY'!$C63="","",'1. MASTER_ENTRY'!$H63)</f>
        <v/>
      </c>
      <c r="H63" s="20">
        <f>IF('1. MASTER_ENTRY'!$C63="","",'1. MASTER_ENTRY'!$I63)</f>
        <v/>
      </c>
      <c r="I63" s="20">
        <f>IF('1. MASTER_ENTRY'!$C63="","",'1. MASTER_ENTRY'!$J63)</f>
        <v/>
      </c>
      <c r="J63" s="21">
        <f>IF('1. MASTER_ENTRY'!$C63="","",'1. MASTER_ENTRY'!$U63)</f>
        <v/>
      </c>
      <c r="K63" s="20">
        <f>IF('1. MASTER_ENTRY'!$C63="","",'1. MASTER_ENTRY'!$M63)</f>
        <v/>
      </c>
      <c r="L63" s="20">
        <f>IF('1. MASTER_ENTRY'!$C63="","",'1. MASTER_ENTRY'!$R63)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4" customWidth="1" min="3" max="3"/>
    <col width="40" customWidth="1" min="4" max="4"/>
    <col width="30" customWidth="1" min="5" max="5"/>
    <col width="50" customWidth="1" min="6" max="6"/>
    <col width="13" customWidth="1" min="7" max="7"/>
  </cols>
  <sheetData>
    <row r="1" ht="34" customHeight="1">
      <c r="A1" s="27" t="inlineStr">
        <is>
          <t xml:space="preserve">  PDCA CYCLES  -  one Plan-Do-Check-Act loop per case</t>
        </is>
      </c>
    </row>
    <row r="2" ht="20" customHeight="1">
      <c r="A2" s="2" t="inlineStr">
        <is>
          <t xml:space="preserve">  Read-only. PLAN=problem, DO=root cause+method, CHECK=target, ACT=AI recommendation.</t>
        </is>
      </c>
    </row>
    <row r="3" ht="30" customHeight="1">
      <c r="A3" s="28" t="inlineStr">
        <is>
          <t>CASE ID</t>
        </is>
      </c>
      <c r="B3" s="28" t="inlineStr">
        <is>
          <t>CYCLE</t>
        </is>
      </c>
      <c r="C3" s="28" t="inlineStr">
        <is>
          <t>PLAN (problem)</t>
        </is>
      </c>
      <c r="D3" s="28" t="inlineStr">
        <is>
          <t>DO (root cause + method)</t>
        </is>
      </c>
      <c r="E3" s="28" t="inlineStr">
        <is>
          <t>CHECK (target)</t>
        </is>
      </c>
      <c r="F3" s="28" t="inlineStr">
        <is>
          <t>ACT (AI next step)</t>
        </is>
      </c>
      <c r="G3" s="28" t="inlineStr">
        <is>
          <t>STATUS</t>
        </is>
      </c>
    </row>
    <row r="4" ht="16" customHeight="1">
      <c r="A4" s="16">
        <f>IF('1. MASTER_ENTRY'!$C4="","",'1. MASTER_ENTRY'!$A4)</f>
        <v/>
      </c>
      <c r="B4" s="16">
        <f>IF('1. MASTER_ENTRY'!$C4="","","Cycle "&amp;(4-4+1))</f>
        <v/>
      </c>
      <c r="C4" s="17">
        <f>IF('1. MASTER_ENTRY'!$C4="","",'1. MASTER_ENTRY'!$C4)</f>
        <v/>
      </c>
      <c r="D4" s="17">
        <f>IF('1. MASTER_ENTRY'!$C4="","",'1. MASTER_ENTRY'!$K4&amp;"  -&gt;  "&amp;'1. MASTER_ENTRY'!$L4)</f>
        <v/>
      </c>
      <c r="E4" s="17">
        <f>IF('1. MASTER_ENTRY'!$C4="","",'1. MASTER_ENTRY'!$N4)</f>
        <v/>
      </c>
      <c r="F4" s="17">
        <f>IF('1. MASTER_ENTRY'!$C4="","",'1. MASTER_ENTRY'!$U4)</f>
        <v/>
      </c>
      <c r="G4" s="16">
        <f>IF('1. MASTER_ENTRY'!$C4="","",'1. MASTER_ENTRY'!$R4)</f>
        <v/>
      </c>
    </row>
    <row r="5" ht="16" customHeight="1">
      <c r="A5" s="20">
        <f>IF('1. MASTER_ENTRY'!$C5="","",'1. MASTER_ENTRY'!$A5)</f>
        <v/>
      </c>
      <c r="B5" s="20">
        <f>IF('1. MASTER_ENTRY'!$C5="","","Cycle "&amp;(5-4+1))</f>
        <v/>
      </c>
      <c r="C5" s="21">
        <f>IF('1. MASTER_ENTRY'!$C5="","",'1. MASTER_ENTRY'!$C5)</f>
        <v/>
      </c>
      <c r="D5" s="21">
        <f>IF('1. MASTER_ENTRY'!$C5="","",'1. MASTER_ENTRY'!$K5&amp;"  -&gt;  "&amp;'1. MASTER_ENTRY'!$L5)</f>
        <v/>
      </c>
      <c r="E5" s="21">
        <f>IF('1. MASTER_ENTRY'!$C5="","",'1. MASTER_ENTRY'!$N5)</f>
        <v/>
      </c>
      <c r="F5" s="21">
        <f>IF('1. MASTER_ENTRY'!$C5="","",'1. MASTER_ENTRY'!$U5)</f>
        <v/>
      </c>
      <c r="G5" s="20">
        <f>IF('1. MASTER_ENTRY'!$C5="","",'1. MASTER_ENTRY'!$R5)</f>
        <v/>
      </c>
    </row>
    <row r="6" ht="16" customHeight="1">
      <c r="A6" s="16">
        <f>IF('1. MASTER_ENTRY'!$C6="","",'1. MASTER_ENTRY'!$A6)</f>
        <v/>
      </c>
      <c r="B6" s="16">
        <f>IF('1. MASTER_ENTRY'!$C6="","","Cycle "&amp;(6-4+1))</f>
        <v/>
      </c>
      <c r="C6" s="17">
        <f>IF('1. MASTER_ENTRY'!$C6="","",'1. MASTER_ENTRY'!$C6)</f>
        <v/>
      </c>
      <c r="D6" s="17">
        <f>IF('1. MASTER_ENTRY'!$C6="","",'1. MASTER_ENTRY'!$K6&amp;"  -&gt;  "&amp;'1. MASTER_ENTRY'!$L6)</f>
        <v/>
      </c>
      <c r="E6" s="17">
        <f>IF('1. MASTER_ENTRY'!$C6="","",'1. MASTER_ENTRY'!$N6)</f>
        <v/>
      </c>
      <c r="F6" s="17">
        <f>IF('1. MASTER_ENTRY'!$C6="","",'1. MASTER_ENTRY'!$U6)</f>
        <v/>
      </c>
      <c r="G6" s="16">
        <f>IF('1. MASTER_ENTRY'!$C6="","",'1. MASTER_ENTRY'!$R6)</f>
        <v/>
      </c>
    </row>
    <row r="7" ht="16" customHeight="1">
      <c r="A7" s="20">
        <f>IF('1. MASTER_ENTRY'!$C7="","",'1. MASTER_ENTRY'!$A7)</f>
        <v/>
      </c>
      <c r="B7" s="20">
        <f>IF('1. MASTER_ENTRY'!$C7="","","Cycle "&amp;(7-4+1))</f>
        <v/>
      </c>
      <c r="C7" s="21">
        <f>IF('1. MASTER_ENTRY'!$C7="","",'1. MASTER_ENTRY'!$C7)</f>
        <v/>
      </c>
      <c r="D7" s="21">
        <f>IF('1. MASTER_ENTRY'!$C7="","",'1. MASTER_ENTRY'!$K7&amp;"  -&gt;  "&amp;'1. MASTER_ENTRY'!$L7)</f>
        <v/>
      </c>
      <c r="E7" s="21">
        <f>IF('1. MASTER_ENTRY'!$C7="","",'1. MASTER_ENTRY'!$N7)</f>
        <v/>
      </c>
      <c r="F7" s="21">
        <f>IF('1. MASTER_ENTRY'!$C7="","",'1. MASTER_ENTRY'!$U7)</f>
        <v/>
      </c>
      <c r="G7" s="20">
        <f>IF('1. MASTER_ENTRY'!$C7="","",'1. MASTER_ENTRY'!$R7)</f>
        <v/>
      </c>
    </row>
    <row r="8" ht="16" customHeight="1">
      <c r="A8" s="16">
        <f>IF('1. MASTER_ENTRY'!$C8="","",'1. MASTER_ENTRY'!$A8)</f>
        <v/>
      </c>
      <c r="B8" s="16">
        <f>IF('1. MASTER_ENTRY'!$C8="","","Cycle "&amp;(8-4+1))</f>
        <v/>
      </c>
      <c r="C8" s="17">
        <f>IF('1. MASTER_ENTRY'!$C8="","",'1. MASTER_ENTRY'!$C8)</f>
        <v/>
      </c>
      <c r="D8" s="17">
        <f>IF('1. MASTER_ENTRY'!$C8="","",'1. MASTER_ENTRY'!$K8&amp;"  -&gt;  "&amp;'1. MASTER_ENTRY'!$L8)</f>
        <v/>
      </c>
      <c r="E8" s="17">
        <f>IF('1. MASTER_ENTRY'!$C8="","",'1. MASTER_ENTRY'!$N8)</f>
        <v/>
      </c>
      <c r="F8" s="17">
        <f>IF('1. MASTER_ENTRY'!$C8="","",'1. MASTER_ENTRY'!$U8)</f>
        <v/>
      </c>
      <c r="G8" s="16">
        <f>IF('1. MASTER_ENTRY'!$C8="","",'1. MASTER_ENTRY'!$R8)</f>
        <v/>
      </c>
    </row>
    <row r="9" ht="16" customHeight="1">
      <c r="A9" s="20">
        <f>IF('1. MASTER_ENTRY'!$C9="","",'1. MASTER_ENTRY'!$A9)</f>
        <v/>
      </c>
      <c r="B9" s="20">
        <f>IF('1. MASTER_ENTRY'!$C9="","","Cycle "&amp;(9-4+1))</f>
        <v/>
      </c>
      <c r="C9" s="21">
        <f>IF('1. MASTER_ENTRY'!$C9="","",'1. MASTER_ENTRY'!$C9)</f>
        <v/>
      </c>
      <c r="D9" s="21">
        <f>IF('1. MASTER_ENTRY'!$C9="","",'1. MASTER_ENTRY'!$K9&amp;"  -&gt;  "&amp;'1. MASTER_ENTRY'!$L9)</f>
        <v/>
      </c>
      <c r="E9" s="21">
        <f>IF('1. MASTER_ENTRY'!$C9="","",'1. MASTER_ENTRY'!$N9)</f>
        <v/>
      </c>
      <c r="F9" s="21">
        <f>IF('1. MASTER_ENTRY'!$C9="","",'1. MASTER_ENTRY'!$U9)</f>
        <v/>
      </c>
      <c r="G9" s="20">
        <f>IF('1. MASTER_ENTRY'!$C9="","",'1. MASTER_ENTRY'!$R9)</f>
        <v/>
      </c>
    </row>
    <row r="10" ht="16" customHeight="1">
      <c r="A10" s="16">
        <f>IF('1. MASTER_ENTRY'!$C10="","",'1. MASTER_ENTRY'!$A10)</f>
        <v/>
      </c>
      <c r="B10" s="16">
        <f>IF('1. MASTER_ENTRY'!$C10="","","Cycle "&amp;(10-4+1))</f>
        <v/>
      </c>
      <c r="C10" s="17">
        <f>IF('1. MASTER_ENTRY'!$C10="","",'1. MASTER_ENTRY'!$C10)</f>
        <v/>
      </c>
      <c r="D10" s="17">
        <f>IF('1. MASTER_ENTRY'!$C10="","",'1. MASTER_ENTRY'!$K10&amp;"  -&gt;  "&amp;'1. MASTER_ENTRY'!$L10)</f>
        <v/>
      </c>
      <c r="E10" s="17">
        <f>IF('1. MASTER_ENTRY'!$C10="","",'1. MASTER_ENTRY'!$N10)</f>
        <v/>
      </c>
      <c r="F10" s="17">
        <f>IF('1. MASTER_ENTRY'!$C10="","",'1. MASTER_ENTRY'!$U10)</f>
        <v/>
      </c>
      <c r="G10" s="16">
        <f>IF('1. MASTER_ENTRY'!$C10="","",'1. MASTER_ENTRY'!$R10)</f>
        <v/>
      </c>
    </row>
    <row r="11" ht="16" customHeight="1">
      <c r="A11" s="20">
        <f>IF('1. MASTER_ENTRY'!$C11="","",'1. MASTER_ENTRY'!$A11)</f>
        <v/>
      </c>
      <c r="B11" s="20">
        <f>IF('1. MASTER_ENTRY'!$C11="","","Cycle "&amp;(11-4+1))</f>
        <v/>
      </c>
      <c r="C11" s="21">
        <f>IF('1. MASTER_ENTRY'!$C11="","",'1. MASTER_ENTRY'!$C11)</f>
        <v/>
      </c>
      <c r="D11" s="21">
        <f>IF('1. MASTER_ENTRY'!$C11="","",'1. MASTER_ENTRY'!$K11&amp;"  -&gt;  "&amp;'1. MASTER_ENTRY'!$L11)</f>
        <v/>
      </c>
      <c r="E11" s="21">
        <f>IF('1. MASTER_ENTRY'!$C11="","",'1. MASTER_ENTRY'!$N11)</f>
        <v/>
      </c>
      <c r="F11" s="21">
        <f>IF('1. MASTER_ENTRY'!$C11="","",'1. MASTER_ENTRY'!$U11)</f>
        <v/>
      </c>
      <c r="G11" s="20">
        <f>IF('1. MASTER_ENTRY'!$C11="","",'1. MASTER_ENTRY'!$R11)</f>
        <v/>
      </c>
    </row>
    <row r="12" ht="16" customHeight="1">
      <c r="A12" s="16">
        <f>IF('1. MASTER_ENTRY'!$C12="","",'1. MASTER_ENTRY'!$A12)</f>
        <v/>
      </c>
      <c r="B12" s="16">
        <f>IF('1. MASTER_ENTRY'!$C12="","","Cycle "&amp;(12-4+1))</f>
        <v/>
      </c>
      <c r="C12" s="17">
        <f>IF('1. MASTER_ENTRY'!$C12="","",'1. MASTER_ENTRY'!$C12)</f>
        <v/>
      </c>
      <c r="D12" s="17">
        <f>IF('1. MASTER_ENTRY'!$C12="","",'1. MASTER_ENTRY'!$K12&amp;"  -&gt;  "&amp;'1. MASTER_ENTRY'!$L12)</f>
        <v/>
      </c>
      <c r="E12" s="17">
        <f>IF('1. MASTER_ENTRY'!$C12="","",'1. MASTER_ENTRY'!$N12)</f>
        <v/>
      </c>
      <c r="F12" s="17">
        <f>IF('1. MASTER_ENTRY'!$C12="","",'1. MASTER_ENTRY'!$U12)</f>
        <v/>
      </c>
      <c r="G12" s="16">
        <f>IF('1. MASTER_ENTRY'!$C12="","",'1. MASTER_ENTRY'!$R12)</f>
        <v/>
      </c>
    </row>
    <row r="13" ht="16" customHeight="1">
      <c r="A13" s="20">
        <f>IF('1. MASTER_ENTRY'!$C13="","",'1. MASTER_ENTRY'!$A13)</f>
        <v/>
      </c>
      <c r="B13" s="20">
        <f>IF('1. MASTER_ENTRY'!$C13="","","Cycle "&amp;(13-4+1))</f>
        <v/>
      </c>
      <c r="C13" s="21">
        <f>IF('1. MASTER_ENTRY'!$C13="","",'1. MASTER_ENTRY'!$C13)</f>
        <v/>
      </c>
      <c r="D13" s="21">
        <f>IF('1. MASTER_ENTRY'!$C13="","",'1. MASTER_ENTRY'!$K13&amp;"  -&gt;  "&amp;'1. MASTER_ENTRY'!$L13)</f>
        <v/>
      </c>
      <c r="E13" s="21">
        <f>IF('1. MASTER_ENTRY'!$C13="","",'1. MASTER_ENTRY'!$N13)</f>
        <v/>
      </c>
      <c r="F13" s="21">
        <f>IF('1. MASTER_ENTRY'!$C13="","",'1. MASTER_ENTRY'!$U13)</f>
        <v/>
      </c>
      <c r="G13" s="20">
        <f>IF('1. MASTER_ENTRY'!$C13="","",'1. MASTER_ENTRY'!$R13)</f>
        <v/>
      </c>
    </row>
    <row r="14" ht="16" customHeight="1">
      <c r="A14" s="16">
        <f>IF('1. MASTER_ENTRY'!$C14="","",'1. MASTER_ENTRY'!$A14)</f>
        <v/>
      </c>
      <c r="B14" s="16">
        <f>IF('1. MASTER_ENTRY'!$C14="","","Cycle "&amp;(14-4+1))</f>
        <v/>
      </c>
      <c r="C14" s="17">
        <f>IF('1. MASTER_ENTRY'!$C14="","",'1. MASTER_ENTRY'!$C14)</f>
        <v/>
      </c>
      <c r="D14" s="17">
        <f>IF('1. MASTER_ENTRY'!$C14="","",'1. MASTER_ENTRY'!$K14&amp;"  -&gt;  "&amp;'1. MASTER_ENTRY'!$L14)</f>
        <v/>
      </c>
      <c r="E14" s="17">
        <f>IF('1. MASTER_ENTRY'!$C14="","",'1. MASTER_ENTRY'!$N14)</f>
        <v/>
      </c>
      <c r="F14" s="17">
        <f>IF('1. MASTER_ENTRY'!$C14="","",'1. MASTER_ENTRY'!$U14)</f>
        <v/>
      </c>
      <c r="G14" s="16">
        <f>IF('1. MASTER_ENTRY'!$C14="","",'1. MASTER_ENTRY'!$R14)</f>
        <v/>
      </c>
    </row>
    <row r="15" ht="16" customHeight="1">
      <c r="A15" s="20">
        <f>IF('1. MASTER_ENTRY'!$C15="","",'1. MASTER_ENTRY'!$A15)</f>
        <v/>
      </c>
      <c r="B15" s="20">
        <f>IF('1. MASTER_ENTRY'!$C15="","","Cycle "&amp;(15-4+1))</f>
        <v/>
      </c>
      <c r="C15" s="21">
        <f>IF('1. MASTER_ENTRY'!$C15="","",'1. MASTER_ENTRY'!$C15)</f>
        <v/>
      </c>
      <c r="D15" s="21">
        <f>IF('1. MASTER_ENTRY'!$C15="","",'1. MASTER_ENTRY'!$K15&amp;"  -&gt;  "&amp;'1. MASTER_ENTRY'!$L15)</f>
        <v/>
      </c>
      <c r="E15" s="21">
        <f>IF('1. MASTER_ENTRY'!$C15="","",'1. MASTER_ENTRY'!$N15)</f>
        <v/>
      </c>
      <c r="F15" s="21">
        <f>IF('1. MASTER_ENTRY'!$C15="","",'1. MASTER_ENTRY'!$U15)</f>
        <v/>
      </c>
      <c r="G15" s="20">
        <f>IF('1. MASTER_ENTRY'!$C15="","",'1. MASTER_ENTRY'!$R15)</f>
        <v/>
      </c>
    </row>
    <row r="16" ht="16" customHeight="1">
      <c r="A16" s="16">
        <f>IF('1. MASTER_ENTRY'!$C16="","",'1. MASTER_ENTRY'!$A16)</f>
        <v/>
      </c>
      <c r="B16" s="16">
        <f>IF('1. MASTER_ENTRY'!$C16="","","Cycle "&amp;(16-4+1))</f>
        <v/>
      </c>
      <c r="C16" s="17">
        <f>IF('1. MASTER_ENTRY'!$C16="","",'1. MASTER_ENTRY'!$C16)</f>
        <v/>
      </c>
      <c r="D16" s="17">
        <f>IF('1. MASTER_ENTRY'!$C16="","",'1. MASTER_ENTRY'!$K16&amp;"  -&gt;  "&amp;'1. MASTER_ENTRY'!$L16)</f>
        <v/>
      </c>
      <c r="E16" s="17">
        <f>IF('1. MASTER_ENTRY'!$C16="","",'1. MASTER_ENTRY'!$N16)</f>
        <v/>
      </c>
      <c r="F16" s="17">
        <f>IF('1. MASTER_ENTRY'!$C16="","",'1. MASTER_ENTRY'!$U16)</f>
        <v/>
      </c>
      <c r="G16" s="16">
        <f>IF('1. MASTER_ENTRY'!$C16="","",'1. MASTER_ENTRY'!$R16)</f>
        <v/>
      </c>
    </row>
    <row r="17" ht="16" customHeight="1">
      <c r="A17" s="20">
        <f>IF('1. MASTER_ENTRY'!$C17="","",'1. MASTER_ENTRY'!$A17)</f>
        <v/>
      </c>
      <c r="B17" s="20">
        <f>IF('1. MASTER_ENTRY'!$C17="","","Cycle "&amp;(17-4+1))</f>
        <v/>
      </c>
      <c r="C17" s="21">
        <f>IF('1. MASTER_ENTRY'!$C17="","",'1. MASTER_ENTRY'!$C17)</f>
        <v/>
      </c>
      <c r="D17" s="21">
        <f>IF('1. MASTER_ENTRY'!$C17="","",'1. MASTER_ENTRY'!$K17&amp;"  -&gt;  "&amp;'1. MASTER_ENTRY'!$L17)</f>
        <v/>
      </c>
      <c r="E17" s="21">
        <f>IF('1. MASTER_ENTRY'!$C17="","",'1. MASTER_ENTRY'!$N17)</f>
        <v/>
      </c>
      <c r="F17" s="21">
        <f>IF('1. MASTER_ENTRY'!$C17="","",'1. MASTER_ENTRY'!$U17)</f>
        <v/>
      </c>
      <c r="G17" s="20">
        <f>IF('1. MASTER_ENTRY'!$C17="","",'1. MASTER_ENTRY'!$R17)</f>
        <v/>
      </c>
    </row>
    <row r="18" ht="16" customHeight="1">
      <c r="A18" s="16">
        <f>IF('1. MASTER_ENTRY'!$C18="","",'1. MASTER_ENTRY'!$A18)</f>
        <v/>
      </c>
      <c r="B18" s="16">
        <f>IF('1. MASTER_ENTRY'!$C18="","","Cycle "&amp;(18-4+1))</f>
        <v/>
      </c>
      <c r="C18" s="17">
        <f>IF('1. MASTER_ENTRY'!$C18="","",'1. MASTER_ENTRY'!$C18)</f>
        <v/>
      </c>
      <c r="D18" s="17">
        <f>IF('1. MASTER_ENTRY'!$C18="","",'1. MASTER_ENTRY'!$K18&amp;"  -&gt;  "&amp;'1. MASTER_ENTRY'!$L18)</f>
        <v/>
      </c>
      <c r="E18" s="17">
        <f>IF('1. MASTER_ENTRY'!$C18="","",'1. MASTER_ENTRY'!$N18)</f>
        <v/>
      </c>
      <c r="F18" s="17">
        <f>IF('1. MASTER_ENTRY'!$C18="","",'1. MASTER_ENTRY'!$U18)</f>
        <v/>
      </c>
      <c r="G18" s="16">
        <f>IF('1. MASTER_ENTRY'!$C18="","",'1. MASTER_ENTRY'!$R18)</f>
        <v/>
      </c>
    </row>
    <row r="19" ht="16" customHeight="1">
      <c r="A19" s="20">
        <f>IF('1. MASTER_ENTRY'!$C19="","",'1. MASTER_ENTRY'!$A19)</f>
        <v/>
      </c>
      <c r="B19" s="20">
        <f>IF('1. MASTER_ENTRY'!$C19="","","Cycle "&amp;(19-4+1))</f>
        <v/>
      </c>
      <c r="C19" s="21">
        <f>IF('1. MASTER_ENTRY'!$C19="","",'1. MASTER_ENTRY'!$C19)</f>
        <v/>
      </c>
      <c r="D19" s="21">
        <f>IF('1. MASTER_ENTRY'!$C19="","",'1. MASTER_ENTRY'!$K19&amp;"  -&gt;  "&amp;'1. MASTER_ENTRY'!$L19)</f>
        <v/>
      </c>
      <c r="E19" s="21">
        <f>IF('1. MASTER_ENTRY'!$C19="","",'1. MASTER_ENTRY'!$N19)</f>
        <v/>
      </c>
      <c r="F19" s="21">
        <f>IF('1. MASTER_ENTRY'!$C19="","",'1. MASTER_ENTRY'!$U19)</f>
        <v/>
      </c>
      <c r="G19" s="20">
        <f>IF('1. MASTER_ENTRY'!$C19="","",'1. MASTER_ENTRY'!$R19)</f>
        <v/>
      </c>
    </row>
    <row r="20" ht="16" customHeight="1">
      <c r="A20" s="16">
        <f>IF('1. MASTER_ENTRY'!$C20="","",'1. MASTER_ENTRY'!$A20)</f>
        <v/>
      </c>
      <c r="B20" s="16">
        <f>IF('1. MASTER_ENTRY'!$C20="","","Cycle "&amp;(20-4+1))</f>
        <v/>
      </c>
      <c r="C20" s="17">
        <f>IF('1. MASTER_ENTRY'!$C20="","",'1. MASTER_ENTRY'!$C20)</f>
        <v/>
      </c>
      <c r="D20" s="17">
        <f>IF('1. MASTER_ENTRY'!$C20="","",'1. MASTER_ENTRY'!$K20&amp;"  -&gt;  "&amp;'1. MASTER_ENTRY'!$L20)</f>
        <v/>
      </c>
      <c r="E20" s="17">
        <f>IF('1. MASTER_ENTRY'!$C20="","",'1. MASTER_ENTRY'!$N20)</f>
        <v/>
      </c>
      <c r="F20" s="17">
        <f>IF('1. MASTER_ENTRY'!$C20="","",'1. MASTER_ENTRY'!$U20)</f>
        <v/>
      </c>
      <c r="G20" s="16">
        <f>IF('1. MASTER_ENTRY'!$C20="","",'1. MASTER_ENTRY'!$R20)</f>
        <v/>
      </c>
    </row>
    <row r="21" ht="16" customHeight="1">
      <c r="A21" s="20">
        <f>IF('1. MASTER_ENTRY'!$C21="","",'1. MASTER_ENTRY'!$A21)</f>
        <v/>
      </c>
      <c r="B21" s="20">
        <f>IF('1. MASTER_ENTRY'!$C21="","","Cycle "&amp;(21-4+1))</f>
        <v/>
      </c>
      <c r="C21" s="21">
        <f>IF('1. MASTER_ENTRY'!$C21="","",'1. MASTER_ENTRY'!$C21)</f>
        <v/>
      </c>
      <c r="D21" s="21">
        <f>IF('1. MASTER_ENTRY'!$C21="","",'1. MASTER_ENTRY'!$K21&amp;"  -&gt;  "&amp;'1. MASTER_ENTRY'!$L21)</f>
        <v/>
      </c>
      <c r="E21" s="21">
        <f>IF('1. MASTER_ENTRY'!$C21="","",'1. MASTER_ENTRY'!$N21)</f>
        <v/>
      </c>
      <c r="F21" s="21">
        <f>IF('1. MASTER_ENTRY'!$C21="","",'1. MASTER_ENTRY'!$U21)</f>
        <v/>
      </c>
      <c r="G21" s="20">
        <f>IF('1. MASTER_ENTRY'!$C21="","",'1. MASTER_ENTRY'!$R21)</f>
        <v/>
      </c>
    </row>
    <row r="22" ht="16" customHeight="1">
      <c r="A22" s="16">
        <f>IF('1. MASTER_ENTRY'!$C22="","",'1. MASTER_ENTRY'!$A22)</f>
        <v/>
      </c>
      <c r="B22" s="16">
        <f>IF('1. MASTER_ENTRY'!$C22="","","Cycle "&amp;(22-4+1))</f>
        <v/>
      </c>
      <c r="C22" s="17">
        <f>IF('1. MASTER_ENTRY'!$C22="","",'1. MASTER_ENTRY'!$C22)</f>
        <v/>
      </c>
      <c r="D22" s="17">
        <f>IF('1. MASTER_ENTRY'!$C22="","",'1. MASTER_ENTRY'!$K22&amp;"  -&gt;  "&amp;'1. MASTER_ENTRY'!$L22)</f>
        <v/>
      </c>
      <c r="E22" s="17">
        <f>IF('1. MASTER_ENTRY'!$C22="","",'1. MASTER_ENTRY'!$N22)</f>
        <v/>
      </c>
      <c r="F22" s="17">
        <f>IF('1. MASTER_ENTRY'!$C22="","",'1. MASTER_ENTRY'!$U22)</f>
        <v/>
      </c>
      <c r="G22" s="16">
        <f>IF('1. MASTER_ENTRY'!$C22="","",'1. MASTER_ENTRY'!$R22)</f>
        <v/>
      </c>
    </row>
    <row r="23" ht="16" customHeight="1">
      <c r="A23" s="20">
        <f>IF('1. MASTER_ENTRY'!$C23="","",'1. MASTER_ENTRY'!$A23)</f>
        <v/>
      </c>
      <c r="B23" s="20">
        <f>IF('1. MASTER_ENTRY'!$C23="","","Cycle "&amp;(23-4+1))</f>
        <v/>
      </c>
      <c r="C23" s="21">
        <f>IF('1. MASTER_ENTRY'!$C23="","",'1. MASTER_ENTRY'!$C23)</f>
        <v/>
      </c>
      <c r="D23" s="21">
        <f>IF('1. MASTER_ENTRY'!$C23="","",'1. MASTER_ENTRY'!$K23&amp;"  -&gt;  "&amp;'1. MASTER_ENTRY'!$L23)</f>
        <v/>
      </c>
      <c r="E23" s="21">
        <f>IF('1. MASTER_ENTRY'!$C23="","",'1. MASTER_ENTRY'!$N23)</f>
        <v/>
      </c>
      <c r="F23" s="21">
        <f>IF('1. MASTER_ENTRY'!$C23="","",'1. MASTER_ENTRY'!$U23)</f>
        <v/>
      </c>
      <c r="G23" s="20">
        <f>IF('1. MASTER_ENTRY'!$C23="","",'1. MASTER_ENTRY'!$R23)</f>
        <v/>
      </c>
    </row>
    <row r="24" ht="16" customHeight="1">
      <c r="A24" s="16">
        <f>IF('1. MASTER_ENTRY'!$C24="","",'1. MASTER_ENTRY'!$A24)</f>
        <v/>
      </c>
      <c r="B24" s="16">
        <f>IF('1. MASTER_ENTRY'!$C24="","","Cycle "&amp;(24-4+1))</f>
        <v/>
      </c>
      <c r="C24" s="17">
        <f>IF('1. MASTER_ENTRY'!$C24="","",'1. MASTER_ENTRY'!$C24)</f>
        <v/>
      </c>
      <c r="D24" s="17">
        <f>IF('1. MASTER_ENTRY'!$C24="","",'1. MASTER_ENTRY'!$K24&amp;"  -&gt;  "&amp;'1. MASTER_ENTRY'!$L24)</f>
        <v/>
      </c>
      <c r="E24" s="17">
        <f>IF('1. MASTER_ENTRY'!$C24="","",'1. MASTER_ENTRY'!$N24)</f>
        <v/>
      </c>
      <c r="F24" s="17">
        <f>IF('1. MASTER_ENTRY'!$C24="","",'1. MASTER_ENTRY'!$U24)</f>
        <v/>
      </c>
      <c r="G24" s="16">
        <f>IF('1. MASTER_ENTRY'!$C24="","",'1. MASTER_ENTRY'!$R24)</f>
        <v/>
      </c>
    </row>
    <row r="25" ht="16" customHeight="1">
      <c r="A25" s="20">
        <f>IF('1. MASTER_ENTRY'!$C25="","",'1. MASTER_ENTRY'!$A25)</f>
        <v/>
      </c>
      <c r="B25" s="20">
        <f>IF('1. MASTER_ENTRY'!$C25="","","Cycle "&amp;(25-4+1))</f>
        <v/>
      </c>
      <c r="C25" s="21">
        <f>IF('1. MASTER_ENTRY'!$C25="","",'1. MASTER_ENTRY'!$C25)</f>
        <v/>
      </c>
      <c r="D25" s="21">
        <f>IF('1. MASTER_ENTRY'!$C25="","",'1. MASTER_ENTRY'!$K25&amp;"  -&gt;  "&amp;'1. MASTER_ENTRY'!$L25)</f>
        <v/>
      </c>
      <c r="E25" s="21">
        <f>IF('1. MASTER_ENTRY'!$C25="","",'1. MASTER_ENTRY'!$N25)</f>
        <v/>
      </c>
      <c r="F25" s="21">
        <f>IF('1. MASTER_ENTRY'!$C25="","",'1. MASTER_ENTRY'!$U25)</f>
        <v/>
      </c>
      <c r="G25" s="20">
        <f>IF('1. MASTER_ENTRY'!$C25="","",'1. MASTER_ENTRY'!$R25)</f>
        <v/>
      </c>
    </row>
    <row r="26" ht="16" customHeight="1">
      <c r="A26" s="16">
        <f>IF('1. MASTER_ENTRY'!$C26="","",'1. MASTER_ENTRY'!$A26)</f>
        <v/>
      </c>
      <c r="B26" s="16">
        <f>IF('1. MASTER_ENTRY'!$C26="","","Cycle "&amp;(26-4+1))</f>
        <v/>
      </c>
      <c r="C26" s="17">
        <f>IF('1. MASTER_ENTRY'!$C26="","",'1. MASTER_ENTRY'!$C26)</f>
        <v/>
      </c>
      <c r="D26" s="17">
        <f>IF('1. MASTER_ENTRY'!$C26="","",'1. MASTER_ENTRY'!$K26&amp;"  -&gt;  "&amp;'1. MASTER_ENTRY'!$L26)</f>
        <v/>
      </c>
      <c r="E26" s="17">
        <f>IF('1. MASTER_ENTRY'!$C26="","",'1. MASTER_ENTRY'!$N26)</f>
        <v/>
      </c>
      <c r="F26" s="17">
        <f>IF('1. MASTER_ENTRY'!$C26="","",'1. MASTER_ENTRY'!$U26)</f>
        <v/>
      </c>
      <c r="G26" s="16">
        <f>IF('1. MASTER_ENTRY'!$C26="","",'1. MASTER_ENTRY'!$R26)</f>
        <v/>
      </c>
    </row>
    <row r="27" ht="16" customHeight="1">
      <c r="A27" s="20">
        <f>IF('1. MASTER_ENTRY'!$C27="","",'1. MASTER_ENTRY'!$A27)</f>
        <v/>
      </c>
      <c r="B27" s="20">
        <f>IF('1. MASTER_ENTRY'!$C27="","","Cycle "&amp;(27-4+1))</f>
        <v/>
      </c>
      <c r="C27" s="21">
        <f>IF('1. MASTER_ENTRY'!$C27="","",'1. MASTER_ENTRY'!$C27)</f>
        <v/>
      </c>
      <c r="D27" s="21">
        <f>IF('1. MASTER_ENTRY'!$C27="","",'1. MASTER_ENTRY'!$K27&amp;"  -&gt;  "&amp;'1. MASTER_ENTRY'!$L27)</f>
        <v/>
      </c>
      <c r="E27" s="21">
        <f>IF('1. MASTER_ENTRY'!$C27="","",'1. MASTER_ENTRY'!$N27)</f>
        <v/>
      </c>
      <c r="F27" s="21">
        <f>IF('1. MASTER_ENTRY'!$C27="","",'1. MASTER_ENTRY'!$U27)</f>
        <v/>
      </c>
      <c r="G27" s="20">
        <f>IF('1. MASTER_ENTRY'!$C27="","",'1. MASTER_ENTRY'!$R27)</f>
        <v/>
      </c>
    </row>
    <row r="28" ht="16" customHeight="1">
      <c r="A28" s="16">
        <f>IF('1. MASTER_ENTRY'!$C28="","",'1. MASTER_ENTRY'!$A28)</f>
        <v/>
      </c>
      <c r="B28" s="16">
        <f>IF('1. MASTER_ENTRY'!$C28="","","Cycle "&amp;(28-4+1))</f>
        <v/>
      </c>
      <c r="C28" s="17">
        <f>IF('1. MASTER_ENTRY'!$C28="","",'1. MASTER_ENTRY'!$C28)</f>
        <v/>
      </c>
      <c r="D28" s="17">
        <f>IF('1. MASTER_ENTRY'!$C28="","",'1. MASTER_ENTRY'!$K28&amp;"  -&gt;  "&amp;'1. MASTER_ENTRY'!$L28)</f>
        <v/>
      </c>
      <c r="E28" s="17">
        <f>IF('1. MASTER_ENTRY'!$C28="","",'1. MASTER_ENTRY'!$N28)</f>
        <v/>
      </c>
      <c r="F28" s="17">
        <f>IF('1. MASTER_ENTRY'!$C28="","",'1. MASTER_ENTRY'!$U28)</f>
        <v/>
      </c>
      <c r="G28" s="16">
        <f>IF('1. MASTER_ENTRY'!$C28="","",'1. MASTER_ENTRY'!$R28)</f>
        <v/>
      </c>
    </row>
    <row r="29" ht="16" customHeight="1">
      <c r="A29" s="20">
        <f>IF('1. MASTER_ENTRY'!$C29="","",'1. MASTER_ENTRY'!$A29)</f>
        <v/>
      </c>
      <c r="B29" s="20">
        <f>IF('1. MASTER_ENTRY'!$C29="","","Cycle "&amp;(29-4+1))</f>
        <v/>
      </c>
      <c r="C29" s="21">
        <f>IF('1. MASTER_ENTRY'!$C29="","",'1. MASTER_ENTRY'!$C29)</f>
        <v/>
      </c>
      <c r="D29" s="21">
        <f>IF('1. MASTER_ENTRY'!$C29="","",'1. MASTER_ENTRY'!$K29&amp;"  -&gt;  "&amp;'1. MASTER_ENTRY'!$L29)</f>
        <v/>
      </c>
      <c r="E29" s="21">
        <f>IF('1. MASTER_ENTRY'!$C29="","",'1. MASTER_ENTRY'!$N29)</f>
        <v/>
      </c>
      <c r="F29" s="21">
        <f>IF('1. MASTER_ENTRY'!$C29="","",'1. MASTER_ENTRY'!$U29)</f>
        <v/>
      </c>
      <c r="G29" s="20">
        <f>IF('1. MASTER_ENTRY'!$C29="","",'1. MASTER_ENTRY'!$R29)</f>
        <v/>
      </c>
    </row>
    <row r="30" ht="16" customHeight="1">
      <c r="A30" s="16">
        <f>IF('1. MASTER_ENTRY'!$C30="","",'1. MASTER_ENTRY'!$A30)</f>
        <v/>
      </c>
      <c r="B30" s="16">
        <f>IF('1. MASTER_ENTRY'!$C30="","","Cycle "&amp;(30-4+1))</f>
        <v/>
      </c>
      <c r="C30" s="17">
        <f>IF('1. MASTER_ENTRY'!$C30="","",'1. MASTER_ENTRY'!$C30)</f>
        <v/>
      </c>
      <c r="D30" s="17">
        <f>IF('1. MASTER_ENTRY'!$C30="","",'1. MASTER_ENTRY'!$K30&amp;"  -&gt;  "&amp;'1. MASTER_ENTRY'!$L30)</f>
        <v/>
      </c>
      <c r="E30" s="17">
        <f>IF('1. MASTER_ENTRY'!$C30="","",'1. MASTER_ENTRY'!$N30)</f>
        <v/>
      </c>
      <c r="F30" s="17">
        <f>IF('1. MASTER_ENTRY'!$C30="","",'1. MASTER_ENTRY'!$U30)</f>
        <v/>
      </c>
      <c r="G30" s="16">
        <f>IF('1. MASTER_ENTRY'!$C30="","",'1. MASTER_ENTRY'!$R30)</f>
        <v/>
      </c>
    </row>
    <row r="31" ht="16" customHeight="1">
      <c r="A31" s="20">
        <f>IF('1. MASTER_ENTRY'!$C31="","",'1. MASTER_ENTRY'!$A31)</f>
        <v/>
      </c>
      <c r="B31" s="20">
        <f>IF('1. MASTER_ENTRY'!$C31="","","Cycle "&amp;(31-4+1))</f>
        <v/>
      </c>
      <c r="C31" s="21">
        <f>IF('1. MASTER_ENTRY'!$C31="","",'1. MASTER_ENTRY'!$C31)</f>
        <v/>
      </c>
      <c r="D31" s="21">
        <f>IF('1. MASTER_ENTRY'!$C31="","",'1. MASTER_ENTRY'!$K31&amp;"  -&gt;  "&amp;'1. MASTER_ENTRY'!$L31)</f>
        <v/>
      </c>
      <c r="E31" s="21">
        <f>IF('1. MASTER_ENTRY'!$C31="","",'1. MASTER_ENTRY'!$N31)</f>
        <v/>
      </c>
      <c r="F31" s="21">
        <f>IF('1. MASTER_ENTRY'!$C31="","",'1. MASTER_ENTRY'!$U31)</f>
        <v/>
      </c>
      <c r="G31" s="20">
        <f>IF('1. MASTER_ENTRY'!$C31="","",'1. MASTER_ENTRY'!$R31)</f>
        <v/>
      </c>
    </row>
    <row r="32" ht="16" customHeight="1">
      <c r="A32" s="16">
        <f>IF('1. MASTER_ENTRY'!$C32="","",'1. MASTER_ENTRY'!$A32)</f>
        <v/>
      </c>
      <c r="B32" s="16">
        <f>IF('1. MASTER_ENTRY'!$C32="","","Cycle "&amp;(32-4+1))</f>
        <v/>
      </c>
      <c r="C32" s="17">
        <f>IF('1. MASTER_ENTRY'!$C32="","",'1. MASTER_ENTRY'!$C32)</f>
        <v/>
      </c>
      <c r="D32" s="17">
        <f>IF('1. MASTER_ENTRY'!$C32="","",'1. MASTER_ENTRY'!$K32&amp;"  -&gt;  "&amp;'1. MASTER_ENTRY'!$L32)</f>
        <v/>
      </c>
      <c r="E32" s="17">
        <f>IF('1. MASTER_ENTRY'!$C32="","",'1. MASTER_ENTRY'!$N32)</f>
        <v/>
      </c>
      <c r="F32" s="17">
        <f>IF('1. MASTER_ENTRY'!$C32="","",'1. MASTER_ENTRY'!$U32)</f>
        <v/>
      </c>
      <c r="G32" s="16">
        <f>IF('1. MASTER_ENTRY'!$C32="","",'1. MASTER_ENTRY'!$R32)</f>
        <v/>
      </c>
    </row>
    <row r="33" ht="16" customHeight="1">
      <c r="A33" s="20">
        <f>IF('1. MASTER_ENTRY'!$C33="","",'1. MASTER_ENTRY'!$A33)</f>
        <v/>
      </c>
      <c r="B33" s="20">
        <f>IF('1. MASTER_ENTRY'!$C33="","","Cycle "&amp;(33-4+1))</f>
        <v/>
      </c>
      <c r="C33" s="21">
        <f>IF('1. MASTER_ENTRY'!$C33="","",'1. MASTER_ENTRY'!$C33)</f>
        <v/>
      </c>
      <c r="D33" s="21">
        <f>IF('1. MASTER_ENTRY'!$C33="","",'1. MASTER_ENTRY'!$K33&amp;"  -&gt;  "&amp;'1. MASTER_ENTRY'!$L33)</f>
        <v/>
      </c>
      <c r="E33" s="21">
        <f>IF('1. MASTER_ENTRY'!$C33="","",'1. MASTER_ENTRY'!$N33)</f>
        <v/>
      </c>
      <c r="F33" s="21">
        <f>IF('1. MASTER_ENTRY'!$C33="","",'1. MASTER_ENTRY'!$U33)</f>
        <v/>
      </c>
      <c r="G33" s="20">
        <f>IF('1. MASTER_ENTRY'!$C33="","",'1. MASTER_ENTRY'!$R33)</f>
        <v/>
      </c>
    </row>
    <row r="34" ht="16" customHeight="1">
      <c r="A34" s="16">
        <f>IF('1. MASTER_ENTRY'!$C34="","",'1. MASTER_ENTRY'!$A34)</f>
        <v/>
      </c>
      <c r="B34" s="16">
        <f>IF('1. MASTER_ENTRY'!$C34="","","Cycle "&amp;(34-4+1))</f>
        <v/>
      </c>
      <c r="C34" s="17">
        <f>IF('1. MASTER_ENTRY'!$C34="","",'1. MASTER_ENTRY'!$C34)</f>
        <v/>
      </c>
      <c r="D34" s="17">
        <f>IF('1. MASTER_ENTRY'!$C34="","",'1. MASTER_ENTRY'!$K34&amp;"  -&gt;  "&amp;'1. MASTER_ENTRY'!$L34)</f>
        <v/>
      </c>
      <c r="E34" s="17">
        <f>IF('1. MASTER_ENTRY'!$C34="","",'1. MASTER_ENTRY'!$N34)</f>
        <v/>
      </c>
      <c r="F34" s="17">
        <f>IF('1. MASTER_ENTRY'!$C34="","",'1. MASTER_ENTRY'!$U34)</f>
        <v/>
      </c>
      <c r="G34" s="16">
        <f>IF('1. MASTER_ENTRY'!$C34="","",'1. MASTER_ENTRY'!$R34)</f>
        <v/>
      </c>
    </row>
    <row r="35" ht="16" customHeight="1">
      <c r="A35" s="20">
        <f>IF('1. MASTER_ENTRY'!$C35="","",'1. MASTER_ENTRY'!$A35)</f>
        <v/>
      </c>
      <c r="B35" s="20">
        <f>IF('1. MASTER_ENTRY'!$C35="","","Cycle "&amp;(35-4+1))</f>
        <v/>
      </c>
      <c r="C35" s="21">
        <f>IF('1. MASTER_ENTRY'!$C35="","",'1. MASTER_ENTRY'!$C35)</f>
        <v/>
      </c>
      <c r="D35" s="21">
        <f>IF('1. MASTER_ENTRY'!$C35="","",'1. MASTER_ENTRY'!$K35&amp;"  -&gt;  "&amp;'1. MASTER_ENTRY'!$L35)</f>
        <v/>
      </c>
      <c r="E35" s="21">
        <f>IF('1. MASTER_ENTRY'!$C35="","",'1. MASTER_ENTRY'!$N35)</f>
        <v/>
      </c>
      <c r="F35" s="21">
        <f>IF('1. MASTER_ENTRY'!$C35="","",'1. MASTER_ENTRY'!$U35)</f>
        <v/>
      </c>
      <c r="G35" s="20">
        <f>IF('1. MASTER_ENTRY'!$C35="","",'1. MASTER_ENTRY'!$R35)</f>
        <v/>
      </c>
    </row>
    <row r="36" ht="16" customHeight="1">
      <c r="A36" s="16">
        <f>IF('1. MASTER_ENTRY'!$C36="","",'1. MASTER_ENTRY'!$A36)</f>
        <v/>
      </c>
      <c r="B36" s="16">
        <f>IF('1. MASTER_ENTRY'!$C36="","","Cycle "&amp;(36-4+1))</f>
        <v/>
      </c>
      <c r="C36" s="17">
        <f>IF('1. MASTER_ENTRY'!$C36="","",'1. MASTER_ENTRY'!$C36)</f>
        <v/>
      </c>
      <c r="D36" s="17">
        <f>IF('1. MASTER_ENTRY'!$C36="","",'1. MASTER_ENTRY'!$K36&amp;"  -&gt;  "&amp;'1. MASTER_ENTRY'!$L36)</f>
        <v/>
      </c>
      <c r="E36" s="17">
        <f>IF('1. MASTER_ENTRY'!$C36="","",'1. MASTER_ENTRY'!$N36)</f>
        <v/>
      </c>
      <c r="F36" s="17">
        <f>IF('1. MASTER_ENTRY'!$C36="","",'1. MASTER_ENTRY'!$U36)</f>
        <v/>
      </c>
      <c r="G36" s="16">
        <f>IF('1. MASTER_ENTRY'!$C36="","",'1. MASTER_ENTRY'!$R36)</f>
        <v/>
      </c>
    </row>
    <row r="37" ht="16" customHeight="1">
      <c r="A37" s="20">
        <f>IF('1. MASTER_ENTRY'!$C37="","",'1. MASTER_ENTRY'!$A37)</f>
        <v/>
      </c>
      <c r="B37" s="20">
        <f>IF('1. MASTER_ENTRY'!$C37="","","Cycle "&amp;(37-4+1))</f>
        <v/>
      </c>
      <c r="C37" s="21">
        <f>IF('1. MASTER_ENTRY'!$C37="","",'1. MASTER_ENTRY'!$C37)</f>
        <v/>
      </c>
      <c r="D37" s="21">
        <f>IF('1. MASTER_ENTRY'!$C37="","",'1. MASTER_ENTRY'!$K37&amp;"  -&gt;  "&amp;'1. MASTER_ENTRY'!$L37)</f>
        <v/>
      </c>
      <c r="E37" s="21">
        <f>IF('1. MASTER_ENTRY'!$C37="","",'1. MASTER_ENTRY'!$N37)</f>
        <v/>
      </c>
      <c r="F37" s="21">
        <f>IF('1. MASTER_ENTRY'!$C37="","",'1. MASTER_ENTRY'!$U37)</f>
        <v/>
      </c>
      <c r="G37" s="20">
        <f>IF('1. MASTER_ENTRY'!$C37="","",'1. MASTER_ENTRY'!$R37)</f>
        <v/>
      </c>
    </row>
    <row r="38" ht="16" customHeight="1">
      <c r="A38" s="16">
        <f>IF('1. MASTER_ENTRY'!$C38="","",'1. MASTER_ENTRY'!$A38)</f>
        <v/>
      </c>
      <c r="B38" s="16">
        <f>IF('1. MASTER_ENTRY'!$C38="","","Cycle "&amp;(38-4+1))</f>
        <v/>
      </c>
      <c r="C38" s="17">
        <f>IF('1. MASTER_ENTRY'!$C38="","",'1. MASTER_ENTRY'!$C38)</f>
        <v/>
      </c>
      <c r="D38" s="17">
        <f>IF('1. MASTER_ENTRY'!$C38="","",'1. MASTER_ENTRY'!$K38&amp;"  -&gt;  "&amp;'1. MASTER_ENTRY'!$L38)</f>
        <v/>
      </c>
      <c r="E38" s="17">
        <f>IF('1. MASTER_ENTRY'!$C38="","",'1. MASTER_ENTRY'!$N38)</f>
        <v/>
      </c>
      <c r="F38" s="17">
        <f>IF('1. MASTER_ENTRY'!$C38="","",'1. MASTER_ENTRY'!$U38)</f>
        <v/>
      </c>
      <c r="G38" s="16">
        <f>IF('1. MASTER_ENTRY'!$C38="","",'1. MASTER_ENTRY'!$R38)</f>
        <v/>
      </c>
    </row>
    <row r="39" ht="16" customHeight="1">
      <c r="A39" s="20">
        <f>IF('1. MASTER_ENTRY'!$C39="","",'1. MASTER_ENTRY'!$A39)</f>
        <v/>
      </c>
      <c r="B39" s="20">
        <f>IF('1. MASTER_ENTRY'!$C39="","","Cycle "&amp;(39-4+1))</f>
        <v/>
      </c>
      <c r="C39" s="21">
        <f>IF('1. MASTER_ENTRY'!$C39="","",'1. MASTER_ENTRY'!$C39)</f>
        <v/>
      </c>
      <c r="D39" s="21">
        <f>IF('1. MASTER_ENTRY'!$C39="","",'1. MASTER_ENTRY'!$K39&amp;"  -&gt;  "&amp;'1. MASTER_ENTRY'!$L39)</f>
        <v/>
      </c>
      <c r="E39" s="21">
        <f>IF('1. MASTER_ENTRY'!$C39="","",'1. MASTER_ENTRY'!$N39)</f>
        <v/>
      </c>
      <c r="F39" s="21">
        <f>IF('1. MASTER_ENTRY'!$C39="","",'1. MASTER_ENTRY'!$U39)</f>
        <v/>
      </c>
      <c r="G39" s="20">
        <f>IF('1. MASTER_ENTRY'!$C39="","",'1. MASTER_ENTRY'!$R39)</f>
        <v/>
      </c>
    </row>
    <row r="40" ht="16" customHeight="1">
      <c r="A40" s="16">
        <f>IF('1. MASTER_ENTRY'!$C40="","",'1. MASTER_ENTRY'!$A40)</f>
        <v/>
      </c>
      <c r="B40" s="16">
        <f>IF('1. MASTER_ENTRY'!$C40="","","Cycle "&amp;(40-4+1))</f>
        <v/>
      </c>
      <c r="C40" s="17">
        <f>IF('1. MASTER_ENTRY'!$C40="","",'1. MASTER_ENTRY'!$C40)</f>
        <v/>
      </c>
      <c r="D40" s="17">
        <f>IF('1. MASTER_ENTRY'!$C40="","",'1. MASTER_ENTRY'!$K40&amp;"  -&gt;  "&amp;'1. MASTER_ENTRY'!$L40)</f>
        <v/>
      </c>
      <c r="E40" s="17">
        <f>IF('1. MASTER_ENTRY'!$C40="","",'1. MASTER_ENTRY'!$N40)</f>
        <v/>
      </c>
      <c r="F40" s="17">
        <f>IF('1. MASTER_ENTRY'!$C40="","",'1. MASTER_ENTRY'!$U40)</f>
        <v/>
      </c>
      <c r="G40" s="16">
        <f>IF('1. MASTER_ENTRY'!$C40="","",'1. MASTER_ENTRY'!$R40)</f>
        <v/>
      </c>
    </row>
    <row r="41" ht="16" customHeight="1">
      <c r="A41" s="20">
        <f>IF('1. MASTER_ENTRY'!$C41="","",'1. MASTER_ENTRY'!$A41)</f>
        <v/>
      </c>
      <c r="B41" s="20">
        <f>IF('1. MASTER_ENTRY'!$C41="","","Cycle "&amp;(41-4+1))</f>
        <v/>
      </c>
      <c r="C41" s="21">
        <f>IF('1. MASTER_ENTRY'!$C41="","",'1. MASTER_ENTRY'!$C41)</f>
        <v/>
      </c>
      <c r="D41" s="21">
        <f>IF('1. MASTER_ENTRY'!$C41="","",'1. MASTER_ENTRY'!$K41&amp;"  -&gt;  "&amp;'1. MASTER_ENTRY'!$L41)</f>
        <v/>
      </c>
      <c r="E41" s="21">
        <f>IF('1. MASTER_ENTRY'!$C41="","",'1. MASTER_ENTRY'!$N41)</f>
        <v/>
      </c>
      <c r="F41" s="21">
        <f>IF('1. MASTER_ENTRY'!$C41="","",'1. MASTER_ENTRY'!$U41)</f>
        <v/>
      </c>
      <c r="G41" s="20">
        <f>IF('1. MASTER_ENTRY'!$C41="","",'1. MASTER_ENTRY'!$R41)</f>
        <v/>
      </c>
    </row>
    <row r="42" ht="16" customHeight="1">
      <c r="A42" s="16">
        <f>IF('1. MASTER_ENTRY'!$C42="","",'1. MASTER_ENTRY'!$A42)</f>
        <v/>
      </c>
      <c r="B42" s="16">
        <f>IF('1. MASTER_ENTRY'!$C42="","","Cycle "&amp;(42-4+1))</f>
        <v/>
      </c>
      <c r="C42" s="17">
        <f>IF('1. MASTER_ENTRY'!$C42="","",'1. MASTER_ENTRY'!$C42)</f>
        <v/>
      </c>
      <c r="D42" s="17">
        <f>IF('1. MASTER_ENTRY'!$C42="","",'1. MASTER_ENTRY'!$K42&amp;"  -&gt;  "&amp;'1. MASTER_ENTRY'!$L42)</f>
        <v/>
      </c>
      <c r="E42" s="17">
        <f>IF('1. MASTER_ENTRY'!$C42="","",'1. MASTER_ENTRY'!$N42)</f>
        <v/>
      </c>
      <c r="F42" s="17">
        <f>IF('1. MASTER_ENTRY'!$C42="","",'1. MASTER_ENTRY'!$U42)</f>
        <v/>
      </c>
      <c r="G42" s="16">
        <f>IF('1. MASTER_ENTRY'!$C42="","",'1. MASTER_ENTRY'!$R42)</f>
        <v/>
      </c>
    </row>
    <row r="43" ht="16" customHeight="1">
      <c r="A43" s="20">
        <f>IF('1. MASTER_ENTRY'!$C43="","",'1. MASTER_ENTRY'!$A43)</f>
        <v/>
      </c>
      <c r="B43" s="20">
        <f>IF('1. MASTER_ENTRY'!$C43="","","Cycle "&amp;(43-4+1))</f>
        <v/>
      </c>
      <c r="C43" s="21">
        <f>IF('1. MASTER_ENTRY'!$C43="","",'1. MASTER_ENTRY'!$C43)</f>
        <v/>
      </c>
      <c r="D43" s="21">
        <f>IF('1. MASTER_ENTRY'!$C43="","",'1. MASTER_ENTRY'!$K43&amp;"  -&gt;  "&amp;'1. MASTER_ENTRY'!$L43)</f>
        <v/>
      </c>
      <c r="E43" s="21">
        <f>IF('1. MASTER_ENTRY'!$C43="","",'1. MASTER_ENTRY'!$N43)</f>
        <v/>
      </c>
      <c r="F43" s="21">
        <f>IF('1. MASTER_ENTRY'!$C43="","",'1. MASTER_ENTRY'!$U43)</f>
        <v/>
      </c>
      <c r="G43" s="20">
        <f>IF('1. MASTER_ENTRY'!$C43="","",'1. MASTER_ENTRY'!$R43)</f>
        <v/>
      </c>
    </row>
    <row r="44" ht="16" customHeight="1">
      <c r="A44" s="16">
        <f>IF('1. MASTER_ENTRY'!$C44="","",'1. MASTER_ENTRY'!$A44)</f>
        <v/>
      </c>
      <c r="B44" s="16">
        <f>IF('1. MASTER_ENTRY'!$C44="","","Cycle "&amp;(44-4+1))</f>
        <v/>
      </c>
      <c r="C44" s="17">
        <f>IF('1. MASTER_ENTRY'!$C44="","",'1. MASTER_ENTRY'!$C44)</f>
        <v/>
      </c>
      <c r="D44" s="17">
        <f>IF('1. MASTER_ENTRY'!$C44="","",'1. MASTER_ENTRY'!$K44&amp;"  -&gt;  "&amp;'1. MASTER_ENTRY'!$L44)</f>
        <v/>
      </c>
      <c r="E44" s="17">
        <f>IF('1. MASTER_ENTRY'!$C44="","",'1. MASTER_ENTRY'!$N44)</f>
        <v/>
      </c>
      <c r="F44" s="17">
        <f>IF('1. MASTER_ENTRY'!$C44="","",'1. MASTER_ENTRY'!$U44)</f>
        <v/>
      </c>
      <c r="G44" s="16">
        <f>IF('1. MASTER_ENTRY'!$C44="","",'1. MASTER_ENTRY'!$R44)</f>
        <v/>
      </c>
    </row>
    <row r="45" ht="16" customHeight="1">
      <c r="A45" s="20">
        <f>IF('1. MASTER_ENTRY'!$C45="","",'1. MASTER_ENTRY'!$A45)</f>
        <v/>
      </c>
      <c r="B45" s="20">
        <f>IF('1. MASTER_ENTRY'!$C45="","","Cycle "&amp;(45-4+1))</f>
        <v/>
      </c>
      <c r="C45" s="21">
        <f>IF('1. MASTER_ENTRY'!$C45="","",'1. MASTER_ENTRY'!$C45)</f>
        <v/>
      </c>
      <c r="D45" s="21">
        <f>IF('1. MASTER_ENTRY'!$C45="","",'1. MASTER_ENTRY'!$K45&amp;"  -&gt;  "&amp;'1. MASTER_ENTRY'!$L45)</f>
        <v/>
      </c>
      <c r="E45" s="21">
        <f>IF('1. MASTER_ENTRY'!$C45="","",'1. MASTER_ENTRY'!$N45)</f>
        <v/>
      </c>
      <c r="F45" s="21">
        <f>IF('1. MASTER_ENTRY'!$C45="","",'1. MASTER_ENTRY'!$U45)</f>
        <v/>
      </c>
      <c r="G45" s="20">
        <f>IF('1. MASTER_ENTRY'!$C45="","",'1. MASTER_ENTRY'!$R45)</f>
        <v/>
      </c>
    </row>
    <row r="46" ht="16" customHeight="1">
      <c r="A46" s="16">
        <f>IF('1. MASTER_ENTRY'!$C46="","",'1. MASTER_ENTRY'!$A46)</f>
        <v/>
      </c>
      <c r="B46" s="16">
        <f>IF('1. MASTER_ENTRY'!$C46="","","Cycle "&amp;(46-4+1))</f>
        <v/>
      </c>
      <c r="C46" s="17">
        <f>IF('1. MASTER_ENTRY'!$C46="","",'1. MASTER_ENTRY'!$C46)</f>
        <v/>
      </c>
      <c r="D46" s="17">
        <f>IF('1. MASTER_ENTRY'!$C46="","",'1. MASTER_ENTRY'!$K46&amp;"  -&gt;  "&amp;'1. MASTER_ENTRY'!$L46)</f>
        <v/>
      </c>
      <c r="E46" s="17">
        <f>IF('1. MASTER_ENTRY'!$C46="","",'1. MASTER_ENTRY'!$N46)</f>
        <v/>
      </c>
      <c r="F46" s="17">
        <f>IF('1. MASTER_ENTRY'!$C46="","",'1. MASTER_ENTRY'!$U46)</f>
        <v/>
      </c>
      <c r="G46" s="16">
        <f>IF('1. MASTER_ENTRY'!$C46="","",'1. MASTER_ENTRY'!$R46)</f>
        <v/>
      </c>
    </row>
    <row r="47" ht="16" customHeight="1">
      <c r="A47" s="20">
        <f>IF('1. MASTER_ENTRY'!$C47="","",'1. MASTER_ENTRY'!$A47)</f>
        <v/>
      </c>
      <c r="B47" s="20">
        <f>IF('1. MASTER_ENTRY'!$C47="","","Cycle "&amp;(47-4+1))</f>
        <v/>
      </c>
      <c r="C47" s="21">
        <f>IF('1. MASTER_ENTRY'!$C47="","",'1. MASTER_ENTRY'!$C47)</f>
        <v/>
      </c>
      <c r="D47" s="21">
        <f>IF('1. MASTER_ENTRY'!$C47="","",'1. MASTER_ENTRY'!$K47&amp;"  -&gt;  "&amp;'1. MASTER_ENTRY'!$L47)</f>
        <v/>
      </c>
      <c r="E47" s="21">
        <f>IF('1. MASTER_ENTRY'!$C47="","",'1. MASTER_ENTRY'!$N47)</f>
        <v/>
      </c>
      <c r="F47" s="21">
        <f>IF('1. MASTER_ENTRY'!$C47="","",'1. MASTER_ENTRY'!$U47)</f>
        <v/>
      </c>
      <c r="G47" s="20">
        <f>IF('1. MASTER_ENTRY'!$C47="","",'1. MASTER_ENTRY'!$R47)</f>
        <v/>
      </c>
    </row>
    <row r="48" ht="16" customHeight="1">
      <c r="A48" s="16">
        <f>IF('1. MASTER_ENTRY'!$C48="","",'1. MASTER_ENTRY'!$A48)</f>
        <v/>
      </c>
      <c r="B48" s="16">
        <f>IF('1. MASTER_ENTRY'!$C48="","","Cycle "&amp;(48-4+1))</f>
        <v/>
      </c>
      <c r="C48" s="17">
        <f>IF('1. MASTER_ENTRY'!$C48="","",'1. MASTER_ENTRY'!$C48)</f>
        <v/>
      </c>
      <c r="D48" s="17">
        <f>IF('1. MASTER_ENTRY'!$C48="","",'1. MASTER_ENTRY'!$K48&amp;"  -&gt;  "&amp;'1. MASTER_ENTRY'!$L48)</f>
        <v/>
      </c>
      <c r="E48" s="17">
        <f>IF('1. MASTER_ENTRY'!$C48="","",'1. MASTER_ENTRY'!$N48)</f>
        <v/>
      </c>
      <c r="F48" s="17">
        <f>IF('1. MASTER_ENTRY'!$C48="","",'1. MASTER_ENTRY'!$U48)</f>
        <v/>
      </c>
      <c r="G48" s="16">
        <f>IF('1. MASTER_ENTRY'!$C48="","",'1. MASTER_ENTRY'!$R48)</f>
        <v/>
      </c>
    </row>
    <row r="49" ht="16" customHeight="1">
      <c r="A49" s="20">
        <f>IF('1. MASTER_ENTRY'!$C49="","",'1. MASTER_ENTRY'!$A49)</f>
        <v/>
      </c>
      <c r="B49" s="20">
        <f>IF('1. MASTER_ENTRY'!$C49="","","Cycle "&amp;(49-4+1))</f>
        <v/>
      </c>
      <c r="C49" s="21">
        <f>IF('1. MASTER_ENTRY'!$C49="","",'1. MASTER_ENTRY'!$C49)</f>
        <v/>
      </c>
      <c r="D49" s="21">
        <f>IF('1. MASTER_ENTRY'!$C49="","",'1. MASTER_ENTRY'!$K49&amp;"  -&gt;  "&amp;'1. MASTER_ENTRY'!$L49)</f>
        <v/>
      </c>
      <c r="E49" s="21">
        <f>IF('1. MASTER_ENTRY'!$C49="","",'1. MASTER_ENTRY'!$N49)</f>
        <v/>
      </c>
      <c r="F49" s="21">
        <f>IF('1. MASTER_ENTRY'!$C49="","",'1. MASTER_ENTRY'!$U49)</f>
        <v/>
      </c>
      <c r="G49" s="20">
        <f>IF('1. MASTER_ENTRY'!$C49="","",'1. MASTER_ENTRY'!$R49)</f>
        <v/>
      </c>
    </row>
    <row r="50" ht="16" customHeight="1">
      <c r="A50" s="16">
        <f>IF('1. MASTER_ENTRY'!$C50="","",'1. MASTER_ENTRY'!$A50)</f>
        <v/>
      </c>
      <c r="B50" s="16">
        <f>IF('1. MASTER_ENTRY'!$C50="","","Cycle "&amp;(50-4+1))</f>
        <v/>
      </c>
      <c r="C50" s="17">
        <f>IF('1. MASTER_ENTRY'!$C50="","",'1. MASTER_ENTRY'!$C50)</f>
        <v/>
      </c>
      <c r="D50" s="17">
        <f>IF('1. MASTER_ENTRY'!$C50="","",'1. MASTER_ENTRY'!$K50&amp;"  -&gt;  "&amp;'1. MASTER_ENTRY'!$L50)</f>
        <v/>
      </c>
      <c r="E50" s="17">
        <f>IF('1. MASTER_ENTRY'!$C50="","",'1. MASTER_ENTRY'!$N50)</f>
        <v/>
      </c>
      <c r="F50" s="17">
        <f>IF('1. MASTER_ENTRY'!$C50="","",'1. MASTER_ENTRY'!$U50)</f>
        <v/>
      </c>
      <c r="G50" s="16">
        <f>IF('1. MASTER_ENTRY'!$C50="","",'1. MASTER_ENTRY'!$R50)</f>
        <v/>
      </c>
    </row>
    <row r="51" ht="16" customHeight="1">
      <c r="A51" s="20">
        <f>IF('1. MASTER_ENTRY'!$C51="","",'1. MASTER_ENTRY'!$A51)</f>
        <v/>
      </c>
      <c r="B51" s="20">
        <f>IF('1. MASTER_ENTRY'!$C51="","","Cycle "&amp;(51-4+1))</f>
        <v/>
      </c>
      <c r="C51" s="21">
        <f>IF('1. MASTER_ENTRY'!$C51="","",'1. MASTER_ENTRY'!$C51)</f>
        <v/>
      </c>
      <c r="D51" s="21">
        <f>IF('1. MASTER_ENTRY'!$C51="","",'1. MASTER_ENTRY'!$K51&amp;"  -&gt;  "&amp;'1. MASTER_ENTRY'!$L51)</f>
        <v/>
      </c>
      <c r="E51" s="21">
        <f>IF('1. MASTER_ENTRY'!$C51="","",'1. MASTER_ENTRY'!$N51)</f>
        <v/>
      </c>
      <c r="F51" s="21">
        <f>IF('1. MASTER_ENTRY'!$C51="","",'1. MASTER_ENTRY'!$U51)</f>
        <v/>
      </c>
      <c r="G51" s="20">
        <f>IF('1. MASTER_ENTRY'!$C51="","",'1. MASTER_ENTRY'!$R51)</f>
        <v/>
      </c>
    </row>
    <row r="52" ht="16" customHeight="1">
      <c r="A52" s="16">
        <f>IF('1. MASTER_ENTRY'!$C52="","",'1. MASTER_ENTRY'!$A52)</f>
        <v/>
      </c>
      <c r="B52" s="16">
        <f>IF('1. MASTER_ENTRY'!$C52="","","Cycle "&amp;(52-4+1))</f>
        <v/>
      </c>
      <c r="C52" s="17">
        <f>IF('1. MASTER_ENTRY'!$C52="","",'1. MASTER_ENTRY'!$C52)</f>
        <v/>
      </c>
      <c r="D52" s="17">
        <f>IF('1. MASTER_ENTRY'!$C52="","",'1. MASTER_ENTRY'!$K52&amp;"  -&gt;  "&amp;'1. MASTER_ENTRY'!$L52)</f>
        <v/>
      </c>
      <c r="E52" s="17">
        <f>IF('1. MASTER_ENTRY'!$C52="","",'1. MASTER_ENTRY'!$N52)</f>
        <v/>
      </c>
      <c r="F52" s="17">
        <f>IF('1. MASTER_ENTRY'!$C52="","",'1. MASTER_ENTRY'!$U52)</f>
        <v/>
      </c>
      <c r="G52" s="16">
        <f>IF('1. MASTER_ENTRY'!$C52="","",'1. MASTER_ENTRY'!$R52)</f>
        <v/>
      </c>
    </row>
    <row r="53" ht="16" customHeight="1">
      <c r="A53" s="20">
        <f>IF('1. MASTER_ENTRY'!$C53="","",'1. MASTER_ENTRY'!$A53)</f>
        <v/>
      </c>
      <c r="B53" s="20">
        <f>IF('1. MASTER_ENTRY'!$C53="","","Cycle "&amp;(53-4+1))</f>
        <v/>
      </c>
      <c r="C53" s="21">
        <f>IF('1. MASTER_ENTRY'!$C53="","",'1. MASTER_ENTRY'!$C53)</f>
        <v/>
      </c>
      <c r="D53" s="21">
        <f>IF('1. MASTER_ENTRY'!$C53="","",'1. MASTER_ENTRY'!$K53&amp;"  -&gt;  "&amp;'1. MASTER_ENTRY'!$L53)</f>
        <v/>
      </c>
      <c r="E53" s="21">
        <f>IF('1. MASTER_ENTRY'!$C53="","",'1. MASTER_ENTRY'!$N53)</f>
        <v/>
      </c>
      <c r="F53" s="21">
        <f>IF('1. MASTER_ENTRY'!$C53="","",'1. MASTER_ENTRY'!$U53)</f>
        <v/>
      </c>
      <c r="G53" s="20">
        <f>IF('1. MASTER_ENTRY'!$C53="","",'1. MASTER_ENTRY'!$R53)</f>
        <v/>
      </c>
    </row>
    <row r="54" ht="16" customHeight="1">
      <c r="A54" s="16">
        <f>IF('1. MASTER_ENTRY'!$C54="","",'1. MASTER_ENTRY'!$A54)</f>
        <v/>
      </c>
      <c r="B54" s="16">
        <f>IF('1. MASTER_ENTRY'!$C54="","","Cycle "&amp;(54-4+1))</f>
        <v/>
      </c>
      <c r="C54" s="17">
        <f>IF('1. MASTER_ENTRY'!$C54="","",'1. MASTER_ENTRY'!$C54)</f>
        <v/>
      </c>
      <c r="D54" s="17">
        <f>IF('1. MASTER_ENTRY'!$C54="","",'1. MASTER_ENTRY'!$K54&amp;"  -&gt;  "&amp;'1. MASTER_ENTRY'!$L54)</f>
        <v/>
      </c>
      <c r="E54" s="17">
        <f>IF('1. MASTER_ENTRY'!$C54="","",'1. MASTER_ENTRY'!$N54)</f>
        <v/>
      </c>
      <c r="F54" s="17">
        <f>IF('1. MASTER_ENTRY'!$C54="","",'1. MASTER_ENTRY'!$U54)</f>
        <v/>
      </c>
      <c r="G54" s="16">
        <f>IF('1. MASTER_ENTRY'!$C54="","",'1. MASTER_ENTRY'!$R54)</f>
        <v/>
      </c>
    </row>
    <row r="55" ht="16" customHeight="1">
      <c r="A55" s="20">
        <f>IF('1. MASTER_ENTRY'!$C55="","",'1. MASTER_ENTRY'!$A55)</f>
        <v/>
      </c>
      <c r="B55" s="20">
        <f>IF('1. MASTER_ENTRY'!$C55="","","Cycle "&amp;(55-4+1))</f>
        <v/>
      </c>
      <c r="C55" s="21">
        <f>IF('1. MASTER_ENTRY'!$C55="","",'1. MASTER_ENTRY'!$C55)</f>
        <v/>
      </c>
      <c r="D55" s="21">
        <f>IF('1. MASTER_ENTRY'!$C55="","",'1. MASTER_ENTRY'!$K55&amp;"  -&gt;  "&amp;'1. MASTER_ENTRY'!$L55)</f>
        <v/>
      </c>
      <c r="E55" s="21">
        <f>IF('1. MASTER_ENTRY'!$C55="","",'1. MASTER_ENTRY'!$N55)</f>
        <v/>
      </c>
      <c r="F55" s="21">
        <f>IF('1. MASTER_ENTRY'!$C55="","",'1. MASTER_ENTRY'!$U55)</f>
        <v/>
      </c>
      <c r="G55" s="20">
        <f>IF('1. MASTER_ENTRY'!$C55="","",'1. MASTER_ENTRY'!$R55)</f>
        <v/>
      </c>
    </row>
    <row r="56" ht="16" customHeight="1">
      <c r="A56" s="16">
        <f>IF('1. MASTER_ENTRY'!$C56="","",'1. MASTER_ENTRY'!$A56)</f>
        <v/>
      </c>
      <c r="B56" s="16">
        <f>IF('1. MASTER_ENTRY'!$C56="","","Cycle "&amp;(56-4+1))</f>
        <v/>
      </c>
      <c r="C56" s="17">
        <f>IF('1. MASTER_ENTRY'!$C56="","",'1. MASTER_ENTRY'!$C56)</f>
        <v/>
      </c>
      <c r="D56" s="17">
        <f>IF('1. MASTER_ENTRY'!$C56="","",'1. MASTER_ENTRY'!$K56&amp;"  -&gt;  "&amp;'1. MASTER_ENTRY'!$L56)</f>
        <v/>
      </c>
      <c r="E56" s="17">
        <f>IF('1. MASTER_ENTRY'!$C56="","",'1. MASTER_ENTRY'!$N56)</f>
        <v/>
      </c>
      <c r="F56" s="17">
        <f>IF('1. MASTER_ENTRY'!$C56="","",'1. MASTER_ENTRY'!$U56)</f>
        <v/>
      </c>
      <c r="G56" s="16">
        <f>IF('1. MASTER_ENTRY'!$C56="","",'1. MASTER_ENTRY'!$R56)</f>
        <v/>
      </c>
    </row>
    <row r="57" ht="16" customHeight="1">
      <c r="A57" s="20">
        <f>IF('1. MASTER_ENTRY'!$C57="","",'1. MASTER_ENTRY'!$A57)</f>
        <v/>
      </c>
      <c r="B57" s="20">
        <f>IF('1. MASTER_ENTRY'!$C57="","","Cycle "&amp;(57-4+1))</f>
        <v/>
      </c>
      <c r="C57" s="21">
        <f>IF('1. MASTER_ENTRY'!$C57="","",'1. MASTER_ENTRY'!$C57)</f>
        <v/>
      </c>
      <c r="D57" s="21">
        <f>IF('1. MASTER_ENTRY'!$C57="","",'1. MASTER_ENTRY'!$K57&amp;"  -&gt;  "&amp;'1. MASTER_ENTRY'!$L57)</f>
        <v/>
      </c>
      <c r="E57" s="21">
        <f>IF('1. MASTER_ENTRY'!$C57="","",'1. MASTER_ENTRY'!$N57)</f>
        <v/>
      </c>
      <c r="F57" s="21">
        <f>IF('1. MASTER_ENTRY'!$C57="","",'1. MASTER_ENTRY'!$U57)</f>
        <v/>
      </c>
      <c r="G57" s="20">
        <f>IF('1. MASTER_ENTRY'!$C57="","",'1. MASTER_ENTRY'!$R57)</f>
        <v/>
      </c>
    </row>
    <row r="58" ht="16" customHeight="1">
      <c r="A58" s="16">
        <f>IF('1. MASTER_ENTRY'!$C58="","",'1. MASTER_ENTRY'!$A58)</f>
        <v/>
      </c>
      <c r="B58" s="16">
        <f>IF('1. MASTER_ENTRY'!$C58="","","Cycle "&amp;(58-4+1))</f>
        <v/>
      </c>
      <c r="C58" s="17">
        <f>IF('1. MASTER_ENTRY'!$C58="","",'1. MASTER_ENTRY'!$C58)</f>
        <v/>
      </c>
      <c r="D58" s="17">
        <f>IF('1. MASTER_ENTRY'!$C58="","",'1. MASTER_ENTRY'!$K58&amp;"  -&gt;  "&amp;'1. MASTER_ENTRY'!$L58)</f>
        <v/>
      </c>
      <c r="E58" s="17">
        <f>IF('1. MASTER_ENTRY'!$C58="","",'1. MASTER_ENTRY'!$N58)</f>
        <v/>
      </c>
      <c r="F58" s="17">
        <f>IF('1. MASTER_ENTRY'!$C58="","",'1. MASTER_ENTRY'!$U58)</f>
        <v/>
      </c>
      <c r="G58" s="16">
        <f>IF('1. MASTER_ENTRY'!$C58="","",'1. MASTER_ENTRY'!$R58)</f>
        <v/>
      </c>
    </row>
    <row r="59" ht="16" customHeight="1">
      <c r="A59" s="20">
        <f>IF('1. MASTER_ENTRY'!$C59="","",'1. MASTER_ENTRY'!$A59)</f>
        <v/>
      </c>
      <c r="B59" s="20">
        <f>IF('1. MASTER_ENTRY'!$C59="","","Cycle "&amp;(59-4+1))</f>
        <v/>
      </c>
      <c r="C59" s="21">
        <f>IF('1. MASTER_ENTRY'!$C59="","",'1. MASTER_ENTRY'!$C59)</f>
        <v/>
      </c>
      <c r="D59" s="21">
        <f>IF('1. MASTER_ENTRY'!$C59="","",'1. MASTER_ENTRY'!$K59&amp;"  -&gt;  "&amp;'1. MASTER_ENTRY'!$L59)</f>
        <v/>
      </c>
      <c r="E59" s="21">
        <f>IF('1. MASTER_ENTRY'!$C59="","",'1. MASTER_ENTRY'!$N59)</f>
        <v/>
      </c>
      <c r="F59" s="21">
        <f>IF('1. MASTER_ENTRY'!$C59="","",'1. MASTER_ENTRY'!$U59)</f>
        <v/>
      </c>
      <c r="G59" s="20">
        <f>IF('1. MASTER_ENTRY'!$C59="","",'1. MASTER_ENTRY'!$R59)</f>
        <v/>
      </c>
    </row>
    <row r="60" ht="16" customHeight="1">
      <c r="A60" s="16">
        <f>IF('1. MASTER_ENTRY'!$C60="","",'1. MASTER_ENTRY'!$A60)</f>
        <v/>
      </c>
      <c r="B60" s="16">
        <f>IF('1. MASTER_ENTRY'!$C60="","","Cycle "&amp;(60-4+1))</f>
        <v/>
      </c>
      <c r="C60" s="17">
        <f>IF('1. MASTER_ENTRY'!$C60="","",'1. MASTER_ENTRY'!$C60)</f>
        <v/>
      </c>
      <c r="D60" s="17">
        <f>IF('1. MASTER_ENTRY'!$C60="","",'1. MASTER_ENTRY'!$K60&amp;"  -&gt;  "&amp;'1. MASTER_ENTRY'!$L60)</f>
        <v/>
      </c>
      <c r="E60" s="17">
        <f>IF('1. MASTER_ENTRY'!$C60="","",'1. MASTER_ENTRY'!$N60)</f>
        <v/>
      </c>
      <c r="F60" s="17">
        <f>IF('1. MASTER_ENTRY'!$C60="","",'1. MASTER_ENTRY'!$U60)</f>
        <v/>
      </c>
      <c r="G60" s="16">
        <f>IF('1. MASTER_ENTRY'!$C60="","",'1. MASTER_ENTRY'!$R60)</f>
        <v/>
      </c>
    </row>
    <row r="61" ht="16" customHeight="1">
      <c r="A61" s="20">
        <f>IF('1. MASTER_ENTRY'!$C61="","",'1. MASTER_ENTRY'!$A61)</f>
        <v/>
      </c>
      <c r="B61" s="20">
        <f>IF('1. MASTER_ENTRY'!$C61="","","Cycle "&amp;(61-4+1))</f>
        <v/>
      </c>
      <c r="C61" s="21">
        <f>IF('1. MASTER_ENTRY'!$C61="","",'1. MASTER_ENTRY'!$C61)</f>
        <v/>
      </c>
      <c r="D61" s="21">
        <f>IF('1. MASTER_ENTRY'!$C61="","",'1. MASTER_ENTRY'!$K61&amp;"  -&gt;  "&amp;'1. MASTER_ENTRY'!$L61)</f>
        <v/>
      </c>
      <c r="E61" s="21">
        <f>IF('1. MASTER_ENTRY'!$C61="","",'1. MASTER_ENTRY'!$N61)</f>
        <v/>
      </c>
      <c r="F61" s="21">
        <f>IF('1. MASTER_ENTRY'!$C61="","",'1. MASTER_ENTRY'!$U61)</f>
        <v/>
      </c>
      <c r="G61" s="20">
        <f>IF('1. MASTER_ENTRY'!$C61="","",'1. MASTER_ENTRY'!$R61)</f>
        <v/>
      </c>
    </row>
    <row r="62" ht="16" customHeight="1">
      <c r="A62" s="16">
        <f>IF('1. MASTER_ENTRY'!$C62="","",'1. MASTER_ENTRY'!$A62)</f>
        <v/>
      </c>
      <c r="B62" s="16">
        <f>IF('1. MASTER_ENTRY'!$C62="","","Cycle "&amp;(62-4+1))</f>
        <v/>
      </c>
      <c r="C62" s="17">
        <f>IF('1. MASTER_ENTRY'!$C62="","",'1. MASTER_ENTRY'!$C62)</f>
        <v/>
      </c>
      <c r="D62" s="17">
        <f>IF('1. MASTER_ENTRY'!$C62="","",'1. MASTER_ENTRY'!$K62&amp;"  -&gt;  "&amp;'1. MASTER_ENTRY'!$L62)</f>
        <v/>
      </c>
      <c r="E62" s="17">
        <f>IF('1. MASTER_ENTRY'!$C62="","",'1. MASTER_ENTRY'!$N62)</f>
        <v/>
      </c>
      <c r="F62" s="17">
        <f>IF('1. MASTER_ENTRY'!$C62="","",'1. MASTER_ENTRY'!$U62)</f>
        <v/>
      </c>
      <c r="G62" s="16">
        <f>IF('1. MASTER_ENTRY'!$C62="","",'1. MASTER_ENTRY'!$R62)</f>
        <v/>
      </c>
    </row>
    <row r="63" ht="16" customHeight="1">
      <c r="A63" s="20">
        <f>IF('1. MASTER_ENTRY'!$C63="","",'1. MASTER_ENTRY'!$A63)</f>
        <v/>
      </c>
      <c r="B63" s="20">
        <f>IF('1. MASTER_ENTRY'!$C63="","","Cycle "&amp;(63-4+1))</f>
        <v/>
      </c>
      <c r="C63" s="21">
        <f>IF('1. MASTER_ENTRY'!$C63="","",'1. MASTER_ENTRY'!$C63)</f>
        <v/>
      </c>
      <c r="D63" s="21">
        <f>IF('1. MASTER_ENTRY'!$C63="","",'1. MASTER_ENTRY'!$K63&amp;"  -&gt;  "&amp;'1. MASTER_ENTRY'!$L63)</f>
        <v/>
      </c>
      <c r="E63" s="21">
        <f>IF('1. MASTER_ENTRY'!$C63="","",'1. MASTER_ENTRY'!$N63)</f>
        <v/>
      </c>
      <c r="F63" s="21">
        <f>IF('1. MASTER_ENTRY'!$C63="","",'1. MASTER_ENTRY'!$U63)</f>
        <v/>
      </c>
      <c r="G63" s="20">
        <f>IF('1. MASTER_ENTRY'!$C63="","",'1. MASTER_ENTRY'!$R63)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6" customWidth="1" min="3" max="3"/>
    <col width="14" customWidth="1" min="4" max="4"/>
    <col width="34" customWidth="1" min="5" max="5"/>
    <col width="13" customWidth="1" min="6" max="6"/>
    <col width="11" customWidth="1" min="7" max="7"/>
  </cols>
  <sheetData>
    <row r="1" ht="34" customHeight="1">
      <c r="A1" s="29" t="inlineStr">
        <is>
          <t xml:space="preserve">  ACTION LOG  -  improvement action captured for every case</t>
        </is>
      </c>
    </row>
    <row r="2" ht="20" customHeight="1">
      <c r="A2" s="2" t="inlineStr">
        <is>
          <t xml:space="preserve">  Read-only audit trail. Owner, outcome, due date, status all flow from MASTER_ENTRY.</t>
        </is>
      </c>
    </row>
    <row r="3" ht="30" customHeight="1">
      <c r="A3" s="30" t="inlineStr">
        <is>
          <t>CASE ID</t>
        </is>
      </c>
      <c r="B3" s="30" t="inlineStr">
        <is>
          <t>DATE</t>
        </is>
      </c>
      <c r="C3" s="30" t="inlineStr">
        <is>
          <t>ACTION TAKEN / PLANNED</t>
        </is>
      </c>
      <c r="D3" s="30" t="inlineStr">
        <is>
          <t>OWNER</t>
        </is>
      </c>
      <c r="E3" s="30" t="inlineStr">
        <is>
          <t>EXPECTED OUTCOME</t>
        </is>
      </c>
      <c r="F3" s="30" t="inlineStr">
        <is>
          <t>STATUS</t>
        </is>
      </c>
      <c r="G3" s="30" t="inlineStr">
        <is>
          <t>DUE</t>
        </is>
      </c>
    </row>
    <row r="4" ht="16" customHeight="1">
      <c r="A4" s="16">
        <f>IF('1. MASTER_ENTRY'!$C4="","",'1. MASTER_ENTRY'!$A4)</f>
        <v/>
      </c>
      <c r="B4" s="18">
        <f>IF('1. MASTER_ENTRY'!$C4="","",'1. MASTER_ENTRY'!$B4)</f>
        <v/>
      </c>
      <c r="C4" s="17">
        <f>IF('1. MASTER_ENTRY'!$C4="","","Apply "&amp;'1. MASTER_ENTRY'!$L4&amp;" to: "&amp;'1. MASTER_ENTRY'!$C4)</f>
        <v/>
      </c>
      <c r="D4" s="16">
        <f>IF('1. MASTER_ENTRY'!$C4="","",'1. MASTER_ENTRY'!$M4)</f>
        <v/>
      </c>
      <c r="E4" s="17">
        <f>IF('1. MASTER_ENTRY'!$C4="","",'1. MASTER_ENTRY'!$N4)</f>
        <v/>
      </c>
      <c r="F4" s="16">
        <f>IF('1. MASTER_ENTRY'!$C4="","",'1. MASTER_ENTRY'!$R4)</f>
        <v/>
      </c>
      <c r="G4" s="18">
        <f>IF('1. MASTER_ENTRY'!$C4="","",'1. MASTER_ENTRY'!$Q4)</f>
        <v/>
      </c>
    </row>
    <row r="5" ht="16" customHeight="1">
      <c r="A5" s="20">
        <f>IF('1. MASTER_ENTRY'!$C5="","",'1. MASTER_ENTRY'!$A5)</f>
        <v/>
      </c>
      <c r="B5" s="22">
        <f>IF('1. MASTER_ENTRY'!$C5="","",'1. MASTER_ENTRY'!$B5)</f>
        <v/>
      </c>
      <c r="C5" s="21">
        <f>IF('1. MASTER_ENTRY'!$C5="","","Apply "&amp;'1. MASTER_ENTRY'!$L5&amp;" to: "&amp;'1. MASTER_ENTRY'!$C5)</f>
        <v/>
      </c>
      <c r="D5" s="20">
        <f>IF('1. MASTER_ENTRY'!$C5="","",'1. MASTER_ENTRY'!$M5)</f>
        <v/>
      </c>
      <c r="E5" s="21">
        <f>IF('1. MASTER_ENTRY'!$C5="","",'1. MASTER_ENTRY'!$N5)</f>
        <v/>
      </c>
      <c r="F5" s="20">
        <f>IF('1. MASTER_ENTRY'!$C5="","",'1. MASTER_ENTRY'!$R5)</f>
        <v/>
      </c>
      <c r="G5" s="22">
        <f>IF('1. MASTER_ENTRY'!$C5="","",'1. MASTER_ENTRY'!$Q5)</f>
        <v/>
      </c>
    </row>
    <row r="6" ht="16" customHeight="1">
      <c r="A6" s="16">
        <f>IF('1. MASTER_ENTRY'!$C6="","",'1. MASTER_ENTRY'!$A6)</f>
        <v/>
      </c>
      <c r="B6" s="18">
        <f>IF('1. MASTER_ENTRY'!$C6="","",'1. MASTER_ENTRY'!$B6)</f>
        <v/>
      </c>
      <c r="C6" s="17">
        <f>IF('1. MASTER_ENTRY'!$C6="","","Apply "&amp;'1. MASTER_ENTRY'!$L6&amp;" to: "&amp;'1. MASTER_ENTRY'!$C6)</f>
        <v/>
      </c>
      <c r="D6" s="16">
        <f>IF('1. MASTER_ENTRY'!$C6="","",'1. MASTER_ENTRY'!$M6)</f>
        <v/>
      </c>
      <c r="E6" s="17">
        <f>IF('1. MASTER_ENTRY'!$C6="","",'1. MASTER_ENTRY'!$N6)</f>
        <v/>
      </c>
      <c r="F6" s="16">
        <f>IF('1. MASTER_ENTRY'!$C6="","",'1. MASTER_ENTRY'!$R6)</f>
        <v/>
      </c>
      <c r="G6" s="18">
        <f>IF('1. MASTER_ENTRY'!$C6="","",'1. MASTER_ENTRY'!$Q6)</f>
        <v/>
      </c>
    </row>
    <row r="7" ht="16" customHeight="1">
      <c r="A7" s="20">
        <f>IF('1. MASTER_ENTRY'!$C7="","",'1. MASTER_ENTRY'!$A7)</f>
        <v/>
      </c>
      <c r="B7" s="22">
        <f>IF('1. MASTER_ENTRY'!$C7="","",'1. MASTER_ENTRY'!$B7)</f>
        <v/>
      </c>
      <c r="C7" s="21">
        <f>IF('1. MASTER_ENTRY'!$C7="","","Apply "&amp;'1. MASTER_ENTRY'!$L7&amp;" to: "&amp;'1. MASTER_ENTRY'!$C7)</f>
        <v/>
      </c>
      <c r="D7" s="20">
        <f>IF('1. MASTER_ENTRY'!$C7="","",'1. MASTER_ENTRY'!$M7)</f>
        <v/>
      </c>
      <c r="E7" s="21">
        <f>IF('1. MASTER_ENTRY'!$C7="","",'1. MASTER_ENTRY'!$N7)</f>
        <v/>
      </c>
      <c r="F7" s="20">
        <f>IF('1. MASTER_ENTRY'!$C7="","",'1. MASTER_ENTRY'!$R7)</f>
        <v/>
      </c>
      <c r="G7" s="22">
        <f>IF('1. MASTER_ENTRY'!$C7="","",'1. MASTER_ENTRY'!$Q7)</f>
        <v/>
      </c>
    </row>
    <row r="8" ht="16" customHeight="1">
      <c r="A8" s="16">
        <f>IF('1. MASTER_ENTRY'!$C8="","",'1. MASTER_ENTRY'!$A8)</f>
        <v/>
      </c>
      <c r="B8" s="18">
        <f>IF('1. MASTER_ENTRY'!$C8="","",'1. MASTER_ENTRY'!$B8)</f>
        <v/>
      </c>
      <c r="C8" s="17">
        <f>IF('1. MASTER_ENTRY'!$C8="","","Apply "&amp;'1. MASTER_ENTRY'!$L8&amp;" to: "&amp;'1. MASTER_ENTRY'!$C8)</f>
        <v/>
      </c>
      <c r="D8" s="16">
        <f>IF('1. MASTER_ENTRY'!$C8="","",'1. MASTER_ENTRY'!$M8)</f>
        <v/>
      </c>
      <c r="E8" s="17">
        <f>IF('1. MASTER_ENTRY'!$C8="","",'1. MASTER_ENTRY'!$N8)</f>
        <v/>
      </c>
      <c r="F8" s="16">
        <f>IF('1. MASTER_ENTRY'!$C8="","",'1. MASTER_ENTRY'!$R8)</f>
        <v/>
      </c>
      <c r="G8" s="18">
        <f>IF('1. MASTER_ENTRY'!$C8="","",'1. MASTER_ENTRY'!$Q8)</f>
        <v/>
      </c>
    </row>
    <row r="9" ht="16" customHeight="1">
      <c r="A9" s="20">
        <f>IF('1. MASTER_ENTRY'!$C9="","",'1. MASTER_ENTRY'!$A9)</f>
        <v/>
      </c>
      <c r="B9" s="22">
        <f>IF('1. MASTER_ENTRY'!$C9="","",'1. MASTER_ENTRY'!$B9)</f>
        <v/>
      </c>
      <c r="C9" s="21">
        <f>IF('1. MASTER_ENTRY'!$C9="","","Apply "&amp;'1. MASTER_ENTRY'!$L9&amp;" to: "&amp;'1. MASTER_ENTRY'!$C9)</f>
        <v/>
      </c>
      <c r="D9" s="20">
        <f>IF('1. MASTER_ENTRY'!$C9="","",'1. MASTER_ENTRY'!$M9)</f>
        <v/>
      </c>
      <c r="E9" s="21">
        <f>IF('1. MASTER_ENTRY'!$C9="","",'1. MASTER_ENTRY'!$N9)</f>
        <v/>
      </c>
      <c r="F9" s="20">
        <f>IF('1. MASTER_ENTRY'!$C9="","",'1. MASTER_ENTRY'!$R9)</f>
        <v/>
      </c>
      <c r="G9" s="22">
        <f>IF('1. MASTER_ENTRY'!$C9="","",'1. MASTER_ENTRY'!$Q9)</f>
        <v/>
      </c>
    </row>
    <row r="10" ht="16" customHeight="1">
      <c r="A10" s="16">
        <f>IF('1. MASTER_ENTRY'!$C10="","",'1. MASTER_ENTRY'!$A10)</f>
        <v/>
      </c>
      <c r="B10" s="18">
        <f>IF('1. MASTER_ENTRY'!$C10="","",'1. MASTER_ENTRY'!$B10)</f>
        <v/>
      </c>
      <c r="C10" s="17">
        <f>IF('1. MASTER_ENTRY'!$C10="","","Apply "&amp;'1. MASTER_ENTRY'!$L10&amp;" to: "&amp;'1. MASTER_ENTRY'!$C10)</f>
        <v/>
      </c>
      <c r="D10" s="16">
        <f>IF('1. MASTER_ENTRY'!$C10="","",'1. MASTER_ENTRY'!$M10)</f>
        <v/>
      </c>
      <c r="E10" s="17">
        <f>IF('1. MASTER_ENTRY'!$C10="","",'1. MASTER_ENTRY'!$N10)</f>
        <v/>
      </c>
      <c r="F10" s="16">
        <f>IF('1. MASTER_ENTRY'!$C10="","",'1. MASTER_ENTRY'!$R10)</f>
        <v/>
      </c>
      <c r="G10" s="18">
        <f>IF('1. MASTER_ENTRY'!$C10="","",'1. MASTER_ENTRY'!$Q10)</f>
        <v/>
      </c>
    </row>
    <row r="11" ht="16" customHeight="1">
      <c r="A11" s="20">
        <f>IF('1. MASTER_ENTRY'!$C11="","",'1. MASTER_ENTRY'!$A11)</f>
        <v/>
      </c>
      <c r="B11" s="22">
        <f>IF('1. MASTER_ENTRY'!$C11="","",'1. MASTER_ENTRY'!$B11)</f>
        <v/>
      </c>
      <c r="C11" s="21">
        <f>IF('1. MASTER_ENTRY'!$C11="","","Apply "&amp;'1. MASTER_ENTRY'!$L11&amp;" to: "&amp;'1. MASTER_ENTRY'!$C11)</f>
        <v/>
      </c>
      <c r="D11" s="20">
        <f>IF('1. MASTER_ENTRY'!$C11="","",'1. MASTER_ENTRY'!$M11)</f>
        <v/>
      </c>
      <c r="E11" s="21">
        <f>IF('1. MASTER_ENTRY'!$C11="","",'1. MASTER_ENTRY'!$N11)</f>
        <v/>
      </c>
      <c r="F11" s="20">
        <f>IF('1. MASTER_ENTRY'!$C11="","",'1. MASTER_ENTRY'!$R11)</f>
        <v/>
      </c>
      <c r="G11" s="22">
        <f>IF('1. MASTER_ENTRY'!$C11="","",'1. MASTER_ENTRY'!$Q11)</f>
        <v/>
      </c>
    </row>
    <row r="12" ht="16" customHeight="1">
      <c r="A12" s="16">
        <f>IF('1. MASTER_ENTRY'!$C12="","",'1. MASTER_ENTRY'!$A12)</f>
        <v/>
      </c>
      <c r="B12" s="18">
        <f>IF('1. MASTER_ENTRY'!$C12="","",'1. MASTER_ENTRY'!$B12)</f>
        <v/>
      </c>
      <c r="C12" s="17">
        <f>IF('1. MASTER_ENTRY'!$C12="","","Apply "&amp;'1. MASTER_ENTRY'!$L12&amp;" to: "&amp;'1. MASTER_ENTRY'!$C12)</f>
        <v/>
      </c>
      <c r="D12" s="16">
        <f>IF('1. MASTER_ENTRY'!$C12="","",'1. MASTER_ENTRY'!$M12)</f>
        <v/>
      </c>
      <c r="E12" s="17">
        <f>IF('1. MASTER_ENTRY'!$C12="","",'1. MASTER_ENTRY'!$N12)</f>
        <v/>
      </c>
      <c r="F12" s="16">
        <f>IF('1. MASTER_ENTRY'!$C12="","",'1. MASTER_ENTRY'!$R12)</f>
        <v/>
      </c>
      <c r="G12" s="18">
        <f>IF('1. MASTER_ENTRY'!$C12="","",'1. MASTER_ENTRY'!$Q12)</f>
        <v/>
      </c>
    </row>
    <row r="13" ht="16" customHeight="1">
      <c r="A13" s="20">
        <f>IF('1. MASTER_ENTRY'!$C13="","",'1. MASTER_ENTRY'!$A13)</f>
        <v/>
      </c>
      <c r="B13" s="22">
        <f>IF('1. MASTER_ENTRY'!$C13="","",'1. MASTER_ENTRY'!$B13)</f>
        <v/>
      </c>
      <c r="C13" s="21">
        <f>IF('1. MASTER_ENTRY'!$C13="","","Apply "&amp;'1. MASTER_ENTRY'!$L13&amp;" to: "&amp;'1. MASTER_ENTRY'!$C13)</f>
        <v/>
      </c>
      <c r="D13" s="20">
        <f>IF('1. MASTER_ENTRY'!$C13="","",'1. MASTER_ENTRY'!$M13)</f>
        <v/>
      </c>
      <c r="E13" s="21">
        <f>IF('1. MASTER_ENTRY'!$C13="","",'1. MASTER_ENTRY'!$N13)</f>
        <v/>
      </c>
      <c r="F13" s="20">
        <f>IF('1. MASTER_ENTRY'!$C13="","",'1. MASTER_ENTRY'!$R13)</f>
        <v/>
      </c>
      <c r="G13" s="22">
        <f>IF('1. MASTER_ENTRY'!$C13="","",'1. MASTER_ENTRY'!$Q13)</f>
        <v/>
      </c>
    </row>
    <row r="14" ht="16" customHeight="1">
      <c r="A14" s="16">
        <f>IF('1. MASTER_ENTRY'!$C14="","",'1. MASTER_ENTRY'!$A14)</f>
        <v/>
      </c>
      <c r="B14" s="18">
        <f>IF('1. MASTER_ENTRY'!$C14="","",'1. MASTER_ENTRY'!$B14)</f>
        <v/>
      </c>
      <c r="C14" s="17">
        <f>IF('1. MASTER_ENTRY'!$C14="","","Apply "&amp;'1. MASTER_ENTRY'!$L14&amp;" to: "&amp;'1. MASTER_ENTRY'!$C14)</f>
        <v/>
      </c>
      <c r="D14" s="16">
        <f>IF('1. MASTER_ENTRY'!$C14="","",'1. MASTER_ENTRY'!$M14)</f>
        <v/>
      </c>
      <c r="E14" s="17">
        <f>IF('1. MASTER_ENTRY'!$C14="","",'1. MASTER_ENTRY'!$N14)</f>
        <v/>
      </c>
      <c r="F14" s="16">
        <f>IF('1. MASTER_ENTRY'!$C14="","",'1. MASTER_ENTRY'!$R14)</f>
        <v/>
      </c>
      <c r="G14" s="18">
        <f>IF('1. MASTER_ENTRY'!$C14="","",'1. MASTER_ENTRY'!$Q14)</f>
        <v/>
      </c>
    </row>
    <row r="15" ht="16" customHeight="1">
      <c r="A15" s="20">
        <f>IF('1. MASTER_ENTRY'!$C15="","",'1. MASTER_ENTRY'!$A15)</f>
        <v/>
      </c>
      <c r="B15" s="22">
        <f>IF('1. MASTER_ENTRY'!$C15="","",'1. MASTER_ENTRY'!$B15)</f>
        <v/>
      </c>
      <c r="C15" s="21">
        <f>IF('1. MASTER_ENTRY'!$C15="","","Apply "&amp;'1. MASTER_ENTRY'!$L15&amp;" to: "&amp;'1. MASTER_ENTRY'!$C15)</f>
        <v/>
      </c>
      <c r="D15" s="20">
        <f>IF('1. MASTER_ENTRY'!$C15="","",'1. MASTER_ENTRY'!$M15)</f>
        <v/>
      </c>
      <c r="E15" s="21">
        <f>IF('1. MASTER_ENTRY'!$C15="","",'1. MASTER_ENTRY'!$N15)</f>
        <v/>
      </c>
      <c r="F15" s="20">
        <f>IF('1. MASTER_ENTRY'!$C15="","",'1. MASTER_ENTRY'!$R15)</f>
        <v/>
      </c>
      <c r="G15" s="22">
        <f>IF('1. MASTER_ENTRY'!$C15="","",'1. MASTER_ENTRY'!$Q15)</f>
        <v/>
      </c>
    </row>
    <row r="16" ht="16" customHeight="1">
      <c r="A16" s="16">
        <f>IF('1. MASTER_ENTRY'!$C16="","",'1. MASTER_ENTRY'!$A16)</f>
        <v/>
      </c>
      <c r="B16" s="18">
        <f>IF('1. MASTER_ENTRY'!$C16="","",'1. MASTER_ENTRY'!$B16)</f>
        <v/>
      </c>
      <c r="C16" s="17">
        <f>IF('1. MASTER_ENTRY'!$C16="","","Apply "&amp;'1. MASTER_ENTRY'!$L16&amp;" to: "&amp;'1. MASTER_ENTRY'!$C16)</f>
        <v/>
      </c>
      <c r="D16" s="16">
        <f>IF('1. MASTER_ENTRY'!$C16="","",'1. MASTER_ENTRY'!$M16)</f>
        <v/>
      </c>
      <c r="E16" s="17">
        <f>IF('1. MASTER_ENTRY'!$C16="","",'1. MASTER_ENTRY'!$N16)</f>
        <v/>
      </c>
      <c r="F16" s="16">
        <f>IF('1. MASTER_ENTRY'!$C16="","",'1. MASTER_ENTRY'!$R16)</f>
        <v/>
      </c>
      <c r="G16" s="18">
        <f>IF('1. MASTER_ENTRY'!$C16="","",'1. MASTER_ENTRY'!$Q16)</f>
        <v/>
      </c>
    </row>
    <row r="17" ht="16" customHeight="1">
      <c r="A17" s="20">
        <f>IF('1. MASTER_ENTRY'!$C17="","",'1. MASTER_ENTRY'!$A17)</f>
        <v/>
      </c>
      <c r="B17" s="22">
        <f>IF('1. MASTER_ENTRY'!$C17="","",'1. MASTER_ENTRY'!$B17)</f>
        <v/>
      </c>
      <c r="C17" s="21">
        <f>IF('1. MASTER_ENTRY'!$C17="","","Apply "&amp;'1. MASTER_ENTRY'!$L17&amp;" to: "&amp;'1. MASTER_ENTRY'!$C17)</f>
        <v/>
      </c>
      <c r="D17" s="20">
        <f>IF('1. MASTER_ENTRY'!$C17="","",'1. MASTER_ENTRY'!$M17)</f>
        <v/>
      </c>
      <c r="E17" s="21">
        <f>IF('1. MASTER_ENTRY'!$C17="","",'1. MASTER_ENTRY'!$N17)</f>
        <v/>
      </c>
      <c r="F17" s="20">
        <f>IF('1. MASTER_ENTRY'!$C17="","",'1. MASTER_ENTRY'!$R17)</f>
        <v/>
      </c>
      <c r="G17" s="22">
        <f>IF('1. MASTER_ENTRY'!$C17="","",'1. MASTER_ENTRY'!$Q17)</f>
        <v/>
      </c>
    </row>
    <row r="18" ht="16" customHeight="1">
      <c r="A18" s="16">
        <f>IF('1. MASTER_ENTRY'!$C18="","",'1. MASTER_ENTRY'!$A18)</f>
        <v/>
      </c>
      <c r="B18" s="18">
        <f>IF('1. MASTER_ENTRY'!$C18="","",'1. MASTER_ENTRY'!$B18)</f>
        <v/>
      </c>
      <c r="C18" s="17">
        <f>IF('1. MASTER_ENTRY'!$C18="","","Apply "&amp;'1. MASTER_ENTRY'!$L18&amp;" to: "&amp;'1. MASTER_ENTRY'!$C18)</f>
        <v/>
      </c>
      <c r="D18" s="16">
        <f>IF('1. MASTER_ENTRY'!$C18="","",'1. MASTER_ENTRY'!$M18)</f>
        <v/>
      </c>
      <c r="E18" s="17">
        <f>IF('1. MASTER_ENTRY'!$C18="","",'1. MASTER_ENTRY'!$N18)</f>
        <v/>
      </c>
      <c r="F18" s="16">
        <f>IF('1. MASTER_ENTRY'!$C18="","",'1. MASTER_ENTRY'!$R18)</f>
        <v/>
      </c>
      <c r="G18" s="18">
        <f>IF('1. MASTER_ENTRY'!$C18="","",'1. MASTER_ENTRY'!$Q18)</f>
        <v/>
      </c>
    </row>
    <row r="19" ht="16" customHeight="1">
      <c r="A19" s="20">
        <f>IF('1. MASTER_ENTRY'!$C19="","",'1. MASTER_ENTRY'!$A19)</f>
        <v/>
      </c>
      <c r="B19" s="22">
        <f>IF('1. MASTER_ENTRY'!$C19="","",'1. MASTER_ENTRY'!$B19)</f>
        <v/>
      </c>
      <c r="C19" s="21">
        <f>IF('1. MASTER_ENTRY'!$C19="","","Apply "&amp;'1. MASTER_ENTRY'!$L19&amp;" to: "&amp;'1. MASTER_ENTRY'!$C19)</f>
        <v/>
      </c>
      <c r="D19" s="20">
        <f>IF('1. MASTER_ENTRY'!$C19="","",'1. MASTER_ENTRY'!$M19)</f>
        <v/>
      </c>
      <c r="E19" s="21">
        <f>IF('1. MASTER_ENTRY'!$C19="","",'1. MASTER_ENTRY'!$N19)</f>
        <v/>
      </c>
      <c r="F19" s="20">
        <f>IF('1. MASTER_ENTRY'!$C19="","",'1. MASTER_ENTRY'!$R19)</f>
        <v/>
      </c>
      <c r="G19" s="22">
        <f>IF('1. MASTER_ENTRY'!$C19="","",'1. MASTER_ENTRY'!$Q19)</f>
        <v/>
      </c>
    </row>
    <row r="20" ht="16" customHeight="1">
      <c r="A20" s="16">
        <f>IF('1. MASTER_ENTRY'!$C20="","",'1. MASTER_ENTRY'!$A20)</f>
        <v/>
      </c>
      <c r="B20" s="18">
        <f>IF('1. MASTER_ENTRY'!$C20="","",'1. MASTER_ENTRY'!$B20)</f>
        <v/>
      </c>
      <c r="C20" s="17">
        <f>IF('1. MASTER_ENTRY'!$C20="","","Apply "&amp;'1. MASTER_ENTRY'!$L20&amp;" to: "&amp;'1. MASTER_ENTRY'!$C20)</f>
        <v/>
      </c>
      <c r="D20" s="16">
        <f>IF('1. MASTER_ENTRY'!$C20="","",'1. MASTER_ENTRY'!$M20)</f>
        <v/>
      </c>
      <c r="E20" s="17">
        <f>IF('1. MASTER_ENTRY'!$C20="","",'1. MASTER_ENTRY'!$N20)</f>
        <v/>
      </c>
      <c r="F20" s="16">
        <f>IF('1. MASTER_ENTRY'!$C20="","",'1. MASTER_ENTRY'!$R20)</f>
        <v/>
      </c>
      <c r="G20" s="18">
        <f>IF('1. MASTER_ENTRY'!$C20="","",'1. MASTER_ENTRY'!$Q20)</f>
        <v/>
      </c>
    </row>
    <row r="21" ht="16" customHeight="1">
      <c r="A21" s="20">
        <f>IF('1. MASTER_ENTRY'!$C21="","",'1. MASTER_ENTRY'!$A21)</f>
        <v/>
      </c>
      <c r="B21" s="22">
        <f>IF('1. MASTER_ENTRY'!$C21="","",'1. MASTER_ENTRY'!$B21)</f>
        <v/>
      </c>
      <c r="C21" s="21">
        <f>IF('1. MASTER_ENTRY'!$C21="","","Apply "&amp;'1. MASTER_ENTRY'!$L21&amp;" to: "&amp;'1. MASTER_ENTRY'!$C21)</f>
        <v/>
      </c>
      <c r="D21" s="20">
        <f>IF('1. MASTER_ENTRY'!$C21="","",'1. MASTER_ENTRY'!$M21)</f>
        <v/>
      </c>
      <c r="E21" s="21">
        <f>IF('1. MASTER_ENTRY'!$C21="","",'1. MASTER_ENTRY'!$N21)</f>
        <v/>
      </c>
      <c r="F21" s="20">
        <f>IF('1. MASTER_ENTRY'!$C21="","",'1. MASTER_ENTRY'!$R21)</f>
        <v/>
      </c>
      <c r="G21" s="22">
        <f>IF('1. MASTER_ENTRY'!$C21="","",'1. MASTER_ENTRY'!$Q21)</f>
        <v/>
      </c>
    </row>
    <row r="22" ht="16" customHeight="1">
      <c r="A22" s="16">
        <f>IF('1. MASTER_ENTRY'!$C22="","",'1. MASTER_ENTRY'!$A22)</f>
        <v/>
      </c>
      <c r="B22" s="18">
        <f>IF('1. MASTER_ENTRY'!$C22="","",'1. MASTER_ENTRY'!$B22)</f>
        <v/>
      </c>
      <c r="C22" s="17">
        <f>IF('1. MASTER_ENTRY'!$C22="","","Apply "&amp;'1. MASTER_ENTRY'!$L22&amp;" to: "&amp;'1. MASTER_ENTRY'!$C22)</f>
        <v/>
      </c>
      <c r="D22" s="16">
        <f>IF('1. MASTER_ENTRY'!$C22="","",'1. MASTER_ENTRY'!$M22)</f>
        <v/>
      </c>
      <c r="E22" s="17">
        <f>IF('1. MASTER_ENTRY'!$C22="","",'1. MASTER_ENTRY'!$N22)</f>
        <v/>
      </c>
      <c r="F22" s="16">
        <f>IF('1. MASTER_ENTRY'!$C22="","",'1. MASTER_ENTRY'!$R22)</f>
        <v/>
      </c>
      <c r="G22" s="18">
        <f>IF('1. MASTER_ENTRY'!$C22="","",'1. MASTER_ENTRY'!$Q22)</f>
        <v/>
      </c>
    </row>
    <row r="23" ht="16" customHeight="1">
      <c r="A23" s="20">
        <f>IF('1. MASTER_ENTRY'!$C23="","",'1. MASTER_ENTRY'!$A23)</f>
        <v/>
      </c>
      <c r="B23" s="22">
        <f>IF('1. MASTER_ENTRY'!$C23="","",'1. MASTER_ENTRY'!$B23)</f>
        <v/>
      </c>
      <c r="C23" s="21">
        <f>IF('1. MASTER_ENTRY'!$C23="","","Apply "&amp;'1. MASTER_ENTRY'!$L23&amp;" to: "&amp;'1. MASTER_ENTRY'!$C23)</f>
        <v/>
      </c>
      <c r="D23" s="20">
        <f>IF('1. MASTER_ENTRY'!$C23="","",'1. MASTER_ENTRY'!$M23)</f>
        <v/>
      </c>
      <c r="E23" s="21">
        <f>IF('1. MASTER_ENTRY'!$C23="","",'1. MASTER_ENTRY'!$N23)</f>
        <v/>
      </c>
      <c r="F23" s="20">
        <f>IF('1. MASTER_ENTRY'!$C23="","",'1. MASTER_ENTRY'!$R23)</f>
        <v/>
      </c>
      <c r="G23" s="22">
        <f>IF('1. MASTER_ENTRY'!$C23="","",'1. MASTER_ENTRY'!$Q23)</f>
        <v/>
      </c>
    </row>
    <row r="24" ht="16" customHeight="1">
      <c r="A24" s="16">
        <f>IF('1. MASTER_ENTRY'!$C24="","",'1. MASTER_ENTRY'!$A24)</f>
        <v/>
      </c>
      <c r="B24" s="18">
        <f>IF('1. MASTER_ENTRY'!$C24="","",'1. MASTER_ENTRY'!$B24)</f>
        <v/>
      </c>
      <c r="C24" s="17">
        <f>IF('1. MASTER_ENTRY'!$C24="","","Apply "&amp;'1. MASTER_ENTRY'!$L24&amp;" to: "&amp;'1. MASTER_ENTRY'!$C24)</f>
        <v/>
      </c>
      <c r="D24" s="16">
        <f>IF('1. MASTER_ENTRY'!$C24="","",'1. MASTER_ENTRY'!$M24)</f>
        <v/>
      </c>
      <c r="E24" s="17">
        <f>IF('1. MASTER_ENTRY'!$C24="","",'1. MASTER_ENTRY'!$N24)</f>
        <v/>
      </c>
      <c r="F24" s="16">
        <f>IF('1. MASTER_ENTRY'!$C24="","",'1. MASTER_ENTRY'!$R24)</f>
        <v/>
      </c>
      <c r="G24" s="18">
        <f>IF('1. MASTER_ENTRY'!$C24="","",'1. MASTER_ENTRY'!$Q24)</f>
        <v/>
      </c>
    </row>
    <row r="25" ht="16" customHeight="1">
      <c r="A25" s="20">
        <f>IF('1. MASTER_ENTRY'!$C25="","",'1. MASTER_ENTRY'!$A25)</f>
        <v/>
      </c>
      <c r="B25" s="22">
        <f>IF('1. MASTER_ENTRY'!$C25="","",'1. MASTER_ENTRY'!$B25)</f>
        <v/>
      </c>
      <c r="C25" s="21">
        <f>IF('1. MASTER_ENTRY'!$C25="","","Apply "&amp;'1. MASTER_ENTRY'!$L25&amp;" to: "&amp;'1. MASTER_ENTRY'!$C25)</f>
        <v/>
      </c>
      <c r="D25" s="20">
        <f>IF('1. MASTER_ENTRY'!$C25="","",'1. MASTER_ENTRY'!$M25)</f>
        <v/>
      </c>
      <c r="E25" s="21">
        <f>IF('1. MASTER_ENTRY'!$C25="","",'1. MASTER_ENTRY'!$N25)</f>
        <v/>
      </c>
      <c r="F25" s="20">
        <f>IF('1. MASTER_ENTRY'!$C25="","",'1. MASTER_ENTRY'!$R25)</f>
        <v/>
      </c>
      <c r="G25" s="22">
        <f>IF('1. MASTER_ENTRY'!$C25="","",'1. MASTER_ENTRY'!$Q25)</f>
        <v/>
      </c>
    </row>
    <row r="26" ht="16" customHeight="1">
      <c r="A26" s="16">
        <f>IF('1. MASTER_ENTRY'!$C26="","",'1. MASTER_ENTRY'!$A26)</f>
        <v/>
      </c>
      <c r="B26" s="18">
        <f>IF('1. MASTER_ENTRY'!$C26="","",'1. MASTER_ENTRY'!$B26)</f>
        <v/>
      </c>
      <c r="C26" s="17">
        <f>IF('1. MASTER_ENTRY'!$C26="","","Apply "&amp;'1. MASTER_ENTRY'!$L26&amp;" to: "&amp;'1. MASTER_ENTRY'!$C26)</f>
        <v/>
      </c>
      <c r="D26" s="16">
        <f>IF('1. MASTER_ENTRY'!$C26="","",'1. MASTER_ENTRY'!$M26)</f>
        <v/>
      </c>
      <c r="E26" s="17">
        <f>IF('1. MASTER_ENTRY'!$C26="","",'1. MASTER_ENTRY'!$N26)</f>
        <v/>
      </c>
      <c r="F26" s="16">
        <f>IF('1. MASTER_ENTRY'!$C26="","",'1. MASTER_ENTRY'!$R26)</f>
        <v/>
      </c>
      <c r="G26" s="18">
        <f>IF('1. MASTER_ENTRY'!$C26="","",'1. MASTER_ENTRY'!$Q26)</f>
        <v/>
      </c>
    </row>
    <row r="27" ht="16" customHeight="1">
      <c r="A27" s="20">
        <f>IF('1. MASTER_ENTRY'!$C27="","",'1. MASTER_ENTRY'!$A27)</f>
        <v/>
      </c>
      <c r="B27" s="22">
        <f>IF('1. MASTER_ENTRY'!$C27="","",'1. MASTER_ENTRY'!$B27)</f>
        <v/>
      </c>
      <c r="C27" s="21">
        <f>IF('1. MASTER_ENTRY'!$C27="","","Apply "&amp;'1. MASTER_ENTRY'!$L27&amp;" to: "&amp;'1. MASTER_ENTRY'!$C27)</f>
        <v/>
      </c>
      <c r="D27" s="20">
        <f>IF('1. MASTER_ENTRY'!$C27="","",'1. MASTER_ENTRY'!$M27)</f>
        <v/>
      </c>
      <c r="E27" s="21">
        <f>IF('1. MASTER_ENTRY'!$C27="","",'1. MASTER_ENTRY'!$N27)</f>
        <v/>
      </c>
      <c r="F27" s="20">
        <f>IF('1. MASTER_ENTRY'!$C27="","",'1. MASTER_ENTRY'!$R27)</f>
        <v/>
      </c>
      <c r="G27" s="22">
        <f>IF('1. MASTER_ENTRY'!$C27="","",'1. MASTER_ENTRY'!$Q27)</f>
        <v/>
      </c>
    </row>
    <row r="28" ht="16" customHeight="1">
      <c r="A28" s="16">
        <f>IF('1. MASTER_ENTRY'!$C28="","",'1. MASTER_ENTRY'!$A28)</f>
        <v/>
      </c>
      <c r="B28" s="18">
        <f>IF('1. MASTER_ENTRY'!$C28="","",'1. MASTER_ENTRY'!$B28)</f>
        <v/>
      </c>
      <c r="C28" s="17">
        <f>IF('1. MASTER_ENTRY'!$C28="","","Apply "&amp;'1. MASTER_ENTRY'!$L28&amp;" to: "&amp;'1. MASTER_ENTRY'!$C28)</f>
        <v/>
      </c>
      <c r="D28" s="16">
        <f>IF('1. MASTER_ENTRY'!$C28="","",'1. MASTER_ENTRY'!$M28)</f>
        <v/>
      </c>
      <c r="E28" s="17">
        <f>IF('1. MASTER_ENTRY'!$C28="","",'1. MASTER_ENTRY'!$N28)</f>
        <v/>
      </c>
      <c r="F28" s="16">
        <f>IF('1. MASTER_ENTRY'!$C28="","",'1. MASTER_ENTRY'!$R28)</f>
        <v/>
      </c>
      <c r="G28" s="18">
        <f>IF('1. MASTER_ENTRY'!$C28="","",'1. MASTER_ENTRY'!$Q28)</f>
        <v/>
      </c>
    </row>
    <row r="29" ht="16" customHeight="1">
      <c r="A29" s="20">
        <f>IF('1. MASTER_ENTRY'!$C29="","",'1. MASTER_ENTRY'!$A29)</f>
        <v/>
      </c>
      <c r="B29" s="22">
        <f>IF('1. MASTER_ENTRY'!$C29="","",'1. MASTER_ENTRY'!$B29)</f>
        <v/>
      </c>
      <c r="C29" s="21">
        <f>IF('1. MASTER_ENTRY'!$C29="","","Apply "&amp;'1. MASTER_ENTRY'!$L29&amp;" to: "&amp;'1. MASTER_ENTRY'!$C29)</f>
        <v/>
      </c>
      <c r="D29" s="20">
        <f>IF('1. MASTER_ENTRY'!$C29="","",'1. MASTER_ENTRY'!$M29)</f>
        <v/>
      </c>
      <c r="E29" s="21">
        <f>IF('1. MASTER_ENTRY'!$C29="","",'1. MASTER_ENTRY'!$N29)</f>
        <v/>
      </c>
      <c r="F29" s="20">
        <f>IF('1. MASTER_ENTRY'!$C29="","",'1. MASTER_ENTRY'!$R29)</f>
        <v/>
      </c>
      <c r="G29" s="22">
        <f>IF('1. MASTER_ENTRY'!$C29="","",'1. MASTER_ENTRY'!$Q29)</f>
        <v/>
      </c>
    </row>
    <row r="30" ht="16" customHeight="1">
      <c r="A30" s="16">
        <f>IF('1. MASTER_ENTRY'!$C30="","",'1. MASTER_ENTRY'!$A30)</f>
        <v/>
      </c>
      <c r="B30" s="18">
        <f>IF('1. MASTER_ENTRY'!$C30="","",'1. MASTER_ENTRY'!$B30)</f>
        <v/>
      </c>
      <c r="C30" s="17">
        <f>IF('1. MASTER_ENTRY'!$C30="","","Apply "&amp;'1. MASTER_ENTRY'!$L30&amp;" to: "&amp;'1. MASTER_ENTRY'!$C30)</f>
        <v/>
      </c>
      <c r="D30" s="16">
        <f>IF('1. MASTER_ENTRY'!$C30="","",'1. MASTER_ENTRY'!$M30)</f>
        <v/>
      </c>
      <c r="E30" s="17">
        <f>IF('1. MASTER_ENTRY'!$C30="","",'1. MASTER_ENTRY'!$N30)</f>
        <v/>
      </c>
      <c r="F30" s="16">
        <f>IF('1. MASTER_ENTRY'!$C30="","",'1. MASTER_ENTRY'!$R30)</f>
        <v/>
      </c>
      <c r="G30" s="18">
        <f>IF('1. MASTER_ENTRY'!$C30="","",'1. MASTER_ENTRY'!$Q30)</f>
        <v/>
      </c>
    </row>
    <row r="31" ht="16" customHeight="1">
      <c r="A31" s="20">
        <f>IF('1. MASTER_ENTRY'!$C31="","",'1. MASTER_ENTRY'!$A31)</f>
        <v/>
      </c>
      <c r="B31" s="22">
        <f>IF('1. MASTER_ENTRY'!$C31="","",'1. MASTER_ENTRY'!$B31)</f>
        <v/>
      </c>
      <c r="C31" s="21">
        <f>IF('1. MASTER_ENTRY'!$C31="","","Apply "&amp;'1. MASTER_ENTRY'!$L31&amp;" to: "&amp;'1. MASTER_ENTRY'!$C31)</f>
        <v/>
      </c>
      <c r="D31" s="20">
        <f>IF('1. MASTER_ENTRY'!$C31="","",'1. MASTER_ENTRY'!$M31)</f>
        <v/>
      </c>
      <c r="E31" s="21">
        <f>IF('1. MASTER_ENTRY'!$C31="","",'1. MASTER_ENTRY'!$N31)</f>
        <v/>
      </c>
      <c r="F31" s="20">
        <f>IF('1. MASTER_ENTRY'!$C31="","",'1. MASTER_ENTRY'!$R31)</f>
        <v/>
      </c>
      <c r="G31" s="22">
        <f>IF('1. MASTER_ENTRY'!$C31="","",'1. MASTER_ENTRY'!$Q31)</f>
        <v/>
      </c>
    </row>
    <row r="32" ht="16" customHeight="1">
      <c r="A32" s="16">
        <f>IF('1. MASTER_ENTRY'!$C32="","",'1. MASTER_ENTRY'!$A32)</f>
        <v/>
      </c>
      <c r="B32" s="18">
        <f>IF('1. MASTER_ENTRY'!$C32="","",'1. MASTER_ENTRY'!$B32)</f>
        <v/>
      </c>
      <c r="C32" s="17">
        <f>IF('1. MASTER_ENTRY'!$C32="","","Apply "&amp;'1. MASTER_ENTRY'!$L32&amp;" to: "&amp;'1. MASTER_ENTRY'!$C32)</f>
        <v/>
      </c>
      <c r="D32" s="16">
        <f>IF('1. MASTER_ENTRY'!$C32="","",'1. MASTER_ENTRY'!$M32)</f>
        <v/>
      </c>
      <c r="E32" s="17">
        <f>IF('1. MASTER_ENTRY'!$C32="","",'1. MASTER_ENTRY'!$N32)</f>
        <v/>
      </c>
      <c r="F32" s="16">
        <f>IF('1. MASTER_ENTRY'!$C32="","",'1. MASTER_ENTRY'!$R32)</f>
        <v/>
      </c>
      <c r="G32" s="18">
        <f>IF('1. MASTER_ENTRY'!$C32="","",'1. MASTER_ENTRY'!$Q32)</f>
        <v/>
      </c>
    </row>
    <row r="33" ht="16" customHeight="1">
      <c r="A33" s="20">
        <f>IF('1. MASTER_ENTRY'!$C33="","",'1. MASTER_ENTRY'!$A33)</f>
        <v/>
      </c>
      <c r="B33" s="22">
        <f>IF('1. MASTER_ENTRY'!$C33="","",'1. MASTER_ENTRY'!$B33)</f>
        <v/>
      </c>
      <c r="C33" s="21">
        <f>IF('1. MASTER_ENTRY'!$C33="","","Apply "&amp;'1. MASTER_ENTRY'!$L33&amp;" to: "&amp;'1. MASTER_ENTRY'!$C33)</f>
        <v/>
      </c>
      <c r="D33" s="20">
        <f>IF('1. MASTER_ENTRY'!$C33="","",'1. MASTER_ENTRY'!$M33)</f>
        <v/>
      </c>
      <c r="E33" s="21">
        <f>IF('1. MASTER_ENTRY'!$C33="","",'1. MASTER_ENTRY'!$N33)</f>
        <v/>
      </c>
      <c r="F33" s="20">
        <f>IF('1. MASTER_ENTRY'!$C33="","",'1. MASTER_ENTRY'!$R33)</f>
        <v/>
      </c>
      <c r="G33" s="22">
        <f>IF('1. MASTER_ENTRY'!$C33="","",'1. MASTER_ENTRY'!$Q33)</f>
        <v/>
      </c>
    </row>
    <row r="34" ht="16" customHeight="1">
      <c r="A34" s="16">
        <f>IF('1. MASTER_ENTRY'!$C34="","",'1. MASTER_ENTRY'!$A34)</f>
        <v/>
      </c>
      <c r="B34" s="18">
        <f>IF('1. MASTER_ENTRY'!$C34="","",'1. MASTER_ENTRY'!$B34)</f>
        <v/>
      </c>
      <c r="C34" s="17">
        <f>IF('1. MASTER_ENTRY'!$C34="","","Apply "&amp;'1. MASTER_ENTRY'!$L34&amp;" to: "&amp;'1. MASTER_ENTRY'!$C34)</f>
        <v/>
      </c>
      <c r="D34" s="16">
        <f>IF('1. MASTER_ENTRY'!$C34="","",'1. MASTER_ENTRY'!$M34)</f>
        <v/>
      </c>
      <c r="E34" s="17">
        <f>IF('1. MASTER_ENTRY'!$C34="","",'1. MASTER_ENTRY'!$N34)</f>
        <v/>
      </c>
      <c r="F34" s="16">
        <f>IF('1. MASTER_ENTRY'!$C34="","",'1. MASTER_ENTRY'!$R34)</f>
        <v/>
      </c>
      <c r="G34" s="18">
        <f>IF('1. MASTER_ENTRY'!$C34="","",'1. MASTER_ENTRY'!$Q34)</f>
        <v/>
      </c>
    </row>
    <row r="35" ht="16" customHeight="1">
      <c r="A35" s="20">
        <f>IF('1. MASTER_ENTRY'!$C35="","",'1. MASTER_ENTRY'!$A35)</f>
        <v/>
      </c>
      <c r="B35" s="22">
        <f>IF('1. MASTER_ENTRY'!$C35="","",'1. MASTER_ENTRY'!$B35)</f>
        <v/>
      </c>
      <c r="C35" s="21">
        <f>IF('1. MASTER_ENTRY'!$C35="","","Apply "&amp;'1. MASTER_ENTRY'!$L35&amp;" to: "&amp;'1. MASTER_ENTRY'!$C35)</f>
        <v/>
      </c>
      <c r="D35" s="20">
        <f>IF('1. MASTER_ENTRY'!$C35="","",'1. MASTER_ENTRY'!$M35)</f>
        <v/>
      </c>
      <c r="E35" s="21">
        <f>IF('1. MASTER_ENTRY'!$C35="","",'1. MASTER_ENTRY'!$N35)</f>
        <v/>
      </c>
      <c r="F35" s="20">
        <f>IF('1. MASTER_ENTRY'!$C35="","",'1. MASTER_ENTRY'!$R35)</f>
        <v/>
      </c>
      <c r="G35" s="22">
        <f>IF('1. MASTER_ENTRY'!$C35="","",'1. MASTER_ENTRY'!$Q35)</f>
        <v/>
      </c>
    </row>
    <row r="36" ht="16" customHeight="1">
      <c r="A36" s="16">
        <f>IF('1. MASTER_ENTRY'!$C36="","",'1. MASTER_ENTRY'!$A36)</f>
        <v/>
      </c>
      <c r="B36" s="18">
        <f>IF('1. MASTER_ENTRY'!$C36="","",'1. MASTER_ENTRY'!$B36)</f>
        <v/>
      </c>
      <c r="C36" s="17">
        <f>IF('1. MASTER_ENTRY'!$C36="","","Apply "&amp;'1. MASTER_ENTRY'!$L36&amp;" to: "&amp;'1. MASTER_ENTRY'!$C36)</f>
        <v/>
      </c>
      <c r="D36" s="16">
        <f>IF('1. MASTER_ENTRY'!$C36="","",'1. MASTER_ENTRY'!$M36)</f>
        <v/>
      </c>
      <c r="E36" s="17">
        <f>IF('1. MASTER_ENTRY'!$C36="","",'1. MASTER_ENTRY'!$N36)</f>
        <v/>
      </c>
      <c r="F36" s="16">
        <f>IF('1. MASTER_ENTRY'!$C36="","",'1. MASTER_ENTRY'!$R36)</f>
        <v/>
      </c>
      <c r="G36" s="18">
        <f>IF('1. MASTER_ENTRY'!$C36="","",'1. MASTER_ENTRY'!$Q36)</f>
        <v/>
      </c>
    </row>
    <row r="37" ht="16" customHeight="1">
      <c r="A37" s="20">
        <f>IF('1. MASTER_ENTRY'!$C37="","",'1. MASTER_ENTRY'!$A37)</f>
        <v/>
      </c>
      <c r="B37" s="22">
        <f>IF('1. MASTER_ENTRY'!$C37="","",'1. MASTER_ENTRY'!$B37)</f>
        <v/>
      </c>
      <c r="C37" s="21">
        <f>IF('1. MASTER_ENTRY'!$C37="","","Apply "&amp;'1. MASTER_ENTRY'!$L37&amp;" to: "&amp;'1. MASTER_ENTRY'!$C37)</f>
        <v/>
      </c>
      <c r="D37" s="20">
        <f>IF('1. MASTER_ENTRY'!$C37="","",'1. MASTER_ENTRY'!$M37)</f>
        <v/>
      </c>
      <c r="E37" s="21">
        <f>IF('1. MASTER_ENTRY'!$C37="","",'1. MASTER_ENTRY'!$N37)</f>
        <v/>
      </c>
      <c r="F37" s="20">
        <f>IF('1. MASTER_ENTRY'!$C37="","",'1. MASTER_ENTRY'!$R37)</f>
        <v/>
      </c>
      <c r="G37" s="22">
        <f>IF('1. MASTER_ENTRY'!$C37="","",'1. MASTER_ENTRY'!$Q37)</f>
        <v/>
      </c>
    </row>
    <row r="38" ht="16" customHeight="1">
      <c r="A38" s="16">
        <f>IF('1. MASTER_ENTRY'!$C38="","",'1. MASTER_ENTRY'!$A38)</f>
        <v/>
      </c>
      <c r="B38" s="18">
        <f>IF('1. MASTER_ENTRY'!$C38="","",'1. MASTER_ENTRY'!$B38)</f>
        <v/>
      </c>
      <c r="C38" s="17">
        <f>IF('1. MASTER_ENTRY'!$C38="","","Apply "&amp;'1. MASTER_ENTRY'!$L38&amp;" to: "&amp;'1. MASTER_ENTRY'!$C38)</f>
        <v/>
      </c>
      <c r="D38" s="16">
        <f>IF('1. MASTER_ENTRY'!$C38="","",'1. MASTER_ENTRY'!$M38)</f>
        <v/>
      </c>
      <c r="E38" s="17">
        <f>IF('1. MASTER_ENTRY'!$C38="","",'1. MASTER_ENTRY'!$N38)</f>
        <v/>
      </c>
      <c r="F38" s="16">
        <f>IF('1. MASTER_ENTRY'!$C38="","",'1. MASTER_ENTRY'!$R38)</f>
        <v/>
      </c>
      <c r="G38" s="18">
        <f>IF('1. MASTER_ENTRY'!$C38="","",'1. MASTER_ENTRY'!$Q38)</f>
        <v/>
      </c>
    </row>
    <row r="39" ht="16" customHeight="1">
      <c r="A39" s="20">
        <f>IF('1. MASTER_ENTRY'!$C39="","",'1. MASTER_ENTRY'!$A39)</f>
        <v/>
      </c>
      <c r="B39" s="22">
        <f>IF('1. MASTER_ENTRY'!$C39="","",'1. MASTER_ENTRY'!$B39)</f>
        <v/>
      </c>
      <c r="C39" s="21">
        <f>IF('1. MASTER_ENTRY'!$C39="","","Apply "&amp;'1. MASTER_ENTRY'!$L39&amp;" to: "&amp;'1. MASTER_ENTRY'!$C39)</f>
        <v/>
      </c>
      <c r="D39" s="20">
        <f>IF('1. MASTER_ENTRY'!$C39="","",'1. MASTER_ENTRY'!$M39)</f>
        <v/>
      </c>
      <c r="E39" s="21">
        <f>IF('1. MASTER_ENTRY'!$C39="","",'1. MASTER_ENTRY'!$N39)</f>
        <v/>
      </c>
      <c r="F39" s="20">
        <f>IF('1. MASTER_ENTRY'!$C39="","",'1. MASTER_ENTRY'!$R39)</f>
        <v/>
      </c>
      <c r="G39" s="22">
        <f>IF('1. MASTER_ENTRY'!$C39="","",'1. MASTER_ENTRY'!$Q39)</f>
        <v/>
      </c>
    </row>
    <row r="40" ht="16" customHeight="1">
      <c r="A40" s="16">
        <f>IF('1. MASTER_ENTRY'!$C40="","",'1. MASTER_ENTRY'!$A40)</f>
        <v/>
      </c>
      <c r="B40" s="18">
        <f>IF('1. MASTER_ENTRY'!$C40="","",'1. MASTER_ENTRY'!$B40)</f>
        <v/>
      </c>
      <c r="C40" s="17">
        <f>IF('1. MASTER_ENTRY'!$C40="","","Apply "&amp;'1. MASTER_ENTRY'!$L40&amp;" to: "&amp;'1. MASTER_ENTRY'!$C40)</f>
        <v/>
      </c>
      <c r="D40" s="16">
        <f>IF('1. MASTER_ENTRY'!$C40="","",'1. MASTER_ENTRY'!$M40)</f>
        <v/>
      </c>
      <c r="E40" s="17">
        <f>IF('1. MASTER_ENTRY'!$C40="","",'1. MASTER_ENTRY'!$N40)</f>
        <v/>
      </c>
      <c r="F40" s="16">
        <f>IF('1. MASTER_ENTRY'!$C40="","",'1. MASTER_ENTRY'!$R40)</f>
        <v/>
      </c>
      <c r="G40" s="18">
        <f>IF('1. MASTER_ENTRY'!$C40="","",'1. MASTER_ENTRY'!$Q40)</f>
        <v/>
      </c>
    </row>
    <row r="41" ht="16" customHeight="1">
      <c r="A41" s="20">
        <f>IF('1. MASTER_ENTRY'!$C41="","",'1. MASTER_ENTRY'!$A41)</f>
        <v/>
      </c>
      <c r="B41" s="22">
        <f>IF('1. MASTER_ENTRY'!$C41="","",'1. MASTER_ENTRY'!$B41)</f>
        <v/>
      </c>
      <c r="C41" s="21">
        <f>IF('1. MASTER_ENTRY'!$C41="","","Apply "&amp;'1. MASTER_ENTRY'!$L41&amp;" to: "&amp;'1. MASTER_ENTRY'!$C41)</f>
        <v/>
      </c>
      <c r="D41" s="20">
        <f>IF('1. MASTER_ENTRY'!$C41="","",'1. MASTER_ENTRY'!$M41)</f>
        <v/>
      </c>
      <c r="E41" s="21">
        <f>IF('1. MASTER_ENTRY'!$C41="","",'1. MASTER_ENTRY'!$N41)</f>
        <v/>
      </c>
      <c r="F41" s="20">
        <f>IF('1. MASTER_ENTRY'!$C41="","",'1. MASTER_ENTRY'!$R41)</f>
        <v/>
      </c>
      <c r="G41" s="22">
        <f>IF('1. MASTER_ENTRY'!$C41="","",'1. MASTER_ENTRY'!$Q41)</f>
        <v/>
      </c>
    </row>
    <row r="42" ht="16" customHeight="1">
      <c r="A42" s="16">
        <f>IF('1. MASTER_ENTRY'!$C42="","",'1. MASTER_ENTRY'!$A42)</f>
        <v/>
      </c>
      <c r="B42" s="18">
        <f>IF('1. MASTER_ENTRY'!$C42="","",'1. MASTER_ENTRY'!$B42)</f>
        <v/>
      </c>
      <c r="C42" s="17">
        <f>IF('1. MASTER_ENTRY'!$C42="","","Apply "&amp;'1. MASTER_ENTRY'!$L42&amp;" to: "&amp;'1. MASTER_ENTRY'!$C42)</f>
        <v/>
      </c>
      <c r="D42" s="16">
        <f>IF('1. MASTER_ENTRY'!$C42="","",'1. MASTER_ENTRY'!$M42)</f>
        <v/>
      </c>
      <c r="E42" s="17">
        <f>IF('1. MASTER_ENTRY'!$C42="","",'1. MASTER_ENTRY'!$N42)</f>
        <v/>
      </c>
      <c r="F42" s="16">
        <f>IF('1. MASTER_ENTRY'!$C42="","",'1. MASTER_ENTRY'!$R42)</f>
        <v/>
      </c>
      <c r="G42" s="18">
        <f>IF('1. MASTER_ENTRY'!$C42="","",'1. MASTER_ENTRY'!$Q42)</f>
        <v/>
      </c>
    </row>
    <row r="43" ht="16" customHeight="1">
      <c r="A43" s="20">
        <f>IF('1. MASTER_ENTRY'!$C43="","",'1. MASTER_ENTRY'!$A43)</f>
        <v/>
      </c>
      <c r="B43" s="22">
        <f>IF('1. MASTER_ENTRY'!$C43="","",'1. MASTER_ENTRY'!$B43)</f>
        <v/>
      </c>
      <c r="C43" s="21">
        <f>IF('1. MASTER_ENTRY'!$C43="","","Apply "&amp;'1. MASTER_ENTRY'!$L43&amp;" to: "&amp;'1. MASTER_ENTRY'!$C43)</f>
        <v/>
      </c>
      <c r="D43" s="20">
        <f>IF('1. MASTER_ENTRY'!$C43="","",'1. MASTER_ENTRY'!$M43)</f>
        <v/>
      </c>
      <c r="E43" s="21">
        <f>IF('1. MASTER_ENTRY'!$C43="","",'1. MASTER_ENTRY'!$N43)</f>
        <v/>
      </c>
      <c r="F43" s="20">
        <f>IF('1. MASTER_ENTRY'!$C43="","",'1. MASTER_ENTRY'!$R43)</f>
        <v/>
      </c>
      <c r="G43" s="22">
        <f>IF('1. MASTER_ENTRY'!$C43="","",'1. MASTER_ENTRY'!$Q43)</f>
        <v/>
      </c>
    </row>
    <row r="44" ht="16" customHeight="1">
      <c r="A44" s="16">
        <f>IF('1. MASTER_ENTRY'!$C44="","",'1. MASTER_ENTRY'!$A44)</f>
        <v/>
      </c>
      <c r="B44" s="18">
        <f>IF('1. MASTER_ENTRY'!$C44="","",'1. MASTER_ENTRY'!$B44)</f>
        <v/>
      </c>
      <c r="C44" s="17">
        <f>IF('1. MASTER_ENTRY'!$C44="","","Apply "&amp;'1. MASTER_ENTRY'!$L44&amp;" to: "&amp;'1. MASTER_ENTRY'!$C44)</f>
        <v/>
      </c>
      <c r="D44" s="16">
        <f>IF('1. MASTER_ENTRY'!$C44="","",'1. MASTER_ENTRY'!$M44)</f>
        <v/>
      </c>
      <c r="E44" s="17">
        <f>IF('1. MASTER_ENTRY'!$C44="","",'1. MASTER_ENTRY'!$N44)</f>
        <v/>
      </c>
      <c r="F44" s="16">
        <f>IF('1. MASTER_ENTRY'!$C44="","",'1. MASTER_ENTRY'!$R44)</f>
        <v/>
      </c>
      <c r="G44" s="18">
        <f>IF('1. MASTER_ENTRY'!$C44="","",'1. MASTER_ENTRY'!$Q44)</f>
        <v/>
      </c>
    </row>
    <row r="45" ht="16" customHeight="1">
      <c r="A45" s="20">
        <f>IF('1. MASTER_ENTRY'!$C45="","",'1. MASTER_ENTRY'!$A45)</f>
        <v/>
      </c>
      <c r="B45" s="22">
        <f>IF('1. MASTER_ENTRY'!$C45="","",'1. MASTER_ENTRY'!$B45)</f>
        <v/>
      </c>
      <c r="C45" s="21">
        <f>IF('1. MASTER_ENTRY'!$C45="","","Apply "&amp;'1. MASTER_ENTRY'!$L45&amp;" to: "&amp;'1. MASTER_ENTRY'!$C45)</f>
        <v/>
      </c>
      <c r="D45" s="20">
        <f>IF('1. MASTER_ENTRY'!$C45="","",'1. MASTER_ENTRY'!$M45)</f>
        <v/>
      </c>
      <c r="E45" s="21">
        <f>IF('1. MASTER_ENTRY'!$C45="","",'1. MASTER_ENTRY'!$N45)</f>
        <v/>
      </c>
      <c r="F45" s="20">
        <f>IF('1. MASTER_ENTRY'!$C45="","",'1. MASTER_ENTRY'!$R45)</f>
        <v/>
      </c>
      <c r="G45" s="22">
        <f>IF('1. MASTER_ENTRY'!$C45="","",'1. MASTER_ENTRY'!$Q45)</f>
        <v/>
      </c>
    </row>
    <row r="46" ht="16" customHeight="1">
      <c r="A46" s="16">
        <f>IF('1. MASTER_ENTRY'!$C46="","",'1. MASTER_ENTRY'!$A46)</f>
        <v/>
      </c>
      <c r="B46" s="18">
        <f>IF('1. MASTER_ENTRY'!$C46="","",'1. MASTER_ENTRY'!$B46)</f>
        <v/>
      </c>
      <c r="C46" s="17">
        <f>IF('1. MASTER_ENTRY'!$C46="","","Apply "&amp;'1. MASTER_ENTRY'!$L46&amp;" to: "&amp;'1. MASTER_ENTRY'!$C46)</f>
        <v/>
      </c>
      <c r="D46" s="16">
        <f>IF('1. MASTER_ENTRY'!$C46="","",'1. MASTER_ENTRY'!$M46)</f>
        <v/>
      </c>
      <c r="E46" s="17">
        <f>IF('1. MASTER_ENTRY'!$C46="","",'1. MASTER_ENTRY'!$N46)</f>
        <v/>
      </c>
      <c r="F46" s="16">
        <f>IF('1. MASTER_ENTRY'!$C46="","",'1. MASTER_ENTRY'!$R46)</f>
        <v/>
      </c>
      <c r="G46" s="18">
        <f>IF('1. MASTER_ENTRY'!$C46="","",'1. MASTER_ENTRY'!$Q46)</f>
        <v/>
      </c>
    </row>
    <row r="47" ht="16" customHeight="1">
      <c r="A47" s="20">
        <f>IF('1. MASTER_ENTRY'!$C47="","",'1. MASTER_ENTRY'!$A47)</f>
        <v/>
      </c>
      <c r="B47" s="22">
        <f>IF('1. MASTER_ENTRY'!$C47="","",'1. MASTER_ENTRY'!$B47)</f>
        <v/>
      </c>
      <c r="C47" s="21">
        <f>IF('1. MASTER_ENTRY'!$C47="","","Apply "&amp;'1. MASTER_ENTRY'!$L47&amp;" to: "&amp;'1. MASTER_ENTRY'!$C47)</f>
        <v/>
      </c>
      <c r="D47" s="20">
        <f>IF('1. MASTER_ENTRY'!$C47="","",'1. MASTER_ENTRY'!$M47)</f>
        <v/>
      </c>
      <c r="E47" s="21">
        <f>IF('1. MASTER_ENTRY'!$C47="","",'1. MASTER_ENTRY'!$N47)</f>
        <v/>
      </c>
      <c r="F47" s="20">
        <f>IF('1. MASTER_ENTRY'!$C47="","",'1. MASTER_ENTRY'!$R47)</f>
        <v/>
      </c>
      <c r="G47" s="22">
        <f>IF('1. MASTER_ENTRY'!$C47="","",'1. MASTER_ENTRY'!$Q47)</f>
        <v/>
      </c>
    </row>
    <row r="48" ht="16" customHeight="1">
      <c r="A48" s="16">
        <f>IF('1. MASTER_ENTRY'!$C48="","",'1. MASTER_ENTRY'!$A48)</f>
        <v/>
      </c>
      <c r="B48" s="18">
        <f>IF('1. MASTER_ENTRY'!$C48="","",'1. MASTER_ENTRY'!$B48)</f>
        <v/>
      </c>
      <c r="C48" s="17">
        <f>IF('1. MASTER_ENTRY'!$C48="","","Apply "&amp;'1. MASTER_ENTRY'!$L48&amp;" to: "&amp;'1. MASTER_ENTRY'!$C48)</f>
        <v/>
      </c>
      <c r="D48" s="16">
        <f>IF('1. MASTER_ENTRY'!$C48="","",'1. MASTER_ENTRY'!$M48)</f>
        <v/>
      </c>
      <c r="E48" s="17">
        <f>IF('1. MASTER_ENTRY'!$C48="","",'1. MASTER_ENTRY'!$N48)</f>
        <v/>
      </c>
      <c r="F48" s="16">
        <f>IF('1. MASTER_ENTRY'!$C48="","",'1. MASTER_ENTRY'!$R48)</f>
        <v/>
      </c>
      <c r="G48" s="18">
        <f>IF('1. MASTER_ENTRY'!$C48="","",'1. MASTER_ENTRY'!$Q48)</f>
        <v/>
      </c>
    </row>
    <row r="49" ht="16" customHeight="1">
      <c r="A49" s="20">
        <f>IF('1. MASTER_ENTRY'!$C49="","",'1. MASTER_ENTRY'!$A49)</f>
        <v/>
      </c>
      <c r="B49" s="22">
        <f>IF('1. MASTER_ENTRY'!$C49="","",'1. MASTER_ENTRY'!$B49)</f>
        <v/>
      </c>
      <c r="C49" s="21">
        <f>IF('1. MASTER_ENTRY'!$C49="","","Apply "&amp;'1. MASTER_ENTRY'!$L49&amp;" to: "&amp;'1. MASTER_ENTRY'!$C49)</f>
        <v/>
      </c>
      <c r="D49" s="20">
        <f>IF('1. MASTER_ENTRY'!$C49="","",'1. MASTER_ENTRY'!$M49)</f>
        <v/>
      </c>
      <c r="E49" s="21">
        <f>IF('1. MASTER_ENTRY'!$C49="","",'1. MASTER_ENTRY'!$N49)</f>
        <v/>
      </c>
      <c r="F49" s="20">
        <f>IF('1. MASTER_ENTRY'!$C49="","",'1. MASTER_ENTRY'!$R49)</f>
        <v/>
      </c>
      <c r="G49" s="22">
        <f>IF('1. MASTER_ENTRY'!$C49="","",'1. MASTER_ENTRY'!$Q49)</f>
        <v/>
      </c>
    </row>
    <row r="50" ht="16" customHeight="1">
      <c r="A50" s="16">
        <f>IF('1. MASTER_ENTRY'!$C50="","",'1. MASTER_ENTRY'!$A50)</f>
        <v/>
      </c>
      <c r="B50" s="18">
        <f>IF('1. MASTER_ENTRY'!$C50="","",'1. MASTER_ENTRY'!$B50)</f>
        <v/>
      </c>
      <c r="C50" s="17">
        <f>IF('1. MASTER_ENTRY'!$C50="","","Apply "&amp;'1. MASTER_ENTRY'!$L50&amp;" to: "&amp;'1. MASTER_ENTRY'!$C50)</f>
        <v/>
      </c>
      <c r="D50" s="16">
        <f>IF('1. MASTER_ENTRY'!$C50="","",'1. MASTER_ENTRY'!$M50)</f>
        <v/>
      </c>
      <c r="E50" s="17">
        <f>IF('1. MASTER_ENTRY'!$C50="","",'1. MASTER_ENTRY'!$N50)</f>
        <v/>
      </c>
      <c r="F50" s="16">
        <f>IF('1. MASTER_ENTRY'!$C50="","",'1. MASTER_ENTRY'!$R50)</f>
        <v/>
      </c>
      <c r="G50" s="18">
        <f>IF('1. MASTER_ENTRY'!$C50="","",'1. MASTER_ENTRY'!$Q50)</f>
        <v/>
      </c>
    </row>
    <row r="51" ht="16" customHeight="1">
      <c r="A51" s="20">
        <f>IF('1. MASTER_ENTRY'!$C51="","",'1. MASTER_ENTRY'!$A51)</f>
        <v/>
      </c>
      <c r="B51" s="22">
        <f>IF('1. MASTER_ENTRY'!$C51="","",'1. MASTER_ENTRY'!$B51)</f>
        <v/>
      </c>
      <c r="C51" s="21">
        <f>IF('1. MASTER_ENTRY'!$C51="","","Apply "&amp;'1. MASTER_ENTRY'!$L51&amp;" to: "&amp;'1. MASTER_ENTRY'!$C51)</f>
        <v/>
      </c>
      <c r="D51" s="20">
        <f>IF('1. MASTER_ENTRY'!$C51="","",'1. MASTER_ENTRY'!$M51)</f>
        <v/>
      </c>
      <c r="E51" s="21">
        <f>IF('1. MASTER_ENTRY'!$C51="","",'1. MASTER_ENTRY'!$N51)</f>
        <v/>
      </c>
      <c r="F51" s="20">
        <f>IF('1. MASTER_ENTRY'!$C51="","",'1. MASTER_ENTRY'!$R51)</f>
        <v/>
      </c>
      <c r="G51" s="22">
        <f>IF('1. MASTER_ENTRY'!$C51="","",'1. MASTER_ENTRY'!$Q51)</f>
        <v/>
      </c>
    </row>
    <row r="52" ht="16" customHeight="1">
      <c r="A52" s="16">
        <f>IF('1. MASTER_ENTRY'!$C52="","",'1. MASTER_ENTRY'!$A52)</f>
        <v/>
      </c>
      <c r="B52" s="18">
        <f>IF('1. MASTER_ENTRY'!$C52="","",'1. MASTER_ENTRY'!$B52)</f>
        <v/>
      </c>
      <c r="C52" s="17">
        <f>IF('1. MASTER_ENTRY'!$C52="","","Apply "&amp;'1. MASTER_ENTRY'!$L52&amp;" to: "&amp;'1. MASTER_ENTRY'!$C52)</f>
        <v/>
      </c>
      <c r="D52" s="16">
        <f>IF('1. MASTER_ENTRY'!$C52="","",'1. MASTER_ENTRY'!$M52)</f>
        <v/>
      </c>
      <c r="E52" s="17">
        <f>IF('1. MASTER_ENTRY'!$C52="","",'1. MASTER_ENTRY'!$N52)</f>
        <v/>
      </c>
      <c r="F52" s="16">
        <f>IF('1. MASTER_ENTRY'!$C52="","",'1. MASTER_ENTRY'!$R52)</f>
        <v/>
      </c>
      <c r="G52" s="18">
        <f>IF('1. MASTER_ENTRY'!$C52="","",'1. MASTER_ENTRY'!$Q52)</f>
        <v/>
      </c>
    </row>
    <row r="53" ht="16" customHeight="1">
      <c r="A53" s="20">
        <f>IF('1. MASTER_ENTRY'!$C53="","",'1. MASTER_ENTRY'!$A53)</f>
        <v/>
      </c>
      <c r="B53" s="22">
        <f>IF('1. MASTER_ENTRY'!$C53="","",'1. MASTER_ENTRY'!$B53)</f>
        <v/>
      </c>
      <c r="C53" s="21">
        <f>IF('1. MASTER_ENTRY'!$C53="","","Apply "&amp;'1. MASTER_ENTRY'!$L53&amp;" to: "&amp;'1. MASTER_ENTRY'!$C53)</f>
        <v/>
      </c>
      <c r="D53" s="20">
        <f>IF('1. MASTER_ENTRY'!$C53="","",'1. MASTER_ENTRY'!$M53)</f>
        <v/>
      </c>
      <c r="E53" s="21">
        <f>IF('1. MASTER_ENTRY'!$C53="","",'1. MASTER_ENTRY'!$N53)</f>
        <v/>
      </c>
      <c r="F53" s="20">
        <f>IF('1. MASTER_ENTRY'!$C53="","",'1. MASTER_ENTRY'!$R53)</f>
        <v/>
      </c>
      <c r="G53" s="22">
        <f>IF('1. MASTER_ENTRY'!$C53="","",'1. MASTER_ENTRY'!$Q53)</f>
        <v/>
      </c>
    </row>
    <row r="54" ht="16" customHeight="1">
      <c r="A54" s="16">
        <f>IF('1. MASTER_ENTRY'!$C54="","",'1. MASTER_ENTRY'!$A54)</f>
        <v/>
      </c>
      <c r="B54" s="18">
        <f>IF('1. MASTER_ENTRY'!$C54="","",'1. MASTER_ENTRY'!$B54)</f>
        <v/>
      </c>
      <c r="C54" s="17">
        <f>IF('1. MASTER_ENTRY'!$C54="","","Apply "&amp;'1. MASTER_ENTRY'!$L54&amp;" to: "&amp;'1. MASTER_ENTRY'!$C54)</f>
        <v/>
      </c>
      <c r="D54" s="16">
        <f>IF('1. MASTER_ENTRY'!$C54="","",'1. MASTER_ENTRY'!$M54)</f>
        <v/>
      </c>
      <c r="E54" s="17">
        <f>IF('1. MASTER_ENTRY'!$C54="","",'1. MASTER_ENTRY'!$N54)</f>
        <v/>
      </c>
      <c r="F54" s="16">
        <f>IF('1. MASTER_ENTRY'!$C54="","",'1. MASTER_ENTRY'!$R54)</f>
        <v/>
      </c>
      <c r="G54" s="18">
        <f>IF('1. MASTER_ENTRY'!$C54="","",'1. MASTER_ENTRY'!$Q54)</f>
        <v/>
      </c>
    </row>
    <row r="55" ht="16" customHeight="1">
      <c r="A55" s="20">
        <f>IF('1. MASTER_ENTRY'!$C55="","",'1. MASTER_ENTRY'!$A55)</f>
        <v/>
      </c>
      <c r="B55" s="22">
        <f>IF('1. MASTER_ENTRY'!$C55="","",'1. MASTER_ENTRY'!$B55)</f>
        <v/>
      </c>
      <c r="C55" s="21">
        <f>IF('1. MASTER_ENTRY'!$C55="","","Apply "&amp;'1. MASTER_ENTRY'!$L55&amp;" to: "&amp;'1. MASTER_ENTRY'!$C55)</f>
        <v/>
      </c>
      <c r="D55" s="20">
        <f>IF('1. MASTER_ENTRY'!$C55="","",'1. MASTER_ENTRY'!$M55)</f>
        <v/>
      </c>
      <c r="E55" s="21">
        <f>IF('1. MASTER_ENTRY'!$C55="","",'1. MASTER_ENTRY'!$N55)</f>
        <v/>
      </c>
      <c r="F55" s="20">
        <f>IF('1. MASTER_ENTRY'!$C55="","",'1. MASTER_ENTRY'!$R55)</f>
        <v/>
      </c>
      <c r="G55" s="22">
        <f>IF('1. MASTER_ENTRY'!$C55="","",'1. MASTER_ENTRY'!$Q55)</f>
        <v/>
      </c>
    </row>
    <row r="56" ht="16" customHeight="1">
      <c r="A56" s="16">
        <f>IF('1. MASTER_ENTRY'!$C56="","",'1. MASTER_ENTRY'!$A56)</f>
        <v/>
      </c>
      <c r="B56" s="18">
        <f>IF('1. MASTER_ENTRY'!$C56="","",'1. MASTER_ENTRY'!$B56)</f>
        <v/>
      </c>
      <c r="C56" s="17">
        <f>IF('1. MASTER_ENTRY'!$C56="","","Apply "&amp;'1. MASTER_ENTRY'!$L56&amp;" to: "&amp;'1. MASTER_ENTRY'!$C56)</f>
        <v/>
      </c>
      <c r="D56" s="16">
        <f>IF('1. MASTER_ENTRY'!$C56="","",'1. MASTER_ENTRY'!$M56)</f>
        <v/>
      </c>
      <c r="E56" s="17">
        <f>IF('1. MASTER_ENTRY'!$C56="","",'1. MASTER_ENTRY'!$N56)</f>
        <v/>
      </c>
      <c r="F56" s="16">
        <f>IF('1. MASTER_ENTRY'!$C56="","",'1. MASTER_ENTRY'!$R56)</f>
        <v/>
      </c>
      <c r="G56" s="18">
        <f>IF('1. MASTER_ENTRY'!$C56="","",'1. MASTER_ENTRY'!$Q56)</f>
        <v/>
      </c>
    </row>
    <row r="57" ht="16" customHeight="1">
      <c r="A57" s="20">
        <f>IF('1. MASTER_ENTRY'!$C57="","",'1. MASTER_ENTRY'!$A57)</f>
        <v/>
      </c>
      <c r="B57" s="22">
        <f>IF('1. MASTER_ENTRY'!$C57="","",'1. MASTER_ENTRY'!$B57)</f>
        <v/>
      </c>
      <c r="C57" s="21">
        <f>IF('1. MASTER_ENTRY'!$C57="","","Apply "&amp;'1. MASTER_ENTRY'!$L57&amp;" to: "&amp;'1. MASTER_ENTRY'!$C57)</f>
        <v/>
      </c>
      <c r="D57" s="20">
        <f>IF('1. MASTER_ENTRY'!$C57="","",'1. MASTER_ENTRY'!$M57)</f>
        <v/>
      </c>
      <c r="E57" s="21">
        <f>IF('1. MASTER_ENTRY'!$C57="","",'1. MASTER_ENTRY'!$N57)</f>
        <v/>
      </c>
      <c r="F57" s="20">
        <f>IF('1. MASTER_ENTRY'!$C57="","",'1. MASTER_ENTRY'!$R57)</f>
        <v/>
      </c>
      <c r="G57" s="22">
        <f>IF('1. MASTER_ENTRY'!$C57="","",'1. MASTER_ENTRY'!$Q57)</f>
        <v/>
      </c>
    </row>
    <row r="58" ht="16" customHeight="1">
      <c r="A58" s="16">
        <f>IF('1. MASTER_ENTRY'!$C58="","",'1. MASTER_ENTRY'!$A58)</f>
        <v/>
      </c>
      <c r="B58" s="18">
        <f>IF('1. MASTER_ENTRY'!$C58="","",'1. MASTER_ENTRY'!$B58)</f>
        <v/>
      </c>
      <c r="C58" s="17">
        <f>IF('1. MASTER_ENTRY'!$C58="","","Apply "&amp;'1. MASTER_ENTRY'!$L58&amp;" to: "&amp;'1. MASTER_ENTRY'!$C58)</f>
        <v/>
      </c>
      <c r="D58" s="16">
        <f>IF('1. MASTER_ENTRY'!$C58="","",'1. MASTER_ENTRY'!$M58)</f>
        <v/>
      </c>
      <c r="E58" s="17">
        <f>IF('1. MASTER_ENTRY'!$C58="","",'1. MASTER_ENTRY'!$N58)</f>
        <v/>
      </c>
      <c r="F58" s="16">
        <f>IF('1. MASTER_ENTRY'!$C58="","",'1. MASTER_ENTRY'!$R58)</f>
        <v/>
      </c>
      <c r="G58" s="18">
        <f>IF('1. MASTER_ENTRY'!$C58="","",'1. MASTER_ENTRY'!$Q58)</f>
        <v/>
      </c>
    </row>
    <row r="59" ht="16" customHeight="1">
      <c r="A59" s="20">
        <f>IF('1. MASTER_ENTRY'!$C59="","",'1. MASTER_ENTRY'!$A59)</f>
        <v/>
      </c>
      <c r="B59" s="22">
        <f>IF('1. MASTER_ENTRY'!$C59="","",'1. MASTER_ENTRY'!$B59)</f>
        <v/>
      </c>
      <c r="C59" s="21">
        <f>IF('1. MASTER_ENTRY'!$C59="","","Apply "&amp;'1. MASTER_ENTRY'!$L59&amp;" to: "&amp;'1. MASTER_ENTRY'!$C59)</f>
        <v/>
      </c>
      <c r="D59" s="20">
        <f>IF('1. MASTER_ENTRY'!$C59="","",'1. MASTER_ENTRY'!$M59)</f>
        <v/>
      </c>
      <c r="E59" s="21">
        <f>IF('1. MASTER_ENTRY'!$C59="","",'1. MASTER_ENTRY'!$N59)</f>
        <v/>
      </c>
      <c r="F59" s="20">
        <f>IF('1. MASTER_ENTRY'!$C59="","",'1. MASTER_ENTRY'!$R59)</f>
        <v/>
      </c>
      <c r="G59" s="22">
        <f>IF('1. MASTER_ENTRY'!$C59="","",'1. MASTER_ENTRY'!$Q59)</f>
        <v/>
      </c>
    </row>
    <row r="60" ht="16" customHeight="1">
      <c r="A60" s="16">
        <f>IF('1. MASTER_ENTRY'!$C60="","",'1. MASTER_ENTRY'!$A60)</f>
        <v/>
      </c>
      <c r="B60" s="18">
        <f>IF('1. MASTER_ENTRY'!$C60="","",'1. MASTER_ENTRY'!$B60)</f>
        <v/>
      </c>
      <c r="C60" s="17">
        <f>IF('1. MASTER_ENTRY'!$C60="","","Apply "&amp;'1. MASTER_ENTRY'!$L60&amp;" to: "&amp;'1. MASTER_ENTRY'!$C60)</f>
        <v/>
      </c>
      <c r="D60" s="16">
        <f>IF('1. MASTER_ENTRY'!$C60="","",'1. MASTER_ENTRY'!$M60)</f>
        <v/>
      </c>
      <c r="E60" s="17">
        <f>IF('1. MASTER_ENTRY'!$C60="","",'1. MASTER_ENTRY'!$N60)</f>
        <v/>
      </c>
      <c r="F60" s="16">
        <f>IF('1. MASTER_ENTRY'!$C60="","",'1. MASTER_ENTRY'!$R60)</f>
        <v/>
      </c>
      <c r="G60" s="18">
        <f>IF('1. MASTER_ENTRY'!$C60="","",'1. MASTER_ENTRY'!$Q60)</f>
        <v/>
      </c>
    </row>
    <row r="61" ht="16" customHeight="1">
      <c r="A61" s="20">
        <f>IF('1. MASTER_ENTRY'!$C61="","",'1. MASTER_ENTRY'!$A61)</f>
        <v/>
      </c>
      <c r="B61" s="22">
        <f>IF('1. MASTER_ENTRY'!$C61="","",'1. MASTER_ENTRY'!$B61)</f>
        <v/>
      </c>
      <c r="C61" s="21">
        <f>IF('1. MASTER_ENTRY'!$C61="","","Apply "&amp;'1. MASTER_ENTRY'!$L61&amp;" to: "&amp;'1. MASTER_ENTRY'!$C61)</f>
        <v/>
      </c>
      <c r="D61" s="20">
        <f>IF('1. MASTER_ENTRY'!$C61="","",'1. MASTER_ENTRY'!$M61)</f>
        <v/>
      </c>
      <c r="E61" s="21">
        <f>IF('1. MASTER_ENTRY'!$C61="","",'1. MASTER_ENTRY'!$N61)</f>
        <v/>
      </c>
      <c r="F61" s="20">
        <f>IF('1. MASTER_ENTRY'!$C61="","",'1. MASTER_ENTRY'!$R61)</f>
        <v/>
      </c>
      <c r="G61" s="22">
        <f>IF('1. MASTER_ENTRY'!$C61="","",'1. MASTER_ENTRY'!$Q61)</f>
        <v/>
      </c>
    </row>
    <row r="62" ht="16" customHeight="1">
      <c r="A62" s="16">
        <f>IF('1. MASTER_ENTRY'!$C62="","",'1. MASTER_ENTRY'!$A62)</f>
        <v/>
      </c>
      <c r="B62" s="18">
        <f>IF('1. MASTER_ENTRY'!$C62="","",'1. MASTER_ENTRY'!$B62)</f>
        <v/>
      </c>
      <c r="C62" s="17">
        <f>IF('1. MASTER_ENTRY'!$C62="","","Apply "&amp;'1. MASTER_ENTRY'!$L62&amp;" to: "&amp;'1. MASTER_ENTRY'!$C62)</f>
        <v/>
      </c>
      <c r="D62" s="16">
        <f>IF('1. MASTER_ENTRY'!$C62="","",'1. MASTER_ENTRY'!$M62)</f>
        <v/>
      </c>
      <c r="E62" s="17">
        <f>IF('1. MASTER_ENTRY'!$C62="","",'1. MASTER_ENTRY'!$N62)</f>
        <v/>
      </c>
      <c r="F62" s="16">
        <f>IF('1. MASTER_ENTRY'!$C62="","",'1. MASTER_ENTRY'!$R62)</f>
        <v/>
      </c>
      <c r="G62" s="18">
        <f>IF('1. MASTER_ENTRY'!$C62="","",'1. MASTER_ENTRY'!$Q62)</f>
        <v/>
      </c>
    </row>
    <row r="63" ht="16" customHeight="1">
      <c r="A63" s="20">
        <f>IF('1. MASTER_ENTRY'!$C63="","",'1. MASTER_ENTRY'!$A63)</f>
        <v/>
      </c>
      <c r="B63" s="22">
        <f>IF('1. MASTER_ENTRY'!$C63="","",'1. MASTER_ENTRY'!$B63)</f>
        <v/>
      </c>
      <c r="C63" s="21">
        <f>IF('1. MASTER_ENTRY'!$C63="","","Apply "&amp;'1. MASTER_ENTRY'!$L63&amp;" to: "&amp;'1. MASTER_ENTRY'!$C63)</f>
        <v/>
      </c>
      <c r="D63" s="20">
        <f>IF('1. MASTER_ENTRY'!$C63="","",'1. MASTER_ENTRY'!$M63)</f>
        <v/>
      </c>
      <c r="E63" s="21">
        <f>IF('1. MASTER_ENTRY'!$C63="","",'1. MASTER_ENTRY'!$N63)</f>
        <v/>
      </c>
      <c r="F63" s="20">
        <f>IF('1. MASTER_ENTRY'!$C63="","",'1. MASTER_ENTRY'!$R63)</f>
        <v/>
      </c>
      <c r="G63" s="22">
        <f>IF('1. MASTER_ENTRY'!$C63="","",'1. MASTER_ENTRY'!$Q63)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5"/>
  <sheetViews>
    <sheetView showGridLines="0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1" customWidth="1" min="4" max="4"/>
    <col width="11" customWidth="1" min="5" max="5"/>
    <col width="8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</cols>
  <sheetData>
    <row r="1" ht="34" customHeight="1">
      <c r="A1" s="15" t="inlineStr">
        <is>
          <t xml:space="preserve">  TIMELINE / GANTT  -  schedule auto-drawn from each case</t>
        </is>
      </c>
    </row>
    <row r="2" ht="20" customHeight="1">
      <c r="A2" s="2" t="inlineStr">
        <is>
          <t xml:space="preserve">  Read-only. Start/end/duration are AI-estimated on MASTER_ENTRY. Bars redraw automatically.</t>
        </is>
      </c>
    </row>
    <row r="3" ht="30" customHeight="1">
      <c r="A3" s="7" t="inlineStr">
        <is>
          <t>CASE ID</t>
        </is>
      </c>
      <c r="B3" s="7" t="inlineStr">
        <is>
          <t>TASK</t>
        </is>
      </c>
      <c r="C3" s="7" t="inlineStr">
        <is>
          <t>OWNER</t>
        </is>
      </c>
      <c r="D3" s="7" t="inlineStr">
        <is>
          <t>START</t>
        </is>
      </c>
      <c r="E3" s="7" t="inlineStr">
        <is>
          <t>END</t>
        </is>
      </c>
      <c r="F3" s="7" t="inlineStr">
        <is>
          <t>% DONE</t>
        </is>
      </c>
      <c r="G3" s="31">
        <f>DATE(2026,6,1)</f>
        <v/>
      </c>
      <c r="H3" s="31">
        <f>G3+7</f>
        <v/>
      </c>
      <c r="I3" s="31">
        <f>H3+7</f>
        <v/>
      </c>
      <c r="J3" s="31">
        <f>I3+7</f>
        <v/>
      </c>
      <c r="K3" s="31">
        <f>J3+7</f>
        <v/>
      </c>
      <c r="L3" s="31">
        <f>K3+7</f>
        <v/>
      </c>
      <c r="M3" s="31">
        <f>L3+7</f>
        <v/>
      </c>
      <c r="N3" s="31">
        <f>M3+7</f>
        <v/>
      </c>
      <c r="O3" s="31">
        <f>N3+7</f>
        <v/>
      </c>
      <c r="P3" s="31">
        <f>O3+7</f>
        <v/>
      </c>
      <c r="Q3" s="31">
        <f>P3+7</f>
        <v/>
      </c>
      <c r="R3" s="31">
        <f>Q3+7</f>
        <v/>
      </c>
      <c r="S3" s="31">
        <f>R3+7</f>
        <v/>
      </c>
      <c r="T3" s="31">
        <f>S3+7</f>
        <v/>
      </c>
      <c r="U3" s="31">
        <f>T3+7</f>
        <v/>
      </c>
      <c r="V3" s="31">
        <f>U3+7</f>
        <v/>
      </c>
      <c r="W3" s="31">
        <f>V3+7</f>
        <v/>
      </c>
      <c r="X3" s="31">
        <f>W3+7</f>
        <v/>
      </c>
      <c r="Y3" s="31">
        <f>X3+7</f>
        <v/>
      </c>
      <c r="Z3" s="31">
        <f>Y3+7</f>
        <v/>
      </c>
      <c r="AA3" s="31">
        <f>Z3+7</f>
        <v/>
      </c>
      <c r="AB3" s="31">
        <f>AA3+7</f>
        <v/>
      </c>
      <c r="AC3" s="31">
        <f>AB3+7</f>
        <v/>
      </c>
      <c r="AD3" s="31">
        <f>AC3+7</f>
        <v/>
      </c>
    </row>
    <row r="4" ht="15" customHeight="1">
      <c r="A4" s="16">
        <f>IF('1. MASTER_ENTRY'!$C4="","",'1. MASTER_ENTRY'!$A4)</f>
        <v/>
      </c>
      <c r="B4" s="17">
        <f>IF('1. MASTER_ENTRY'!$C4="","",'1. MASTER_ENTRY'!$C4)</f>
        <v/>
      </c>
      <c r="C4" s="16">
        <f>IF('1. MASTER_ENTRY'!$C4="","",'1. MASTER_ENTRY'!$M4)</f>
        <v/>
      </c>
      <c r="D4" s="18">
        <f>IF('1. MASTER_ENTRY'!$C4="","",'1. MASTER_ENTRY'!$O4)</f>
        <v/>
      </c>
      <c r="E4" s="18">
        <f>IF('1. MASTER_ENTRY'!$C4="","",'1. MASTER_ENTRY'!$Q4)</f>
        <v/>
      </c>
      <c r="F4" s="19">
        <f>IF('1. MASTER_ENTRY'!$C4="","",'1. MASTER_ENTRY'!$S4)</f>
        <v/>
      </c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</row>
    <row r="5" ht="15" customHeight="1">
      <c r="A5" s="20">
        <f>IF('1. MASTER_ENTRY'!$C5="","",'1. MASTER_ENTRY'!$A5)</f>
        <v/>
      </c>
      <c r="B5" s="21">
        <f>IF('1. MASTER_ENTRY'!$C5="","",'1. MASTER_ENTRY'!$C5)</f>
        <v/>
      </c>
      <c r="C5" s="20">
        <f>IF('1. MASTER_ENTRY'!$C5="","",'1. MASTER_ENTRY'!$M5)</f>
        <v/>
      </c>
      <c r="D5" s="22">
        <f>IF('1. MASTER_ENTRY'!$C5="","",'1. MASTER_ENTRY'!$O5)</f>
        <v/>
      </c>
      <c r="E5" s="22">
        <f>IF('1. MASTER_ENTRY'!$C5="","",'1. MASTER_ENTRY'!$Q5)</f>
        <v/>
      </c>
      <c r="F5" s="23">
        <f>IF('1. MASTER_ENTRY'!$C5="","",'1. MASTER_ENTRY'!$S5)</f>
        <v/>
      </c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</row>
    <row r="6" ht="15" customHeight="1">
      <c r="A6" s="16">
        <f>IF('1. MASTER_ENTRY'!$C6="","",'1. MASTER_ENTRY'!$A6)</f>
        <v/>
      </c>
      <c r="B6" s="17">
        <f>IF('1. MASTER_ENTRY'!$C6="","",'1. MASTER_ENTRY'!$C6)</f>
        <v/>
      </c>
      <c r="C6" s="16">
        <f>IF('1. MASTER_ENTRY'!$C6="","",'1. MASTER_ENTRY'!$M6)</f>
        <v/>
      </c>
      <c r="D6" s="18">
        <f>IF('1. MASTER_ENTRY'!$C6="","",'1. MASTER_ENTRY'!$O6)</f>
        <v/>
      </c>
      <c r="E6" s="18">
        <f>IF('1. MASTER_ENTRY'!$C6="","",'1. MASTER_ENTRY'!$Q6)</f>
        <v/>
      </c>
      <c r="F6" s="19">
        <f>IF('1. MASTER_ENTRY'!$C6="","",'1. MASTER_ENTRY'!$S6)</f>
        <v/>
      </c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</row>
    <row r="7" ht="15" customHeight="1">
      <c r="A7" s="20">
        <f>IF('1. MASTER_ENTRY'!$C7="","",'1. MASTER_ENTRY'!$A7)</f>
        <v/>
      </c>
      <c r="B7" s="21">
        <f>IF('1. MASTER_ENTRY'!$C7="","",'1. MASTER_ENTRY'!$C7)</f>
        <v/>
      </c>
      <c r="C7" s="20">
        <f>IF('1. MASTER_ENTRY'!$C7="","",'1. MASTER_ENTRY'!$M7)</f>
        <v/>
      </c>
      <c r="D7" s="22">
        <f>IF('1. MASTER_ENTRY'!$C7="","",'1. MASTER_ENTRY'!$O7)</f>
        <v/>
      </c>
      <c r="E7" s="22">
        <f>IF('1. MASTER_ENTRY'!$C7="","",'1. MASTER_ENTRY'!$Q7)</f>
        <v/>
      </c>
      <c r="F7" s="23">
        <f>IF('1. MASTER_ENTRY'!$C7="","",'1. MASTER_ENTRY'!$S7)</f>
        <v/>
      </c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</row>
    <row r="8" ht="15" customHeight="1">
      <c r="A8" s="16">
        <f>IF('1. MASTER_ENTRY'!$C8="","",'1. MASTER_ENTRY'!$A8)</f>
        <v/>
      </c>
      <c r="B8" s="17">
        <f>IF('1. MASTER_ENTRY'!$C8="","",'1. MASTER_ENTRY'!$C8)</f>
        <v/>
      </c>
      <c r="C8" s="16">
        <f>IF('1. MASTER_ENTRY'!$C8="","",'1. MASTER_ENTRY'!$M8)</f>
        <v/>
      </c>
      <c r="D8" s="18">
        <f>IF('1. MASTER_ENTRY'!$C8="","",'1. MASTER_ENTRY'!$O8)</f>
        <v/>
      </c>
      <c r="E8" s="18">
        <f>IF('1. MASTER_ENTRY'!$C8="","",'1. MASTER_ENTRY'!$Q8)</f>
        <v/>
      </c>
      <c r="F8" s="19">
        <f>IF('1. MASTER_ENTRY'!$C8="","",'1. MASTER_ENTRY'!$S8)</f>
        <v/>
      </c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</row>
    <row r="9" ht="15" customHeight="1">
      <c r="A9" s="20">
        <f>IF('1. MASTER_ENTRY'!$C9="","",'1. MASTER_ENTRY'!$A9)</f>
        <v/>
      </c>
      <c r="B9" s="21">
        <f>IF('1. MASTER_ENTRY'!$C9="","",'1. MASTER_ENTRY'!$C9)</f>
        <v/>
      </c>
      <c r="C9" s="20">
        <f>IF('1. MASTER_ENTRY'!$C9="","",'1. MASTER_ENTRY'!$M9)</f>
        <v/>
      </c>
      <c r="D9" s="22">
        <f>IF('1. MASTER_ENTRY'!$C9="","",'1. MASTER_ENTRY'!$O9)</f>
        <v/>
      </c>
      <c r="E9" s="22">
        <f>IF('1. MASTER_ENTRY'!$C9="","",'1. MASTER_ENTRY'!$Q9)</f>
        <v/>
      </c>
      <c r="F9" s="23">
        <f>IF('1. MASTER_ENTRY'!$C9="","",'1. MASTER_ENTRY'!$S9)</f>
        <v/>
      </c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</row>
    <row r="10" ht="15" customHeight="1">
      <c r="A10" s="16">
        <f>IF('1. MASTER_ENTRY'!$C10="","",'1. MASTER_ENTRY'!$A10)</f>
        <v/>
      </c>
      <c r="B10" s="17">
        <f>IF('1. MASTER_ENTRY'!$C10="","",'1. MASTER_ENTRY'!$C10)</f>
        <v/>
      </c>
      <c r="C10" s="16">
        <f>IF('1. MASTER_ENTRY'!$C10="","",'1. MASTER_ENTRY'!$M10)</f>
        <v/>
      </c>
      <c r="D10" s="18">
        <f>IF('1. MASTER_ENTRY'!$C10="","",'1. MASTER_ENTRY'!$O10)</f>
        <v/>
      </c>
      <c r="E10" s="18">
        <f>IF('1. MASTER_ENTRY'!$C10="","",'1. MASTER_ENTRY'!$Q10)</f>
        <v/>
      </c>
      <c r="F10" s="19">
        <f>IF('1. MASTER_ENTRY'!$C10="","",'1. MASTER_ENTRY'!$S10)</f>
        <v/>
      </c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</row>
    <row r="11" ht="15" customHeight="1">
      <c r="A11" s="20">
        <f>IF('1. MASTER_ENTRY'!$C11="","",'1. MASTER_ENTRY'!$A11)</f>
        <v/>
      </c>
      <c r="B11" s="21">
        <f>IF('1. MASTER_ENTRY'!$C11="","",'1. MASTER_ENTRY'!$C11)</f>
        <v/>
      </c>
      <c r="C11" s="20">
        <f>IF('1. MASTER_ENTRY'!$C11="","",'1. MASTER_ENTRY'!$M11)</f>
        <v/>
      </c>
      <c r="D11" s="22">
        <f>IF('1. MASTER_ENTRY'!$C11="","",'1. MASTER_ENTRY'!$O11)</f>
        <v/>
      </c>
      <c r="E11" s="22">
        <f>IF('1. MASTER_ENTRY'!$C11="","",'1. MASTER_ENTRY'!$Q11)</f>
        <v/>
      </c>
      <c r="F11" s="23">
        <f>IF('1. MASTER_ENTRY'!$C11="","",'1. MASTER_ENTRY'!$S11)</f>
        <v/>
      </c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</row>
    <row r="12" ht="15" customHeight="1">
      <c r="A12" s="16">
        <f>IF('1. MASTER_ENTRY'!$C12="","",'1. MASTER_ENTRY'!$A12)</f>
        <v/>
      </c>
      <c r="B12" s="17">
        <f>IF('1. MASTER_ENTRY'!$C12="","",'1. MASTER_ENTRY'!$C12)</f>
        <v/>
      </c>
      <c r="C12" s="16">
        <f>IF('1. MASTER_ENTRY'!$C12="","",'1. MASTER_ENTRY'!$M12)</f>
        <v/>
      </c>
      <c r="D12" s="18">
        <f>IF('1. MASTER_ENTRY'!$C12="","",'1. MASTER_ENTRY'!$O12)</f>
        <v/>
      </c>
      <c r="E12" s="18">
        <f>IF('1. MASTER_ENTRY'!$C12="","",'1. MASTER_ENTRY'!$Q12)</f>
        <v/>
      </c>
      <c r="F12" s="19">
        <f>IF('1. MASTER_ENTRY'!$C12="","",'1. MASTER_ENTRY'!$S12)</f>
        <v/>
      </c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</row>
    <row r="13" ht="15" customHeight="1">
      <c r="A13" s="20">
        <f>IF('1. MASTER_ENTRY'!$C13="","",'1. MASTER_ENTRY'!$A13)</f>
        <v/>
      </c>
      <c r="B13" s="21">
        <f>IF('1. MASTER_ENTRY'!$C13="","",'1. MASTER_ENTRY'!$C13)</f>
        <v/>
      </c>
      <c r="C13" s="20">
        <f>IF('1. MASTER_ENTRY'!$C13="","",'1. MASTER_ENTRY'!$M13)</f>
        <v/>
      </c>
      <c r="D13" s="22">
        <f>IF('1. MASTER_ENTRY'!$C13="","",'1. MASTER_ENTRY'!$O13)</f>
        <v/>
      </c>
      <c r="E13" s="22">
        <f>IF('1. MASTER_ENTRY'!$C13="","",'1. MASTER_ENTRY'!$Q13)</f>
        <v/>
      </c>
      <c r="F13" s="23">
        <f>IF('1. MASTER_ENTRY'!$C13="","",'1. MASTER_ENTRY'!$S13)</f>
        <v/>
      </c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</row>
    <row r="14" ht="15" customHeight="1">
      <c r="A14" s="16">
        <f>IF('1. MASTER_ENTRY'!$C14="","",'1. MASTER_ENTRY'!$A14)</f>
        <v/>
      </c>
      <c r="B14" s="17">
        <f>IF('1. MASTER_ENTRY'!$C14="","",'1. MASTER_ENTRY'!$C14)</f>
        <v/>
      </c>
      <c r="C14" s="16">
        <f>IF('1. MASTER_ENTRY'!$C14="","",'1. MASTER_ENTRY'!$M14)</f>
        <v/>
      </c>
      <c r="D14" s="18">
        <f>IF('1. MASTER_ENTRY'!$C14="","",'1. MASTER_ENTRY'!$O14)</f>
        <v/>
      </c>
      <c r="E14" s="18">
        <f>IF('1. MASTER_ENTRY'!$C14="","",'1. MASTER_ENTRY'!$Q14)</f>
        <v/>
      </c>
      <c r="F14" s="19">
        <f>IF('1. MASTER_ENTRY'!$C14="","",'1. MASTER_ENTRY'!$S14)</f>
        <v/>
      </c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</row>
    <row r="15" ht="15" customHeight="1">
      <c r="A15" s="20">
        <f>IF('1. MASTER_ENTRY'!$C15="","",'1. MASTER_ENTRY'!$A15)</f>
        <v/>
      </c>
      <c r="B15" s="21">
        <f>IF('1. MASTER_ENTRY'!$C15="","",'1. MASTER_ENTRY'!$C15)</f>
        <v/>
      </c>
      <c r="C15" s="20">
        <f>IF('1. MASTER_ENTRY'!$C15="","",'1. MASTER_ENTRY'!$M15)</f>
        <v/>
      </c>
      <c r="D15" s="22">
        <f>IF('1. MASTER_ENTRY'!$C15="","",'1. MASTER_ENTRY'!$O15)</f>
        <v/>
      </c>
      <c r="E15" s="22">
        <f>IF('1. MASTER_ENTRY'!$C15="","",'1. MASTER_ENTRY'!$Q15)</f>
        <v/>
      </c>
      <c r="F15" s="23">
        <f>IF('1. MASTER_ENTRY'!$C15="","",'1. MASTER_ENTRY'!$S15)</f>
        <v/>
      </c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</row>
    <row r="16" ht="15" customHeight="1">
      <c r="A16" s="16">
        <f>IF('1. MASTER_ENTRY'!$C16="","",'1. MASTER_ENTRY'!$A16)</f>
        <v/>
      </c>
      <c r="B16" s="17">
        <f>IF('1. MASTER_ENTRY'!$C16="","",'1. MASTER_ENTRY'!$C16)</f>
        <v/>
      </c>
      <c r="C16" s="16">
        <f>IF('1. MASTER_ENTRY'!$C16="","",'1. MASTER_ENTRY'!$M16)</f>
        <v/>
      </c>
      <c r="D16" s="18">
        <f>IF('1. MASTER_ENTRY'!$C16="","",'1. MASTER_ENTRY'!$O16)</f>
        <v/>
      </c>
      <c r="E16" s="18">
        <f>IF('1. MASTER_ENTRY'!$C16="","",'1. MASTER_ENTRY'!$Q16)</f>
        <v/>
      </c>
      <c r="F16" s="19">
        <f>IF('1. MASTER_ENTRY'!$C16="","",'1. MASTER_ENTRY'!$S16)</f>
        <v/>
      </c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</row>
    <row r="17" ht="15" customHeight="1">
      <c r="A17" s="20">
        <f>IF('1. MASTER_ENTRY'!$C17="","",'1. MASTER_ENTRY'!$A17)</f>
        <v/>
      </c>
      <c r="B17" s="21">
        <f>IF('1. MASTER_ENTRY'!$C17="","",'1. MASTER_ENTRY'!$C17)</f>
        <v/>
      </c>
      <c r="C17" s="20">
        <f>IF('1. MASTER_ENTRY'!$C17="","",'1. MASTER_ENTRY'!$M17)</f>
        <v/>
      </c>
      <c r="D17" s="22">
        <f>IF('1. MASTER_ENTRY'!$C17="","",'1. MASTER_ENTRY'!$O17)</f>
        <v/>
      </c>
      <c r="E17" s="22">
        <f>IF('1. MASTER_ENTRY'!$C17="","",'1. MASTER_ENTRY'!$Q17)</f>
        <v/>
      </c>
      <c r="F17" s="23">
        <f>IF('1. MASTER_ENTRY'!$C17="","",'1. MASTER_ENTRY'!$S17)</f>
        <v/>
      </c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</row>
    <row r="18" ht="15" customHeight="1">
      <c r="A18" s="16">
        <f>IF('1. MASTER_ENTRY'!$C18="","",'1. MASTER_ENTRY'!$A18)</f>
        <v/>
      </c>
      <c r="B18" s="17">
        <f>IF('1. MASTER_ENTRY'!$C18="","",'1. MASTER_ENTRY'!$C18)</f>
        <v/>
      </c>
      <c r="C18" s="16">
        <f>IF('1. MASTER_ENTRY'!$C18="","",'1. MASTER_ENTRY'!$M18)</f>
        <v/>
      </c>
      <c r="D18" s="18">
        <f>IF('1. MASTER_ENTRY'!$C18="","",'1. MASTER_ENTRY'!$O18)</f>
        <v/>
      </c>
      <c r="E18" s="18">
        <f>IF('1. MASTER_ENTRY'!$C18="","",'1. MASTER_ENTRY'!$Q18)</f>
        <v/>
      </c>
      <c r="F18" s="19">
        <f>IF('1. MASTER_ENTRY'!$C18="","",'1. MASTER_ENTRY'!$S18)</f>
        <v/>
      </c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</row>
    <row r="19" ht="15" customHeight="1">
      <c r="A19" s="20">
        <f>IF('1. MASTER_ENTRY'!$C19="","",'1. MASTER_ENTRY'!$A19)</f>
        <v/>
      </c>
      <c r="B19" s="21">
        <f>IF('1. MASTER_ENTRY'!$C19="","",'1. MASTER_ENTRY'!$C19)</f>
        <v/>
      </c>
      <c r="C19" s="20">
        <f>IF('1. MASTER_ENTRY'!$C19="","",'1. MASTER_ENTRY'!$M19)</f>
        <v/>
      </c>
      <c r="D19" s="22">
        <f>IF('1. MASTER_ENTRY'!$C19="","",'1. MASTER_ENTRY'!$O19)</f>
        <v/>
      </c>
      <c r="E19" s="22">
        <f>IF('1. MASTER_ENTRY'!$C19="","",'1. MASTER_ENTRY'!$Q19)</f>
        <v/>
      </c>
      <c r="F19" s="23">
        <f>IF('1. MASTER_ENTRY'!$C19="","",'1. MASTER_ENTRY'!$S19)</f>
        <v/>
      </c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</row>
    <row r="20" ht="15" customHeight="1">
      <c r="A20" s="16">
        <f>IF('1. MASTER_ENTRY'!$C20="","",'1. MASTER_ENTRY'!$A20)</f>
        <v/>
      </c>
      <c r="B20" s="17">
        <f>IF('1. MASTER_ENTRY'!$C20="","",'1. MASTER_ENTRY'!$C20)</f>
        <v/>
      </c>
      <c r="C20" s="16">
        <f>IF('1. MASTER_ENTRY'!$C20="","",'1. MASTER_ENTRY'!$M20)</f>
        <v/>
      </c>
      <c r="D20" s="18">
        <f>IF('1. MASTER_ENTRY'!$C20="","",'1. MASTER_ENTRY'!$O20)</f>
        <v/>
      </c>
      <c r="E20" s="18">
        <f>IF('1. MASTER_ENTRY'!$C20="","",'1. MASTER_ENTRY'!$Q20)</f>
        <v/>
      </c>
      <c r="F20" s="19">
        <f>IF('1. MASTER_ENTRY'!$C20="","",'1. MASTER_ENTRY'!$S20)</f>
        <v/>
      </c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</row>
    <row r="21" ht="15" customHeight="1">
      <c r="A21" s="20">
        <f>IF('1. MASTER_ENTRY'!$C21="","",'1. MASTER_ENTRY'!$A21)</f>
        <v/>
      </c>
      <c r="B21" s="21">
        <f>IF('1. MASTER_ENTRY'!$C21="","",'1. MASTER_ENTRY'!$C21)</f>
        <v/>
      </c>
      <c r="C21" s="20">
        <f>IF('1. MASTER_ENTRY'!$C21="","",'1. MASTER_ENTRY'!$M21)</f>
        <v/>
      </c>
      <c r="D21" s="22">
        <f>IF('1. MASTER_ENTRY'!$C21="","",'1. MASTER_ENTRY'!$O21)</f>
        <v/>
      </c>
      <c r="E21" s="22">
        <f>IF('1. MASTER_ENTRY'!$C21="","",'1. MASTER_ENTRY'!$Q21)</f>
        <v/>
      </c>
      <c r="F21" s="23">
        <f>IF('1. MASTER_ENTRY'!$C21="","",'1. MASTER_ENTRY'!$S21)</f>
        <v/>
      </c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</row>
    <row r="22" ht="15" customHeight="1">
      <c r="A22" s="16">
        <f>IF('1. MASTER_ENTRY'!$C22="","",'1. MASTER_ENTRY'!$A22)</f>
        <v/>
      </c>
      <c r="B22" s="17">
        <f>IF('1. MASTER_ENTRY'!$C22="","",'1. MASTER_ENTRY'!$C22)</f>
        <v/>
      </c>
      <c r="C22" s="16">
        <f>IF('1. MASTER_ENTRY'!$C22="","",'1. MASTER_ENTRY'!$M22)</f>
        <v/>
      </c>
      <c r="D22" s="18">
        <f>IF('1. MASTER_ENTRY'!$C22="","",'1. MASTER_ENTRY'!$O22)</f>
        <v/>
      </c>
      <c r="E22" s="18">
        <f>IF('1. MASTER_ENTRY'!$C22="","",'1. MASTER_ENTRY'!$Q22)</f>
        <v/>
      </c>
      <c r="F22" s="19">
        <f>IF('1. MASTER_ENTRY'!$C22="","",'1. MASTER_ENTRY'!$S22)</f>
        <v/>
      </c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</row>
    <row r="23" ht="15" customHeight="1">
      <c r="A23" s="20">
        <f>IF('1. MASTER_ENTRY'!$C23="","",'1. MASTER_ENTRY'!$A23)</f>
        <v/>
      </c>
      <c r="B23" s="21">
        <f>IF('1. MASTER_ENTRY'!$C23="","",'1. MASTER_ENTRY'!$C23)</f>
        <v/>
      </c>
      <c r="C23" s="20">
        <f>IF('1. MASTER_ENTRY'!$C23="","",'1. MASTER_ENTRY'!$M23)</f>
        <v/>
      </c>
      <c r="D23" s="22">
        <f>IF('1. MASTER_ENTRY'!$C23="","",'1. MASTER_ENTRY'!$O23)</f>
        <v/>
      </c>
      <c r="E23" s="22">
        <f>IF('1. MASTER_ENTRY'!$C23="","",'1. MASTER_ENTRY'!$Q23)</f>
        <v/>
      </c>
      <c r="F23" s="23">
        <f>IF('1. MASTER_ENTRY'!$C23="","",'1. MASTER_ENTRY'!$S23)</f>
        <v/>
      </c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</row>
    <row r="24" ht="15" customHeight="1">
      <c r="A24" s="16">
        <f>IF('1. MASTER_ENTRY'!$C24="","",'1. MASTER_ENTRY'!$A24)</f>
        <v/>
      </c>
      <c r="B24" s="17">
        <f>IF('1. MASTER_ENTRY'!$C24="","",'1. MASTER_ENTRY'!$C24)</f>
        <v/>
      </c>
      <c r="C24" s="16">
        <f>IF('1. MASTER_ENTRY'!$C24="","",'1. MASTER_ENTRY'!$M24)</f>
        <v/>
      </c>
      <c r="D24" s="18">
        <f>IF('1. MASTER_ENTRY'!$C24="","",'1. MASTER_ENTRY'!$O24)</f>
        <v/>
      </c>
      <c r="E24" s="18">
        <f>IF('1. MASTER_ENTRY'!$C24="","",'1. MASTER_ENTRY'!$Q24)</f>
        <v/>
      </c>
      <c r="F24" s="19">
        <f>IF('1. MASTER_ENTRY'!$C24="","",'1. MASTER_ENTRY'!$S24)</f>
        <v/>
      </c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</row>
    <row r="25" ht="15" customHeight="1">
      <c r="A25" s="20">
        <f>IF('1. MASTER_ENTRY'!$C25="","",'1. MASTER_ENTRY'!$A25)</f>
        <v/>
      </c>
      <c r="B25" s="21">
        <f>IF('1. MASTER_ENTRY'!$C25="","",'1. MASTER_ENTRY'!$C25)</f>
        <v/>
      </c>
      <c r="C25" s="20">
        <f>IF('1. MASTER_ENTRY'!$C25="","",'1. MASTER_ENTRY'!$M25)</f>
        <v/>
      </c>
      <c r="D25" s="22">
        <f>IF('1. MASTER_ENTRY'!$C25="","",'1. MASTER_ENTRY'!$O25)</f>
        <v/>
      </c>
      <c r="E25" s="22">
        <f>IF('1. MASTER_ENTRY'!$C25="","",'1. MASTER_ENTRY'!$Q25)</f>
        <v/>
      </c>
      <c r="F25" s="23">
        <f>IF('1. MASTER_ENTRY'!$C25="","",'1. MASTER_ENTRY'!$S25)</f>
        <v/>
      </c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</row>
    <row r="26" ht="15" customHeight="1">
      <c r="A26" s="16">
        <f>IF('1. MASTER_ENTRY'!$C26="","",'1. MASTER_ENTRY'!$A26)</f>
        <v/>
      </c>
      <c r="B26" s="17">
        <f>IF('1. MASTER_ENTRY'!$C26="","",'1. MASTER_ENTRY'!$C26)</f>
        <v/>
      </c>
      <c r="C26" s="16">
        <f>IF('1. MASTER_ENTRY'!$C26="","",'1. MASTER_ENTRY'!$M26)</f>
        <v/>
      </c>
      <c r="D26" s="18">
        <f>IF('1. MASTER_ENTRY'!$C26="","",'1. MASTER_ENTRY'!$O26)</f>
        <v/>
      </c>
      <c r="E26" s="18">
        <f>IF('1. MASTER_ENTRY'!$C26="","",'1. MASTER_ENTRY'!$Q26)</f>
        <v/>
      </c>
      <c r="F26" s="19">
        <f>IF('1. MASTER_ENTRY'!$C26="","",'1. MASTER_ENTRY'!$S26)</f>
        <v/>
      </c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</row>
    <row r="27" ht="15" customHeight="1">
      <c r="A27" s="20">
        <f>IF('1. MASTER_ENTRY'!$C27="","",'1. MASTER_ENTRY'!$A27)</f>
        <v/>
      </c>
      <c r="B27" s="21">
        <f>IF('1. MASTER_ENTRY'!$C27="","",'1. MASTER_ENTRY'!$C27)</f>
        <v/>
      </c>
      <c r="C27" s="20">
        <f>IF('1. MASTER_ENTRY'!$C27="","",'1. MASTER_ENTRY'!$M27)</f>
        <v/>
      </c>
      <c r="D27" s="22">
        <f>IF('1. MASTER_ENTRY'!$C27="","",'1. MASTER_ENTRY'!$O27)</f>
        <v/>
      </c>
      <c r="E27" s="22">
        <f>IF('1. MASTER_ENTRY'!$C27="","",'1. MASTER_ENTRY'!$Q27)</f>
        <v/>
      </c>
      <c r="F27" s="23">
        <f>IF('1. MASTER_ENTRY'!$C27="","",'1. MASTER_ENTRY'!$S27)</f>
        <v/>
      </c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</row>
    <row r="28" ht="15" customHeight="1">
      <c r="A28" s="16">
        <f>IF('1. MASTER_ENTRY'!$C28="","",'1. MASTER_ENTRY'!$A28)</f>
        <v/>
      </c>
      <c r="B28" s="17">
        <f>IF('1. MASTER_ENTRY'!$C28="","",'1. MASTER_ENTRY'!$C28)</f>
        <v/>
      </c>
      <c r="C28" s="16">
        <f>IF('1. MASTER_ENTRY'!$C28="","",'1. MASTER_ENTRY'!$M28)</f>
        <v/>
      </c>
      <c r="D28" s="18">
        <f>IF('1. MASTER_ENTRY'!$C28="","",'1. MASTER_ENTRY'!$O28)</f>
        <v/>
      </c>
      <c r="E28" s="18">
        <f>IF('1. MASTER_ENTRY'!$C28="","",'1. MASTER_ENTRY'!$Q28)</f>
        <v/>
      </c>
      <c r="F28" s="19">
        <f>IF('1. MASTER_ENTRY'!$C28="","",'1. MASTER_ENTRY'!$S28)</f>
        <v/>
      </c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</row>
    <row r="29" ht="15" customHeight="1">
      <c r="A29" s="20">
        <f>IF('1. MASTER_ENTRY'!$C29="","",'1. MASTER_ENTRY'!$A29)</f>
        <v/>
      </c>
      <c r="B29" s="21">
        <f>IF('1. MASTER_ENTRY'!$C29="","",'1. MASTER_ENTRY'!$C29)</f>
        <v/>
      </c>
      <c r="C29" s="20">
        <f>IF('1. MASTER_ENTRY'!$C29="","",'1. MASTER_ENTRY'!$M29)</f>
        <v/>
      </c>
      <c r="D29" s="22">
        <f>IF('1. MASTER_ENTRY'!$C29="","",'1. MASTER_ENTRY'!$O29)</f>
        <v/>
      </c>
      <c r="E29" s="22">
        <f>IF('1. MASTER_ENTRY'!$C29="","",'1. MASTER_ENTRY'!$Q29)</f>
        <v/>
      </c>
      <c r="F29" s="23">
        <f>IF('1. MASTER_ENTRY'!$C29="","",'1. MASTER_ENTRY'!$S29)</f>
        <v/>
      </c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</row>
    <row r="30" ht="15" customHeight="1">
      <c r="A30" s="16">
        <f>IF('1. MASTER_ENTRY'!$C30="","",'1. MASTER_ENTRY'!$A30)</f>
        <v/>
      </c>
      <c r="B30" s="17">
        <f>IF('1. MASTER_ENTRY'!$C30="","",'1. MASTER_ENTRY'!$C30)</f>
        <v/>
      </c>
      <c r="C30" s="16">
        <f>IF('1. MASTER_ENTRY'!$C30="","",'1. MASTER_ENTRY'!$M30)</f>
        <v/>
      </c>
      <c r="D30" s="18">
        <f>IF('1. MASTER_ENTRY'!$C30="","",'1. MASTER_ENTRY'!$O30)</f>
        <v/>
      </c>
      <c r="E30" s="18">
        <f>IF('1. MASTER_ENTRY'!$C30="","",'1. MASTER_ENTRY'!$Q30)</f>
        <v/>
      </c>
      <c r="F30" s="19">
        <f>IF('1. MASTER_ENTRY'!$C30="","",'1. MASTER_ENTRY'!$S30)</f>
        <v/>
      </c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</row>
    <row r="31" ht="15" customHeight="1">
      <c r="A31" s="20">
        <f>IF('1. MASTER_ENTRY'!$C31="","",'1. MASTER_ENTRY'!$A31)</f>
        <v/>
      </c>
      <c r="B31" s="21">
        <f>IF('1. MASTER_ENTRY'!$C31="","",'1. MASTER_ENTRY'!$C31)</f>
        <v/>
      </c>
      <c r="C31" s="20">
        <f>IF('1. MASTER_ENTRY'!$C31="","",'1. MASTER_ENTRY'!$M31)</f>
        <v/>
      </c>
      <c r="D31" s="22">
        <f>IF('1. MASTER_ENTRY'!$C31="","",'1. MASTER_ENTRY'!$O31)</f>
        <v/>
      </c>
      <c r="E31" s="22">
        <f>IF('1. MASTER_ENTRY'!$C31="","",'1. MASTER_ENTRY'!$Q31)</f>
        <v/>
      </c>
      <c r="F31" s="23">
        <f>IF('1. MASTER_ENTRY'!$C31="","",'1. MASTER_ENTRY'!$S31)</f>
        <v/>
      </c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</row>
    <row r="32" ht="15" customHeight="1">
      <c r="A32" s="16">
        <f>IF('1. MASTER_ENTRY'!$C32="","",'1. MASTER_ENTRY'!$A32)</f>
        <v/>
      </c>
      <c r="B32" s="17">
        <f>IF('1. MASTER_ENTRY'!$C32="","",'1. MASTER_ENTRY'!$C32)</f>
        <v/>
      </c>
      <c r="C32" s="16">
        <f>IF('1. MASTER_ENTRY'!$C32="","",'1. MASTER_ENTRY'!$M32)</f>
        <v/>
      </c>
      <c r="D32" s="18">
        <f>IF('1. MASTER_ENTRY'!$C32="","",'1. MASTER_ENTRY'!$O32)</f>
        <v/>
      </c>
      <c r="E32" s="18">
        <f>IF('1. MASTER_ENTRY'!$C32="","",'1. MASTER_ENTRY'!$Q32)</f>
        <v/>
      </c>
      <c r="F32" s="19">
        <f>IF('1. MASTER_ENTRY'!$C32="","",'1. MASTER_ENTRY'!$S32)</f>
        <v/>
      </c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</row>
    <row r="33" ht="15" customHeight="1">
      <c r="A33" s="20">
        <f>IF('1. MASTER_ENTRY'!$C33="","",'1. MASTER_ENTRY'!$A33)</f>
        <v/>
      </c>
      <c r="B33" s="21">
        <f>IF('1. MASTER_ENTRY'!$C33="","",'1. MASTER_ENTRY'!$C33)</f>
        <v/>
      </c>
      <c r="C33" s="20">
        <f>IF('1. MASTER_ENTRY'!$C33="","",'1. MASTER_ENTRY'!$M33)</f>
        <v/>
      </c>
      <c r="D33" s="22">
        <f>IF('1. MASTER_ENTRY'!$C33="","",'1. MASTER_ENTRY'!$O33)</f>
        <v/>
      </c>
      <c r="E33" s="22">
        <f>IF('1. MASTER_ENTRY'!$C33="","",'1. MASTER_ENTRY'!$Q33)</f>
        <v/>
      </c>
      <c r="F33" s="23">
        <f>IF('1. MASTER_ENTRY'!$C33="","",'1. MASTER_ENTRY'!$S33)</f>
        <v/>
      </c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</row>
    <row r="34" ht="15" customHeight="1">
      <c r="A34" s="16">
        <f>IF('1. MASTER_ENTRY'!$C34="","",'1. MASTER_ENTRY'!$A34)</f>
        <v/>
      </c>
      <c r="B34" s="17">
        <f>IF('1. MASTER_ENTRY'!$C34="","",'1. MASTER_ENTRY'!$C34)</f>
        <v/>
      </c>
      <c r="C34" s="16">
        <f>IF('1. MASTER_ENTRY'!$C34="","",'1. MASTER_ENTRY'!$M34)</f>
        <v/>
      </c>
      <c r="D34" s="18">
        <f>IF('1. MASTER_ENTRY'!$C34="","",'1. MASTER_ENTRY'!$O34)</f>
        <v/>
      </c>
      <c r="E34" s="18">
        <f>IF('1. MASTER_ENTRY'!$C34="","",'1. MASTER_ENTRY'!$Q34)</f>
        <v/>
      </c>
      <c r="F34" s="19">
        <f>IF('1. MASTER_ENTRY'!$C34="","",'1. MASTER_ENTRY'!$S34)</f>
        <v/>
      </c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</row>
    <row r="35" ht="15" customHeight="1">
      <c r="A35" s="20">
        <f>IF('1. MASTER_ENTRY'!$C35="","",'1. MASTER_ENTRY'!$A35)</f>
        <v/>
      </c>
      <c r="B35" s="21">
        <f>IF('1. MASTER_ENTRY'!$C35="","",'1. MASTER_ENTRY'!$C35)</f>
        <v/>
      </c>
      <c r="C35" s="20">
        <f>IF('1. MASTER_ENTRY'!$C35="","",'1. MASTER_ENTRY'!$M35)</f>
        <v/>
      </c>
      <c r="D35" s="22">
        <f>IF('1. MASTER_ENTRY'!$C35="","",'1. MASTER_ENTRY'!$O35)</f>
        <v/>
      </c>
      <c r="E35" s="22">
        <f>IF('1. MASTER_ENTRY'!$C35="","",'1. MASTER_ENTRY'!$Q35)</f>
        <v/>
      </c>
      <c r="F35" s="23">
        <f>IF('1. MASTER_ENTRY'!$C35="","",'1. MASTER_ENTRY'!$S35)</f>
        <v/>
      </c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</row>
    <row r="36" ht="15" customHeight="1">
      <c r="A36" s="16">
        <f>IF('1. MASTER_ENTRY'!$C36="","",'1. MASTER_ENTRY'!$A36)</f>
        <v/>
      </c>
      <c r="B36" s="17">
        <f>IF('1. MASTER_ENTRY'!$C36="","",'1. MASTER_ENTRY'!$C36)</f>
        <v/>
      </c>
      <c r="C36" s="16">
        <f>IF('1. MASTER_ENTRY'!$C36="","",'1. MASTER_ENTRY'!$M36)</f>
        <v/>
      </c>
      <c r="D36" s="18">
        <f>IF('1. MASTER_ENTRY'!$C36="","",'1. MASTER_ENTRY'!$O36)</f>
        <v/>
      </c>
      <c r="E36" s="18">
        <f>IF('1. MASTER_ENTRY'!$C36="","",'1. MASTER_ENTRY'!$Q36)</f>
        <v/>
      </c>
      <c r="F36" s="19">
        <f>IF('1. MASTER_ENTRY'!$C36="","",'1. MASTER_ENTRY'!$S36)</f>
        <v/>
      </c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</row>
    <row r="37" ht="15" customHeight="1">
      <c r="A37" s="20">
        <f>IF('1. MASTER_ENTRY'!$C37="","",'1. MASTER_ENTRY'!$A37)</f>
        <v/>
      </c>
      <c r="B37" s="21">
        <f>IF('1. MASTER_ENTRY'!$C37="","",'1. MASTER_ENTRY'!$C37)</f>
        <v/>
      </c>
      <c r="C37" s="20">
        <f>IF('1. MASTER_ENTRY'!$C37="","",'1. MASTER_ENTRY'!$M37)</f>
        <v/>
      </c>
      <c r="D37" s="22">
        <f>IF('1. MASTER_ENTRY'!$C37="","",'1. MASTER_ENTRY'!$O37)</f>
        <v/>
      </c>
      <c r="E37" s="22">
        <f>IF('1. MASTER_ENTRY'!$C37="","",'1. MASTER_ENTRY'!$Q37)</f>
        <v/>
      </c>
      <c r="F37" s="23">
        <f>IF('1. MASTER_ENTRY'!$C37="","",'1. MASTER_ENTRY'!$S37)</f>
        <v/>
      </c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</row>
    <row r="38" ht="15" customHeight="1">
      <c r="A38" s="16">
        <f>IF('1. MASTER_ENTRY'!$C38="","",'1. MASTER_ENTRY'!$A38)</f>
        <v/>
      </c>
      <c r="B38" s="17">
        <f>IF('1. MASTER_ENTRY'!$C38="","",'1. MASTER_ENTRY'!$C38)</f>
        <v/>
      </c>
      <c r="C38" s="16">
        <f>IF('1. MASTER_ENTRY'!$C38="","",'1. MASTER_ENTRY'!$M38)</f>
        <v/>
      </c>
      <c r="D38" s="18">
        <f>IF('1. MASTER_ENTRY'!$C38="","",'1. MASTER_ENTRY'!$O38)</f>
        <v/>
      </c>
      <c r="E38" s="18">
        <f>IF('1. MASTER_ENTRY'!$C38="","",'1. MASTER_ENTRY'!$Q38)</f>
        <v/>
      </c>
      <c r="F38" s="19">
        <f>IF('1. MASTER_ENTRY'!$C38="","",'1. MASTER_ENTRY'!$S38)</f>
        <v/>
      </c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</row>
    <row r="39" ht="15" customHeight="1">
      <c r="A39" s="20">
        <f>IF('1. MASTER_ENTRY'!$C39="","",'1. MASTER_ENTRY'!$A39)</f>
        <v/>
      </c>
      <c r="B39" s="21">
        <f>IF('1. MASTER_ENTRY'!$C39="","",'1. MASTER_ENTRY'!$C39)</f>
        <v/>
      </c>
      <c r="C39" s="20">
        <f>IF('1. MASTER_ENTRY'!$C39="","",'1. MASTER_ENTRY'!$M39)</f>
        <v/>
      </c>
      <c r="D39" s="22">
        <f>IF('1. MASTER_ENTRY'!$C39="","",'1. MASTER_ENTRY'!$O39)</f>
        <v/>
      </c>
      <c r="E39" s="22">
        <f>IF('1. MASTER_ENTRY'!$C39="","",'1. MASTER_ENTRY'!$Q39)</f>
        <v/>
      </c>
      <c r="F39" s="23">
        <f>IF('1. MASTER_ENTRY'!$C39="","",'1. MASTER_ENTRY'!$S39)</f>
        <v/>
      </c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</row>
    <row r="40" ht="15" customHeight="1">
      <c r="A40" s="16">
        <f>IF('1. MASTER_ENTRY'!$C40="","",'1. MASTER_ENTRY'!$A40)</f>
        <v/>
      </c>
      <c r="B40" s="17">
        <f>IF('1. MASTER_ENTRY'!$C40="","",'1. MASTER_ENTRY'!$C40)</f>
        <v/>
      </c>
      <c r="C40" s="16">
        <f>IF('1. MASTER_ENTRY'!$C40="","",'1. MASTER_ENTRY'!$M40)</f>
        <v/>
      </c>
      <c r="D40" s="18">
        <f>IF('1. MASTER_ENTRY'!$C40="","",'1. MASTER_ENTRY'!$O40)</f>
        <v/>
      </c>
      <c r="E40" s="18">
        <f>IF('1. MASTER_ENTRY'!$C40="","",'1. MASTER_ENTRY'!$Q40)</f>
        <v/>
      </c>
      <c r="F40" s="19">
        <f>IF('1. MASTER_ENTRY'!$C40="","",'1. MASTER_ENTRY'!$S40)</f>
        <v/>
      </c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</row>
    <row r="41" ht="15" customHeight="1">
      <c r="A41" s="20">
        <f>IF('1. MASTER_ENTRY'!$C41="","",'1. MASTER_ENTRY'!$A41)</f>
        <v/>
      </c>
      <c r="B41" s="21">
        <f>IF('1. MASTER_ENTRY'!$C41="","",'1. MASTER_ENTRY'!$C41)</f>
        <v/>
      </c>
      <c r="C41" s="20">
        <f>IF('1. MASTER_ENTRY'!$C41="","",'1. MASTER_ENTRY'!$M41)</f>
        <v/>
      </c>
      <c r="D41" s="22">
        <f>IF('1. MASTER_ENTRY'!$C41="","",'1. MASTER_ENTRY'!$O41)</f>
        <v/>
      </c>
      <c r="E41" s="22">
        <f>IF('1. MASTER_ENTRY'!$C41="","",'1. MASTER_ENTRY'!$Q41)</f>
        <v/>
      </c>
      <c r="F41" s="23">
        <f>IF('1. MASTER_ENTRY'!$C41="","",'1. MASTER_ENTRY'!$S41)</f>
        <v/>
      </c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</row>
    <row r="42" ht="15" customHeight="1">
      <c r="A42" s="16">
        <f>IF('1. MASTER_ENTRY'!$C42="","",'1. MASTER_ENTRY'!$A42)</f>
        <v/>
      </c>
      <c r="B42" s="17">
        <f>IF('1. MASTER_ENTRY'!$C42="","",'1. MASTER_ENTRY'!$C42)</f>
        <v/>
      </c>
      <c r="C42" s="16">
        <f>IF('1. MASTER_ENTRY'!$C42="","",'1. MASTER_ENTRY'!$M42)</f>
        <v/>
      </c>
      <c r="D42" s="18">
        <f>IF('1. MASTER_ENTRY'!$C42="","",'1. MASTER_ENTRY'!$O42)</f>
        <v/>
      </c>
      <c r="E42" s="18">
        <f>IF('1. MASTER_ENTRY'!$C42="","",'1. MASTER_ENTRY'!$Q42)</f>
        <v/>
      </c>
      <c r="F42" s="19">
        <f>IF('1. MASTER_ENTRY'!$C42="","",'1. MASTER_ENTRY'!$S42)</f>
        <v/>
      </c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</row>
    <row r="43" ht="15" customHeight="1">
      <c r="A43" s="20">
        <f>IF('1. MASTER_ENTRY'!$C43="","",'1. MASTER_ENTRY'!$A43)</f>
        <v/>
      </c>
      <c r="B43" s="21">
        <f>IF('1. MASTER_ENTRY'!$C43="","",'1. MASTER_ENTRY'!$C43)</f>
        <v/>
      </c>
      <c r="C43" s="20">
        <f>IF('1. MASTER_ENTRY'!$C43="","",'1. MASTER_ENTRY'!$M43)</f>
        <v/>
      </c>
      <c r="D43" s="22">
        <f>IF('1. MASTER_ENTRY'!$C43="","",'1. MASTER_ENTRY'!$O43)</f>
        <v/>
      </c>
      <c r="E43" s="22">
        <f>IF('1. MASTER_ENTRY'!$C43="","",'1. MASTER_ENTRY'!$Q43)</f>
        <v/>
      </c>
      <c r="F43" s="23">
        <f>IF('1. MASTER_ENTRY'!$C43="","",'1. MASTER_ENTRY'!$S43)</f>
        <v/>
      </c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</row>
    <row r="44" ht="15" customHeight="1">
      <c r="A44" s="16">
        <f>IF('1. MASTER_ENTRY'!$C44="","",'1. MASTER_ENTRY'!$A44)</f>
        <v/>
      </c>
      <c r="B44" s="17">
        <f>IF('1. MASTER_ENTRY'!$C44="","",'1. MASTER_ENTRY'!$C44)</f>
        <v/>
      </c>
      <c r="C44" s="16">
        <f>IF('1. MASTER_ENTRY'!$C44="","",'1. MASTER_ENTRY'!$M44)</f>
        <v/>
      </c>
      <c r="D44" s="18">
        <f>IF('1. MASTER_ENTRY'!$C44="","",'1. MASTER_ENTRY'!$O44)</f>
        <v/>
      </c>
      <c r="E44" s="18">
        <f>IF('1. MASTER_ENTRY'!$C44="","",'1. MASTER_ENTRY'!$Q44)</f>
        <v/>
      </c>
      <c r="F44" s="19">
        <f>IF('1. MASTER_ENTRY'!$C44="","",'1. MASTER_ENTRY'!$S44)</f>
        <v/>
      </c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</row>
    <row r="45" ht="15" customHeight="1">
      <c r="A45" s="20">
        <f>IF('1. MASTER_ENTRY'!$C45="","",'1. MASTER_ENTRY'!$A45)</f>
        <v/>
      </c>
      <c r="B45" s="21">
        <f>IF('1. MASTER_ENTRY'!$C45="","",'1. MASTER_ENTRY'!$C45)</f>
        <v/>
      </c>
      <c r="C45" s="20">
        <f>IF('1. MASTER_ENTRY'!$C45="","",'1. MASTER_ENTRY'!$M45)</f>
        <v/>
      </c>
      <c r="D45" s="22">
        <f>IF('1. MASTER_ENTRY'!$C45="","",'1. MASTER_ENTRY'!$O45)</f>
        <v/>
      </c>
      <c r="E45" s="22">
        <f>IF('1. MASTER_ENTRY'!$C45="","",'1. MASTER_ENTRY'!$Q45)</f>
        <v/>
      </c>
      <c r="F45" s="23">
        <f>IF('1. MASTER_ENTRY'!$C45="","",'1. MASTER_ENTRY'!$S45)</f>
        <v/>
      </c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</row>
    <row r="46" ht="15" customHeight="1">
      <c r="A46" s="16">
        <f>IF('1. MASTER_ENTRY'!$C46="","",'1. MASTER_ENTRY'!$A46)</f>
        <v/>
      </c>
      <c r="B46" s="17">
        <f>IF('1. MASTER_ENTRY'!$C46="","",'1. MASTER_ENTRY'!$C46)</f>
        <v/>
      </c>
      <c r="C46" s="16">
        <f>IF('1. MASTER_ENTRY'!$C46="","",'1. MASTER_ENTRY'!$M46)</f>
        <v/>
      </c>
      <c r="D46" s="18">
        <f>IF('1. MASTER_ENTRY'!$C46="","",'1. MASTER_ENTRY'!$O46)</f>
        <v/>
      </c>
      <c r="E46" s="18">
        <f>IF('1. MASTER_ENTRY'!$C46="","",'1. MASTER_ENTRY'!$Q46)</f>
        <v/>
      </c>
      <c r="F46" s="19">
        <f>IF('1. MASTER_ENTRY'!$C46="","",'1. MASTER_ENTRY'!$S46)</f>
        <v/>
      </c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</row>
    <row r="47" ht="15" customHeight="1">
      <c r="A47" s="20">
        <f>IF('1. MASTER_ENTRY'!$C47="","",'1. MASTER_ENTRY'!$A47)</f>
        <v/>
      </c>
      <c r="B47" s="21">
        <f>IF('1. MASTER_ENTRY'!$C47="","",'1. MASTER_ENTRY'!$C47)</f>
        <v/>
      </c>
      <c r="C47" s="20">
        <f>IF('1. MASTER_ENTRY'!$C47="","",'1. MASTER_ENTRY'!$M47)</f>
        <v/>
      </c>
      <c r="D47" s="22">
        <f>IF('1. MASTER_ENTRY'!$C47="","",'1. MASTER_ENTRY'!$O47)</f>
        <v/>
      </c>
      <c r="E47" s="22">
        <f>IF('1. MASTER_ENTRY'!$C47="","",'1. MASTER_ENTRY'!$Q47)</f>
        <v/>
      </c>
      <c r="F47" s="23">
        <f>IF('1. MASTER_ENTRY'!$C47="","",'1. MASTER_ENTRY'!$S47)</f>
        <v/>
      </c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</row>
    <row r="48" ht="15" customHeight="1">
      <c r="A48" s="16">
        <f>IF('1. MASTER_ENTRY'!$C48="","",'1. MASTER_ENTRY'!$A48)</f>
        <v/>
      </c>
      <c r="B48" s="17">
        <f>IF('1. MASTER_ENTRY'!$C48="","",'1. MASTER_ENTRY'!$C48)</f>
        <v/>
      </c>
      <c r="C48" s="16">
        <f>IF('1. MASTER_ENTRY'!$C48="","",'1. MASTER_ENTRY'!$M48)</f>
        <v/>
      </c>
      <c r="D48" s="18">
        <f>IF('1. MASTER_ENTRY'!$C48="","",'1. MASTER_ENTRY'!$O48)</f>
        <v/>
      </c>
      <c r="E48" s="18">
        <f>IF('1. MASTER_ENTRY'!$C48="","",'1. MASTER_ENTRY'!$Q48)</f>
        <v/>
      </c>
      <c r="F48" s="19">
        <f>IF('1. MASTER_ENTRY'!$C48="","",'1. MASTER_ENTRY'!$S48)</f>
        <v/>
      </c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</row>
    <row r="49" ht="15" customHeight="1">
      <c r="A49" s="20">
        <f>IF('1. MASTER_ENTRY'!$C49="","",'1. MASTER_ENTRY'!$A49)</f>
        <v/>
      </c>
      <c r="B49" s="21">
        <f>IF('1. MASTER_ENTRY'!$C49="","",'1. MASTER_ENTRY'!$C49)</f>
        <v/>
      </c>
      <c r="C49" s="20">
        <f>IF('1. MASTER_ENTRY'!$C49="","",'1. MASTER_ENTRY'!$M49)</f>
        <v/>
      </c>
      <c r="D49" s="22">
        <f>IF('1. MASTER_ENTRY'!$C49="","",'1. MASTER_ENTRY'!$O49)</f>
        <v/>
      </c>
      <c r="E49" s="22">
        <f>IF('1. MASTER_ENTRY'!$C49="","",'1. MASTER_ENTRY'!$Q49)</f>
        <v/>
      </c>
      <c r="F49" s="23">
        <f>IF('1. MASTER_ENTRY'!$C49="","",'1. MASTER_ENTRY'!$S49)</f>
        <v/>
      </c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</row>
    <row r="50" ht="15" customHeight="1">
      <c r="A50" s="16">
        <f>IF('1. MASTER_ENTRY'!$C50="","",'1. MASTER_ENTRY'!$A50)</f>
        <v/>
      </c>
      <c r="B50" s="17">
        <f>IF('1. MASTER_ENTRY'!$C50="","",'1. MASTER_ENTRY'!$C50)</f>
        <v/>
      </c>
      <c r="C50" s="16">
        <f>IF('1. MASTER_ENTRY'!$C50="","",'1. MASTER_ENTRY'!$M50)</f>
        <v/>
      </c>
      <c r="D50" s="18">
        <f>IF('1. MASTER_ENTRY'!$C50="","",'1. MASTER_ENTRY'!$O50)</f>
        <v/>
      </c>
      <c r="E50" s="18">
        <f>IF('1. MASTER_ENTRY'!$C50="","",'1. MASTER_ENTRY'!$Q50)</f>
        <v/>
      </c>
      <c r="F50" s="19">
        <f>IF('1. MASTER_ENTRY'!$C50="","",'1. MASTER_ENTRY'!$S50)</f>
        <v/>
      </c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</row>
    <row r="51" ht="15" customHeight="1">
      <c r="A51" s="20">
        <f>IF('1. MASTER_ENTRY'!$C51="","",'1. MASTER_ENTRY'!$A51)</f>
        <v/>
      </c>
      <c r="B51" s="21">
        <f>IF('1. MASTER_ENTRY'!$C51="","",'1. MASTER_ENTRY'!$C51)</f>
        <v/>
      </c>
      <c r="C51" s="20">
        <f>IF('1. MASTER_ENTRY'!$C51="","",'1. MASTER_ENTRY'!$M51)</f>
        <v/>
      </c>
      <c r="D51" s="22">
        <f>IF('1. MASTER_ENTRY'!$C51="","",'1. MASTER_ENTRY'!$O51)</f>
        <v/>
      </c>
      <c r="E51" s="22">
        <f>IF('1. MASTER_ENTRY'!$C51="","",'1. MASTER_ENTRY'!$Q51)</f>
        <v/>
      </c>
      <c r="F51" s="23">
        <f>IF('1. MASTER_ENTRY'!$C51="","",'1. MASTER_ENTRY'!$S51)</f>
        <v/>
      </c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</row>
    <row r="52" ht="15" customHeight="1">
      <c r="A52" s="16">
        <f>IF('1. MASTER_ENTRY'!$C52="","",'1. MASTER_ENTRY'!$A52)</f>
        <v/>
      </c>
      <c r="B52" s="17">
        <f>IF('1. MASTER_ENTRY'!$C52="","",'1. MASTER_ENTRY'!$C52)</f>
        <v/>
      </c>
      <c r="C52" s="16">
        <f>IF('1. MASTER_ENTRY'!$C52="","",'1. MASTER_ENTRY'!$M52)</f>
        <v/>
      </c>
      <c r="D52" s="18">
        <f>IF('1. MASTER_ENTRY'!$C52="","",'1. MASTER_ENTRY'!$O52)</f>
        <v/>
      </c>
      <c r="E52" s="18">
        <f>IF('1. MASTER_ENTRY'!$C52="","",'1. MASTER_ENTRY'!$Q52)</f>
        <v/>
      </c>
      <c r="F52" s="19">
        <f>IF('1. MASTER_ENTRY'!$C52="","",'1. MASTER_ENTRY'!$S52)</f>
        <v/>
      </c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</row>
    <row r="53" ht="15" customHeight="1">
      <c r="A53" s="20">
        <f>IF('1. MASTER_ENTRY'!$C53="","",'1. MASTER_ENTRY'!$A53)</f>
        <v/>
      </c>
      <c r="B53" s="21">
        <f>IF('1. MASTER_ENTRY'!$C53="","",'1. MASTER_ENTRY'!$C53)</f>
        <v/>
      </c>
      <c r="C53" s="20">
        <f>IF('1. MASTER_ENTRY'!$C53="","",'1. MASTER_ENTRY'!$M53)</f>
        <v/>
      </c>
      <c r="D53" s="22">
        <f>IF('1. MASTER_ENTRY'!$C53="","",'1. MASTER_ENTRY'!$O53)</f>
        <v/>
      </c>
      <c r="E53" s="22">
        <f>IF('1. MASTER_ENTRY'!$C53="","",'1. MASTER_ENTRY'!$Q53)</f>
        <v/>
      </c>
      <c r="F53" s="23">
        <f>IF('1. MASTER_ENTRY'!$C53="","",'1. MASTER_ENTRY'!$S53)</f>
        <v/>
      </c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</row>
    <row r="54" ht="15" customHeight="1">
      <c r="A54" s="16">
        <f>IF('1. MASTER_ENTRY'!$C54="","",'1. MASTER_ENTRY'!$A54)</f>
        <v/>
      </c>
      <c r="B54" s="17">
        <f>IF('1. MASTER_ENTRY'!$C54="","",'1. MASTER_ENTRY'!$C54)</f>
        <v/>
      </c>
      <c r="C54" s="16">
        <f>IF('1. MASTER_ENTRY'!$C54="","",'1. MASTER_ENTRY'!$M54)</f>
        <v/>
      </c>
      <c r="D54" s="18">
        <f>IF('1. MASTER_ENTRY'!$C54="","",'1. MASTER_ENTRY'!$O54)</f>
        <v/>
      </c>
      <c r="E54" s="18">
        <f>IF('1. MASTER_ENTRY'!$C54="","",'1. MASTER_ENTRY'!$Q54)</f>
        <v/>
      </c>
      <c r="F54" s="19">
        <f>IF('1. MASTER_ENTRY'!$C54="","",'1. MASTER_ENTRY'!$S54)</f>
        <v/>
      </c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</row>
    <row r="55" ht="15" customHeight="1">
      <c r="A55" s="20">
        <f>IF('1. MASTER_ENTRY'!$C55="","",'1. MASTER_ENTRY'!$A55)</f>
        <v/>
      </c>
      <c r="B55" s="21">
        <f>IF('1. MASTER_ENTRY'!$C55="","",'1. MASTER_ENTRY'!$C55)</f>
        <v/>
      </c>
      <c r="C55" s="20">
        <f>IF('1. MASTER_ENTRY'!$C55="","",'1. MASTER_ENTRY'!$M55)</f>
        <v/>
      </c>
      <c r="D55" s="22">
        <f>IF('1. MASTER_ENTRY'!$C55="","",'1. MASTER_ENTRY'!$O55)</f>
        <v/>
      </c>
      <c r="E55" s="22">
        <f>IF('1. MASTER_ENTRY'!$C55="","",'1. MASTER_ENTRY'!$Q55)</f>
        <v/>
      </c>
      <c r="F55" s="23">
        <f>IF('1. MASTER_ENTRY'!$C55="","",'1. MASTER_ENTRY'!$S55)</f>
        <v/>
      </c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</row>
    <row r="56" ht="15" customHeight="1">
      <c r="A56" s="16">
        <f>IF('1. MASTER_ENTRY'!$C56="","",'1. MASTER_ENTRY'!$A56)</f>
        <v/>
      </c>
      <c r="B56" s="17">
        <f>IF('1. MASTER_ENTRY'!$C56="","",'1. MASTER_ENTRY'!$C56)</f>
        <v/>
      </c>
      <c r="C56" s="16">
        <f>IF('1. MASTER_ENTRY'!$C56="","",'1. MASTER_ENTRY'!$M56)</f>
        <v/>
      </c>
      <c r="D56" s="18">
        <f>IF('1. MASTER_ENTRY'!$C56="","",'1. MASTER_ENTRY'!$O56)</f>
        <v/>
      </c>
      <c r="E56" s="18">
        <f>IF('1. MASTER_ENTRY'!$C56="","",'1. MASTER_ENTRY'!$Q56)</f>
        <v/>
      </c>
      <c r="F56" s="19">
        <f>IF('1. MASTER_ENTRY'!$C56="","",'1. MASTER_ENTRY'!$S56)</f>
        <v/>
      </c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</row>
    <row r="57" ht="15" customHeight="1">
      <c r="A57" s="20">
        <f>IF('1. MASTER_ENTRY'!$C57="","",'1. MASTER_ENTRY'!$A57)</f>
        <v/>
      </c>
      <c r="B57" s="21">
        <f>IF('1. MASTER_ENTRY'!$C57="","",'1. MASTER_ENTRY'!$C57)</f>
        <v/>
      </c>
      <c r="C57" s="20">
        <f>IF('1. MASTER_ENTRY'!$C57="","",'1. MASTER_ENTRY'!$M57)</f>
        <v/>
      </c>
      <c r="D57" s="22">
        <f>IF('1. MASTER_ENTRY'!$C57="","",'1. MASTER_ENTRY'!$O57)</f>
        <v/>
      </c>
      <c r="E57" s="22">
        <f>IF('1. MASTER_ENTRY'!$C57="","",'1. MASTER_ENTRY'!$Q57)</f>
        <v/>
      </c>
      <c r="F57" s="23">
        <f>IF('1. MASTER_ENTRY'!$C57="","",'1. MASTER_ENTRY'!$S57)</f>
        <v/>
      </c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</row>
    <row r="58" ht="15" customHeight="1">
      <c r="A58" s="16">
        <f>IF('1. MASTER_ENTRY'!$C58="","",'1. MASTER_ENTRY'!$A58)</f>
        <v/>
      </c>
      <c r="B58" s="17">
        <f>IF('1. MASTER_ENTRY'!$C58="","",'1. MASTER_ENTRY'!$C58)</f>
        <v/>
      </c>
      <c r="C58" s="16">
        <f>IF('1. MASTER_ENTRY'!$C58="","",'1. MASTER_ENTRY'!$M58)</f>
        <v/>
      </c>
      <c r="D58" s="18">
        <f>IF('1. MASTER_ENTRY'!$C58="","",'1. MASTER_ENTRY'!$O58)</f>
        <v/>
      </c>
      <c r="E58" s="18">
        <f>IF('1. MASTER_ENTRY'!$C58="","",'1. MASTER_ENTRY'!$Q58)</f>
        <v/>
      </c>
      <c r="F58" s="19">
        <f>IF('1. MASTER_ENTRY'!$C58="","",'1. MASTER_ENTRY'!$S58)</f>
        <v/>
      </c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</row>
    <row r="59" ht="15" customHeight="1">
      <c r="A59" s="20">
        <f>IF('1. MASTER_ENTRY'!$C59="","",'1. MASTER_ENTRY'!$A59)</f>
        <v/>
      </c>
      <c r="B59" s="21">
        <f>IF('1. MASTER_ENTRY'!$C59="","",'1. MASTER_ENTRY'!$C59)</f>
        <v/>
      </c>
      <c r="C59" s="20">
        <f>IF('1. MASTER_ENTRY'!$C59="","",'1. MASTER_ENTRY'!$M59)</f>
        <v/>
      </c>
      <c r="D59" s="22">
        <f>IF('1. MASTER_ENTRY'!$C59="","",'1. MASTER_ENTRY'!$O59)</f>
        <v/>
      </c>
      <c r="E59" s="22">
        <f>IF('1. MASTER_ENTRY'!$C59="","",'1. MASTER_ENTRY'!$Q59)</f>
        <v/>
      </c>
      <c r="F59" s="23">
        <f>IF('1. MASTER_ENTRY'!$C59="","",'1. MASTER_ENTRY'!$S59)</f>
        <v/>
      </c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</row>
    <row r="60" ht="15" customHeight="1">
      <c r="A60" s="16">
        <f>IF('1. MASTER_ENTRY'!$C60="","",'1. MASTER_ENTRY'!$A60)</f>
        <v/>
      </c>
      <c r="B60" s="17">
        <f>IF('1. MASTER_ENTRY'!$C60="","",'1. MASTER_ENTRY'!$C60)</f>
        <v/>
      </c>
      <c r="C60" s="16">
        <f>IF('1. MASTER_ENTRY'!$C60="","",'1. MASTER_ENTRY'!$M60)</f>
        <v/>
      </c>
      <c r="D60" s="18">
        <f>IF('1. MASTER_ENTRY'!$C60="","",'1. MASTER_ENTRY'!$O60)</f>
        <v/>
      </c>
      <c r="E60" s="18">
        <f>IF('1. MASTER_ENTRY'!$C60="","",'1. MASTER_ENTRY'!$Q60)</f>
        <v/>
      </c>
      <c r="F60" s="19">
        <f>IF('1. MASTER_ENTRY'!$C60="","",'1. MASTER_ENTRY'!$S60)</f>
        <v/>
      </c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</row>
    <row r="61" ht="15" customHeight="1">
      <c r="A61" s="20">
        <f>IF('1. MASTER_ENTRY'!$C61="","",'1. MASTER_ENTRY'!$A61)</f>
        <v/>
      </c>
      <c r="B61" s="21">
        <f>IF('1. MASTER_ENTRY'!$C61="","",'1. MASTER_ENTRY'!$C61)</f>
        <v/>
      </c>
      <c r="C61" s="20">
        <f>IF('1. MASTER_ENTRY'!$C61="","",'1. MASTER_ENTRY'!$M61)</f>
        <v/>
      </c>
      <c r="D61" s="22">
        <f>IF('1. MASTER_ENTRY'!$C61="","",'1. MASTER_ENTRY'!$O61)</f>
        <v/>
      </c>
      <c r="E61" s="22">
        <f>IF('1. MASTER_ENTRY'!$C61="","",'1. MASTER_ENTRY'!$Q61)</f>
        <v/>
      </c>
      <c r="F61" s="23">
        <f>IF('1. MASTER_ENTRY'!$C61="","",'1. MASTER_ENTRY'!$S61)</f>
        <v/>
      </c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</row>
    <row r="62" ht="15" customHeight="1">
      <c r="A62" s="16">
        <f>IF('1. MASTER_ENTRY'!$C62="","",'1. MASTER_ENTRY'!$A62)</f>
        <v/>
      </c>
      <c r="B62" s="17">
        <f>IF('1. MASTER_ENTRY'!$C62="","",'1. MASTER_ENTRY'!$C62)</f>
        <v/>
      </c>
      <c r="C62" s="16">
        <f>IF('1. MASTER_ENTRY'!$C62="","",'1. MASTER_ENTRY'!$M62)</f>
        <v/>
      </c>
      <c r="D62" s="18">
        <f>IF('1. MASTER_ENTRY'!$C62="","",'1. MASTER_ENTRY'!$O62)</f>
        <v/>
      </c>
      <c r="E62" s="18">
        <f>IF('1. MASTER_ENTRY'!$C62="","",'1. MASTER_ENTRY'!$Q62)</f>
        <v/>
      </c>
      <c r="F62" s="19">
        <f>IF('1. MASTER_ENTRY'!$C62="","",'1. MASTER_ENTRY'!$S62)</f>
        <v/>
      </c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</row>
    <row r="63" ht="15" customHeight="1">
      <c r="A63" s="20">
        <f>IF('1. MASTER_ENTRY'!$C63="","",'1. MASTER_ENTRY'!$A63)</f>
        <v/>
      </c>
      <c r="B63" s="21">
        <f>IF('1. MASTER_ENTRY'!$C63="","",'1. MASTER_ENTRY'!$C63)</f>
        <v/>
      </c>
      <c r="C63" s="20">
        <f>IF('1. MASTER_ENTRY'!$C63="","",'1. MASTER_ENTRY'!$M63)</f>
        <v/>
      </c>
      <c r="D63" s="22">
        <f>IF('1. MASTER_ENTRY'!$C63="","",'1. MASTER_ENTRY'!$O63)</f>
        <v/>
      </c>
      <c r="E63" s="22">
        <f>IF('1. MASTER_ENTRY'!$C63="","",'1. MASTER_ENTRY'!$Q63)</f>
        <v/>
      </c>
      <c r="F63" s="23">
        <f>IF('1. MASTER_ENTRY'!$C63="","",'1. MASTER_ENTRY'!$S63)</f>
        <v/>
      </c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</row>
    <row r="65">
      <c r="B65" s="33" t="inlineStr">
        <is>
          <t>Legend:</t>
        </is>
      </c>
      <c r="C65" s="34" t="inlineStr">
        <is>
          <t>Scheduled</t>
        </is>
      </c>
      <c r="D65" s="35" t="inlineStr">
        <is>
          <t>Completed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AD2"/>
    <mergeCell ref="A1:AD1"/>
  </mergeCells>
  <conditionalFormatting sqref="G4:AD63">
    <cfRule type="expression" priority="1" dxfId="2">
      <formula>AND(G$3&gt;=$D4,G$3&lt;=$E4+6,$D4&lt;&gt;"")</formula>
    </cfRule>
    <cfRule type="expression" priority="2" dxfId="3">
      <formula>AND(G$3&gt;=$D4,G$3&lt;=$D4+($E4-$D4)*$F4,$D4&lt;&gt;"")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9" customWidth="1" min="7" max="7"/>
    <col width="9" customWidth="1" min="8" max="8"/>
  </cols>
  <sheetData>
    <row r="1" ht="34" customHeight="1">
      <c r="A1" s="27" t="inlineStr">
        <is>
          <t xml:space="preserve">  SIX SIGMA  -  defect &amp; Sigma-level trend (live chart)</t>
        </is>
      </c>
    </row>
    <row r="2" ht="20" customHeight="1">
      <c r="A2" s="2" t="inlineStr">
        <is>
          <t xml:space="preserve">  Choose Units, Defects and Opps/Unit from dropdowns. Defect%, DPMO and Sigma auto-calc.</t>
        </is>
      </c>
    </row>
    <row r="3" ht="30" customHeight="1">
      <c r="A3" s="28" t="inlineStr">
        <is>
          <t>WEEK</t>
        </is>
      </c>
      <c r="B3" s="28" t="inlineStr">
        <is>
          <t>UNITS
(choose)</t>
        </is>
      </c>
      <c r="C3" s="28" t="inlineStr">
        <is>
          <t>DEFECTS
(choose)</t>
        </is>
      </c>
      <c r="D3" s="28" t="inlineStr">
        <is>
          <t>OPPS/UNIT
(choose)</t>
        </is>
      </c>
      <c r="E3" s="28" t="inlineStr">
        <is>
          <t>DEFECT %</t>
        </is>
      </c>
      <c r="F3" s="28" t="inlineStr">
        <is>
          <t>DPMO</t>
        </is>
      </c>
      <c r="G3" s="28" t="inlineStr">
        <is>
          <t>SIGMA</t>
        </is>
      </c>
      <c r="H3" s="28" t="inlineStr">
        <is>
          <t>TARGET</t>
        </is>
      </c>
    </row>
    <row r="4">
      <c r="A4" s="20" t="inlineStr">
        <is>
          <t>Week 1</t>
        </is>
      </c>
      <c r="B4" s="11" t="n">
        <v>600</v>
      </c>
      <c r="C4" s="11" t="n">
        <v>72</v>
      </c>
      <c r="D4" s="11" t="n">
        <v>5</v>
      </c>
      <c r="E4" s="36">
        <f>IF(OR(B4="",C4=""),"",C4/(B4*D4))</f>
        <v/>
      </c>
      <c r="F4" s="8">
        <f>IF(E4="","",E4*1000000)</f>
        <v/>
      </c>
      <c r="G4" s="8">
        <f>IF(OR(F4="",F4=0),"",ROUND(0.8406+SQRT(MAX(29.37-2.221*LN(F4),0)),2))</f>
        <v/>
      </c>
      <c r="H4" s="20" t="n">
        <v>4.5</v>
      </c>
    </row>
    <row r="5">
      <c r="A5" s="20" t="inlineStr">
        <is>
          <t>Week 2</t>
        </is>
      </c>
      <c r="B5" s="11" t="n">
        <v>580</v>
      </c>
      <c r="C5" s="11" t="n">
        <v>65</v>
      </c>
      <c r="D5" s="11" t="n">
        <v>5</v>
      </c>
      <c r="E5" s="36">
        <f>IF(OR(B5="",C5=""),"",C5/(B5*D5))</f>
        <v/>
      </c>
      <c r="F5" s="8">
        <f>IF(E5="","",E5*1000000)</f>
        <v/>
      </c>
      <c r="G5" s="8">
        <f>IF(OR(F5="",F5=0),"",ROUND(0.8406+SQRT(MAX(29.37-2.221*LN(F5),0)),2))</f>
        <v/>
      </c>
      <c r="H5" s="20" t="n">
        <v>4.5</v>
      </c>
    </row>
    <row r="6">
      <c r="A6" s="20" t="inlineStr">
        <is>
          <t>Week 3</t>
        </is>
      </c>
      <c r="B6" s="11" t="n">
        <v>610</v>
      </c>
      <c r="C6" s="11" t="n">
        <v>58</v>
      </c>
      <c r="D6" s="11" t="n">
        <v>5</v>
      </c>
      <c r="E6" s="36">
        <f>IF(OR(B6="",C6=""),"",C6/(B6*D6))</f>
        <v/>
      </c>
      <c r="F6" s="8">
        <f>IF(E6="","",E6*1000000)</f>
        <v/>
      </c>
      <c r="G6" s="8">
        <f>IF(OR(F6="",F6=0),"",ROUND(0.8406+SQRT(MAX(29.37-2.221*LN(F6),0)),2))</f>
        <v/>
      </c>
      <c r="H6" s="20" t="n">
        <v>4.5</v>
      </c>
    </row>
    <row r="7">
      <c r="A7" s="20" t="inlineStr">
        <is>
          <t>Week 4</t>
        </is>
      </c>
      <c r="B7" s="11" t="n">
        <v>595</v>
      </c>
      <c r="C7" s="11" t="n">
        <v>50</v>
      </c>
      <c r="D7" s="11" t="n">
        <v>5</v>
      </c>
      <c r="E7" s="36">
        <f>IF(OR(B7="",C7=""),"",C7/(B7*D7))</f>
        <v/>
      </c>
      <c r="F7" s="8">
        <f>IF(E7="","",E7*1000000)</f>
        <v/>
      </c>
      <c r="G7" s="8">
        <f>IF(OR(F7="",F7=0),"",ROUND(0.8406+SQRT(MAX(29.37-2.221*LN(F7),0)),2))</f>
        <v/>
      </c>
      <c r="H7" s="20" t="n">
        <v>4.5</v>
      </c>
    </row>
    <row r="8">
      <c r="A8" s="20" t="inlineStr">
        <is>
          <t>Week 5</t>
        </is>
      </c>
      <c r="B8" s="11" t="n">
        <v>620</v>
      </c>
      <c r="C8" s="11" t="n">
        <v>45</v>
      </c>
      <c r="D8" s="11" t="n">
        <v>5</v>
      </c>
      <c r="E8" s="36">
        <f>IF(OR(B8="",C8=""),"",C8/(B8*D8))</f>
        <v/>
      </c>
      <c r="F8" s="8">
        <f>IF(E8="","",E8*1000000)</f>
        <v/>
      </c>
      <c r="G8" s="8">
        <f>IF(OR(F8="",F8=0),"",ROUND(0.8406+SQRT(MAX(29.37-2.221*LN(F8),0)),2))</f>
        <v/>
      </c>
      <c r="H8" s="20" t="n">
        <v>4.5</v>
      </c>
    </row>
    <row r="9">
      <c r="A9" s="20" t="inlineStr">
        <is>
          <t>Week 6</t>
        </is>
      </c>
      <c r="B9" s="11" t="n">
        <v>605</v>
      </c>
      <c r="C9" s="11" t="n">
        <v>38</v>
      </c>
      <c r="D9" s="11" t="n">
        <v>5</v>
      </c>
      <c r="E9" s="36">
        <f>IF(OR(B9="",C9=""),"",C9/(B9*D9))</f>
        <v/>
      </c>
      <c r="F9" s="8">
        <f>IF(E9="","",E9*1000000)</f>
        <v/>
      </c>
      <c r="G9" s="8">
        <f>IF(OR(F9="",F9=0),"",ROUND(0.8406+SQRT(MAX(29.37-2.221*LN(F9),0)),2))</f>
        <v/>
      </c>
      <c r="H9" s="20" t="n">
        <v>4.5</v>
      </c>
    </row>
    <row r="10">
      <c r="A10" s="20" t="inlineStr">
        <is>
          <t>Week 7</t>
        </is>
      </c>
      <c r="B10" s="11" t="n">
        <v>615</v>
      </c>
      <c r="C10" s="11" t="n"/>
      <c r="D10" s="11" t="n">
        <v>5</v>
      </c>
      <c r="E10" s="36">
        <f>IF(OR(B10="",C10=""),"",C10/(B10*D10))</f>
        <v/>
      </c>
      <c r="F10" s="8">
        <f>IF(E10="","",E10*1000000)</f>
        <v/>
      </c>
      <c r="G10" s="8">
        <f>IF(OR(F10="",F10=0),"",ROUND(0.8406+SQRT(MAX(29.37-2.221*LN(F10),0)),2))</f>
        <v/>
      </c>
      <c r="H10" s="20" t="n">
        <v>4.5</v>
      </c>
    </row>
    <row r="11">
      <c r="A11" s="20" t="inlineStr">
        <is>
          <t>Week 8</t>
        </is>
      </c>
      <c r="B11" s="11" t="n"/>
      <c r="C11" s="11" t="n"/>
      <c r="D11" s="11" t="n">
        <v>5</v>
      </c>
      <c r="E11" s="36">
        <f>IF(OR(B11="",C11=""),"",C11/(B11*D11))</f>
        <v/>
      </c>
      <c r="F11" s="8">
        <f>IF(E11="","",E11*1000000)</f>
        <v/>
      </c>
      <c r="G11" s="8">
        <f>IF(OR(F11="",F11=0),"",ROUND(0.8406+SQRT(MAX(29.37-2.221*LN(F11),0)),2))</f>
        <v/>
      </c>
      <c r="H11" s="20" t="n">
        <v>4.5</v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H2"/>
    <mergeCell ref="A1:H1"/>
  </mergeCells>
  <dataValidations count="3">
    <dataValidation sqref="B4:B11" showDropDown="0" showInputMessage="0" showErrorMessage="1" allowBlank="1" errorTitle="Choose from list" error="Please CHOOSE a value from the dropdown - free typing is not allowed." promptTitle="Units" prompt="Click the arrow and choose" type="list" errorStyle="stop">
      <formula1>LISTS!$K$2:$K$202</formula1>
    </dataValidation>
    <dataValidation sqref="C4:C11" showDropDown="0" showInputMessage="0" showErrorMessage="1" allowBlank="1" errorTitle="Choose from list" error="Please CHOOSE a value from the dropdown - free typing is not allowed." promptTitle="Defects" prompt="Click the arrow and choose" type="list" errorStyle="stop">
      <formula1>LISTS!$L$2:$L$302</formula1>
    </dataValidation>
    <dataValidation sqref="D4:D11" showDropDown="0" showInputMessage="0" showErrorMessage="1" allowBlank="1" errorTitle="Choose from list" error="Please CHOOSE a value from the dropdown - free typing is not allowed." promptTitle="Opps" prompt="Click the arrow and choose" type="list" errorStyle="stop">
      <formula1>LISTS!$M$2:$M$21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4" customWidth="1" min="4" max="4"/>
    <col hidden="1" width="13" customWidth="1" min="7" max="7"/>
    <col width="18" customWidth="1" min="11" max="11"/>
    <col width="10" customWidth="1" min="12" max="12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34" customHeight="1">
      <c r="A1" s="1" t="inlineStr">
        <is>
          <t xml:space="preserve">  LIVE DASHBOARD  -  auto-refreshes from MASTER_ENTRY</t>
        </is>
      </c>
    </row>
    <row r="2" ht="20" customHeight="1">
      <c r="A2" s="2" t="inlineStr">
        <is>
          <t xml:space="preserve">  Read-only except the dropdown in D13 which changes the main chart grouping.</t>
        </is>
      </c>
    </row>
    <row r="4">
      <c r="B4" s="37" t="inlineStr">
        <is>
          <t>TOTAL CASES</t>
        </is>
      </c>
      <c r="C4" s="38" t="n"/>
      <c r="D4" s="39" t="inlineStr">
        <is>
          <t>OPEN / ACTIVE</t>
        </is>
      </c>
      <c r="E4" s="38" t="n"/>
      <c r="F4" s="40" t="inlineStr">
        <is>
          <t>CRITICAL (RPN&gt;=200)</t>
        </is>
      </c>
      <c r="G4" s="38" t="n"/>
      <c r="H4" s="41" t="inlineStr">
        <is>
          <t>AVG RPN</t>
        </is>
      </c>
      <c r="I4" s="38" t="n"/>
      <c r="J4" s="42" t="inlineStr">
        <is>
          <t>AVG % DONE</t>
        </is>
      </c>
      <c r="K4" s="38" t="n"/>
      <c r="L4" s="43" t="inlineStr">
        <is>
          <t>BLOCKED</t>
        </is>
      </c>
      <c r="M4" s="38" t="n"/>
    </row>
    <row r="5" ht="26" customHeight="1">
      <c r="B5" s="44">
        <f>COUNT('1. MASTER_ENTRY'!$V$4:$V$63)</f>
        <v/>
      </c>
      <c r="C5" s="38" t="n"/>
      <c r="D5" s="45">
        <f>COUNTIF('1. MASTER_ENTRY'!$R$4:$R$63,"OPEN")+COUNTIF('1. MASTER_ENTRY'!$R$4:$R$63,"IN PROGRESS")+COUNTIF('1. MASTER_ENTRY'!$R$4:$R$63,"ON HOLD")+COUNTIF('1. MASTER_ENTRY'!$R$4:$R$63,"BLOCKED")</f>
        <v/>
      </c>
      <c r="E5" s="38" t="n"/>
      <c r="F5" s="46">
        <f>COUNTIF('1. MASTER_ENTRY'!$I$4:$I$63,"&gt;=200")</f>
        <v/>
      </c>
      <c r="G5" s="38" t="n"/>
      <c r="H5" s="47">
        <f>IFERROR(ROUND(AVERAGEIF('1. MASTER_ENTRY'!$I$4:$I$63,"&gt;0"),0),0)</f>
        <v/>
      </c>
      <c r="I5" s="38" t="n"/>
      <c r="J5" s="48">
        <f>IFERROR(AVERAGE('1. MASTER_ENTRY'!$S$4:$S$63),0)</f>
        <v/>
      </c>
      <c r="K5" s="38" t="n"/>
      <c r="L5" s="49">
        <f>COUNTIF('1. MASTER_ENTRY'!$R$4:$R$63,"BLOCKED")</f>
        <v/>
      </c>
      <c r="M5" s="38" t="n"/>
    </row>
    <row r="6" ht="22" customHeight="1"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</row>
    <row r="13">
      <c r="B13" s="50" t="inlineStr">
        <is>
          <t>MAIN CHART - group cases by:</t>
        </is>
      </c>
      <c r="D13" s="51" t="inlineStr">
        <is>
          <t>Priority</t>
        </is>
      </c>
      <c r="E13" s="52" t="inlineStr">
        <is>
          <t>&lt;- change me</t>
        </is>
      </c>
      <c r="G13">
        <f>MATCH($D$13,{"Priority";"Status";"Category";"Owner"},0)</f>
        <v/>
      </c>
    </row>
    <row r="14">
      <c r="B14" s="53" t="inlineStr">
        <is>
          <t>Bucket</t>
        </is>
      </c>
      <c r="C14" s="53" t="inlineStr">
        <is>
          <t>Cases</t>
        </is>
      </c>
    </row>
    <row r="15">
      <c r="B15" s="21">
        <f>CHOOSE($G$13,T15,U15,V15,W15)</f>
        <v/>
      </c>
      <c r="C15" s="20">
        <f>IF($B15="","",CHOOSE($G$13,COUNTIF('1. MASTER_ENTRY'!$E$4:$E$63,$B15),COUNTIF('1. MASTER_ENTRY'!$R$4:$R$63,$B15),COUNTIF('1. MASTER_ENTRY'!$D$4:$D$63,$B15),COUNTIF('1. MASTER_ENTRY'!$M$4:$M$63,$B15)))</f>
        <v/>
      </c>
      <c r="T15" t="inlineStr">
        <is>
          <t>1-CRITICAL</t>
        </is>
      </c>
      <c r="U15" t="inlineStr">
        <is>
          <t>OPEN</t>
        </is>
      </c>
      <c r="V15" t="inlineStr">
        <is>
          <t>Quality / Defects</t>
        </is>
      </c>
      <c r="W15" t="inlineStr">
        <is>
          <t>PM</t>
        </is>
      </c>
    </row>
    <row r="16">
      <c r="B16" s="21">
        <f>CHOOSE($G$13,T16,U16,V16,W16)</f>
        <v/>
      </c>
      <c r="C16" s="20">
        <f>IF($B16="","",CHOOSE($G$13,COUNTIF('1. MASTER_ENTRY'!$E$4:$E$63,$B16),COUNTIF('1. MASTER_ENTRY'!$R$4:$R$63,$B16),COUNTIF('1. MASTER_ENTRY'!$D$4:$D$63,$B16),COUNTIF('1. MASTER_ENTRY'!$M$4:$M$63,$B16)))</f>
        <v/>
      </c>
      <c r="T16" t="inlineStr">
        <is>
          <t>2-HIGH</t>
        </is>
      </c>
      <c r="U16" t="inlineStr">
        <is>
          <t>IN PROGRESS</t>
        </is>
      </c>
      <c r="V16" t="inlineStr">
        <is>
          <t>Delivery / Schedule</t>
        </is>
      </c>
      <c r="W16" t="inlineStr">
        <is>
          <t>Dev Lead</t>
        </is>
      </c>
    </row>
    <row r="17">
      <c r="B17" s="21">
        <f>CHOOSE($G$13,T17,U17,V17,W17)</f>
        <v/>
      </c>
      <c r="C17" s="20">
        <f>IF($B17="","",CHOOSE($G$13,COUNTIF('1. MASTER_ENTRY'!$E$4:$E$63,$B17),COUNTIF('1. MASTER_ENTRY'!$R$4:$R$63,$B17),COUNTIF('1. MASTER_ENTRY'!$D$4:$D$63,$B17),COUNTIF('1. MASTER_ENTRY'!$M$4:$M$63,$B17)))</f>
        <v/>
      </c>
      <c r="T17" t="inlineStr">
        <is>
          <t>3-MEDIUM</t>
        </is>
      </c>
      <c r="U17" t="inlineStr">
        <is>
          <t>ON HOLD</t>
        </is>
      </c>
      <c r="V17" t="inlineStr">
        <is>
          <t>Process / Flow</t>
        </is>
      </c>
      <c r="W17" t="inlineStr">
        <is>
          <t>QA Lead</t>
        </is>
      </c>
    </row>
    <row r="18">
      <c r="B18" s="21">
        <f>CHOOSE($G$13,T18,U18,V18,W18)</f>
        <v/>
      </c>
      <c r="C18" s="20">
        <f>IF($B18="","",CHOOSE($G$13,COUNTIF('1. MASTER_ENTRY'!$E$4:$E$63,$B18),COUNTIF('1. MASTER_ENTRY'!$R$4:$R$63,$B18),COUNTIF('1. MASTER_ENTRY'!$D$4:$D$63,$B18),COUNTIF('1. MASTER_ENTRY'!$M$4:$M$63,$B18)))</f>
        <v/>
      </c>
      <c r="T18" t="inlineStr">
        <is>
          <t>4-LOW</t>
        </is>
      </c>
      <c r="U18" t="inlineStr">
        <is>
          <t>BLOCKED</t>
        </is>
      </c>
      <c r="V18" t="inlineStr">
        <is>
          <t>People / Training</t>
        </is>
      </c>
      <c r="W18" t="inlineStr">
        <is>
          <t>Ops Lead</t>
        </is>
      </c>
    </row>
    <row r="19">
      <c r="B19" s="21">
        <f>CHOOSE($G$13,T19,U19,V19,W19)</f>
        <v/>
      </c>
      <c r="C19" s="20">
        <f>IF($B19="","",CHOOSE($G$13,COUNTIF('1. MASTER_ENTRY'!$E$4:$E$63,$B19),COUNTIF('1. MASTER_ENTRY'!$R$4:$R$63,$B19),COUNTIF('1. MASTER_ENTRY'!$D$4:$D$63,$B19),COUNTIF('1. MASTER_ENTRY'!$M$4:$M$63,$B19)))</f>
        <v/>
      </c>
      <c r="T19" t="inlineStr"/>
      <c r="U19" t="inlineStr">
        <is>
          <t>RESOLVED</t>
        </is>
      </c>
      <c r="V19" t="inlineStr">
        <is>
          <t>Cost / Waste</t>
        </is>
      </c>
      <c r="W19" t="inlineStr">
        <is>
          <t>Architect</t>
        </is>
      </c>
    </row>
    <row r="20">
      <c r="B20" s="21">
        <f>CHOOSE($G$13,T20,U20,V20,W20)</f>
        <v/>
      </c>
      <c r="C20" s="20">
        <f>IF($B20="","",CHOOSE($G$13,COUNTIF('1. MASTER_ENTRY'!$E$4:$E$63,$B20),COUNTIF('1. MASTER_ENTRY'!$R$4:$R$63,$B20),COUNTIF('1. MASTER_ENTRY'!$D$4:$D$63,$B20),COUNTIF('1. MASTER_ENTRY'!$M$4:$M$63,$B20)))</f>
        <v/>
      </c>
      <c r="T20" t="inlineStr"/>
      <c r="U20" t="inlineStr">
        <is>
          <t>CLOSED</t>
        </is>
      </c>
      <c r="V20" t="inlineStr">
        <is>
          <t>Safety / Compliance</t>
        </is>
      </c>
      <c r="W20" t="inlineStr">
        <is>
          <t>BA</t>
        </is>
      </c>
    </row>
    <row r="21">
      <c r="B21" s="21">
        <f>CHOOSE($G$13,T21,U21,V21,W21)</f>
        <v/>
      </c>
      <c r="C21" s="20">
        <f>IF($B21="","",CHOOSE($G$13,COUNTIF('1. MASTER_ENTRY'!$E$4:$E$63,$B21),COUNTIF('1. MASTER_ENTRY'!$R$4:$R$63,$B21),COUNTIF('1. MASTER_ENTRY'!$D$4:$D$63,$B21),COUNTIF('1. MASTER_ENTRY'!$M$4:$M$63,$B21)))</f>
        <v/>
      </c>
      <c r="T21" t="inlineStr"/>
      <c r="U21" t="inlineStr"/>
      <c r="V21" t="inlineStr">
        <is>
          <t>Technology / Tools</t>
        </is>
      </c>
      <c r="W21" t="inlineStr">
        <is>
          <t>Team Lead</t>
        </is>
      </c>
    </row>
    <row r="22">
      <c r="B22" s="21">
        <f>CHOOSE($G$13,T22,U22,V22,W22)</f>
        <v/>
      </c>
      <c r="C22" s="20">
        <f>IF($B22="","",CHOOSE($G$13,COUNTIF('1. MASTER_ENTRY'!$E$4:$E$63,$B22),COUNTIF('1. MASTER_ENTRY'!$R$4:$R$63,$B22),COUNTIF('1. MASTER_ENTRY'!$D$4:$D$63,$B22),COUNTIF('1. MASTER_ENTRY'!$M$4:$M$63,$B22)))</f>
        <v/>
      </c>
      <c r="T22" t="inlineStr"/>
      <c r="U22" t="inlineStr"/>
      <c r="V22" t="inlineStr">
        <is>
          <t>Customer / VOC</t>
        </is>
      </c>
      <c r="W22" t="inlineStr">
        <is>
          <t>Process Owner</t>
        </is>
      </c>
    </row>
    <row r="26">
      <c r="B26" s="54" t="inlineStr">
        <is>
          <t>Status breakdown</t>
        </is>
      </c>
      <c r="K26" s="54" t="inlineStr">
        <is>
          <t>Total RPN by category</t>
        </is>
      </c>
    </row>
    <row r="27">
      <c r="B27" s="38" t="inlineStr">
        <is>
          <t>OPEN</t>
        </is>
      </c>
      <c r="C27" s="38">
        <f>COUNTIF('1. MASTER_ENTRY'!$R$4:$R$63,"OPEN")</f>
        <v/>
      </c>
      <c r="K27" s="38" t="inlineStr">
        <is>
          <t>Quality / Defects</t>
        </is>
      </c>
      <c r="L27" s="38">
        <f>SUMIF('1. MASTER_ENTRY'!$D$4:$D$63,"Quality / Defects",'1. MASTER_ENTRY'!$I$4:$I$63)</f>
        <v/>
      </c>
    </row>
    <row r="28">
      <c r="B28" s="38" t="inlineStr">
        <is>
          <t>IN PROGRESS</t>
        </is>
      </c>
      <c r="C28" s="38">
        <f>COUNTIF('1. MASTER_ENTRY'!$R$4:$R$63,"IN PROGRESS")</f>
        <v/>
      </c>
      <c r="K28" s="38" t="inlineStr">
        <is>
          <t>Delivery / Schedule</t>
        </is>
      </c>
      <c r="L28" s="38">
        <f>SUMIF('1. MASTER_ENTRY'!$D$4:$D$63,"Delivery / Schedule",'1. MASTER_ENTRY'!$I$4:$I$63)</f>
        <v/>
      </c>
    </row>
    <row r="29">
      <c r="B29" s="38" t="inlineStr">
        <is>
          <t>ON HOLD</t>
        </is>
      </c>
      <c r="C29" s="38">
        <f>COUNTIF('1. MASTER_ENTRY'!$R$4:$R$63,"ON HOLD")</f>
        <v/>
      </c>
      <c r="K29" s="38" t="inlineStr">
        <is>
          <t>Process / Flow</t>
        </is>
      </c>
      <c r="L29" s="38">
        <f>SUMIF('1. MASTER_ENTRY'!$D$4:$D$63,"Process / Flow",'1. MASTER_ENTRY'!$I$4:$I$63)</f>
        <v/>
      </c>
    </row>
    <row r="30">
      <c r="B30" s="38" t="inlineStr">
        <is>
          <t>BLOCKED</t>
        </is>
      </c>
      <c r="C30" s="38">
        <f>COUNTIF('1. MASTER_ENTRY'!$R$4:$R$63,"BLOCKED")</f>
        <v/>
      </c>
      <c r="K30" s="38" t="inlineStr">
        <is>
          <t>People / Training</t>
        </is>
      </c>
      <c r="L30" s="38">
        <f>SUMIF('1. MASTER_ENTRY'!$D$4:$D$63,"People / Training",'1. MASTER_ENTRY'!$I$4:$I$63)</f>
        <v/>
      </c>
    </row>
    <row r="31">
      <c r="B31" s="38" t="inlineStr">
        <is>
          <t>RESOLVED</t>
        </is>
      </c>
      <c r="C31" s="38">
        <f>COUNTIF('1. MASTER_ENTRY'!$R$4:$R$63,"RESOLVED")</f>
        <v/>
      </c>
      <c r="K31" s="38" t="inlineStr">
        <is>
          <t>Cost / Waste</t>
        </is>
      </c>
      <c r="L31" s="38">
        <f>SUMIF('1. MASTER_ENTRY'!$D$4:$D$63,"Cost / Waste",'1. MASTER_ENTRY'!$I$4:$I$63)</f>
        <v/>
      </c>
    </row>
    <row r="32">
      <c r="B32" s="38" t="inlineStr">
        <is>
          <t>CLOSED</t>
        </is>
      </c>
      <c r="C32" s="38">
        <f>COUNTIF('1. MASTER_ENTRY'!$R$4:$R$63,"CLOSED")</f>
        <v/>
      </c>
      <c r="K32" s="38" t="inlineStr">
        <is>
          <t>Safety / Compliance</t>
        </is>
      </c>
      <c r="L32" s="38">
        <f>SUMIF('1. MASTER_ENTRY'!$D$4:$D$63,"Safety / Compliance",'1. MASTER_ENTRY'!$I$4:$I$63)</f>
        <v/>
      </c>
    </row>
    <row r="33">
      <c r="K33" s="38" t="inlineStr">
        <is>
          <t>Technology / Tools</t>
        </is>
      </c>
      <c r="L33" s="38">
        <f>SUMIF('1. MASTER_ENTRY'!$D$4:$D$63,"Technology / Tools",'1. MASTER_ENTRY'!$I$4:$I$63)</f>
        <v/>
      </c>
    </row>
    <row r="34">
      <c r="K34" s="38" t="inlineStr">
        <is>
          <t>Customer / VOC</t>
        </is>
      </c>
      <c r="L34" s="38">
        <f>SUMIF('1. MASTER_ENTRY'!$D$4:$D$63,"Customer / VOC",'1. MASTER_ENTRY'!$I$4:$I$63)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14">
    <mergeCell ref="F4:G4"/>
    <mergeCell ref="A2:L2"/>
    <mergeCell ref="J4:K4"/>
    <mergeCell ref="L4:M4"/>
    <mergeCell ref="A1:L1"/>
    <mergeCell ref="B5:C6"/>
    <mergeCell ref="F5:G6"/>
    <mergeCell ref="D5:E6"/>
    <mergeCell ref="D4:E4"/>
    <mergeCell ref="H4:I4"/>
    <mergeCell ref="H5:I6"/>
    <mergeCell ref="L5:M6"/>
    <mergeCell ref="J5:K6"/>
    <mergeCell ref="B4:C4"/>
  </mergeCells>
  <dataValidations count="1">
    <dataValidation sqref="D13" showDropDown="0" showInputMessage="0" showErrorMessage="1" allowBlank="0" error="Choose one of the four groupings." type="list" errorStyle="stop">
      <formula1>"Priority,Status,Category,Owner"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3" customWidth="1" min="3" max="3"/>
    <col width="40" customWidth="1" min="4" max="4"/>
    <col width="18" customWidth="1" min="5" max="5"/>
    <col width="14" customWidth="1" min="6" max="6"/>
    <col width="56" customWidth="1" min="7" max="7"/>
  </cols>
  <sheetData>
    <row r="1" ht="34" customHeight="1">
      <c r="A1" s="29" t="inlineStr">
        <is>
          <t xml:space="preserve">  AI ASSISTANT  -  live insights &amp; recommended actions</t>
        </is>
      </c>
    </row>
    <row r="2" ht="20" customHeight="1">
      <c r="A2" s="2" t="inlineStr">
        <is>
          <t xml:space="preserve">  Read-only except the advisor dropdown. Action queue ranked by RPN.</t>
        </is>
      </c>
    </row>
    <row r="4">
      <c r="B4" s="55" t="inlineStr">
        <is>
          <t>EXECUTIVE SUMMARY (auto-generated)</t>
        </is>
      </c>
    </row>
    <row r="5">
      <c r="B5" s="56">
        <f>"You are tracking "&amp;COUNT('1. MASTER_ENTRY'!$V$4:$V$63)&amp;" case(s). "&amp;IF(COUNTIF('1. MASTER_ENTRY'!$I$4:$I$63,"&gt;=200")&gt;0,COUNTIF('1. MASTER_ENTRY'!$I$4:$I$63,"&gt;=200")&amp;" are CRITICAL (RPN&gt;=200) and must be escalated today. ","No critical risks - good. ")&amp;IF(COUNTIFS('1. MASTER_ENTRY'!$I$4:$I$63,"&gt;=100",'1. MASTER_ENTRY'!$I$4:$I$63,"&lt;200")&gt;0,COUNTIFS('1. MASTER_ENTRY'!$I$4:$I$63,"&gt;=100",'1. MASTER_ENTRY'!$I$4:$I$63,"&lt;200")&amp;" are HIGH and should enter the current sprint. ","")&amp;IF(COUNTIF('1. MASTER_ENTRY'!$R$4:$R$63,"BLOCKED")&gt;0,COUNTIF('1. MASTER_ENTRY'!$R$4:$R$63,"BLOCKED")&amp;" case(s) are BLOCKED - clear these first. ","")&amp;"Average completion is "&amp;TEXT(IFERROR(AVERAGE('1. MASTER_ENTRY'!$S$4:$S$63),0),"0%")&amp;". "&amp;"Top exposure: "&amp;IFERROR(INDEX('1. MASTER_ENTRY'!$C$4:$C$63,MATCH(MAX('1. MASTER_ENTRY'!$I$4:$I$63),'1. MASTER_ENTRY'!$I$4:$I$63,0)),"n/a")&amp;". "&amp;"Focus: attack the top 3 items in the queue below using their Lean methods."</f>
        <v/>
      </c>
      <c r="C5" s="57" t="n"/>
      <c r="D5" s="57" t="n"/>
      <c r="E5" s="57" t="n"/>
      <c r="F5" s="57" t="n"/>
      <c r="G5" s="57" t="n"/>
      <c r="H5" s="57" t="n"/>
      <c r="I5" s="57" t="n"/>
      <c r="J5" s="57" t="n"/>
    </row>
    <row r="6">
      <c r="B6" s="57" t="n"/>
      <c r="C6" s="57" t="n"/>
      <c r="D6" s="57" t="n"/>
      <c r="E6" s="57" t="n"/>
      <c r="F6" s="57" t="n"/>
      <c r="G6" s="57" t="n"/>
      <c r="H6" s="57" t="n"/>
      <c r="I6" s="57" t="n"/>
      <c r="J6" s="57" t="n"/>
    </row>
    <row r="7">
      <c r="B7" s="57" t="n"/>
      <c r="C7" s="57" t="n"/>
      <c r="D7" s="57" t="n"/>
      <c r="E7" s="57" t="n"/>
      <c r="F7" s="57" t="n"/>
      <c r="G7" s="57" t="n"/>
      <c r="H7" s="57" t="n"/>
      <c r="I7" s="57" t="n"/>
      <c r="J7" s="57" t="n"/>
    </row>
    <row r="8"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</row>
    <row r="10">
      <c r="B10" s="58" t="inlineStr">
        <is>
          <t>PRIORITY ACTION QUEUE - ranked by RPN (highest risk first)</t>
        </is>
      </c>
    </row>
    <row r="11">
      <c r="B11" s="26" t="inlineStr">
        <is>
          <t>#</t>
        </is>
      </c>
      <c r="C11" s="26" t="inlineStr">
        <is>
          <t>CASE ID</t>
        </is>
      </c>
      <c r="D11" s="26" t="inlineStr">
        <is>
          <t>PROBLEM</t>
        </is>
      </c>
      <c r="E11" s="26" t="inlineStr">
        <is>
          <t>RPN</t>
        </is>
      </c>
      <c r="F11" s="26" t="inlineStr">
        <is>
          <t>OWNER</t>
        </is>
      </c>
      <c r="G11" s="26" t="inlineStr">
        <is>
          <t>AI RECOMMENDED ACTION</t>
        </is>
      </c>
    </row>
    <row r="12" ht="28" customHeight="1">
      <c r="B12" s="20" t="n">
        <v>1</v>
      </c>
      <c r="C12" s="21">
        <f>IFERROR(INDEX('1. MASTER_ENTRY'!$A$4:$A$63,MATCH(LARGE('1. MASTER_ENTRY'!$V$4:$V$63,1),'1. MASTER_ENTRY'!$V$4:$V$63,0)),"")</f>
        <v/>
      </c>
      <c r="D12" s="20">
        <f>IFERROR(INDEX('1. MASTER_ENTRY'!$C$4:$C$63,MATCH(LARGE('1. MASTER_ENTRY'!$V$4:$V$63,1),'1. MASTER_ENTRY'!$V$4:$V$63,0)),"")</f>
        <v/>
      </c>
      <c r="E12" s="20">
        <f>IFERROR(INDEX('1. MASTER_ENTRY'!$I$4:$I$63,MATCH(LARGE('1. MASTER_ENTRY'!$V$4:$V$63,1),'1. MASTER_ENTRY'!$V$4:$V$63,0)),"")</f>
        <v/>
      </c>
      <c r="F12" s="20">
        <f>IFERROR(INDEX('1. MASTER_ENTRY'!$M$4:$M$63,MATCH(LARGE('1. MASTER_ENTRY'!$V$4:$V$63,1),'1. MASTER_ENTRY'!$V$4:$V$63,0)),"")</f>
        <v/>
      </c>
      <c r="G12" s="21">
        <f>IFERROR(INDEX('1. MASTER_ENTRY'!$U$4:$U$63,MATCH(LARGE('1. MASTER_ENTRY'!$V$4:$V$63,1),'1. MASTER_ENTRY'!$V$4:$V$63,0)),"")</f>
        <v/>
      </c>
    </row>
    <row r="13" ht="28" customHeight="1">
      <c r="B13" s="16" t="n">
        <v>2</v>
      </c>
      <c r="C13" s="17">
        <f>IFERROR(INDEX('1. MASTER_ENTRY'!$A$4:$A$63,MATCH(LARGE('1. MASTER_ENTRY'!$V$4:$V$63,2),'1. MASTER_ENTRY'!$V$4:$V$63,0)),"")</f>
        <v/>
      </c>
      <c r="D13" s="16">
        <f>IFERROR(INDEX('1. MASTER_ENTRY'!$C$4:$C$63,MATCH(LARGE('1. MASTER_ENTRY'!$V$4:$V$63,2),'1. MASTER_ENTRY'!$V$4:$V$63,0)),"")</f>
        <v/>
      </c>
      <c r="E13" s="16">
        <f>IFERROR(INDEX('1. MASTER_ENTRY'!$I$4:$I$63,MATCH(LARGE('1. MASTER_ENTRY'!$V$4:$V$63,2),'1. MASTER_ENTRY'!$V$4:$V$63,0)),"")</f>
        <v/>
      </c>
      <c r="F13" s="16">
        <f>IFERROR(INDEX('1. MASTER_ENTRY'!$M$4:$M$63,MATCH(LARGE('1. MASTER_ENTRY'!$V$4:$V$63,2),'1. MASTER_ENTRY'!$V$4:$V$63,0)),"")</f>
        <v/>
      </c>
      <c r="G13" s="17">
        <f>IFERROR(INDEX('1. MASTER_ENTRY'!$U$4:$U$63,MATCH(LARGE('1. MASTER_ENTRY'!$V$4:$V$63,2),'1. MASTER_ENTRY'!$V$4:$V$63,0)),"")</f>
        <v/>
      </c>
    </row>
    <row r="14" ht="28" customHeight="1">
      <c r="B14" s="20" t="n">
        <v>3</v>
      </c>
      <c r="C14" s="21">
        <f>IFERROR(INDEX('1. MASTER_ENTRY'!$A$4:$A$63,MATCH(LARGE('1. MASTER_ENTRY'!$V$4:$V$63,3),'1. MASTER_ENTRY'!$V$4:$V$63,0)),"")</f>
        <v/>
      </c>
      <c r="D14" s="20">
        <f>IFERROR(INDEX('1. MASTER_ENTRY'!$C$4:$C$63,MATCH(LARGE('1. MASTER_ENTRY'!$V$4:$V$63,3),'1. MASTER_ENTRY'!$V$4:$V$63,0)),"")</f>
        <v/>
      </c>
      <c r="E14" s="20">
        <f>IFERROR(INDEX('1. MASTER_ENTRY'!$I$4:$I$63,MATCH(LARGE('1. MASTER_ENTRY'!$V$4:$V$63,3),'1. MASTER_ENTRY'!$V$4:$V$63,0)),"")</f>
        <v/>
      </c>
      <c r="F14" s="20">
        <f>IFERROR(INDEX('1. MASTER_ENTRY'!$M$4:$M$63,MATCH(LARGE('1. MASTER_ENTRY'!$V$4:$V$63,3),'1. MASTER_ENTRY'!$V$4:$V$63,0)),"")</f>
        <v/>
      </c>
      <c r="G14" s="21">
        <f>IFERROR(INDEX('1. MASTER_ENTRY'!$U$4:$U$63,MATCH(LARGE('1. MASTER_ENTRY'!$V$4:$V$63,3),'1. MASTER_ENTRY'!$V$4:$V$63,0)),"")</f>
        <v/>
      </c>
    </row>
    <row r="15" ht="28" customHeight="1">
      <c r="B15" s="16" t="n">
        <v>4</v>
      </c>
      <c r="C15" s="17">
        <f>IFERROR(INDEX('1. MASTER_ENTRY'!$A$4:$A$63,MATCH(LARGE('1. MASTER_ENTRY'!$V$4:$V$63,4),'1. MASTER_ENTRY'!$V$4:$V$63,0)),"")</f>
        <v/>
      </c>
      <c r="D15" s="16">
        <f>IFERROR(INDEX('1. MASTER_ENTRY'!$C$4:$C$63,MATCH(LARGE('1. MASTER_ENTRY'!$V$4:$V$63,4),'1. MASTER_ENTRY'!$V$4:$V$63,0)),"")</f>
        <v/>
      </c>
      <c r="E15" s="16">
        <f>IFERROR(INDEX('1. MASTER_ENTRY'!$I$4:$I$63,MATCH(LARGE('1. MASTER_ENTRY'!$V$4:$V$63,4),'1. MASTER_ENTRY'!$V$4:$V$63,0)),"")</f>
        <v/>
      </c>
      <c r="F15" s="16">
        <f>IFERROR(INDEX('1. MASTER_ENTRY'!$M$4:$M$63,MATCH(LARGE('1. MASTER_ENTRY'!$V$4:$V$63,4),'1. MASTER_ENTRY'!$V$4:$V$63,0)),"")</f>
        <v/>
      </c>
      <c r="G15" s="17">
        <f>IFERROR(INDEX('1. MASTER_ENTRY'!$U$4:$U$63,MATCH(LARGE('1. MASTER_ENTRY'!$V$4:$V$63,4),'1. MASTER_ENTRY'!$V$4:$V$63,0)),"")</f>
        <v/>
      </c>
    </row>
    <row r="16" ht="28" customHeight="1">
      <c r="B16" s="20" t="n">
        <v>5</v>
      </c>
      <c r="C16" s="21">
        <f>IFERROR(INDEX('1. MASTER_ENTRY'!$A$4:$A$63,MATCH(LARGE('1. MASTER_ENTRY'!$V$4:$V$63,5),'1. MASTER_ENTRY'!$V$4:$V$63,0)),"")</f>
        <v/>
      </c>
      <c r="D16" s="20">
        <f>IFERROR(INDEX('1. MASTER_ENTRY'!$C$4:$C$63,MATCH(LARGE('1. MASTER_ENTRY'!$V$4:$V$63,5),'1. MASTER_ENTRY'!$V$4:$V$63,0)),"")</f>
        <v/>
      </c>
      <c r="E16" s="20">
        <f>IFERROR(INDEX('1. MASTER_ENTRY'!$I$4:$I$63,MATCH(LARGE('1. MASTER_ENTRY'!$V$4:$V$63,5),'1. MASTER_ENTRY'!$V$4:$V$63,0)),"")</f>
        <v/>
      </c>
      <c r="F16" s="20">
        <f>IFERROR(INDEX('1. MASTER_ENTRY'!$M$4:$M$63,MATCH(LARGE('1. MASTER_ENTRY'!$V$4:$V$63,5),'1. MASTER_ENTRY'!$V$4:$V$63,0)),"")</f>
        <v/>
      </c>
      <c r="G16" s="21">
        <f>IFERROR(INDEX('1. MASTER_ENTRY'!$U$4:$U$63,MATCH(LARGE('1. MASTER_ENTRY'!$V$4:$V$63,5),'1. MASTER_ENTRY'!$V$4:$V$63,0)),"")</f>
        <v/>
      </c>
    </row>
    <row r="17" ht="28" customHeight="1">
      <c r="B17" s="16" t="n">
        <v>6</v>
      </c>
      <c r="C17" s="17">
        <f>IFERROR(INDEX('1. MASTER_ENTRY'!$A$4:$A$63,MATCH(LARGE('1. MASTER_ENTRY'!$V$4:$V$63,6),'1. MASTER_ENTRY'!$V$4:$V$63,0)),"")</f>
        <v/>
      </c>
      <c r="D17" s="16">
        <f>IFERROR(INDEX('1. MASTER_ENTRY'!$C$4:$C$63,MATCH(LARGE('1. MASTER_ENTRY'!$V$4:$V$63,6),'1. MASTER_ENTRY'!$V$4:$V$63,0)),"")</f>
        <v/>
      </c>
      <c r="E17" s="16">
        <f>IFERROR(INDEX('1. MASTER_ENTRY'!$I$4:$I$63,MATCH(LARGE('1. MASTER_ENTRY'!$V$4:$V$63,6),'1. MASTER_ENTRY'!$V$4:$V$63,0)),"")</f>
        <v/>
      </c>
      <c r="F17" s="16">
        <f>IFERROR(INDEX('1. MASTER_ENTRY'!$M$4:$M$63,MATCH(LARGE('1. MASTER_ENTRY'!$V$4:$V$63,6),'1. MASTER_ENTRY'!$V$4:$V$63,0)),"")</f>
        <v/>
      </c>
      <c r="G17" s="17">
        <f>IFERROR(INDEX('1. MASTER_ENTRY'!$U$4:$U$63,MATCH(LARGE('1. MASTER_ENTRY'!$V$4:$V$63,6),'1. MASTER_ENTRY'!$V$4:$V$63,0)),"")</f>
        <v/>
      </c>
    </row>
    <row r="18" ht="28" customHeight="1">
      <c r="B18" s="20" t="n">
        <v>7</v>
      </c>
      <c r="C18" s="21">
        <f>IFERROR(INDEX('1. MASTER_ENTRY'!$A$4:$A$63,MATCH(LARGE('1. MASTER_ENTRY'!$V$4:$V$63,7),'1. MASTER_ENTRY'!$V$4:$V$63,0)),"")</f>
        <v/>
      </c>
      <c r="D18" s="20">
        <f>IFERROR(INDEX('1. MASTER_ENTRY'!$C$4:$C$63,MATCH(LARGE('1. MASTER_ENTRY'!$V$4:$V$63,7),'1. MASTER_ENTRY'!$V$4:$V$63,0)),"")</f>
        <v/>
      </c>
      <c r="E18" s="20">
        <f>IFERROR(INDEX('1. MASTER_ENTRY'!$I$4:$I$63,MATCH(LARGE('1. MASTER_ENTRY'!$V$4:$V$63,7),'1. MASTER_ENTRY'!$V$4:$V$63,0)),"")</f>
        <v/>
      </c>
      <c r="F18" s="20">
        <f>IFERROR(INDEX('1. MASTER_ENTRY'!$M$4:$M$63,MATCH(LARGE('1. MASTER_ENTRY'!$V$4:$V$63,7),'1. MASTER_ENTRY'!$V$4:$V$63,0)),"")</f>
        <v/>
      </c>
      <c r="G18" s="21">
        <f>IFERROR(INDEX('1. MASTER_ENTRY'!$U$4:$U$63,MATCH(LARGE('1. MASTER_ENTRY'!$V$4:$V$63,7),'1. MASTER_ENTRY'!$V$4:$V$63,0)),"")</f>
        <v/>
      </c>
    </row>
    <row r="19" ht="28" customHeight="1">
      <c r="B19" s="16" t="n">
        <v>8</v>
      </c>
      <c r="C19" s="17">
        <f>IFERROR(INDEX('1. MASTER_ENTRY'!$A$4:$A$63,MATCH(LARGE('1. MASTER_ENTRY'!$V$4:$V$63,8),'1. MASTER_ENTRY'!$V$4:$V$63,0)),"")</f>
        <v/>
      </c>
      <c r="D19" s="16">
        <f>IFERROR(INDEX('1. MASTER_ENTRY'!$C$4:$C$63,MATCH(LARGE('1. MASTER_ENTRY'!$V$4:$V$63,8),'1. MASTER_ENTRY'!$V$4:$V$63,0)),"")</f>
        <v/>
      </c>
      <c r="E19" s="16">
        <f>IFERROR(INDEX('1. MASTER_ENTRY'!$I$4:$I$63,MATCH(LARGE('1. MASTER_ENTRY'!$V$4:$V$63,8),'1. MASTER_ENTRY'!$V$4:$V$63,0)),"")</f>
        <v/>
      </c>
      <c r="F19" s="16">
        <f>IFERROR(INDEX('1. MASTER_ENTRY'!$M$4:$M$63,MATCH(LARGE('1. MASTER_ENTRY'!$V$4:$V$63,8),'1. MASTER_ENTRY'!$V$4:$V$63,0)),"")</f>
        <v/>
      </c>
      <c r="G19" s="17">
        <f>IFERROR(INDEX('1. MASTER_ENTRY'!$U$4:$U$63,MATCH(LARGE('1. MASTER_ENTRY'!$V$4:$V$63,8),'1. MASTER_ENTRY'!$V$4:$V$63,0)),"")</f>
        <v/>
      </c>
    </row>
    <row r="20" ht="28" customHeight="1">
      <c r="B20" s="20" t="n">
        <v>9</v>
      </c>
      <c r="C20" s="21">
        <f>IFERROR(INDEX('1. MASTER_ENTRY'!$A$4:$A$63,MATCH(LARGE('1. MASTER_ENTRY'!$V$4:$V$63,9),'1. MASTER_ENTRY'!$V$4:$V$63,0)),"")</f>
        <v/>
      </c>
      <c r="D20" s="20">
        <f>IFERROR(INDEX('1. MASTER_ENTRY'!$C$4:$C$63,MATCH(LARGE('1. MASTER_ENTRY'!$V$4:$V$63,9),'1. MASTER_ENTRY'!$V$4:$V$63,0)),"")</f>
        <v/>
      </c>
      <c r="E20" s="20">
        <f>IFERROR(INDEX('1. MASTER_ENTRY'!$I$4:$I$63,MATCH(LARGE('1. MASTER_ENTRY'!$V$4:$V$63,9),'1. MASTER_ENTRY'!$V$4:$V$63,0)),"")</f>
        <v/>
      </c>
      <c r="F20" s="20">
        <f>IFERROR(INDEX('1. MASTER_ENTRY'!$M$4:$M$63,MATCH(LARGE('1. MASTER_ENTRY'!$V$4:$V$63,9),'1. MASTER_ENTRY'!$V$4:$V$63,0)),"")</f>
        <v/>
      </c>
      <c r="G20" s="21">
        <f>IFERROR(INDEX('1. MASTER_ENTRY'!$U$4:$U$63,MATCH(LARGE('1. MASTER_ENTRY'!$V$4:$V$63,9),'1. MASTER_ENTRY'!$V$4:$V$63,0)),"")</f>
        <v/>
      </c>
    </row>
    <row r="21" ht="28" customHeight="1">
      <c r="B21" s="16" t="n">
        <v>10</v>
      </c>
      <c r="C21" s="17">
        <f>IFERROR(INDEX('1. MASTER_ENTRY'!$A$4:$A$63,MATCH(LARGE('1. MASTER_ENTRY'!$V$4:$V$63,10),'1. MASTER_ENTRY'!$V$4:$V$63,0)),"")</f>
        <v/>
      </c>
      <c r="D21" s="16">
        <f>IFERROR(INDEX('1. MASTER_ENTRY'!$C$4:$C$63,MATCH(LARGE('1. MASTER_ENTRY'!$V$4:$V$63,10),'1. MASTER_ENTRY'!$V$4:$V$63,0)),"")</f>
        <v/>
      </c>
      <c r="E21" s="16">
        <f>IFERROR(INDEX('1. MASTER_ENTRY'!$I$4:$I$63,MATCH(LARGE('1. MASTER_ENTRY'!$V$4:$V$63,10),'1. MASTER_ENTRY'!$V$4:$V$63,0)),"")</f>
        <v/>
      </c>
      <c r="F21" s="16">
        <f>IFERROR(INDEX('1. MASTER_ENTRY'!$M$4:$M$63,MATCH(LARGE('1. MASTER_ENTRY'!$V$4:$V$63,10),'1. MASTER_ENTRY'!$V$4:$V$63,0)),"")</f>
        <v/>
      </c>
      <c r="G21" s="17">
        <f>IFERROR(INDEX('1. MASTER_ENTRY'!$U$4:$U$63,MATCH(LARGE('1. MASTER_ENTRY'!$V$4:$V$63,10),'1. MASTER_ENTRY'!$V$4:$V$63,0)),"")</f>
        <v/>
      </c>
    </row>
    <row r="22" ht="28" customHeight="1">
      <c r="B22" s="20" t="n">
        <v>11</v>
      </c>
      <c r="C22" s="21">
        <f>IFERROR(INDEX('1. MASTER_ENTRY'!$A$4:$A$63,MATCH(LARGE('1. MASTER_ENTRY'!$V$4:$V$63,11),'1. MASTER_ENTRY'!$V$4:$V$63,0)),"")</f>
        <v/>
      </c>
      <c r="D22" s="20">
        <f>IFERROR(INDEX('1. MASTER_ENTRY'!$C$4:$C$63,MATCH(LARGE('1. MASTER_ENTRY'!$V$4:$V$63,11),'1. MASTER_ENTRY'!$V$4:$V$63,0)),"")</f>
        <v/>
      </c>
      <c r="E22" s="20">
        <f>IFERROR(INDEX('1. MASTER_ENTRY'!$I$4:$I$63,MATCH(LARGE('1. MASTER_ENTRY'!$V$4:$V$63,11),'1. MASTER_ENTRY'!$V$4:$V$63,0)),"")</f>
        <v/>
      </c>
      <c r="F22" s="20">
        <f>IFERROR(INDEX('1. MASTER_ENTRY'!$M$4:$M$63,MATCH(LARGE('1. MASTER_ENTRY'!$V$4:$V$63,11),'1. MASTER_ENTRY'!$V$4:$V$63,0)),"")</f>
        <v/>
      </c>
      <c r="G22" s="21">
        <f>IFERROR(INDEX('1. MASTER_ENTRY'!$U$4:$U$63,MATCH(LARGE('1. MASTER_ENTRY'!$V$4:$V$63,11),'1. MASTER_ENTRY'!$V$4:$V$63,0)),"")</f>
        <v/>
      </c>
    </row>
    <row r="23" ht="28" customHeight="1">
      <c r="B23" s="16" t="n">
        <v>12</v>
      </c>
      <c r="C23" s="17">
        <f>IFERROR(INDEX('1. MASTER_ENTRY'!$A$4:$A$63,MATCH(LARGE('1. MASTER_ENTRY'!$V$4:$V$63,12),'1. MASTER_ENTRY'!$V$4:$V$63,0)),"")</f>
        <v/>
      </c>
      <c r="D23" s="16">
        <f>IFERROR(INDEX('1. MASTER_ENTRY'!$C$4:$C$63,MATCH(LARGE('1. MASTER_ENTRY'!$V$4:$V$63,12),'1. MASTER_ENTRY'!$V$4:$V$63,0)),"")</f>
        <v/>
      </c>
      <c r="E23" s="16">
        <f>IFERROR(INDEX('1. MASTER_ENTRY'!$I$4:$I$63,MATCH(LARGE('1. MASTER_ENTRY'!$V$4:$V$63,12),'1. MASTER_ENTRY'!$V$4:$V$63,0)),"")</f>
        <v/>
      </c>
      <c r="F23" s="16">
        <f>IFERROR(INDEX('1. MASTER_ENTRY'!$M$4:$M$63,MATCH(LARGE('1. MASTER_ENTRY'!$V$4:$V$63,12),'1. MASTER_ENTRY'!$V$4:$V$63,0)),"")</f>
        <v/>
      </c>
      <c r="G23" s="17">
        <f>IFERROR(INDEX('1. MASTER_ENTRY'!$U$4:$U$63,MATCH(LARGE('1. MASTER_ENTRY'!$V$4:$V$63,12),'1. MASTER_ENTRY'!$V$4:$V$63,0)),"")</f>
        <v/>
      </c>
    </row>
    <row r="25">
      <c r="B25" s="50" t="inlineStr">
        <is>
          <t>ASK THE ADVISOR - pick a focus area:</t>
        </is>
      </c>
      <c r="E25" s="11" t="inlineStr">
        <is>
          <t>Quality / Defects</t>
        </is>
      </c>
    </row>
    <row r="26">
      <c r="B26" s="59">
        <f>CHOOSE(MATCH($E$25,LISTS!$A$2:$A$9,0),"QUALITY: Run a Fishbone + 5-Whys to find the root cause. Add a Poka-Yoke check at the source. Track defect rate weekly on the Six Sigma trend.","DELIVERY: Map the value stream, expose handoff delays, set WIP limits with Kanban. Add a daily stand-up; measure on-time delivery %.","PROCESS/FLOW: Apply Standard Work to remove variation. Use a Gemba walk to find the real bottleneck, then PDCA the fix in short cycles.","PEOPLE/TRAINING: Build a standard onboarding checklist and skills matrix. Use A3 coaching so the team owns the improvement.","COST/WASTE: Use the 8 Wastes lens. Quantify each waste; attack the Pareto top-3 first for ~80% of the benefit.","SAFETY/COMPLIANCE: Run an FMEA on high-severity steps, add controls that lower Detection risk, verify with an audit checklist.","TECHNOLOGY/TOOLS: Pilot the change in one team (PDCA), measure cycle-time before/after, then standardise and roll out.","CUSTOMER/VOC: Capture Voice-of-Customer, translate to CTQs, link each CTQ to a measurable target on a case.")</f>
        <v/>
      </c>
      <c r="C26" s="60" t="n"/>
      <c r="D26" s="60" t="n"/>
      <c r="E26" s="60" t="n"/>
      <c r="F26" s="60" t="n"/>
      <c r="G26" s="60" t="n"/>
      <c r="H26" s="60" t="n"/>
      <c r="I26" s="60" t="n"/>
      <c r="J26" s="60" t="n"/>
    </row>
    <row r="27"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</row>
    <row r="28"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</row>
    <row r="29"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1:J1"/>
    <mergeCell ref="B5:J8"/>
    <mergeCell ref="B4:J4"/>
    <mergeCell ref="A2:J2"/>
    <mergeCell ref="B26:J29"/>
  </mergeCells>
  <conditionalFormatting sqref="E12:E23">
    <cfRule type="colorScale" priority="1">
      <colorScale>
        <cfvo type="num" val="0"/>
        <cfvo type="num" val="100"/>
        <cfvo type="num" val="300"/>
        <color rgb="0063BE7B"/>
        <color rgb="00FFEB84"/>
        <color rgb="00F8696B"/>
      </colorScale>
    </cfRule>
  </conditionalFormatting>
  <dataValidations count="1">
    <dataValidation sqref="E25" showDropDown="0" showInputMessage="0" showErrorMessage="1" allowBlank="0" error="Choose a focus area from the list." type="list" errorStyle="stop">
      <formula1>LISTS!$A$2:$A$9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61" t="inlineStr">
        <is>
          <t>Category</t>
        </is>
      </c>
      <c r="B1" s="61" t="inlineStr">
        <is>
          <t>Priority</t>
        </is>
      </c>
      <c r="C1" s="61" t="inlineStr">
        <is>
          <t>Score</t>
        </is>
      </c>
      <c r="D1" s="61" t="inlineStr">
        <is>
          <t>LeanMethod</t>
        </is>
      </c>
      <c r="E1" s="61" t="inlineStr">
        <is>
          <t>Owner</t>
        </is>
      </c>
      <c r="F1" s="61" t="inlineStr">
        <is>
          <t>Status</t>
        </is>
      </c>
      <c r="G1" s="61" t="inlineStr">
        <is>
          <t>Problems</t>
        </is>
      </c>
      <c r="H1" s="61" t="inlineStr">
        <is>
          <t>RootCauses</t>
        </is>
      </c>
      <c r="I1" s="61" t="inlineStr">
        <is>
          <t>Targets</t>
        </is>
      </c>
      <c r="J1" s="61" t="inlineStr">
        <is>
          <t>Percent</t>
        </is>
      </c>
      <c r="K1" s="61" t="inlineStr">
        <is>
          <t>Units</t>
        </is>
      </c>
      <c r="L1" s="61" t="inlineStr">
        <is>
          <t>Defects</t>
        </is>
      </c>
      <c r="M1" s="61" t="inlineStr">
        <is>
          <t>Opps</t>
        </is>
      </c>
      <c r="N1" s="61" t="inlineStr">
        <is>
          <t>Dates</t>
        </is>
      </c>
    </row>
    <row r="2">
      <c r="A2" t="inlineStr">
        <is>
          <t>Quality / Defects</t>
        </is>
      </c>
      <c r="B2" t="inlineStr">
        <is>
          <t>1-CRITICAL</t>
        </is>
      </c>
      <c r="C2" t="n">
        <v>1</v>
      </c>
      <c r="D2" t="inlineStr">
        <is>
          <t>Value Stream Mapping</t>
        </is>
      </c>
      <c r="E2" t="inlineStr">
        <is>
          <t>PM</t>
        </is>
      </c>
      <c r="F2" t="inlineStr">
        <is>
          <t>OPEN</t>
        </is>
      </c>
      <c r="G2" t="inlineStr">
        <is>
          <t>Delivery targets missed 20% consistently</t>
        </is>
      </c>
      <c r="H2" t="inlineStr">
        <is>
          <t>Handoff delays invisible; no WIP limits</t>
        </is>
      </c>
      <c r="I2" t="inlineStr">
        <is>
          <t>On-time delivery &gt;95% in 8 weeks</t>
        </is>
      </c>
      <c r="J2" t="n">
        <v>0</v>
      </c>
      <c r="K2" t="n">
        <v>0</v>
      </c>
      <c r="L2" t="n">
        <v>0</v>
      </c>
      <c r="M2" t="n">
        <v>1</v>
      </c>
      <c r="N2" s="62" t="n">
        <v>46023</v>
      </c>
    </row>
    <row r="3">
      <c r="A3" t="inlineStr">
        <is>
          <t>Delivery / Schedule</t>
        </is>
      </c>
      <c r="B3" t="inlineStr">
        <is>
          <t>2-HIGH</t>
        </is>
      </c>
      <c r="C3" t="n">
        <v>2</v>
      </c>
      <c r="D3" t="inlineStr">
        <is>
          <t>Kanban</t>
        </is>
      </c>
      <c r="E3" t="inlineStr">
        <is>
          <t>Dev Lead</t>
        </is>
      </c>
      <c r="F3" t="inlineStr">
        <is>
          <t>IN PROGRESS</t>
        </is>
      </c>
      <c r="G3" t="inlineStr">
        <is>
          <t>Defect rate at 12% - customers complaining</t>
        </is>
      </c>
      <c r="H3" t="inlineStr">
        <is>
          <t>No quality check at source</t>
        </is>
      </c>
      <c r="I3" t="inlineStr">
        <is>
          <t>Zero defect escapes within 4 weeks</t>
        </is>
      </c>
      <c r="J3" t="n">
        <v>0.1</v>
      </c>
      <c r="K3" t="n">
        <v>10</v>
      </c>
      <c r="L3" t="n">
        <v>1</v>
      </c>
      <c r="M3" t="n">
        <v>2</v>
      </c>
      <c r="N3" s="62" t="n">
        <v>46024</v>
      </c>
    </row>
    <row r="4">
      <c r="A4" t="inlineStr">
        <is>
          <t>Process / Flow</t>
        </is>
      </c>
      <c r="B4" t="inlineStr">
        <is>
          <t>3-MEDIUM</t>
        </is>
      </c>
      <c r="C4" t="n">
        <v>3</v>
      </c>
      <c r="D4" t="inlineStr">
        <is>
          <t>PDCA</t>
        </is>
      </c>
      <c r="E4" t="inlineStr">
        <is>
          <t>QA Lead</t>
        </is>
      </c>
      <c r="F4" t="inlineStr">
        <is>
          <t>ON HOLD</t>
        </is>
      </c>
      <c r="G4" t="inlineStr">
        <is>
          <t>Team overwhelmed, parallel tasks &gt;8 each</t>
        </is>
      </c>
      <c r="H4" t="inlineStr">
        <is>
          <t>No WIP limits; everything is priority 1</t>
        </is>
      </c>
      <c r="I4" t="inlineStr">
        <is>
          <t>Max 3 active tasks per person</t>
        </is>
      </c>
      <c r="J4" t="n">
        <v>0.2</v>
      </c>
      <c r="K4" t="n">
        <v>20</v>
      </c>
      <c r="L4" t="n">
        <v>2</v>
      </c>
      <c r="M4" t="n">
        <v>3</v>
      </c>
      <c r="N4" s="62" t="n">
        <v>46025</v>
      </c>
    </row>
    <row r="5">
      <c r="A5" t="inlineStr">
        <is>
          <t>People / Training</t>
        </is>
      </c>
      <c r="B5" t="inlineStr">
        <is>
          <t>4-LOW</t>
        </is>
      </c>
      <c r="C5" t="n">
        <v>4</v>
      </c>
      <c r="D5" t="inlineStr">
        <is>
          <t>Standard Work</t>
        </is>
      </c>
      <c r="E5" t="inlineStr">
        <is>
          <t>Ops Lead</t>
        </is>
      </c>
      <c r="F5" t="inlineStr">
        <is>
          <t>BLOCKED</t>
        </is>
      </c>
      <c r="G5" t="inlineStr">
        <is>
          <t>Approval bottleneck adds 2.3 days per case</t>
        </is>
      </c>
      <c r="H5" t="inlineStr">
        <is>
          <t>Wrong routing; unclear decision authority</t>
        </is>
      </c>
      <c r="I5" t="inlineStr">
        <is>
          <t>Approval time &lt;4 hours</t>
        </is>
      </c>
      <c r="J5" t="n">
        <v>0.3</v>
      </c>
      <c r="K5" t="n">
        <v>30</v>
      </c>
      <c r="L5" t="n">
        <v>3</v>
      </c>
      <c r="M5" t="n">
        <v>4</v>
      </c>
      <c r="N5" s="62" t="n">
        <v>46026</v>
      </c>
    </row>
    <row r="6">
      <c r="A6" t="inlineStr">
        <is>
          <t>Cost / Waste</t>
        </is>
      </c>
      <c r="C6" t="n">
        <v>5</v>
      </c>
      <c r="D6" t="inlineStr">
        <is>
          <t>Gemba Walk</t>
        </is>
      </c>
      <c r="E6" t="inlineStr">
        <is>
          <t>Architect</t>
        </is>
      </c>
      <c r="F6" t="inlineStr">
        <is>
          <t>RESOLVED</t>
        </is>
      </c>
      <c r="G6" t="inlineStr">
        <is>
          <t>New hire onboarding takes 6 weeks</t>
        </is>
      </c>
      <c r="H6" t="inlineStr">
        <is>
          <t>No documented process; tribal knowledge</t>
        </is>
      </c>
      <c r="I6" t="inlineStr">
        <is>
          <t>Onboard in 2 weeks, consistent quality</t>
        </is>
      </c>
      <c r="J6" t="n">
        <v>0.4</v>
      </c>
      <c r="K6" t="n">
        <v>40</v>
      </c>
      <c r="L6" t="n">
        <v>4</v>
      </c>
      <c r="M6" t="n">
        <v>5</v>
      </c>
      <c r="N6" s="62" t="n">
        <v>46027</v>
      </c>
    </row>
    <row r="7">
      <c r="A7" t="inlineStr">
        <is>
          <t>Safety / Compliance</t>
        </is>
      </c>
      <c r="C7" t="n">
        <v>6</v>
      </c>
      <c r="D7" t="inlineStr">
        <is>
          <t>Mistake-Proofing / Poka-Yoke</t>
        </is>
      </c>
      <c r="E7" t="inlineStr">
        <is>
          <t>BA</t>
        </is>
      </c>
      <c r="F7" t="inlineStr">
        <is>
          <t>CLOSED</t>
        </is>
      </c>
      <c r="G7" t="inlineStr">
        <is>
          <t>Leader not visible to frontline team</t>
        </is>
      </c>
      <c r="H7" t="inlineStr">
        <is>
          <t>No structured Gemba cadence in place</t>
        </is>
      </c>
      <c r="I7" t="inlineStr">
        <is>
          <t>Weekly Gemba walk every leader, every week</t>
        </is>
      </c>
      <c r="J7" t="n">
        <v>0.5</v>
      </c>
      <c r="K7" t="n">
        <v>50</v>
      </c>
      <c r="L7" t="n">
        <v>5</v>
      </c>
      <c r="M7" t="n">
        <v>6</v>
      </c>
      <c r="N7" s="62" t="n">
        <v>46028</v>
      </c>
    </row>
    <row r="8">
      <c r="A8" t="inlineStr">
        <is>
          <t>Technology / Tools</t>
        </is>
      </c>
      <c r="C8" t="n">
        <v>7</v>
      </c>
      <c r="D8" t="inlineStr">
        <is>
          <t>5S</t>
        </is>
      </c>
      <c r="E8" t="inlineStr">
        <is>
          <t>Team Lead</t>
        </is>
      </c>
      <c r="G8" t="inlineStr">
        <is>
          <t>Instrument calibration behind schedule</t>
        </is>
      </c>
      <c r="H8" t="inlineStr">
        <is>
          <t>No pre-commissioning checklist used</t>
        </is>
      </c>
      <c r="I8" t="inlineStr">
        <is>
          <t>Reduce cycle time by 30% in 8 weeks</t>
        </is>
      </c>
      <c r="J8" t="n">
        <v>0.6</v>
      </c>
      <c r="K8" t="n">
        <v>60</v>
      </c>
      <c r="L8" t="n">
        <v>6</v>
      </c>
      <c r="M8" t="n">
        <v>7</v>
      </c>
      <c r="N8" s="62" t="n">
        <v>46029</v>
      </c>
    </row>
    <row r="9">
      <c r="A9" t="inlineStr">
        <is>
          <t>Customer / VOC</t>
        </is>
      </c>
      <c r="C9" t="n">
        <v>8</v>
      </c>
      <c r="D9" t="inlineStr">
        <is>
          <t>A3</t>
        </is>
      </c>
      <c r="E9" t="inlineStr">
        <is>
          <t>Process Owner</t>
        </is>
      </c>
      <c r="G9" t="inlineStr">
        <is>
          <t>Electrical loop tests failing repeatedly</t>
        </is>
      </c>
      <c r="H9" t="inlineStr">
        <is>
          <t>Inadequate technical review conducted</t>
        </is>
      </c>
      <c r="I9" t="inlineStr">
        <is>
          <t>Cut defect rate below 2% in 6 weeks</t>
        </is>
      </c>
      <c r="J9" t="n">
        <v>0.7</v>
      </c>
      <c r="K9" t="n">
        <v>70</v>
      </c>
      <c r="L9" t="n">
        <v>7</v>
      </c>
      <c r="M9" t="n">
        <v>8</v>
      </c>
      <c r="N9" s="62" t="n">
        <v>46030</v>
      </c>
    </row>
    <row r="10">
      <c r="C10" t="n">
        <v>9</v>
      </c>
      <c r="D10" t="inlineStr">
        <is>
          <t>Six Sigma DMAIC</t>
        </is>
      </c>
      <c r="E10" t="inlineStr">
        <is>
          <t>DevOps</t>
        </is>
      </c>
      <c r="G10" t="inlineStr">
        <is>
          <t>Mechanical punch list not cleared before commissioning</t>
        </is>
      </c>
      <c r="H10" t="inlineStr">
        <is>
          <t>Incomplete P&amp;ID revision control</t>
        </is>
      </c>
      <c r="I10" t="inlineStr">
        <is>
          <t>Reduce WIP to agreed limit within 4 weeks</t>
        </is>
      </c>
      <c r="J10" t="n">
        <v>0.8</v>
      </c>
      <c r="K10" t="n">
        <v>80</v>
      </c>
      <c r="L10" t="n">
        <v>8</v>
      </c>
      <c r="M10" t="n">
        <v>9</v>
      </c>
      <c r="N10" s="62" t="n">
        <v>46031</v>
      </c>
    </row>
    <row r="11">
      <c r="C11" t="n">
        <v>10</v>
      </c>
      <c r="D11" t="inlineStr">
        <is>
          <t>Root Cause / 5 Whys</t>
        </is>
      </c>
      <c r="E11" t="inlineStr">
        <is>
          <t>Tech Lead</t>
        </is>
      </c>
      <c r="G11" t="inlineStr">
        <is>
          <t>Control system commissioning delayed</t>
        </is>
      </c>
      <c r="H11" t="inlineStr">
        <is>
          <t>Poor cable management practices</t>
        </is>
      </c>
      <c r="I11" t="inlineStr">
        <is>
          <t>Improve on-time delivery to &gt;95%</t>
        </is>
      </c>
      <c r="J11" t="n">
        <v>0.9</v>
      </c>
      <c r="K11" t="n">
        <v>90</v>
      </c>
      <c r="L11" t="n">
        <v>9</v>
      </c>
      <c r="M11" t="n">
        <v>10</v>
      </c>
      <c r="N11" s="62" t="n">
        <v>46032</v>
      </c>
    </row>
    <row r="12">
      <c r="D12" t="inlineStr">
        <is>
          <t>Kaizen Event</t>
        </is>
      </c>
      <c r="E12" t="inlineStr">
        <is>
          <t>HR</t>
        </is>
      </c>
      <c r="G12" t="inlineStr">
        <is>
          <t>FAT defects not resolved before site mobilisation</t>
        </is>
      </c>
      <c r="H12" t="inlineStr">
        <is>
          <t>Insufficient commissioning training</t>
        </is>
      </c>
      <c r="I12" t="inlineStr">
        <is>
          <t>Reduce cost of poor quality by 25%</t>
        </is>
      </c>
      <c r="J12" t="n">
        <v>1</v>
      </c>
      <c r="K12" t="n">
        <v>100</v>
      </c>
      <c r="L12" t="n">
        <v>10</v>
      </c>
      <c r="M12" t="n">
        <v>11</v>
      </c>
      <c r="N12" s="62" t="n">
        <v>46033</v>
      </c>
    </row>
    <row r="13">
      <c r="D13" t="inlineStr">
        <is>
          <t>Visual Management</t>
        </is>
      </c>
      <c r="E13" t="inlineStr">
        <is>
          <t>Engineering Lead</t>
        </is>
      </c>
      <c r="G13" t="inlineStr">
        <is>
          <t>HAZOP action items not closed</t>
        </is>
      </c>
      <c r="H13" t="inlineStr">
        <is>
          <t>Lack of loop check protocol</t>
        </is>
      </c>
      <c r="I13" t="inlineStr">
        <is>
          <t>Close all critical risks within 2 weeks</t>
        </is>
      </c>
      <c r="K13" t="n">
        <v>110</v>
      </c>
      <c r="L13" t="n">
        <v>11</v>
      </c>
      <c r="M13" t="n">
        <v>12</v>
      </c>
      <c r="N13" s="62" t="n">
        <v>46034</v>
      </c>
    </row>
    <row r="14">
      <c r="E14" t="inlineStr">
        <is>
          <t>Commissioning Engineer</t>
        </is>
      </c>
      <c r="G14" t="inlineStr">
        <is>
          <t>As-built documentation incomplete or missing</t>
        </is>
      </c>
      <c r="H14" t="inlineStr">
        <is>
          <t>Instrument specification mismatch</t>
        </is>
      </c>
      <c r="I14" t="inlineStr">
        <is>
          <t>Achieve Sigma level &gt;= 4.0</t>
        </is>
      </c>
      <c r="K14" t="n">
        <v>120</v>
      </c>
      <c r="L14" t="n">
        <v>12</v>
      </c>
      <c r="M14" t="n">
        <v>13</v>
      </c>
      <c r="N14" s="62" t="n">
        <v>46035</v>
      </c>
    </row>
    <row r="15">
      <c r="E15" t="inlineStr">
        <is>
          <t>Quality Manager</t>
        </is>
      </c>
      <c r="G15" t="inlineStr">
        <is>
          <t>SIL / functional safety testing not completed</t>
        </is>
      </c>
      <c r="H15" t="inlineStr">
        <is>
          <t>No HAZOP / risk review conducted</t>
        </is>
      </c>
      <c r="I15" t="inlineStr">
        <is>
          <t>Zero safety incidents this quarter</t>
        </is>
      </c>
      <c r="K15" t="n">
        <v>130</v>
      </c>
      <c r="L15" t="n">
        <v>13</v>
      </c>
      <c r="M15" t="n">
        <v>14</v>
      </c>
      <c r="N15" s="62" t="n">
        <v>46036</v>
      </c>
    </row>
    <row r="16">
      <c r="G16" t="inlineStr">
        <is>
          <t>Long lead equipment delivery delayed</t>
        </is>
      </c>
      <c r="H16" t="inlineStr">
        <is>
          <t>Vendor documentation incomplete or missing</t>
        </is>
      </c>
      <c r="I16" t="inlineStr">
        <is>
          <t>Cut approval lead time to &lt; 4 hours</t>
        </is>
      </c>
      <c r="K16" t="n">
        <v>140</v>
      </c>
      <c r="L16" t="n">
        <v>14</v>
      </c>
      <c r="M16" t="n">
        <v>15</v>
      </c>
      <c r="N16" s="62" t="n">
        <v>46037</v>
      </c>
    </row>
    <row r="17">
      <c r="G17" t="inlineStr">
        <is>
          <t>Insufficient qualified commissioning personnel</t>
        </is>
      </c>
      <c r="H17" t="inlineStr">
        <is>
          <t>Construction punch list not cleared</t>
        </is>
      </c>
      <c r="I17" t="inlineStr">
        <is>
          <t>Onboard new hires in &lt;= 2 weeks</t>
        </is>
      </c>
      <c r="K17" t="n">
        <v>150</v>
      </c>
      <c r="L17" t="n">
        <v>15</v>
      </c>
      <c r="M17" t="n">
        <v>16</v>
      </c>
      <c r="N17" s="62" t="n">
        <v>46038</v>
      </c>
    </row>
    <row r="18">
      <c r="G18" t="inlineStr">
        <is>
          <t>Permit-to-work bottlenecks causing delays</t>
        </is>
      </c>
      <c r="H18" t="inlineStr">
        <is>
          <t>Software FAT not completed</t>
        </is>
      </c>
      <c r="I18" t="inlineStr">
        <is>
          <t>100% of cases linked to a countermeasure</t>
        </is>
      </c>
      <c r="K18" t="n">
        <v>160</v>
      </c>
      <c r="L18" t="n">
        <v>16</v>
      </c>
      <c r="M18" t="n">
        <v>17</v>
      </c>
      <c r="N18" s="62" t="n">
        <v>46039</v>
      </c>
    </row>
    <row r="19">
      <c r="G19" t="inlineStr">
        <is>
          <t>Inter-discipline coordination failures</t>
        </is>
      </c>
      <c r="H19" t="inlineStr">
        <is>
          <t>Inadequate grounding / earthing design</t>
        </is>
      </c>
      <c r="K19" t="n">
        <v>170</v>
      </c>
      <c r="L19" t="n">
        <v>17</v>
      </c>
      <c r="M19" t="n">
        <v>18</v>
      </c>
      <c r="N19" s="62" t="n">
        <v>46040</v>
      </c>
    </row>
    <row r="20">
      <c r="G20" t="inlineStr">
        <is>
          <t>Vendor technical support unavailable</t>
        </is>
      </c>
      <c r="H20" t="inlineStr">
        <is>
          <t>Incorrect calibration procedure applied</t>
        </is>
      </c>
      <c r="K20" t="n">
        <v>180</v>
      </c>
      <c r="L20" t="n">
        <v>18</v>
      </c>
      <c r="M20" t="n">
        <v>19</v>
      </c>
      <c r="N20" s="62" t="n">
        <v>46041</v>
      </c>
    </row>
    <row r="21">
      <c r="G21" t="inlineStr">
        <is>
          <t>Safety case not accepted by regulator</t>
        </is>
      </c>
      <c r="H21" t="inlineStr">
        <is>
          <t>Missing ATEX certification verification</t>
        </is>
      </c>
      <c r="K21" t="n">
        <v>190</v>
      </c>
      <c r="L21" t="n">
        <v>19</v>
      </c>
      <c r="M21" t="n">
        <v>20</v>
      </c>
      <c r="N21" s="62" t="n">
        <v>46042</v>
      </c>
    </row>
    <row r="22">
      <c r="G22" t="inlineStr">
        <is>
          <t>Software version control issues</t>
        </is>
      </c>
      <c r="H22" t="inlineStr">
        <is>
          <t>No intake checklist</t>
        </is>
      </c>
      <c r="K22" t="n">
        <v>200</v>
      </c>
      <c r="L22" t="n">
        <v>20</v>
      </c>
      <c r="N22" s="62" t="n">
        <v>46043</v>
      </c>
    </row>
    <row r="23">
      <c r="G23" t="inlineStr">
        <is>
          <t>Commissioning sequence not agreed</t>
        </is>
      </c>
      <c r="H23" t="inlineStr">
        <is>
          <t>No template / tribal knowledge</t>
        </is>
      </c>
      <c r="K23" t="n">
        <v>210</v>
      </c>
      <c r="L23" t="n">
        <v>21</v>
      </c>
      <c r="N23" s="62" t="n">
        <v>46044</v>
      </c>
    </row>
    <row r="24">
      <c r="G24" t="inlineStr">
        <is>
          <t>Electrical isolation procedures missing</t>
        </is>
      </c>
      <c r="H24" t="inlineStr">
        <is>
          <t>No MVP mindset / no WIP limit</t>
        </is>
      </c>
      <c r="K24" t="n">
        <v>220</v>
      </c>
      <c r="L24" t="n">
        <v>22</v>
      </c>
      <c r="N24" s="62" t="n">
        <v>46045</v>
      </c>
    </row>
    <row r="25">
      <c r="G25" t="inlineStr">
        <is>
          <t>Mechanical completion not certified</t>
        </is>
      </c>
      <c r="H25" t="inlineStr">
        <is>
          <t>Developer working off informal notes</t>
        </is>
      </c>
      <c r="K25" t="n">
        <v>230</v>
      </c>
      <c r="L25" t="n">
        <v>23</v>
      </c>
      <c r="N25" s="62" t="n">
        <v>46046</v>
      </c>
    </row>
    <row r="26">
      <c r="G26" t="inlineStr">
        <is>
          <t>Instrument loop folders incomplete</t>
        </is>
      </c>
      <c r="H26" t="inlineStr">
        <is>
          <t>Test plan not linked to acceptance criteria</t>
        </is>
      </c>
      <c r="K26" t="n">
        <v>240</v>
      </c>
      <c r="L26" t="n">
        <v>24</v>
      </c>
      <c r="N26" s="62" t="n">
        <v>46047</v>
      </c>
    </row>
    <row r="27">
      <c r="G27" t="inlineStr">
        <is>
          <t>Control narrative not updated</t>
        </is>
      </c>
      <c r="H27" t="inlineStr">
        <is>
          <t>Manual deploy checklist only</t>
        </is>
      </c>
      <c r="K27" t="n">
        <v>250</v>
      </c>
      <c r="L27" t="n">
        <v>25</v>
      </c>
      <c r="N27" s="62" t="n">
        <v>46048</v>
      </c>
    </row>
    <row r="28">
      <c r="G28" t="inlineStr">
        <is>
          <t>Delivery targets missed consistently</t>
        </is>
      </c>
      <c r="H28" t="inlineStr">
        <is>
          <t>No runbook requirement defined</t>
        </is>
      </c>
      <c r="K28" t="n">
        <v>260</v>
      </c>
      <c r="L28" t="n">
        <v>26</v>
      </c>
      <c r="N28" s="62" t="n">
        <v>46049</v>
      </c>
    </row>
    <row r="29">
      <c r="G29" t="inlineStr">
        <is>
          <t>Defect rate exceeding acceptable threshold</t>
        </is>
      </c>
      <c r="H29" t="inlineStr">
        <is>
          <t>No communications plan template</t>
        </is>
      </c>
      <c r="K29" t="n">
        <v>270</v>
      </c>
      <c r="L29" t="n">
        <v>27</v>
      </c>
      <c r="N29" s="62" t="n">
        <v>46050</v>
      </c>
    </row>
    <row r="30">
      <c r="G30" t="inlineStr">
        <is>
          <t>Team overwhelmed; parallel tasks too high</t>
        </is>
      </c>
      <c r="H30" t="inlineStr">
        <is>
          <t>Routing rule not documented</t>
        </is>
      </c>
      <c r="K30" t="n">
        <v>280</v>
      </c>
      <c r="L30" t="n">
        <v>28</v>
      </c>
      <c r="N30" s="62" t="n">
        <v>46051</v>
      </c>
    </row>
    <row r="31">
      <c r="G31" t="inlineStr">
        <is>
          <t>Approval bottleneck causing schedule delay</t>
        </is>
      </c>
      <c r="H31" t="inlineStr">
        <is>
          <t>No mandatory retrospective process</t>
        </is>
      </c>
      <c r="K31" t="n">
        <v>290</v>
      </c>
      <c r="L31" t="n">
        <v>29</v>
      </c>
      <c r="N31" s="62" t="n">
        <v>46052</v>
      </c>
    </row>
    <row r="32">
      <c r="G32" t="inlineStr">
        <is>
          <t>New hire onboarding too slow</t>
        </is>
      </c>
      <c r="H32" t="inlineStr">
        <is>
          <t>No commissioning sequence plan issued</t>
        </is>
      </c>
      <c r="K32" t="n">
        <v>300</v>
      </c>
      <c r="L32" t="n">
        <v>30</v>
      </c>
      <c r="N32" s="62" t="n">
        <v>46053</v>
      </c>
    </row>
    <row r="33">
      <c r="G33" t="inlineStr">
        <is>
          <t>Change management not followed</t>
        </is>
      </c>
      <c r="H33" t="inlineStr">
        <is>
          <t>HART / fieldbus device not configured</t>
        </is>
      </c>
      <c r="K33" t="n">
        <v>310</v>
      </c>
      <c r="L33" t="n">
        <v>31</v>
      </c>
      <c r="N33" s="62" t="n">
        <v>46054</v>
      </c>
    </row>
    <row r="34">
      <c r="G34" t="inlineStr">
        <is>
          <t>Inter-team dependency not managed</t>
        </is>
      </c>
      <c r="H34" t="inlineStr">
        <is>
          <t>As-built drawings not updated</t>
        </is>
      </c>
      <c r="K34" t="n">
        <v>320</v>
      </c>
      <c r="L34" t="n">
        <v>32</v>
      </c>
      <c r="N34" s="62" t="n">
        <v>46055</v>
      </c>
    </row>
    <row r="35">
      <c r="G35" t="inlineStr">
        <is>
          <t>Cycle time too long vs customer demand</t>
        </is>
      </c>
      <c r="H35" t="inlineStr">
        <is>
          <t>Process not standardised</t>
        </is>
      </c>
      <c r="K35" t="n">
        <v>330</v>
      </c>
      <c r="L35" t="n">
        <v>33</v>
      </c>
      <c r="N35" s="62" t="n">
        <v>46056</v>
      </c>
    </row>
    <row r="36">
      <c r="G36" t="inlineStr">
        <is>
          <t>High work-in-progress / bottleneck forming</t>
        </is>
      </c>
      <c r="H36" t="inlineStr">
        <is>
          <t>No clear ownership / RACI</t>
        </is>
      </c>
      <c r="K36" t="n">
        <v>340</v>
      </c>
      <c r="L36" t="n">
        <v>34</v>
      </c>
      <c r="N36" s="62" t="n">
        <v>46057</v>
      </c>
    </row>
    <row r="37">
      <c r="G37" t="inlineStr">
        <is>
          <t>Rework loop consuming team capacity</t>
        </is>
      </c>
      <c r="H37" t="inlineStr">
        <is>
          <t>Insufficient training or skills</t>
        </is>
      </c>
      <c r="K37" t="n">
        <v>350</v>
      </c>
      <c r="L37" t="n">
        <v>35</v>
      </c>
      <c r="N37" s="62" t="n">
        <v>46058</v>
      </c>
    </row>
    <row r="38">
      <c r="G38" t="inlineStr">
        <is>
          <t>Customer complaints trending up</t>
        </is>
      </c>
      <c r="H38" t="inlineStr">
        <is>
          <t>Tooling / system limitation</t>
        </is>
      </c>
      <c r="K38" t="n">
        <v>360</v>
      </c>
      <c r="L38" t="n">
        <v>36</v>
      </c>
      <c r="N38" s="62" t="n">
        <v>46059</v>
      </c>
    </row>
    <row r="39">
      <c r="G39" t="inlineStr">
        <is>
          <t>Cost overrun against budget</t>
        </is>
      </c>
      <c r="H39" t="inlineStr">
        <is>
          <t>Unclear or changing requirements</t>
        </is>
      </c>
      <c r="K39" t="n">
        <v>370</v>
      </c>
      <c r="L39" t="n">
        <v>37</v>
      </c>
      <c r="N39" s="62" t="n">
        <v>46060</v>
      </c>
    </row>
    <row r="40">
      <c r="G40" t="inlineStr">
        <is>
          <t>Safety near-miss reported</t>
        </is>
      </c>
      <c r="H40" t="inlineStr">
        <is>
          <t>Lack of data to make decisions</t>
        </is>
      </c>
      <c r="K40" t="n">
        <v>380</v>
      </c>
      <c r="L40" t="n">
        <v>38</v>
      </c>
      <c r="N40" s="62" t="n">
        <v>46061</v>
      </c>
    </row>
    <row r="41">
      <c r="G41" t="inlineStr">
        <is>
          <t>Audit / compliance finding raised</t>
        </is>
      </c>
      <c r="K41" t="n">
        <v>390</v>
      </c>
      <c r="L41" t="n">
        <v>39</v>
      </c>
      <c r="N41" s="62" t="n">
        <v>46062</v>
      </c>
    </row>
    <row r="42">
      <c r="G42" t="inlineStr">
        <is>
          <t>Knowledge lost when staff leave</t>
        </is>
      </c>
      <c r="K42" t="n">
        <v>400</v>
      </c>
      <c r="L42" t="n">
        <v>40</v>
      </c>
      <c r="N42" s="62" t="n">
        <v>46063</v>
      </c>
    </row>
    <row r="43">
      <c r="G43" t="inlineStr">
        <is>
          <t>Manual process prone to error</t>
        </is>
      </c>
      <c r="K43" t="n">
        <v>410</v>
      </c>
      <c r="L43" t="n">
        <v>41</v>
      </c>
      <c r="N43" s="62" t="n">
        <v>46064</v>
      </c>
    </row>
    <row r="44">
      <c r="G44" t="inlineStr">
        <is>
          <t>Handoffs between teams causing delay</t>
        </is>
      </c>
      <c r="K44" t="n">
        <v>420</v>
      </c>
      <c r="L44" t="n">
        <v>42</v>
      </c>
      <c r="N44" s="62" t="n">
        <v>46065</v>
      </c>
    </row>
    <row r="45">
      <c r="K45" t="n">
        <v>430</v>
      </c>
      <c r="L45" t="n">
        <v>43</v>
      </c>
      <c r="N45" s="62" t="n">
        <v>46066</v>
      </c>
    </row>
    <row r="46">
      <c r="K46" t="n">
        <v>440</v>
      </c>
      <c r="L46" t="n">
        <v>44</v>
      </c>
      <c r="N46" s="62" t="n">
        <v>46067</v>
      </c>
    </row>
    <row r="47">
      <c r="K47" t="n">
        <v>450</v>
      </c>
      <c r="L47" t="n">
        <v>45</v>
      </c>
      <c r="N47" s="62" t="n">
        <v>46068</v>
      </c>
    </row>
    <row r="48">
      <c r="K48" t="n">
        <v>460</v>
      </c>
      <c r="L48" t="n">
        <v>46</v>
      </c>
      <c r="N48" s="62" t="n">
        <v>46069</v>
      </c>
    </row>
    <row r="49">
      <c r="K49" t="n">
        <v>470</v>
      </c>
      <c r="L49" t="n">
        <v>47</v>
      </c>
      <c r="N49" s="62" t="n">
        <v>46070</v>
      </c>
    </row>
    <row r="50">
      <c r="K50" t="n">
        <v>480</v>
      </c>
      <c r="L50" t="n">
        <v>48</v>
      </c>
      <c r="N50" s="62" t="n">
        <v>46071</v>
      </c>
    </row>
    <row r="51">
      <c r="K51" t="n">
        <v>490</v>
      </c>
      <c r="L51" t="n">
        <v>49</v>
      </c>
      <c r="N51" s="62" t="n">
        <v>46072</v>
      </c>
    </row>
    <row r="52">
      <c r="K52" t="n">
        <v>500</v>
      </c>
      <c r="L52" t="n">
        <v>50</v>
      </c>
      <c r="N52" s="62" t="n">
        <v>46073</v>
      </c>
    </row>
    <row r="53">
      <c r="K53" t="n">
        <v>510</v>
      </c>
      <c r="L53" t="n">
        <v>51</v>
      </c>
      <c r="N53" s="62" t="n">
        <v>46074</v>
      </c>
    </row>
    <row r="54">
      <c r="K54" t="n">
        <v>520</v>
      </c>
      <c r="L54" t="n">
        <v>52</v>
      </c>
      <c r="N54" s="62" t="n">
        <v>46075</v>
      </c>
    </row>
    <row r="55">
      <c r="K55" t="n">
        <v>530</v>
      </c>
      <c r="L55" t="n">
        <v>53</v>
      </c>
      <c r="N55" s="62" t="n">
        <v>46076</v>
      </c>
    </row>
    <row r="56">
      <c r="K56" t="n">
        <v>540</v>
      </c>
      <c r="L56" t="n">
        <v>54</v>
      </c>
      <c r="N56" s="62" t="n">
        <v>46077</v>
      </c>
    </row>
    <row r="57">
      <c r="K57" t="n">
        <v>550</v>
      </c>
      <c r="L57" t="n">
        <v>55</v>
      </c>
      <c r="N57" s="62" t="n">
        <v>46078</v>
      </c>
    </row>
    <row r="58">
      <c r="K58" t="n">
        <v>560</v>
      </c>
      <c r="L58" t="n">
        <v>56</v>
      </c>
      <c r="N58" s="62" t="n">
        <v>46079</v>
      </c>
    </row>
    <row r="59">
      <c r="K59" t="n">
        <v>570</v>
      </c>
      <c r="L59" t="n">
        <v>57</v>
      </c>
      <c r="N59" s="62" t="n">
        <v>46080</v>
      </c>
    </row>
    <row r="60">
      <c r="K60" t="n">
        <v>580</v>
      </c>
      <c r="L60" t="n">
        <v>58</v>
      </c>
      <c r="N60" s="62" t="n">
        <v>46081</v>
      </c>
    </row>
    <row r="61">
      <c r="K61" t="n">
        <v>590</v>
      </c>
      <c r="L61" t="n">
        <v>59</v>
      </c>
      <c r="N61" s="62" t="n">
        <v>46082</v>
      </c>
    </row>
    <row r="62">
      <c r="K62" t="n">
        <v>600</v>
      </c>
      <c r="L62" t="n">
        <v>60</v>
      </c>
      <c r="N62" s="62" t="n">
        <v>46083</v>
      </c>
    </row>
    <row r="63">
      <c r="K63" t="n">
        <v>610</v>
      </c>
      <c r="L63" t="n">
        <v>61</v>
      </c>
      <c r="N63" s="62" t="n">
        <v>46084</v>
      </c>
    </row>
    <row r="64">
      <c r="K64" t="n">
        <v>620</v>
      </c>
      <c r="L64" t="n">
        <v>62</v>
      </c>
      <c r="N64" s="62" t="n">
        <v>46085</v>
      </c>
    </row>
    <row r="65">
      <c r="K65" t="n">
        <v>630</v>
      </c>
      <c r="L65" t="n">
        <v>63</v>
      </c>
      <c r="N65" s="62" t="n">
        <v>46086</v>
      </c>
    </row>
    <row r="66">
      <c r="K66" t="n">
        <v>640</v>
      </c>
      <c r="L66" t="n">
        <v>64</v>
      </c>
      <c r="N66" s="62" t="n">
        <v>46087</v>
      </c>
    </row>
    <row r="67">
      <c r="K67" t="n">
        <v>650</v>
      </c>
      <c r="L67" t="n">
        <v>65</v>
      </c>
      <c r="N67" s="62" t="n">
        <v>46088</v>
      </c>
    </row>
    <row r="68">
      <c r="K68" t="n">
        <v>660</v>
      </c>
      <c r="L68" t="n">
        <v>66</v>
      </c>
      <c r="N68" s="62" t="n">
        <v>46089</v>
      </c>
    </row>
    <row r="69">
      <c r="K69" t="n">
        <v>670</v>
      </c>
      <c r="L69" t="n">
        <v>67</v>
      </c>
      <c r="N69" s="62" t="n">
        <v>46090</v>
      </c>
    </row>
    <row r="70">
      <c r="K70" t="n">
        <v>680</v>
      </c>
      <c r="L70" t="n">
        <v>68</v>
      </c>
      <c r="N70" s="62" t="n">
        <v>46091</v>
      </c>
    </row>
    <row r="71">
      <c r="K71" t="n">
        <v>690</v>
      </c>
      <c r="L71" t="n">
        <v>69</v>
      </c>
      <c r="N71" s="62" t="n">
        <v>46092</v>
      </c>
    </row>
    <row r="72">
      <c r="K72" t="n">
        <v>700</v>
      </c>
      <c r="L72" t="n">
        <v>70</v>
      </c>
      <c r="N72" s="62" t="n">
        <v>46093</v>
      </c>
    </row>
    <row r="73">
      <c r="K73" t="n">
        <v>710</v>
      </c>
      <c r="L73" t="n">
        <v>71</v>
      </c>
      <c r="N73" s="62" t="n">
        <v>46094</v>
      </c>
    </row>
    <row r="74">
      <c r="K74" t="n">
        <v>720</v>
      </c>
      <c r="L74" t="n">
        <v>72</v>
      </c>
      <c r="N74" s="62" t="n">
        <v>46095</v>
      </c>
    </row>
    <row r="75">
      <c r="K75" t="n">
        <v>730</v>
      </c>
      <c r="L75" t="n">
        <v>73</v>
      </c>
      <c r="N75" s="62" t="n">
        <v>46096</v>
      </c>
    </row>
    <row r="76">
      <c r="K76" t="n">
        <v>740</v>
      </c>
      <c r="L76" t="n">
        <v>74</v>
      </c>
      <c r="N76" s="62" t="n">
        <v>46097</v>
      </c>
    </row>
    <row r="77">
      <c r="K77" t="n">
        <v>750</v>
      </c>
      <c r="L77" t="n">
        <v>75</v>
      </c>
      <c r="N77" s="62" t="n">
        <v>46098</v>
      </c>
    </row>
    <row r="78">
      <c r="K78" t="n">
        <v>760</v>
      </c>
      <c r="L78" t="n">
        <v>76</v>
      </c>
      <c r="N78" s="62" t="n">
        <v>46099</v>
      </c>
    </row>
    <row r="79">
      <c r="K79" t="n">
        <v>770</v>
      </c>
      <c r="L79" t="n">
        <v>77</v>
      </c>
      <c r="N79" s="62" t="n">
        <v>46100</v>
      </c>
    </row>
    <row r="80">
      <c r="K80" t="n">
        <v>780</v>
      </c>
      <c r="L80" t="n">
        <v>78</v>
      </c>
      <c r="N80" s="62" t="n">
        <v>46101</v>
      </c>
    </row>
    <row r="81">
      <c r="K81" t="n">
        <v>790</v>
      </c>
      <c r="L81" t="n">
        <v>79</v>
      </c>
      <c r="N81" s="62" t="n">
        <v>46102</v>
      </c>
    </row>
    <row r="82">
      <c r="K82" t="n">
        <v>800</v>
      </c>
      <c r="L82" t="n">
        <v>80</v>
      </c>
      <c r="N82" s="62" t="n">
        <v>46103</v>
      </c>
    </row>
    <row r="83">
      <c r="K83" t="n">
        <v>810</v>
      </c>
      <c r="L83" t="n">
        <v>81</v>
      </c>
      <c r="N83" s="62" t="n">
        <v>46104</v>
      </c>
    </row>
    <row r="84">
      <c r="K84" t="n">
        <v>820</v>
      </c>
      <c r="L84" t="n">
        <v>82</v>
      </c>
      <c r="N84" s="62" t="n">
        <v>46105</v>
      </c>
    </row>
    <row r="85">
      <c r="K85" t="n">
        <v>830</v>
      </c>
      <c r="L85" t="n">
        <v>83</v>
      </c>
      <c r="N85" s="62" t="n">
        <v>46106</v>
      </c>
    </row>
    <row r="86">
      <c r="K86" t="n">
        <v>840</v>
      </c>
      <c r="L86" t="n">
        <v>84</v>
      </c>
      <c r="N86" s="62" t="n">
        <v>46107</v>
      </c>
    </row>
    <row r="87">
      <c r="K87" t="n">
        <v>850</v>
      </c>
      <c r="L87" t="n">
        <v>85</v>
      </c>
      <c r="N87" s="62" t="n">
        <v>46108</v>
      </c>
    </row>
    <row r="88">
      <c r="K88" t="n">
        <v>860</v>
      </c>
      <c r="L88" t="n">
        <v>86</v>
      </c>
      <c r="N88" s="62" t="n">
        <v>46109</v>
      </c>
    </row>
    <row r="89">
      <c r="K89" t="n">
        <v>870</v>
      </c>
      <c r="L89" t="n">
        <v>87</v>
      </c>
      <c r="N89" s="62" t="n">
        <v>46110</v>
      </c>
    </row>
    <row r="90">
      <c r="K90" t="n">
        <v>880</v>
      </c>
      <c r="L90" t="n">
        <v>88</v>
      </c>
      <c r="N90" s="62" t="n">
        <v>46111</v>
      </c>
    </row>
    <row r="91">
      <c r="K91" t="n">
        <v>890</v>
      </c>
      <c r="L91" t="n">
        <v>89</v>
      </c>
      <c r="N91" s="62" t="n">
        <v>46112</v>
      </c>
    </row>
    <row r="92">
      <c r="K92" t="n">
        <v>900</v>
      </c>
      <c r="L92" t="n">
        <v>90</v>
      </c>
      <c r="N92" s="62" t="n">
        <v>46113</v>
      </c>
    </row>
    <row r="93">
      <c r="K93" t="n">
        <v>910</v>
      </c>
      <c r="L93" t="n">
        <v>91</v>
      </c>
      <c r="N93" s="62" t="n">
        <v>46114</v>
      </c>
    </row>
    <row r="94">
      <c r="K94" t="n">
        <v>920</v>
      </c>
      <c r="L94" t="n">
        <v>92</v>
      </c>
      <c r="N94" s="62" t="n">
        <v>46115</v>
      </c>
    </row>
    <row r="95">
      <c r="K95" t="n">
        <v>930</v>
      </c>
      <c r="L95" t="n">
        <v>93</v>
      </c>
      <c r="N95" s="62" t="n">
        <v>46116</v>
      </c>
    </row>
    <row r="96">
      <c r="K96" t="n">
        <v>940</v>
      </c>
      <c r="L96" t="n">
        <v>94</v>
      </c>
      <c r="N96" s="62" t="n">
        <v>46117</v>
      </c>
    </row>
    <row r="97">
      <c r="K97" t="n">
        <v>950</v>
      </c>
      <c r="L97" t="n">
        <v>95</v>
      </c>
      <c r="N97" s="62" t="n">
        <v>46118</v>
      </c>
    </row>
    <row r="98">
      <c r="K98" t="n">
        <v>960</v>
      </c>
      <c r="L98" t="n">
        <v>96</v>
      </c>
      <c r="N98" s="62" t="n">
        <v>46119</v>
      </c>
    </row>
    <row r="99">
      <c r="K99" t="n">
        <v>970</v>
      </c>
      <c r="L99" t="n">
        <v>97</v>
      </c>
      <c r="N99" s="62" t="n">
        <v>46120</v>
      </c>
    </row>
    <row r="100">
      <c r="K100" t="n">
        <v>980</v>
      </c>
      <c r="L100" t="n">
        <v>98</v>
      </c>
      <c r="N100" s="62" t="n">
        <v>46121</v>
      </c>
    </row>
    <row r="101">
      <c r="K101" t="n">
        <v>990</v>
      </c>
      <c r="L101" t="n">
        <v>99</v>
      </c>
      <c r="N101" s="62" t="n">
        <v>46122</v>
      </c>
    </row>
    <row r="102">
      <c r="K102" t="n">
        <v>1000</v>
      </c>
      <c r="L102" t="n">
        <v>100</v>
      </c>
      <c r="N102" s="62" t="n">
        <v>46123</v>
      </c>
    </row>
    <row r="103">
      <c r="K103" t="n">
        <v>1010</v>
      </c>
      <c r="L103" t="n">
        <v>101</v>
      </c>
      <c r="N103" s="62" t="n">
        <v>46124</v>
      </c>
    </row>
    <row r="104">
      <c r="K104" t="n">
        <v>1020</v>
      </c>
      <c r="L104" t="n">
        <v>102</v>
      </c>
      <c r="N104" s="62" t="n">
        <v>46125</v>
      </c>
    </row>
    <row r="105">
      <c r="K105" t="n">
        <v>1030</v>
      </c>
      <c r="L105" t="n">
        <v>103</v>
      </c>
      <c r="N105" s="62" t="n">
        <v>46126</v>
      </c>
    </row>
    <row r="106">
      <c r="K106" t="n">
        <v>1040</v>
      </c>
      <c r="L106" t="n">
        <v>104</v>
      </c>
      <c r="N106" s="62" t="n">
        <v>46127</v>
      </c>
    </row>
    <row r="107">
      <c r="K107" t="n">
        <v>1050</v>
      </c>
      <c r="L107" t="n">
        <v>105</v>
      </c>
      <c r="N107" s="62" t="n">
        <v>46128</v>
      </c>
    </row>
    <row r="108">
      <c r="K108" t="n">
        <v>1060</v>
      </c>
      <c r="L108" t="n">
        <v>106</v>
      </c>
      <c r="N108" s="62" t="n">
        <v>46129</v>
      </c>
    </row>
    <row r="109">
      <c r="K109" t="n">
        <v>1070</v>
      </c>
      <c r="L109" t="n">
        <v>107</v>
      </c>
      <c r="N109" s="62" t="n">
        <v>46130</v>
      </c>
    </row>
    <row r="110">
      <c r="K110" t="n">
        <v>1080</v>
      </c>
      <c r="L110" t="n">
        <v>108</v>
      </c>
      <c r="N110" s="62" t="n">
        <v>46131</v>
      </c>
    </row>
    <row r="111">
      <c r="K111" t="n">
        <v>1090</v>
      </c>
      <c r="L111" t="n">
        <v>109</v>
      </c>
      <c r="N111" s="62" t="n">
        <v>46132</v>
      </c>
    </row>
    <row r="112">
      <c r="K112" t="n">
        <v>1100</v>
      </c>
      <c r="L112" t="n">
        <v>110</v>
      </c>
      <c r="N112" s="62" t="n">
        <v>46133</v>
      </c>
    </row>
    <row r="113">
      <c r="K113" t="n">
        <v>1110</v>
      </c>
      <c r="L113" t="n">
        <v>111</v>
      </c>
      <c r="N113" s="62" t="n">
        <v>46134</v>
      </c>
    </row>
    <row r="114">
      <c r="K114" t="n">
        <v>1120</v>
      </c>
      <c r="L114" t="n">
        <v>112</v>
      </c>
      <c r="N114" s="62" t="n">
        <v>46135</v>
      </c>
    </row>
    <row r="115">
      <c r="K115" t="n">
        <v>1130</v>
      </c>
      <c r="L115" t="n">
        <v>113</v>
      </c>
      <c r="N115" s="62" t="n">
        <v>46136</v>
      </c>
    </row>
    <row r="116">
      <c r="K116" t="n">
        <v>1140</v>
      </c>
      <c r="L116" t="n">
        <v>114</v>
      </c>
      <c r="N116" s="62" t="n">
        <v>46137</v>
      </c>
    </row>
    <row r="117">
      <c r="K117" t="n">
        <v>1150</v>
      </c>
      <c r="L117" t="n">
        <v>115</v>
      </c>
      <c r="N117" s="62" t="n">
        <v>46138</v>
      </c>
    </row>
    <row r="118">
      <c r="K118" t="n">
        <v>1160</v>
      </c>
      <c r="L118" t="n">
        <v>116</v>
      </c>
      <c r="N118" s="62" t="n">
        <v>46139</v>
      </c>
    </row>
    <row r="119">
      <c r="K119" t="n">
        <v>1170</v>
      </c>
      <c r="L119" t="n">
        <v>117</v>
      </c>
      <c r="N119" s="62" t="n">
        <v>46140</v>
      </c>
    </row>
    <row r="120">
      <c r="K120" t="n">
        <v>1180</v>
      </c>
      <c r="L120" t="n">
        <v>118</v>
      </c>
      <c r="N120" s="62" t="n">
        <v>46141</v>
      </c>
    </row>
    <row r="121">
      <c r="K121" t="n">
        <v>1190</v>
      </c>
      <c r="L121" t="n">
        <v>119</v>
      </c>
      <c r="N121" s="62" t="n">
        <v>46142</v>
      </c>
    </row>
    <row r="122">
      <c r="K122" t="n">
        <v>1200</v>
      </c>
      <c r="L122" t="n">
        <v>120</v>
      </c>
      <c r="N122" s="62" t="n">
        <v>46143</v>
      </c>
    </row>
    <row r="123">
      <c r="K123" t="n">
        <v>1210</v>
      </c>
      <c r="L123" t="n">
        <v>121</v>
      </c>
      <c r="N123" s="62" t="n">
        <v>46144</v>
      </c>
    </row>
    <row r="124">
      <c r="K124" t="n">
        <v>1220</v>
      </c>
      <c r="L124" t="n">
        <v>122</v>
      </c>
      <c r="N124" s="62" t="n">
        <v>46145</v>
      </c>
    </row>
    <row r="125">
      <c r="K125" t="n">
        <v>1230</v>
      </c>
      <c r="L125" t="n">
        <v>123</v>
      </c>
      <c r="N125" s="62" t="n">
        <v>46146</v>
      </c>
    </row>
    <row r="126">
      <c r="K126" t="n">
        <v>1240</v>
      </c>
      <c r="L126" t="n">
        <v>124</v>
      </c>
      <c r="N126" s="62" t="n">
        <v>46147</v>
      </c>
    </row>
    <row r="127">
      <c r="K127" t="n">
        <v>1250</v>
      </c>
      <c r="L127" t="n">
        <v>125</v>
      </c>
      <c r="N127" s="62" t="n">
        <v>46148</v>
      </c>
    </row>
    <row r="128">
      <c r="K128" t="n">
        <v>1260</v>
      </c>
      <c r="L128" t="n">
        <v>126</v>
      </c>
      <c r="N128" s="62" t="n">
        <v>46149</v>
      </c>
    </row>
    <row r="129">
      <c r="K129" t="n">
        <v>1270</v>
      </c>
      <c r="L129" t="n">
        <v>127</v>
      </c>
      <c r="N129" s="62" t="n">
        <v>46150</v>
      </c>
    </row>
    <row r="130">
      <c r="K130" t="n">
        <v>1280</v>
      </c>
      <c r="L130" t="n">
        <v>128</v>
      </c>
      <c r="N130" s="62" t="n">
        <v>46151</v>
      </c>
    </row>
    <row r="131">
      <c r="K131" t="n">
        <v>1290</v>
      </c>
      <c r="L131" t="n">
        <v>129</v>
      </c>
      <c r="N131" s="62" t="n">
        <v>46152</v>
      </c>
    </row>
    <row r="132">
      <c r="K132" t="n">
        <v>1300</v>
      </c>
      <c r="L132" t="n">
        <v>130</v>
      </c>
      <c r="N132" s="62" t="n">
        <v>46153</v>
      </c>
    </row>
    <row r="133">
      <c r="K133" t="n">
        <v>1310</v>
      </c>
      <c r="L133" t="n">
        <v>131</v>
      </c>
      <c r="N133" s="62" t="n">
        <v>46154</v>
      </c>
    </row>
    <row r="134">
      <c r="K134" t="n">
        <v>1320</v>
      </c>
      <c r="L134" t="n">
        <v>132</v>
      </c>
      <c r="N134" s="62" t="n">
        <v>46155</v>
      </c>
    </row>
    <row r="135">
      <c r="K135" t="n">
        <v>1330</v>
      </c>
      <c r="L135" t="n">
        <v>133</v>
      </c>
      <c r="N135" s="62" t="n">
        <v>46156</v>
      </c>
    </row>
    <row r="136">
      <c r="K136" t="n">
        <v>1340</v>
      </c>
      <c r="L136" t="n">
        <v>134</v>
      </c>
      <c r="N136" s="62" t="n">
        <v>46157</v>
      </c>
    </row>
    <row r="137">
      <c r="K137" t="n">
        <v>1350</v>
      </c>
      <c r="L137" t="n">
        <v>135</v>
      </c>
      <c r="N137" s="62" t="n">
        <v>46158</v>
      </c>
    </row>
    <row r="138">
      <c r="K138" t="n">
        <v>1360</v>
      </c>
      <c r="L138" t="n">
        <v>136</v>
      </c>
      <c r="N138" s="62" t="n">
        <v>46159</v>
      </c>
    </row>
    <row r="139">
      <c r="K139" t="n">
        <v>1370</v>
      </c>
      <c r="L139" t="n">
        <v>137</v>
      </c>
      <c r="N139" s="62" t="n">
        <v>46160</v>
      </c>
    </row>
    <row r="140">
      <c r="K140" t="n">
        <v>1380</v>
      </c>
      <c r="L140" t="n">
        <v>138</v>
      </c>
      <c r="N140" s="62" t="n">
        <v>46161</v>
      </c>
    </row>
    <row r="141">
      <c r="K141" t="n">
        <v>1390</v>
      </c>
      <c r="L141" t="n">
        <v>139</v>
      </c>
      <c r="N141" s="62" t="n">
        <v>46162</v>
      </c>
    </row>
    <row r="142">
      <c r="K142" t="n">
        <v>1400</v>
      </c>
      <c r="L142" t="n">
        <v>140</v>
      </c>
      <c r="N142" s="62" t="n">
        <v>46163</v>
      </c>
    </row>
    <row r="143">
      <c r="K143" t="n">
        <v>1410</v>
      </c>
      <c r="L143" t="n">
        <v>141</v>
      </c>
      <c r="N143" s="62" t="n">
        <v>46164</v>
      </c>
    </row>
    <row r="144">
      <c r="K144" t="n">
        <v>1420</v>
      </c>
      <c r="L144" t="n">
        <v>142</v>
      </c>
      <c r="N144" s="62" t="n">
        <v>46165</v>
      </c>
    </row>
    <row r="145">
      <c r="K145" t="n">
        <v>1430</v>
      </c>
      <c r="L145" t="n">
        <v>143</v>
      </c>
      <c r="N145" s="62" t="n">
        <v>46166</v>
      </c>
    </row>
    <row r="146">
      <c r="K146" t="n">
        <v>1440</v>
      </c>
      <c r="L146" t="n">
        <v>144</v>
      </c>
      <c r="N146" s="62" t="n">
        <v>46167</v>
      </c>
    </row>
    <row r="147">
      <c r="K147" t="n">
        <v>1450</v>
      </c>
      <c r="L147" t="n">
        <v>145</v>
      </c>
      <c r="N147" s="62" t="n">
        <v>46168</v>
      </c>
    </row>
    <row r="148">
      <c r="K148" t="n">
        <v>1460</v>
      </c>
      <c r="L148" t="n">
        <v>146</v>
      </c>
      <c r="N148" s="62" t="n">
        <v>46169</v>
      </c>
    </row>
    <row r="149">
      <c r="K149" t="n">
        <v>1470</v>
      </c>
      <c r="L149" t="n">
        <v>147</v>
      </c>
      <c r="N149" s="62" t="n">
        <v>46170</v>
      </c>
    </row>
    <row r="150">
      <c r="K150" t="n">
        <v>1480</v>
      </c>
      <c r="L150" t="n">
        <v>148</v>
      </c>
      <c r="N150" s="62" t="n">
        <v>46171</v>
      </c>
    </row>
    <row r="151">
      <c r="K151" t="n">
        <v>1490</v>
      </c>
      <c r="L151" t="n">
        <v>149</v>
      </c>
      <c r="N151" s="62" t="n">
        <v>46172</v>
      </c>
    </row>
    <row r="152">
      <c r="K152" t="n">
        <v>1500</v>
      </c>
      <c r="L152" t="n">
        <v>150</v>
      </c>
      <c r="N152" s="62" t="n">
        <v>46173</v>
      </c>
    </row>
    <row r="153">
      <c r="K153" t="n">
        <v>1510</v>
      </c>
      <c r="L153" t="n">
        <v>151</v>
      </c>
      <c r="N153" s="62" t="n">
        <v>46174</v>
      </c>
    </row>
    <row r="154">
      <c r="K154" t="n">
        <v>1520</v>
      </c>
      <c r="L154" t="n">
        <v>152</v>
      </c>
      <c r="N154" s="62" t="n">
        <v>46175</v>
      </c>
    </row>
    <row r="155">
      <c r="K155" t="n">
        <v>1530</v>
      </c>
      <c r="L155" t="n">
        <v>153</v>
      </c>
      <c r="N155" s="62" t="n">
        <v>46176</v>
      </c>
    </row>
    <row r="156">
      <c r="K156" t="n">
        <v>1540</v>
      </c>
      <c r="L156" t="n">
        <v>154</v>
      </c>
      <c r="N156" s="62" t="n">
        <v>46177</v>
      </c>
    </row>
    <row r="157">
      <c r="K157" t="n">
        <v>1550</v>
      </c>
      <c r="L157" t="n">
        <v>155</v>
      </c>
      <c r="N157" s="62" t="n">
        <v>46178</v>
      </c>
    </row>
    <row r="158">
      <c r="K158" t="n">
        <v>1560</v>
      </c>
      <c r="L158" t="n">
        <v>156</v>
      </c>
      <c r="N158" s="62" t="n">
        <v>46179</v>
      </c>
    </row>
    <row r="159">
      <c r="K159" t="n">
        <v>1570</v>
      </c>
      <c r="L159" t="n">
        <v>157</v>
      </c>
      <c r="N159" s="62" t="n">
        <v>46180</v>
      </c>
    </row>
    <row r="160">
      <c r="K160" t="n">
        <v>1580</v>
      </c>
      <c r="L160" t="n">
        <v>158</v>
      </c>
      <c r="N160" s="62" t="n">
        <v>46181</v>
      </c>
    </row>
    <row r="161">
      <c r="K161" t="n">
        <v>1590</v>
      </c>
      <c r="L161" t="n">
        <v>159</v>
      </c>
      <c r="N161" s="62" t="n">
        <v>46182</v>
      </c>
    </row>
    <row r="162">
      <c r="K162" t="n">
        <v>1600</v>
      </c>
      <c r="L162" t="n">
        <v>160</v>
      </c>
      <c r="N162" s="62" t="n">
        <v>46183</v>
      </c>
    </row>
    <row r="163">
      <c r="K163" t="n">
        <v>1610</v>
      </c>
      <c r="L163" t="n">
        <v>161</v>
      </c>
      <c r="N163" s="62" t="n">
        <v>46184</v>
      </c>
    </row>
    <row r="164">
      <c r="K164" t="n">
        <v>1620</v>
      </c>
      <c r="L164" t="n">
        <v>162</v>
      </c>
      <c r="N164" s="62" t="n">
        <v>46185</v>
      </c>
    </row>
    <row r="165">
      <c r="K165" t="n">
        <v>1630</v>
      </c>
      <c r="L165" t="n">
        <v>163</v>
      </c>
      <c r="N165" s="62" t="n">
        <v>46186</v>
      </c>
    </row>
    <row r="166">
      <c r="K166" t="n">
        <v>1640</v>
      </c>
      <c r="L166" t="n">
        <v>164</v>
      </c>
      <c r="N166" s="62" t="n">
        <v>46187</v>
      </c>
    </row>
    <row r="167">
      <c r="K167" t="n">
        <v>1650</v>
      </c>
      <c r="L167" t="n">
        <v>165</v>
      </c>
      <c r="N167" s="62" t="n">
        <v>46188</v>
      </c>
    </row>
    <row r="168">
      <c r="K168" t="n">
        <v>1660</v>
      </c>
      <c r="L168" t="n">
        <v>166</v>
      </c>
      <c r="N168" s="62" t="n">
        <v>46189</v>
      </c>
    </row>
    <row r="169">
      <c r="K169" t="n">
        <v>1670</v>
      </c>
      <c r="L169" t="n">
        <v>167</v>
      </c>
      <c r="N169" s="62" t="n">
        <v>46190</v>
      </c>
    </row>
    <row r="170">
      <c r="K170" t="n">
        <v>1680</v>
      </c>
      <c r="L170" t="n">
        <v>168</v>
      </c>
      <c r="N170" s="62" t="n">
        <v>46191</v>
      </c>
    </row>
    <row r="171">
      <c r="K171" t="n">
        <v>1690</v>
      </c>
      <c r="L171" t="n">
        <v>169</v>
      </c>
      <c r="N171" s="62" t="n">
        <v>46192</v>
      </c>
    </row>
    <row r="172">
      <c r="K172" t="n">
        <v>1700</v>
      </c>
      <c r="L172" t="n">
        <v>170</v>
      </c>
      <c r="N172" s="62" t="n">
        <v>46193</v>
      </c>
    </row>
    <row r="173">
      <c r="K173" t="n">
        <v>1710</v>
      </c>
      <c r="L173" t="n">
        <v>171</v>
      </c>
      <c r="N173" s="62" t="n">
        <v>46194</v>
      </c>
    </row>
    <row r="174">
      <c r="K174" t="n">
        <v>1720</v>
      </c>
      <c r="L174" t="n">
        <v>172</v>
      </c>
      <c r="N174" s="62" t="n">
        <v>46195</v>
      </c>
    </row>
    <row r="175">
      <c r="K175" t="n">
        <v>1730</v>
      </c>
      <c r="L175" t="n">
        <v>173</v>
      </c>
      <c r="N175" s="62" t="n">
        <v>46196</v>
      </c>
    </row>
    <row r="176">
      <c r="K176" t="n">
        <v>1740</v>
      </c>
      <c r="L176" t="n">
        <v>174</v>
      </c>
      <c r="N176" s="62" t="n">
        <v>46197</v>
      </c>
    </row>
    <row r="177">
      <c r="K177" t="n">
        <v>1750</v>
      </c>
      <c r="L177" t="n">
        <v>175</v>
      </c>
      <c r="N177" s="62" t="n">
        <v>46198</v>
      </c>
    </row>
    <row r="178">
      <c r="K178" t="n">
        <v>1760</v>
      </c>
      <c r="L178" t="n">
        <v>176</v>
      </c>
      <c r="N178" s="62" t="n">
        <v>46199</v>
      </c>
    </row>
    <row r="179">
      <c r="K179" t="n">
        <v>1770</v>
      </c>
      <c r="L179" t="n">
        <v>177</v>
      </c>
      <c r="N179" s="62" t="n">
        <v>46200</v>
      </c>
    </row>
    <row r="180">
      <c r="K180" t="n">
        <v>1780</v>
      </c>
      <c r="L180" t="n">
        <v>178</v>
      </c>
      <c r="N180" s="62" t="n">
        <v>46201</v>
      </c>
    </row>
    <row r="181">
      <c r="K181" t="n">
        <v>1790</v>
      </c>
      <c r="L181" t="n">
        <v>179</v>
      </c>
      <c r="N181" s="62" t="n">
        <v>46202</v>
      </c>
    </row>
    <row r="182">
      <c r="K182" t="n">
        <v>1800</v>
      </c>
      <c r="L182" t="n">
        <v>180</v>
      </c>
      <c r="N182" s="62" t="n">
        <v>46203</v>
      </c>
    </row>
    <row r="183">
      <c r="K183" t="n">
        <v>1810</v>
      </c>
      <c r="L183" t="n">
        <v>181</v>
      </c>
      <c r="N183" s="62" t="n">
        <v>46204</v>
      </c>
    </row>
    <row r="184">
      <c r="K184" t="n">
        <v>1820</v>
      </c>
      <c r="L184" t="n">
        <v>182</v>
      </c>
      <c r="N184" s="62" t="n">
        <v>46205</v>
      </c>
    </row>
    <row r="185">
      <c r="K185" t="n">
        <v>1830</v>
      </c>
      <c r="L185" t="n">
        <v>183</v>
      </c>
      <c r="N185" s="62" t="n">
        <v>46206</v>
      </c>
    </row>
    <row r="186">
      <c r="K186" t="n">
        <v>1840</v>
      </c>
      <c r="L186" t="n">
        <v>184</v>
      </c>
      <c r="N186" s="62" t="n">
        <v>46207</v>
      </c>
    </row>
    <row r="187">
      <c r="K187" t="n">
        <v>1850</v>
      </c>
      <c r="L187" t="n">
        <v>185</v>
      </c>
      <c r="N187" s="62" t="n">
        <v>46208</v>
      </c>
    </row>
    <row r="188">
      <c r="K188" t="n">
        <v>1860</v>
      </c>
      <c r="L188" t="n">
        <v>186</v>
      </c>
      <c r="N188" s="62" t="n">
        <v>46209</v>
      </c>
    </row>
    <row r="189">
      <c r="K189" t="n">
        <v>1870</v>
      </c>
      <c r="L189" t="n">
        <v>187</v>
      </c>
      <c r="N189" s="62" t="n">
        <v>46210</v>
      </c>
    </row>
    <row r="190">
      <c r="K190" t="n">
        <v>1880</v>
      </c>
      <c r="L190" t="n">
        <v>188</v>
      </c>
      <c r="N190" s="62" t="n">
        <v>46211</v>
      </c>
    </row>
    <row r="191">
      <c r="K191" t="n">
        <v>1890</v>
      </c>
      <c r="L191" t="n">
        <v>189</v>
      </c>
      <c r="N191" s="62" t="n">
        <v>46212</v>
      </c>
    </row>
    <row r="192">
      <c r="K192" t="n">
        <v>1900</v>
      </c>
      <c r="L192" t="n">
        <v>190</v>
      </c>
      <c r="N192" s="62" t="n">
        <v>46213</v>
      </c>
    </row>
    <row r="193">
      <c r="K193" t="n">
        <v>1910</v>
      </c>
      <c r="L193" t="n">
        <v>191</v>
      </c>
      <c r="N193" s="62" t="n">
        <v>46214</v>
      </c>
    </row>
    <row r="194">
      <c r="K194" t="n">
        <v>1920</v>
      </c>
      <c r="L194" t="n">
        <v>192</v>
      </c>
      <c r="N194" s="62" t="n">
        <v>46215</v>
      </c>
    </row>
    <row r="195">
      <c r="K195" t="n">
        <v>1930</v>
      </c>
      <c r="L195" t="n">
        <v>193</v>
      </c>
      <c r="N195" s="62" t="n">
        <v>46216</v>
      </c>
    </row>
    <row r="196">
      <c r="K196" t="n">
        <v>1940</v>
      </c>
      <c r="L196" t="n">
        <v>194</v>
      </c>
      <c r="N196" s="62" t="n">
        <v>46217</v>
      </c>
    </row>
    <row r="197">
      <c r="K197" t="n">
        <v>1950</v>
      </c>
      <c r="L197" t="n">
        <v>195</v>
      </c>
      <c r="N197" s="62" t="n">
        <v>46218</v>
      </c>
    </row>
    <row r="198">
      <c r="K198" t="n">
        <v>1960</v>
      </c>
      <c r="L198" t="n">
        <v>196</v>
      </c>
      <c r="N198" s="62" t="n">
        <v>46219</v>
      </c>
    </row>
    <row r="199">
      <c r="K199" t="n">
        <v>1970</v>
      </c>
      <c r="L199" t="n">
        <v>197</v>
      </c>
      <c r="N199" s="62" t="n">
        <v>46220</v>
      </c>
    </row>
    <row r="200">
      <c r="K200" t="n">
        <v>1980</v>
      </c>
      <c r="L200" t="n">
        <v>198</v>
      </c>
      <c r="N200" s="62" t="n">
        <v>46221</v>
      </c>
    </row>
    <row r="201">
      <c r="K201" t="n">
        <v>1990</v>
      </c>
      <c r="L201" t="n">
        <v>199</v>
      </c>
      <c r="N201" s="62" t="n">
        <v>46222</v>
      </c>
    </row>
    <row r="202">
      <c r="K202" t="n">
        <v>2000</v>
      </c>
      <c r="L202" t="n">
        <v>200</v>
      </c>
      <c r="N202" s="62" t="n">
        <v>46223</v>
      </c>
    </row>
    <row r="203">
      <c r="L203" t="n">
        <v>201</v>
      </c>
      <c r="N203" s="62" t="n">
        <v>46224</v>
      </c>
    </row>
    <row r="204">
      <c r="L204" t="n">
        <v>202</v>
      </c>
      <c r="N204" s="62" t="n">
        <v>46225</v>
      </c>
    </row>
    <row r="205">
      <c r="L205" t="n">
        <v>203</v>
      </c>
      <c r="N205" s="62" t="n">
        <v>46226</v>
      </c>
    </row>
    <row r="206">
      <c r="L206" t="n">
        <v>204</v>
      </c>
      <c r="N206" s="62" t="n">
        <v>46227</v>
      </c>
    </row>
    <row r="207">
      <c r="L207" t="n">
        <v>205</v>
      </c>
      <c r="N207" s="62" t="n">
        <v>46228</v>
      </c>
    </row>
    <row r="208">
      <c r="L208" t="n">
        <v>206</v>
      </c>
      <c r="N208" s="62" t="n">
        <v>46229</v>
      </c>
    </row>
    <row r="209">
      <c r="L209" t="n">
        <v>207</v>
      </c>
      <c r="N209" s="62" t="n">
        <v>46230</v>
      </c>
    </row>
    <row r="210">
      <c r="L210" t="n">
        <v>208</v>
      </c>
      <c r="N210" s="62" t="n">
        <v>46231</v>
      </c>
    </row>
    <row r="211">
      <c r="L211" t="n">
        <v>209</v>
      </c>
      <c r="N211" s="62" t="n">
        <v>46232</v>
      </c>
    </row>
    <row r="212">
      <c r="L212" t="n">
        <v>210</v>
      </c>
      <c r="N212" s="62" t="n">
        <v>46233</v>
      </c>
    </row>
    <row r="213">
      <c r="L213" t="n">
        <v>211</v>
      </c>
      <c r="N213" s="62" t="n">
        <v>46234</v>
      </c>
    </row>
    <row r="214">
      <c r="L214" t="n">
        <v>212</v>
      </c>
      <c r="N214" s="62" t="n">
        <v>46235</v>
      </c>
    </row>
    <row r="215">
      <c r="L215" t="n">
        <v>213</v>
      </c>
      <c r="N215" s="62" t="n">
        <v>46236</v>
      </c>
    </row>
    <row r="216">
      <c r="L216" t="n">
        <v>214</v>
      </c>
      <c r="N216" s="62" t="n">
        <v>46237</v>
      </c>
    </row>
    <row r="217">
      <c r="L217" t="n">
        <v>215</v>
      </c>
      <c r="N217" s="62" t="n">
        <v>46238</v>
      </c>
    </row>
    <row r="218">
      <c r="L218" t="n">
        <v>216</v>
      </c>
      <c r="N218" s="62" t="n">
        <v>46239</v>
      </c>
    </row>
    <row r="219">
      <c r="L219" t="n">
        <v>217</v>
      </c>
      <c r="N219" s="62" t="n">
        <v>46240</v>
      </c>
    </row>
    <row r="220">
      <c r="L220" t="n">
        <v>218</v>
      </c>
      <c r="N220" s="62" t="n">
        <v>46241</v>
      </c>
    </row>
    <row r="221">
      <c r="L221" t="n">
        <v>219</v>
      </c>
      <c r="N221" s="62" t="n">
        <v>46242</v>
      </c>
    </row>
    <row r="222">
      <c r="L222" t="n">
        <v>220</v>
      </c>
      <c r="N222" s="62" t="n">
        <v>46243</v>
      </c>
    </row>
    <row r="223">
      <c r="L223" t="n">
        <v>221</v>
      </c>
      <c r="N223" s="62" t="n">
        <v>46244</v>
      </c>
    </row>
    <row r="224">
      <c r="L224" t="n">
        <v>222</v>
      </c>
      <c r="N224" s="62" t="n">
        <v>46245</v>
      </c>
    </row>
    <row r="225">
      <c r="L225" t="n">
        <v>223</v>
      </c>
      <c r="N225" s="62" t="n">
        <v>46246</v>
      </c>
    </row>
    <row r="226">
      <c r="L226" t="n">
        <v>224</v>
      </c>
      <c r="N226" s="62" t="n">
        <v>46247</v>
      </c>
    </row>
    <row r="227">
      <c r="L227" t="n">
        <v>225</v>
      </c>
      <c r="N227" s="62" t="n">
        <v>46248</v>
      </c>
    </row>
    <row r="228">
      <c r="L228" t="n">
        <v>226</v>
      </c>
      <c r="N228" s="62" t="n">
        <v>46249</v>
      </c>
    </row>
    <row r="229">
      <c r="L229" t="n">
        <v>227</v>
      </c>
      <c r="N229" s="62" t="n">
        <v>46250</v>
      </c>
    </row>
    <row r="230">
      <c r="L230" t="n">
        <v>228</v>
      </c>
      <c r="N230" s="62" t="n">
        <v>46251</v>
      </c>
    </row>
    <row r="231">
      <c r="L231" t="n">
        <v>229</v>
      </c>
      <c r="N231" s="62" t="n">
        <v>46252</v>
      </c>
    </row>
    <row r="232">
      <c r="L232" t="n">
        <v>230</v>
      </c>
      <c r="N232" s="62" t="n">
        <v>46253</v>
      </c>
    </row>
    <row r="233">
      <c r="L233" t="n">
        <v>231</v>
      </c>
      <c r="N233" s="62" t="n">
        <v>46254</v>
      </c>
    </row>
    <row r="234">
      <c r="L234" t="n">
        <v>232</v>
      </c>
      <c r="N234" s="62" t="n">
        <v>46255</v>
      </c>
    </row>
    <row r="235">
      <c r="L235" t="n">
        <v>233</v>
      </c>
      <c r="N235" s="62" t="n">
        <v>46256</v>
      </c>
    </row>
    <row r="236">
      <c r="L236" t="n">
        <v>234</v>
      </c>
      <c r="N236" s="62" t="n">
        <v>46257</v>
      </c>
    </row>
    <row r="237">
      <c r="L237" t="n">
        <v>235</v>
      </c>
      <c r="N237" s="62" t="n">
        <v>46258</v>
      </c>
    </row>
    <row r="238">
      <c r="L238" t="n">
        <v>236</v>
      </c>
      <c r="N238" s="62" t="n">
        <v>46259</v>
      </c>
    </row>
    <row r="239">
      <c r="L239" t="n">
        <v>237</v>
      </c>
      <c r="N239" s="62" t="n">
        <v>46260</v>
      </c>
    </row>
    <row r="240">
      <c r="L240" t="n">
        <v>238</v>
      </c>
      <c r="N240" s="62" t="n">
        <v>46261</v>
      </c>
    </row>
    <row r="241">
      <c r="L241" t="n">
        <v>239</v>
      </c>
      <c r="N241" s="62" t="n">
        <v>46262</v>
      </c>
    </row>
    <row r="242">
      <c r="L242" t="n">
        <v>240</v>
      </c>
      <c r="N242" s="62" t="n">
        <v>46263</v>
      </c>
    </row>
    <row r="243">
      <c r="L243" t="n">
        <v>241</v>
      </c>
      <c r="N243" s="62" t="n">
        <v>46264</v>
      </c>
    </row>
    <row r="244">
      <c r="L244" t="n">
        <v>242</v>
      </c>
      <c r="N244" s="62" t="n">
        <v>46265</v>
      </c>
    </row>
    <row r="245">
      <c r="L245" t="n">
        <v>243</v>
      </c>
      <c r="N245" s="62" t="n">
        <v>46266</v>
      </c>
    </row>
    <row r="246">
      <c r="L246" t="n">
        <v>244</v>
      </c>
      <c r="N246" s="62" t="n">
        <v>46267</v>
      </c>
    </row>
    <row r="247">
      <c r="L247" t="n">
        <v>245</v>
      </c>
      <c r="N247" s="62" t="n">
        <v>46268</v>
      </c>
    </row>
    <row r="248">
      <c r="L248" t="n">
        <v>246</v>
      </c>
      <c r="N248" s="62" t="n">
        <v>46269</v>
      </c>
    </row>
    <row r="249">
      <c r="L249" t="n">
        <v>247</v>
      </c>
      <c r="N249" s="62" t="n">
        <v>46270</v>
      </c>
    </row>
    <row r="250">
      <c r="L250" t="n">
        <v>248</v>
      </c>
      <c r="N250" s="62" t="n">
        <v>46271</v>
      </c>
    </row>
    <row r="251">
      <c r="L251" t="n">
        <v>249</v>
      </c>
      <c r="N251" s="62" t="n">
        <v>46272</v>
      </c>
    </row>
    <row r="252">
      <c r="L252" t="n">
        <v>250</v>
      </c>
      <c r="N252" s="62" t="n">
        <v>46273</v>
      </c>
    </row>
    <row r="253">
      <c r="L253" t="n">
        <v>251</v>
      </c>
      <c r="N253" s="62" t="n">
        <v>46274</v>
      </c>
    </row>
    <row r="254">
      <c r="L254" t="n">
        <v>252</v>
      </c>
      <c r="N254" s="62" t="n">
        <v>46275</v>
      </c>
    </row>
    <row r="255">
      <c r="L255" t="n">
        <v>253</v>
      </c>
      <c r="N255" s="62" t="n">
        <v>46276</v>
      </c>
    </row>
    <row r="256">
      <c r="L256" t="n">
        <v>254</v>
      </c>
      <c r="N256" s="62" t="n">
        <v>46277</v>
      </c>
    </row>
    <row r="257">
      <c r="L257" t="n">
        <v>255</v>
      </c>
      <c r="N257" s="62" t="n">
        <v>46278</v>
      </c>
    </row>
    <row r="258">
      <c r="L258" t="n">
        <v>256</v>
      </c>
      <c r="N258" s="62" t="n">
        <v>46279</v>
      </c>
    </row>
    <row r="259">
      <c r="L259" t="n">
        <v>257</v>
      </c>
      <c r="N259" s="62" t="n">
        <v>46280</v>
      </c>
    </row>
    <row r="260">
      <c r="L260" t="n">
        <v>258</v>
      </c>
      <c r="N260" s="62" t="n">
        <v>46281</v>
      </c>
    </row>
    <row r="261">
      <c r="L261" t="n">
        <v>259</v>
      </c>
      <c r="N261" s="62" t="n">
        <v>46282</v>
      </c>
    </row>
    <row r="262">
      <c r="L262" t="n">
        <v>260</v>
      </c>
      <c r="N262" s="62" t="n">
        <v>46283</v>
      </c>
    </row>
    <row r="263">
      <c r="L263" t="n">
        <v>261</v>
      </c>
      <c r="N263" s="62" t="n">
        <v>46284</v>
      </c>
    </row>
    <row r="264">
      <c r="L264" t="n">
        <v>262</v>
      </c>
      <c r="N264" s="62" t="n">
        <v>46285</v>
      </c>
    </row>
    <row r="265">
      <c r="L265" t="n">
        <v>263</v>
      </c>
      <c r="N265" s="62" t="n">
        <v>46286</v>
      </c>
    </row>
    <row r="266">
      <c r="L266" t="n">
        <v>264</v>
      </c>
      <c r="N266" s="62" t="n">
        <v>46287</v>
      </c>
    </row>
    <row r="267">
      <c r="L267" t="n">
        <v>265</v>
      </c>
      <c r="N267" s="62" t="n">
        <v>46288</v>
      </c>
    </row>
    <row r="268">
      <c r="L268" t="n">
        <v>266</v>
      </c>
      <c r="N268" s="62" t="n">
        <v>46289</v>
      </c>
    </row>
    <row r="269">
      <c r="L269" t="n">
        <v>267</v>
      </c>
      <c r="N269" s="62" t="n">
        <v>46290</v>
      </c>
    </row>
    <row r="270">
      <c r="L270" t="n">
        <v>268</v>
      </c>
      <c r="N270" s="62" t="n">
        <v>46291</v>
      </c>
    </row>
    <row r="271">
      <c r="L271" t="n">
        <v>269</v>
      </c>
      <c r="N271" s="62" t="n">
        <v>46292</v>
      </c>
    </row>
    <row r="272">
      <c r="L272" t="n">
        <v>270</v>
      </c>
      <c r="N272" s="62" t="n">
        <v>46293</v>
      </c>
    </row>
    <row r="273">
      <c r="L273" t="n">
        <v>271</v>
      </c>
      <c r="N273" s="62" t="n">
        <v>46294</v>
      </c>
    </row>
    <row r="274">
      <c r="L274" t="n">
        <v>272</v>
      </c>
      <c r="N274" s="62" t="n">
        <v>46295</v>
      </c>
    </row>
    <row r="275">
      <c r="L275" t="n">
        <v>273</v>
      </c>
      <c r="N275" s="62" t="n">
        <v>46296</v>
      </c>
    </row>
    <row r="276">
      <c r="L276" t="n">
        <v>274</v>
      </c>
      <c r="N276" s="62" t="n">
        <v>46297</v>
      </c>
    </row>
    <row r="277">
      <c r="L277" t="n">
        <v>275</v>
      </c>
      <c r="N277" s="62" t="n">
        <v>46298</v>
      </c>
    </row>
    <row r="278">
      <c r="L278" t="n">
        <v>276</v>
      </c>
      <c r="N278" s="62" t="n">
        <v>46299</v>
      </c>
    </row>
    <row r="279">
      <c r="L279" t="n">
        <v>277</v>
      </c>
      <c r="N279" s="62" t="n">
        <v>46300</v>
      </c>
    </row>
    <row r="280">
      <c r="L280" t="n">
        <v>278</v>
      </c>
      <c r="N280" s="62" t="n">
        <v>46301</v>
      </c>
    </row>
    <row r="281">
      <c r="L281" t="n">
        <v>279</v>
      </c>
      <c r="N281" s="62" t="n">
        <v>46302</v>
      </c>
    </row>
    <row r="282">
      <c r="L282" t="n">
        <v>280</v>
      </c>
      <c r="N282" s="62" t="n">
        <v>46303</v>
      </c>
    </row>
    <row r="283">
      <c r="L283" t="n">
        <v>281</v>
      </c>
      <c r="N283" s="62" t="n">
        <v>46304</v>
      </c>
    </row>
    <row r="284">
      <c r="L284" t="n">
        <v>282</v>
      </c>
      <c r="N284" s="62" t="n">
        <v>46305</v>
      </c>
    </row>
    <row r="285">
      <c r="L285" t="n">
        <v>283</v>
      </c>
      <c r="N285" s="62" t="n">
        <v>46306</v>
      </c>
    </row>
    <row r="286">
      <c r="L286" t="n">
        <v>284</v>
      </c>
      <c r="N286" s="62" t="n">
        <v>46307</v>
      </c>
    </row>
    <row r="287">
      <c r="L287" t="n">
        <v>285</v>
      </c>
      <c r="N287" s="62" t="n">
        <v>46308</v>
      </c>
    </row>
    <row r="288">
      <c r="L288" t="n">
        <v>286</v>
      </c>
      <c r="N288" s="62" t="n">
        <v>46309</v>
      </c>
    </row>
    <row r="289">
      <c r="L289" t="n">
        <v>287</v>
      </c>
      <c r="N289" s="62" t="n">
        <v>46310</v>
      </c>
    </row>
    <row r="290">
      <c r="L290" t="n">
        <v>288</v>
      </c>
      <c r="N290" s="62" t="n">
        <v>46311</v>
      </c>
    </row>
    <row r="291">
      <c r="L291" t="n">
        <v>289</v>
      </c>
      <c r="N291" s="62" t="n">
        <v>46312</v>
      </c>
    </row>
    <row r="292">
      <c r="L292" t="n">
        <v>290</v>
      </c>
      <c r="N292" s="62" t="n">
        <v>46313</v>
      </c>
    </row>
    <row r="293">
      <c r="L293" t="n">
        <v>291</v>
      </c>
      <c r="N293" s="62" t="n">
        <v>46314</v>
      </c>
    </row>
    <row r="294">
      <c r="L294" t="n">
        <v>292</v>
      </c>
      <c r="N294" s="62" t="n">
        <v>46315</v>
      </c>
    </row>
    <row r="295">
      <c r="L295" t="n">
        <v>293</v>
      </c>
      <c r="N295" s="62" t="n">
        <v>46316</v>
      </c>
    </row>
    <row r="296">
      <c r="L296" t="n">
        <v>294</v>
      </c>
      <c r="N296" s="62" t="n">
        <v>46317</v>
      </c>
    </row>
    <row r="297">
      <c r="L297" t="n">
        <v>295</v>
      </c>
      <c r="N297" s="62" t="n">
        <v>46318</v>
      </c>
    </row>
    <row r="298">
      <c r="L298" t="n">
        <v>296</v>
      </c>
      <c r="N298" s="62" t="n">
        <v>46319</v>
      </c>
    </row>
    <row r="299">
      <c r="L299" t="n">
        <v>297</v>
      </c>
      <c r="N299" s="62" t="n">
        <v>46320</v>
      </c>
    </row>
    <row r="300">
      <c r="L300" t="n">
        <v>298</v>
      </c>
      <c r="N300" s="62" t="n">
        <v>46321</v>
      </c>
    </row>
    <row r="301">
      <c r="L301" t="n">
        <v>299</v>
      </c>
      <c r="N301" s="62" t="n">
        <v>46322</v>
      </c>
    </row>
    <row r="302">
      <c r="L302" t="n">
        <v>300</v>
      </c>
      <c r="N302" s="62" t="n">
        <v>46323</v>
      </c>
    </row>
    <row r="303">
      <c r="N303" s="62" t="n">
        <v>46324</v>
      </c>
    </row>
    <row r="304">
      <c r="N304" s="62" t="n">
        <v>46325</v>
      </c>
    </row>
    <row r="305">
      <c r="N305" s="62" t="n">
        <v>46326</v>
      </c>
    </row>
    <row r="306">
      <c r="N306" s="62" t="n">
        <v>46327</v>
      </c>
    </row>
    <row r="307">
      <c r="N307" s="62" t="n">
        <v>46328</v>
      </c>
    </row>
    <row r="308">
      <c r="N308" s="62" t="n">
        <v>46329</v>
      </c>
    </row>
    <row r="309">
      <c r="N309" s="62" t="n">
        <v>46330</v>
      </c>
    </row>
    <row r="310">
      <c r="N310" s="62" t="n">
        <v>46331</v>
      </c>
    </row>
    <row r="311">
      <c r="N311" s="62" t="n">
        <v>46332</v>
      </c>
    </row>
    <row r="312">
      <c r="N312" s="62" t="n">
        <v>46333</v>
      </c>
    </row>
    <row r="313">
      <c r="N313" s="62" t="n">
        <v>46334</v>
      </c>
    </row>
    <row r="314">
      <c r="N314" s="62" t="n">
        <v>46335</v>
      </c>
    </row>
    <row r="315">
      <c r="N315" s="62" t="n">
        <v>46336</v>
      </c>
    </row>
    <row r="316">
      <c r="N316" s="62" t="n">
        <v>46337</v>
      </c>
    </row>
    <row r="317">
      <c r="N317" s="62" t="n">
        <v>46338</v>
      </c>
    </row>
    <row r="318">
      <c r="N318" s="62" t="n">
        <v>46339</v>
      </c>
    </row>
    <row r="319">
      <c r="N319" s="62" t="n">
        <v>46340</v>
      </c>
    </row>
    <row r="320">
      <c r="N320" s="62" t="n">
        <v>46341</v>
      </c>
    </row>
    <row r="321">
      <c r="N321" s="62" t="n">
        <v>46342</v>
      </c>
    </row>
    <row r="322">
      <c r="N322" s="62" t="n">
        <v>46343</v>
      </c>
    </row>
    <row r="323">
      <c r="N323" s="62" t="n">
        <v>46344</v>
      </c>
    </row>
    <row r="324">
      <c r="N324" s="62" t="n">
        <v>46345</v>
      </c>
    </row>
    <row r="325">
      <c r="N325" s="62" t="n">
        <v>46346</v>
      </c>
    </row>
    <row r="326">
      <c r="N326" s="62" t="n">
        <v>46347</v>
      </c>
    </row>
    <row r="327">
      <c r="N327" s="62" t="n">
        <v>46348</v>
      </c>
    </row>
    <row r="328">
      <c r="N328" s="62" t="n">
        <v>46349</v>
      </c>
    </row>
    <row r="329">
      <c r="N329" s="62" t="n">
        <v>46350</v>
      </c>
    </row>
    <row r="330">
      <c r="N330" s="62" t="n">
        <v>46351</v>
      </c>
    </row>
    <row r="331">
      <c r="N331" s="62" t="n">
        <v>46352</v>
      </c>
    </row>
    <row r="332">
      <c r="N332" s="62" t="n">
        <v>46353</v>
      </c>
    </row>
    <row r="333">
      <c r="N333" s="62" t="n">
        <v>46354</v>
      </c>
    </row>
    <row r="334">
      <c r="N334" s="62" t="n">
        <v>46355</v>
      </c>
    </row>
    <row r="335">
      <c r="N335" s="62" t="n">
        <v>46356</v>
      </c>
    </row>
    <row r="336">
      <c r="N336" s="62" t="n">
        <v>46357</v>
      </c>
    </row>
    <row r="337">
      <c r="N337" s="62" t="n">
        <v>46358</v>
      </c>
    </row>
    <row r="338">
      <c r="N338" s="62" t="n">
        <v>46359</v>
      </c>
    </row>
    <row r="339">
      <c r="N339" s="62" t="n">
        <v>46360</v>
      </c>
    </row>
    <row r="340">
      <c r="N340" s="62" t="n">
        <v>46361</v>
      </c>
    </row>
    <row r="341">
      <c r="N341" s="62" t="n">
        <v>46362</v>
      </c>
    </row>
    <row r="342">
      <c r="N342" s="62" t="n">
        <v>46363</v>
      </c>
    </row>
    <row r="343">
      <c r="N343" s="62" t="n">
        <v>46364</v>
      </c>
    </row>
    <row r="344">
      <c r="N344" s="62" t="n">
        <v>46365</v>
      </c>
    </row>
    <row r="345">
      <c r="N345" s="62" t="n">
        <v>46366</v>
      </c>
    </row>
    <row r="346">
      <c r="N346" s="62" t="n">
        <v>46367</v>
      </c>
    </row>
    <row r="347">
      <c r="N347" s="62" t="n">
        <v>46368</v>
      </c>
    </row>
    <row r="348">
      <c r="N348" s="62" t="n">
        <v>46369</v>
      </c>
    </row>
    <row r="349">
      <c r="N349" s="62" t="n">
        <v>46370</v>
      </c>
    </row>
    <row r="350">
      <c r="N350" s="62" t="n">
        <v>46371</v>
      </c>
    </row>
    <row r="351">
      <c r="N351" s="62" t="n">
        <v>46372</v>
      </c>
    </row>
    <row r="352">
      <c r="N352" s="62" t="n">
        <v>46373</v>
      </c>
    </row>
    <row r="353">
      <c r="N353" s="62" t="n">
        <v>46374</v>
      </c>
    </row>
    <row r="354">
      <c r="N354" s="62" t="n">
        <v>46375</v>
      </c>
    </row>
    <row r="355">
      <c r="N355" s="62" t="n">
        <v>46376</v>
      </c>
    </row>
    <row r="356">
      <c r="N356" s="62" t="n">
        <v>46377</v>
      </c>
    </row>
    <row r="357">
      <c r="N357" s="62" t="n">
        <v>46378</v>
      </c>
    </row>
    <row r="358">
      <c r="N358" s="62" t="n">
        <v>46379</v>
      </c>
    </row>
    <row r="359">
      <c r="N359" s="62" t="n">
        <v>46380</v>
      </c>
    </row>
    <row r="360">
      <c r="N360" s="62" t="n">
        <v>46381</v>
      </c>
    </row>
    <row r="361">
      <c r="N361" s="62" t="n">
        <v>46382</v>
      </c>
    </row>
    <row r="362">
      <c r="N362" s="62" t="n">
        <v>46383</v>
      </c>
    </row>
    <row r="363">
      <c r="N363" s="62" t="n">
        <v>46384</v>
      </c>
    </row>
    <row r="364">
      <c r="N364" s="62" t="n">
        <v>46385</v>
      </c>
    </row>
    <row r="365">
      <c r="N365" s="62" t="n">
        <v>46386</v>
      </c>
    </row>
    <row r="366">
      <c r="N366" s="62" t="n">
        <v>46387</v>
      </c>
    </row>
    <row r="367">
      <c r="N367" s="62" t="n">
        <v>46388</v>
      </c>
    </row>
    <row r="368">
      <c r="N368" s="62" t="n">
        <v>46389</v>
      </c>
    </row>
    <row r="369">
      <c r="N369" s="62" t="n">
        <v>46390</v>
      </c>
    </row>
    <row r="370">
      <c r="N370" s="62" t="n">
        <v>46391</v>
      </c>
    </row>
    <row r="371">
      <c r="N371" s="62" t="n">
        <v>46392</v>
      </c>
    </row>
    <row r="372">
      <c r="N372" s="62" t="n">
        <v>46393</v>
      </c>
    </row>
    <row r="373">
      <c r="N373" s="62" t="n">
        <v>46394</v>
      </c>
    </row>
    <row r="374">
      <c r="N374" s="62" t="n">
        <v>46395</v>
      </c>
    </row>
    <row r="375">
      <c r="N375" s="62" t="n">
        <v>46396</v>
      </c>
    </row>
    <row r="376">
      <c r="N376" s="62" t="n">
        <v>46397</v>
      </c>
    </row>
    <row r="377">
      <c r="N377" s="62" t="n">
        <v>46398</v>
      </c>
    </row>
    <row r="378">
      <c r="N378" s="62" t="n">
        <v>46399</v>
      </c>
    </row>
    <row r="379">
      <c r="N379" s="62" t="n">
        <v>46400</v>
      </c>
    </row>
    <row r="380">
      <c r="N380" s="62" t="n">
        <v>46401</v>
      </c>
    </row>
    <row r="381">
      <c r="N381" s="62" t="n">
        <v>46402</v>
      </c>
    </row>
    <row r="382">
      <c r="N382" s="62" t="n">
        <v>46403</v>
      </c>
    </row>
    <row r="383">
      <c r="N383" s="62" t="n">
        <v>46404</v>
      </c>
    </row>
    <row r="384">
      <c r="N384" s="62" t="n">
        <v>46405</v>
      </c>
    </row>
    <row r="385">
      <c r="N385" s="62" t="n">
        <v>46406</v>
      </c>
    </row>
    <row r="386">
      <c r="N386" s="62" t="n">
        <v>46407</v>
      </c>
    </row>
    <row r="387">
      <c r="N387" s="62" t="n">
        <v>46408</v>
      </c>
    </row>
    <row r="388">
      <c r="N388" s="62" t="n">
        <v>46409</v>
      </c>
    </row>
    <row r="389">
      <c r="N389" s="62" t="n">
        <v>46410</v>
      </c>
    </row>
    <row r="390">
      <c r="N390" s="62" t="n">
        <v>46411</v>
      </c>
    </row>
    <row r="391">
      <c r="N391" s="62" t="n">
        <v>46412</v>
      </c>
    </row>
    <row r="392">
      <c r="N392" s="62" t="n">
        <v>46413</v>
      </c>
    </row>
    <row r="393">
      <c r="N393" s="62" t="n">
        <v>46414</v>
      </c>
    </row>
    <row r="394">
      <c r="N394" s="62" t="n">
        <v>46415</v>
      </c>
    </row>
    <row r="395">
      <c r="N395" s="62" t="n">
        <v>46416</v>
      </c>
    </row>
    <row r="396">
      <c r="N396" s="62" t="n">
        <v>46417</v>
      </c>
    </row>
    <row r="397">
      <c r="N397" s="62" t="n">
        <v>46418</v>
      </c>
    </row>
    <row r="398">
      <c r="N398" s="62" t="n">
        <v>46419</v>
      </c>
    </row>
    <row r="399">
      <c r="N399" s="62" t="n">
        <v>46420</v>
      </c>
    </row>
    <row r="400">
      <c r="N400" s="62" t="n">
        <v>46421</v>
      </c>
    </row>
    <row r="401">
      <c r="N401" s="62" t="n">
        <v>46422</v>
      </c>
    </row>
    <row r="402">
      <c r="N402" s="62" t="n">
        <v>46423</v>
      </c>
    </row>
    <row r="403">
      <c r="N403" s="62" t="n">
        <v>46424</v>
      </c>
    </row>
    <row r="404">
      <c r="N404" s="62" t="n">
        <v>46425</v>
      </c>
    </row>
    <row r="405">
      <c r="N405" s="62" t="n">
        <v>46426</v>
      </c>
    </row>
    <row r="406">
      <c r="N406" s="62" t="n">
        <v>46427</v>
      </c>
    </row>
    <row r="407">
      <c r="N407" s="62" t="n">
        <v>46428</v>
      </c>
    </row>
    <row r="408">
      <c r="N408" s="62" t="n">
        <v>46429</v>
      </c>
    </row>
    <row r="409">
      <c r="N409" s="62" t="n">
        <v>46430</v>
      </c>
    </row>
    <row r="410">
      <c r="N410" s="62" t="n">
        <v>46431</v>
      </c>
    </row>
    <row r="411">
      <c r="N411" s="62" t="n">
        <v>46432</v>
      </c>
    </row>
    <row r="412">
      <c r="N412" s="62" t="n">
        <v>46433</v>
      </c>
    </row>
    <row r="413">
      <c r="N413" s="62" t="n">
        <v>46434</v>
      </c>
    </row>
    <row r="414">
      <c r="N414" s="62" t="n">
        <v>46435</v>
      </c>
    </row>
    <row r="415">
      <c r="N415" s="62" t="n">
        <v>46436</v>
      </c>
    </row>
    <row r="416">
      <c r="N416" s="62" t="n">
        <v>46437</v>
      </c>
    </row>
    <row r="417">
      <c r="N417" s="62" t="n">
        <v>46438</v>
      </c>
    </row>
    <row r="418">
      <c r="N418" s="62" t="n">
        <v>46439</v>
      </c>
    </row>
    <row r="419">
      <c r="N419" s="62" t="n">
        <v>46440</v>
      </c>
    </row>
    <row r="420">
      <c r="N420" s="62" t="n">
        <v>46441</v>
      </c>
    </row>
    <row r="421">
      <c r="N421" s="62" t="n">
        <v>46442</v>
      </c>
    </row>
    <row r="422">
      <c r="N422" s="62" t="n">
        <v>46443</v>
      </c>
    </row>
    <row r="423">
      <c r="N423" s="62" t="n">
        <v>46444</v>
      </c>
    </row>
    <row r="424">
      <c r="N424" s="62" t="n">
        <v>46445</v>
      </c>
    </row>
    <row r="425">
      <c r="N425" s="62" t="n">
        <v>46446</v>
      </c>
    </row>
    <row r="426">
      <c r="N426" s="62" t="n">
        <v>46447</v>
      </c>
    </row>
    <row r="427">
      <c r="N427" s="62" t="n">
        <v>46448</v>
      </c>
    </row>
    <row r="428">
      <c r="N428" s="62" t="n">
        <v>46449</v>
      </c>
    </row>
    <row r="429">
      <c r="N429" s="62" t="n">
        <v>46450</v>
      </c>
    </row>
    <row r="430">
      <c r="N430" s="62" t="n">
        <v>46451</v>
      </c>
    </row>
    <row r="431">
      <c r="N431" s="62" t="n">
        <v>46452</v>
      </c>
    </row>
    <row r="432">
      <c r="N432" s="62" t="n">
        <v>46453</v>
      </c>
    </row>
    <row r="433">
      <c r="N433" s="62" t="n">
        <v>46454</v>
      </c>
    </row>
    <row r="434">
      <c r="N434" s="62" t="n">
        <v>46455</v>
      </c>
    </row>
    <row r="435">
      <c r="N435" s="62" t="n">
        <v>46456</v>
      </c>
    </row>
    <row r="436">
      <c r="N436" s="62" t="n">
        <v>46457</v>
      </c>
    </row>
    <row r="437">
      <c r="N437" s="62" t="n">
        <v>46458</v>
      </c>
    </row>
    <row r="438">
      <c r="N438" s="62" t="n">
        <v>46459</v>
      </c>
    </row>
    <row r="439">
      <c r="N439" s="62" t="n">
        <v>46460</v>
      </c>
    </row>
    <row r="440">
      <c r="N440" s="62" t="n">
        <v>46461</v>
      </c>
    </row>
    <row r="441">
      <c r="N441" s="62" t="n">
        <v>46462</v>
      </c>
    </row>
    <row r="442">
      <c r="N442" s="62" t="n">
        <v>46463</v>
      </c>
    </row>
    <row r="443">
      <c r="N443" s="62" t="n">
        <v>46464</v>
      </c>
    </row>
    <row r="444">
      <c r="N444" s="62" t="n">
        <v>46465</v>
      </c>
    </row>
    <row r="445">
      <c r="N445" s="62" t="n">
        <v>46466</v>
      </c>
    </row>
    <row r="446">
      <c r="N446" s="62" t="n">
        <v>46467</v>
      </c>
    </row>
    <row r="447">
      <c r="N447" s="62" t="n">
        <v>46468</v>
      </c>
    </row>
    <row r="448">
      <c r="N448" s="62" t="n">
        <v>46469</v>
      </c>
    </row>
    <row r="449">
      <c r="N449" s="62" t="n">
        <v>46470</v>
      </c>
    </row>
    <row r="450">
      <c r="N450" s="62" t="n">
        <v>46471</v>
      </c>
    </row>
    <row r="451">
      <c r="N451" s="62" t="n">
        <v>46472</v>
      </c>
    </row>
    <row r="452">
      <c r="N452" s="62" t="n">
        <v>46473</v>
      </c>
    </row>
    <row r="453">
      <c r="N453" s="62" t="n">
        <v>46474</v>
      </c>
    </row>
    <row r="454">
      <c r="N454" s="62" t="n">
        <v>46475</v>
      </c>
    </row>
    <row r="455">
      <c r="N455" s="62" t="n">
        <v>46476</v>
      </c>
    </row>
    <row r="456">
      <c r="N456" s="62" t="n">
        <v>46477</v>
      </c>
    </row>
    <row r="457">
      <c r="N457" s="62" t="n">
        <v>46478</v>
      </c>
    </row>
    <row r="458">
      <c r="N458" s="62" t="n">
        <v>46479</v>
      </c>
    </row>
    <row r="459">
      <c r="N459" s="62" t="n">
        <v>46480</v>
      </c>
    </row>
    <row r="460">
      <c r="N460" s="62" t="n">
        <v>46481</v>
      </c>
    </row>
    <row r="461">
      <c r="N461" s="62" t="n">
        <v>46482</v>
      </c>
    </row>
    <row r="462">
      <c r="N462" s="62" t="n">
        <v>46483</v>
      </c>
    </row>
    <row r="463">
      <c r="N463" s="62" t="n">
        <v>46484</v>
      </c>
    </row>
    <row r="464">
      <c r="N464" s="62" t="n">
        <v>46485</v>
      </c>
    </row>
    <row r="465">
      <c r="N465" s="62" t="n">
        <v>46486</v>
      </c>
    </row>
    <row r="466">
      <c r="N466" s="62" t="n">
        <v>46487</v>
      </c>
    </row>
    <row r="467">
      <c r="N467" s="62" t="n">
        <v>46488</v>
      </c>
    </row>
    <row r="468">
      <c r="N468" s="62" t="n">
        <v>46489</v>
      </c>
    </row>
    <row r="469">
      <c r="N469" s="62" t="n">
        <v>46490</v>
      </c>
    </row>
    <row r="470">
      <c r="N470" s="62" t="n">
        <v>46491</v>
      </c>
    </row>
    <row r="471">
      <c r="N471" s="62" t="n">
        <v>46492</v>
      </c>
    </row>
    <row r="472">
      <c r="N472" s="62" t="n">
        <v>46493</v>
      </c>
    </row>
    <row r="473">
      <c r="N473" s="62" t="n">
        <v>46494</v>
      </c>
    </row>
    <row r="474">
      <c r="N474" s="62" t="n">
        <v>46495</v>
      </c>
    </row>
    <row r="475">
      <c r="N475" s="62" t="n">
        <v>46496</v>
      </c>
    </row>
    <row r="476">
      <c r="N476" s="62" t="n">
        <v>46497</v>
      </c>
    </row>
    <row r="477">
      <c r="N477" s="62" t="n">
        <v>46498</v>
      </c>
    </row>
    <row r="478">
      <c r="N478" s="62" t="n">
        <v>46499</v>
      </c>
    </row>
    <row r="479">
      <c r="N479" s="62" t="n">
        <v>46500</v>
      </c>
    </row>
    <row r="480">
      <c r="N480" s="62" t="n">
        <v>46501</v>
      </c>
    </row>
    <row r="481">
      <c r="N481" s="62" t="n">
        <v>46502</v>
      </c>
    </row>
    <row r="482">
      <c r="N482" s="62" t="n">
        <v>46503</v>
      </c>
    </row>
    <row r="483">
      <c r="N483" s="62" t="n">
        <v>46504</v>
      </c>
    </row>
    <row r="484">
      <c r="N484" s="62" t="n">
        <v>46505</v>
      </c>
    </row>
    <row r="485">
      <c r="N485" s="62" t="n">
        <v>46506</v>
      </c>
    </row>
    <row r="486">
      <c r="N486" s="62" t="n">
        <v>46507</v>
      </c>
    </row>
    <row r="487">
      <c r="N487" s="62" t="n">
        <v>46508</v>
      </c>
    </row>
    <row r="488">
      <c r="N488" s="62" t="n">
        <v>46509</v>
      </c>
    </row>
    <row r="489">
      <c r="N489" s="62" t="n">
        <v>46510</v>
      </c>
    </row>
    <row r="490">
      <c r="N490" s="62" t="n">
        <v>46511</v>
      </c>
    </row>
    <row r="491">
      <c r="N491" s="62" t="n">
        <v>46512</v>
      </c>
    </row>
    <row r="492">
      <c r="N492" s="62" t="n">
        <v>46513</v>
      </c>
    </row>
    <row r="493">
      <c r="N493" s="62" t="n">
        <v>46514</v>
      </c>
    </row>
    <row r="494">
      <c r="N494" s="62" t="n">
        <v>46515</v>
      </c>
    </row>
    <row r="495">
      <c r="N495" s="62" t="n">
        <v>46516</v>
      </c>
    </row>
    <row r="496">
      <c r="N496" s="62" t="n">
        <v>46517</v>
      </c>
    </row>
    <row r="497">
      <c r="N497" s="62" t="n">
        <v>46518</v>
      </c>
    </row>
    <row r="498">
      <c r="N498" s="62" t="n">
        <v>46519</v>
      </c>
    </row>
    <row r="499">
      <c r="N499" s="62" t="n">
        <v>46520</v>
      </c>
    </row>
    <row r="500">
      <c r="N500" s="62" t="n">
        <v>46521</v>
      </c>
    </row>
    <row r="501">
      <c r="N501" s="62" t="n">
        <v>46522</v>
      </c>
    </row>
    <row r="502">
      <c r="N502" s="62" t="n">
        <v>46523</v>
      </c>
    </row>
    <row r="503">
      <c r="N503" s="62" t="n">
        <v>46524</v>
      </c>
    </row>
    <row r="504">
      <c r="N504" s="62" t="n">
        <v>46525</v>
      </c>
    </row>
    <row r="505">
      <c r="N505" s="62" t="n">
        <v>46526</v>
      </c>
    </row>
    <row r="506">
      <c r="N506" s="62" t="n">
        <v>46527</v>
      </c>
    </row>
    <row r="507">
      <c r="N507" s="62" t="n">
        <v>46528</v>
      </c>
    </row>
    <row r="508">
      <c r="N508" s="62" t="n">
        <v>46529</v>
      </c>
    </row>
    <row r="509">
      <c r="N509" s="62" t="n">
        <v>46530</v>
      </c>
    </row>
    <row r="510">
      <c r="N510" s="62" t="n">
        <v>46531</v>
      </c>
    </row>
    <row r="511">
      <c r="N511" s="62" t="n">
        <v>46532</v>
      </c>
    </row>
    <row r="512">
      <c r="N512" s="62" t="n">
        <v>46533</v>
      </c>
    </row>
    <row r="513">
      <c r="N513" s="62" t="n">
        <v>46534</v>
      </c>
    </row>
    <row r="514">
      <c r="N514" s="62" t="n">
        <v>46535</v>
      </c>
    </row>
    <row r="515">
      <c r="N515" s="62" t="n">
        <v>46536</v>
      </c>
    </row>
    <row r="516">
      <c r="N516" s="62" t="n">
        <v>46537</v>
      </c>
    </row>
    <row r="517">
      <c r="N517" s="62" t="n">
        <v>46538</v>
      </c>
    </row>
    <row r="518">
      <c r="N518" s="62" t="n">
        <v>46539</v>
      </c>
    </row>
    <row r="519">
      <c r="N519" s="62" t="n">
        <v>46540</v>
      </c>
    </row>
    <row r="520">
      <c r="N520" s="62" t="n">
        <v>46541</v>
      </c>
    </row>
    <row r="521">
      <c r="N521" s="62" t="n">
        <v>46542</v>
      </c>
    </row>
    <row r="522">
      <c r="N522" s="62" t="n">
        <v>46543</v>
      </c>
    </row>
    <row r="523">
      <c r="N523" s="62" t="n">
        <v>46544</v>
      </c>
    </row>
    <row r="524">
      <c r="N524" s="62" t="n">
        <v>46545</v>
      </c>
    </row>
    <row r="525">
      <c r="N525" s="62" t="n">
        <v>46546</v>
      </c>
    </row>
    <row r="526">
      <c r="N526" s="62" t="n">
        <v>46547</v>
      </c>
    </row>
    <row r="527">
      <c r="N527" s="62" t="n">
        <v>46548</v>
      </c>
    </row>
    <row r="528">
      <c r="N528" s="62" t="n">
        <v>46549</v>
      </c>
    </row>
    <row r="529">
      <c r="N529" s="62" t="n">
        <v>46550</v>
      </c>
    </row>
    <row r="530">
      <c r="N530" s="62" t="n">
        <v>46551</v>
      </c>
    </row>
    <row r="531">
      <c r="N531" s="62" t="n">
        <v>46552</v>
      </c>
    </row>
    <row r="532">
      <c r="N532" s="62" t="n">
        <v>46553</v>
      </c>
    </row>
    <row r="533">
      <c r="N533" s="62" t="n">
        <v>46554</v>
      </c>
    </row>
    <row r="534">
      <c r="N534" s="62" t="n">
        <v>46555</v>
      </c>
    </row>
    <row r="535">
      <c r="N535" s="62" t="n">
        <v>46556</v>
      </c>
    </row>
    <row r="536">
      <c r="N536" s="62" t="n">
        <v>46557</v>
      </c>
    </row>
    <row r="537">
      <c r="N537" s="62" t="n">
        <v>46558</v>
      </c>
    </row>
    <row r="538">
      <c r="N538" s="62" t="n">
        <v>46559</v>
      </c>
    </row>
    <row r="539">
      <c r="N539" s="62" t="n">
        <v>46560</v>
      </c>
    </row>
    <row r="540">
      <c r="N540" s="62" t="n">
        <v>46561</v>
      </c>
    </row>
    <row r="541">
      <c r="N541" s="62" t="n">
        <v>46562</v>
      </c>
    </row>
    <row r="542">
      <c r="N542" s="62" t="n">
        <v>46563</v>
      </c>
    </row>
    <row r="543">
      <c r="N543" s="62" t="n">
        <v>46564</v>
      </c>
    </row>
    <row r="544">
      <c r="N544" s="62" t="n">
        <v>46565</v>
      </c>
    </row>
    <row r="545">
      <c r="N545" s="62" t="n">
        <v>46566</v>
      </c>
    </row>
    <row r="546">
      <c r="N546" s="62" t="n">
        <v>46567</v>
      </c>
    </row>
    <row r="547">
      <c r="N547" s="62" t="n">
        <v>46568</v>
      </c>
    </row>
    <row r="548">
      <c r="N548" s="62" t="n">
        <v>46569</v>
      </c>
    </row>
    <row r="549">
      <c r="N549" s="62" t="n">
        <v>46570</v>
      </c>
    </row>
    <row r="550">
      <c r="N550" s="62" t="n">
        <v>46571</v>
      </c>
    </row>
    <row r="551">
      <c r="N551" s="62" t="n">
        <v>46572</v>
      </c>
    </row>
    <row r="552">
      <c r="N552" s="62" t="n">
        <v>46573</v>
      </c>
    </row>
    <row r="553">
      <c r="N553" s="62" t="n">
        <v>46574</v>
      </c>
    </row>
    <row r="554">
      <c r="N554" s="62" t="n">
        <v>46575</v>
      </c>
    </row>
    <row r="555">
      <c r="N555" s="62" t="n">
        <v>46576</v>
      </c>
    </row>
    <row r="556">
      <c r="N556" s="62" t="n">
        <v>46577</v>
      </c>
    </row>
    <row r="557">
      <c r="N557" s="62" t="n">
        <v>46578</v>
      </c>
    </row>
    <row r="558">
      <c r="N558" s="62" t="n">
        <v>46579</v>
      </c>
    </row>
    <row r="559">
      <c r="N559" s="62" t="n">
        <v>46580</v>
      </c>
    </row>
    <row r="560">
      <c r="N560" s="62" t="n">
        <v>46581</v>
      </c>
    </row>
    <row r="561">
      <c r="N561" s="62" t="n">
        <v>46582</v>
      </c>
    </row>
    <row r="562">
      <c r="N562" s="62" t="n">
        <v>46583</v>
      </c>
    </row>
    <row r="563">
      <c r="N563" s="62" t="n">
        <v>46584</v>
      </c>
    </row>
    <row r="564">
      <c r="N564" s="62" t="n">
        <v>46585</v>
      </c>
    </row>
    <row r="565">
      <c r="N565" s="62" t="n">
        <v>46586</v>
      </c>
    </row>
    <row r="566">
      <c r="N566" s="62" t="n">
        <v>46587</v>
      </c>
    </row>
    <row r="567">
      <c r="N567" s="62" t="n">
        <v>46588</v>
      </c>
    </row>
    <row r="568">
      <c r="N568" s="62" t="n">
        <v>46589</v>
      </c>
    </row>
    <row r="569">
      <c r="N569" s="62" t="n">
        <v>46590</v>
      </c>
    </row>
    <row r="570">
      <c r="N570" s="62" t="n">
        <v>46591</v>
      </c>
    </row>
    <row r="571">
      <c r="N571" s="62" t="n">
        <v>46592</v>
      </c>
    </row>
    <row r="572">
      <c r="N572" s="62" t="n">
        <v>46593</v>
      </c>
    </row>
    <row r="573">
      <c r="N573" s="62" t="n">
        <v>46594</v>
      </c>
    </row>
    <row r="574">
      <c r="N574" s="62" t="n">
        <v>46595</v>
      </c>
    </row>
    <row r="575">
      <c r="N575" s="62" t="n">
        <v>46596</v>
      </c>
    </row>
    <row r="576">
      <c r="N576" s="62" t="n">
        <v>46597</v>
      </c>
    </row>
    <row r="577">
      <c r="N577" s="62" t="n">
        <v>46598</v>
      </c>
    </row>
    <row r="578">
      <c r="N578" s="62" t="n">
        <v>46599</v>
      </c>
    </row>
    <row r="579">
      <c r="N579" s="62" t="n">
        <v>46600</v>
      </c>
    </row>
    <row r="580">
      <c r="N580" s="62" t="n">
        <v>46601</v>
      </c>
    </row>
    <row r="581">
      <c r="N581" s="62" t="n">
        <v>46602</v>
      </c>
    </row>
    <row r="582">
      <c r="N582" s="62" t="n">
        <v>46603</v>
      </c>
    </row>
    <row r="583">
      <c r="N583" s="62" t="n">
        <v>46604</v>
      </c>
    </row>
    <row r="584">
      <c r="N584" s="62" t="n">
        <v>46605</v>
      </c>
    </row>
    <row r="585">
      <c r="N585" s="62" t="n">
        <v>46606</v>
      </c>
    </row>
    <row r="586">
      <c r="N586" s="62" t="n">
        <v>46607</v>
      </c>
    </row>
    <row r="587">
      <c r="N587" s="62" t="n">
        <v>46608</v>
      </c>
    </row>
    <row r="588">
      <c r="N588" s="62" t="n">
        <v>46609</v>
      </c>
    </row>
    <row r="589">
      <c r="N589" s="62" t="n">
        <v>46610</v>
      </c>
    </row>
    <row r="590">
      <c r="N590" s="62" t="n">
        <v>46611</v>
      </c>
    </row>
    <row r="591">
      <c r="N591" s="62" t="n">
        <v>46612</v>
      </c>
    </row>
    <row r="592">
      <c r="N592" s="62" t="n">
        <v>46613</v>
      </c>
    </row>
    <row r="593">
      <c r="N593" s="62" t="n">
        <v>46614</v>
      </c>
    </row>
    <row r="594">
      <c r="N594" s="62" t="n">
        <v>46615</v>
      </c>
    </row>
    <row r="595">
      <c r="N595" s="62" t="n">
        <v>46616</v>
      </c>
    </row>
    <row r="596">
      <c r="N596" s="62" t="n">
        <v>46617</v>
      </c>
    </row>
    <row r="597">
      <c r="N597" s="62" t="n">
        <v>46618</v>
      </c>
    </row>
    <row r="598">
      <c r="N598" s="62" t="n">
        <v>46619</v>
      </c>
    </row>
    <row r="599">
      <c r="N599" s="62" t="n">
        <v>46620</v>
      </c>
    </row>
    <row r="600">
      <c r="N600" s="62" t="n">
        <v>46621</v>
      </c>
    </row>
    <row r="601">
      <c r="N601" s="62" t="n">
        <v>46622</v>
      </c>
    </row>
    <row r="602">
      <c r="N602" s="62" t="n">
        <v>46623</v>
      </c>
    </row>
    <row r="603">
      <c r="N603" s="62" t="n">
        <v>46624</v>
      </c>
    </row>
    <row r="604">
      <c r="N604" s="62" t="n">
        <v>46625</v>
      </c>
    </row>
    <row r="605">
      <c r="N605" s="62" t="n">
        <v>46626</v>
      </c>
    </row>
    <row r="606">
      <c r="N606" s="62" t="n">
        <v>46627</v>
      </c>
    </row>
    <row r="607">
      <c r="N607" s="62" t="n">
        <v>46628</v>
      </c>
    </row>
    <row r="608">
      <c r="N608" s="62" t="n">
        <v>46629</v>
      </c>
    </row>
    <row r="609">
      <c r="N609" s="62" t="n">
        <v>46630</v>
      </c>
    </row>
    <row r="610">
      <c r="N610" s="62" t="n">
        <v>46631</v>
      </c>
    </row>
    <row r="611">
      <c r="N611" s="62" t="n">
        <v>46632</v>
      </c>
    </row>
    <row r="612">
      <c r="N612" s="62" t="n">
        <v>46633</v>
      </c>
    </row>
    <row r="613">
      <c r="N613" s="62" t="n">
        <v>46634</v>
      </c>
    </row>
    <row r="614">
      <c r="N614" s="62" t="n">
        <v>46635</v>
      </c>
    </row>
    <row r="615">
      <c r="N615" s="62" t="n">
        <v>46636</v>
      </c>
    </row>
    <row r="616">
      <c r="N616" s="62" t="n">
        <v>46637</v>
      </c>
    </row>
    <row r="617">
      <c r="N617" s="62" t="n">
        <v>46638</v>
      </c>
    </row>
    <row r="618">
      <c r="N618" s="62" t="n">
        <v>46639</v>
      </c>
    </row>
    <row r="619">
      <c r="N619" s="62" t="n">
        <v>46640</v>
      </c>
    </row>
    <row r="620">
      <c r="N620" s="62" t="n">
        <v>46641</v>
      </c>
    </row>
    <row r="621">
      <c r="N621" s="62" t="n">
        <v>46642</v>
      </c>
    </row>
    <row r="622">
      <c r="N622" s="62" t="n">
        <v>46643</v>
      </c>
    </row>
    <row r="623">
      <c r="N623" s="62" t="n">
        <v>46644</v>
      </c>
    </row>
    <row r="624">
      <c r="N624" s="62" t="n">
        <v>46645</v>
      </c>
    </row>
    <row r="625">
      <c r="N625" s="62" t="n">
        <v>46646</v>
      </c>
    </row>
    <row r="626">
      <c r="N626" s="62" t="n">
        <v>46647</v>
      </c>
    </row>
    <row r="627">
      <c r="N627" s="62" t="n">
        <v>46648</v>
      </c>
    </row>
    <row r="628">
      <c r="N628" s="62" t="n">
        <v>46649</v>
      </c>
    </row>
    <row r="629">
      <c r="N629" s="62" t="n">
        <v>46650</v>
      </c>
    </row>
    <row r="630">
      <c r="N630" s="62" t="n">
        <v>46651</v>
      </c>
    </row>
    <row r="631">
      <c r="N631" s="62" t="n">
        <v>46652</v>
      </c>
    </row>
    <row r="632">
      <c r="N632" s="62" t="n">
        <v>46653</v>
      </c>
    </row>
    <row r="633">
      <c r="N633" s="62" t="n">
        <v>46654</v>
      </c>
    </row>
    <row r="634">
      <c r="N634" s="62" t="n">
        <v>46655</v>
      </c>
    </row>
    <row r="635">
      <c r="N635" s="62" t="n">
        <v>46656</v>
      </c>
    </row>
    <row r="636">
      <c r="N636" s="62" t="n">
        <v>46657</v>
      </c>
    </row>
    <row r="637">
      <c r="N637" s="62" t="n">
        <v>46658</v>
      </c>
    </row>
    <row r="638">
      <c r="N638" s="62" t="n">
        <v>46659</v>
      </c>
    </row>
    <row r="639">
      <c r="N639" s="62" t="n">
        <v>46660</v>
      </c>
    </row>
    <row r="640">
      <c r="N640" s="62" t="n">
        <v>46661</v>
      </c>
    </row>
    <row r="641">
      <c r="N641" s="62" t="n">
        <v>46662</v>
      </c>
    </row>
    <row r="642">
      <c r="N642" s="62" t="n">
        <v>46663</v>
      </c>
    </row>
    <row r="643">
      <c r="N643" s="62" t="n">
        <v>46664</v>
      </c>
    </row>
    <row r="644">
      <c r="N644" s="62" t="n">
        <v>46665</v>
      </c>
    </row>
    <row r="645">
      <c r="N645" s="62" t="n">
        <v>46666</v>
      </c>
    </row>
    <row r="646">
      <c r="N646" s="62" t="n">
        <v>46667</v>
      </c>
    </row>
    <row r="647">
      <c r="N647" s="62" t="n">
        <v>46668</v>
      </c>
    </row>
    <row r="648">
      <c r="N648" s="62" t="n">
        <v>46669</v>
      </c>
    </row>
    <row r="649">
      <c r="N649" s="62" t="n">
        <v>46670</v>
      </c>
    </row>
    <row r="650">
      <c r="N650" s="62" t="n">
        <v>46671</v>
      </c>
    </row>
    <row r="651">
      <c r="N651" s="62" t="n">
        <v>46672</v>
      </c>
    </row>
    <row r="652">
      <c r="N652" s="62" t="n">
        <v>46673</v>
      </c>
    </row>
    <row r="653">
      <c r="N653" s="62" t="n">
        <v>46674</v>
      </c>
    </row>
    <row r="654">
      <c r="N654" s="62" t="n">
        <v>46675</v>
      </c>
    </row>
    <row r="655">
      <c r="N655" s="62" t="n">
        <v>46676</v>
      </c>
    </row>
    <row r="656">
      <c r="N656" s="62" t="n">
        <v>46677</v>
      </c>
    </row>
    <row r="657">
      <c r="N657" s="62" t="n">
        <v>46678</v>
      </c>
    </row>
    <row r="658">
      <c r="N658" s="62" t="n">
        <v>46679</v>
      </c>
    </row>
    <row r="659">
      <c r="N659" s="62" t="n">
        <v>46680</v>
      </c>
    </row>
    <row r="660">
      <c r="N660" s="62" t="n">
        <v>46681</v>
      </c>
    </row>
    <row r="661">
      <c r="N661" s="62" t="n">
        <v>46682</v>
      </c>
    </row>
    <row r="662">
      <c r="N662" s="62" t="n">
        <v>46683</v>
      </c>
    </row>
    <row r="663">
      <c r="N663" s="62" t="n">
        <v>46684</v>
      </c>
    </row>
    <row r="664">
      <c r="N664" s="62" t="n">
        <v>46685</v>
      </c>
    </row>
    <row r="665">
      <c r="N665" s="62" t="n">
        <v>46686</v>
      </c>
    </row>
    <row r="666">
      <c r="N666" s="62" t="n">
        <v>46687</v>
      </c>
    </row>
    <row r="667">
      <c r="N667" s="62" t="n">
        <v>46688</v>
      </c>
    </row>
    <row r="668">
      <c r="N668" s="62" t="n">
        <v>46689</v>
      </c>
    </row>
    <row r="669">
      <c r="N669" s="62" t="n">
        <v>46690</v>
      </c>
    </row>
    <row r="670">
      <c r="N670" s="62" t="n">
        <v>46691</v>
      </c>
    </row>
    <row r="671">
      <c r="N671" s="62" t="n">
        <v>46692</v>
      </c>
    </row>
    <row r="672">
      <c r="N672" s="62" t="n">
        <v>46693</v>
      </c>
    </row>
    <row r="673">
      <c r="N673" s="62" t="n">
        <v>46694</v>
      </c>
    </row>
    <row r="674">
      <c r="N674" s="62" t="n">
        <v>46695</v>
      </c>
    </row>
    <row r="675">
      <c r="N675" s="62" t="n">
        <v>46696</v>
      </c>
    </row>
    <row r="676">
      <c r="N676" s="62" t="n">
        <v>46697</v>
      </c>
    </row>
    <row r="677">
      <c r="N677" s="62" t="n">
        <v>46698</v>
      </c>
    </row>
    <row r="678">
      <c r="N678" s="62" t="n">
        <v>46699</v>
      </c>
    </row>
    <row r="679">
      <c r="N679" s="62" t="n">
        <v>46700</v>
      </c>
    </row>
    <row r="680">
      <c r="N680" s="62" t="n">
        <v>46701</v>
      </c>
    </row>
    <row r="681">
      <c r="N681" s="62" t="n">
        <v>46702</v>
      </c>
    </row>
    <row r="682">
      <c r="N682" s="62" t="n">
        <v>46703</v>
      </c>
    </row>
    <row r="683">
      <c r="N683" s="62" t="n">
        <v>46704</v>
      </c>
    </row>
    <row r="684">
      <c r="N684" s="62" t="n">
        <v>46705</v>
      </c>
    </row>
    <row r="685">
      <c r="N685" s="62" t="n">
        <v>46706</v>
      </c>
    </row>
    <row r="686">
      <c r="N686" s="62" t="n">
        <v>46707</v>
      </c>
    </row>
    <row r="687">
      <c r="N687" s="62" t="n">
        <v>46708</v>
      </c>
    </row>
    <row r="688">
      <c r="N688" s="62" t="n">
        <v>46709</v>
      </c>
    </row>
    <row r="689">
      <c r="N689" s="62" t="n">
        <v>46710</v>
      </c>
    </row>
    <row r="690">
      <c r="N690" s="62" t="n">
        <v>46711</v>
      </c>
    </row>
    <row r="691">
      <c r="N691" s="62" t="n">
        <v>46712</v>
      </c>
    </row>
    <row r="692">
      <c r="N692" s="62" t="n">
        <v>46713</v>
      </c>
    </row>
    <row r="693">
      <c r="N693" s="62" t="n">
        <v>46714</v>
      </c>
    </row>
    <row r="694">
      <c r="N694" s="62" t="n">
        <v>46715</v>
      </c>
    </row>
    <row r="695">
      <c r="N695" s="62" t="n">
        <v>46716</v>
      </c>
    </row>
    <row r="696">
      <c r="N696" s="62" t="n">
        <v>46717</v>
      </c>
    </row>
    <row r="697">
      <c r="N697" s="62" t="n">
        <v>46718</v>
      </c>
    </row>
    <row r="698">
      <c r="N698" s="62" t="n">
        <v>46719</v>
      </c>
    </row>
    <row r="699">
      <c r="N699" s="62" t="n">
        <v>46720</v>
      </c>
    </row>
    <row r="700">
      <c r="N700" s="62" t="n">
        <v>46721</v>
      </c>
    </row>
    <row r="701">
      <c r="N701" s="62" t="n">
        <v>46722</v>
      </c>
    </row>
    <row r="702">
      <c r="N702" s="62" t="n">
        <v>46723</v>
      </c>
    </row>
    <row r="703">
      <c r="N703" s="62" t="n">
        <v>46724</v>
      </c>
    </row>
    <row r="704">
      <c r="N704" s="62" t="n">
        <v>46725</v>
      </c>
    </row>
    <row r="705">
      <c r="N705" s="62" t="n">
        <v>46726</v>
      </c>
    </row>
    <row r="706">
      <c r="N706" s="62" t="n">
        <v>46727</v>
      </c>
    </row>
    <row r="707">
      <c r="N707" s="62" t="n">
        <v>46728</v>
      </c>
    </row>
    <row r="708">
      <c r="N708" s="62" t="n">
        <v>46729</v>
      </c>
    </row>
    <row r="709">
      <c r="N709" s="62" t="n">
        <v>46730</v>
      </c>
    </row>
    <row r="710">
      <c r="N710" s="62" t="n">
        <v>46731</v>
      </c>
    </row>
    <row r="711">
      <c r="N711" s="62" t="n">
        <v>46732</v>
      </c>
    </row>
    <row r="712">
      <c r="N712" s="62" t="n">
        <v>46733</v>
      </c>
    </row>
    <row r="713">
      <c r="N713" s="62" t="n">
        <v>46734</v>
      </c>
    </row>
    <row r="714">
      <c r="N714" s="62" t="n">
        <v>46735</v>
      </c>
    </row>
    <row r="715">
      <c r="N715" s="62" t="n">
        <v>46736</v>
      </c>
    </row>
    <row r="716">
      <c r="N716" s="62" t="n">
        <v>46737</v>
      </c>
    </row>
    <row r="717">
      <c r="N717" s="62" t="n">
        <v>46738</v>
      </c>
    </row>
    <row r="718">
      <c r="N718" s="62" t="n">
        <v>46739</v>
      </c>
    </row>
    <row r="719">
      <c r="N719" s="62" t="n">
        <v>46740</v>
      </c>
    </row>
    <row r="720">
      <c r="N720" s="62" t="n">
        <v>46741</v>
      </c>
    </row>
    <row r="721">
      <c r="N721" s="62" t="n">
        <v>46742</v>
      </c>
    </row>
    <row r="722">
      <c r="N722" s="62" t="n">
        <v>46743</v>
      </c>
    </row>
    <row r="723">
      <c r="N723" s="62" t="n">
        <v>46744</v>
      </c>
    </row>
    <row r="724">
      <c r="N724" s="62" t="n">
        <v>46745</v>
      </c>
    </row>
    <row r="725">
      <c r="N725" s="62" t="n">
        <v>46746</v>
      </c>
    </row>
    <row r="726">
      <c r="N726" s="62" t="n">
        <v>46747</v>
      </c>
    </row>
    <row r="727">
      <c r="N727" s="62" t="n">
        <v>46748</v>
      </c>
    </row>
    <row r="728">
      <c r="N728" s="62" t="n">
        <v>46749</v>
      </c>
    </row>
    <row r="729">
      <c r="N729" s="62" t="n">
        <v>46750</v>
      </c>
    </row>
    <row r="730">
      <c r="N730" s="62" t="n">
        <v>46751</v>
      </c>
    </row>
    <row r="731">
      <c r="N731" s="62" t="n">
        <v>46752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2026-06-10T16:45:55Z</dcterms:created>
  <dcterms:modified xsi:type="dcterms:W3CDTF">2026-06-10T16:45:55Z</dcterms:modified>
</cp:coreProperties>
</file>