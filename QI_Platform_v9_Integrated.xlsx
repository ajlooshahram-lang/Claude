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START HERE" sheetId="1" state="visible" r:id="rId1"/>
    <sheet name="CONFIG" sheetId="2" state="visible" r:id="rId2"/>
    <sheet name="1. MASTER_ENTRY" sheetId="3" state="visible" r:id="rId3"/>
    <sheet name="2. PM_TASKS" sheetId="4" state="visible" r:id="rId4"/>
    <sheet name="3. RISK_REGISTER" sheetId="5" state="visible" r:id="rId5"/>
    <sheet name="4. FMEA" sheetId="6" state="visible" r:id="rId6"/>
    <sheet name="5. PDCA" sheetId="7" state="visible" r:id="rId7"/>
    <sheet name="6. ACTION_LOG" sheetId="8" state="visible" r:id="rId8"/>
    <sheet name="7. TIMELINE" sheetId="9" state="visible" r:id="rId9"/>
    <sheet name="8. SIX_SIGMA" sheetId="10" state="visible" r:id="rId10"/>
    <sheet name="9. STAKEHOLDERS" sheetId="11" state="visible" r:id="rId11"/>
    <sheet name="10. BUDGET" sheetId="12" state="visible" r:id="rId12"/>
    <sheet name="DASHBOARD" sheetId="13" state="visible" r:id="rId13"/>
    <sheet name="AI_ASSISTANT" sheetId="14" state="visible" r:id="rId14"/>
    <sheet name="EXEC REPORT" sheetId="15" state="visible" r:id="rId15"/>
    <sheet name="GLOSSARY" sheetId="16" state="visible" r:id="rId16"/>
    <sheet name="CHANGELOG" sheetId="17" state="visible" r:id="rId17"/>
    <sheet name="LISTS" sheetId="18" state="hidden" r:id="rId18"/>
  </sheets>
  <definedNames>
    <definedName name="_xlnm.Print_Titles" localSheetId="2">'1. MASTER_ENTRY'!$1:$3</definedName>
    <definedName name="_xlnm.Print_Titles" localSheetId="3">'2. PM_TASKS'!$1:$3</definedName>
    <definedName name="_xlnm.Print_Titles" localSheetId="4">'3. RISK_REGISTER'!$1:$3</definedName>
    <definedName name="_xlnm.Print_Titles" localSheetId="5">'4. FMEA'!$1:$3</definedName>
    <definedName name="_xlnm.Print_Titles" localSheetId="6">'5. PDCA'!$1:$3</definedName>
    <definedName name="_xlnm.Print_Titles" localSheetId="7">'6. ACTION_LOG'!$1:$3</definedName>
    <definedName name="_xlnm.Print_Titles" localSheetId="8">'7. TIMELINE'!$1:$3</definedName>
    <definedName name="_xlnm.Print_Titles" localSheetId="9">'8. SIX_SIGMA'!$1:$3</definedName>
    <definedName name="_xlnm.Print_Titles" localSheetId="10">'9. STAKEHOLDERS'!$1:$3</definedName>
    <definedName name="_xlnm.Print_Titles" localSheetId="11">'10. BUDGET'!$1:$3</definedName>
    <definedName name="_xlnm.Print_Titles" localSheetId="15">'GLOSSARY'!$1:$3</definedName>
    <definedName name="_xlnm.Print_Titles" localSheetId="16">'CHANGELOG'!$1:$3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-mmm-yyyy"/>
    <numFmt numFmtId="165" formatCode="yyyy-mm-dd"/>
    <numFmt numFmtId="166" formatCode="dd-mmm-yy"/>
    <numFmt numFmtId="167" formatCode="dd-mmm"/>
    <numFmt numFmtId="168" formatCode="#,##0;[Red]-#,##0"/>
    <numFmt numFmtId="169" formatCode="0.0%"/>
  </numFmts>
  <fonts count="43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color rgb="00FFFFFF"/>
      <sz val="10"/>
    </font>
    <font>
      <name val="Segoe UI"/>
      <b val="1"/>
      <color rgb="0044546A"/>
      <sz val="12"/>
    </font>
    <font>
      <name val="Segoe UI"/>
      <b val="1"/>
      <color rgb="00000000"/>
      <sz val="11"/>
    </font>
    <font>
      <name val="Segoe UI"/>
      <b val="1"/>
      <color rgb="00FFFFFF"/>
      <sz val="10"/>
    </font>
    <font>
      <name val="Segoe UI"/>
      <b val="1"/>
      <color rgb="00FFFFFF"/>
      <sz val="8"/>
    </font>
    <font>
      <name val="Segoe UI"/>
      <b val="1"/>
      <color rgb="00000000"/>
      <sz val="9"/>
    </font>
    <font>
      <name val="Segoe UI"/>
      <color rgb="00FFFFFF"/>
      <sz val="9"/>
    </font>
    <font>
      <name val="Segoe UI"/>
      <b val="1"/>
      <color rgb="001F3864"/>
      <sz val="16"/>
    </font>
    <font>
      <name val="Segoe UI"/>
      <b val="1"/>
      <color rgb="007030A0"/>
      <sz val="16"/>
    </font>
    <font>
      <name val="Segoe UI"/>
      <b val="1"/>
      <color rgb="001F8A8A"/>
      <sz val="16"/>
    </font>
    <font>
      <name val="Segoe UI"/>
      <b val="1"/>
      <color rgb="00C55A11"/>
      <sz val="16"/>
    </font>
    <font>
      <name val="Segoe UI"/>
      <b val="1"/>
      <color rgb="0044546A"/>
      <sz val="11"/>
    </font>
    <font>
      <name val="Segoe UI"/>
      <b val="1"/>
      <color rgb="00FFFFFF"/>
      <sz val="9"/>
    </font>
    <font>
      <name val="Segoe UI"/>
      <b val="1"/>
      <color rgb="001F3864"/>
      <sz val="24"/>
    </font>
    <font>
      <name val="Segoe UI"/>
      <b val="1"/>
      <color rgb="002E5496"/>
      <sz val="24"/>
    </font>
    <font>
      <name val="Segoe UI"/>
      <b val="1"/>
      <color rgb="00C00000"/>
      <sz val="24"/>
    </font>
    <font>
      <name val="Segoe UI"/>
      <b val="1"/>
      <color rgb="00FFC000"/>
      <sz val="24"/>
    </font>
    <font>
      <name val="Segoe UI"/>
      <b val="1"/>
      <color rgb="00548235"/>
      <sz val="24"/>
    </font>
    <font>
      <name val="Segoe UI"/>
      <b val="1"/>
      <color rgb="001F8A8A"/>
      <sz val="24"/>
    </font>
    <font>
      <name val="Segoe UI"/>
      <b val="1"/>
      <color rgb="001F3864"/>
      <sz val="11"/>
    </font>
    <font>
      <name val="Segoe UI"/>
      <b val="1"/>
      <color rgb="00C00000"/>
      <sz val="9"/>
    </font>
    <font>
      <name val="Segoe UI"/>
      <b val="1"/>
      <color rgb="001F3864"/>
      <sz val="10"/>
    </font>
    <font>
      <name val="Segoe UI"/>
      <b val="1"/>
      <color rgb="001F3864"/>
      <sz val="12"/>
    </font>
    <font>
      <name val="Segoe UI"/>
      <color rgb="00000000"/>
      <sz val="11"/>
    </font>
    <font>
      <name val="Segoe UI"/>
      <b val="1"/>
      <color rgb="00C00000"/>
      <sz val="12"/>
    </font>
    <font>
      <name val="Segoe UI"/>
      <b val="1"/>
      <color rgb="001F3864"/>
      <sz val="18"/>
    </font>
    <font>
      <name val="Segoe UI"/>
      <b val="1"/>
      <color rgb="00C00000"/>
      <sz val="18"/>
    </font>
    <font>
      <name val="Segoe UI"/>
      <b val="1"/>
      <color rgb="002E5496"/>
      <sz val="18"/>
    </font>
    <font>
      <name val="Segoe UI"/>
      <b val="1"/>
      <color rgb="00548235"/>
      <sz val="18"/>
    </font>
    <font>
      <name val="Segoe UI"/>
      <b val="1"/>
      <color rgb="00FFC000"/>
      <sz val="18"/>
    </font>
    <font>
      <name val="Segoe UI"/>
      <b val="1"/>
      <color rgb="001F8A8A"/>
      <sz val="18"/>
    </font>
    <font>
      <name val="Segoe UI"/>
      <b val="1"/>
      <color rgb="0044546A"/>
      <sz val="18"/>
    </font>
    <font>
      <name val="Segoe UI"/>
      <b val="1"/>
      <color rgb="007030A0"/>
      <sz val="18"/>
    </font>
    <font>
      <name val="Segoe UI"/>
      <b val="1"/>
      <color rgb="00C55A11"/>
      <sz val="18"/>
    </font>
    <font>
      <name val="Segoe UI"/>
      <b val="1"/>
      <color rgb="001F3864"/>
      <sz val="20"/>
    </font>
    <font>
      <name val="Segoe UI"/>
      <b val="1"/>
      <color rgb="00C00000"/>
      <sz val="20"/>
    </font>
    <font>
      <name val="Segoe UI"/>
      <b val="1"/>
      <color rgb="002E5496"/>
      <sz val="20"/>
    </font>
    <font>
      <name val="Segoe UI"/>
      <b val="1"/>
      <color rgb="00548235"/>
      <sz val="20"/>
    </font>
    <font>
      <name val="Segoe UI"/>
      <b val="1"/>
      <color rgb="001F3864"/>
      <sz val="13"/>
    </font>
    <font>
      <name val="Segoe UI"/>
      <b val="1"/>
      <color rgb="001F8A8A"/>
      <sz val="11"/>
    </font>
    <font>
      <name val="Segoe UI"/>
      <b val="1"/>
      <color rgb="002E5496"/>
      <sz val="11"/>
    </font>
  </fonts>
  <fills count="1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2E549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EAF1FB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1F8A8A"/>
      </patternFill>
    </fill>
    <fill>
      <patternFill patternType="solid">
        <fgColor rgb="007030A0"/>
      </patternFill>
    </fill>
    <fill>
      <patternFill patternType="solid">
        <fgColor rgb="00F2F2F2"/>
      </patternFill>
    </fill>
    <fill>
      <patternFill patternType="solid">
        <fgColor rgb="00C55A11"/>
      </patternFill>
    </fill>
    <fill>
      <patternFill patternType="solid">
        <fgColor rgb="00FFC000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hair">
        <color rgb="00D9D9D9"/>
      </left>
      <right style="hair">
        <color rgb="00D9D9D9"/>
      </right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6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14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4" fillId="9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36" fillId="13" borderId="1" applyAlignment="1" pivotButton="0" quotePrefix="0" xfId="0">
      <alignment horizontal="center" vertical="center" wrapText="1"/>
    </xf>
    <xf numFmtId="0" fontId="37" fillId="13" borderId="1" applyAlignment="1" pivotButton="0" quotePrefix="0" xfId="0">
      <alignment horizontal="center" vertical="center" wrapText="1"/>
    </xf>
    <xf numFmtId="0" fontId="38" fillId="13" borderId="1" applyAlignment="1" pivotButton="0" quotePrefix="0" xfId="0">
      <alignment horizontal="center" vertical="center" wrapText="1"/>
    </xf>
    <xf numFmtId="9" fontId="39" fillId="13" borderId="1" applyAlignment="1" pivotButton="0" quotePrefix="0" xfId="0">
      <alignment horizontal="center" vertical="center" wrapText="1"/>
    </xf>
    <xf numFmtId="0" fontId="40" fillId="4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 wrapText="1"/>
    </xf>
    <xf numFmtId="0" fontId="41" fillId="5" borderId="0" applyAlignment="1" pivotButton="0" quotePrefix="0" xfId="0">
      <alignment horizontal="left" vertical="center" wrapText="1"/>
    </xf>
    <xf numFmtId="0" fontId="41" fillId="7" borderId="0" applyAlignment="1" pivotButton="0" quotePrefix="0" xfId="0">
      <alignment horizontal="left" vertical="center" wrapText="1"/>
    </xf>
    <xf numFmtId="0" fontId="41" fillId="13" borderId="0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indent="1"/>
    </xf>
    <xf numFmtId="0" fontId="3" fillId="4" borderId="0" pivotButton="0" quotePrefix="0" xfId="0"/>
    <xf numFmtId="0" fontId="4" fillId="0" borderId="0" pivotButton="0" quotePrefix="0" xfId="0"/>
    <xf numFmtId="0" fontId="0" fillId="5" borderId="1" applyAlignment="1" applyProtection="1" pivotButton="0" quotePrefix="0" xfId="0">
      <alignment horizontal="left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164" fontId="0" fillId="5" borderId="1" applyAlignment="1" applyProtection="1" pivotButton="0" quotePrefix="0" xfId="0">
      <alignment horizontal="left" vertical="center" wrapText="1"/>
      <protection locked="0" hidden="0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166" fontId="0" fillId="5" borderId="1" applyAlignment="1" applyProtection="1" pivotButton="0" quotePrefix="0" xfId="0">
      <alignment horizontal="center" vertical="center" wrapText="1"/>
      <protection locked="0" hidden="0"/>
    </xf>
    <xf numFmtId="0" fontId="0" fillId="5" borderId="1" applyAlignment="1" applyProtection="1" pivotButton="0" quotePrefix="0" xfId="0">
      <alignment horizontal="center" vertical="center" wrapText="1"/>
      <protection locked="0" hidden="0"/>
    </xf>
    <xf numFmtId="166" fontId="0" fillId="7" borderId="1" applyAlignment="1" pivotButton="0" quotePrefix="0" xfId="0">
      <alignment horizontal="center" vertical="center" wrapText="1"/>
    </xf>
    <xf numFmtId="9" fontId="0" fillId="5" borderId="1" applyAlignment="1" applyProtection="1" pivotButton="0" quotePrefix="0" xfId="0">
      <alignment horizontal="center" vertical="center" wrapText="1"/>
      <protection locked="0" hidden="0"/>
    </xf>
    <xf numFmtId="0" fontId="0" fillId="7" borderId="1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left" vertical="center" inden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 wrapText="1"/>
    </xf>
    <xf numFmtId="166" fontId="0" fillId="8" borderId="1" applyAlignment="1" pivotButton="0" quotePrefix="0" xfId="0">
      <alignment horizontal="center" vertical="center" wrapText="1"/>
    </xf>
    <xf numFmtId="9" fontId="0" fillId="8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166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 indent="1"/>
    </xf>
    <xf numFmtId="0" fontId="5" fillId="9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left" vertical="center" indent="1"/>
    </xf>
    <xf numFmtId="0" fontId="5" fillId="11" borderId="1" applyAlignment="1" pivotButton="0" quotePrefix="0" xfId="0">
      <alignment horizontal="center" vertical="center" wrapText="1"/>
    </xf>
    <xf numFmtId="167" fontId="6" fillId="3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0" borderId="0" pivotButton="0" quotePrefix="0" xfId="0"/>
    <xf numFmtId="0" fontId="8" fillId="11" borderId="0" pivotButton="0" quotePrefix="0" xfId="0"/>
    <xf numFmtId="0" fontId="8" fillId="6" borderId="0" pivotButton="0" quotePrefix="0" xfId="0"/>
    <xf numFmtId="169" fontId="0" fillId="7" borderId="1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left" vertical="center" indent="1"/>
    </xf>
    <xf numFmtId="0" fontId="5" fillId="12" borderId="1" applyAlignment="1" pivotButton="0" quotePrefix="0" xfId="0">
      <alignment horizontal="center" vertical="center" wrapText="1"/>
    </xf>
    <xf numFmtId="3" fontId="0" fillId="5" borderId="1" applyAlignment="1" applyProtection="1" pivotButton="0" quotePrefix="0" xfId="0">
      <alignment horizontal="center" vertical="center" wrapText="1"/>
      <protection locked="0" hidden="0"/>
    </xf>
    <xf numFmtId="168" fontId="0" fillId="7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3" fontId="9" fillId="13" borderId="1" applyAlignment="1" pivotButton="0" quotePrefix="0" xfId="0">
      <alignment horizontal="center" vertical="center" wrapText="1"/>
    </xf>
    <xf numFmtId="3" fontId="10" fillId="13" borderId="1" applyAlignment="1" pivotButton="0" quotePrefix="0" xfId="0">
      <alignment horizontal="center" vertical="center" wrapText="1"/>
    </xf>
    <xf numFmtId="3" fontId="11" fillId="13" borderId="1" applyAlignment="1" pivotButton="0" quotePrefix="0" xfId="0">
      <alignment horizontal="center" vertical="center" wrapText="1"/>
    </xf>
    <xf numFmtId="9" fontId="12" fillId="13" borderId="1" applyAlignment="1" pivotButton="0" quotePrefix="0" xfId="0">
      <alignment horizontal="center" vertical="center" wrapText="1"/>
    </xf>
    <xf numFmtId="0" fontId="6" fillId="12" borderId="0" pivotButton="0" quotePrefix="0" xfId="0"/>
    <xf numFmtId="0" fontId="1" fillId="14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14" fillId="15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5" fillId="13" borderId="1" applyAlignment="1" pivotButton="0" quotePrefix="0" xfId="0">
      <alignment horizontal="center" vertical="center" wrapText="1"/>
    </xf>
    <xf numFmtId="0" fontId="16" fillId="13" borderId="1" applyAlignment="1" pivotButton="0" quotePrefix="0" xfId="0">
      <alignment horizontal="center" vertical="center" wrapText="1"/>
    </xf>
    <xf numFmtId="0" fontId="17" fillId="13" borderId="1" applyAlignment="1" pivotButton="0" quotePrefix="0" xfId="0">
      <alignment horizontal="center" vertical="center" wrapText="1"/>
    </xf>
    <xf numFmtId="0" fontId="18" fillId="13" borderId="1" applyAlignment="1" pivotButton="0" quotePrefix="0" xfId="0">
      <alignment horizontal="center" vertical="center" wrapText="1"/>
    </xf>
    <xf numFmtId="9" fontId="19" fillId="13" borderId="1" applyAlignment="1" pivotButton="0" quotePrefix="0" xfId="0">
      <alignment horizontal="center" vertical="center" wrapText="1"/>
    </xf>
    <xf numFmtId="0" fontId="20" fillId="13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4" fillId="5" borderId="1" applyAlignment="1" applyProtection="1" pivotButton="0" quotePrefix="0" xfId="0">
      <alignment horizontal="center" vertical="center" wrapText="1"/>
      <protection locked="0" hidden="0"/>
    </xf>
    <xf numFmtId="0" fontId="22" fillId="0" borderId="0" pivotButton="0" quotePrefix="0" xfId="0"/>
    <xf numFmtId="0" fontId="14" fillId="6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5" fillId="8" borderId="0" applyAlignment="1" pivotButton="0" quotePrefix="0" xfId="0">
      <alignment horizontal="left" vertical="center" wrapText="1"/>
    </xf>
    <xf numFmtId="0" fontId="0" fillId="8" borderId="0" pivotButton="0" quotePrefix="0" xfId="0"/>
    <xf numFmtId="0" fontId="26" fillId="0" borderId="0" pivotButton="0" quotePrefix="0" xfId="0"/>
    <xf numFmtId="0" fontId="25" fillId="7" borderId="0" applyAlignment="1" pivotButton="0" quotePrefix="0" xfId="0">
      <alignment horizontal="left" vertical="center" wrapText="1"/>
    </xf>
    <xf numFmtId="0" fontId="0" fillId="7" borderId="0" pivotButton="0" quotePrefix="0" xfId="0"/>
    <xf numFmtId="1" fontId="27" fillId="13" borderId="1" applyAlignment="1" pivotButton="0" quotePrefix="0" xfId="0">
      <alignment horizontal="center" vertical="center" wrapText="1"/>
    </xf>
    <xf numFmtId="1" fontId="28" fillId="13" borderId="1" applyAlignment="1" pivotButton="0" quotePrefix="0" xfId="0">
      <alignment horizontal="center" vertical="center" wrapText="1"/>
    </xf>
    <xf numFmtId="1" fontId="29" fillId="13" borderId="1" applyAlignment="1" pivotButton="0" quotePrefix="0" xfId="0">
      <alignment horizontal="center" vertical="center" wrapText="1"/>
    </xf>
    <xf numFmtId="9" fontId="30" fillId="13" borderId="1" applyAlignment="1" pivotButton="0" quotePrefix="0" xfId="0">
      <alignment horizontal="center" vertical="center" wrapText="1"/>
    </xf>
    <xf numFmtId="1" fontId="31" fillId="13" borderId="1" applyAlignment="1" pivotButton="0" quotePrefix="0" xfId="0">
      <alignment horizontal="center" vertical="center" wrapText="1"/>
    </xf>
    <xf numFmtId="1" fontId="32" fillId="13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14" fillId="14" borderId="1" applyAlignment="1" pivotButton="0" quotePrefix="0" xfId="0">
      <alignment horizontal="center" vertical="center" wrapText="1"/>
    </xf>
    <xf numFmtId="3" fontId="33" fillId="13" borderId="1" applyAlignment="1" pivotButton="0" quotePrefix="0" xfId="0">
      <alignment horizontal="center" vertical="center" wrapText="1"/>
    </xf>
    <xf numFmtId="3" fontId="34" fillId="13" borderId="1" applyAlignment="1" pivotButton="0" quotePrefix="0" xfId="0">
      <alignment horizontal="center" vertical="center" wrapText="1"/>
    </xf>
    <xf numFmtId="9" fontId="35" fillId="13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 hidden="0"/>
  </cellStyles>
  <dxfs count="12">
    <dxf>
      <font>
        <name val="Segoe UI"/>
        <b val="1"/>
        <color rgb="00C00000"/>
        <sz val="11"/>
      </font>
      <fill>
        <patternFill patternType="solid">
          <fgColor rgb="00FFC7CE"/>
        </patternFill>
      </fill>
    </dxf>
    <dxf>
      <font>
        <name val="Segoe UI"/>
        <b val="1"/>
        <color rgb="009C6500"/>
        <sz val="11"/>
      </font>
      <fill>
        <patternFill patternType="solid">
          <fgColor rgb="00FFEB9C"/>
        </patternFill>
      </fill>
    </dxf>
    <dxf>
      <font>
        <name val="Segoe UI"/>
        <b val="1"/>
        <color rgb="00548235"/>
        <sz val="11"/>
      </font>
      <fill>
        <patternFill patternType="solid">
          <fgColor rgb="00C6EFCE"/>
        </patternFill>
      </fill>
    </dxf>
    <dxf>
      <font>
        <name val="Segoe UI"/>
        <b val="1"/>
        <color rgb="003F3F3F"/>
        <sz val="11"/>
      </font>
      <fill>
        <patternFill patternType="solid">
          <fgColor rgb="00D9D9D9"/>
        </patternFill>
      </fill>
    </dxf>
    <dxf>
      <fill>
        <patternFill patternType="solid">
          <fgColor rgb="001F8A8A"/>
        </patternFill>
      </fill>
    </dxf>
    <dxf>
      <fill>
        <patternFill patternType="solid">
          <fgColor rgb="001F3864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D9D9D9"/>
        </patternFill>
      </fill>
    </dxf>
    <dxf>
      <font>
        <name val="Segoe UI"/>
        <color rgb="00C00000"/>
        <sz val="11"/>
      </font>
      <fill>
        <patternFill patternType="solid">
          <fgColor rgb="00FFC7CE"/>
        </patternFill>
      </fill>
    </dxf>
    <dxf>
      <font>
        <name val="Segoe UI"/>
        <color rgb="00548235"/>
        <sz val="11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Sigma level vs target</a:t>
            </a:r>
          </a:p>
        </rich>
      </tx>
    </title>
    <plotArea>
      <lineChart>
        <grouping val="standard"/>
        <ser>
          <idx val="0"/>
          <order val="0"/>
          <tx>
            <strRef>
              <f>'8. SIX_SIGMA'!G3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'8. SIX_SIGMA'!$A$4:$A$11</f>
            </numRef>
          </cat>
          <val>
            <numRef>
              <f>'8. SIX_SIGMA'!$G$4:$G$11</f>
            </numRef>
          </val>
        </ser>
        <ser>
          <idx val="1"/>
          <order val="1"/>
          <tx>
            <strRef>
              <f>'8. SIX_SIGMA'!H3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'8. SIX_SIGMA'!$A$4:$A$11</f>
            </numRef>
          </cat>
          <val>
            <numRef>
              <f>'8. SIX_SIGMA'!$H$4:$H$11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Defect % trend</a:t>
            </a:r>
          </a:p>
        </rich>
      </tx>
    </title>
    <plotArea>
      <lineChart>
        <grouping val="standard"/>
        <ser>
          <idx val="0"/>
          <order val="0"/>
          <tx>
            <strRef>
              <f>'8. SIX_SIGMA'!E3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'8. SIX_SIGMA'!$A$4:$A$11</f>
            </numRef>
          </cat>
          <val>
            <numRef>
              <f>'8. SIX_SIGMA'!$E$4:$E$11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Budget: Estimate vs Actual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'10. BUDGET'!J8</f>
            </strRef>
          </tx>
          <spPr>
            <a:ln>
              <a:prstDash val="solid"/>
            </a:ln>
          </spPr>
          <cat>
            <numRef>
              <f>'10. BUDGET'!$I$9:$I$15</f>
            </numRef>
          </cat>
          <val>
            <numRef>
              <f>'10. BUDGET'!$J$9:$J$15</f>
            </numRef>
          </val>
        </ser>
        <ser>
          <idx val="1"/>
          <order val="1"/>
          <tx>
            <strRef>
              <f>'10. BUDGET'!K8</f>
            </strRef>
          </tx>
          <spPr>
            <a:ln>
              <a:prstDash val="solid"/>
            </a:ln>
          </spPr>
          <cat>
            <numRef>
              <f>'10. BUDGET'!$I$9:$I$15</f>
            </numRef>
          </cat>
          <val>
            <numRef>
              <f>'10. BUDGET'!$K$9:$K$15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Cases by selected grouping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'DASHBOARD'!C14</f>
            </strRef>
          </tx>
          <spPr>
            <a:ln>
              <a:prstDash val="solid"/>
            </a:ln>
          </spPr>
          <cat>
            <numRef>
              <f>'DASHBOARD'!$B$15:$B$22</f>
            </numRef>
          </cat>
          <val>
            <numRef>
              <f>'DASHBOARD'!$C$15:$C$22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mix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'DASHBOARD'!$B$27:$B$32</f>
            </numRef>
          </cat>
          <val>
            <numRef>
              <f>'DASHBOARD'!$C$27:$C$32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Risk exposure (RPN) by category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'DASHBOARD'!$K$27:$K$34</f>
            </numRef>
          </cat>
          <val>
            <numRef>
              <f>'DASHBOARD'!$L$27:$L$34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Relationship Type="http://schemas.openxmlformats.org/officeDocument/2006/relationships/chart" Target="/xl/charts/chart6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26</row>
      <rowOff>0</rowOff>
    </from>
    <ext cx="32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13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NFIG'!A1" TargetMode="External" Id="rId1" /><Relationship Type="http://schemas.openxmlformats.org/officeDocument/2006/relationships/hyperlink" Target="#'1. MASTER_ENTRY'!A1" TargetMode="External" Id="rId2" /><Relationship Type="http://schemas.openxmlformats.org/officeDocument/2006/relationships/hyperlink" Target="#'2. PM_TASKS'!A1" TargetMode="External" Id="rId3" /><Relationship Type="http://schemas.openxmlformats.org/officeDocument/2006/relationships/hyperlink" Target="#'3. RISK_REGISTER'!A1" TargetMode="External" Id="rId4" /><Relationship Type="http://schemas.openxmlformats.org/officeDocument/2006/relationships/hyperlink" Target="#'4. FMEA'!A1" TargetMode="External" Id="rId5" /><Relationship Type="http://schemas.openxmlformats.org/officeDocument/2006/relationships/hyperlink" Target="#'5. PDCA'!A1" TargetMode="External" Id="rId6" /><Relationship Type="http://schemas.openxmlformats.org/officeDocument/2006/relationships/hyperlink" Target="#'6. ACTION_LOG'!A1" TargetMode="External" Id="rId7" /><Relationship Type="http://schemas.openxmlformats.org/officeDocument/2006/relationships/hyperlink" Target="#'7. TIMELINE'!A1" TargetMode="External" Id="rId8" /><Relationship Type="http://schemas.openxmlformats.org/officeDocument/2006/relationships/hyperlink" Target="#'8. SIX_SIGMA'!A1" TargetMode="External" Id="rId9" /><Relationship Type="http://schemas.openxmlformats.org/officeDocument/2006/relationships/hyperlink" Target="#'9. STAKEHOLDERS'!A1" TargetMode="External" Id="rId10" /><Relationship Type="http://schemas.openxmlformats.org/officeDocument/2006/relationships/hyperlink" Target="#'10. BUDGET'!A1" TargetMode="External" Id="rId11" /><Relationship Type="http://schemas.openxmlformats.org/officeDocument/2006/relationships/hyperlink" Target="#'DASHBOARD'!A1" TargetMode="External" Id="rId12" /><Relationship Type="http://schemas.openxmlformats.org/officeDocument/2006/relationships/hyperlink" Target="#'AI_ASSISTANT'!A1" TargetMode="External" Id="rId13" /><Relationship Type="http://schemas.openxmlformats.org/officeDocument/2006/relationships/hyperlink" Target="#'EXEC REPORT'!A1" TargetMode="External" Id="rId14" /><Relationship Type="http://schemas.openxmlformats.org/officeDocument/2006/relationships/hyperlink" Target="#'GLOSSARY'!A1" TargetMode="External" Id="rId15" /><Relationship Type="http://schemas.openxmlformats.org/officeDocument/2006/relationships/hyperlink" Target="#'CHANGELOG'!A1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6" customHeight="1">
      <c r="A1" s="1" t="inlineStr">
        <is>
          <t xml:space="preserve">  QI INTELLIGENCE PLATFORM v9  -  professional, choose-only, integrated</t>
        </is>
      </c>
    </row>
    <row r="2" ht="20" customHeight="1">
      <c r="A2" s="2" t="inlineStr">
        <is>
          <t xml:space="preserve">  Graphical - AI-assisted - every sheet linked. You only ever pick from dropdowns.</t>
        </is>
      </c>
    </row>
    <row r="3">
      <c r="B3" s="3">
        <f>" Project:  "&amp;CONFIG!$C$5&amp;"      Status:  "&amp;CONFIG!$C$11</f>
        <v/>
      </c>
    </row>
    <row r="5">
      <c r="B5" s="4" t="inlineStr">
        <is>
          <t>CASES</t>
        </is>
      </c>
      <c r="C5" s="5" t="n"/>
      <c r="D5" s="6" t="inlineStr">
        <is>
          <t>CRITICAL</t>
        </is>
      </c>
      <c r="E5" s="5" t="n"/>
      <c r="F5" s="7" t="inlineStr">
        <is>
          <t>OPEN</t>
        </is>
      </c>
      <c r="G5" s="5" t="n"/>
      <c r="H5" s="8" t="inlineStr">
        <is>
          <t>AVG % DONE</t>
        </is>
      </c>
      <c r="I5" s="5" t="n"/>
    </row>
    <row r="6" ht="24" customHeight="1">
      <c r="B6" s="9">
        <f>COUNT('1. MASTER_ENTRY'!$V$4:$V$63)</f>
        <v/>
      </c>
      <c r="C6" s="5" t="n"/>
      <c r="D6" s="10">
        <f>COUNTIF('1. MASTER_ENTRY'!$I$4:$I$63,"&gt;=200")</f>
        <v/>
      </c>
      <c r="E6" s="5" t="n"/>
      <c r="F6" s="11">
        <f>COUNTIF('1. MASTER_ENTRY'!$R$4:$R$63,"OPEN")+COUNTIF('1. MASTER_ENTRY'!$R$4:$R$63,"IN PROGRESS")+COUNTIF('1. MASTER_ENTRY'!$R$4:$R$63,"ON HOLD")+COUNTIF('1. MASTER_ENTRY'!$R$4:$R$63,"BLOCKED")</f>
        <v/>
      </c>
      <c r="G6" s="5" t="n"/>
      <c r="H6" s="12">
        <f>IFERROR(AVERAGE('1. MASTER_ENTRY'!$S$4:$S$63),0)</f>
        <v/>
      </c>
      <c r="I6" s="5" t="n"/>
    </row>
    <row r="8">
      <c r="B8" s="13" t="inlineStr">
        <is>
          <t>HOW IT WORKS</t>
        </is>
      </c>
    </row>
    <row r="9">
      <c r="B9" s="14" t="inlineStr">
        <is>
          <t>1</t>
        </is>
      </c>
      <c r="C9" s="15" t="inlineStr">
        <is>
          <t>Set up your project on  'CONFIG'  (project details + team roster - the only sheet you type names on).</t>
        </is>
      </c>
    </row>
    <row r="10">
      <c r="B10" s="14" t="inlineStr">
        <is>
          <t>2</t>
        </is>
      </c>
      <c r="C10" s="15" t="inlineStr">
        <is>
          <t>Open  '1. MASTER_ENTRY'  and fill ONE row by clicking the dropdown arrows (yellow cells only).</t>
        </is>
      </c>
    </row>
    <row r="11">
      <c r="B11" s="14" t="inlineStr">
        <is>
          <t>3</t>
        </is>
      </c>
      <c r="C11" s="15" t="inlineStr">
        <is>
          <t>RPN, timing, health, budget links and an AI recommendation calculate instantly.</t>
        </is>
      </c>
    </row>
    <row r="12">
      <c r="B12" s="14" t="inlineStr">
        <is>
          <t>4</t>
        </is>
      </c>
      <c r="C12" s="15" t="inlineStr">
        <is>
          <t>That single case auto-creates a PM task, scored risk, FMEA line, PDCA cycle, action-log entry, Gantt bar and budget line.</t>
        </is>
      </c>
    </row>
    <row r="13">
      <c r="B13" s="14" t="inlineStr">
        <is>
          <t>5</t>
        </is>
      </c>
      <c r="C13" s="15" t="inlineStr">
        <is>
          <t>Open  'DASHBOARD' / 'EXEC REPORT'  for live KPIs &amp; charts, and  'AI_ASSISTANT'  for the ranked action queue.</t>
        </is>
      </c>
    </row>
    <row r="14">
      <c r="B14" s="13" t="inlineStr">
        <is>
          <t>LEGEND</t>
        </is>
      </c>
    </row>
    <row r="15">
      <c r="B15" s="16" t="inlineStr">
        <is>
          <t>Yellow</t>
        </is>
      </c>
      <c r="C15" s="15" t="inlineStr">
        <is>
          <t>cells = choose from dropdown (the only cells you can edit)</t>
        </is>
      </c>
    </row>
    <row r="16">
      <c r="B16" s="17" t="inlineStr">
        <is>
          <t>Green</t>
        </is>
      </c>
      <c r="C16" s="15" t="inlineStr">
        <is>
          <t>cells = auto-calculated</t>
        </is>
      </c>
    </row>
    <row r="17">
      <c r="B17" s="18" t="inlineStr">
        <is>
          <t>Locked</t>
        </is>
      </c>
      <c r="C17" s="15" t="inlineStr">
        <is>
          <t>cells = read-only (all sheets protected; Review &gt; Unprotect Sheet to change layout)</t>
        </is>
      </c>
    </row>
    <row r="18">
      <c r="B18" s="13" t="inlineStr">
        <is>
          <t>NAVIGATION</t>
        </is>
      </c>
    </row>
    <row r="19">
      <c r="C19" s="19" t="inlineStr">
        <is>
          <t>&gt;  CONFIG</t>
        </is>
      </c>
    </row>
    <row r="20">
      <c r="C20" s="19" t="inlineStr">
        <is>
          <t>&gt;  1. MASTER_ENTRY</t>
        </is>
      </c>
    </row>
    <row r="21">
      <c r="C21" s="19" t="inlineStr">
        <is>
          <t>&gt;  2. PM_TASKS</t>
        </is>
      </c>
    </row>
    <row r="22">
      <c r="C22" s="19" t="inlineStr">
        <is>
          <t>&gt;  3. RISK_REGISTER</t>
        </is>
      </c>
    </row>
    <row r="23">
      <c r="C23" s="19" t="inlineStr">
        <is>
          <t>&gt;  4. FMEA</t>
        </is>
      </c>
    </row>
    <row r="24">
      <c r="C24" s="19" t="inlineStr">
        <is>
          <t>&gt;  5. PDCA</t>
        </is>
      </c>
    </row>
    <row r="25">
      <c r="C25" s="19" t="inlineStr">
        <is>
          <t>&gt;  6. ACTION_LOG</t>
        </is>
      </c>
    </row>
    <row r="26">
      <c r="C26" s="19" t="inlineStr">
        <is>
          <t>&gt;  7. TIMELINE</t>
        </is>
      </c>
    </row>
    <row r="27">
      <c r="C27" s="19" t="inlineStr">
        <is>
          <t>&gt;  8. SIX_SIGMA</t>
        </is>
      </c>
    </row>
    <row r="28">
      <c r="C28" s="19" t="inlineStr">
        <is>
          <t>&gt;  9. STAKEHOLDERS</t>
        </is>
      </c>
    </row>
    <row r="29">
      <c r="C29" s="19" t="inlineStr">
        <is>
          <t>&gt;  10. BUDGET</t>
        </is>
      </c>
    </row>
    <row r="30">
      <c r="C30" s="19" t="inlineStr">
        <is>
          <t>&gt;  DASHBOARD</t>
        </is>
      </c>
    </row>
    <row r="31">
      <c r="C31" s="19" t="inlineStr">
        <is>
          <t>&gt;  AI_ASSISTANT</t>
        </is>
      </c>
    </row>
    <row r="32">
      <c r="C32" s="19" t="inlineStr">
        <is>
          <t>&gt;  EXEC REPORT</t>
        </is>
      </c>
    </row>
    <row r="33">
      <c r="C33" s="19" t="inlineStr">
        <is>
          <t>&gt;  GLOSSARY</t>
        </is>
      </c>
    </row>
    <row r="34">
      <c r="C34" s="19" t="inlineStr">
        <is>
          <t>&gt;  CHANGELOG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22">
    <mergeCell ref="C10:H10"/>
    <mergeCell ref="C16:H16"/>
    <mergeCell ref="C9:H9"/>
    <mergeCell ref="F6:G6"/>
    <mergeCell ref="A1:H1"/>
    <mergeCell ref="C12:H12"/>
    <mergeCell ref="D6:E6"/>
    <mergeCell ref="C11:H11"/>
    <mergeCell ref="H6:I6"/>
    <mergeCell ref="F5:G5"/>
    <mergeCell ref="C17:H17"/>
    <mergeCell ref="B3:H3"/>
    <mergeCell ref="B18:H18"/>
    <mergeCell ref="C13:H13"/>
    <mergeCell ref="A2:H2"/>
    <mergeCell ref="C15:H15"/>
    <mergeCell ref="B6:C6"/>
    <mergeCell ref="B8:H8"/>
    <mergeCell ref="B14:H14"/>
    <mergeCell ref="B5:C5"/>
    <mergeCell ref="D5:E5"/>
    <mergeCell ref="H5:I5"/>
  </mergeCells>
  <hyperlinks>
    <hyperlink xmlns:r="http://schemas.openxmlformats.org/officeDocument/2006/relationships" ref="C19" r:id="rId1"/>
    <hyperlink xmlns:r="http://schemas.openxmlformats.org/officeDocument/2006/relationships" ref="C20" r:id="rId2"/>
    <hyperlink xmlns:r="http://schemas.openxmlformats.org/officeDocument/2006/relationships" ref="C21" r:id="rId3"/>
    <hyperlink xmlns:r="http://schemas.openxmlformats.org/officeDocument/2006/relationships" ref="C22" r:id="rId4"/>
    <hyperlink xmlns:r="http://schemas.openxmlformats.org/officeDocument/2006/relationships" ref="C23" r:id="rId5"/>
    <hyperlink xmlns:r="http://schemas.openxmlformats.org/officeDocument/2006/relationships" ref="C24" r:id="rId6"/>
    <hyperlink xmlns:r="http://schemas.openxmlformats.org/officeDocument/2006/relationships" ref="C25" r:id="rId7"/>
    <hyperlink xmlns:r="http://schemas.openxmlformats.org/officeDocument/2006/relationships" ref="C26" r:id="rId8"/>
    <hyperlink xmlns:r="http://schemas.openxmlformats.org/officeDocument/2006/relationships" ref="C27" r:id="rId9"/>
    <hyperlink xmlns:r="http://schemas.openxmlformats.org/officeDocument/2006/relationships" ref="C28" r:id="rId10"/>
    <hyperlink xmlns:r="http://schemas.openxmlformats.org/officeDocument/2006/relationships" ref="C29" r:id="rId11"/>
    <hyperlink xmlns:r="http://schemas.openxmlformats.org/officeDocument/2006/relationships" ref="C30" r:id="rId12"/>
    <hyperlink xmlns:r="http://schemas.openxmlformats.org/officeDocument/2006/relationships" ref="C31" r:id="rId13"/>
    <hyperlink xmlns:r="http://schemas.openxmlformats.org/officeDocument/2006/relationships" ref="C32" r:id="rId14"/>
    <hyperlink xmlns:r="http://schemas.openxmlformats.org/officeDocument/2006/relationships" ref="C33" r:id="rId15"/>
    <hyperlink xmlns:r="http://schemas.openxmlformats.org/officeDocument/2006/relationships" ref="C34" r:id="rId16"/>
  </hyperlinks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6" customWidth="1" min="3" max="3"/>
    <col width="30" customWidth="1" min="4" max="4"/>
    <col width="14" customWidth="1" min="5" max="5"/>
    <col width="14" customWidth="1" min="6" max="6"/>
  </cols>
  <sheetData>
    <row r="1" ht="36" customHeight="1">
      <c r="A1" s="20" t="inlineStr">
        <is>
          <t xml:space="preserve">  PROJECT CONFIGURATION  -  set up once</t>
        </is>
      </c>
    </row>
    <row r="2" ht="20" customHeight="1">
      <c r="A2" s="2" t="inlineStr">
        <is>
          <t xml:space="preserve">  Fill the project details and your team roster. Team names populate the Owner dropdowns everywhere.</t>
        </is>
      </c>
    </row>
    <row r="4">
      <c r="B4" s="21" t="inlineStr">
        <is>
          <t>PROJECT INFORMATION</t>
        </is>
      </c>
    </row>
    <row r="5">
      <c r="B5" s="22" t="inlineStr">
        <is>
          <t>Project Name</t>
        </is>
      </c>
      <c r="C5" s="23" t="inlineStr">
        <is>
          <t>QI Intelligence Program</t>
        </is>
      </c>
      <c r="D5" s="24" t="n"/>
      <c r="E5" s="24" t="n"/>
      <c r="F5" s="25" t="n"/>
    </row>
    <row r="6">
      <c r="B6" s="22" t="inlineStr">
        <is>
          <t>Project Sponsor</t>
        </is>
      </c>
      <c r="C6" s="23" t="inlineStr">
        <is>
          <t>&lt;name&gt;</t>
        </is>
      </c>
      <c r="D6" s="24" t="n"/>
      <c r="E6" s="24" t="n"/>
      <c r="F6" s="25" t="n"/>
    </row>
    <row r="7">
      <c r="B7" s="22" t="inlineStr">
        <is>
          <t>Project Manager</t>
        </is>
      </c>
      <c r="C7" s="23" t="inlineStr">
        <is>
          <t>&lt;name&gt;</t>
        </is>
      </c>
      <c r="D7" s="24" t="n"/>
      <c r="E7" s="24" t="n"/>
      <c r="F7" s="25" t="n"/>
    </row>
    <row r="8">
      <c r="B8" s="22" t="inlineStr">
        <is>
          <t>Organization / Dept</t>
        </is>
      </c>
      <c r="C8" s="23" t="inlineStr">
        <is>
          <t>Engineering</t>
        </is>
      </c>
      <c r="D8" s="24" t="n"/>
      <c r="E8" s="24" t="n"/>
      <c r="F8" s="25" t="n"/>
    </row>
    <row r="9">
      <c r="B9" s="22" t="inlineStr">
        <is>
          <t>Program Start</t>
        </is>
      </c>
      <c r="C9" s="26" t="n">
        <v>46174</v>
      </c>
      <c r="D9" s="24" t="n"/>
      <c r="E9" s="24" t="n"/>
      <c r="F9" s="25" t="n"/>
    </row>
    <row r="10">
      <c r="B10" s="22" t="inlineStr">
        <is>
          <t>Target End</t>
        </is>
      </c>
      <c r="C10" s="26" t="n">
        <v>46387</v>
      </c>
      <c r="D10" s="24" t="n"/>
      <c r="E10" s="24" t="n"/>
      <c r="F10" s="25" t="n"/>
    </row>
    <row r="11">
      <c r="B11" s="22" t="inlineStr">
        <is>
          <t>Overall Status</t>
        </is>
      </c>
      <c r="C11" s="23" t="inlineStr">
        <is>
          <t>IN PROGRESS</t>
        </is>
      </c>
      <c r="D11" s="24" t="n"/>
      <c r="E11" s="24" t="n"/>
      <c r="F11" s="25" t="n"/>
    </row>
    <row r="12">
      <c r="B12" s="22" t="inlineStr">
        <is>
          <t>Platform Version</t>
        </is>
      </c>
      <c r="C12" s="23" t="inlineStr">
        <is>
          <t>v9.0</t>
        </is>
      </c>
      <c r="D12" s="24" t="n"/>
      <c r="E12" s="24" t="n"/>
      <c r="F12" s="25" t="n"/>
    </row>
    <row r="13">
      <c r="B13" s="21" t="inlineStr">
        <is>
          <t>TEAM ROSTER  (these names appear in every Owner dropdown)</t>
        </is>
      </c>
    </row>
    <row r="14">
      <c r="B14" s="27" t="inlineStr">
        <is>
          <t>NAME / OWNER</t>
        </is>
      </c>
      <c r="C14" s="27" t="inlineStr">
        <is>
          <t>ROLE</t>
        </is>
      </c>
      <c r="D14" s="27" t="inlineStr">
        <is>
          <t>EMAIL</t>
        </is>
      </c>
    </row>
    <row r="15">
      <c r="B15" s="23" t="inlineStr">
        <is>
          <t>PM</t>
        </is>
      </c>
      <c r="C15" s="23" t="inlineStr">
        <is>
          <t>PM</t>
        </is>
      </c>
      <c r="D15" s="23" t="n"/>
    </row>
    <row r="16">
      <c r="B16" s="23" t="inlineStr">
        <is>
          <t>Dev Lead</t>
        </is>
      </c>
      <c r="C16" s="23" t="inlineStr">
        <is>
          <t>Dev Lead</t>
        </is>
      </c>
      <c r="D16" s="23" t="n"/>
    </row>
    <row r="17">
      <c r="B17" s="23" t="inlineStr">
        <is>
          <t>QA Lead</t>
        </is>
      </c>
      <c r="C17" s="23" t="inlineStr">
        <is>
          <t>QA Lead</t>
        </is>
      </c>
      <c r="D17" s="23" t="n"/>
    </row>
    <row r="18">
      <c r="B18" s="23" t="inlineStr">
        <is>
          <t>Ops Lead</t>
        </is>
      </c>
      <c r="C18" s="23" t="inlineStr">
        <is>
          <t>Ops Lead</t>
        </is>
      </c>
      <c r="D18" s="23" t="n"/>
    </row>
    <row r="19">
      <c r="B19" s="23" t="inlineStr">
        <is>
          <t>Architect</t>
        </is>
      </c>
      <c r="C19" s="23" t="inlineStr">
        <is>
          <t>Architect</t>
        </is>
      </c>
      <c r="D19" s="23" t="n"/>
    </row>
    <row r="20">
      <c r="B20" s="23" t="inlineStr">
        <is>
          <t>BA</t>
        </is>
      </c>
      <c r="C20" s="23" t="inlineStr">
        <is>
          <t>BA</t>
        </is>
      </c>
      <c r="D20" s="23" t="n"/>
    </row>
    <row r="21">
      <c r="B21" s="23" t="inlineStr">
        <is>
          <t>Team Lead</t>
        </is>
      </c>
      <c r="C21" s="23" t="inlineStr">
        <is>
          <t>Team Lead</t>
        </is>
      </c>
      <c r="D21" s="23" t="n"/>
    </row>
    <row r="22">
      <c r="B22" s="23" t="inlineStr">
        <is>
          <t>Process Owner</t>
        </is>
      </c>
      <c r="C22" s="23" t="inlineStr">
        <is>
          <t>Process Owner</t>
        </is>
      </c>
      <c r="D22" s="23" t="n"/>
    </row>
    <row r="23">
      <c r="B23" s="23" t="inlineStr">
        <is>
          <t>DevOps</t>
        </is>
      </c>
      <c r="C23" s="23" t="inlineStr">
        <is>
          <t>DevOps</t>
        </is>
      </c>
      <c r="D23" s="23" t="n"/>
    </row>
    <row r="24">
      <c r="B24" s="23" t="inlineStr">
        <is>
          <t>Tech Lead</t>
        </is>
      </c>
      <c r="C24" s="23" t="inlineStr">
        <is>
          <t>Tech Lead</t>
        </is>
      </c>
      <c r="D24" s="23" t="n"/>
    </row>
    <row r="25">
      <c r="B25" s="23" t="inlineStr">
        <is>
          <t>Engineering Lead</t>
        </is>
      </c>
      <c r="C25" s="23" t="inlineStr">
        <is>
          <t>Engineering Lead</t>
        </is>
      </c>
      <c r="D25" s="23" t="n"/>
    </row>
    <row r="26">
      <c r="B26" s="23" t="inlineStr">
        <is>
          <t>Quality Manager</t>
        </is>
      </c>
      <c r="C26" s="23" t="inlineStr">
        <is>
          <t>Quality Manager</t>
        </is>
      </c>
      <c r="D26" s="23" t="n"/>
    </row>
    <row r="27">
      <c r="B27" s="23" t="n"/>
      <c r="C27" s="23" t="n"/>
      <c r="D27" s="23" t="n"/>
    </row>
    <row r="28">
      <c r="B28" s="23" t="n"/>
      <c r="C28" s="23" t="n"/>
      <c r="D28" s="23" t="n"/>
    </row>
    <row r="29">
      <c r="B29" s="23" t="n"/>
      <c r="C29" s="23" t="n"/>
      <c r="D29" s="23" t="n"/>
    </row>
    <row r="30">
      <c r="B30" s="23" t="n"/>
      <c r="C30" s="23" t="n"/>
      <c r="D30" s="23" t="n"/>
    </row>
    <row r="31">
      <c r="B31" s="23" t="n"/>
      <c r="C31" s="23" t="n"/>
      <c r="D31" s="23" t="n"/>
    </row>
    <row r="32">
      <c r="B32" s="23" t="n"/>
      <c r="C32" s="23" t="n"/>
      <c r="D32" s="23" t="n"/>
    </row>
    <row r="33">
      <c r="B33" s="23" t="n"/>
      <c r="C33" s="23" t="n"/>
      <c r="D33" s="23" t="n"/>
    </row>
    <row r="34">
      <c r="B34" s="23" t="n"/>
      <c r="C34" s="23" t="n"/>
      <c r="D34" s="23" t="n"/>
    </row>
    <row r="35">
      <c r="B35" s="23" t="n"/>
      <c r="C35" s="23" t="n"/>
      <c r="D35" s="23" t="n"/>
    </row>
    <row r="36">
      <c r="B36" s="23" t="n"/>
      <c r="C36" s="23" t="n"/>
      <c r="D36" s="23" t="n"/>
    </row>
    <row r="37">
      <c r="B37" s="23" t="n"/>
      <c r="C37" s="23" t="n"/>
      <c r="D37" s="23" t="n"/>
    </row>
    <row r="38">
      <c r="B38" s="23" t="n"/>
      <c r="C38" s="23" t="n"/>
      <c r="D38" s="23" t="n"/>
    </row>
    <row r="39">
      <c r="B39" s="23" t="n"/>
      <c r="C39" s="23" t="n"/>
      <c r="D39" s="2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12">
    <mergeCell ref="B4:F4"/>
    <mergeCell ref="A2:F2"/>
    <mergeCell ref="C9:F9"/>
    <mergeCell ref="C8:F8"/>
    <mergeCell ref="A1:F1"/>
    <mergeCell ref="C12:F12"/>
    <mergeCell ref="C6:F6"/>
    <mergeCell ref="C7:F7"/>
    <mergeCell ref="C11:F11"/>
    <mergeCell ref="C10:F10"/>
    <mergeCell ref="C5:F5"/>
    <mergeCell ref="B13:F13"/>
  </mergeCells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A1:V6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40" customWidth="1" min="3" max="3"/>
    <col width="17" customWidth="1" min="4" max="4"/>
    <col width="12" customWidth="1" min="5" max="5"/>
    <col width="6" customWidth="1" min="6" max="6"/>
    <col width="6" customWidth="1" min="7" max="7"/>
    <col width="6" customWidth="1" min="8" max="8"/>
    <col width="8" customWidth="1" min="9" max="9"/>
    <col width="12" customWidth="1" min="10" max="10"/>
    <col width="34" customWidth="1" min="11" max="11"/>
    <col width="22" customWidth="1" min="12" max="12"/>
    <col width="16" customWidth="1" min="13" max="13"/>
    <col width="34" customWidth="1" min="14" max="14"/>
    <col width="11" customWidth="1" min="15" max="15"/>
    <col width="9" customWidth="1" min="16" max="16"/>
    <col width="11" customWidth="1" min="17" max="17"/>
    <col width="13" customWidth="1" min="18" max="18"/>
    <col width="7" customWidth="1" min="19" max="19"/>
    <col width="12" customWidth="1" min="20" max="20"/>
    <col width="56" customWidth="1" min="21" max="21"/>
    <col hidden="1" width="13" customWidth="1" min="22" max="22"/>
  </cols>
  <sheetData>
    <row r="1" ht="36" customHeight="1">
      <c r="A1" s="1" t="inlineStr">
        <is>
          <t xml:space="preserve">  CHOOSE-ONLY MASTER ENTRY  -  register a case once, the platform updates</t>
        </is>
      </c>
    </row>
    <row r="2" ht="20" customHeight="1">
      <c r="A2" s="2" t="inlineStr">
        <is>
          <t xml:space="preserve">  Click dropdowns in the YELLOW columns only. GREEN columns auto-calculate. Each row drives every other sheet.</t>
        </is>
      </c>
    </row>
    <row r="3" ht="30" customHeight="1">
      <c r="A3" s="28" t="inlineStr">
        <is>
          <t>CASE ID
(auto)</t>
        </is>
      </c>
      <c r="B3" s="28" t="inlineStr">
        <is>
          <t>DATE
LOGGED</t>
        </is>
      </c>
      <c r="C3" s="28" t="inlineStr">
        <is>
          <t>PROBLEM / CHALLENGE STATEMENT</t>
        </is>
      </c>
      <c r="D3" s="28" t="inlineStr">
        <is>
          <t>CATEGORY</t>
        </is>
      </c>
      <c r="E3" s="28" t="inlineStr">
        <is>
          <t>PRIORITY</t>
        </is>
      </c>
      <c r="F3" s="28" t="inlineStr">
        <is>
          <t>SEV
1-10</t>
        </is>
      </c>
      <c r="G3" s="28" t="inlineStr">
        <is>
          <t>OCC
1-10</t>
        </is>
      </c>
      <c r="H3" s="28" t="inlineStr">
        <is>
          <t>DET
1-10</t>
        </is>
      </c>
      <c r="I3" s="28" t="inlineStr">
        <is>
          <t>RPN
(auto)</t>
        </is>
      </c>
      <c r="J3" s="28" t="inlineStr">
        <is>
          <t>RPN BAND
(auto)</t>
        </is>
      </c>
      <c r="K3" s="28" t="inlineStr">
        <is>
          <t>ROOT CAUSE HYPOTHESIS</t>
        </is>
      </c>
      <c r="L3" s="28" t="inlineStr">
        <is>
          <t>LEAN METHOD</t>
        </is>
      </c>
      <c r="M3" s="28" t="inlineStr">
        <is>
          <t>OWNER</t>
        </is>
      </c>
      <c r="N3" s="28" t="inlineStr">
        <is>
          <t>TARGET OUTCOME (MEASURABLE)</t>
        </is>
      </c>
      <c r="O3" s="28" t="inlineStr">
        <is>
          <t>START
DATE</t>
        </is>
      </c>
      <c r="P3" s="28" t="inlineStr">
        <is>
          <t>EST. DAYS
(auto)</t>
        </is>
      </c>
      <c r="Q3" s="28" t="inlineStr">
        <is>
          <t>EST. END
(auto)</t>
        </is>
      </c>
      <c r="R3" s="28" t="inlineStr">
        <is>
          <t>STATUS</t>
        </is>
      </c>
      <c r="S3" s="28" t="inlineStr">
        <is>
          <t>%
DONE</t>
        </is>
      </c>
      <c r="T3" s="28" t="inlineStr">
        <is>
          <t>HEALTH
(auto)</t>
        </is>
      </c>
      <c r="U3" s="28" t="inlineStr">
        <is>
          <t>AI RECOMMENDED ACTION (auto-generated)</t>
        </is>
      </c>
    </row>
    <row r="4">
      <c r="A4" s="29">
        <f>IF($C4="","",TEXT(1,"\C\A\S\E-000"))</f>
        <v/>
      </c>
      <c r="B4" s="30" t="n">
        <v>46157</v>
      </c>
      <c r="C4" s="23" t="inlineStr">
        <is>
          <t>Delivery targets missed 20% consistently</t>
        </is>
      </c>
      <c r="D4" s="31" t="inlineStr">
        <is>
          <t>Delivery / Schedule</t>
        </is>
      </c>
      <c r="E4" s="31" t="inlineStr">
        <is>
          <t>1-CRITICAL</t>
        </is>
      </c>
      <c r="F4" s="31" t="n">
        <v>8</v>
      </c>
      <c r="G4" s="31" t="n">
        <v>7</v>
      </c>
      <c r="H4" s="31" t="n">
        <v>6</v>
      </c>
      <c r="I4" s="29">
        <f>IF($C4="","",IF(COUNT(F4,G4,H4)=3,F4*G4*H4,""))</f>
        <v/>
      </c>
      <c r="J4" s="29">
        <f>IF($I4="","",IF($I4&gt;=200,"1-CRITICAL",IF($I4&gt;=100,"2-HIGH",IF($I4&gt;=50,"3-MEDIUM","4-LOW"))))</f>
        <v/>
      </c>
      <c r="K4" s="23" t="inlineStr">
        <is>
          <t>Handoff delays invisible; no WIP limits</t>
        </is>
      </c>
      <c r="L4" s="31" t="inlineStr">
        <is>
          <t>Value Stream Mapping</t>
        </is>
      </c>
      <c r="M4" s="31" t="inlineStr">
        <is>
          <t>PM</t>
        </is>
      </c>
      <c r="N4" s="23" t="inlineStr">
        <is>
          <t>On-time delivery &gt;95% in 8 weeks</t>
        </is>
      </c>
      <c r="O4" s="30" t="n">
        <v>46174</v>
      </c>
      <c r="P4" s="29">
        <f>IF($C4="","",ROUND(IF($E4="1-CRITICAL",7,IF($E4="2-HIGH",14,IF($E4="3-MEDIUM",30,45)))*(1+IF($I4="",0,$I4)/400),0))</f>
        <v/>
      </c>
      <c r="Q4" s="32">
        <f>IF(OR($C4="",$O4=""),"",$O4+$P4)</f>
        <v/>
      </c>
      <c r="R4" s="31" t="inlineStr">
        <is>
          <t>IN PROGRESS</t>
        </is>
      </c>
      <c r="S4" s="33" t="n">
        <v>0.2</v>
      </c>
      <c r="T4" s="29">
        <f>IF($C4="","",IF($R4="CLOSED","Closed",IF($R4="RESOLVED","Resolved",IF($R4="BLOCKED","BLOCKED",IF($I4&gt;=200,"CRITICAL",IF($I4&gt;=100,"High",IF($E4="1-CRITICAL","High","On track")))))))</f>
        <v/>
      </c>
      <c r="U4" s="34">
        <f>IF($C4="","",IF($R4="CLOSED","Closed - capture lessons learned in PDCA Act phase.",IF($I4&gt;=200,"CRITICAL (RPN "&amp;$I4&amp;"): Escalate today. Open FMEA action + daily PDCA. Owner "&amp;IF($M4="","?",$M4)&amp;". Apply "&amp;IF($L4="","a Lean method",$L4)&amp;". Close by "&amp;IF($Q4="","ASAP",TEXT($Q4,"dd-mmm"))&amp;".",IF($I4&gt;=100,"HIGH (RPN "&amp;$I4&amp;"): Add to current sprint. Mitigate via "&amp;IF($L4="","Standard Work",$L4)&amp;". Review weekly with "&amp;IF($M4="","owner",$M4)&amp;".",IF(OR($E4="1-CRITICAL",$E4="2-HIGH"),"Priority case: schedule "&amp;IF($L4="","a Lean workshop",$L4)&amp;" within 2 weeks. Track to "&amp;IF($N4="","target",$N4)&amp;".","Monitor: apply "&amp;IF($L4="","standard cadence",$L4)&amp;". Re-score if conditions change.")))))</f>
        <v/>
      </c>
      <c r="V4">
        <f>IF($C4="","",IF($I4="",0,$I4)+ROW()/100000)</f>
        <v/>
      </c>
    </row>
    <row r="5">
      <c r="A5" s="29">
        <f>IF($C5="","",TEXT(2,"\C\A\S\E-000"))</f>
        <v/>
      </c>
      <c r="B5" s="30" t="n">
        <v>46157</v>
      </c>
      <c r="C5" s="23" t="inlineStr">
        <is>
          <t>Defect rate at 12% - customers complaining</t>
        </is>
      </c>
      <c r="D5" s="31" t="inlineStr">
        <is>
          <t>Quality / Defects</t>
        </is>
      </c>
      <c r="E5" s="31" t="inlineStr">
        <is>
          <t>1-CRITICAL</t>
        </is>
      </c>
      <c r="F5" s="31" t="n">
        <v>8</v>
      </c>
      <c r="G5" s="31" t="n">
        <v>7</v>
      </c>
      <c r="H5" s="31" t="n">
        <v>6</v>
      </c>
      <c r="I5" s="29">
        <f>IF($C5="","",IF(COUNT(F5,G5,H5)=3,F5*G5*H5,""))</f>
        <v/>
      </c>
      <c r="J5" s="29">
        <f>IF($I5="","",IF($I5&gt;=200,"1-CRITICAL",IF($I5&gt;=100,"2-HIGH",IF($I5&gt;=50,"3-MEDIUM","4-LOW"))))</f>
        <v/>
      </c>
      <c r="K5" s="23" t="inlineStr">
        <is>
          <t>No quality check at source</t>
        </is>
      </c>
      <c r="L5" s="31" t="inlineStr">
        <is>
          <t>PDCA</t>
        </is>
      </c>
      <c r="M5" s="31" t="inlineStr">
        <is>
          <t>PM</t>
        </is>
      </c>
      <c r="N5" s="23" t="inlineStr">
        <is>
          <t>Zero defect escapes within 4 weeks</t>
        </is>
      </c>
      <c r="O5" s="30" t="n">
        <v>46174</v>
      </c>
      <c r="P5" s="29">
        <f>IF($C5="","",ROUND(IF($E5="1-CRITICAL",7,IF($E5="2-HIGH",14,IF($E5="3-MEDIUM",30,45)))*(1+IF($I5="",0,$I5)/400),0))</f>
        <v/>
      </c>
      <c r="Q5" s="32">
        <f>IF(OR($C5="",$O5=""),"",$O5+$P5)</f>
        <v/>
      </c>
      <c r="R5" s="31" t="inlineStr">
        <is>
          <t>OPEN</t>
        </is>
      </c>
      <c r="S5" s="33" t="n">
        <v>0</v>
      </c>
      <c r="T5" s="29">
        <f>IF($C5="","",IF($R5="CLOSED","Closed",IF($R5="RESOLVED","Resolved",IF($R5="BLOCKED","BLOCKED",IF($I5&gt;=200,"CRITICAL",IF($I5&gt;=100,"High",IF($E5="1-CRITICAL","High","On track")))))))</f>
        <v/>
      </c>
      <c r="U5" s="34">
        <f>IF($C5="","",IF($R5="CLOSED","Closed - capture lessons learned in PDCA Act phase.",IF($I5&gt;=200,"CRITICAL (RPN "&amp;$I5&amp;"): Escalate today. Open FMEA action + daily PDCA. Owner "&amp;IF($M5="","?",$M5)&amp;". Apply "&amp;IF($L5="","a Lean method",$L5)&amp;". Close by "&amp;IF($Q5="","ASAP",TEXT($Q5,"dd-mmm"))&amp;".",IF($I5&gt;=100,"HIGH (RPN "&amp;$I5&amp;"): Add to current sprint. Mitigate via "&amp;IF($L5="","Standard Work",$L5)&amp;". Review weekly with "&amp;IF($M5="","owner",$M5)&amp;".",IF(OR($E5="1-CRITICAL",$E5="2-HIGH"),"Priority case: schedule "&amp;IF($L5="","a Lean workshop",$L5)&amp;" within 2 weeks. Track to "&amp;IF($N5="","target",$N5)&amp;".","Monitor: apply "&amp;IF($L5="","standard cadence",$L5)&amp;". Re-score if conditions change.")))))</f>
        <v/>
      </c>
      <c r="V5">
        <f>IF($C5="","",IF($I5="",0,$I5)+ROW()/100000)</f>
        <v/>
      </c>
    </row>
    <row r="6">
      <c r="A6" s="29">
        <f>IF($C6="","",TEXT(3,"\C\A\S\E-000"))</f>
        <v/>
      </c>
      <c r="B6" s="30" t="n">
        <v>46157</v>
      </c>
      <c r="C6" s="23" t="inlineStr">
        <is>
          <t>Team overwhelmed, parallel tasks &gt;8 each</t>
        </is>
      </c>
      <c r="D6" s="31" t="inlineStr">
        <is>
          <t>Process / Flow</t>
        </is>
      </c>
      <c r="E6" s="31" t="inlineStr">
        <is>
          <t>2-HIGH</t>
        </is>
      </c>
      <c r="F6" s="31" t="n">
        <v>7</v>
      </c>
      <c r="G6" s="31" t="n">
        <v>6</v>
      </c>
      <c r="H6" s="31" t="n">
        <v>5</v>
      </c>
      <c r="I6" s="29">
        <f>IF($C6="","",IF(COUNT(F6,G6,H6)=3,F6*G6*H6,""))</f>
        <v/>
      </c>
      <c r="J6" s="29">
        <f>IF($I6="","",IF($I6&gt;=200,"1-CRITICAL",IF($I6&gt;=100,"2-HIGH",IF($I6&gt;=50,"3-MEDIUM","4-LOW"))))</f>
        <v/>
      </c>
      <c r="K6" s="23" t="inlineStr">
        <is>
          <t>No WIP limits; everything is priority 1</t>
        </is>
      </c>
      <c r="L6" s="31" t="inlineStr">
        <is>
          <t>Kanban</t>
        </is>
      </c>
      <c r="M6" s="31" t="inlineStr">
        <is>
          <t>PM</t>
        </is>
      </c>
      <c r="N6" s="23" t="inlineStr">
        <is>
          <t>Max 3 active tasks per person</t>
        </is>
      </c>
      <c r="O6" s="30" t="n">
        <v>46174</v>
      </c>
      <c r="P6" s="29">
        <f>IF($C6="","",ROUND(IF($E6="1-CRITICAL",7,IF($E6="2-HIGH",14,IF($E6="3-MEDIUM",30,45)))*(1+IF($I6="",0,$I6)/400),0))</f>
        <v/>
      </c>
      <c r="Q6" s="32">
        <f>IF(OR($C6="",$O6=""),"",$O6+$P6)</f>
        <v/>
      </c>
      <c r="R6" s="31" t="inlineStr">
        <is>
          <t>OPEN</t>
        </is>
      </c>
      <c r="S6" s="33" t="n">
        <v>0</v>
      </c>
      <c r="T6" s="29">
        <f>IF($C6="","",IF($R6="CLOSED","Closed",IF($R6="RESOLVED","Resolved",IF($R6="BLOCKED","BLOCKED",IF($I6&gt;=200,"CRITICAL",IF($I6&gt;=100,"High",IF($E6="1-CRITICAL","High","On track")))))))</f>
        <v/>
      </c>
      <c r="U6" s="34">
        <f>IF($C6="","",IF($R6="CLOSED","Closed - capture lessons learned in PDCA Act phase.",IF($I6&gt;=200,"CRITICAL (RPN "&amp;$I6&amp;"): Escalate today. Open FMEA action + daily PDCA. Owner "&amp;IF($M6="","?",$M6)&amp;". Apply "&amp;IF($L6="","a Lean method",$L6)&amp;". Close by "&amp;IF($Q6="","ASAP",TEXT($Q6,"dd-mmm"))&amp;".",IF($I6&gt;=100,"HIGH (RPN "&amp;$I6&amp;"): Add to current sprint. Mitigate via "&amp;IF($L6="","Standard Work",$L6)&amp;". Review weekly with "&amp;IF($M6="","owner",$M6)&amp;".",IF(OR($E6="1-CRITICAL",$E6="2-HIGH"),"Priority case: schedule "&amp;IF($L6="","a Lean workshop",$L6)&amp;" within 2 weeks. Track to "&amp;IF($N6="","target",$N6)&amp;".","Monitor: apply "&amp;IF($L6="","standard cadence",$L6)&amp;". Re-score if conditions change.")))))</f>
        <v/>
      </c>
      <c r="V6">
        <f>IF($C6="","",IF($I6="",0,$I6)+ROW()/100000)</f>
        <v/>
      </c>
    </row>
    <row r="7">
      <c r="A7" s="29">
        <f>IF($C7="","",TEXT(4,"\C\A\S\E-000"))</f>
        <v/>
      </c>
      <c r="B7" s="30" t="n">
        <v>46157</v>
      </c>
      <c r="C7" s="23" t="inlineStr">
        <is>
          <t>Approval bottleneck adds 2.3 days per case</t>
        </is>
      </c>
      <c r="D7" s="31" t="inlineStr">
        <is>
          <t>Process / Flow</t>
        </is>
      </c>
      <c r="E7" s="31" t="inlineStr">
        <is>
          <t>2-HIGH</t>
        </is>
      </c>
      <c r="F7" s="31" t="n">
        <v>7</v>
      </c>
      <c r="G7" s="31" t="n">
        <v>6</v>
      </c>
      <c r="H7" s="31" t="n">
        <v>5</v>
      </c>
      <c r="I7" s="29">
        <f>IF($C7="","",IF(COUNT(F7,G7,H7)=3,F7*G7*H7,""))</f>
        <v/>
      </c>
      <c r="J7" s="29">
        <f>IF($I7="","",IF($I7&gt;=200,"1-CRITICAL",IF($I7&gt;=100,"2-HIGH",IF($I7&gt;=50,"3-MEDIUM","4-LOW"))))</f>
        <v/>
      </c>
      <c r="K7" s="23" t="inlineStr">
        <is>
          <t>Wrong routing; unclear decision authority</t>
        </is>
      </c>
      <c r="L7" s="31" t="inlineStr">
        <is>
          <t>Standard Work</t>
        </is>
      </c>
      <c r="M7" s="31" t="inlineStr">
        <is>
          <t>PM</t>
        </is>
      </c>
      <c r="N7" s="23" t="inlineStr">
        <is>
          <t>Approval time &lt;4 hours</t>
        </is>
      </c>
      <c r="O7" s="30" t="n">
        <v>46174</v>
      </c>
      <c r="P7" s="29">
        <f>IF($C7="","",ROUND(IF($E7="1-CRITICAL",7,IF($E7="2-HIGH",14,IF($E7="3-MEDIUM",30,45)))*(1+IF($I7="",0,$I7)/400),0))</f>
        <v/>
      </c>
      <c r="Q7" s="32">
        <f>IF(OR($C7="",$O7=""),"",$O7+$P7)</f>
        <v/>
      </c>
      <c r="R7" s="31" t="inlineStr">
        <is>
          <t>OPEN</t>
        </is>
      </c>
      <c r="S7" s="33" t="n">
        <v>0</v>
      </c>
      <c r="T7" s="29">
        <f>IF($C7="","",IF($R7="CLOSED","Closed",IF($R7="RESOLVED","Resolved",IF($R7="BLOCKED","BLOCKED",IF($I7&gt;=200,"CRITICAL",IF($I7&gt;=100,"High",IF($E7="1-CRITICAL","High","On track")))))))</f>
        <v/>
      </c>
      <c r="U7" s="34">
        <f>IF($C7="","",IF($R7="CLOSED","Closed - capture lessons learned in PDCA Act phase.",IF($I7&gt;=200,"CRITICAL (RPN "&amp;$I7&amp;"): Escalate today. Open FMEA action + daily PDCA. Owner "&amp;IF($M7="","?",$M7)&amp;". Apply "&amp;IF($L7="","a Lean method",$L7)&amp;". Close by "&amp;IF($Q7="","ASAP",TEXT($Q7,"dd-mmm"))&amp;".",IF($I7&gt;=100,"HIGH (RPN "&amp;$I7&amp;"): Add to current sprint. Mitigate via "&amp;IF($L7="","Standard Work",$L7)&amp;". Review weekly with "&amp;IF($M7="","owner",$M7)&amp;".",IF(OR($E7="1-CRITICAL",$E7="2-HIGH"),"Priority case: schedule "&amp;IF($L7="","a Lean workshop",$L7)&amp;" within 2 weeks. Track to "&amp;IF($N7="","target",$N7)&amp;".","Monitor: apply "&amp;IF($L7="","standard cadence",$L7)&amp;". Re-score if conditions change.")))))</f>
        <v/>
      </c>
      <c r="V7">
        <f>IF($C7="","",IF($I7="",0,$I7)+ROW()/100000)</f>
        <v/>
      </c>
    </row>
    <row r="8">
      <c r="A8" s="29">
        <f>IF($C8="","",TEXT(5,"\C\A\S\E-000"))</f>
        <v/>
      </c>
      <c r="B8" s="30" t="n">
        <v>46157</v>
      </c>
      <c r="C8" s="23" t="inlineStr">
        <is>
          <t>New hire onboarding takes 6 weeks</t>
        </is>
      </c>
      <c r="D8" s="31" t="inlineStr">
        <is>
          <t>Process / Flow</t>
        </is>
      </c>
      <c r="E8" s="31" t="inlineStr">
        <is>
          <t>3-MEDIUM</t>
        </is>
      </c>
      <c r="F8" s="31" t="n">
        <v>6</v>
      </c>
      <c r="G8" s="31" t="n">
        <v>5</v>
      </c>
      <c r="H8" s="31" t="n">
        <v>5</v>
      </c>
      <c r="I8" s="29">
        <f>IF($C8="","",IF(COUNT(F8,G8,H8)=3,F8*G8*H8,""))</f>
        <v/>
      </c>
      <c r="J8" s="29">
        <f>IF($I8="","",IF($I8&gt;=200,"1-CRITICAL",IF($I8&gt;=100,"2-HIGH",IF($I8&gt;=50,"3-MEDIUM","4-LOW"))))</f>
        <v/>
      </c>
      <c r="K8" s="23" t="inlineStr">
        <is>
          <t>No documented process; tribal knowledge</t>
        </is>
      </c>
      <c r="L8" s="31" t="inlineStr">
        <is>
          <t>Standard Work</t>
        </is>
      </c>
      <c r="M8" s="31" t="inlineStr">
        <is>
          <t>PM</t>
        </is>
      </c>
      <c r="N8" s="23" t="inlineStr">
        <is>
          <t>Onboard in 2 weeks, consistent quality</t>
        </is>
      </c>
      <c r="O8" s="30" t="n">
        <v>46174</v>
      </c>
      <c r="P8" s="29">
        <f>IF($C8="","",ROUND(IF($E8="1-CRITICAL",7,IF($E8="2-HIGH",14,IF($E8="3-MEDIUM",30,45)))*(1+IF($I8="",0,$I8)/400),0))</f>
        <v/>
      </c>
      <c r="Q8" s="32">
        <f>IF(OR($C8="",$O8=""),"",$O8+$P8)</f>
        <v/>
      </c>
      <c r="R8" s="31" t="inlineStr">
        <is>
          <t>OPEN</t>
        </is>
      </c>
      <c r="S8" s="33" t="n">
        <v>0</v>
      </c>
      <c r="T8" s="29">
        <f>IF($C8="","",IF($R8="CLOSED","Closed",IF($R8="RESOLVED","Resolved",IF($R8="BLOCKED","BLOCKED",IF($I8&gt;=200,"CRITICAL",IF($I8&gt;=100,"High",IF($E8="1-CRITICAL","High","On track")))))))</f>
        <v/>
      </c>
      <c r="U8" s="34">
        <f>IF($C8="","",IF($R8="CLOSED","Closed - capture lessons learned in PDCA Act phase.",IF($I8&gt;=200,"CRITICAL (RPN "&amp;$I8&amp;"): Escalate today. Open FMEA action + daily PDCA. Owner "&amp;IF($M8="","?",$M8)&amp;". Apply "&amp;IF($L8="","a Lean method",$L8)&amp;". Close by "&amp;IF($Q8="","ASAP",TEXT($Q8,"dd-mmm"))&amp;".",IF($I8&gt;=100,"HIGH (RPN "&amp;$I8&amp;"): Add to current sprint. Mitigate via "&amp;IF($L8="","Standard Work",$L8)&amp;". Review weekly with "&amp;IF($M8="","owner",$M8)&amp;".",IF(OR($E8="1-CRITICAL",$E8="2-HIGH"),"Priority case: schedule "&amp;IF($L8="","a Lean workshop",$L8)&amp;" within 2 weeks. Track to "&amp;IF($N8="","target",$N8)&amp;".","Monitor: apply "&amp;IF($L8="","standard cadence",$L8)&amp;". Re-score if conditions change.")))))</f>
        <v/>
      </c>
      <c r="V8">
        <f>IF($C8="","",IF($I8="",0,$I8)+ROW()/100000)</f>
        <v/>
      </c>
    </row>
    <row r="9">
      <c r="A9" s="29">
        <f>IF($C9="","",TEXT(6,"\C\A\S\E-000"))</f>
        <v/>
      </c>
      <c r="B9" s="30" t="n">
        <v>46157</v>
      </c>
      <c r="C9" s="23" t="inlineStr">
        <is>
          <t>Leader not visible to frontline team</t>
        </is>
      </c>
      <c r="D9" s="31" t="inlineStr">
        <is>
          <t>Process / Flow</t>
        </is>
      </c>
      <c r="E9" s="31" t="inlineStr">
        <is>
          <t>2-HIGH</t>
        </is>
      </c>
      <c r="F9" s="31" t="n">
        <v>7</v>
      </c>
      <c r="G9" s="31" t="n">
        <v>6</v>
      </c>
      <c r="H9" s="31" t="n">
        <v>5</v>
      </c>
      <c r="I9" s="29">
        <f>IF($C9="","",IF(COUNT(F9,G9,H9)=3,F9*G9*H9,""))</f>
        <v/>
      </c>
      <c r="J9" s="29">
        <f>IF($I9="","",IF($I9&gt;=200,"1-CRITICAL",IF($I9&gt;=100,"2-HIGH",IF($I9&gt;=50,"3-MEDIUM","4-LOW"))))</f>
        <v/>
      </c>
      <c r="K9" s="23" t="inlineStr">
        <is>
          <t>No structured Gemba cadence in place</t>
        </is>
      </c>
      <c r="L9" s="31" t="inlineStr">
        <is>
          <t>Gemba Walk</t>
        </is>
      </c>
      <c r="M9" s="31" t="inlineStr">
        <is>
          <t>PM</t>
        </is>
      </c>
      <c r="N9" s="23" t="inlineStr">
        <is>
          <t>Weekly Gemba walk every leader, every week</t>
        </is>
      </c>
      <c r="O9" s="30" t="n">
        <v>46174</v>
      </c>
      <c r="P9" s="29">
        <f>IF($C9="","",ROUND(IF($E9="1-CRITICAL",7,IF($E9="2-HIGH",14,IF($E9="3-MEDIUM",30,45)))*(1+IF($I9="",0,$I9)/400),0))</f>
        <v/>
      </c>
      <c r="Q9" s="32">
        <f>IF(OR($C9="",$O9=""),"",$O9+$P9)</f>
        <v/>
      </c>
      <c r="R9" s="31" t="inlineStr">
        <is>
          <t>IN PROGRESS</t>
        </is>
      </c>
      <c r="S9" s="33" t="n">
        <v>0.2</v>
      </c>
      <c r="T9" s="29">
        <f>IF($C9="","",IF($R9="CLOSED","Closed",IF($R9="RESOLVED","Resolved",IF($R9="BLOCKED","BLOCKED",IF($I9&gt;=200,"CRITICAL",IF($I9&gt;=100,"High",IF($E9="1-CRITICAL","High","On track")))))))</f>
        <v/>
      </c>
      <c r="U9" s="34">
        <f>IF($C9="","",IF($R9="CLOSED","Closed - capture lessons learned in PDCA Act phase.",IF($I9&gt;=200,"CRITICAL (RPN "&amp;$I9&amp;"): Escalate today. Open FMEA action + daily PDCA. Owner "&amp;IF($M9="","?",$M9)&amp;". Apply "&amp;IF($L9="","a Lean method",$L9)&amp;". Close by "&amp;IF($Q9="","ASAP",TEXT($Q9,"dd-mmm"))&amp;".",IF($I9&gt;=100,"HIGH (RPN "&amp;$I9&amp;"): Add to current sprint. Mitigate via "&amp;IF($L9="","Standard Work",$L9)&amp;". Review weekly with "&amp;IF($M9="","owner",$M9)&amp;".",IF(OR($E9="1-CRITICAL",$E9="2-HIGH"),"Priority case: schedule "&amp;IF($L9="","a Lean workshop",$L9)&amp;" within 2 weeks. Track to "&amp;IF($N9="","target",$N9)&amp;".","Monitor: apply "&amp;IF($L9="","standard cadence",$L9)&amp;". Re-score if conditions change.")))))</f>
        <v/>
      </c>
      <c r="V9">
        <f>IF($C9="","",IF($I9="",0,$I9)+ROW()/100000)</f>
        <v/>
      </c>
    </row>
    <row r="10">
      <c r="A10" s="29">
        <f>IF($C10="","",TEXT(7,"\C\A\S\E-000"))</f>
        <v/>
      </c>
      <c r="B10" s="30" t="n"/>
      <c r="C10" s="23" t="n"/>
      <c r="D10" s="31" t="n"/>
      <c r="E10" s="31" t="n"/>
      <c r="F10" s="31" t="n"/>
      <c r="G10" s="31" t="n"/>
      <c r="H10" s="31" t="n"/>
      <c r="I10" s="29">
        <f>IF($C10="","",IF(COUNT(F10,G10,H10)=3,F10*G10*H10,""))</f>
        <v/>
      </c>
      <c r="J10" s="29">
        <f>IF($I10="","",IF($I10&gt;=200,"1-CRITICAL",IF($I10&gt;=100,"2-HIGH",IF($I10&gt;=50,"3-MEDIUM","4-LOW"))))</f>
        <v/>
      </c>
      <c r="K10" s="23" t="n"/>
      <c r="L10" s="31" t="n"/>
      <c r="M10" s="31" t="n"/>
      <c r="N10" s="23" t="n"/>
      <c r="O10" s="30" t="n"/>
      <c r="P10" s="29">
        <f>IF($C10="","",ROUND(IF($E10="1-CRITICAL",7,IF($E10="2-HIGH",14,IF($E10="3-MEDIUM",30,45)))*(1+IF($I10="",0,$I10)/400),0))</f>
        <v/>
      </c>
      <c r="Q10" s="32">
        <f>IF(OR($C10="",$O10=""),"",$O10+$P10)</f>
        <v/>
      </c>
      <c r="R10" s="31" t="n"/>
      <c r="S10" s="33" t="n"/>
      <c r="T10" s="29">
        <f>IF($C10="","",IF($R10="CLOSED","Closed",IF($R10="RESOLVED","Resolved",IF($R10="BLOCKED","BLOCKED",IF($I10&gt;=200,"CRITICAL",IF($I10&gt;=100,"High",IF($E10="1-CRITICAL","High","On track")))))))</f>
        <v/>
      </c>
      <c r="U10" s="34">
        <f>IF($C10="","",IF($R10="CLOSED","Closed - capture lessons learned in PDCA Act phase.",IF($I10&gt;=200,"CRITICAL (RPN "&amp;$I10&amp;"): Escalate today. Open FMEA action + daily PDCA. Owner "&amp;IF($M10="","?",$M10)&amp;". Apply "&amp;IF($L10="","a Lean method",$L10)&amp;". Close by "&amp;IF($Q10="","ASAP",TEXT($Q10,"dd-mmm"))&amp;".",IF($I10&gt;=100,"HIGH (RPN "&amp;$I10&amp;"): Add to current sprint. Mitigate via "&amp;IF($L10="","Standard Work",$L10)&amp;". Review weekly with "&amp;IF($M10="","owner",$M10)&amp;".",IF(OR($E10="1-CRITICAL",$E10="2-HIGH"),"Priority case: schedule "&amp;IF($L10="","a Lean workshop",$L10)&amp;" within 2 weeks. Track to "&amp;IF($N10="","target",$N10)&amp;".","Monitor: apply "&amp;IF($L10="","standard cadence",$L10)&amp;". Re-score if conditions change.")))))</f>
        <v/>
      </c>
      <c r="V10">
        <f>IF($C10="","",IF($I10="",0,$I10)+ROW()/100000)</f>
        <v/>
      </c>
    </row>
    <row r="11">
      <c r="A11" s="29">
        <f>IF($C11="","",TEXT(8,"\C\A\S\E-000"))</f>
        <v/>
      </c>
      <c r="B11" s="30" t="n"/>
      <c r="C11" s="23" t="n"/>
      <c r="D11" s="31" t="n"/>
      <c r="E11" s="31" t="n"/>
      <c r="F11" s="31" t="n"/>
      <c r="G11" s="31" t="n"/>
      <c r="H11" s="31" t="n"/>
      <c r="I11" s="29">
        <f>IF($C11="","",IF(COUNT(F11,G11,H11)=3,F11*G11*H11,""))</f>
        <v/>
      </c>
      <c r="J11" s="29">
        <f>IF($I11="","",IF($I11&gt;=200,"1-CRITICAL",IF($I11&gt;=100,"2-HIGH",IF($I11&gt;=50,"3-MEDIUM","4-LOW"))))</f>
        <v/>
      </c>
      <c r="K11" s="23" t="n"/>
      <c r="L11" s="31" t="n"/>
      <c r="M11" s="31" t="n"/>
      <c r="N11" s="23" t="n"/>
      <c r="O11" s="30" t="n"/>
      <c r="P11" s="29">
        <f>IF($C11="","",ROUND(IF($E11="1-CRITICAL",7,IF($E11="2-HIGH",14,IF($E11="3-MEDIUM",30,45)))*(1+IF($I11="",0,$I11)/400),0))</f>
        <v/>
      </c>
      <c r="Q11" s="32">
        <f>IF(OR($C11="",$O11=""),"",$O11+$P11)</f>
        <v/>
      </c>
      <c r="R11" s="31" t="n"/>
      <c r="S11" s="33" t="n"/>
      <c r="T11" s="29">
        <f>IF($C11="","",IF($R11="CLOSED","Closed",IF($R11="RESOLVED","Resolved",IF($R11="BLOCKED","BLOCKED",IF($I11&gt;=200,"CRITICAL",IF($I11&gt;=100,"High",IF($E11="1-CRITICAL","High","On track")))))))</f>
        <v/>
      </c>
      <c r="U11" s="34">
        <f>IF($C11="","",IF($R11="CLOSED","Closed - capture lessons learned in PDCA Act phase.",IF($I11&gt;=200,"CRITICAL (RPN "&amp;$I11&amp;"): Escalate today. Open FMEA action + daily PDCA. Owner "&amp;IF($M11="","?",$M11)&amp;". Apply "&amp;IF($L11="","a Lean method",$L11)&amp;". Close by "&amp;IF($Q11="","ASAP",TEXT($Q11,"dd-mmm"))&amp;".",IF($I11&gt;=100,"HIGH (RPN "&amp;$I11&amp;"): Add to current sprint. Mitigate via "&amp;IF($L11="","Standard Work",$L11)&amp;". Review weekly with "&amp;IF($M11="","owner",$M11)&amp;".",IF(OR($E11="1-CRITICAL",$E11="2-HIGH"),"Priority case: schedule "&amp;IF($L11="","a Lean workshop",$L11)&amp;" within 2 weeks. Track to "&amp;IF($N11="","target",$N11)&amp;".","Monitor: apply "&amp;IF($L11="","standard cadence",$L11)&amp;". Re-score if conditions change.")))))</f>
        <v/>
      </c>
      <c r="V11">
        <f>IF($C11="","",IF($I11="",0,$I11)+ROW()/100000)</f>
        <v/>
      </c>
    </row>
    <row r="12">
      <c r="A12" s="29">
        <f>IF($C12="","",TEXT(9,"\C\A\S\E-000"))</f>
        <v/>
      </c>
      <c r="B12" s="30" t="n"/>
      <c r="C12" s="23" t="n"/>
      <c r="D12" s="31" t="n"/>
      <c r="E12" s="31" t="n"/>
      <c r="F12" s="31" t="n"/>
      <c r="G12" s="31" t="n"/>
      <c r="H12" s="31" t="n"/>
      <c r="I12" s="29">
        <f>IF($C12="","",IF(COUNT(F12,G12,H12)=3,F12*G12*H12,""))</f>
        <v/>
      </c>
      <c r="J12" s="29">
        <f>IF($I12="","",IF($I12&gt;=200,"1-CRITICAL",IF($I12&gt;=100,"2-HIGH",IF($I12&gt;=50,"3-MEDIUM","4-LOW"))))</f>
        <v/>
      </c>
      <c r="K12" s="23" t="n"/>
      <c r="L12" s="31" t="n"/>
      <c r="M12" s="31" t="n"/>
      <c r="N12" s="23" t="n"/>
      <c r="O12" s="30" t="n"/>
      <c r="P12" s="29">
        <f>IF($C12="","",ROUND(IF($E12="1-CRITICAL",7,IF($E12="2-HIGH",14,IF($E12="3-MEDIUM",30,45)))*(1+IF($I12="",0,$I12)/400),0))</f>
        <v/>
      </c>
      <c r="Q12" s="32">
        <f>IF(OR($C12="",$O12=""),"",$O12+$P12)</f>
        <v/>
      </c>
      <c r="R12" s="31" t="n"/>
      <c r="S12" s="33" t="n"/>
      <c r="T12" s="29">
        <f>IF($C12="","",IF($R12="CLOSED","Closed",IF($R12="RESOLVED","Resolved",IF($R12="BLOCKED","BLOCKED",IF($I12&gt;=200,"CRITICAL",IF($I12&gt;=100,"High",IF($E12="1-CRITICAL","High","On track")))))))</f>
        <v/>
      </c>
      <c r="U12" s="34">
        <f>IF($C12="","",IF($R12="CLOSED","Closed - capture lessons learned in PDCA Act phase.",IF($I12&gt;=200,"CRITICAL (RPN "&amp;$I12&amp;"): Escalate today. Open FMEA action + daily PDCA. Owner "&amp;IF($M12="","?",$M12)&amp;". Apply "&amp;IF($L12="","a Lean method",$L12)&amp;". Close by "&amp;IF($Q12="","ASAP",TEXT($Q12,"dd-mmm"))&amp;".",IF($I12&gt;=100,"HIGH (RPN "&amp;$I12&amp;"): Add to current sprint. Mitigate via "&amp;IF($L12="","Standard Work",$L12)&amp;". Review weekly with "&amp;IF($M12="","owner",$M12)&amp;".",IF(OR($E12="1-CRITICAL",$E12="2-HIGH"),"Priority case: schedule "&amp;IF($L12="","a Lean workshop",$L12)&amp;" within 2 weeks. Track to "&amp;IF($N12="","target",$N12)&amp;".","Monitor: apply "&amp;IF($L12="","standard cadence",$L12)&amp;". Re-score if conditions change.")))))</f>
        <v/>
      </c>
      <c r="V12">
        <f>IF($C12="","",IF($I12="",0,$I12)+ROW()/100000)</f>
        <v/>
      </c>
    </row>
    <row r="13">
      <c r="A13" s="29">
        <f>IF($C13="","",TEXT(10,"\C\A\S\E-000"))</f>
        <v/>
      </c>
      <c r="B13" s="30" t="n"/>
      <c r="C13" s="23" t="n"/>
      <c r="D13" s="31" t="n"/>
      <c r="E13" s="31" t="n"/>
      <c r="F13" s="31" t="n"/>
      <c r="G13" s="31" t="n"/>
      <c r="H13" s="31" t="n"/>
      <c r="I13" s="29">
        <f>IF($C13="","",IF(COUNT(F13,G13,H13)=3,F13*G13*H13,""))</f>
        <v/>
      </c>
      <c r="J13" s="29">
        <f>IF($I13="","",IF($I13&gt;=200,"1-CRITICAL",IF($I13&gt;=100,"2-HIGH",IF($I13&gt;=50,"3-MEDIUM","4-LOW"))))</f>
        <v/>
      </c>
      <c r="K13" s="23" t="n"/>
      <c r="L13" s="31" t="n"/>
      <c r="M13" s="31" t="n"/>
      <c r="N13" s="23" t="n"/>
      <c r="O13" s="30" t="n"/>
      <c r="P13" s="29">
        <f>IF($C13="","",ROUND(IF($E13="1-CRITICAL",7,IF($E13="2-HIGH",14,IF($E13="3-MEDIUM",30,45)))*(1+IF($I13="",0,$I13)/400),0))</f>
        <v/>
      </c>
      <c r="Q13" s="32">
        <f>IF(OR($C13="",$O13=""),"",$O13+$P13)</f>
        <v/>
      </c>
      <c r="R13" s="31" t="n"/>
      <c r="S13" s="33" t="n"/>
      <c r="T13" s="29">
        <f>IF($C13="","",IF($R13="CLOSED","Closed",IF($R13="RESOLVED","Resolved",IF($R13="BLOCKED","BLOCKED",IF($I13&gt;=200,"CRITICAL",IF($I13&gt;=100,"High",IF($E13="1-CRITICAL","High","On track")))))))</f>
        <v/>
      </c>
      <c r="U13" s="34">
        <f>IF($C13="","",IF($R13="CLOSED","Closed - capture lessons learned in PDCA Act phase.",IF($I13&gt;=200,"CRITICAL (RPN "&amp;$I13&amp;"): Escalate today. Open FMEA action + daily PDCA. Owner "&amp;IF($M13="","?",$M13)&amp;". Apply "&amp;IF($L13="","a Lean method",$L13)&amp;". Close by "&amp;IF($Q13="","ASAP",TEXT($Q13,"dd-mmm"))&amp;".",IF($I13&gt;=100,"HIGH (RPN "&amp;$I13&amp;"): Add to current sprint. Mitigate via "&amp;IF($L13="","Standard Work",$L13)&amp;". Review weekly with "&amp;IF($M13="","owner",$M13)&amp;".",IF(OR($E13="1-CRITICAL",$E13="2-HIGH"),"Priority case: schedule "&amp;IF($L13="","a Lean workshop",$L13)&amp;" within 2 weeks. Track to "&amp;IF($N13="","target",$N13)&amp;".","Monitor: apply "&amp;IF($L13="","standard cadence",$L13)&amp;". Re-score if conditions change.")))))</f>
        <v/>
      </c>
      <c r="V13">
        <f>IF($C13="","",IF($I13="",0,$I13)+ROW()/100000)</f>
        <v/>
      </c>
    </row>
    <row r="14">
      <c r="A14" s="29">
        <f>IF($C14="","",TEXT(11,"\C\A\S\E-000"))</f>
        <v/>
      </c>
      <c r="B14" s="30" t="n"/>
      <c r="C14" s="23" t="n"/>
      <c r="D14" s="31" t="n"/>
      <c r="E14" s="31" t="n"/>
      <c r="F14" s="31" t="n"/>
      <c r="G14" s="31" t="n"/>
      <c r="H14" s="31" t="n"/>
      <c r="I14" s="29">
        <f>IF($C14="","",IF(COUNT(F14,G14,H14)=3,F14*G14*H14,""))</f>
        <v/>
      </c>
      <c r="J14" s="29">
        <f>IF($I14="","",IF($I14&gt;=200,"1-CRITICAL",IF($I14&gt;=100,"2-HIGH",IF($I14&gt;=50,"3-MEDIUM","4-LOW"))))</f>
        <v/>
      </c>
      <c r="K14" s="23" t="n"/>
      <c r="L14" s="31" t="n"/>
      <c r="M14" s="31" t="n"/>
      <c r="N14" s="23" t="n"/>
      <c r="O14" s="30" t="n"/>
      <c r="P14" s="29">
        <f>IF($C14="","",ROUND(IF($E14="1-CRITICAL",7,IF($E14="2-HIGH",14,IF($E14="3-MEDIUM",30,45)))*(1+IF($I14="",0,$I14)/400),0))</f>
        <v/>
      </c>
      <c r="Q14" s="32">
        <f>IF(OR($C14="",$O14=""),"",$O14+$P14)</f>
        <v/>
      </c>
      <c r="R14" s="31" t="n"/>
      <c r="S14" s="33" t="n"/>
      <c r="T14" s="29">
        <f>IF($C14="","",IF($R14="CLOSED","Closed",IF($R14="RESOLVED","Resolved",IF($R14="BLOCKED","BLOCKED",IF($I14&gt;=200,"CRITICAL",IF($I14&gt;=100,"High",IF($E14="1-CRITICAL","High","On track")))))))</f>
        <v/>
      </c>
      <c r="U14" s="34">
        <f>IF($C14="","",IF($R14="CLOSED","Closed - capture lessons learned in PDCA Act phase.",IF($I14&gt;=200,"CRITICAL (RPN "&amp;$I14&amp;"): Escalate today. Open FMEA action + daily PDCA. Owner "&amp;IF($M14="","?",$M14)&amp;". Apply "&amp;IF($L14="","a Lean method",$L14)&amp;". Close by "&amp;IF($Q14="","ASAP",TEXT($Q14,"dd-mmm"))&amp;".",IF($I14&gt;=100,"HIGH (RPN "&amp;$I14&amp;"): Add to current sprint. Mitigate via "&amp;IF($L14="","Standard Work",$L14)&amp;". Review weekly with "&amp;IF($M14="","owner",$M14)&amp;".",IF(OR($E14="1-CRITICAL",$E14="2-HIGH"),"Priority case: schedule "&amp;IF($L14="","a Lean workshop",$L14)&amp;" within 2 weeks. Track to "&amp;IF($N14="","target",$N14)&amp;".","Monitor: apply "&amp;IF($L14="","standard cadence",$L14)&amp;". Re-score if conditions change.")))))</f>
        <v/>
      </c>
      <c r="V14">
        <f>IF($C14="","",IF($I14="",0,$I14)+ROW()/100000)</f>
        <v/>
      </c>
    </row>
    <row r="15">
      <c r="A15" s="29">
        <f>IF($C15="","",TEXT(12,"\C\A\S\E-000"))</f>
        <v/>
      </c>
      <c r="B15" s="30" t="n"/>
      <c r="C15" s="23" t="n"/>
      <c r="D15" s="31" t="n"/>
      <c r="E15" s="31" t="n"/>
      <c r="F15" s="31" t="n"/>
      <c r="G15" s="31" t="n"/>
      <c r="H15" s="31" t="n"/>
      <c r="I15" s="29">
        <f>IF($C15="","",IF(COUNT(F15,G15,H15)=3,F15*G15*H15,""))</f>
        <v/>
      </c>
      <c r="J15" s="29">
        <f>IF($I15="","",IF($I15&gt;=200,"1-CRITICAL",IF($I15&gt;=100,"2-HIGH",IF($I15&gt;=50,"3-MEDIUM","4-LOW"))))</f>
        <v/>
      </c>
      <c r="K15" s="23" t="n"/>
      <c r="L15" s="31" t="n"/>
      <c r="M15" s="31" t="n"/>
      <c r="N15" s="23" t="n"/>
      <c r="O15" s="30" t="n"/>
      <c r="P15" s="29">
        <f>IF($C15="","",ROUND(IF($E15="1-CRITICAL",7,IF($E15="2-HIGH",14,IF($E15="3-MEDIUM",30,45)))*(1+IF($I15="",0,$I15)/400),0))</f>
        <v/>
      </c>
      <c r="Q15" s="32">
        <f>IF(OR($C15="",$O15=""),"",$O15+$P15)</f>
        <v/>
      </c>
      <c r="R15" s="31" t="n"/>
      <c r="S15" s="33" t="n"/>
      <c r="T15" s="29">
        <f>IF($C15="","",IF($R15="CLOSED","Closed",IF($R15="RESOLVED","Resolved",IF($R15="BLOCKED","BLOCKED",IF($I15&gt;=200,"CRITICAL",IF($I15&gt;=100,"High",IF($E15="1-CRITICAL","High","On track")))))))</f>
        <v/>
      </c>
      <c r="U15" s="34">
        <f>IF($C15="","",IF($R15="CLOSED","Closed - capture lessons learned in PDCA Act phase.",IF($I15&gt;=200,"CRITICAL (RPN "&amp;$I15&amp;"): Escalate today. Open FMEA action + daily PDCA. Owner "&amp;IF($M15="","?",$M15)&amp;". Apply "&amp;IF($L15="","a Lean method",$L15)&amp;". Close by "&amp;IF($Q15="","ASAP",TEXT($Q15,"dd-mmm"))&amp;".",IF($I15&gt;=100,"HIGH (RPN "&amp;$I15&amp;"): Add to current sprint. Mitigate via "&amp;IF($L15="","Standard Work",$L15)&amp;". Review weekly with "&amp;IF($M15="","owner",$M15)&amp;".",IF(OR($E15="1-CRITICAL",$E15="2-HIGH"),"Priority case: schedule "&amp;IF($L15="","a Lean workshop",$L15)&amp;" within 2 weeks. Track to "&amp;IF($N15="","target",$N15)&amp;".","Monitor: apply "&amp;IF($L15="","standard cadence",$L15)&amp;". Re-score if conditions change.")))))</f>
        <v/>
      </c>
      <c r="V15">
        <f>IF($C15="","",IF($I15="",0,$I15)+ROW()/100000)</f>
        <v/>
      </c>
    </row>
    <row r="16">
      <c r="A16" s="29">
        <f>IF($C16="","",TEXT(13,"\C\A\S\E-000"))</f>
        <v/>
      </c>
      <c r="B16" s="30" t="n"/>
      <c r="C16" s="23" t="n"/>
      <c r="D16" s="31" t="n"/>
      <c r="E16" s="31" t="n"/>
      <c r="F16" s="31" t="n"/>
      <c r="G16" s="31" t="n"/>
      <c r="H16" s="31" t="n"/>
      <c r="I16" s="29">
        <f>IF($C16="","",IF(COUNT(F16,G16,H16)=3,F16*G16*H16,""))</f>
        <v/>
      </c>
      <c r="J16" s="29">
        <f>IF($I16="","",IF($I16&gt;=200,"1-CRITICAL",IF($I16&gt;=100,"2-HIGH",IF($I16&gt;=50,"3-MEDIUM","4-LOW"))))</f>
        <v/>
      </c>
      <c r="K16" s="23" t="n"/>
      <c r="L16" s="31" t="n"/>
      <c r="M16" s="31" t="n"/>
      <c r="N16" s="23" t="n"/>
      <c r="O16" s="30" t="n"/>
      <c r="P16" s="29">
        <f>IF($C16="","",ROUND(IF($E16="1-CRITICAL",7,IF($E16="2-HIGH",14,IF($E16="3-MEDIUM",30,45)))*(1+IF($I16="",0,$I16)/400),0))</f>
        <v/>
      </c>
      <c r="Q16" s="32">
        <f>IF(OR($C16="",$O16=""),"",$O16+$P16)</f>
        <v/>
      </c>
      <c r="R16" s="31" t="n"/>
      <c r="S16" s="33" t="n"/>
      <c r="T16" s="29">
        <f>IF($C16="","",IF($R16="CLOSED","Closed",IF($R16="RESOLVED","Resolved",IF($R16="BLOCKED","BLOCKED",IF($I16&gt;=200,"CRITICAL",IF($I16&gt;=100,"High",IF($E16="1-CRITICAL","High","On track")))))))</f>
        <v/>
      </c>
      <c r="U16" s="34">
        <f>IF($C16="","",IF($R16="CLOSED","Closed - capture lessons learned in PDCA Act phase.",IF($I16&gt;=200,"CRITICAL (RPN "&amp;$I16&amp;"): Escalate today. Open FMEA action + daily PDCA. Owner "&amp;IF($M16="","?",$M16)&amp;". Apply "&amp;IF($L16="","a Lean method",$L16)&amp;". Close by "&amp;IF($Q16="","ASAP",TEXT($Q16,"dd-mmm"))&amp;".",IF($I16&gt;=100,"HIGH (RPN "&amp;$I16&amp;"): Add to current sprint. Mitigate via "&amp;IF($L16="","Standard Work",$L16)&amp;". Review weekly with "&amp;IF($M16="","owner",$M16)&amp;".",IF(OR($E16="1-CRITICAL",$E16="2-HIGH"),"Priority case: schedule "&amp;IF($L16="","a Lean workshop",$L16)&amp;" within 2 weeks. Track to "&amp;IF($N16="","target",$N16)&amp;".","Monitor: apply "&amp;IF($L16="","standard cadence",$L16)&amp;". Re-score if conditions change.")))))</f>
        <v/>
      </c>
      <c r="V16">
        <f>IF($C16="","",IF($I16="",0,$I16)+ROW()/100000)</f>
        <v/>
      </c>
    </row>
    <row r="17">
      <c r="A17" s="29">
        <f>IF($C17="","",TEXT(14,"\C\A\S\E-000"))</f>
        <v/>
      </c>
      <c r="B17" s="30" t="n"/>
      <c r="C17" s="23" t="n"/>
      <c r="D17" s="31" t="n"/>
      <c r="E17" s="31" t="n"/>
      <c r="F17" s="31" t="n"/>
      <c r="G17" s="31" t="n"/>
      <c r="H17" s="31" t="n"/>
      <c r="I17" s="29">
        <f>IF($C17="","",IF(COUNT(F17,G17,H17)=3,F17*G17*H17,""))</f>
        <v/>
      </c>
      <c r="J17" s="29">
        <f>IF($I17="","",IF($I17&gt;=200,"1-CRITICAL",IF($I17&gt;=100,"2-HIGH",IF($I17&gt;=50,"3-MEDIUM","4-LOW"))))</f>
        <v/>
      </c>
      <c r="K17" s="23" t="n"/>
      <c r="L17" s="31" t="n"/>
      <c r="M17" s="31" t="n"/>
      <c r="N17" s="23" t="n"/>
      <c r="O17" s="30" t="n"/>
      <c r="P17" s="29">
        <f>IF($C17="","",ROUND(IF($E17="1-CRITICAL",7,IF($E17="2-HIGH",14,IF($E17="3-MEDIUM",30,45)))*(1+IF($I17="",0,$I17)/400),0))</f>
        <v/>
      </c>
      <c r="Q17" s="32">
        <f>IF(OR($C17="",$O17=""),"",$O17+$P17)</f>
        <v/>
      </c>
      <c r="R17" s="31" t="n"/>
      <c r="S17" s="33" t="n"/>
      <c r="T17" s="29">
        <f>IF($C17="","",IF($R17="CLOSED","Closed",IF($R17="RESOLVED","Resolved",IF($R17="BLOCKED","BLOCKED",IF($I17&gt;=200,"CRITICAL",IF($I17&gt;=100,"High",IF($E17="1-CRITICAL","High","On track")))))))</f>
        <v/>
      </c>
      <c r="U17" s="34">
        <f>IF($C17="","",IF($R17="CLOSED","Closed - capture lessons learned in PDCA Act phase.",IF($I17&gt;=200,"CRITICAL (RPN "&amp;$I17&amp;"): Escalate today. Open FMEA action + daily PDCA. Owner "&amp;IF($M17="","?",$M17)&amp;". Apply "&amp;IF($L17="","a Lean method",$L17)&amp;". Close by "&amp;IF($Q17="","ASAP",TEXT($Q17,"dd-mmm"))&amp;".",IF($I17&gt;=100,"HIGH (RPN "&amp;$I17&amp;"): Add to current sprint. Mitigate via "&amp;IF($L17="","Standard Work",$L17)&amp;". Review weekly with "&amp;IF($M17="","owner",$M17)&amp;".",IF(OR($E17="1-CRITICAL",$E17="2-HIGH"),"Priority case: schedule "&amp;IF($L17="","a Lean workshop",$L17)&amp;" within 2 weeks. Track to "&amp;IF($N17="","target",$N17)&amp;".","Monitor: apply "&amp;IF($L17="","standard cadence",$L17)&amp;". Re-score if conditions change.")))))</f>
        <v/>
      </c>
      <c r="V17">
        <f>IF($C17="","",IF($I17="",0,$I17)+ROW()/100000)</f>
        <v/>
      </c>
    </row>
    <row r="18">
      <c r="A18" s="29">
        <f>IF($C18="","",TEXT(15,"\C\A\S\E-000"))</f>
        <v/>
      </c>
      <c r="B18" s="30" t="n"/>
      <c r="C18" s="23" t="n"/>
      <c r="D18" s="31" t="n"/>
      <c r="E18" s="31" t="n"/>
      <c r="F18" s="31" t="n"/>
      <c r="G18" s="31" t="n"/>
      <c r="H18" s="31" t="n"/>
      <c r="I18" s="29">
        <f>IF($C18="","",IF(COUNT(F18,G18,H18)=3,F18*G18*H18,""))</f>
        <v/>
      </c>
      <c r="J18" s="29">
        <f>IF($I18="","",IF($I18&gt;=200,"1-CRITICAL",IF($I18&gt;=100,"2-HIGH",IF($I18&gt;=50,"3-MEDIUM","4-LOW"))))</f>
        <v/>
      </c>
      <c r="K18" s="23" t="n"/>
      <c r="L18" s="31" t="n"/>
      <c r="M18" s="31" t="n"/>
      <c r="N18" s="23" t="n"/>
      <c r="O18" s="30" t="n"/>
      <c r="P18" s="29">
        <f>IF($C18="","",ROUND(IF($E18="1-CRITICAL",7,IF($E18="2-HIGH",14,IF($E18="3-MEDIUM",30,45)))*(1+IF($I18="",0,$I18)/400),0))</f>
        <v/>
      </c>
      <c r="Q18" s="32">
        <f>IF(OR($C18="",$O18=""),"",$O18+$P18)</f>
        <v/>
      </c>
      <c r="R18" s="31" t="n"/>
      <c r="S18" s="33" t="n"/>
      <c r="T18" s="29">
        <f>IF($C18="","",IF($R18="CLOSED","Closed",IF($R18="RESOLVED","Resolved",IF($R18="BLOCKED","BLOCKED",IF($I18&gt;=200,"CRITICAL",IF($I18&gt;=100,"High",IF($E18="1-CRITICAL","High","On track")))))))</f>
        <v/>
      </c>
      <c r="U18" s="34">
        <f>IF($C18="","",IF($R18="CLOSED","Closed - capture lessons learned in PDCA Act phase.",IF($I18&gt;=200,"CRITICAL (RPN "&amp;$I18&amp;"): Escalate today. Open FMEA action + daily PDCA. Owner "&amp;IF($M18="","?",$M18)&amp;". Apply "&amp;IF($L18="","a Lean method",$L18)&amp;". Close by "&amp;IF($Q18="","ASAP",TEXT($Q18,"dd-mmm"))&amp;".",IF($I18&gt;=100,"HIGH (RPN "&amp;$I18&amp;"): Add to current sprint. Mitigate via "&amp;IF($L18="","Standard Work",$L18)&amp;". Review weekly with "&amp;IF($M18="","owner",$M18)&amp;".",IF(OR($E18="1-CRITICAL",$E18="2-HIGH"),"Priority case: schedule "&amp;IF($L18="","a Lean workshop",$L18)&amp;" within 2 weeks. Track to "&amp;IF($N18="","target",$N18)&amp;".","Monitor: apply "&amp;IF($L18="","standard cadence",$L18)&amp;". Re-score if conditions change.")))))</f>
        <v/>
      </c>
      <c r="V18">
        <f>IF($C18="","",IF($I18="",0,$I18)+ROW()/100000)</f>
        <v/>
      </c>
    </row>
    <row r="19">
      <c r="A19" s="29">
        <f>IF($C19="","",TEXT(16,"\C\A\S\E-000"))</f>
        <v/>
      </c>
      <c r="B19" s="30" t="n"/>
      <c r="C19" s="23" t="n"/>
      <c r="D19" s="31" t="n"/>
      <c r="E19" s="31" t="n"/>
      <c r="F19" s="31" t="n"/>
      <c r="G19" s="31" t="n"/>
      <c r="H19" s="31" t="n"/>
      <c r="I19" s="29">
        <f>IF($C19="","",IF(COUNT(F19,G19,H19)=3,F19*G19*H19,""))</f>
        <v/>
      </c>
      <c r="J19" s="29">
        <f>IF($I19="","",IF($I19&gt;=200,"1-CRITICAL",IF($I19&gt;=100,"2-HIGH",IF($I19&gt;=50,"3-MEDIUM","4-LOW"))))</f>
        <v/>
      </c>
      <c r="K19" s="23" t="n"/>
      <c r="L19" s="31" t="n"/>
      <c r="M19" s="31" t="n"/>
      <c r="N19" s="23" t="n"/>
      <c r="O19" s="30" t="n"/>
      <c r="P19" s="29">
        <f>IF($C19="","",ROUND(IF($E19="1-CRITICAL",7,IF($E19="2-HIGH",14,IF($E19="3-MEDIUM",30,45)))*(1+IF($I19="",0,$I19)/400),0))</f>
        <v/>
      </c>
      <c r="Q19" s="32">
        <f>IF(OR($C19="",$O19=""),"",$O19+$P19)</f>
        <v/>
      </c>
      <c r="R19" s="31" t="n"/>
      <c r="S19" s="33" t="n"/>
      <c r="T19" s="29">
        <f>IF($C19="","",IF($R19="CLOSED","Closed",IF($R19="RESOLVED","Resolved",IF($R19="BLOCKED","BLOCKED",IF($I19&gt;=200,"CRITICAL",IF($I19&gt;=100,"High",IF($E19="1-CRITICAL","High","On track")))))))</f>
        <v/>
      </c>
      <c r="U19" s="34">
        <f>IF($C19="","",IF($R19="CLOSED","Closed - capture lessons learned in PDCA Act phase.",IF($I19&gt;=200,"CRITICAL (RPN "&amp;$I19&amp;"): Escalate today. Open FMEA action + daily PDCA. Owner "&amp;IF($M19="","?",$M19)&amp;". Apply "&amp;IF($L19="","a Lean method",$L19)&amp;". Close by "&amp;IF($Q19="","ASAP",TEXT($Q19,"dd-mmm"))&amp;".",IF($I19&gt;=100,"HIGH (RPN "&amp;$I19&amp;"): Add to current sprint. Mitigate via "&amp;IF($L19="","Standard Work",$L19)&amp;". Review weekly with "&amp;IF($M19="","owner",$M19)&amp;".",IF(OR($E19="1-CRITICAL",$E19="2-HIGH"),"Priority case: schedule "&amp;IF($L19="","a Lean workshop",$L19)&amp;" within 2 weeks. Track to "&amp;IF($N19="","target",$N19)&amp;".","Monitor: apply "&amp;IF($L19="","standard cadence",$L19)&amp;". Re-score if conditions change.")))))</f>
        <v/>
      </c>
      <c r="V19">
        <f>IF($C19="","",IF($I19="",0,$I19)+ROW()/100000)</f>
        <v/>
      </c>
    </row>
    <row r="20">
      <c r="A20" s="29">
        <f>IF($C20="","",TEXT(17,"\C\A\S\E-000"))</f>
        <v/>
      </c>
      <c r="B20" s="30" t="n"/>
      <c r="C20" s="23" t="n"/>
      <c r="D20" s="31" t="n"/>
      <c r="E20" s="31" t="n"/>
      <c r="F20" s="31" t="n"/>
      <c r="G20" s="31" t="n"/>
      <c r="H20" s="31" t="n"/>
      <c r="I20" s="29">
        <f>IF($C20="","",IF(COUNT(F20,G20,H20)=3,F20*G20*H20,""))</f>
        <v/>
      </c>
      <c r="J20" s="29">
        <f>IF($I20="","",IF($I20&gt;=200,"1-CRITICAL",IF($I20&gt;=100,"2-HIGH",IF($I20&gt;=50,"3-MEDIUM","4-LOW"))))</f>
        <v/>
      </c>
      <c r="K20" s="23" t="n"/>
      <c r="L20" s="31" t="n"/>
      <c r="M20" s="31" t="n"/>
      <c r="N20" s="23" t="n"/>
      <c r="O20" s="30" t="n"/>
      <c r="P20" s="29">
        <f>IF($C20="","",ROUND(IF($E20="1-CRITICAL",7,IF($E20="2-HIGH",14,IF($E20="3-MEDIUM",30,45)))*(1+IF($I20="",0,$I20)/400),0))</f>
        <v/>
      </c>
      <c r="Q20" s="32">
        <f>IF(OR($C20="",$O20=""),"",$O20+$P20)</f>
        <v/>
      </c>
      <c r="R20" s="31" t="n"/>
      <c r="S20" s="33" t="n"/>
      <c r="T20" s="29">
        <f>IF($C20="","",IF($R20="CLOSED","Closed",IF($R20="RESOLVED","Resolved",IF($R20="BLOCKED","BLOCKED",IF($I20&gt;=200,"CRITICAL",IF($I20&gt;=100,"High",IF($E20="1-CRITICAL","High","On track")))))))</f>
        <v/>
      </c>
      <c r="U20" s="34">
        <f>IF($C20="","",IF($R20="CLOSED","Closed - capture lessons learned in PDCA Act phase.",IF($I20&gt;=200,"CRITICAL (RPN "&amp;$I20&amp;"): Escalate today. Open FMEA action + daily PDCA. Owner "&amp;IF($M20="","?",$M20)&amp;". Apply "&amp;IF($L20="","a Lean method",$L20)&amp;". Close by "&amp;IF($Q20="","ASAP",TEXT($Q20,"dd-mmm"))&amp;".",IF($I20&gt;=100,"HIGH (RPN "&amp;$I20&amp;"): Add to current sprint. Mitigate via "&amp;IF($L20="","Standard Work",$L20)&amp;". Review weekly with "&amp;IF($M20="","owner",$M20)&amp;".",IF(OR($E20="1-CRITICAL",$E20="2-HIGH"),"Priority case: schedule "&amp;IF($L20="","a Lean workshop",$L20)&amp;" within 2 weeks. Track to "&amp;IF($N20="","target",$N20)&amp;".","Monitor: apply "&amp;IF($L20="","standard cadence",$L20)&amp;". Re-score if conditions change.")))))</f>
        <v/>
      </c>
      <c r="V20">
        <f>IF($C20="","",IF($I20="",0,$I20)+ROW()/100000)</f>
        <v/>
      </c>
    </row>
    <row r="21">
      <c r="A21" s="29">
        <f>IF($C21="","",TEXT(18,"\C\A\S\E-000"))</f>
        <v/>
      </c>
      <c r="B21" s="30" t="n"/>
      <c r="C21" s="23" t="n"/>
      <c r="D21" s="31" t="n"/>
      <c r="E21" s="31" t="n"/>
      <c r="F21" s="31" t="n"/>
      <c r="G21" s="31" t="n"/>
      <c r="H21" s="31" t="n"/>
      <c r="I21" s="29">
        <f>IF($C21="","",IF(COUNT(F21,G21,H21)=3,F21*G21*H21,""))</f>
        <v/>
      </c>
      <c r="J21" s="29">
        <f>IF($I21="","",IF($I21&gt;=200,"1-CRITICAL",IF($I21&gt;=100,"2-HIGH",IF($I21&gt;=50,"3-MEDIUM","4-LOW"))))</f>
        <v/>
      </c>
      <c r="K21" s="23" t="n"/>
      <c r="L21" s="31" t="n"/>
      <c r="M21" s="31" t="n"/>
      <c r="N21" s="23" t="n"/>
      <c r="O21" s="30" t="n"/>
      <c r="P21" s="29">
        <f>IF($C21="","",ROUND(IF($E21="1-CRITICAL",7,IF($E21="2-HIGH",14,IF($E21="3-MEDIUM",30,45)))*(1+IF($I21="",0,$I21)/400),0))</f>
        <v/>
      </c>
      <c r="Q21" s="32">
        <f>IF(OR($C21="",$O21=""),"",$O21+$P21)</f>
        <v/>
      </c>
      <c r="R21" s="31" t="n"/>
      <c r="S21" s="33" t="n"/>
      <c r="T21" s="29">
        <f>IF($C21="","",IF($R21="CLOSED","Closed",IF($R21="RESOLVED","Resolved",IF($R21="BLOCKED","BLOCKED",IF($I21&gt;=200,"CRITICAL",IF($I21&gt;=100,"High",IF($E21="1-CRITICAL","High","On track")))))))</f>
        <v/>
      </c>
      <c r="U21" s="34">
        <f>IF($C21="","",IF($R21="CLOSED","Closed - capture lessons learned in PDCA Act phase.",IF($I21&gt;=200,"CRITICAL (RPN "&amp;$I21&amp;"): Escalate today. Open FMEA action + daily PDCA. Owner "&amp;IF($M21="","?",$M21)&amp;". Apply "&amp;IF($L21="","a Lean method",$L21)&amp;". Close by "&amp;IF($Q21="","ASAP",TEXT($Q21,"dd-mmm"))&amp;".",IF($I21&gt;=100,"HIGH (RPN "&amp;$I21&amp;"): Add to current sprint. Mitigate via "&amp;IF($L21="","Standard Work",$L21)&amp;". Review weekly with "&amp;IF($M21="","owner",$M21)&amp;".",IF(OR($E21="1-CRITICAL",$E21="2-HIGH"),"Priority case: schedule "&amp;IF($L21="","a Lean workshop",$L21)&amp;" within 2 weeks. Track to "&amp;IF($N21="","target",$N21)&amp;".","Monitor: apply "&amp;IF($L21="","standard cadence",$L21)&amp;". Re-score if conditions change.")))))</f>
        <v/>
      </c>
      <c r="V21">
        <f>IF($C21="","",IF($I21="",0,$I21)+ROW()/100000)</f>
        <v/>
      </c>
    </row>
    <row r="22">
      <c r="A22" s="29">
        <f>IF($C22="","",TEXT(19,"\C\A\S\E-000"))</f>
        <v/>
      </c>
      <c r="B22" s="30" t="n"/>
      <c r="C22" s="23" t="n"/>
      <c r="D22" s="31" t="n"/>
      <c r="E22" s="31" t="n"/>
      <c r="F22" s="31" t="n"/>
      <c r="G22" s="31" t="n"/>
      <c r="H22" s="31" t="n"/>
      <c r="I22" s="29">
        <f>IF($C22="","",IF(COUNT(F22,G22,H22)=3,F22*G22*H22,""))</f>
        <v/>
      </c>
      <c r="J22" s="29">
        <f>IF($I22="","",IF($I22&gt;=200,"1-CRITICAL",IF($I22&gt;=100,"2-HIGH",IF($I22&gt;=50,"3-MEDIUM","4-LOW"))))</f>
        <v/>
      </c>
      <c r="K22" s="23" t="n"/>
      <c r="L22" s="31" t="n"/>
      <c r="M22" s="31" t="n"/>
      <c r="N22" s="23" t="n"/>
      <c r="O22" s="30" t="n"/>
      <c r="P22" s="29">
        <f>IF($C22="","",ROUND(IF($E22="1-CRITICAL",7,IF($E22="2-HIGH",14,IF($E22="3-MEDIUM",30,45)))*(1+IF($I22="",0,$I22)/400),0))</f>
        <v/>
      </c>
      <c r="Q22" s="32">
        <f>IF(OR($C22="",$O22=""),"",$O22+$P22)</f>
        <v/>
      </c>
      <c r="R22" s="31" t="n"/>
      <c r="S22" s="33" t="n"/>
      <c r="T22" s="29">
        <f>IF($C22="","",IF($R22="CLOSED","Closed",IF($R22="RESOLVED","Resolved",IF($R22="BLOCKED","BLOCKED",IF($I22&gt;=200,"CRITICAL",IF($I22&gt;=100,"High",IF($E22="1-CRITICAL","High","On track")))))))</f>
        <v/>
      </c>
      <c r="U22" s="34">
        <f>IF($C22="","",IF($R22="CLOSED","Closed - capture lessons learned in PDCA Act phase.",IF($I22&gt;=200,"CRITICAL (RPN "&amp;$I22&amp;"): Escalate today. Open FMEA action + daily PDCA. Owner "&amp;IF($M22="","?",$M22)&amp;". Apply "&amp;IF($L22="","a Lean method",$L22)&amp;". Close by "&amp;IF($Q22="","ASAP",TEXT($Q22,"dd-mmm"))&amp;".",IF($I22&gt;=100,"HIGH (RPN "&amp;$I22&amp;"): Add to current sprint. Mitigate via "&amp;IF($L22="","Standard Work",$L22)&amp;". Review weekly with "&amp;IF($M22="","owner",$M22)&amp;".",IF(OR($E22="1-CRITICAL",$E22="2-HIGH"),"Priority case: schedule "&amp;IF($L22="","a Lean workshop",$L22)&amp;" within 2 weeks. Track to "&amp;IF($N22="","target",$N22)&amp;".","Monitor: apply "&amp;IF($L22="","standard cadence",$L22)&amp;". Re-score if conditions change.")))))</f>
        <v/>
      </c>
      <c r="V22">
        <f>IF($C22="","",IF($I22="",0,$I22)+ROW()/100000)</f>
        <v/>
      </c>
    </row>
    <row r="23">
      <c r="A23" s="29">
        <f>IF($C23="","",TEXT(20,"\C\A\S\E-000"))</f>
        <v/>
      </c>
      <c r="B23" s="30" t="n"/>
      <c r="C23" s="23" t="n"/>
      <c r="D23" s="31" t="n"/>
      <c r="E23" s="31" t="n"/>
      <c r="F23" s="31" t="n"/>
      <c r="G23" s="31" t="n"/>
      <c r="H23" s="31" t="n"/>
      <c r="I23" s="29">
        <f>IF($C23="","",IF(COUNT(F23,G23,H23)=3,F23*G23*H23,""))</f>
        <v/>
      </c>
      <c r="J23" s="29">
        <f>IF($I23="","",IF($I23&gt;=200,"1-CRITICAL",IF($I23&gt;=100,"2-HIGH",IF($I23&gt;=50,"3-MEDIUM","4-LOW"))))</f>
        <v/>
      </c>
      <c r="K23" s="23" t="n"/>
      <c r="L23" s="31" t="n"/>
      <c r="M23" s="31" t="n"/>
      <c r="N23" s="23" t="n"/>
      <c r="O23" s="30" t="n"/>
      <c r="P23" s="29">
        <f>IF($C23="","",ROUND(IF($E23="1-CRITICAL",7,IF($E23="2-HIGH",14,IF($E23="3-MEDIUM",30,45)))*(1+IF($I23="",0,$I23)/400),0))</f>
        <v/>
      </c>
      <c r="Q23" s="32">
        <f>IF(OR($C23="",$O23=""),"",$O23+$P23)</f>
        <v/>
      </c>
      <c r="R23" s="31" t="n"/>
      <c r="S23" s="33" t="n"/>
      <c r="T23" s="29">
        <f>IF($C23="","",IF($R23="CLOSED","Closed",IF($R23="RESOLVED","Resolved",IF($R23="BLOCKED","BLOCKED",IF($I23&gt;=200,"CRITICAL",IF($I23&gt;=100,"High",IF($E23="1-CRITICAL","High","On track")))))))</f>
        <v/>
      </c>
      <c r="U23" s="34">
        <f>IF($C23="","",IF($R23="CLOSED","Closed - capture lessons learned in PDCA Act phase.",IF($I23&gt;=200,"CRITICAL (RPN "&amp;$I23&amp;"): Escalate today. Open FMEA action + daily PDCA. Owner "&amp;IF($M23="","?",$M23)&amp;". Apply "&amp;IF($L23="","a Lean method",$L23)&amp;". Close by "&amp;IF($Q23="","ASAP",TEXT($Q23,"dd-mmm"))&amp;".",IF($I23&gt;=100,"HIGH (RPN "&amp;$I23&amp;"): Add to current sprint. Mitigate via "&amp;IF($L23="","Standard Work",$L23)&amp;". Review weekly with "&amp;IF($M23="","owner",$M23)&amp;".",IF(OR($E23="1-CRITICAL",$E23="2-HIGH"),"Priority case: schedule "&amp;IF($L23="","a Lean workshop",$L23)&amp;" within 2 weeks. Track to "&amp;IF($N23="","target",$N23)&amp;".","Monitor: apply "&amp;IF($L23="","standard cadence",$L23)&amp;". Re-score if conditions change.")))))</f>
        <v/>
      </c>
      <c r="V23">
        <f>IF($C23="","",IF($I23="",0,$I23)+ROW()/100000)</f>
        <v/>
      </c>
    </row>
    <row r="24">
      <c r="A24" s="29">
        <f>IF($C24="","",TEXT(21,"\C\A\S\E-000"))</f>
        <v/>
      </c>
      <c r="B24" s="30" t="n"/>
      <c r="C24" s="23" t="n"/>
      <c r="D24" s="31" t="n"/>
      <c r="E24" s="31" t="n"/>
      <c r="F24" s="31" t="n"/>
      <c r="G24" s="31" t="n"/>
      <c r="H24" s="31" t="n"/>
      <c r="I24" s="29">
        <f>IF($C24="","",IF(COUNT(F24,G24,H24)=3,F24*G24*H24,""))</f>
        <v/>
      </c>
      <c r="J24" s="29">
        <f>IF($I24="","",IF($I24&gt;=200,"1-CRITICAL",IF($I24&gt;=100,"2-HIGH",IF($I24&gt;=50,"3-MEDIUM","4-LOW"))))</f>
        <v/>
      </c>
      <c r="K24" s="23" t="n"/>
      <c r="L24" s="31" t="n"/>
      <c r="M24" s="31" t="n"/>
      <c r="N24" s="23" t="n"/>
      <c r="O24" s="30" t="n"/>
      <c r="P24" s="29">
        <f>IF($C24="","",ROUND(IF($E24="1-CRITICAL",7,IF($E24="2-HIGH",14,IF($E24="3-MEDIUM",30,45)))*(1+IF($I24="",0,$I24)/400),0))</f>
        <v/>
      </c>
      <c r="Q24" s="32">
        <f>IF(OR($C24="",$O24=""),"",$O24+$P24)</f>
        <v/>
      </c>
      <c r="R24" s="31" t="n"/>
      <c r="S24" s="33" t="n"/>
      <c r="T24" s="29">
        <f>IF($C24="","",IF($R24="CLOSED","Closed",IF($R24="RESOLVED","Resolved",IF($R24="BLOCKED","BLOCKED",IF($I24&gt;=200,"CRITICAL",IF($I24&gt;=100,"High",IF($E24="1-CRITICAL","High","On track")))))))</f>
        <v/>
      </c>
      <c r="U24" s="34">
        <f>IF($C24="","",IF($R24="CLOSED","Closed - capture lessons learned in PDCA Act phase.",IF($I24&gt;=200,"CRITICAL (RPN "&amp;$I24&amp;"): Escalate today. Open FMEA action + daily PDCA. Owner "&amp;IF($M24="","?",$M24)&amp;". Apply "&amp;IF($L24="","a Lean method",$L24)&amp;". Close by "&amp;IF($Q24="","ASAP",TEXT($Q24,"dd-mmm"))&amp;".",IF($I24&gt;=100,"HIGH (RPN "&amp;$I24&amp;"): Add to current sprint. Mitigate via "&amp;IF($L24="","Standard Work",$L24)&amp;". Review weekly with "&amp;IF($M24="","owner",$M24)&amp;".",IF(OR($E24="1-CRITICAL",$E24="2-HIGH"),"Priority case: schedule "&amp;IF($L24="","a Lean workshop",$L24)&amp;" within 2 weeks. Track to "&amp;IF($N24="","target",$N24)&amp;".","Monitor: apply "&amp;IF($L24="","standard cadence",$L24)&amp;". Re-score if conditions change.")))))</f>
        <v/>
      </c>
      <c r="V24">
        <f>IF($C24="","",IF($I24="",0,$I24)+ROW()/100000)</f>
        <v/>
      </c>
    </row>
    <row r="25">
      <c r="A25" s="29">
        <f>IF($C25="","",TEXT(22,"\C\A\S\E-000"))</f>
        <v/>
      </c>
      <c r="B25" s="30" t="n"/>
      <c r="C25" s="23" t="n"/>
      <c r="D25" s="31" t="n"/>
      <c r="E25" s="31" t="n"/>
      <c r="F25" s="31" t="n"/>
      <c r="G25" s="31" t="n"/>
      <c r="H25" s="31" t="n"/>
      <c r="I25" s="29">
        <f>IF($C25="","",IF(COUNT(F25,G25,H25)=3,F25*G25*H25,""))</f>
        <v/>
      </c>
      <c r="J25" s="29">
        <f>IF($I25="","",IF($I25&gt;=200,"1-CRITICAL",IF($I25&gt;=100,"2-HIGH",IF($I25&gt;=50,"3-MEDIUM","4-LOW"))))</f>
        <v/>
      </c>
      <c r="K25" s="23" t="n"/>
      <c r="L25" s="31" t="n"/>
      <c r="M25" s="31" t="n"/>
      <c r="N25" s="23" t="n"/>
      <c r="O25" s="30" t="n"/>
      <c r="P25" s="29">
        <f>IF($C25="","",ROUND(IF($E25="1-CRITICAL",7,IF($E25="2-HIGH",14,IF($E25="3-MEDIUM",30,45)))*(1+IF($I25="",0,$I25)/400),0))</f>
        <v/>
      </c>
      <c r="Q25" s="32">
        <f>IF(OR($C25="",$O25=""),"",$O25+$P25)</f>
        <v/>
      </c>
      <c r="R25" s="31" t="n"/>
      <c r="S25" s="33" t="n"/>
      <c r="T25" s="29">
        <f>IF($C25="","",IF($R25="CLOSED","Closed",IF($R25="RESOLVED","Resolved",IF($R25="BLOCKED","BLOCKED",IF($I25&gt;=200,"CRITICAL",IF($I25&gt;=100,"High",IF($E25="1-CRITICAL","High","On track")))))))</f>
        <v/>
      </c>
      <c r="U25" s="34">
        <f>IF($C25="","",IF($R25="CLOSED","Closed - capture lessons learned in PDCA Act phase.",IF($I25&gt;=200,"CRITICAL (RPN "&amp;$I25&amp;"): Escalate today. Open FMEA action + daily PDCA. Owner "&amp;IF($M25="","?",$M25)&amp;". Apply "&amp;IF($L25="","a Lean method",$L25)&amp;". Close by "&amp;IF($Q25="","ASAP",TEXT($Q25,"dd-mmm"))&amp;".",IF($I25&gt;=100,"HIGH (RPN "&amp;$I25&amp;"): Add to current sprint. Mitigate via "&amp;IF($L25="","Standard Work",$L25)&amp;". Review weekly with "&amp;IF($M25="","owner",$M25)&amp;".",IF(OR($E25="1-CRITICAL",$E25="2-HIGH"),"Priority case: schedule "&amp;IF($L25="","a Lean workshop",$L25)&amp;" within 2 weeks. Track to "&amp;IF($N25="","target",$N25)&amp;".","Monitor: apply "&amp;IF($L25="","standard cadence",$L25)&amp;". Re-score if conditions change.")))))</f>
        <v/>
      </c>
      <c r="V25">
        <f>IF($C25="","",IF($I25="",0,$I25)+ROW()/100000)</f>
        <v/>
      </c>
    </row>
    <row r="26">
      <c r="A26" s="29">
        <f>IF($C26="","",TEXT(23,"\C\A\S\E-000"))</f>
        <v/>
      </c>
      <c r="B26" s="30" t="n"/>
      <c r="C26" s="23" t="n"/>
      <c r="D26" s="31" t="n"/>
      <c r="E26" s="31" t="n"/>
      <c r="F26" s="31" t="n"/>
      <c r="G26" s="31" t="n"/>
      <c r="H26" s="31" t="n"/>
      <c r="I26" s="29">
        <f>IF($C26="","",IF(COUNT(F26,G26,H26)=3,F26*G26*H26,""))</f>
        <v/>
      </c>
      <c r="J26" s="29">
        <f>IF($I26="","",IF($I26&gt;=200,"1-CRITICAL",IF($I26&gt;=100,"2-HIGH",IF($I26&gt;=50,"3-MEDIUM","4-LOW"))))</f>
        <v/>
      </c>
      <c r="K26" s="23" t="n"/>
      <c r="L26" s="31" t="n"/>
      <c r="M26" s="31" t="n"/>
      <c r="N26" s="23" t="n"/>
      <c r="O26" s="30" t="n"/>
      <c r="P26" s="29">
        <f>IF($C26="","",ROUND(IF($E26="1-CRITICAL",7,IF($E26="2-HIGH",14,IF($E26="3-MEDIUM",30,45)))*(1+IF($I26="",0,$I26)/400),0))</f>
        <v/>
      </c>
      <c r="Q26" s="32">
        <f>IF(OR($C26="",$O26=""),"",$O26+$P26)</f>
        <v/>
      </c>
      <c r="R26" s="31" t="n"/>
      <c r="S26" s="33" t="n"/>
      <c r="T26" s="29">
        <f>IF($C26="","",IF($R26="CLOSED","Closed",IF($R26="RESOLVED","Resolved",IF($R26="BLOCKED","BLOCKED",IF($I26&gt;=200,"CRITICAL",IF($I26&gt;=100,"High",IF($E26="1-CRITICAL","High","On track")))))))</f>
        <v/>
      </c>
      <c r="U26" s="34">
        <f>IF($C26="","",IF($R26="CLOSED","Closed - capture lessons learned in PDCA Act phase.",IF($I26&gt;=200,"CRITICAL (RPN "&amp;$I26&amp;"): Escalate today. Open FMEA action + daily PDCA. Owner "&amp;IF($M26="","?",$M26)&amp;". Apply "&amp;IF($L26="","a Lean method",$L26)&amp;". Close by "&amp;IF($Q26="","ASAP",TEXT($Q26,"dd-mmm"))&amp;".",IF($I26&gt;=100,"HIGH (RPN "&amp;$I26&amp;"): Add to current sprint. Mitigate via "&amp;IF($L26="","Standard Work",$L26)&amp;". Review weekly with "&amp;IF($M26="","owner",$M26)&amp;".",IF(OR($E26="1-CRITICAL",$E26="2-HIGH"),"Priority case: schedule "&amp;IF($L26="","a Lean workshop",$L26)&amp;" within 2 weeks. Track to "&amp;IF($N26="","target",$N26)&amp;".","Monitor: apply "&amp;IF($L26="","standard cadence",$L26)&amp;". Re-score if conditions change.")))))</f>
        <v/>
      </c>
      <c r="V26">
        <f>IF($C26="","",IF($I26="",0,$I26)+ROW()/100000)</f>
        <v/>
      </c>
    </row>
    <row r="27">
      <c r="A27" s="29">
        <f>IF($C27="","",TEXT(24,"\C\A\S\E-000"))</f>
        <v/>
      </c>
      <c r="B27" s="30" t="n"/>
      <c r="C27" s="23" t="n"/>
      <c r="D27" s="31" t="n"/>
      <c r="E27" s="31" t="n"/>
      <c r="F27" s="31" t="n"/>
      <c r="G27" s="31" t="n"/>
      <c r="H27" s="31" t="n"/>
      <c r="I27" s="29">
        <f>IF($C27="","",IF(COUNT(F27,G27,H27)=3,F27*G27*H27,""))</f>
        <v/>
      </c>
      <c r="J27" s="29">
        <f>IF($I27="","",IF($I27&gt;=200,"1-CRITICAL",IF($I27&gt;=100,"2-HIGH",IF($I27&gt;=50,"3-MEDIUM","4-LOW"))))</f>
        <v/>
      </c>
      <c r="K27" s="23" t="n"/>
      <c r="L27" s="31" t="n"/>
      <c r="M27" s="31" t="n"/>
      <c r="N27" s="23" t="n"/>
      <c r="O27" s="30" t="n"/>
      <c r="P27" s="29">
        <f>IF($C27="","",ROUND(IF($E27="1-CRITICAL",7,IF($E27="2-HIGH",14,IF($E27="3-MEDIUM",30,45)))*(1+IF($I27="",0,$I27)/400),0))</f>
        <v/>
      </c>
      <c r="Q27" s="32">
        <f>IF(OR($C27="",$O27=""),"",$O27+$P27)</f>
        <v/>
      </c>
      <c r="R27" s="31" t="n"/>
      <c r="S27" s="33" t="n"/>
      <c r="T27" s="29">
        <f>IF($C27="","",IF($R27="CLOSED","Closed",IF($R27="RESOLVED","Resolved",IF($R27="BLOCKED","BLOCKED",IF($I27&gt;=200,"CRITICAL",IF($I27&gt;=100,"High",IF($E27="1-CRITICAL","High","On track")))))))</f>
        <v/>
      </c>
      <c r="U27" s="34">
        <f>IF($C27="","",IF($R27="CLOSED","Closed - capture lessons learned in PDCA Act phase.",IF($I27&gt;=200,"CRITICAL (RPN "&amp;$I27&amp;"): Escalate today. Open FMEA action + daily PDCA. Owner "&amp;IF($M27="","?",$M27)&amp;". Apply "&amp;IF($L27="","a Lean method",$L27)&amp;". Close by "&amp;IF($Q27="","ASAP",TEXT($Q27,"dd-mmm"))&amp;".",IF($I27&gt;=100,"HIGH (RPN "&amp;$I27&amp;"): Add to current sprint. Mitigate via "&amp;IF($L27="","Standard Work",$L27)&amp;". Review weekly with "&amp;IF($M27="","owner",$M27)&amp;".",IF(OR($E27="1-CRITICAL",$E27="2-HIGH"),"Priority case: schedule "&amp;IF($L27="","a Lean workshop",$L27)&amp;" within 2 weeks. Track to "&amp;IF($N27="","target",$N27)&amp;".","Monitor: apply "&amp;IF($L27="","standard cadence",$L27)&amp;". Re-score if conditions change.")))))</f>
        <v/>
      </c>
      <c r="V27">
        <f>IF($C27="","",IF($I27="",0,$I27)+ROW()/100000)</f>
        <v/>
      </c>
    </row>
    <row r="28">
      <c r="A28" s="29">
        <f>IF($C28="","",TEXT(25,"\C\A\S\E-000"))</f>
        <v/>
      </c>
      <c r="B28" s="30" t="n"/>
      <c r="C28" s="23" t="n"/>
      <c r="D28" s="31" t="n"/>
      <c r="E28" s="31" t="n"/>
      <c r="F28" s="31" t="n"/>
      <c r="G28" s="31" t="n"/>
      <c r="H28" s="31" t="n"/>
      <c r="I28" s="29">
        <f>IF($C28="","",IF(COUNT(F28,G28,H28)=3,F28*G28*H28,""))</f>
        <v/>
      </c>
      <c r="J28" s="29">
        <f>IF($I28="","",IF($I28&gt;=200,"1-CRITICAL",IF($I28&gt;=100,"2-HIGH",IF($I28&gt;=50,"3-MEDIUM","4-LOW"))))</f>
        <v/>
      </c>
      <c r="K28" s="23" t="n"/>
      <c r="L28" s="31" t="n"/>
      <c r="M28" s="31" t="n"/>
      <c r="N28" s="23" t="n"/>
      <c r="O28" s="30" t="n"/>
      <c r="P28" s="29">
        <f>IF($C28="","",ROUND(IF($E28="1-CRITICAL",7,IF($E28="2-HIGH",14,IF($E28="3-MEDIUM",30,45)))*(1+IF($I28="",0,$I28)/400),0))</f>
        <v/>
      </c>
      <c r="Q28" s="32">
        <f>IF(OR($C28="",$O28=""),"",$O28+$P28)</f>
        <v/>
      </c>
      <c r="R28" s="31" t="n"/>
      <c r="S28" s="33" t="n"/>
      <c r="T28" s="29">
        <f>IF($C28="","",IF($R28="CLOSED","Closed",IF($R28="RESOLVED","Resolved",IF($R28="BLOCKED","BLOCKED",IF($I28&gt;=200,"CRITICAL",IF($I28&gt;=100,"High",IF($E28="1-CRITICAL","High","On track")))))))</f>
        <v/>
      </c>
      <c r="U28" s="34">
        <f>IF($C28="","",IF($R28="CLOSED","Closed - capture lessons learned in PDCA Act phase.",IF($I28&gt;=200,"CRITICAL (RPN "&amp;$I28&amp;"): Escalate today. Open FMEA action + daily PDCA. Owner "&amp;IF($M28="","?",$M28)&amp;". Apply "&amp;IF($L28="","a Lean method",$L28)&amp;". Close by "&amp;IF($Q28="","ASAP",TEXT($Q28,"dd-mmm"))&amp;".",IF($I28&gt;=100,"HIGH (RPN "&amp;$I28&amp;"): Add to current sprint. Mitigate via "&amp;IF($L28="","Standard Work",$L28)&amp;". Review weekly with "&amp;IF($M28="","owner",$M28)&amp;".",IF(OR($E28="1-CRITICAL",$E28="2-HIGH"),"Priority case: schedule "&amp;IF($L28="","a Lean workshop",$L28)&amp;" within 2 weeks. Track to "&amp;IF($N28="","target",$N28)&amp;".","Monitor: apply "&amp;IF($L28="","standard cadence",$L28)&amp;". Re-score if conditions change.")))))</f>
        <v/>
      </c>
      <c r="V28">
        <f>IF($C28="","",IF($I28="",0,$I28)+ROW()/100000)</f>
        <v/>
      </c>
    </row>
    <row r="29">
      <c r="A29" s="29">
        <f>IF($C29="","",TEXT(26,"\C\A\S\E-000"))</f>
        <v/>
      </c>
      <c r="B29" s="30" t="n"/>
      <c r="C29" s="23" t="n"/>
      <c r="D29" s="31" t="n"/>
      <c r="E29" s="31" t="n"/>
      <c r="F29" s="31" t="n"/>
      <c r="G29" s="31" t="n"/>
      <c r="H29" s="31" t="n"/>
      <c r="I29" s="29">
        <f>IF($C29="","",IF(COUNT(F29,G29,H29)=3,F29*G29*H29,""))</f>
        <v/>
      </c>
      <c r="J29" s="29">
        <f>IF($I29="","",IF($I29&gt;=200,"1-CRITICAL",IF($I29&gt;=100,"2-HIGH",IF($I29&gt;=50,"3-MEDIUM","4-LOW"))))</f>
        <v/>
      </c>
      <c r="K29" s="23" t="n"/>
      <c r="L29" s="31" t="n"/>
      <c r="M29" s="31" t="n"/>
      <c r="N29" s="23" t="n"/>
      <c r="O29" s="30" t="n"/>
      <c r="P29" s="29">
        <f>IF($C29="","",ROUND(IF($E29="1-CRITICAL",7,IF($E29="2-HIGH",14,IF($E29="3-MEDIUM",30,45)))*(1+IF($I29="",0,$I29)/400),0))</f>
        <v/>
      </c>
      <c r="Q29" s="32">
        <f>IF(OR($C29="",$O29=""),"",$O29+$P29)</f>
        <v/>
      </c>
      <c r="R29" s="31" t="n"/>
      <c r="S29" s="33" t="n"/>
      <c r="T29" s="29">
        <f>IF($C29="","",IF($R29="CLOSED","Closed",IF($R29="RESOLVED","Resolved",IF($R29="BLOCKED","BLOCKED",IF($I29&gt;=200,"CRITICAL",IF($I29&gt;=100,"High",IF($E29="1-CRITICAL","High","On track")))))))</f>
        <v/>
      </c>
      <c r="U29" s="34">
        <f>IF($C29="","",IF($R29="CLOSED","Closed - capture lessons learned in PDCA Act phase.",IF($I29&gt;=200,"CRITICAL (RPN "&amp;$I29&amp;"): Escalate today. Open FMEA action + daily PDCA. Owner "&amp;IF($M29="","?",$M29)&amp;". Apply "&amp;IF($L29="","a Lean method",$L29)&amp;". Close by "&amp;IF($Q29="","ASAP",TEXT($Q29,"dd-mmm"))&amp;".",IF($I29&gt;=100,"HIGH (RPN "&amp;$I29&amp;"): Add to current sprint. Mitigate via "&amp;IF($L29="","Standard Work",$L29)&amp;". Review weekly with "&amp;IF($M29="","owner",$M29)&amp;".",IF(OR($E29="1-CRITICAL",$E29="2-HIGH"),"Priority case: schedule "&amp;IF($L29="","a Lean workshop",$L29)&amp;" within 2 weeks. Track to "&amp;IF($N29="","target",$N29)&amp;".","Monitor: apply "&amp;IF($L29="","standard cadence",$L29)&amp;". Re-score if conditions change.")))))</f>
        <v/>
      </c>
      <c r="V29">
        <f>IF($C29="","",IF($I29="",0,$I29)+ROW()/100000)</f>
        <v/>
      </c>
    </row>
    <row r="30">
      <c r="A30" s="29">
        <f>IF($C30="","",TEXT(27,"\C\A\S\E-000"))</f>
        <v/>
      </c>
      <c r="B30" s="30" t="n"/>
      <c r="C30" s="23" t="n"/>
      <c r="D30" s="31" t="n"/>
      <c r="E30" s="31" t="n"/>
      <c r="F30" s="31" t="n"/>
      <c r="G30" s="31" t="n"/>
      <c r="H30" s="31" t="n"/>
      <c r="I30" s="29">
        <f>IF($C30="","",IF(COUNT(F30,G30,H30)=3,F30*G30*H30,""))</f>
        <v/>
      </c>
      <c r="J30" s="29">
        <f>IF($I30="","",IF($I30&gt;=200,"1-CRITICAL",IF($I30&gt;=100,"2-HIGH",IF($I30&gt;=50,"3-MEDIUM","4-LOW"))))</f>
        <v/>
      </c>
      <c r="K30" s="23" t="n"/>
      <c r="L30" s="31" t="n"/>
      <c r="M30" s="31" t="n"/>
      <c r="N30" s="23" t="n"/>
      <c r="O30" s="30" t="n"/>
      <c r="P30" s="29">
        <f>IF($C30="","",ROUND(IF($E30="1-CRITICAL",7,IF($E30="2-HIGH",14,IF($E30="3-MEDIUM",30,45)))*(1+IF($I30="",0,$I30)/400),0))</f>
        <v/>
      </c>
      <c r="Q30" s="32">
        <f>IF(OR($C30="",$O30=""),"",$O30+$P30)</f>
        <v/>
      </c>
      <c r="R30" s="31" t="n"/>
      <c r="S30" s="33" t="n"/>
      <c r="T30" s="29">
        <f>IF($C30="","",IF($R30="CLOSED","Closed",IF($R30="RESOLVED","Resolved",IF($R30="BLOCKED","BLOCKED",IF($I30&gt;=200,"CRITICAL",IF($I30&gt;=100,"High",IF($E30="1-CRITICAL","High","On track")))))))</f>
        <v/>
      </c>
      <c r="U30" s="34">
        <f>IF($C30="","",IF($R30="CLOSED","Closed - capture lessons learned in PDCA Act phase.",IF($I30&gt;=200,"CRITICAL (RPN "&amp;$I30&amp;"): Escalate today. Open FMEA action + daily PDCA. Owner "&amp;IF($M30="","?",$M30)&amp;". Apply "&amp;IF($L30="","a Lean method",$L30)&amp;". Close by "&amp;IF($Q30="","ASAP",TEXT($Q30,"dd-mmm"))&amp;".",IF($I30&gt;=100,"HIGH (RPN "&amp;$I30&amp;"): Add to current sprint. Mitigate via "&amp;IF($L30="","Standard Work",$L30)&amp;". Review weekly with "&amp;IF($M30="","owner",$M30)&amp;".",IF(OR($E30="1-CRITICAL",$E30="2-HIGH"),"Priority case: schedule "&amp;IF($L30="","a Lean workshop",$L30)&amp;" within 2 weeks. Track to "&amp;IF($N30="","target",$N30)&amp;".","Monitor: apply "&amp;IF($L30="","standard cadence",$L30)&amp;". Re-score if conditions change.")))))</f>
        <v/>
      </c>
      <c r="V30">
        <f>IF($C30="","",IF($I30="",0,$I30)+ROW()/100000)</f>
        <v/>
      </c>
    </row>
    <row r="31">
      <c r="A31" s="29">
        <f>IF($C31="","",TEXT(28,"\C\A\S\E-000"))</f>
        <v/>
      </c>
      <c r="B31" s="30" t="n"/>
      <c r="C31" s="23" t="n"/>
      <c r="D31" s="31" t="n"/>
      <c r="E31" s="31" t="n"/>
      <c r="F31" s="31" t="n"/>
      <c r="G31" s="31" t="n"/>
      <c r="H31" s="31" t="n"/>
      <c r="I31" s="29">
        <f>IF($C31="","",IF(COUNT(F31,G31,H31)=3,F31*G31*H31,""))</f>
        <v/>
      </c>
      <c r="J31" s="29">
        <f>IF($I31="","",IF($I31&gt;=200,"1-CRITICAL",IF($I31&gt;=100,"2-HIGH",IF($I31&gt;=50,"3-MEDIUM","4-LOW"))))</f>
        <v/>
      </c>
      <c r="K31" s="23" t="n"/>
      <c r="L31" s="31" t="n"/>
      <c r="M31" s="31" t="n"/>
      <c r="N31" s="23" t="n"/>
      <c r="O31" s="30" t="n"/>
      <c r="P31" s="29">
        <f>IF($C31="","",ROUND(IF($E31="1-CRITICAL",7,IF($E31="2-HIGH",14,IF($E31="3-MEDIUM",30,45)))*(1+IF($I31="",0,$I31)/400),0))</f>
        <v/>
      </c>
      <c r="Q31" s="32">
        <f>IF(OR($C31="",$O31=""),"",$O31+$P31)</f>
        <v/>
      </c>
      <c r="R31" s="31" t="n"/>
      <c r="S31" s="33" t="n"/>
      <c r="T31" s="29">
        <f>IF($C31="","",IF($R31="CLOSED","Closed",IF($R31="RESOLVED","Resolved",IF($R31="BLOCKED","BLOCKED",IF($I31&gt;=200,"CRITICAL",IF($I31&gt;=100,"High",IF($E31="1-CRITICAL","High","On track")))))))</f>
        <v/>
      </c>
      <c r="U31" s="34">
        <f>IF($C31="","",IF($R31="CLOSED","Closed - capture lessons learned in PDCA Act phase.",IF($I31&gt;=200,"CRITICAL (RPN "&amp;$I31&amp;"): Escalate today. Open FMEA action + daily PDCA. Owner "&amp;IF($M31="","?",$M31)&amp;". Apply "&amp;IF($L31="","a Lean method",$L31)&amp;". Close by "&amp;IF($Q31="","ASAP",TEXT($Q31,"dd-mmm"))&amp;".",IF($I31&gt;=100,"HIGH (RPN "&amp;$I31&amp;"): Add to current sprint. Mitigate via "&amp;IF($L31="","Standard Work",$L31)&amp;". Review weekly with "&amp;IF($M31="","owner",$M31)&amp;".",IF(OR($E31="1-CRITICAL",$E31="2-HIGH"),"Priority case: schedule "&amp;IF($L31="","a Lean workshop",$L31)&amp;" within 2 weeks. Track to "&amp;IF($N31="","target",$N31)&amp;".","Monitor: apply "&amp;IF($L31="","standard cadence",$L31)&amp;". Re-score if conditions change.")))))</f>
        <v/>
      </c>
      <c r="V31">
        <f>IF($C31="","",IF($I31="",0,$I31)+ROW()/100000)</f>
        <v/>
      </c>
    </row>
    <row r="32">
      <c r="A32" s="29">
        <f>IF($C32="","",TEXT(29,"\C\A\S\E-000"))</f>
        <v/>
      </c>
      <c r="B32" s="30" t="n"/>
      <c r="C32" s="23" t="n"/>
      <c r="D32" s="31" t="n"/>
      <c r="E32" s="31" t="n"/>
      <c r="F32" s="31" t="n"/>
      <c r="G32" s="31" t="n"/>
      <c r="H32" s="31" t="n"/>
      <c r="I32" s="29">
        <f>IF($C32="","",IF(COUNT(F32,G32,H32)=3,F32*G32*H32,""))</f>
        <v/>
      </c>
      <c r="J32" s="29">
        <f>IF($I32="","",IF($I32&gt;=200,"1-CRITICAL",IF($I32&gt;=100,"2-HIGH",IF($I32&gt;=50,"3-MEDIUM","4-LOW"))))</f>
        <v/>
      </c>
      <c r="K32" s="23" t="n"/>
      <c r="L32" s="31" t="n"/>
      <c r="M32" s="31" t="n"/>
      <c r="N32" s="23" t="n"/>
      <c r="O32" s="30" t="n"/>
      <c r="P32" s="29">
        <f>IF($C32="","",ROUND(IF($E32="1-CRITICAL",7,IF($E32="2-HIGH",14,IF($E32="3-MEDIUM",30,45)))*(1+IF($I32="",0,$I32)/400),0))</f>
        <v/>
      </c>
      <c r="Q32" s="32">
        <f>IF(OR($C32="",$O32=""),"",$O32+$P32)</f>
        <v/>
      </c>
      <c r="R32" s="31" t="n"/>
      <c r="S32" s="33" t="n"/>
      <c r="T32" s="29">
        <f>IF($C32="","",IF($R32="CLOSED","Closed",IF($R32="RESOLVED","Resolved",IF($R32="BLOCKED","BLOCKED",IF($I32&gt;=200,"CRITICAL",IF($I32&gt;=100,"High",IF($E32="1-CRITICAL","High","On track")))))))</f>
        <v/>
      </c>
      <c r="U32" s="34">
        <f>IF($C32="","",IF($R32="CLOSED","Closed - capture lessons learned in PDCA Act phase.",IF($I32&gt;=200,"CRITICAL (RPN "&amp;$I32&amp;"): Escalate today. Open FMEA action + daily PDCA. Owner "&amp;IF($M32="","?",$M32)&amp;". Apply "&amp;IF($L32="","a Lean method",$L32)&amp;". Close by "&amp;IF($Q32="","ASAP",TEXT($Q32,"dd-mmm"))&amp;".",IF($I32&gt;=100,"HIGH (RPN "&amp;$I32&amp;"): Add to current sprint. Mitigate via "&amp;IF($L32="","Standard Work",$L32)&amp;". Review weekly with "&amp;IF($M32="","owner",$M32)&amp;".",IF(OR($E32="1-CRITICAL",$E32="2-HIGH"),"Priority case: schedule "&amp;IF($L32="","a Lean workshop",$L32)&amp;" within 2 weeks. Track to "&amp;IF($N32="","target",$N32)&amp;".","Monitor: apply "&amp;IF($L32="","standard cadence",$L32)&amp;". Re-score if conditions change.")))))</f>
        <v/>
      </c>
      <c r="V32">
        <f>IF($C32="","",IF($I32="",0,$I32)+ROW()/100000)</f>
        <v/>
      </c>
    </row>
    <row r="33">
      <c r="A33" s="29">
        <f>IF($C33="","",TEXT(30,"\C\A\S\E-000"))</f>
        <v/>
      </c>
      <c r="B33" s="30" t="n"/>
      <c r="C33" s="23" t="n"/>
      <c r="D33" s="31" t="n"/>
      <c r="E33" s="31" t="n"/>
      <c r="F33" s="31" t="n"/>
      <c r="G33" s="31" t="n"/>
      <c r="H33" s="31" t="n"/>
      <c r="I33" s="29">
        <f>IF($C33="","",IF(COUNT(F33,G33,H33)=3,F33*G33*H33,""))</f>
        <v/>
      </c>
      <c r="J33" s="29">
        <f>IF($I33="","",IF($I33&gt;=200,"1-CRITICAL",IF($I33&gt;=100,"2-HIGH",IF($I33&gt;=50,"3-MEDIUM","4-LOW"))))</f>
        <v/>
      </c>
      <c r="K33" s="23" t="n"/>
      <c r="L33" s="31" t="n"/>
      <c r="M33" s="31" t="n"/>
      <c r="N33" s="23" t="n"/>
      <c r="O33" s="30" t="n"/>
      <c r="P33" s="29">
        <f>IF($C33="","",ROUND(IF($E33="1-CRITICAL",7,IF($E33="2-HIGH",14,IF($E33="3-MEDIUM",30,45)))*(1+IF($I33="",0,$I33)/400),0))</f>
        <v/>
      </c>
      <c r="Q33" s="32">
        <f>IF(OR($C33="",$O33=""),"",$O33+$P33)</f>
        <v/>
      </c>
      <c r="R33" s="31" t="n"/>
      <c r="S33" s="33" t="n"/>
      <c r="T33" s="29">
        <f>IF($C33="","",IF($R33="CLOSED","Closed",IF($R33="RESOLVED","Resolved",IF($R33="BLOCKED","BLOCKED",IF($I33&gt;=200,"CRITICAL",IF($I33&gt;=100,"High",IF($E33="1-CRITICAL","High","On track")))))))</f>
        <v/>
      </c>
      <c r="U33" s="34">
        <f>IF($C33="","",IF($R33="CLOSED","Closed - capture lessons learned in PDCA Act phase.",IF($I33&gt;=200,"CRITICAL (RPN "&amp;$I33&amp;"): Escalate today. Open FMEA action + daily PDCA. Owner "&amp;IF($M33="","?",$M33)&amp;". Apply "&amp;IF($L33="","a Lean method",$L33)&amp;". Close by "&amp;IF($Q33="","ASAP",TEXT($Q33,"dd-mmm"))&amp;".",IF($I33&gt;=100,"HIGH (RPN "&amp;$I33&amp;"): Add to current sprint. Mitigate via "&amp;IF($L33="","Standard Work",$L33)&amp;". Review weekly with "&amp;IF($M33="","owner",$M33)&amp;".",IF(OR($E33="1-CRITICAL",$E33="2-HIGH"),"Priority case: schedule "&amp;IF($L33="","a Lean workshop",$L33)&amp;" within 2 weeks. Track to "&amp;IF($N33="","target",$N33)&amp;".","Monitor: apply "&amp;IF($L33="","standard cadence",$L33)&amp;". Re-score if conditions change.")))))</f>
        <v/>
      </c>
      <c r="V33">
        <f>IF($C33="","",IF($I33="",0,$I33)+ROW()/100000)</f>
        <v/>
      </c>
    </row>
    <row r="34">
      <c r="A34" s="29">
        <f>IF($C34="","",TEXT(31,"\C\A\S\E-000"))</f>
        <v/>
      </c>
      <c r="B34" s="30" t="n"/>
      <c r="C34" s="23" t="n"/>
      <c r="D34" s="31" t="n"/>
      <c r="E34" s="31" t="n"/>
      <c r="F34" s="31" t="n"/>
      <c r="G34" s="31" t="n"/>
      <c r="H34" s="31" t="n"/>
      <c r="I34" s="29">
        <f>IF($C34="","",IF(COUNT(F34,G34,H34)=3,F34*G34*H34,""))</f>
        <v/>
      </c>
      <c r="J34" s="29">
        <f>IF($I34="","",IF($I34&gt;=200,"1-CRITICAL",IF($I34&gt;=100,"2-HIGH",IF($I34&gt;=50,"3-MEDIUM","4-LOW"))))</f>
        <v/>
      </c>
      <c r="K34" s="23" t="n"/>
      <c r="L34" s="31" t="n"/>
      <c r="M34" s="31" t="n"/>
      <c r="N34" s="23" t="n"/>
      <c r="O34" s="30" t="n"/>
      <c r="P34" s="29">
        <f>IF($C34="","",ROUND(IF($E34="1-CRITICAL",7,IF($E34="2-HIGH",14,IF($E34="3-MEDIUM",30,45)))*(1+IF($I34="",0,$I34)/400),0))</f>
        <v/>
      </c>
      <c r="Q34" s="32">
        <f>IF(OR($C34="",$O34=""),"",$O34+$P34)</f>
        <v/>
      </c>
      <c r="R34" s="31" t="n"/>
      <c r="S34" s="33" t="n"/>
      <c r="T34" s="29">
        <f>IF($C34="","",IF($R34="CLOSED","Closed",IF($R34="RESOLVED","Resolved",IF($R34="BLOCKED","BLOCKED",IF($I34&gt;=200,"CRITICAL",IF($I34&gt;=100,"High",IF($E34="1-CRITICAL","High","On track")))))))</f>
        <v/>
      </c>
      <c r="U34" s="34">
        <f>IF($C34="","",IF($R34="CLOSED","Closed - capture lessons learned in PDCA Act phase.",IF($I34&gt;=200,"CRITICAL (RPN "&amp;$I34&amp;"): Escalate today. Open FMEA action + daily PDCA. Owner "&amp;IF($M34="","?",$M34)&amp;". Apply "&amp;IF($L34="","a Lean method",$L34)&amp;". Close by "&amp;IF($Q34="","ASAP",TEXT($Q34,"dd-mmm"))&amp;".",IF($I34&gt;=100,"HIGH (RPN "&amp;$I34&amp;"): Add to current sprint. Mitigate via "&amp;IF($L34="","Standard Work",$L34)&amp;". Review weekly with "&amp;IF($M34="","owner",$M34)&amp;".",IF(OR($E34="1-CRITICAL",$E34="2-HIGH"),"Priority case: schedule "&amp;IF($L34="","a Lean workshop",$L34)&amp;" within 2 weeks. Track to "&amp;IF($N34="","target",$N34)&amp;".","Monitor: apply "&amp;IF($L34="","standard cadence",$L34)&amp;". Re-score if conditions change.")))))</f>
        <v/>
      </c>
      <c r="V34">
        <f>IF($C34="","",IF($I34="",0,$I34)+ROW()/100000)</f>
        <v/>
      </c>
    </row>
    <row r="35">
      <c r="A35" s="29">
        <f>IF($C35="","",TEXT(32,"\C\A\S\E-000"))</f>
        <v/>
      </c>
      <c r="B35" s="30" t="n"/>
      <c r="C35" s="23" t="n"/>
      <c r="D35" s="31" t="n"/>
      <c r="E35" s="31" t="n"/>
      <c r="F35" s="31" t="n"/>
      <c r="G35" s="31" t="n"/>
      <c r="H35" s="31" t="n"/>
      <c r="I35" s="29">
        <f>IF($C35="","",IF(COUNT(F35,G35,H35)=3,F35*G35*H35,""))</f>
        <v/>
      </c>
      <c r="J35" s="29">
        <f>IF($I35="","",IF($I35&gt;=200,"1-CRITICAL",IF($I35&gt;=100,"2-HIGH",IF($I35&gt;=50,"3-MEDIUM","4-LOW"))))</f>
        <v/>
      </c>
      <c r="K35" s="23" t="n"/>
      <c r="L35" s="31" t="n"/>
      <c r="M35" s="31" t="n"/>
      <c r="N35" s="23" t="n"/>
      <c r="O35" s="30" t="n"/>
      <c r="P35" s="29">
        <f>IF($C35="","",ROUND(IF($E35="1-CRITICAL",7,IF($E35="2-HIGH",14,IF($E35="3-MEDIUM",30,45)))*(1+IF($I35="",0,$I35)/400),0))</f>
        <v/>
      </c>
      <c r="Q35" s="32">
        <f>IF(OR($C35="",$O35=""),"",$O35+$P35)</f>
        <v/>
      </c>
      <c r="R35" s="31" t="n"/>
      <c r="S35" s="33" t="n"/>
      <c r="T35" s="29">
        <f>IF($C35="","",IF($R35="CLOSED","Closed",IF($R35="RESOLVED","Resolved",IF($R35="BLOCKED","BLOCKED",IF($I35&gt;=200,"CRITICAL",IF($I35&gt;=100,"High",IF($E35="1-CRITICAL","High","On track")))))))</f>
        <v/>
      </c>
      <c r="U35" s="34">
        <f>IF($C35="","",IF($R35="CLOSED","Closed - capture lessons learned in PDCA Act phase.",IF($I35&gt;=200,"CRITICAL (RPN "&amp;$I35&amp;"): Escalate today. Open FMEA action + daily PDCA. Owner "&amp;IF($M35="","?",$M35)&amp;". Apply "&amp;IF($L35="","a Lean method",$L35)&amp;". Close by "&amp;IF($Q35="","ASAP",TEXT($Q35,"dd-mmm"))&amp;".",IF($I35&gt;=100,"HIGH (RPN "&amp;$I35&amp;"): Add to current sprint. Mitigate via "&amp;IF($L35="","Standard Work",$L35)&amp;". Review weekly with "&amp;IF($M35="","owner",$M35)&amp;".",IF(OR($E35="1-CRITICAL",$E35="2-HIGH"),"Priority case: schedule "&amp;IF($L35="","a Lean workshop",$L35)&amp;" within 2 weeks. Track to "&amp;IF($N35="","target",$N35)&amp;".","Monitor: apply "&amp;IF($L35="","standard cadence",$L35)&amp;". Re-score if conditions change.")))))</f>
        <v/>
      </c>
      <c r="V35">
        <f>IF($C35="","",IF($I35="",0,$I35)+ROW()/100000)</f>
        <v/>
      </c>
    </row>
    <row r="36">
      <c r="A36" s="29">
        <f>IF($C36="","",TEXT(33,"\C\A\S\E-000"))</f>
        <v/>
      </c>
      <c r="B36" s="30" t="n"/>
      <c r="C36" s="23" t="n"/>
      <c r="D36" s="31" t="n"/>
      <c r="E36" s="31" t="n"/>
      <c r="F36" s="31" t="n"/>
      <c r="G36" s="31" t="n"/>
      <c r="H36" s="31" t="n"/>
      <c r="I36" s="29">
        <f>IF($C36="","",IF(COUNT(F36,G36,H36)=3,F36*G36*H36,""))</f>
        <v/>
      </c>
      <c r="J36" s="29">
        <f>IF($I36="","",IF($I36&gt;=200,"1-CRITICAL",IF($I36&gt;=100,"2-HIGH",IF($I36&gt;=50,"3-MEDIUM","4-LOW"))))</f>
        <v/>
      </c>
      <c r="K36" s="23" t="n"/>
      <c r="L36" s="31" t="n"/>
      <c r="M36" s="31" t="n"/>
      <c r="N36" s="23" t="n"/>
      <c r="O36" s="30" t="n"/>
      <c r="P36" s="29">
        <f>IF($C36="","",ROUND(IF($E36="1-CRITICAL",7,IF($E36="2-HIGH",14,IF($E36="3-MEDIUM",30,45)))*(1+IF($I36="",0,$I36)/400),0))</f>
        <v/>
      </c>
      <c r="Q36" s="32">
        <f>IF(OR($C36="",$O36=""),"",$O36+$P36)</f>
        <v/>
      </c>
      <c r="R36" s="31" t="n"/>
      <c r="S36" s="33" t="n"/>
      <c r="T36" s="29">
        <f>IF($C36="","",IF($R36="CLOSED","Closed",IF($R36="RESOLVED","Resolved",IF($R36="BLOCKED","BLOCKED",IF($I36&gt;=200,"CRITICAL",IF($I36&gt;=100,"High",IF($E36="1-CRITICAL","High","On track")))))))</f>
        <v/>
      </c>
      <c r="U36" s="34">
        <f>IF($C36="","",IF($R36="CLOSED","Closed - capture lessons learned in PDCA Act phase.",IF($I36&gt;=200,"CRITICAL (RPN "&amp;$I36&amp;"): Escalate today. Open FMEA action + daily PDCA. Owner "&amp;IF($M36="","?",$M36)&amp;". Apply "&amp;IF($L36="","a Lean method",$L36)&amp;". Close by "&amp;IF($Q36="","ASAP",TEXT($Q36,"dd-mmm"))&amp;".",IF($I36&gt;=100,"HIGH (RPN "&amp;$I36&amp;"): Add to current sprint. Mitigate via "&amp;IF($L36="","Standard Work",$L36)&amp;". Review weekly with "&amp;IF($M36="","owner",$M36)&amp;".",IF(OR($E36="1-CRITICAL",$E36="2-HIGH"),"Priority case: schedule "&amp;IF($L36="","a Lean workshop",$L36)&amp;" within 2 weeks. Track to "&amp;IF($N36="","target",$N36)&amp;".","Monitor: apply "&amp;IF($L36="","standard cadence",$L36)&amp;". Re-score if conditions change.")))))</f>
        <v/>
      </c>
      <c r="V36">
        <f>IF($C36="","",IF($I36="",0,$I36)+ROW()/100000)</f>
        <v/>
      </c>
    </row>
    <row r="37">
      <c r="A37" s="29">
        <f>IF($C37="","",TEXT(34,"\C\A\S\E-000"))</f>
        <v/>
      </c>
      <c r="B37" s="30" t="n"/>
      <c r="C37" s="23" t="n"/>
      <c r="D37" s="31" t="n"/>
      <c r="E37" s="31" t="n"/>
      <c r="F37" s="31" t="n"/>
      <c r="G37" s="31" t="n"/>
      <c r="H37" s="31" t="n"/>
      <c r="I37" s="29">
        <f>IF($C37="","",IF(COUNT(F37,G37,H37)=3,F37*G37*H37,""))</f>
        <v/>
      </c>
      <c r="J37" s="29">
        <f>IF($I37="","",IF($I37&gt;=200,"1-CRITICAL",IF($I37&gt;=100,"2-HIGH",IF($I37&gt;=50,"3-MEDIUM","4-LOW"))))</f>
        <v/>
      </c>
      <c r="K37" s="23" t="n"/>
      <c r="L37" s="31" t="n"/>
      <c r="M37" s="31" t="n"/>
      <c r="N37" s="23" t="n"/>
      <c r="O37" s="30" t="n"/>
      <c r="P37" s="29">
        <f>IF($C37="","",ROUND(IF($E37="1-CRITICAL",7,IF($E37="2-HIGH",14,IF($E37="3-MEDIUM",30,45)))*(1+IF($I37="",0,$I37)/400),0))</f>
        <v/>
      </c>
      <c r="Q37" s="32">
        <f>IF(OR($C37="",$O37=""),"",$O37+$P37)</f>
        <v/>
      </c>
      <c r="R37" s="31" t="n"/>
      <c r="S37" s="33" t="n"/>
      <c r="T37" s="29">
        <f>IF($C37="","",IF($R37="CLOSED","Closed",IF($R37="RESOLVED","Resolved",IF($R37="BLOCKED","BLOCKED",IF($I37&gt;=200,"CRITICAL",IF($I37&gt;=100,"High",IF($E37="1-CRITICAL","High","On track")))))))</f>
        <v/>
      </c>
      <c r="U37" s="34">
        <f>IF($C37="","",IF($R37="CLOSED","Closed - capture lessons learned in PDCA Act phase.",IF($I37&gt;=200,"CRITICAL (RPN "&amp;$I37&amp;"): Escalate today. Open FMEA action + daily PDCA. Owner "&amp;IF($M37="","?",$M37)&amp;". Apply "&amp;IF($L37="","a Lean method",$L37)&amp;". Close by "&amp;IF($Q37="","ASAP",TEXT($Q37,"dd-mmm"))&amp;".",IF($I37&gt;=100,"HIGH (RPN "&amp;$I37&amp;"): Add to current sprint. Mitigate via "&amp;IF($L37="","Standard Work",$L37)&amp;". Review weekly with "&amp;IF($M37="","owner",$M37)&amp;".",IF(OR($E37="1-CRITICAL",$E37="2-HIGH"),"Priority case: schedule "&amp;IF($L37="","a Lean workshop",$L37)&amp;" within 2 weeks. Track to "&amp;IF($N37="","target",$N37)&amp;".","Monitor: apply "&amp;IF($L37="","standard cadence",$L37)&amp;". Re-score if conditions change.")))))</f>
        <v/>
      </c>
      <c r="V37">
        <f>IF($C37="","",IF($I37="",0,$I37)+ROW()/100000)</f>
        <v/>
      </c>
    </row>
    <row r="38">
      <c r="A38" s="29">
        <f>IF($C38="","",TEXT(35,"\C\A\S\E-000"))</f>
        <v/>
      </c>
      <c r="B38" s="30" t="n"/>
      <c r="C38" s="23" t="n"/>
      <c r="D38" s="31" t="n"/>
      <c r="E38" s="31" t="n"/>
      <c r="F38" s="31" t="n"/>
      <c r="G38" s="31" t="n"/>
      <c r="H38" s="31" t="n"/>
      <c r="I38" s="29">
        <f>IF($C38="","",IF(COUNT(F38,G38,H38)=3,F38*G38*H38,""))</f>
        <v/>
      </c>
      <c r="J38" s="29">
        <f>IF($I38="","",IF($I38&gt;=200,"1-CRITICAL",IF($I38&gt;=100,"2-HIGH",IF($I38&gt;=50,"3-MEDIUM","4-LOW"))))</f>
        <v/>
      </c>
      <c r="K38" s="23" t="n"/>
      <c r="L38" s="31" t="n"/>
      <c r="M38" s="31" t="n"/>
      <c r="N38" s="23" t="n"/>
      <c r="O38" s="30" t="n"/>
      <c r="P38" s="29">
        <f>IF($C38="","",ROUND(IF($E38="1-CRITICAL",7,IF($E38="2-HIGH",14,IF($E38="3-MEDIUM",30,45)))*(1+IF($I38="",0,$I38)/400),0))</f>
        <v/>
      </c>
      <c r="Q38" s="32">
        <f>IF(OR($C38="",$O38=""),"",$O38+$P38)</f>
        <v/>
      </c>
      <c r="R38" s="31" t="n"/>
      <c r="S38" s="33" t="n"/>
      <c r="T38" s="29">
        <f>IF($C38="","",IF($R38="CLOSED","Closed",IF($R38="RESOLVED","Resolved",IF($R38="BLOCKED","BLOCKED",IF($I38&gt;=200,"CRITICAL",IF($I38&gt;=100,"High",IF($E38="1-CRITICAL","High","On track")))))))</f>
        <v/>
      </c>
      <c r="U38" s="34">
        <f>IF($C38="","",IF($R38="CLOSED","Closed - capture lessons learned in PDCA Act phase.",IF($I38&gt;=200,"CRITICAL (RPN "&amp;$I38&amp;"): Escalate today. Open FMEA action + daily PDCA. Owner "&amp;IF($M38="","?",$M38)&amp;". Apply "&amp;IF($L38="","a Lean method",$L38)&amp;". Close by "&amp;IF($Q38="","ASAP",TEXT($Q38,"dd-mmm"))&amp;".",IF($I38&gt;=100,"HIGH (RPN "&amp;$I38&amp;"): Add to current sprint. Mitigate via "&amp;IF($L38="","Standard Work",$L38)&amp;". Review weekly with "&amp;IF($M38="","owner",$M38)&amp;".",IF(OR($E38="1-CRITICAL",$E38="2-HIGH"),"Priority case: schedule "&amp;IF($L38="","a Lean workshop",$L38)&amp;" within 2 weeks. Track to "&amp;IF($N38="","target",$N38)&amp;".","Monitor: apply "&amp;IF($L38="","standard cadence",$L38)&amp;". Re-score if conditions change.")))))</f>
        <v/>
      </c>
      <c r="V38">
        <f>IF($C38="","",IF($I38="",0,$I38)+ROW()/100000)</f>
        <v/>
      </c>
    </row>
    <row r="39">
      <c r="A39" s="29">
        <f>IF($C39="","",TEXT(36,"\C\A\S\E-000"))</f>
        <v/>
      </c>
      <c r="B39" s="30" t="n"/>
      <c r="C39" s="23" t="n"/>
      <c r="D39" s="31" t="n"/>
      <c r="E39" s="31" t="n"/>
      <c r="F39" s="31" t="n"/>
      <c r="G39" s="31" t="n"/>
      <c r="H39" s="31" t="n"/>
      <c r="I39" s="29">
        <f>IF($C39="","",IF(COUNT(F39,G39,H39)=3,F39*G39*H39,""))</f>
        <v/>
      </c>
      <c r="J39" s="29">
        <f>IF($I39="","",IF($I39&gt;=200,"1-CRITICAL",IF($I39&gt;=100,"2-HIGH",IF($I39&gt;=50,"3-MEDIUM","4-LOW"))))</f>
        <v/>
      </c>
      <c r="K39" s="23" t="n"/>
      <c r="L39" s="31" t="n"/>
      <c r="M39" s="31" t="n"/>
      <c r="N39" s="23" t="n"/>
      <c r="O39" s="30" t="n"/>
      <c r="P39" s="29">
        <f>IF($C39="","",ROUND(IF($E39="1-CRITICAL",7,IF($E39="2-HIGH",14,IF($E39="3-MEDIUM",30,45)))*(1+IF($I39="",0,$I39)/400),0))</f>
        <v/>
      </c>
      <c r="Q39" s="32">
        <f>IF(OR($C39="",$O39=""),"",$O39+$P39)</f>
        <v/>
      </c>
      <c r="R39" s="31" t="n"/>
      <c r="S39" s="33" t="n"/>
      <c r="T39" s="29">
        <f>IF($C39="","",IF($R39="CLOSED","Closed",IF($R39="RESOLVED","Resolved",IF($R39="BLOCKED","BLOCKED",IF($I39&gt;=200,"CRITICAL",IF($I39&gt;=100,"High",IF($E39="1-CRITICAL","High","On track")))))))</f>
        <v/>
      </c>
      <c r="U39" s="34">
        <f>IF($C39="","",IF($R39="CLOSED","Closed - capture lessons learned in PDCA Act phase.",IF($I39&gt;=200,"CRITICAL (RPN "&amp;$I39&amp;"): Escalate today. Open FMEA action + daily PDCA. Owner "&amp;IF($M39="","?",$M39)&amp;". Apply "&amp;IF($L39="","a Lean method",$L39)&amp;". Close by "&amp;IF($Q39="","ASAP",TEXT($Q39,"dd-mmm"))&amp;".",IF($I39&gt;=100,"HIGH (RPN "&amp;$I39&amp;"): Add to current sprint. Mitigate via "&amp;IF($L39="","Standard Work",$L39)&amp;". Review weekly with "&amp;IF($M39="","owner",$M39)&amp;".",IF(OR($E39="1-CRITICAL",$E39="2-HIGH"),"Priority case: schedule "&amp;IF($L39="","a Lean workshop",$L39)&amp;" within 2 weeks. Track to "&amp;IF($N39="","target",$N39)&amp;".","Monitor: apply "&amp;IF($L39="","standard cadence",$L39)&amp;". Re-score if conditions change.")))))</f>
        <v/>
      </c>
      <c r="V39">
        <f>IF($C39="","",IF($I39="",0,$I39)+ROW()/100000)</f>
        <v/>
      </c>
    </row>
    <row r="40">
      <c r="A40" s="29">
        <f>IF($C40="","",TEXT(37,"\C\A\S\E-000"))</f>
        <v/>
      </c>
      <c r="B40" s="30" t="n"/>
      <c r="C40" s="23" t="n"/>
      <c r="D40" s="31" t="n"/>
      <c r="E40" s="31" t="n"/>
      <c r="F40" s="31" t="n"/>
      <c r="G40" s="31" t="n"/>
      <c r="H40" s="31" t="n"/>
      <c r="I40" s="29">
        <f>IF($C40="","",IF(COUNT(F40,G40,H40)=3,F40*G40*H40,""))</f>
        <v/>
      </c>
      <c r="J40" s="29">
        <f>IF($I40="","",IF($I40&gt;=200,"1-CRITICAL",IF($I40&gt;=100,"2-HIGH",IF($I40&gt;=50,"3-MEDIUM","4-LOW"))))</f>
        <v/>
      </c>
      <c r="K40" s="23" t="n"/>
      <c r="L40" s="31" t="n"/>
      <c r="M40" s="31" t="n"/>
      <c r="N40" s="23" t="n"/>
      <c r="O40" s="30" t="n"/>
      <c r="P40" s="29">
        <f>IF($C40="","",ROUND(IF($E40="1-CRITICAL",7,IF($E40="2-HIGH",14,IF($E40="3-MEDIUM",30,45)))*(1+IF($I40="",0,$I40)/400),0))</f>
        <v/>
      </c>
      <c r="Q40" s="32">
        <f>IF(OR($C40="",$O40=""),"",$O40+$P40)</f>
        <v/>
      </c>
      <c r="R40" s="31" t="n"/>
      <c r="S40" s="33" t="n"/>
      <c r="T40" s="29">
        <f>IF($C40="","",IF($R40="CLOSED","Closed",IF($R40="RESOLVED","Resolved",IF($R40="BLOCKED","BLOCKED",IF($I40&gt;=200,"CRITICAL",IF($I40&gt;=100,"High",IF($E40="1-CRITICAL","High","On track")))))))</f>
        <v/>
      </c>
      <c r="U40" s="34">
        <f>IF($C40="","",IF($R40="CLOSED","Closed - capture lessons learned in PDCA Act phase.",IF($I40&gt;=200,"CRITICAL (RPN "&amp;$I40&amp;"): Escalate today. Open FMEA action + daily PDCA. Owner "&amp;IF($M40="","?",$M40)&amp;". Apply "&amp;IF($L40="","a Lean method",$L40)&amp;". Close by "&amp;IF($Q40="","ASAP",TEXT($Q40,"dd-mmm"))&amp;".",IF($I40&gt;=100,"HIGH (RPN "&amp;$I40&amp;"): Add to current sprint. Mitigate via "&amp;IF($L40="","Standard Work",$L40)&amp;". Review weekly with "&amp;IF($M40="","owner",$M40)&amp;".",IF(OR($E40="1-CRITICAL",$E40="2-HIGH"),"Priority case: schedule "&amp;IF($L40="","a Lean workshop",$L40)&amp;" within 2 weeks. Track to "&amp;IF($N40="","target",$N40)&amp;".","Monitor: apply "&amp;IF($L40="","standard cadence",$L40)&amp;". Re-score if conditions change.")))))</f>
        <v/>
      </c>
      <c r="V40">
        <f>IF($C40="","",IF($I40="",0,$I40)+ROW()/100000)</f>
        <v/>
      </c>
    </row>
    <row r="41">
      <c r="A41" s="29">
        <f>IF($C41="","",TEXT(38,"\C\A\S\E-000"))</f>
        <v/>
      </c>
      <c r="B41" s="30" t="n"/>
      <c r="C41" s="23" t="n"/>
      <c r="D41" s="31" t="n"/>
      <c r="E41" s="31" t="n"/>
      <c r="F41" s="31" t="n"/>
      <c r="G41" s="31" t="n"/>
      <c r="H41" s="31" t="n"/>
      <c r="I41" s="29">
        <f>IF($C41="","",IF(COUNT(F41,G41,H41)=3,F41*G41*H41,""))</f>
        <v/>
      </c>
      <c r="J41" s="29">
        <f>IF($I41="","",IF($I41&gt;=200,"1-CRITICAL",IF($I41&gt;=100,"2-HIGH",IF($I41&gt;=50,"3-MEDIUM","4-LOW"))))</f>
        <v/>
      </c>
      <c r="K41" s="23" t="n"/>
      <c r="L41" s="31" t="n"/>
      <c r="M41" s="31" t="n"/>
      <c r="N41" s="23" t="n"/>
      <c r="O41" s="30" t="n"/>
      <c r="P41" s="29">
        <f>IF($C41="","",ROUND(IF($E41="1-CRITICAL",7,IF($E41="2-HIGH",14,IF($E41="3-MEDIUM",30,45)))*(1+IF($I41="",0,$I41)/400),0))</f>
        <v/>
      </c>
      <c r="Q41" s="32">
        <f>IF(OR($C41="",$O41=""),"",$O41+$P41)</f>
        <v/>
      </c>
      <c r="R41" s="31" t="n"/>
      <c r="S41" s="33" t="n"/>
      <c r="T41" s="29">
        <f>IF($C41="","",IF($R41="CLOSED","Closed",IF($R41="RESOLVED","Resolved",IF($R41="BLOCKED","BLOCKED",IF($I41&gt;=200,"CRITICAL",IF($I41&gt;=100,"High",IF($E41="1-CRITICAL","High","On track")))))))</f>
        <v/>
      </c>
      <c r="U41" s="34">
        <f>IF($C41="","",IF($R41="CLOSED","Closed - capture lessons learned in PDCA Act phase.",IF($I41&gt;=200,"CRITICAL (RPN "&amp;$I41&amp;"): Escalate today. Open FMEA action + daily PDCA. Owner "&amp;IF($M41="","?",$M41)&amp;". Apply "&amp;IF($L41="","a Lean method",$L41)&amp;". Close by "&amp;IF($Q41="","ASAP",TEXT($Q41,"dd-mmm"))&amp;".",IF($I41&gt;=100,"HIGH (RPN "&amp;$I41&amp;"): Add to current sprint. Mitigate via "&amp;IF($L41="","Standard Work",$L41)&amp;". Review weekly with "&amp;IF($M41="","owner",$M41)&amp;".",IF(OR($E41="1-CRITICAL",$E41="2-HIGH"),"Priority case: schedule "&amp;IF($L41="","a Lean workshop",$L41)&amp;" within 2 weeks. Track to "&amp;IF($N41="","target",$N41)&amp;".","Monitor: apply "&amp;IF($L41="","standard cadence",$L41)&amp;". Re-score if conditions change.")))))</f>
        <v/>
      </c>
      <c r="V41">
        <f>IF($C41="","",IF($I41="",0,$I41)+ROW()/100000)</f>
        <v/>
      </c>
    </row>
    <row r="42">
      <c r="A42" s="29">
        <f>IF($C42="","",TEXT(39,"\C\A\S\E-000"))</f>
        <v/>
      </c>
      <c r="B42" s="30" t="n"/>
      <c r="C42" s="23" t="n"/>
      <c r="D42" s="31" t="n"/>
      <c r="E42" s="31" t="n"/>
      <c r="F42" s="31" t="n"/>
      <c r="G42" s="31" t="n"/>
      <c r="H42" s="31" t="n"/>
      <c r="I42" s="29">
        <f>IF($C42="","",IF(COUNT(F42,G42,H42)=3,F42*G42*H42,""))</f>
        <v/>
      </c>
      <c r="J42" s="29">
        <f>IF($I42="","",IF($I42&gt;=200,"1-CRITICAL",IF($I42&gt;=100,"2-HIGH",IF($I42&gt;=50,"3-MEDIUM","4-LOW"))))</f>
        <v/>
      </c>
      <c r="K42" s="23" t="n"/>
      <c r="L42" s="31" t="n"/>
      <c r="M42" s="31" t="n"/>
      <c r="N42" s="23" t="n"/>
      <c r="O42" s="30" t="n"/>
      <c r="P42" s="29">
        <f>IF($C42="","",ROUND(IF($E42="1-CRITICAL",7,IF($E42="2-HIGH",14,IF($E42="3-MEDIUM",30,45)))*(1+IF($I42="",0,$I42)/400),0))</f>
        <v/>
      </c>
      <c r="Q42" s="32">
        <f>IF(OR($C42="",$O42=""),"",$O42+$P42)</f>
        <v/>
      </c>
      <c r="R42" s="31" t="n"/>
      <c r="S42" s="33" t="n"/>
      <c r="T42" s="29">
        <f>IF($C42="","",IF($R42="CLOSED","Closed",IF($R42="RESOLVED","Resolved",IF($R42="BLOCKED","BLOCKED",IF($I42&gt;=200,"CRITICAL",IF($I42&gt;=100,"High",IF($E42="1-CRITICAL","High","On track")))))))</f>
        <v/>
      </c>
      <c r="U42" s="34">
        <f>IF($C42="","",IF($R42="CLOSED","Closed - capture lessons learned in PDCA Act phase.",IF($I42&gt;=200,"CRITICAL (RPN "&amp;$I42&amp;"): Escalate today. Open FMEA action + daily PDCA. Owner "&amp;IF($M42="","?",$M42)&amp;". Apply "&amp;IF($L42="","a Lean method",$L42)&amp;". Close by "&amp;IF($Q42="","ASAP",TEXT($Q42,"dd-mmm"))&amp;".",IF($I42&gt;=100,"HIGH (RPN "&amp;$I42&amp;"): Add to current sprint. Mitigate via "&amp;IF($L42="","Standard Work",$L42)&amp;". Review weekly with "&amp;IF($M42="","owner",$M42)&amp;".",IF(OR($E42="1-CRITICAL",$E42="2-HIGH"),"Priority case: schedule "&amp;IF($L42="","a Lean workshop",$L42)&amp;" within 2 weeks. Track to "&amp;IF($N42="","target",$N42)&amp;".","Monitor: apply "&amp;IF($L42="","standard cadence",$L42)&amp;". Re-score if conditions change.")))))</f>
        <v/>
      </c>
      <c r="V42">
        <f>IF($C42="","",IF($I42="",0,$I42)+ROW()/100000)</f>
        <v/>
      </c>
    </row>
    <row r="43">
      <c r="A43" s="29">
        <f>IF($C43="","",TEXT(40,"\C\A\S\E-000"))</f>
        <v/>
      </c>
      <c r="B43" s="30" t="n"/>
      <c r="C43" s="23" t="n"/>
      <c r="D43" s="31" t="n"/>
      <c r="E43" s="31" t="n"/>
      <c r="F43" s="31" t="n"/>
      <c r="G43" s="31" t="n"/>
      <c r="H43" s="31" t="n"/>
      <c r="I43" s="29">
        <f>IF($C43="","",IF(COUNT(F43,G43,H43)=3,F43*G43*H43,""))</f>
        <v/>
      </c>
      <c r="J43" s="29">
        <f>IF($I43="","",IF($I43&gt;=200,"1-CRITICAL",IF($I43&gt;=100,"2-HIGH",IF($I43&gt;=50,"3-MEDIUM","4-LOW"))))</f>
        <v/>
      </c>
      <c r="K43" s="23" t="n"/>
      <c r="L43" s="31" t="n"/>
      <c r="M43" s="31" t="n"/>
      <c r="N43" s="23" t="n"/>
      <c r="O43" s="30" t="n"/>
      <c r="P43" s="29">
        <f>IF($C43="","",ROUND(IF($E43="1-CRITICAL",7,IF($E43="2-HIGH",14,IF($E43="3-MEDIUM",30,45)))*(1+IF($I43="",0,$I43)/400),0))</f>
        <v/>
      </c>
      <c r="Q43" s="32">
        <f>IF(OR($C43="",$O43=""),"",$O43+$P43)</f>
        <v/>
      </c>
      <c r="R43" s="31" t="n"/>
      <c r="S43" s="33" t="n"/>
      <c r="T43" s="29">
        <f>IF($C43="","",IF($R43="CLOSED","Closed",IF($R43="RESOLVED","Resolved",IF($R43="BLOCKED","BLOCKED",IF($I43&gt;=200,"CRITICAL",IF($I43&gt;=100,"High",IF($E43="1-CRITICAL","High","On track")))))))</f>
        <v/>
      </c>
      <c r="U43" s="34">
        <f>IF($C43="","",IF($R43="CLOSED","Closed - capture lessons learned in PDCA Act phase.",IF($I43&gt;=200,"CRITICAL (RPN "&amp;$I43&amp;"): Escalate today. Open FMEA action + daily PDCA. Owner "&amp;IF($M43="","?",$M43)&amp;". Apply "&amp;IF($L43="","a Lean method",$L43)&amp;". Close by "&amp;IF($Q43="","ASAP",TEXT($Q43,"dd-mmm"))&amp;".",IF($I43&gt;=100,"HIGH (RPN "&amp;$I43&amp;"): Add to current sprint. Mitigate via "&amp;IF($L43="","Standard Work",$L43)&amp;". Review weekly with "&amp;IF($M43="","owner",$M43)&amp;".",IF(OR($E43="1-CRITICAL",$E43="2-HIGH"),"Priority case: schedule "&amp;IF($L43="","a Lean workshop",$L43)&amp;" within 2 weeks. Track to "&amp;IF($N43="","target",$N43)&amp;".","Monitor: apply "&amp;IF($L43="","standard cadence",$L43)&amp;". Re-score if conditions change.")))))</f>
        <v/>
      </c>
      <c r="V43">
        <f>IF($C43="","",IF($I43="",0,$I43)+ROW()/100000)</f>
        <v/>
      </c>
    </row>
    <row r="44">
      <c r="A44" s="29">
        <f>IF($C44="","",TEXT(41,"\C\A\S\E-000"))</f>
        <v/>
      </c>
      <c r="B44" s="30" t="n"/>
      <c r="C44" s="23" t="n"/>
      <c r="D44" s="31" t="n"/>
      <c r="E44" s="31" t="n"/>
      <c r="F44" s="31" t="n"/>
      <c r="G44" s="31" t="n"/>
      <c r="H44" s="31" t="n"/>
      <c r="I44" s="29">
        <f>IF($C44="","",IF(COUNT(F44,G44,H44)=3,F44*G44*H44,""))</f>
        <v/>
      </c>
      <c r="J44" s="29">
        <f>IF($I44="","",IF($I44&gt;=200,"1-CRITICAL",IF($I44&gt;=100,"2-HIGH",IF($I44&gt;=50,"3-MEDIUM","4-LOW"))))</f>
        <v/>
      </c>
      <c r="K44" s="23" t="n"/>
      <c r="L44" s="31" t="n"/>
      <c r="M44" s="31" t="n"/>
      <c r="N44" s="23" t="n"/>
      <c r="O44" s="30" t="n"/>
      <c r="P44" s="29">
        <f>IF($C44="","",ROUND(IF($E44="1-CRITICAL",7,IF($E44="2-HIGH",14,IF($E44="3-MEDIUM",30,45)))*(1+IF($I44="",0,$I44)/400),0))</f>
        <v/>
      </c>
      <c r="Q44" s="32">
        <f>IF(OR($C44="",$O44=""),"",$O44+$P44)</f>
        <v/>
      </c>
      <c r="R44" s="31" t="n"/>
      <c r="S44" s="33" t="n"/>
      <c r="T44" s="29">
        <f>IF($C44="","",IF($R44="CLOSED","Closed",IF($R44="RESOLVED","Resolved",IF($R44="BLOCKED","BLOCKED",IF($I44&gt;=200,"CRITICAL",IF($I44&gt;=100,"High",IF($E44="1-CRITICAL","High","On track")))))))</f>
        <v/>
      </c>
      <c r="U44" s="34">
        <f>IF($C44="","",IF($R44="CLOSED","Closed - capture lessons learned in PDCA Act phase.",IF($I44&gt;=200,"CRITICAL (RPN "&amp;$I44&amp;"): Escalate today. Open FMEA action + daily PDCA. Owner "&amp;IF($M44="","?",$M44)&amp;". Apply "&amp;IF($L44="","a Lean method",$L44)&amp;". Close by "&amp;IF($Q44="","ASAP",TEXT($Q44,"dd-mmm"))&amp;".",IF($I44&gt;=100,"HIGH (RPN "&amp;$I44&amp;"): Add to current sprint. Mitigate via "&amp;IF($L44="","Standard Work",$L44)&amp;". Review weekly with "&amp;IF($M44="","owner",$M44)&amp;".",IF(OR($E44="1-CRITICAL",$E44="2-HIGH"),"Priority case: schedule "&amp;IF($L44="","a Lean workshop",$L44)&amp;" within 2 weeks. Track to "&amp;IF($N44="","target",$N44)&amp;".","Monitor: apply "&amp;IF($L44="","standard cadence",$L44)&amp;". Re-score if conditions change.")))))</f>
        <v/>
      </c>
      <c r="V44">
        <f>IF($C44="","",IF($I44="",0,$I44)+ROW()/100000)</f>
        <v/>
      </c>
    </row>
    <row r="45">
      <c r="A45" s="29">
        <f>IF($C45="","",TEXT(42,"\C\A\S\E-000"))</f>
        <v/>
      </c>
      <c r="B45" s="30" t="n"/>
      <c r="C45" s="23" t="n"/>
      <c r="D45" s="31" t="n"/>
      <c r="E45" s="31" t="n"/>
      <c r="F45" s="31" t="n"/>
      <c r="G45" s="31" t="n"/>
      <c r="H45" s="31" t="n"/>
      <c r="I45" s="29">
        <f>IF($C45="","",IF(COUNT(F45,G45,H45)=3,F45*G45*H45,""))</f>
        <v/>
      </c>
      <c r="J45" s="29">
        <f>IF($I45="","",IF($I45&gt;=200,"1-CRITICAL",IF($I45&gt;=100,"2-HIGH",IF($I45&gt;=50,"3-MEDIUM","4-LOW"))))</f>
        <v/>
      </c>
      <c r="K45" s="23" t="n"/>
      <c r="L45" s="31" t="n"/>
      <c r="M45" s="31" t="n"/>
      <c r="N45" s="23" t="n"/>
      <c r="O45" s="30" t="n"/>
      <c r="P45" s="29">
        <f>IF($C45="","",ROUND(IF($E45="1-CRITICAL",7,IF($E45="2-HIGH",14,IF($E45="3-MEDIUM",30,45)))*(1+IF($I45="",0,$I45)/400),0))</f>
        <v/>
      </c>
      <c r="Q45" s="32">
        <f>IF(OR($C45="",$O45=""),"",$O45+$P45)</f>
        <v/>
      </c>
      <c r="R45" s="31" t="n"/>
      <c r="S45" s="33" t="n"/>
      <c r="T45" s="29">
        <f>IF($C45="","",IF($R45="CLOSED","Closed",IF($R45="RESOLVED","Resolved",IF($R45="BLOCKED","BLOCKED",IF($I45&gt;=200,"CRITICAL",IF($I45&gt;=100,"High",IF($E45="1-CRITICAL","High","On track")))))))</f>
        <v/>
      </c>
      <c r="U45" s="34">
        <f>IF($C45="","",IF($R45="CLOSED","Closed - capture lessons learned in PDCA Act phase.",IF($I45&gt;=200,"CRITICAL (RPN "&amp;$I45&amp;"): Escalate today. Open FMEA action + daily PDCA. Owner "&amp;IF($M45="","?",$M45)&amp;". Apply "&amp;IF($L45="","a Lean method",$L45)&amp;". Close by "&amp;IF($Q45="","ASAP",TEXT($Q45,"dd-mmm"))&amp;".",IF($I45&gt;=100,"HIGH (RPN "&amp;$I45&amp;"): Add to current sprint. Mitigate via "&amp;IF($L45="","Standard Work",$L45)&amp;". Review weekly with "&amp;IF($M45="","owner",$M45)&amp;".",IF(OR($E45="1-CRITICAL",$E45="2-HIGH"),"Priority case: schedule "&amp;IF($L45="","a Lean workshop",$L45)&amp;" within 2 weeks. Track to "&amp;IF($N45="","target",$N45)&amp;".","Monitor: apply "&amp;IF($L45="","standard cadence",$L45)&amp;". Re-score if conditions change.")))))</f>
        <v/>
      </c>
      <c r="V45">
        <f>IF($C45="","",IF($I45="",0,$I45)+ROW()/100000)</f>
        <v/>
      </c>
    </row>
    <row r="46">
      <c r="A46" s="29">
        <f>IF($C46="","",TEXT(43,"\C\A\S\E-000"))</f>
        <v/>
      </c>
      <c r="B46" s="30" t="n"/>
      <c r="C46" s="23" t="n"/>
      <c r="D46" s="31" t="n"/>
      <c r="E46" s="31" t="n"/>
      <c r="F46" s="31" t="n"/>
      <c r="G46" s="31" t="n"/>
      <c r="H46" s="31" t="n"/>
      <c r="I46" s="29">
        <f>IF($C46="","",IF(COUNT(F46,G46,H46)=3,F46*G46*H46,""))</f>
        <v/>
      </c>
      <c r="J46" s="29">
        <f>IF($I46="","",IF($I46&gt;=200,"1-CRITICAL",IF($I46&gt;=100,"2-HIGH",IF($I46&gt;=50,"3-MEDIUM","4-LOW"))))</f>
        <v/>
      </c>
      <c r="K46" s="23" t="n"/>
      <c r="L46" s="31" t="n"/>
      <c r="M46" s="31" t="n"/>
      <c r="N46" s="23" t="n"/>
      <c r="O46" s="30" t="n"/>
      <c r="P46" s="29">
        <f>IF($C46="","",ROUND(IF($E46="1-CRITICAL",7,IF($E46="2-HIGH",14,IF($E46="3-MEDIUM",30,45)))*(1+IF($I46="",0,$I46)/400),0))</f>
        <v/>
      </c>
      <c r="Q46" s="32">
        <f>IF(OR($C46="",$O46=""),"",$O46+$P46)</f>
        <v/>
      </c>
      <c r="R46" s="31" t="n"/>
      <c r="S46" s="33" t="n"/>
      <c r="T46" s="29">
        <f>IF($C46="","",IF($R46="CLOSED","Closed",IF($R46="RESOLVED","Resolved",IF($R46="BLOCKED","BLOCKED",IF($I46&gt;=200,"CRITICAL",IF($I46&gt;=100,"High",IF($E46="1-CRITICAL","High","On track")))))))</f>
        <v/>
      </c>
      <c r="U46" s="34">
        <f>IF($C46="","",IF($R46="CLOSED","Closed - capture lessons learned in PDCA Act phase.",IF($I46&gt;=200,"CRITICAL (RPN "&amp;$I46&amp;"): Escalate today. Open FMEA action + daily PDCA. Owner "&amp;IF($M46="","?",$M46)&amp;". Apply "&amp;IF($L46="","a Lean method",$L46)&amp;". Close by "&amp;IF($Q46="","ASAP",TEXT($Q46,"dd-mmm"))&amp;".",IF($I46&gt;=100,"HIGH (RPN "&amp;$I46&amp;"): Add to current sprint. Mitigate via "&amp;IF($L46="","Standard Work",$L46)&amp;". Review weekly with "&amp;IF($M46="","owner",$M46)&amp;".",IF(OR($E46="1-CRITICAL",$E46="2-HIGH"),"Priority case: schedule "&amp;IF($L46="","a Lean workshop",$L46)&amp;" within 2 weeks. Track to "&amp;IF($N46="","target",$N46)&amp;".","Monitor: apply "&amp;IF($L46="","standard cadence",$L46)&amp;". Re-score if conditions change.")))))</f>
        <v/>
      </c>
      <c r="V46">
        <f>IF($C46="","",IF($I46="",0,$I46)+ROW()/100000)</f>
        <v/>
      </c>
    </row>
    <row r="47">
      <c r="A47" s="29">
        <f>IF($C47="","",TEXT(44,"\C\A\S\E-000"))</f>
        <v/>
      </c>
      <c r="B47" s="30" t="n"/>
      <c r="C47" s="23" t="n"/>
      <c r="D47" s="31" t="n"/>
      <c r="E47" s="31" t="n"/>
      <c r="F47" s="31" t="n"/>
      <c r="G47" s="31" t="n"/>
      <c r="H47" s="31" t="n"/>
      <c r="I47" s="29">
        <f>IF($C47="","",IF(COUNT(F47,G47,H47)=3,F47*G47*H47,""))</f>
        <v/>
      </c>
      <c r="J47" s="29">
        <f>IF($I47="","",IF($I47&gt;=200,"1-CRITICAL",IF($I47&gt;=100,"2-HIGH",IF($I47&gt;=50,"3-MEDIUM","4-LOW"))))</f>
        <v/>
      </c>
      <c r="K47" s="23" t="n"/>
      <c r="L47" s="31" t="n"/>
      <c r="M47" s="31" t="n"/>
      <c r="N47" s="23" t="n"/>
      <c r="O47" s="30" t="n"/>
      <c r="P47" s="29">
        <f>IF($C47="","",ROUND(IF($E47="1-CRITICAL",7,IF($E47="2-HIGH",14,IF($E47="3-MEDIUM",30,45)))*(1+IF($I47="",0,$I47)/400),0))</f>
        <v/>
      </c>
      <c r="Q47" s="32">
        <f>IF(OR($C47="",$O47=""),"",$O47+$P47)</f>
        <v/>
      </c>
      <c r="R47" s="31" t="n"/>
      <c r="S47" s="33" t="n"/>
      <c r="T47" s="29">
        <f>IF($C47="","",IF($R47="CLOSED","Closed",IF($R47="RESOLVED","Resolved",IF($R47="BLOCKED","BLOCKED",IF($I47&gt;=200,"CRITICAL",IF($I47&gt;=100,"High",IF($E47="1-CRITICAL","High","On track")))))))</f>
        <v/>
      </c>
      <c r="U47" s="34">
        <f>IF($C47="","",IF($R47="CLOSED","Closed - capture lessons learned in PDCA Act phase.",IF($I47&gt;=200,"CRITICAL (RPN "&amp;$I47&amp;"): Escalate today. Open FMEA action + daily PDCA. Owner "&amp;IF($M47="","?",$M47)&amp;". Apply "&amp;IF($L47="","a Lean method",$L47)&amp;". Close by "&amp;IF($Q47="","ASAP",TEXT($Q47,"dd-mmm"))&amp;".",IF($I47&gt;=100,"HIGH (RPN "&amp;$I47&amp;"): Add to current sprint. Mitigate via "&amp;IF($L47="","Standard Work",$L47)&amp;". Review weekly with "&amp;IF($M47="","owner",$M47)&amp;".",IF(OR($E47="1-CRITICAL",$E47="2-HIGH"),"Priority case: schedule "&amp;IF($L47="","a Lean workshop",$L47)&amp;" within 2 weeks. Track to "&amp;IF($N47="","target",$N47)&amp;".","Monitor: apply "&amp;IF($L47="","standard cadence",$L47)&amp;". Re-score if conditions change.")))))</f>
        <v/>
      </c>
      <c r="V47">
        <f>IF($C47="","",IF($I47="",0,$I47)+ROW()/100000)</f>
        <v/>
      </c>
    </row>
    <row r="48">
      <c r="A48" s="29">
        <f>IF($C48="","",TEXT(45,"\C\A\S\E-000"))</f>
        <v/>
      </c>
      <c r="B48" s="30" t="n"/>
      <c r="C48" s="23" t="n"/>
      <c r="D48" s="31" t="n"/>
      <c r="E48" s="31" t="n"/>
      <c r="F48" s="31" t="n"/>
      <c r="G48" s="31" t="n"/>
      <c r="H48" s="31" t="n"/>
      <c r="I48" s="29">
        <f>IF($C48="","",IF(COUNT(F48,G48,H48)=3,F48*G48*H48,""))</f>
        <v/>
      </c>
      <c r="J48" s="29">
        <f>IF($I48="","",IF($I48&gt;=200,"1-CRITICAL",IF($I48&gt;=100,"2-HIGH",IF($I48&gt;=50,"3-MEDIUM","4-LOW"))))</f>
        <v/>
      </c>
      <c r="K48" s="23" t="n"/>
      <c r="L48" s="31" t="n"/>
      <c r="M48" s="31" t="n"/>
      <c r="N48" s="23" t="n"/>
      <c r="O48" s="30" t="n"/>
      <c r="P48" s="29">
        <f>IF($C48="","",ROUND(IF($E48="1-CRITICAL",7,IF($E48="2-HIGH",14,IF($E48="3-MEDIUM",30,45)))*(1+IF($I48="",0,$I48)/400),0))</f>
        <v/>
      </c>
      <c r="Q48" s="32">
        <f>IF(OR($C48="",$O48=""),"",$O48+$P48)</f>
        <v/>
      </c>
      <c r="R48" s="31" t="n"/>
      <c r="S48" s="33" t="n"/>
      <c r="T48" s="29">
        <f>IF($C48="","",IF($R48="CLOSED","Closed",IF($R48="RESOLVED","Resolved",IF($R48="BLOCKED","BLOCKED",IF($I48&gt;=200,"CRITICAL",IF($I48&gt;=100,"High",IF($E48="1-CRITICAL","High","On track")))))))</f>
        <v/>
      </c>
      <c r="U48" s="34">
        <f>IF($C48="","",IF($R48="CLOSED","Closed - capture lessons learned in PDCA Act phase.",IF($I48&gt;=200,"CRITICAL (RPN "&amp;$I48&amp;"): Escalate today. Open FMEA action + daily PDCA. Owner "&amp;IF($M48="","?",$M48)&amp;". Apply "&amp;IF($L48="","a Lean method",$L48)&amp;". Close by "&amp;IF($Q48="","ASAP",TEXT($Q48,"dd-mmm"))&amp;".",IF($I48&gt;=100,"HIGH (RPN "&amp;$I48&amp;"): Add to current sprint. Mitigate via "&amp;IF($L48="","Standard Work",$L48)&amp;". Review weekly with "&amp;IF($M48="","owner",$M48)&amp;".",IF(OR($E48="1-CRITICAL",$E48="2-HIGH"),"Priority case: schedule "&amp;IF($L48="","a Lean workshop",$L48)&amp;" within 2 weeks. Track to "&amp;IF($N48="","target",$N48)&amp;".","Monitor: apply "&amp;IF($L48="","standard cadence",$L48)&amp;". Re-score if conditions change.")))))</f>
        <v/>
      </c>
      <c r="V48">
        <f>IF($C48="","",IF($I48="",0,$I48)+ROW()/100000)</f>
        <v/>
      </c>
    </row>
    <row r="49">
      <c r="A49" s="29">
        <f>IF($C49="","",TEXT(46,"\C\A\S\E-000"))</f>
        <v/>
      </c>
      <c r="B49" s="30" t="n"/>
      <c r="C49" s="23" t="n"/>
      <c r="D49" s="31" t="n"/>
      <c r="E49" s="31" t="n"/>
      <c r="F49" s="31" t="n"/>
      <c r="G49" s="31" t="n"/>
      <c r="H49" s="31" t="n"/>
      <c r="I49" s="29">
        <f>IF($C49="","",IF(COUNT(F49,G49,H49)=3,F49*G49*H49,""))</f>
        <v/>
      </c>
      <c r="J49" s="29">
        <f>IF($I49="","",IF($I49&gt;=200,"1-CRITICAL",IF($I49&gt;=100,"2-HIGH",IF($I49&gt;=50,"3-MEDIUM","4-LOW"))))</f>
        <v/>
      </c>
      <c r="K49" s="23" t="n"/>
      <c r="L49" s="31" t="n"/>
      <c r="M49" s="31" t="n"/>
      <c r="N49" s="23" t="n"/>
      <c r="O49" s="30" t="n"/>
      <c r="P49" s="29">
        <f>IF($C49="","",ROUND(IF($E49="1-CRITICAL",7,IF($E49="2-HIGH",14,IF($E49="3-MEDIUM",30,45)))*(1+IF($I49="",0,$I49)/400),0))</f>
        <v/>
      </c>
      <c r="Q49" s="32">
        <f>IF(OR($C49="",$O49=""),"",$O49+$P49)</f>
        <v/>
      </c>
      <c r="R49" s="31" t="n"/>
      <c r="S49" s="33" t="n"/>
      <c r="T49" s="29">
        <f>IF($C49="","",IF($R49="CLOSED","Closed",IF($R49="RESOLVED","Resolved",IF($R49="BLOCKED","BLOCKED",IF($I49&gt;=200,"CRITICAL",IF($I49&gt;=100,"High",IF($E49="1-CRITICAL","High","On track")))))))</f>
        <v/>
      </c>
      <c r="U49" s="34">
        <f>IF($C49="","",IF($R49="CLOSED","Closed - capture lessons learned in PDCA Act phase.",IF($I49&gt;=200,"CRITICAL (RPN "&amp;$I49&amp;"): Escalate today. Open FMEA action + daily PDCA. Owner "&amp;IF($M49="","?",$M49)&amp;". Apply "&amp;IF($L49="","a Lean method",$L49)&amp;". Close by "&amp;IF($Q49="","ASAP",TEXT($Q49,"dd-mmm"))&amp;".",IF($I49&gt;=100,"HIGH (RPN "&amp;$I49&amp;"): Add to current sprint. Mitigate via "&amp;IF($L49="","Standard Work",$L49)&amp;". Review weekly with "&amp;IF($M49="","owner",$M49)&amp;".",IF(OR($E49="1-CRITICAL",$E49="2-HIGH"),"Priority case: schedule "&amp;IF($L49="","a Lean workshop",$L49)&amp;" within 2 weeks. Track to "&amp;IF($N49="","target",$N49)&amp;".","Monitor: apply "&amp;IF($L49="","standard cadence",$L49)&amp;". Re-score if conditions change.")))))</f>
        <v/>
      </c>
      <c r="V49">
        <f>IF($C49="","",IF($I49="",0,$I49)+ROW()/100000)</f>
        <v/>
      </c>
    </row>
    <row r="50">
      <c r="A50" s="29">
        <f>IF($C50="","",TEXT(47,"\C\A\S\E-000"))</f>
        <v/>
      </c>
      <c r="B50" s="30" t="n"/>
      <c r="C50" s="23" t="n"/>
      <c r="D50" s="31" t="n"/>
      <c r="E50" s="31" t="n"/>
      <c r="F50" s="31" t="n"/>
      <c r="G50" s="31" t="n"/>
      <c r="H50" s="31" t="n"/>
      <c r="I50" s="29">
        <f>IF($C50="","",IF(COUNT(F50,G50,H50)=3,F50*G50*H50,""))</f>
        <v/>
      </c>
      <c r="J50" s="29">
        <f>IF($I50="","",IF($I50&gt;=200,"1-CRITICAL",IF($I50&gt;=100,"2-HIGH",IF($I50&gt;=50,"3-MEDIUM","4-LOW"))))</f>
        <v/>
      </c>
      <c r="K50" s="23" t="n"/>
      <c r="L50" s="31" t="n"/>
      <c r="M50" s="31" t="n"/>
      <c r="N50" s="23" t="n"/>
      <c r="O50" s="30" t="n"/>
      <c r="P50" s="29">
        <f>IF($C50="","",ROUND(IF($E50="1-CRITICAL",7,IF($E50="2-HIGH",14,IF($E50="3-MEDIUM",30,45)))*(1+IF($I50="",0,$I50)/400),0))</f>
        <v/>
      </c>
      <c r="Q50" s="32">
        <f>IF(OR($C50="",$O50=""),"",$O50+$P50)</f>
        <v/>
      </c>
      <c r="R50" s="31" t="n"/>
      <c r="S50" s="33" t="n"/>
      <c r="T50" s="29">
        <f>IF($C50="","",IF($R50="CLOSED","Closed",IF($R50="RESOLVED","Resolved",IF($R50="BLOCKED","BLOCKED",IF($I50&gt;=200,"CRITICAL",IF($I50&gt;=100,"High",IF($E50="1-CRITICAL","High","On track")))))))</f>
        <v/>
      </c>
      <c r="U50" s="34">
        <f>IF($C50="","",IF($R50="CLOSED","Closed - capture lessons learned in PDCA Act phase.",IF($I50&gt;=200,"CRITICAL (RPN "&amp;$I50&amp;"): Escalate today. Open FMEA action + daily PDCA. Owner "&amp;IF($M50="","?",$M50)&amp;". Apply "&amp;IF($L50="","a Lean method",$L50)&amp;". Close by "&amp;IF($Q50="","ASAP",TEXT($Q50,"dd-mmm"))&amp;".",IF($I50&gt;=100,"HIGH (RPN "&amp;$I50&amp;"): Add to current sprint. Mitigate via "&amp;IF($L50="","Standard Work",$L50)&amp;". Review weekly with "&amp;IF($M50="","owner",$M50)&amp;".",IF(OR($E50="1-CRITICAL",$E50="2-HIGH"),"Priority case: schedule "&amp;IF($L50="","a Lean workshop",$L50)&amp;" within 2 weeks. Track to "&amp;IF($N50="","target",$N50)&amp;".","Monitor: apply "&amp;IF($L50="","standard cadence",$L50)&amp;". Re-score if conditions change.")))))</f>
        <v/>
      </c>
      <c r="V50">
        <f>IF($C50="","",IF($I50="",0,$I50)+ROW()/100000)</f>
        <v/>
      </c>
    </row>
    <row r="51">
      <c r="A51" s="29">
        <f>IF($C51="","",TEXT(48,"\C\A\S\E-000"))</f>
        <v/>
      </c>
      <c r="B51" s="30" t="n"/>
      <c r="C51" s="23" t="n"/>
      <c r="D51" s="31" t="n"/>
      <c r="E51" s="31" t="n"/>
      <c r="F51" s="31" t="n"/>
      <c r="G51" s="31" t="n"/>
      <c r="H51" s="31" t="n"/>
      <c r="I51" s="29">
        <f>IF($C51="","",IF(COUNT(F51,G51,H51)=3,F51*G51*H51,""))</f>
        <v/>
      </c>
      <c r="J51" s="29">
        <f>IF($I51="","",IF($I51&gt;=200,"1-CRITICAL",IF($I51&gt;=100,"2-HIGH",IF($I51&gt;=50,"3-MEDIUM","4-LOW"))))</f>
        <v/>
      </c>
      <c r="K51" s="23" t="n"/>
      <c r="L51" s="31" t="n"/>
      <c r="M51" s="31" t="n"/>
      <c r="N51" s="23" t="n"/>
      <c r="O51" s="30" t="n"/>
      <c r="P51" s="29">
        <f>IF($C51="","",ROUND(IF($E51="1-CRITICAL",7,IF($E51="2-HIGH",14,IF($E51="3-MEDIUM",30,45)))*(1+IF($I51="",0,$I51)/400),0))</f>
        <v/>
      </c>
      <c r="Q51" s="32">
        <f>IF(OR($C51="",$O51=""),"",$O51+$P51)</f>
        <v/>
      </c>
      <c r="R51" s="31" t="n"/>
      <c r="S51" s="33" t="n"/>
      <c r="T51" s="29">
        <f>IF($C51="","",IF($R51="CLOSED","Closed",IF($R51="RESOLVED","Resolved",IF($R51="BLOCKED","BLOCKED",IF($I51&gt;=200,"CRITICAL",IF($I51&gt;=100,"High",IF($E51="1-CRITICAL","High","On track")))))))</f>
        <v/>
      </c>
      <c r="U51" s="34">
        <f>IF($C51="","",IF($R51="CLOSED","Closed - capture lessons learned in PDCA Act phase.",IF($I51&gt;=200,"CRITICAL (RPN "&amp;$I51&amp;"): Escalate today. Open FMEA action + daily PDCA. Owner "&amp;IF($M51="","?",$M51)&amp;". Apply "&amp;IF($L51="","a Lean method",$L51)&amp;". Close by "&amp;IF($Q51="","ASAP",TEXT($Q51,"dd-mmm"))&amp;".",IF($I51&gt;=100,"HIGH (RPN "&amp;$I51&amp;"): Add to current sprint. Mitigate via "&amp;IF($L51="","Standard Work",$L51)&amp;". Review weekly with "&amp;IF($M51="","owner",$M51)&amp;".",IF(OR($E51="1-CRITICAL",$E51="2-HIGH"),"Priority case: schedule "&amp;IF($L51="","a Lean workshop",$L51)&amp;" within 2 weeks. Track to "&amp;IF($N51="","target",$N51)&amp;".","Monitor: apply "&amp;IF($L51="","standard cadence",$L51)&amp;". Re-score if conditions change.")))))</f>
        <v/>
      </c>
      <c r="V51">
        <f>IF($C51="","",IF($I51="",0,$I51)+ROW()/100000)</f>
        <v/>
      </c>
    </row>
    <row r="52">
      <c r="A52" s="29">
        <f>IF($C52="","",TEXT(49,"\C\A\S\E-000"))</f>
        <v/>
      </c>
      <c r="B52" s="30" t="n"/>
      <c r="C52" s="23" t="n"/>
      <c r="D52" s="31" t="n"/>
      <c r="E52" s="31" t="n"/>
      <c r="F52" s="31" t="n"/>
      <c r="G52" s="31" t="n"/>
      <c r="H52" s="31" t="n"/>
      <c r="I52" s="29">
        <f>IF($C52="","",IF(COUNT(F52,G52,H52)=3,F52*G52*H52,""))</f>
        <v/>
      </c>
      <c r="J52" s="29">
        <f>IF($I52="","",IF($I52&gt;=200,"1-CRITICAL",IF($I52&gt;=100,"2-HIGH",IF($I52&gt;=50,"3-MEDIUM","4-LOW"))))</f>
        <v/>
      </c>
      <c r="K52" s="23" t="n"/>
      <c r="L52" s="31" t="n"/>
      <c r="M52" s="31" t="n"/>
      <c r="N52" s="23" t="n"/>
      <c r="O52" s="30" t="n"/>
      <c r="P52" s="29">
        <f>IF($C52="","",ROUND(IF($E52="1-CRITICAL",7,IF($E52="2-HIGH",14,IF($E52="3-MEDIUM",30,45)))*(1+IF($I52="",0,$I52)/400),0))</f>
        <v/>
      </c>
      <c r="Q52" s="32">
        <f>IF(OR($C52="",$O52=""),"",$O52+$P52)</f>
        <v/>
      </c>
      <c r="R52" s="31" t="n"/>
      <c r="S52" s="33" t="n"/>
      <c r="T52" s="29">
        <f>IF($C52="","",IF($R52="CLOSED","Closed",IF($R52="RESOLVED","Resolved",IF($R52="BLOCKED","BLOCKED",IF($I52&gt;=200,"CRITICAL",IF($I52&gt;=100,"High",IF($E52="1-CRITICAL","High","On track")))))))</f>
        <v/>
      </c>
      <c r="U52" s="34">
        <f>IF($C52="","",IF($R52="CLOSED","Closed - capture lessons learned in PDCA Act phase.",IF($I52&gt;=200,"CRITICAL (RPN "&amp;$I52&amp;"): Escalate today. Open FMEA action + daily PDCA. Owner "&amp;IF($M52="","?",$M52)&amp;". Apply "&amp;IF($L52="","a Lean method",$L52)&amp;". Close by "&amp;IF($Q52="","ASAP",TEXT($Q52,"dd-mmm"))&amp;".",IF($I52&gt;=100,"HIGH (RPN "&amp;$I52&amp;"): Add to current sprint. Mitigate via "&amp;IF($L52="","Standard Work",$L52)&amp;". Review weekly with "&amp;IF($M52="","owner",$M52)&amp;".",IF(OR($E52="1-CRITICAL",$E52="2-HIGH"),"Priority case: schedule "&amp;IF($L52="","a Lean workshop",$L52)&amp;" within 2 weeks. Track to "&amp;IF($N52="","target",$N52)&amp;".","Monitor: apply "&amp;IF($L52="","standard cadence",$L52)&amp;". Re-score if conditions change.")))))</f>
        <v/>
      </c>
      <c r="V52">
        <f>IF($C52="","",IF($I52="",0,$I52)+ROW()/100000)</f>
        <v/>
      </c>
    </row>
    <row r="53">
      <c r="A53" s="29">
        <f>IF($C53="","",TEXT(50,"\C\A\S\E-000"))</f>
        <v/>
      </c>
      <c r="B53" s="30" t="n"/>
      <c r="C53" s="23" t="n"/>
      <c r="D53" s="31" t="n"/>
      <c r="E53" s="31" t="n"/>
      <c r="F53" s="31" t="n"/>
      <c r="G53" s="31" t="n"/>
      <c r="H53" s="31" t="n"/>
      <c r="I53" s="29">
        <f>IF($C53="","",IF(COUNT(F53,G53,H53)=3,F53*G53*H53,""))</f>
        <v/>
      </c>
      <c r="J53" s="29">
        <f>IF($I53="","",IF($I53&gt;=200,"1-CRITICAL",IF($I53&gt;=100,"2-HIGH",IF($I53&gt;=50,"3-MEDIUM","4-LOW"))))</f>
        <v/>
      </c>
      <c r="K53" s="23" t="n"/>
      <c r="L53" s="31" t="n"/>
      <c r="M53" s="31" t="n"/>
      <c r="N53" s="23" t="n"/>
      <c r="O53" s="30" t="n"/>
      <c r="P53" s="29">
        <f>IF($C53="","",ROUND(IF($E53="1-CRITICAL",7,IF($E53="2-HIGH",14,IF($E53="3-MEDIUM",30,45)))*(1+IF($I53="",0,$I53)/400),0))</f>
        <v/>
      </c>
      <c r="Q53" s="32">
        <f>IF(OR($C53="",$O53=""),"",$O53+$P53)</f>
        <v/>
      </c>
      <c r="R53" s="31" t="n"/>
      <c r="S53" s="33" t="n"/>
      <c r="T53" s="29">
        <f>IF($C53="","",IF($R53="CLOSED","Closed",IF($R53="RESOLVED","Resolved",IF($R53="BLOCKED","BLOCKED",IF($I53&gt;=200,"CRITICAL",IF($I53&gt;=100,"High",IF($E53="1-CRITICAL","High","On track")))))))</f>
        <v/>
      </c>
      <c r="U53" s="34">
        <f>IF($C53="","",IF($R53="CLOSED","Closed - capture lessons learned in PDCA Act phase.",IF($I53&gt;=200,"CRITICAL (RPN "&amp;$I53&amp;"): Escalate today. Open FMEA action + daily PDCA. Owner "&amp;IF($M53="","?",$M53)&amp;". Apply "&amp;IF($L53="","a Lean method",$L53)&amp;". Close by "&amp;IF($Q53="","ASAP",TEXT($Q53,"dd-mmm"))&amp;".",IF($I53&gt;=100,"HIGH (RPN "&amp;$I53&amp;"): Add to current sprint. Mitigate via "&amp;IF($L53="","Standard Work",$L53)&amp;". Review weekly with "&amp;IF($M53="","owner",$M53)&amp;".",IF(OR($E53="1-CRITICAL",$E53="2-HIGH"),"Priority case: schedule "&amp;IF($L53="","a Lean workshop",$L53)&amp;" within 2 weeks. Track to "&amp;IF($N53="","target",$N53)&amp;".","Monitor: apply "&amp;IF($L53="","standard cadence",$L53)&amp;". Re-score if conditions change.")))))</f>
        <v/>
      </c>
      <c r="V53">
        <f>IF($C53="","",IF($I53="",0,$I53)+ROW()/100000)</f>
        <v/>
      </c>
    </row>
    <row r="54">
      <c r="A54" s="29">
        <f>IF($C54="","",TEXT(51,"\C\A\S\E-000"))</f>
        <v/>
      </c>
      <c r="B54" s="30" t="n"/>
      <c r="C54" s="23" t="n"/>
      <c r="D54" s="31" t="n"/>
      <c r="E54" s="31" t="n"/>
      <c r="F54" s="31" t="n"/>
      <c r="G54" s="31" t="n"/>
      <c r="H54" s="31" t="n"/>
      <c r="I54" s="29">
        <f>IF($C54="","",IF(COUNT(F54,G54,H54)=3,F54*G54*H54,""))</f>
        <v/>
      </c>
      <c r="J54" s="29">
        <f>IF($I54="","",IF($I54&gt;=200,"1-CRITICAL",IF($I54&gt;=100,"2-HIGH",IF($I54&gt;=50,"3-MEDIUM","4-LOW"))))</f>
        <v/>
      </c>
      <c r="K54" s="23" t="n"/>
      <c r="L54" s="31" t="n"/>
      <c r="M54" s="31" t="n"/>
      <c r="N54" s="23" t="n"/>
      <c r="O54" s="30" t="n"/>
      <c r="P54" s="29">
        <f>IF($C54="","",ROUND(IF($E54="1-CRITICAL",7,IF($E54="2-HIGH",14,IF($E54="3-MEDIUM",30,45)))*(1+IF($I54="",0,$I54)/400),0))</f>
        <v/>
      </c>
      <c r="Q54" s="32">
        <f>IF(OR($C54="",$O54=""),"",$O54+$P54)</f>
        <v/>
      </c>
      <c r="R54" s="31" t="n"/>
      <c r="S54" s="33" t="n"/>
      <c r="T54" s="29">
        <f>IF($C54="","",IF($R54="CLOSED","Closed",IF($R54="RESOLVED","Resolved",IF($R54="BLOCKED","BLOCKED",IF($I54&gt;=200,"CRITICAL",IF($I54&gt;=100,"High",IF($E54="1-CRITICAL","High","On track")))))))</f>
        <v/>
      </c>
      <c r="U54" s="34">
        <f>IF($C54="","",IF($R54="CLOSED","Closed - capture lessons learned in PDCA Act phase.",IF($I54&gt;=200,"CRITICAL (RPN "&amp;$I54&amp;"): Escalate today. Open FMEA action + daily PDCA. Owner "&amp;IF($M54="","?",$M54)&amp;". Apply "&amp;IF($L54="","a Lean method",$L54)&amp;". Close by "&amp;IF($Q54="","ASAP",TEXT($Q54,"dd-mmm"))&amp;".",IF($I54&gt;=100,"HIGH (RPN "&amp;$I54&amp;"): Add to current sprint. Mitigate via "&amp;IF($L54="","Standard Work",$L54)&amp;". Review weekly with "&amp;IF($M54="","owner",$M54)&amp;".",IF(OR($E54="1-CRITICAL",$E54="2-HIGH"),"Priority case: schedule "&amp;IF($L54="","a Lean workshop",$L54)&amp;" within 2 weeks. Track to "&amp;IF($N54="","target",$N54)&amp;".","Monitor: apply "&amp;IF($L54="","standard cadence",$L54)&amp;". Re-score if conditions change.")))))</f>
        <v/>
      </c>
      <c r="V54">
        <f>IF($C54="","",IF($I54="",0,$I54)+ROW()/100000)</f>
        <v/>
      </c>
    </row>
    <row r="55">
      <c r="A55" s="29">
        <f>IF($C55="","",TEXT(52,"\C\A\S\E-000"))</f>
        <v/>
      </c>
      <c r="B55" s="30" t="n"/>
      <c r="C55" s="23" t="n"/>
      <c r="D55" s="31" t="n"/>
      <c r="E55" s="31" t="n"/>
      <c r="F55" s="31" t="n"/>
      <c r="G55" s="31" t="n"/>
      <c r="H55" s="31" t="n"/>
      <c r="I55" s="29">
        <f>IF($C55="","",IF(COUNT(F55,G55,H55)=3,F55*G55*H55,""))</f>
        <v/>
      </c>
      <c r="J55" s="29">
        <f>IF($I55="","",IF($I55&gt;=200,"1-CRITICAL",IF($I55&gt;=100,"2-HIGH",IF($I55&gt;=50,"3-MEDIUM","4-LOW"))))</f>
        <v/>
      </c>
      <c r="K55" s="23" t="n"/>
      <c r="L55" s="31" t="n"/>
      <c r="M55" s="31" t="n"/>
      <c r="N55" s="23" t="n"/>
      <c r="O55" s="30" t="n"/>
      <c r="P55" s="29">
        <f>IF($C55="","",ROUND(IF($E55="1-CRITICAL",7,IF($E55="2-HIGH",14,IF($E55="3-MEDIUM",30,45)))*(1+IF($I55="",0,$I55)/400),0))</f>
        <v/>
      </c>
      <c r="Q55" s="32">
        <f>IF(OR($C55="",$O55=""),"",$O55+$P55)</f>
        <v/>
      </c>
      <c r="R55" s="31" t="n"/>
      <c r="S55" s="33" t="n"/>
      <c r="T55" s="29">
        <f>IF($C55="","",IF($R55="CLOSED","Closed",IF($R55="RESOLVED","Resolved",IF($R55="BLOCKED","BLOCKED",IF($I55&gt;=200,"CRITICAL",IF($I55&gt;=100,"High",IF($E55="1-CRITICAL","High","On track")))))))</f>
        <v/>
      </c>
      <c r="U55" s="34">
        <f>IF($C55="","",IF($R55="CLOSED","Closed - capture lessons learned in PDCA Act phase.",IF($I55&gt;=200,"CRITICAL (RPN "&amp;$I55&amp;"): Escalate today. Open FMEA action + daily PDCA. Owner "&amp;IF($M55="","?",$M55)&amp;". Apply "&amp;IF($L55="","a Lean method",$L55)&amp;". Close by "&amp;IF($Q55="","ASAP",TEXT($Q55,"dd-mmm"))&amp;".",IF($I55&gt;=100,"HIGH (RPN "&amp;$I55&amp;"): Add to current sprint. Mitigate via "&amp;IF($L55="","Standard Work",$L55)&amp;". Review weekly with "&amp;IF($M55="","owner",$M55)&amp;".",IF(OR($E55="1-CRITICAL",$E55="2-HIGH"),"Priority case: schedule "&amp;IF($L55="","a Lean workshop",$L55)&amp;" within 2 weeks. Track to "&amp;IF($N55="","target",$N55)&amp;".","Monitor: apply "&amp;IF($L55="","standard cadence",$L55)&amp;". Re-score if conditions change.")))))</f>
        <v/>
      </c>
      <c r="V55">
        <f>IF($C55="","",IF($I55="",0,$I55)+ROW()/100000)</f>
        <v/>
      </c>
    </row>
    <row r="56">
      <c r="A56" s="29">
        <f>IF($C56="","",TEXT(53,"\C\A\S\E-000"))</f>
        <v/>
      </c>
      <c r="B56" s="30" t="n"/>
      <c r="C56" s="23" t="n"/>
      <c r="D56" s="31" t="n"/>
      <c r="E56" s="31" t="n"/>
      <c r="F56" s="31" t="n"/>
      <c r="G56" s="31" t="n"/>
      <c r="H56" s="31" t="n"/>
      <c r="I56" s="29">
        <f>IF($C56="","",IF(COUNT(F56,G56,H56)=3,F56*G56*H56,""))</f>
        <v/>
      </c>
      <c r="J56" s="29">
        <f>IF($I56="","",IF($I56&gt;=200,"1-CRITICAL",IF($I56&gt;=100,"2-HIGH",IF($I56&gt;=50,"3-MEDIUM","4-LOW"))))</f>
        <v/>
      </c>
      <c r="K56" s="23" t="n"/>
      <c r="L56" s="31" t="n"/>
      <c r="M56" s="31" t="n"/>
      <c r="N56" s="23" t="n"/>
      <c r="O56" s="30" t="n"/>
      <c r="P56" s="29">
        <f>IF($C56="","",ROUND(IF($E56="1-CRITICAL",7,IF($E56="2-HIGH",14,IF($E56="3-MEDIUM",30,45)))*(1+IF($I56="",0,$I56)/400),0))</f>
        <v/>
      </c>
      <c r="Q56" s="32">
        <f>IF(OR($C56="",$O56=""),"",$O56+$P56)</f>
        <v/>
      </c>
      <c r="R56" s="31" t="n"/>
      <c r="S56" s="33" t="n"/>
      <c r="T56" s="29">
        <f>IF($C56="","",IF($R56="CLOSED","Closed",IF($R56="RESOLVED","Resolved",IF($R56="BLOCKED","BLOCKED",IF($I56&gt;=200,"CRITICAL",IF($I56&gt;=100,"High",IF($E56="1-CRITICAL","High","On track")))))))</f>
        <v/>
      </c>
      <c r="U56" s="34">
        <f>IF($C56="","",IF($R56="CLOSED","Closed - capture lessons learned in PDCA Act phase.",IF($I56&gt;=200,"CRITICAL (RPN "&amp;$I56&amp;"): Escalate today. Open FMEA action + daily PDCA. Owner "&amp;IF($M56="","?",$M56)&amp;". Apply "&amp;IF($L56="","a Lean method",$L56)&amp;". Close by "&amp;IF($Q56="","ASAP",TEXT($Q56,"dd-mmm"))&amp;".",IF($I56&gt;=100,"HIGH (RPN "&amp;$I56&amp;"): Add to current sprint. Mitigate via "&amp;IF($L56="","Standard Work",$L56)&amp;". Review weekly with "&amp;IF($M56="","owner",$M56)&amp;".",IF(OR($E56="1-CRITICAL",$E56="2-HIGH"),"Priority case: schedule "&amp;IF($L56="","a Lean workshop",$L56)&amp;" within 2 weeks. Track to "&amp;IF($N56="","target",$N56)&amp;".","Monitor: apply "&amp;IF($L56="","standard cadence",$L56)&amp;". Re-score if conditions change.")))))</f>
        <v/>
      </c>
      <c r="V56">
        <f>IF($C56="","",IF($I56="",0,$I56)+ROW()/100000)</f>
        <v/>
      </c>
    </row>
    <row r="57">
      <c r="A57" s="29">
        <f>IF($C57="","",TEXT(54,"\C\A\S\E-000"))</f>
        <v/>
      </c>
      <c r="B57" s="30" t="n"/>
      <c r="C57" s="23" t="n"/>
      <c r="D57" s="31" t="n"/>
      <c r="E57" s="31" t="n"/>
      <c r="F57" s="31" t="n"/>
      <c r="G57" s="31" t="n"/>
      <c r="H57" s="31" t="n"/>
      <c r="I57" s="29">
        <f>IF($C57="","",IF(COUNT(F57,G57,H57)=3,F57*G57*H57,""))</f>
        <v/>
      </c>
      <c r="J57" s="29">
        <f>IF($I57="","",IF($I57&gt;=200,"1-CRITICAL",IF($I57&gt;=100,"2-HIGH",IF($I57&gt;=50,"3-MEDIUM","4-LOW"))))</f>
        <v/>
      </c>
      <c r="K57" s="23" t="n"/>
      <c r="L57" s="31" t="n"/>
      <c r="M57" s="31" t="n"/>
      <c r="N57" s="23" t="n"/>
      <c r="O57" s="30" t="n"/>
      <c r="P57" s="29">
        <f>IF($C57="","",ROUND(IF($E57="1-CRITICAL",7,IF($E57="2-HIGH",14,IF($E57="3-MEDIUM",30,45)))*(1+IF($I57="",0,$I57)/400),0))</f>
        <v/>
      </c>
      <c r="Q57" s="32">
        <f>IF(OR($C57="",$O57=""),"",$O57+$P57)</f>
        <v/>
      </c>
      <c r="R57" s="31" t="n"/>
      <c r="S57" s="33" t="n"/>
      <c r="T57" s="29">
        <f>IF($C57="","",IF($R57="CLOSED","Closed",IF($R57="RESOLVED","Resolved",IF($R57="BLOCKED","BLOCKED",IF($I57&gt;=200,"CRITICAL",IF($I57&gt;=100,"High",IF($E57="1-CRITICAL","High","On track")))))))</f>
        <v/>
      </c>
      <c r="U57" s="34">
        <f>IF($C57="","",IF($R57="CLOSED","Closed - capture lessons learned in PDCA Act phase.",IF($I57&gt;=200,"CRITICAL (RPN "&amp;$I57&amp;"): Escalate today. Open FMEA action + daily PDCA. Owner "&amp;IF($M57="","?",$M57)&amp;". Apply "&amp;IF($L57="","a Lean method",$L57)&amp;". Close by "&amp;IF($Q57="","ASAP",TEXT($Q57,"dd-mmm"))&amp;".",IF($I57&gt;=100,"HIGH (RPN "&amp;$I57&amp;"): Add to current sprint. Mitigate via "&amp;IF($L57="","Standard Work",$L57)&amp;". Review weekly with "&amp;IF($M57="","owner",$M57)&amp;".",IF(OR($E57="1-CRITICAL",$E57="2-HIGH"),"Priority case: schedule "&amp;IF($L57="","a Lean workshop",$L57)&amp;" within 2 weeks. Track to "&amp;IF($N57="","target",$N57)&amp;".","Monitor: apply "&amp;IF($L57="","standard cadence",$L57)&amp;". Re-score if conditions change.")))))</f>
        <v/>
      </c>
      <c r="V57">
        <f>IF($C57="","",IF($I57="",0,$I57)+ROW()/100000)</f>
        <v/>
      </c>
    </row>
    <row r="58">
      <c r="A58" s="29">
        <f>IF($C58="","",TEXT(55,"\C\A\S\E-000"))</f>
        <v/>
      </c>
      <c r="B58" s="30" t="n"/>
      <c r="C58" s="23" t="n"/>
      <c r="D58" s="31" t="n"/>
      <c r="E58" s="31" t="n"/>
      <c r="F58" s="31" t="n"/>
      <c r="G58" s="31" t="n"/>
      <c r="H58" s="31" t="n"/>
      <c r="I58" s="29">
        <f>IF($C58="","",IF(COUNT(F58,G58,H58)=3,F58*G58*H58,""))</f>
        <v/>
      </c>
      <c r="J58" s="29">
        <f>IF($I58="","",IF($I58&gt;=200,"1-CRITICAL",IF($I58&gt;=100,"2-HIGH",IF($I58&gt;=50,"3-MEDIUM","4-LOW"))))</f>
        <v/>
      </c>
      <c r="K58" s="23" t="n"/>
      <c r="L58" s="31" t="n"/>
      <c r="M58" s="31" t="n"/>
      <c r="N58" s="23" t="n"/>
      <c r="O58" s="30" t="n"/>
      <c r="P58" s="29">
        <f>IF($C58="","",ROUND(IF($E58="1-CRITICAL",7,IF($E58="2-HIGH",14,IF($E58="3-MEDIUM",30,45)))*(1+IF($I58="",0,$I58)/400),0))</f>
        <v/>
      </c>
      <c r="Q58" s="32">
        <f>IF(OR($C58="",$O58=""),"",$O58+$P58)</f>
        <v/>
      </c>
      <c r="R58" s="31" t="n"/>
      <c r="S58" s="33" t="n"/>
      <c r="T58" s="29">
        <f>IF($C58="","",IF($R58="CLOSED","Closed",IF($R58="RESOLVED","Resolved",IF($R58="BLOCKED","BLOCKED",IF($I58&gt;=200,"CRITICAL",IF($I58&gt;=100,"High",IF($E58="1-CRITICAL","High","On track")))))))</f>
        <v/>
      </c>
      <c r="U58" s="34">
        <f>IF($C58="","",IF($R58="CLOSED","Closed - capture lessons learned in PDCA Act phase.",IF($I58&gt;=200,"CRITICAL (RPN "&amp;$I58&amp;"): Escalate today. Open FMEA action + daily PDCA. Owner "&amp;IF($M58="","?",$M58)&amp;". Apply "&amp;IF($L58="","a Lean method",$L58)&amp;". Close by "&amp;IF($Q58="","ASAP",TEXT($Q58,"dd-mmm"))&amp;".",IF($I58&gt;=100,"HIGH (RPN "&amp;$I58&amp;"): Add to current sprint. Mitigate via "&amp;IF($L58="","Standard Work",$L58)&amp;". Review weekly with "&amp;IF($M58="","owner",$M58)&amp;".",IF(OR($E58="1-CRITICAL",$E58="2-HIGH"),"Priority case: schedule "&amp;IF($L58="","a Lean workshop",$L58)&amp;" within 2 weeks. Track to "&amp;IF($N58="","target",$N58)&amp;".","Monitor: apply "&amp;IF($L58="","standard cadence",$L58)&amp;". Re-score if conditions change.")))))</f>
        <v/>
      </c>
      <c r="V58">
        <f>IF($C58="","",IF($I58="",0,$I58)+ROW()/100000)</f>
        <v/>
      </c>
    </row>
    <row r="59">
      <c r="A59" s="29">
        <f>IF($C59="","",TEXT(56,"\C\A\S\E-000"))</f>
        <v/>
      </c>
      <c r="B59" s="30" t="n"/>
      <c r="C59" s="23" t="n"/>
      <c r="D59" s="31" t="n"/>
      <c r="E59" s="31" t="n"/>
      <c r="F59" s="31" t="n"/>
      <c r="G59" s="31" t="n"/>
      <c r="H59" s="31" t="n"/>
      <c r="I59" s="29">
        <f>IF($C59="","",IF(COUNT(F59,G59,H59)=3,F59*G59*H59,""))</f>
        <v/>
      </c>
      <c r="J59" s="29">
        <f>IF($I59="","",IF($I59&gt;=200,"1-CRITICAL",IF($I59&gt;=100,"2-HIGH",IF($I59&gt;=50,"3-MEDIUM","4-LOW"))))</f>
        <v/>
      </c>
      <c r="K59" s="23" t="n"/>
      <c r="L59" s="31" t="n"/>
      <c r="M59" s="31" t="n"/>
      <c r="N59" s="23" t="n"/>
      <c r="O59" s="30" t="n"/>
      <c r="P59" s="29">
        <f>IF($C59="","",ROUND(IF($E59="1-CRITICAL",7,IF($E59="2-HIGH",14,IF($E59="3-MEDIUM",30,45)))*(1+IF($I59="",0,$I59)/400),0))</f>
        <v/>
      </c>
      <c r="Q59" s="32">
        <f>IF(OR($C59="",$O59=""),"",$O59+$P59)</f>
        <v/>
      </c>
      <c r="R59" s="31" t="n"/>
      <c r="S59" s="33" t="n"/>
      <c r="T59" s="29">
        <f>IF($C59="","",IF($R59="CLOSED","Closed",IF($R59="RESOLVED","Resolved",IF($R59="BLOCKED","BLOCKED",IF($I59&gt;=200,"CRITICAL",IF($I59&gt;=100,"High",IF($E59="1-CRITICAL","High","On track")))))))</f>
        <v/>
      </c>
      <c r="U59" s="34">
        <f>IF($C59="","",IF($R59="CLOSED","Closed - capture lessons learned in PDCA Act phase.",IF($I59&gt;=200,"CRITICAL (RPN "&amp;$I59&amp;"): Escalate today. Open FMEA action + daily PDCA. Owner "&amp;IF($M59="","?",$M59)&amp;". Apply "&amp;IF($L59="","a Lean method",$L59)&amp;". Close by "&amp;IF($Q59="","ASAP",TEXT($Q59,"dd-mmm"))&amp;".",IF($I59&gt;=100,"HIGH (RPN "&amp;$I59&amp;"): Add to current sprint. Mitigate via "&amp;IF($L59="","Standard Work",$L59)&amp;". Review weekly with "&amp;IF($M59="","owner",$M59)&amp;".",IF(OR($E59="1-CRITICAL",$E59="2-HIGH"),"Priority case: schedule "&amp;IF($L59="","a Lean workshop",$L59)&amp;" within 2 weeks. Track to "&amp;IF($N59="","target",$N59)&amp;".","Monitor: apply "&amp;IF($L59="","standard cadence",$L59)&amp;". Re-score if conditions change.")))))</f>
        <v/>
      </c>
      <c r="V59">
        <f>IF($C59="","",IF($I59="",0,$I59)+ROW()/100000)</f>
        <v/>
      </c>
    </row>
    <row r="60">
      <c r="A60" s="29">
        <f>IF($C60="","",TEXT(57,"\C\A\S\E-000"))</f>
        <v/>
      </c>
      <c r="B60" s="30" t="n"/>
      <c r="C60" s="23" t="n"/>
      <c r="D60" s="31" t="n"/>
      <c r="E60" s="31" t="n"/>
      <c r="F60" s="31" t="n"/>
      <c r="G60" s="31" t="n"/>
      <c r="H60" s="31" t="n"/>
      <c r="I60" s="29">
        <f>IF($C60="","",IF(COUNT(F60,G60,H60)=3,F60*G60*H60,""))</f>
        <v/>
      </c>
      <c r="J60" s="29">
        <f>IF($I60="","",IF($I60&gt;=200,"1-CRITICAL",IF($I60&gt;=100,"2-HIGH",IF($I60&gt;=50,"3-MEDIUM","4-LOW"))))</f>
        <v/>
      </c>
      <c r="K60" s="23" t="n"/>
      <c r="L60" s="31" t="n"/>
      <c r="M60" s="31" t="n"/>
      <c r="N60" s="23" t="n"/>
      <c r="O60" s="30" t="n"/>
      <c r="P60" s="29">
        <f>IF($C60="","",ROUND(IF($E60="1-CRITICAL",7,IF($E60="2-HIGH",14,IF($E60="3-MEDIUM",30,45)))*(1+IF($I60="",0,$I60)/400),0))</f>
        <v/>
      </c>
      <c r="Q60" s="32">
        <f>IF(OR($C60="",$O60=""),"",$O60+$P60)</f>
        <v/>
      </c>
      <c r="R60" s="31" t="n"/>
      <c r="S60" s="33" t="n"/>
      <c r="T60" s="29">
        <f>IF($C60="","",IF($R60="CLOSED","Closed",IF($R60="RESOLVED","Resolved",IF($R60="BLOCKED","BLOCKED",IF($I60&gt;=200,"CRITICAL",IF($I60&gt;=100,"High",IF($E60="1-CRITICAL","High","On track")))))))</f>
        <v/>
      </c>
      <c r="U60" s="34">
        <f>IF($C60="","",IF($R60="CLOSED","Closed - capture lessons learned in PDCA Act phase.",IF($I60&gt;=200,"CRITICAL (RPN "&amp;$I60&amp;"): Escalate today. Open FMEA action + daily PDCA. Owner "&amp;IF($M60="","?",$M60)&amp;". Apply "&amp;IF($L60="","a Lean method",$L60)&amp;". Close by "&amp;IF($Q60="","ASAP",TEXT($Q60,"dd-mmm"))&amp;".",IF($I60&gt;=100,"HIGH (RPN "&amp;$I60&amp;"): Add to current sprint. Mitigate via "&amp;IF($L60="","Standard Work",$L60)&amp;". Review weekly with "&amp;IF($M60="","owner",$M60)&amp;".",IF(OR($E60="1-CRITICAL",$E60="2-HIGH"),"Priority case: schedule "&amp;IF($L60="","a Lean workshop",$L60)&amp;" within 2 weeks. Track to "&amp;IF($N60="","target",$N60)&amp;".","Monitor: apply "&amp;IF($L60="","standard cadence",$L60)&amp;". Re-score if conditions change.")))))</f>
        <v/>
      </c>
      <c r="V60">
        <f>IF($C60="","",IF($I60="",0,$I60)+ROW()/100000)</f>
        <v/>
      </c>
    </row>
    <row r="61">
      <c r="A61" s="29">
        <f>IF($C61="","",TEXT(58,"\C\A\S\E-000"))</f>
        <v/>
      </c>
      <c r="B61" s="30" t="n"/>
      <c r="C61" s="23" t="n"/>
      <c r="D61" s="31" t="n"/>
      <c r="E61" s="31" t="n"/>
      <c r="F61" s="31" t="n"/>
      <c r="G61" s="31" t="n"/>
      <c r="H61" s="31" t="n"/>
      <c r="I61" s="29">
        <f>IF($C61="","",IF(COUNT(F61,G61,H61)=3,F61*G61*H61,""))</f>
        <v/>
      </c>
      <c r="J61" s="29">
        <f>IF($I61="","",IF($I61&gt;=200,"1-CRITICAL",IF($I61&gt;=100,"2-HIGH",IF($I61&gt;=50,"3-MEDIUM","4-LOW"))))</f>
        <v/>
      </c>
      <c r="K61" s="23" t="n"/>
      <c r="L61" s="31" t="n"/>
      <c r="M61" s="31" t="n"/>
      <c r="N61" s="23" t="n"/>
      <c r="O61" s="30" t="n"/>
      <c r="P61" s="29">
        <f>IF($C61="","",ROUND(IF($E61="1-CRITICAL",7,IF($E61="2-HIGH",14,IF($E61="3-MEDIUM",30,45)))*(1+IF($I61="",0,$I61)/400),0))</f>
        <v/>
      </c>
      <c r="Q61" s="32">
        <f>IF(OR($C61="",$O61=""),"",$O61+$P61)</f>
        <v/>
      </c>
      <c r="R61" s="31" t="n"/>
      <c r="S61" s="33" t="n"/>
      <c r="T61" s="29">
        <f>IF($C61="","",IF($R61="CLOSED","Closed",IF($R61="RESOLVED","Resolved",IF($R61="BLOCKED","BLOCKED",IF($I61&gt;=200,"CRITICAL",IF($I61&gt;=100,"High",IF($E61="1-CRITICAL","High","On track")))))))</f>
        <v/>
      </c>
      <c r="U61" s="34">
        <f>IF($C61="","",IF($R61="CLOSED","Closed - capture lessons learned in PDCA Act phase.",IF($I61&gt;=200,"CRITICAL (RPN "&amp;$I61&amp;"): Escalate today. Open FMEA action + daily PDCA. Owner "&amp;IF($M61="","?",$M61)&amp;". Apply "&amp;IF($L61="","a Lean method",$L61)&amp;". Close by "&amp;IF($Q61="","ASAP",TEXT($Q61,"dd-mmm"))&amp;".",IF($I61&gt;=100,"HIGH (RPN "&amp;$I61&amp;"): Add to current sprint. Mitigate via "&amp;IF($L61="","Standard Work",$L61)&amp;". Review weekly with "&amp;IF($M61="","owner",$M61)&amp;".",IF(OR($E61="1-CRITICAL",$E61="2-HIGH"),"Priority case: schedule "&amp;IF($L61="","a Lean workshop",$L61)&amp;" within 2 weeks. Track to "&amp;IF($N61="","target",$N61)&amp;".","Monitor: apply "&amp;IF($L61="","standard cadence",$L61)&amp;". Re-score if conditions change.")))))</f>
        <v/>
      </c>
      <c r="V61">
        <f>IF($C61="","",IF($I61="",0,$I61)+ROW()/100000)</f>
        <v/>
      </c>
    </row>
    <row r="62">
      <c r="A62" s="29">
        <f>IF($C62="","",TEXT(59,"\C\A\S\E-000"))</f>
        <v/>
      </c>
      <c r="B62" s="30" t="n"/>
      <c r="C62" s="23" t="n"/>
      <c r="D62" s="31" t="n"/>
      <c r="E62" s="31" t="n"/>
      <c r="F62" s="31" t="n"/>
      <c r="G62" s="31" t="n"/>
      <c r="H62" s="31" t="n"/>
      <c r="I62" s="29">
        <f>IF($C62="","",IF(COUNT(F62,G62,H62)=3,F62*G62*H62,""))</f>
        <v/>
      </c>
      <c r="J62" s="29">
        <f>IF($I62="","",IF($I62&gt;=200,"1-CRITICAL",IF($I62&gt;=100,"2-HIGH",IF($I62&gt;=50,"3-MEDIUM","4-LOW"))))</f>
        <v/>
      </c>
      <c r="K62" s="23" t="n"/>
      <c r="L62" s="31" t="n"/>
      <c r="M62" s="31" t="n"/>
      <c r="N62" s="23" t="n"/>
      <c r="O62" s="30" t="n"/>
      <c r="P62" s="29">
        <f>IF($C62="","",ROUND(IF($E62="1-CRITICAL",7,IF($E62="2-HIGH",14,IF($E62="3-MEDIUM",30,45)))*(1+IF($I62="",0,$I62)/400),0))</f>
        <v/>
      </c>
      <c r="Q62" s="32">
        <f>IF(OR($C62="",$O62=""),"",$O62+$P62)</f>
        <v/>
      </c>
      <c r="R62" s="31" t="n"/>
      <c r="S62" s="33" t="n"/>
      <c r="T62" s="29">
        <f>IF($C62="","",IF($R62="CLOSED","Closed",IF($R62="RESOLVED","Resolved",IF($R62="BLOCKED","BLOCKED",IF($I62&gt;=200,"CRITICAL",IF($I62&gt;=100,"High",IF($E62="1-CRITICAL","High","On track")))))))</f>
        <v/>
      </c>
      <c r="U62" s="34">
        <f>IF($C62="","",IF($R62="CLOSED","Closed - capture lessons learned in PDCA Act phase.",IF($I62&gt;=200,"CRITICAL (RPN "&amp;$I62&amp;"): Escalate today. Open FMEA action + daily PDCA. Owner "&amp;IF($M62="","?",$M62)&amp;". Apply "&amp;IF($L62="","a Lean method",$L62)&amp;". Close by "&amp;IF($Q62="","ASAP",TEXT($Q62,"dd-mmm"))&amp;".",IF($I62&gt;=100,"HIGH (RPN "&amp;$I62&amp;"): Add to current sprint. Mitigate via "&amp;IF($L62="","Standard Work",$L62)&amp;". Review weekly with "&amp;IF($M62="","owner",$M62)&amp;".",IF(OR($E62="1-CRITICAL",$E62="2-HIGH"),"Priority case: schedule "&amp;IF($L62="","a Lean workshop",$L62)&amp;" within 2 weeks. Track to "&amp;IF($N62="","target",$N62)&amp;".","Monitor: apply "&amp;IF($L62="","standard cadence",$L62)&amp;". Re-score if conditions change.")))))</f>
        <v/>
      </c>
      <c r="V62">
        <f>IF($C62="","",IF($I62="",0,$I62)+ROW()/100000)</f>
        <v/>
      </c>
    </row>
    <row r="63">
      <c r="A63" s="29">
        <f>IF($C63="","",TEXT(60,"\C\A\S\E-000"))</f>
        <v/>
      </c>
      <c r="B63" s="30" t="n"/>
      <c r="C63" s="23" t="n"/>
      <c r="D63" s="31" t="n"/>
      <c r="E63" s="31" t="n"/>
      <c r="F63" s="31" t="n"/>
      <c r="G63" s="31" t="n"/>
      <c r="H63" s="31" t="n"/>
      <c r="I63" s="29">
        <f>IF($C63="","",IF(COUNT(F63,G63,H63)=3,F63*G63*H63,""))</f>
        <v/>
      </c>
      <c r="J63" s="29">
        <f>IF($I63="","",IF($I63&gt;=200,"1-CRITICAL",IF($I63&gt;=100,"2-HIGH",IF($I63&gt;=50,"3-MEDIUM","4-LOW"))))</f>
        <v/>
      </c>
      <c r="K63" s="23" t="n"/>
      <c r="L63" s="31" t="n"/>
      <c r="M63" s="31" t="n"/>
      <c r="N63" s="23" t="n"/>
      <c r="O63" s="30" t="n"/>
      <c r="P63" s="29">
        <f>IF($C63="","",ROUND(IF($E63="1-CRITICAL",7,IF($E63="2-HIGH",14,IF($E63="3-MEDIUM",30,45)))*(1+IF($I63="",0,$I63)/400),0))</f>
        <v/>
      </c>
      <c r="Q63" s="32">
        <f>IF(OR($C63="",$O63=""),"",$O63+$P63)</f>
        <v/>
      </c>
      <c r="R63" s="31" t="n"/>
      <c r="S63" s="33" t="n"/>
      <c r="T63" s="29">
        <f>IF($C63="","",IF($R63="CLOSED","Closed",IF($R63="RESOLVED","Resolved",IF($R63="BLOCKED","BLOCKED",IF($I63&gt;=200,"CRITICAL",IF($I63&gt;=100,"High",IF($E63="1-CRITICAL","High","On track")))))))</f>
        <v/>
      </c>
      <c r="U63" s="34">
        <f>IF($C63="","",IF($R63="CLOSED","Closed - capture lessons learned in PDCA Act phase.",IF($I63&gt;=200,"CRITICAL (RPN "&amp;$I63&amp;"): Escalate today. Open FMEA action + daily PDCA. Owner "&amp;IF($M63="","?",$M63)&amp;". Apply "&amp;IF($L63="","a Lean method",$L63)&amp;". Close by "&amp;IF($Q63="","ASAP",TEXT($Q63,"dd-mmm"))&amp;".",IF($I63&gt;=100,"HIGH (RPN "&amp;$I63&amp;"): Add to current sprint. Mitigate via "&amp;IF($L63="","Standard Work",$L63)&amp;". Review weekly with "&amp;IF($M63="","owner",$M63)&amp;".",IF(OR($E63="1-CRITICAL",$E63="2-HIGH"),"Priority case: schedule "&amp;IF($L63="","a Lean workshop",$L63)&amp;" within 2 weeks. Track to "&amp;IF($N63="","target",$N63)&amp;".","Monitor: apply "&amp;IF($L63="","standard cadence",$L63)&amp;". Re-score if conditions change.")))))</f>
        <v/>
      </c>
      <c r="V63">
        <f>IF($C63="","",IF($I63="",0,$I63)+ROW()/100000)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2">
    <mergeCell ref="A1:U1"/>
    <mergeCell ref="A2:U2"/>
  </mergeCells>
  <conditionalFormatting sqref="I4:I63">
    <cfRule type="colorScale" priority="1">
      <colorScale>
        <cfvo type="num" val="0"/>
        <cfvo type="num" val="100"/>
        <cfvo type="num" val="300"/>
        <color rgb="0063BE7B"/>
        <color rgb="00FFEB84"/>
        <color rgb="00F8696B"/>
      </colorScale>
    </cfRule>
  </conditionalFormatting>
  <conditionalFormatting sqref="S4:S63">
    <cfRule type="dataBar" priority="2">
      <dataBar>
        <cfvo type="num" val="0"/>
        <cfvo type="num" val="1"/>
        <color rgb="001F8A8A"/>
      </dataBar>
    </cfRule>
  </conditionalFormatting>
  <conditionalFormatting sqref="T4:T63">
    <cfRule type="cellIs" priority="3" operator="equal" dxfId="0">
      <formula>"CRITICAL"</formula>
    </cfRule>
    <cfRule type="cellIs" priority="4" operator="equal" dxfId="0">
      <formula>"BLOCKED"</formula>
    </cfRule>
    <cfRule type="cellIs" priority="5" operator="equal" dxfId="1">
      <formula>"High"</formula>
    </cfRule>
    <cfRule type="cellIs" priority="6" operator="equal" dxfId="2">
      <formula>"On track"</formula>
    </cfRule>
    <cfRule type="cellIs" priority="7" operator="equal" dxfId="3">
      <formula>"Resolved"</formula>
    </cfRule>
    <cfRule type="cellIs" priority="8" operator="equal" dxfId="3">
      <formula>"Closed"</formula>
    </cfRule>
  </conditionalFormatting>
  <dataValidations count="14">
    <dataValidation sqref="B4:B63" showDropDown="0" showInputMessage="0" showErrorMessage="1" allowBlank="1" errorTitle="Choose from list" error="Please CHOOSE a value from the dropdown - free typing is not allowed." promptTitle="Dates" prompt="Click the arrow and choose" type="list" errorStyle="stop">
      <formula1>LISTS!$R$2:$R$731</formula1>
    </dataValidation>
    <dataValidation sqref="C4:C63" showDropDown="0" showInputMessage="0" showErrorMessage="1" allowBlank="1" errorTitle="Choose from list" error="Please CHOOSE a value from the dropdown - free typing is not allowed." promptTitle="Problems" prompt="Click the arrow and choose" type="list" errorStyle="stop">
      <formula1>LISTS!$F$2:$F$44</formula1>
    </dataValidation>
    <dataValidation sqref="D4:D63" showDropDown="0" showInputMessage="0" showErrorMessage="1" allowBlank="1" errorTitle="Choose from list" error="Please CHOOSE a value from the dropdown - free typing is not allowed." promptTitle="Category" prompt="Click the arrow and choose" type="list" errorStyle="stop">
      <formula1>LISTS!$A$2:$A$9</formula1>
    </dataValidation>
    <dataValidation sqref="E4:E63" showDropDown="0" showInputMessage="0" showErrorMessage="1" allowBlank="1" errorTitle="Choose from list" error="Please CHOOSE a value from the dropdown - free typing is not allowed." promptTitle="Priority" prompt="Click the arrow and choose" type="list" errorStyle="stop">
      <formula1>LISTS!$B$2:$B$5</formula1>
    </dataValidation>
    <dataValidation sqref="F4:F63" showDropDown="0" showInputMessage="0" showErrorMessage="1" allowBlank="1" errorTitle="Choose from list" error="Please CHOOSE a value from the dropdown - free typing is not allowed." promptTitle="Score" prompt="Click the arrow and choose" type="list" errorStyle="stop">
      <formula1>LISTS!$C$2:$C$11</formula1>
    </dataValidation>
    <dataValidation sqref="G4:G63" showDropDown="0" showInputMessage="0" showErrorMessage="1" allowBlank="1" errorTitle="Choose from list" error="Please CHOOSE a value from the dropdown - free typing is not allowed." promptTitle="Score" prompt="Click the arrow and choose" type="list" errorStyle="stop">
      <formula1>LISTS!$C$2:$C$11</formula1>
    </dataValidation>
    <dataValidation sqref="H4:H63" showDropDown="0" showInputMessage="0" showErrorMessage="1" allowBlank="1" errorTitle="Choose from list" error="Please CHOOSE a value from the dropdown - free typing is not allowed." promptTitle="Score" prompt="Click the arrow and choose" type="list" errorStyle="stop">
      <formula1>LISTS!$C$2:$C$11</formula1>
    </dataValidation>
    <dataValidation sqref="K4:K63" showDropDown="0" showInputMessage="0" showErrorMessage="1" allowBlank="1" errorTitle="Choose from list" error="Please CHOOSE a value from the dropdown - free typing is not allowed." promptTitle="RootCauses" prompt="Click the arrow and choose" type="list" errorStyle="stop">
      <formula1>LISTS!$G$2:$G$40</formula1>
    </dataValidation>
    <dataValidation sqref="L4:L63" showDropDown="0" showInputMessage="0" showErrorMessage="1" allowBlank="1" errorTitle="Choose from list" error="Please CHOOSE a value from the dropdown - free typing is not allowed." promptTitle="LeanMethod" prompt="Click the arrow and choose" type="list" errorStyle="stop">
      <formula1>LISTS!$D$2:$D$13</formula1>
    </dataValidation>
    <dataValidation sqref="M4:M63" showDropDown="0" showInputMessage="0" showErrorMessage="1" allowBlank="1" errorTitle="Choose from list" error="Please CHOOSE a value from the dropdown - free typing is not allowed." promptTitle="Owner" prompt="Click the arrow and choose" type="list" errorStyle="stop">
      <formula1>CONFIG!$B$15:$B$39</formula1>
    </dataValidation>
    <dataValidation sqref="N4:N63" showDropDown="0" showInputMessage="0" showErrorMessage="1" allowBlank="1" errorTitle="Choose from list" error="Please CHOOSE a value from the dropdown - free typing is not allowed." promptTitle="Targets" prompt="Click the arrow and choose" type="list" errorStyle="stop">
      <formula1>LISTS!$H$2:$H$18</formula1>
    </dataValidation>
    <dataValidation sqref="O4:O63" showDropDown="0" showInputMessage="0" showErrorMessage="1" allowBlank="1" errorTitle="Choose from list" error="Please CHOOSE a value from the dropdown - free typing is not allowed." promptTitle="Dates" prompt="Click the arrow and choose" type="list" errorStyle="stop">
      <formula1>LISTS!$R$2:$R$731</formula1>
    </dataValidation>
    <dataValidation sqref="R4:R63" showDropDown="0" showInputMessage="0" showErrorMessage="1" allowBlank="1" errorTitle="Choose from list" error="Please CHOOSE a value from the dropdown - free typing is not allowed." promptTitle="Status" prompt="Click the arrow and choose" type="list" errorStyle="stop">
      <formula1>LISTS!$E$2:$E$7</formula1>
    </dataValidation>
    <dataValidation sqref="S4:S63" showDropDown="0" showInputMessage="0" showErrorMessage="1" allowBlank="1" errorTitle="Choose from list" error="Please CHOOSE a value from the dropdown - free typing is not allowed." promptTitle="Percent" prompt="Click the arrow and choose" type="list" errorStyle="stop">
      <formula1>LISTS!$M$2:$M$12</formula1>
    </dataValidation>
  </dataValidations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A1:J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42" customWidth="1" min="2" max="2"/>
    <col width="16" customWidth="1" min="3" max="3"/>
    <col width="12" customWidth="1" min="4" max="4"/>
    <col width="11" customWidth="1" min="5" max="5"/>
    <col width="11" customWidth="1" min="6" max="6"/>
    <col width="9" customWidth="1" min="7" max="7"/>
    <col width="8" customWidth="1" min="8" max="8"/>
    <col width="13" customWidth="1" min="9" max="9"/>
    <col width="12" customWidth="1" min="10" max="10"/>
  </cols>
  <sheetData>
    <row r="1" ht="36" customHeight="1">
      <c r="A1" s="35" t="inlineStr">
        <is>
          <t xml:space="preserve">  PM TASK TRACKER  -  auto-built from every registered case</t>
        </is>
      </c>
    </row>
    <row r="2" ht="20" customHeight="1">
      <c r="A2" s="2" t="inlineStr">
        <is>
          <t xml:space="preserve">  Read-only. Edit on MASTER_ENTRY; this updates instantly.</t>
        </is>
      </c>
    </row>
    <row r="3" ht="30" customHeight="1">
      <c r="A3" s="28" t="inlineStr">
        <is>
          <t>TASK ID</t>
        </is>
      </c>
      <c r="B3" s="28" t="inlineStr">
        <is>
          <t>TASK / DELIVERABLE</t>
        </is>
      </c>
      <c r="C3" s="28" t="inlineStr">
        <is>
          <t>OWNER</t>
        </is>
      </c>
      <c r="D3" s="28" t="inlineStr">
        <is>
          <t>PRIORITY</t>
        </is>
      </c>
      <c r="E3" s="28" t="inlineStr">
        <is>
          <t>START</t>
        </is>
      </c>
      <c r="F3" s="28" t="inlineStr">
        <is>
          <t>DUE</t>
        </is>
      </c>
      <c r="G3" s="28" t="inlineStr">
        <is>
          <t>EST DAYS</t>
        </is>
      </c>
      <c r="H3" s="28" t="inlineStr">
        <is>
          <t>% DONE</t>
        </is>
      </c>
      <c r="I3" s="28" t="inlineStr">
        <is>
          <t>STATUS</t>
        </is>
      </c>
      <c r="J3" s="28" t="inlineStr">
        <is>
          <t>HEALTH</t>
        </is>
      </c>
    </row>
    <row r="4" ht="16" customHeight="1">
      <c r="A4" s="36">
        <f>IF('1. MASTER_ENTRY'!$C4="","",'1. MASTER_ENTRY'!$A4)</f>
        <v/>
      </c>
      <c r="B4" s="37">
        <f>IF('1. MASTER_ENTRY'!$C4="","",'1. MASTER_ENTRY'!$C4)</f>
        <v/>
      </c>
      <c r="C4" s="36">
        <f>IF('1. MASTER_ENTRY'!$C4="","",'1. MASTER_ENTRY'!$M4)</f>
        <v/>
      </c>
      <c r="D4" s="36">
        <f>IF('1. MASTER_ENTRY'!$C4="","",'1. MASTER_ENTRY'!$E4)</f>
        <v/>
      </c>
      <c r="E4" s="38">
        <f>IF('1. MASTER_ENTRY'!$C4="","",'1. MASTER_ENTRY'!$O4)</f>
        <v/>
      </c>
      <c r="F4" s="38">
        <f>IF('1. MASTER_ENTRY'!$C4="","",'1. MASTER_ENTRY'!$Q4)</f>
        <v/>
      </c>
      <c r="G4" s="36">
        <f>IF('1. MASTER_ENTRY'!$C4="","",'1. MASTER_ENTRY'!$P4)</f>
        <v/>
      </c>
      <c r="H4" s="39">
        <f>IF('1. MASTER_ENTRY'!$C4="","",'1. MASTER_ENTRY'!$S4)</f>
        <v/>
      </c>
      <c r="I4" s="36">
        <f>IF('1. MASTER_ENTRY'!$C4="","",'1. MASTER_ENTRY'!$R4)</f>
        <v/>
      </c>
      <c r="J4" s="36">
        <f>IF('1. MASTER_ENTRY'!$C4="","",'1. MASTER_ENTRY'!$T4)</f>
        <v/>
      </c>
    </row>
    <row r="5" ht="16" customHeight="1">
      <c r="A5" s="40">
        <f>IF('1. MASTER_ENTRY'!$C5="","",'1. MASTER_ENTRY'!$A5)</f>
        <v/>
      </c>
      <c r="B5" s="41">
        <f>IF('1. MASTER_ENTRY'!$C5="","",'1. MASTER_ENTRY'!$C5)</f>
        <v/>
      </c>
      <c r="C5" s="40">
        <f>IF('1. MASTER_ENTRY'!$C5="","",'1. MASTER_ENTRY'!$M5)</f>
        <v/>
      </c>
      <c r="D5" s="40">
        <f>IF('1. MASTER_ENTRY'!$C5="","",'1. MASTER_ENTRY'!$E5)</f>
        <v/>
      </c>
      <c r="E5" s="42">
        <f>IF('1. MASTER_ENTRY'!$C5="","",'1. MASTER_ENTRY'!$O5)</f>
        <v/>
      </c>
      <c r="F5" s="42">
        <f>IF('1. MASTER_ENTRY'!$C5="","",'1. MASTER_ENTRY'!$Q5)</f>
        <v/>
      </c>
      <c r="G5" s="40">
        <f>IF('1. MASTER_ENTRY'!$C5="","",'1. MASTER_ENTRY'!$P5)</f>
        <v/>
      </c>
      <c r="H5" s="43">
        <f>IF('1. MASTER_ENTRY'!$C5="","",'1. MASTER_ENTRY'!$S5)</f>
        <v/>
      </c>
      <c r="I5" s="40">
        <f>IF('1. MASTER_ENTRY'!$C5="","",'1. MASTER_ENTRY'!$R5)</f>
        <v/>
      </c>
      <c r="J5" s="40">
        <f>IF('1. MASTER_ENTRY'!$C5="","",'1. MASTER_ENTRY'!$T5)</f>
        <v/>
      </c>
    </row>
    <row r="6" ht="16" customHeight="1">
      <c r="A6" s="36">
        <f>IF('1. MASTER_ENTRY'!$C6="","",'1. MASTER_ENTRY'!$A6)</f>
        <v/>
      </c>
      <c r="B6" s="37">
        <f>IF('1. MASTER_ENTRY'!$C6="","",'1. MASTER_ENTRY'!$C6)</f>
        <v/>
      </c>
      <c r="C6" s="36">
        <f>IF('1. MASTER_ENTRY'!$C6="","",'1. MASTER_ENTRY'!$M6)</f>
        <v/>
      </c>
      <c r="D6" s="36">
        <f>IF('1. MASTER_ENTRY'!$C6="","",'1. MASTER_ENTRY'!$E6)</f>
        <v/>
      </c>
      <c r="E6" s="38">
        <f>IF('1. MASTER_ENTRY'!$C6="","",'1. MASTER_ENTRY'!$O6)</f>
        <v/>
      </c>
      <c r="F6" s="38">
        <f>IF('1. MASTER_ENTRY'!$C6="","",'1. MASTER_ENTRY'!$Q6)</f>
        <v/>
      </c>
      <c r="G6" s="36">
        <f>IF('1. MASTER_ENTRY'!$C6="","",'1. MASTER_ENTRY'!$P6)</f>
        <v/>
      </c>
      <c r="H6" s="39">
        <f>IF('1. MASTER_ENTRY'!$C6="","",'1. MASTER_ENTRY'!$S6)</f>
        <v/>
      </c>
      <c r="I6" s="36">
        <f>IF('1. MASTER_ENTRY'!$C6="","",'1. MASTER_ENTRY'!$R6)</f>
        <v/>
      </c>
      <c r="J6" s="36">
        <f>IF('1. MASTER_ENTRY'!$C6="","",'1. MASTER_ENTRY'!$T6)</f>
        <v/>
      </c>
    </row>
    <row r="7" ht="16" customHeight="1">
      <c r="A7" s="40">
        <f>IF('1. MASTER_ENTRY'!$C7="","",'1. MASTER_ENTRY'!$A7)</f>
        <v/>
      </c>
      <c r="B7" s="41">
        <f>IF('1. MASTER_ENTRY'!$C7="","",'1. MASTER_ENTRY'!$C7)</f>
        <v/>
      </c>
      <c r="C7" s="40">
        <f>IF('1. MASTER_ENTRY'!$C7="","",'1. MASTER_ENTRY'!$M7)</f>
        <v/>
      </c>
      <c r="D7" s="40">
        <f>IF('1. MASTER_ENTRY'!$C7="","",'1. MASTER_ENTRY'!$E7)</f>
        <v/>
      </c>
      <c r="E7" s="42">
        <f>IF('1. MASTER_ENTRY'!$C7="","",'1. MASTER_ENTRY'!$O7)</f>
        <v/>
      </c>
      <c r="F7" s="42">
        <f>IF('1. MASTER_ENTRY'!$C7="","",'1. MASTER_ENTRY'!$Q7)</f>
        <v/>
      </c>
      <c r="G7" s="40">
        <f>IF('1. MASTER_ENTRY'!$C7="","",'1. MASTER_ENTRY'!$P7)</f>
        <v/>
      </c>
      <c r="H7" s="43">
        <f>IF('1. MASTER_ENTRY'!$C7="","",'1. MASTER_ENTRY'!$S7)</f>
        <v/>
      </c>
      <c r="I7" s="40">
        <f>IF('1. MASTER_ENTRY'!$C7="","",'1. MASTER_ENTRY'!$R7)</f>
        <v/>
      </c>
      <c r="J7" s="40">
        <f>IF('1. MASTER_ENTRY'!$C7="","",'1. MASTER_ENTRY'!$T7)</f>
        <v/>
      </c>
    </row>
    <row r="8" ht="16" customHeight="1">
      <c r="A8" s="36">
        <f>IF('1. MASTER_ENTRY'!$C8="","",'1. MASTER_ENTRY'!$A8)</f>
        <v/>
      </c>
      <c r="B8" s="37">
        <f>IF('1. MASTER_ENTRY'!$C8="","",'1. MASTER_ENTRY'!$C8)</f>
        <v/>
      </c>
      <c r="C8" s="36">
        <f>IF('1. MASTER_ENTRY'!$C8="","",'1. MASTER_ENTRY'!$M8)</f>
        <v/>
      </c>
      <c r="D8" s="36">
        <f>IF('1. MASTER_ENTRY'!$C8="","",'1. MASTER_ENTRY'!$E8)</f>
        <v/>
      </c>
      <c r="E8" s="38">
        <f>IF('1. MASTER_ENTRY'!$C8="","",'1. MASTER_ENTRY'!$O8)</f>
        <v/>
      </c>
      <c r="F8" s="38">
        <f>IF('1. MASTER_ENTRY'!$C8="","",'1. MASTER_ENTRY'!$Q8)</f>
        <v/>
      </c>
      <c r="G8" s="36">
        <f>IF('1. MASTER_ENTRY'!$C8="","",'1. MASTER_ENTRY'!$P8)</f>
        <v/>
      </c>
      <c r="H8" s="39">
        <f>IF('1. MASTER_ENTRY'!$C8="","",'1. MASTER_ENTRY'!$S8)</f>
        <v/>
      </c>
      <c r="I8" s="36">
        <f>IF('1. MASTER_ENTRY'!$C8="","",'1. MASTER_ENTRY'!$R8)</f>
        <v/>
      </c>
      <c r="J8" s="36">
        <f>IF('1. MASTER_ENTRY'!$C8="","",'1. MASTER_ENTRY'!$T8)</f>
        <v/>
      </c>
    </row>
    <row r="9" ht="16" customHeight="1">
      <c r="A9" s="40">
        <f>IF('1. MASTER_ENTRY'!$C9="","",'1. MASTER_ENTRY'!$A9)</f>
        <v/>
      </c>
      <c r="B9" s="41">
        <f>IF('1. MASTER_ENTRY'!$C9="","",'1. MASTER_ENTRY'!$C9)</f>
        <v/>
      </c>
      <c r="C9" s="40">
        <f>IF('1. MASTER_ENTRY'!$C9="","",'1. MASTER_ENTRY'!$M9)</f>
        <v/>
      </c>
      <c r="D9" s="40">
        <f>IF('1. MASTER_ENTRY'!$C9="","",'1. MASTER_ENTRY'!$E9)</f>
        <v/>
      </c>
      <c r="E9" s="42">
        <f>IF('1. MASTER_ENTRY'!$C9="","",'1. MASTER_ENTRY'!$O9)</f>
        <v/>
      </c>
      <c r="F9" s="42">
        <f>IF('1. MASTER_ENTRY'!$C9="","",'1. MASTER_ENTRY'!$Q9)</f>
        <v/>
      </c>
      <c r="G9" s="40">
        <f>IF('1. MASTER_ENTRY'!$C9="","",'1. MASTER_ENTRY'!$P9)</f>
        <v/>
      </c>
      <c r="H9" s="43">
        <f>IF('1. MASTER_ENTRY'!$C9="","",'1. MASTER_ENTRY'!$S9)</f>
        <v/>
      </c>
      <c r="I9" s="40">
        <f>IF('1. MASTER_ENTRY'!$C9="","",'1. MASTER_ENTRY'!$R9)</f>
        <v/>
      </c>
      <c r="J9" s="40">
        <f>IF('1. MASTER_ENTRY'!$C9="","",'1. MASTER_ENTRY'!$T9)</f>
        <v/>
      </c>
    </row>
    <row r="10" ht="16" customHeight="1">
      <c r="A10" s="36">
        <f>IF('1. MASTER_ENTRY'!$C10="","",'1. MASTER_ENTRY'!$A10)</f>
        <v/>
      </c>
      <c r="B10" s="37">
        <f>IF('1. MASTER_ENTRY'!$C10="","",'1. MASTER_ENTRY'!$C10)</f>
        <v/>
      </c>
      <c r="C10" s="36">
        <f>IF('1. MASTER_ENTRY'!$C10="","",'1. MASTER_ENTRY'!$M10)</f>
        <v/>
      </c>
      <c r="D10" s="36">
        <f>IF('1. MASTER_ENTRY'!$C10="","",'1. MASTER_ENTRY'!$E10)</f>
        <v/>
      </c>
      <c r="E10" s="38">
        <f>IF('1. MASTER_ENTRY'!$C10="","",'1. MASTER_ENTRY'!$O10)</f>
        <v/>
      </c>
      <c r="F10" s="38">
        <f>IF('1. MASTER_ENTRY'!$C10="","",'1. MASTER_ENTRY'!$Q10)</f>
        <v/>
      </c>
      <c r="G10" s="36">
        <f>IF('1. MASTER_ENTRY'!$C10="","",'1. MASTER_ENTRY'!$P10)</f>
        <v/>
      </c>
      <c r="H10" s="39">
        <f>IF('1. MASTER_ENTRY'!$C10="","",'1. MASTER_ENTRY'!$S10)</f>
        <v/>
      </c>
      <c r="I10" s="36">
        <f>IF('1. MASTER_ENTRY'!$C10="","",'1. MASTER_ENTRY'!$R10)</f>
        <v/>
      </c>
      <c r="J10" s="36">
        <f>IF('1. MASTER_ENTRY'!$C10="","",'1. MASTER_ENTRY'!$T10)</f>
        <v/>
      </c>
    </row>
    <row r="11" ht="16" customHeight="1">
      <c r="A11" s="40">
        <f>IF('1. MASTER_ENTRY'!$C11="","",'1. MASTER_ENTRY'!$A11)</f>
        <v/>
      </c>
      <c r="B11" s="41">
        <f>IF('1. MASTER_ENTRY'!$C11="","",'1. MASTER_ENTRY'!$C11)</f>
        <v/>
      </c>
      <c r="C11" s="40">
        <f>IF('1. MASTER_ENTRY'!$C11="","",'1. MASTER_ENTRY'!$M11)</f>
        <v/>
      </c>
      <c r="D11" s="40">
        <f>IF('1. MASTER_ENTRY'!$C11="","",'1. MASTER_ENTRY'!$E11)</f>
        <v/>
      </c>
      <c r="E11" s="42">
        <f>IF('1. MASTER_ENTRY'!$C11="","",'1. MASTER_ENTRY'!$O11)</f>
        <v/>
      </c>
      <c r="F11" s="42">
        <f>IF('1. MASTER_ENTRY'!$C11="","",'1. MASTER_ENTRY'!$Q11)</f>
        <v/>
      </c>
      <c r="G11" s="40">
        <f>IF('1. MASTER_ENTRY'!$C11="","",'1. MASTER_ENTRY'!$P11)</f>
        <v/>
      </c>
      <c r="H11" s="43">
        <f>IF('1. MASTER_ENTRY'!$C11="","",'1. MASTER_ENTRY'!$S11)</f>
        <v/>
      </c>
      <c r="I11" s="40">
        <f>IF('1. MASTER_ENTRY'!$C11="","",'1. MASTER_ENTRY'!$R11)</f>
        <v/>
      </c>
      <c r="J11" s="40">
        <f>IF('1. MASTER_ENTRY'!$C11="","",'1. MASTER_ENTRY'!$T11)</f>
        <v/>
      </c>
    </row>
    <row r="12" ht="16" customHeight="1">
      <c r="A12" s="36">
        <f>IF('1. MASTER_ENTRY'!$C12="","",'1. MASTER_ENTRY'!$A12)</f>
        <v/>
      </c>
      <c r="B12" s="37">
        <f>IF('1. MASTER_ENTRY'!$C12="","",'1. MASTER_ENTRY'!$C12)</f>
        <v/>
      </c>
      <c r="C12" s="36">
        <f>IF('1. MASTER_ENTRY'!$C12="","",'1. MASTER_ENTRY'!$M12)</f>
        <v/>
      </c>
      <c r="D12" s="36">
        <f>IF('1. MASTER_ENTRY'!$C12="","",'1. MASTER_ENTRY'!$E12)</f>
        <v/>
      </c>
      <c r="E12" s="38">
        <f>IF('1. MASTER_ENTRY'!$C12="","",'1. MASTER_ENTRY'!$O12)</f>
        <v/>
      </c>
      <c r="F12" s="38">
        <f>IF('1. MASTER_ENTRY'!$C12="","",'1. MASTER_ENTRY'!$Q12)</f>
        <v/>
      </c>
      <c r="G12" s="36">
        <f>IF('1. MASTER_ENTRY'!$C12="","",'1. MASTER_ENTRY'!$P12)</f>
        <v/>
      </c>
      <c r="H12" s="39">
        <f>IF('1. MASTER_ENTRY'!$C12="","",'1. MASTER_ENTRY'!$S12)</f>
        <v/>
      </c>
      <c r="I12" s="36">
        <f>IF('1. MASTER_ENTRY'!$C12="","",'1. MASTER_ENTRY'!$R12)</f>
        <v/>
      </c>
      <c r="J12" s="36">
        <f>IF('1. MASTER_ENTRY'!$C12="","",'1. MASTER_ENTRY'!$T12)</f>
        <v/>
      </c>
    </row>
    <row r="13" ht="16" customHeight="1">
      <c r="A13" s="40">
        <f>IF('1. MASTER_ENTRY'!$C13="","",'1. MASTER_ENTRY'!$A13)</f>
        <v/>
      </c>
      <c r="B13" s="41">
        <f>IF('1. MASTER_ENTRY'!$C13="","",'1. MASTER_ENTRY'!$C13)</f>
        <v/>
      </c>
      <c r="C13" s="40">
        <f>IF('1. MASTER_ENTRY'!$C13="","",'1. MASTER_ENTRY'!$M13)</f>
        <v/>
      </c>
      <c r="D13" s="40">
        <f>IF('1. MASTER_ENTRY'!$C13="","",'1. MASTER_ENTRY'!$E13)</f>
        <v/>
      </c>
      <c r="E13" s="42">
        <f>IF('1. MASTER_ENTRY'!$C13="","",'1. MASTER_ENTRY'!$O13)</f>
        <v/>
      </c>
      <c r="F13" s="42">
        <f>IF('1. MASTER_ENTRY'!$C13="","",'1. MASTER_ENTRY'!$Q13)</f>
        <v/>
      </c>
      <c r="G13" s="40">
        <f>IF('1. MASTER_ENTRY'!$C13="","",'1. MASTER_ENTRY'!$P13)</f>
        <v/>
      </c>
      <c r="H13" s="43">
        <f>IF('1. MASTER_ENTRY'!$C13="","",'1. MASTER_ENTRY'!$S13)</f>
        <v/>
      </c>
      <c r="I13" s="40">
        <f>IF('1. MASTER_ENTRY'!$C13="","",'1. MASTER_ENTRY'!$R13)</f>
        <v/>
      </c>
      <c r="J13" s="40">
        <f>IF('1. MASTER_ENTRY'!$C13="","",'1. MASTER_ENTRY'!$T13)</f>
        <v/>
      </c>
    </row>
    <row r="14" ht="16" customHeight="1">
      <c r="A14" s="36">
        <f>IF('1. MASTER_ENTRY'!$C14="","",'1. MASTER_ENTRY'!$A14)</f>
        <v/>
      </c>
      <c r="B14" s="37">
        <f>IF('1. MASTER_ENTRY'!$C14="","",'1. MASTER_ENTRY'!$C14)</f>
        <v/>
      </c>
      <c r="C14" s="36">
        <f>IF('1. MASTER_ENTRY'!$C14="","",'1. MASTER_ENTRY'!$M14)</f>
        <v/>
      </c>
      <c r="D14" s="36">
        <f>IF('1. MASTER_ENTRY'!$C14="","",'1. MASTER_ENTRY'!$E14)</f>
        <v/>
      </c>
      <c r="E14" s="38">
        <f>IF('1. MASTER_ENTRY'!$C14="","",'1. MASTER_ENTRY'!$O14)</f>
        <v/>
      </c>
      <c r="F14" s="38">
        <f>IF('1. MASTER_ENTRY'!$C14="","",'1. MASTER_ENTRY'!$Q14)</f>
        <v/>
      </c>
      <c r="G14" s="36">
        <f>IF('1. MASTER_ENTRY'!$C14="","",'1. MASTER_ENTRY'!$P14)</f>
        <v/>
      </c>
      <c r="H14" s="39">
        <f>IF('1. MASTER_ENTRY'!$C14="","",'1. MASTER_ENTRY'!$S14)</f>
        <v/>
      </c>
      <c r="I14" s="36">
        <f>IF('1. MASTER_ENTRY'!$C14="","",'1. MASTER_ENTRY'!$R14)</f>
        <v/>
      </c>
      <c r="J14" s="36">
        <f>IF('1. MASTER_ENTRY'!$C14="","",'1. MASTER_ENTRY'!$T14)</f>
        <v/>
      </c>
    </row>
    <row r="15" ht="16" customHeight="1">
      <c r="A15" s="40">
        <f>IF('1. MASTER_ENTRY'!$C15="","",'1. MASTER_ENTRY'!$A15)</f>
        <v/>
      </c>
      <c r="B15" s="41">
        <f>IF('1. MASTER_ENTRY'!$C15="","",'1. MASTER_ENTRY'!$C15)</f>
        <v/>
      </c>
      <c r="C15" s="40">
        <f>IF('1. MASTER_ENTRY'!$C15="","",'1. MASTER_ENTRY'!$M15)</f>
        <v/>
      </c>
      <c r="D15" s="40">
        <f>IF('1. MASTER_ENTRY'!$C15="","",'1. MASTER_ENTRY'!$E15)</f>
        <v/>
      </c>
      <c r="E15" s="42">
        <f>IF('1. MASTER_ENTRY'!$C15="","",'1. MASTER_ENTRY'!$O15)</f>
        <v/>
      </c>
      <c r="F15" s="42">
        <f>IF('1. MASTER_ENTRY'!$C15="","",'1. MASTER_ENTRY'!$Q15)</f>
        <v/>
      </c>
      <c r="G15" s="40">
        <f>IF('1. MASTER_ENTRY'!$C15="","",'1. MASTER_ENTRY'!$P15)</f>
        <v/>
      </c>
      <c r="H15" s="43">
        <f>IF('1. MASTER_ENTRY'!$C15="","",'1. MASTER_ENTRY'!$S15)</f>
        <v/>
      </c>
      <c r="I15" s="40">
        <f>IF('1. MASTER_ENTRY'!$C15="","",'1. MASTER_ENTRY'!$R15)</f>
        <v/>
      </c>
      <c r="J15" s="40">
        <f>IF('1. MASTER_ENTRY'!$C15="","",'1. MASTER_ENTRY'!$T15)</f>
        <v/>
      </c>
    </row>
    <row r="16" ht="16" customHeight="1">
      <c r="A16" s="36">
        <f>IF('1. MASTER_ENTRY'!$C16="","",'1. MASTER_ENTRY'!$A16)</f>
        <v/>
      </c>
      <c r="B16" s="37">
        <f>IF('1. MASTER_ENTRY'!$C16="","",'1. MASTER_ENTRY'!$C16)</f>
        <v/>
      </c>
      <c r="C16" s="36">
        <f>IF('1. MASTER_ENTRY'!$C16="","",'1. MASTER_ENTRY'!$M16)</f>
        <v/>
      </c>
      <c r="D16" s="36">
        <f>IF('1. MASTER_ENTRY'!$C16="","",'1. MASTER_ENTRY'!$E16)</f>
        <v/>
      </c>
      <c r="E16" s="38">
        <f>IF('1. MASTER_ENTRY'!$C16="","",'1. MASTER_ENTRY'!$O16)</f>
        <v/>
      </c>
      <c r="F16" s="38">
        <f>IF('1. MASTER_ENTRY'!$C16="","",'1. MASTER_ENTRY'!$Q16)</f>
        <v/>
      </c>
      <c r="G16" s="36">
        <f>IF('1. MASTER_ENTRY'!$C16="","",'1. MASTER_ENTRY'!$P16)</f>
        <v/>
      </c>
      <c r="H16" s="39">
        <f>IF('1. MASTER_ENTRY'!$C16="","",'1. MASTER_ENTRY'!$S16)</f>
        <v/>
      </c>
      <c r="I16" s="36">
        <f>IF('1. MASTER_ENTRY'!$C16="","",'1. MASTER_ENTRY'!$R16)</f>
        <v/>
      </c>
      <c r="J16" s="36">
        <f>IF('1. MASTER_ENTRY'!$C16="","",'1. MASTER_ENTRY'!$T16)</f>
        <v/>
      </c>
    </row>
    <row r="17" ht="16" customHeight="1">
      <c r="A17" s="40">
        <f>IF('1. MASTER_ENTRY'!$C17="","",'1. MASTER_ENTRY'!$A17)</f>
        <v/>
      </c>
      <c r="B17" s="41">
        <f>IF('1. MASTER_ENTRY'!$C17="","",'1. MASTER_ENTRY'!$C17)</f>
        <v/>
      </c>
      <c r="C17" s="40">
        <f>IF('1. MASTER_ENTRY'!$C17="","",'1. MASTER_ENTRY'!$M17)</f>
        <v/>
      </c>
      <c r="D17" s="40">
        <f>IF('1. MASTER_ENTRY'!$C17="","",'1. MASTER_ENTRY'!$E17)</f>
        <v/>
      </c>
      <c r="E17" s="42">
        <f>IF('1. MASTER_ENTRY'!$C17="","",'1. MASTER_ENTRY'!$O17)</f>
        <v/>
      </c>
      <c r="F17" s="42">
        <f>IF('1. MASTER_ENTRY'!$C17="","",'1. MASTER_ENTRY'!$Q17)</f>
        <v/>
      </c>
      <c r="G17" s="40">
        <f>IF('1. MASTER_ENTRY'!$C17="","",'1. MASTER_ENTRY'!$P17)</f>
        <v/>
      </c>
      <c r="H17" s="43">
        <f>IF('1. MASTER_ENTRY'!$C17="","",'1. MASTER_ENTRY'!$S17)</f>
        <v/>
      </c>
      <c r="I17" s="40">
        <f>IF('1. MASTER_ENTRY'!$C17="","",'1. MASTER_ENTRY'!$R17)</f>
        <v/>
      </c>
      <c r="J17" s="40">
        <f>IF('1. MASTER_ENTRY'!$C17="","",'1. MASTER_ENTRY'!$T17)</f>
        <v/>
      </c>
    </row>
    <row r="18" ht="16" customHeight="1">
      <c r="A18" s="36">
        <f>IF('1. MASTER_ENTRY'!$C18="","",'1. MASTER_ENTRY'!$A18)</f>
        <v/>
      </c>
      <c r="B18" s="37">
        <f>IF('1. MASTER_ENTRY'!$C18="","",'1. MASTER_ENTRY'!$C18)</f>
        <v/>
      </c>
      <c r="C18" s="36">
        <f>IF('1. MASTER_ENTRY'!$C18="","",'1. MASTER_ENTRY'!$M18)</f>
        <v/>
      </c>
      <c r="D18" s="36">
        <f>IF('1. MASTER_ENTRY'!$C18="","",'1. MASTER_ENTRY'!$E18)</f>
        <v/>
      </c>
      <c r="E18" s="38">
        <f>IF('1. MASTER_ENTRY'!$C18="","",'1. MASTER_ENTRY'!$O18)</f>
        <v/>
      </c>
      <c r="F18" s="38">
        <f>IF('1. MASTER_ENTRY'!$C18="","",'1. MASTER_ENTRY'!$Q18)</f>
        <v/>
      </c>
      <c r="G18" s="36">
        <f>IF('1. MASTER_ENTRY'!$C18="","",'1. MASTER_ENTRY'!$P18)</f>
        <v/>
      </c>
      <c r="H18" s="39">
        <f>IF('1. MASTER_ENTRY'!$C18="","",'1. MASTER_ENTRY'!$S18)</f>
        <v/>
      </c>
      <c r="I18" s="36">
        <f>IF('1. MASTER_ENTRY'!$C18="","",'1. MASTER_ENTRY'!$R18)</f>
        <v/>
      </c>
      <c r="J18" s="36">
        <f>IF('1. MASTER_ENTRY'!$C18="","",'1. MASTER_ENTRY'!$T18)</f>
        <v/>
      </c>
    </row>
    <row r="19" ht="16" customHeight="1">
      <c r="A19" s="40">
        <f>IF('1. MASTER_ENTRY'!$C19="","",'1. MASTER_ENTRY'!$A19)</f>
        <v/>
      </c>
      <c r="B19" s="41">
        <f>IF('1. MASTER_ENTRY'!$C19="","",'1. MASTER_ENTRY'!$C19)</f>
        <v/>
      </c>
      <c r="C19" s="40">
        <f>IF('1. MASTER_ENTRY'!$C19="","",'1. MASTER_ENTRY'!$M19)</f>
        <v/>
      </c>
      <c r="D19" s="40">
        <f>IF('1. MASTER_ENTRY'!$C19="","",'1. MASTER_ENTRY'!$E19)</f>
        <v/>
      </c>
      <c r="E19" s="42">
        <f>IF('1. MASTER_ENTRY'!$C19="","",'1. MASTER_ENTRY'!$O19)</f>
        <v/>
      </c>
      <c r="F19" s="42">
        <f>IF('1. MASTER_ENTRY'!$C19="","",'1. MASTER_ENTRY'!$Q19)</f>
        <v/>
      </c>
      <c r="G19" s="40">
        <f>IF('1. MASTER_ENTRY'!$C19="","",'1. MASTER_ENTRY'!$P19)</f>
        <v/>
      </c>
      <c r="H19" s="43">
        <f>IF('1. MASTER_ENTRY'!$C19="","",'1. MASTER_ENTRY'!$S19)</f>
        <v/>
      </c>
      <c r="I19" s="40">
        <f>IF('1. MASTER_ENTRY'!$C19="","",'1. MASTER_ENTRY'!$R19)</f>
        <v/>
      </c>
      <c r="J19" s="40">
        <f>IF('1. MASTER_ENTRY'!$C19="","",'1. MASTER_ENTRY'!$T19)</f>
        <v/>
      </c>
    </row>
    <row r="20" ht="16" customHeight="1">
      <c r="A20" s="36">
        <f>IF('1. MASTER_ENTRY'!$C20="","",'1. MASTER_ENTRY'!$A20)</f>
        <v/>
      </c>
      <c r="B20" s="37">
        <f>IF('1. MASTER_ENTRY'!$C20="","",'1. MASTER_ENTRY'!$C20)</f>
        <v/>
      </c>
      <c r="C20" s="36">
        <f>IF('1. MASTER_ENTRY'!$C20="","",'1. MASTER_ENTRY'!$M20)</f>
        <v/>
      </c>
      <c r="D20" s="36">
        <f>IF('1. MASTER_ENTRY'!$C20="","",'1. MASTER_ENTRY'!$E20)</f>
        <v/>
      </c>
      <c r="E20" s="38">
        <f>IF('1. MASTER_ENTRY'!$C20="","",'1. MASTER_ENTRY'!$O20)</f>
        <v/>
      </c>
      <c r="F20" s="38">
        <f>IF('1. MASTER_ENTRY'!$C20="","",'1. MASTER_ENTRY'!$Q20)</f>
        <v/>
      </c>
      <c r="G20" s="36">
        <f>IF('1. MASTER_ENTRY'!$C20="","",'1. MASTER_ENTRY'!$P20)</f>
        <v/>
      </c>
      <c r="H20" s="39">
        <f>IF('1. MASTER_ENTRY'!$C20="","",'1. MASTER_ENTRY'!$S20)</f>
        <v/>
      </c>
      <c r="I20" s="36">
        <f>IF('1. MASTER_ENTRY'!$C20="","",'1. MASTER_ENTRY'!$R20)</f>
        <v/>
      </c>
      <c r="J20" s="36">
        <f>IF('1. MASTER_ENTRY'!$C20="","",'1. MASTER_ENTRY'!$T20)</f>
        <v/>
      </c>
    </row>
    <row r="21" ht="16" customHeight="1">
      <c r="A21" s="40">
        <f>IF('1. MASTER_ENTRY'!$C21="","",'1. MASTER_ENTRY'!$A21)</f>
        <v/>
      </c>
      <c r="B21" s="41">
        <f>IF('1. MASTER_ENTRY'!$C21="","",'1. MASTER_ENTRY'!$C21)</f>
        <v/>
      </c>
      <c r="C21" s="40">
        <f>IF('1. MASTER_ENTRY'!$C21="","",'1. MASTER_ENTRY'!$M21)</f>
        <v/>
      </c>
      <c r="D21" s="40">
        <f>IF('1. MASTER_ENTRY'!$C21="","",'1. MASTER_ENTRY'!$E21)</f>
        <v/>
      </c>
      <c r="E21" s="42">
        <f>IF('1. MASTER_ENTRY'!$C21="","",'1. MASTER_ENTRY'!$O21)</f>
        <v/>
      </c>
      <c r="F21" s="42">
        <f>IF('1. MASTER_ENTRY'!$C21="","",'1. MASTER_ENTRY'!$Q21)</f>
        <v/>
      </c>
      <c r="G21" s="40">
        <f>IF('1. MASTER_ENTRY'!$C21="","",'1. MASTER_ENTRY'!$P21)</f>
        <v/>
      </c>
      <c r="H21" s="43">
        <f>IF('1. MASTER_ENTRY'!$C21="","",'1. MASTER_ENTRY'!$S21)</f>
        <v/>
      </c>
      <c r="I21" s="40">
        <f>IF('1. MASTER_ENTRY'!$C21="","",'1. MASTER_ENTRY'!$R21)</f>
        <v/>
      </c>
      <c r="J21" s="40">
        <f>IF('1. MASTER_ENTRY'!$C21="","",'1. MASTER_ENTRY'!$T21)</f>
        <v/>
      </c>
    </row>
    <row r="22" ht="16" customHeight="1">
      <c r="A22" s="36">
        <f>IF('1. MASTER_ENTRY'!$C22="","",'1. MASTER_ENTRY'!$A22)</f>
        <v/>
      </c>
      <c r="B22" s="37">
        <f>IF('1. MASTER_ENTRY'!$C22="","",'1. MASTER_ENTRY'!$C22)</f>
        <v/>
      </c>
      <c r="C22" s="36">
        <f>IF('1. MASTER_ENTRY'!$C22="","",'1. MASTER_ENTRY'!$M22)</f>
        <v/>
      </c>
      <c r="D22" s="36">
        <f>IF('1. MASTER_ENTRY'!$C22="","",'1. MASTER_ENTRY'!$E22)</f>
        <v/>
      </c>
      <c r="E22" s="38">
        <f>IF('1. MASTER_ENTRY'!$C22="","",'1. MASTER_ENTRY'!$O22)</f>
        <v/>
      </c>
      <c r="F22" s="38">
        <f>IF('1. MASTER_ENTRY'!$C22="","",'1. MASTER_ENTRY'!$Q22)</f>
        <v/>
      </c>
      <c r="G22" s="36">
        <f>IF('1. MASTER_ENTRY'!$C22="","",'1. MASTER_ENTRY'!$P22)</f>
        <v/>
      </c>
      <c r="H22" s="39">
        <f>IF('1. MASTER_ENTRY'!$C22="","",'1. MASTER_ENTRY'!$S22)</f>
        <v/>
      </c>
      <c r="I22" s="36">
        <f>IF('1. MASTER_ENTRY'!$C22="","",'1. MASTER_ENTRY'!$R22)</f>
        <v/>
      </c>
      <c r="J22" s="36">
        <f>IF('1. MASTER_ENTRY'!$C22="","",'1. MASTER_ENTRY'!$T22)</f>
        <v/>
      </c>
    </row>
    <row r="23" ht="16" customHeight="1">
      <c r="A23" s="40">
        <f>IF('1. MASTER_ENTRY'!$C23="","",'1. MASTER_ENTRY'!$A23)</f>
        <v/>
      </c>
      <c r="B23" s="41">
        <f>IF('1. MASTER_ENTRY'!$C23="","",'1. MASTER_ENTRY'!$C23)</f>
        <v/>
      </c>
      <c r="C23" s="40">
        <f>IF('1. MASTER_ENTRY'!$C23="","",'1. MASTER_ENTRY'!$M23)</f>
        <v/>
      </c>
      <c r="D23" s="40">
        <f>IF('1. MASTER_ENTRY'!$C23="","",'1. MASTER_ENTRY'!$E23)</f>
        <v/>
      </c>
      <c r="E23" s="42">
        <f>IF('1. MASTER_ENTRY'!$C23="","",'1. MASTER_ENTRY'!$O23)</f>
        <v/>
      </c>
      <c r="F23" s="42">
        <f>IF('1. MASTER_ENTRY'!$C23="","",'1. MASTER_ENTRY'!$Q23)</f>
        <v/>
      </c>
      <c r="G23" s="40">
        <f>IF('1. MASTER_ENTRY'!$C23="","",'1. MASTER_ENTRY'!$P23)</f>
        <v/>
      </c>
      <c r="H23" s="43">
        <f>IF('1. MASTER_ENTRY'!$C23="","",'1. MASTER_ENTRY'!$S23)</f>
        <v/>
      </c>
      <c r="I23" s="40">
        <f>IF('1. MASTER_ENTRY'!$C23="","",'1. MASTER_ENTRY'!$R23)</f>
        <v/>
      </c>
      <c r="J23" s="40">
        <f>IF('1. MASTER_ENTRY'!$C23="","",'1. MASTER_ENTRY'!$T23)</f>
        <v/>
      </c>
    </row>
    <row r="24" ht="16" customHeight="1">
      <c r="A24" s="36">
        <f>IF('1. MASTER_ENTRY'!$C24="","",'1. MASTER_ENTRY'!$A24)</f>
        <v/>
      </c>
      <c r="B24" s="37">
        <f>IF('1. MASTER_ENTRY'!$C24="","",'1. MASTER_ENTRY'!$C24)</f>
        <v/>
      </c>
      <c r="C24" s="36">
        <f>IF('1. MASTER_ENTRY'!$C24="","",'1. MASTER_ENTRY'!$M24)</f>
        <v/>
      </c>
      <c r="D24" s="36">
        <f>IF('1. MASTER_ENTRY'!$C24="","",'1. MASTER_ENTRY'!$E24)</f>
        <v/>
      </c>
      <c r="E24" s="38">
        <f>IF('1. MASTER_ENTRY'!$C24="","",'1. MASTER_ENTRY'!$O24)</f>
        <v/>
      </c>
      <c r="F24" s="38">
        <f>IF('1. MASTER_ENTRY'!$C24="","",'1. MASTER_ENTRY'!$Q24)</f>
        <v/>
      </c>
      <c r="G24" s="36">
        <f>IF('1. MASTER_ENTRY'!$C24="","",'1. MASTER_ENTRY'!$P24)</f>
        <v/>
      </c>
      <c r="H24" s="39">
        <f>IF('1. MASTER_ENTRY'!$C24="","",'1. MASTER_ENTRY'!$S24)</f>
        <v/>
      </c>
      <c r="I24" s="36">
        <f>IF('1. MASTER_ENTRY'!$C24="","",'1. MASTER_ENTRY'!$R24)</f>
        <v/>
      </c>
      <c r="J24" s="36">
        <f>IF('1. MASTER_ENTRY'!$C24="","",'1. MASTER_ENTRY'!$T24)</f>
        <v/>
      </c>
    </row>
    <row r="25" ht="16" customHeight="1">
      <c r="A25" s="40">
        <f>IF('1. MASTER_ENTRY'!$C25="","",'1. MASTER_ENTRY'!$A25)</f>
        <v/>
      </c>
      <c r="B25" s="41">
        <f>IF('1. MASTER_ENTRY'!$C25="","",'1. MASTER_ENTRY'!$C25)</f>
        <v/>
      </c>
      <c r="C25" s="40">
        <f>IF('1. MASTER_ENTRY'!$C25="","",'1. MASTER_ENTRY'!$M25)</f>
        <v/>
      </c>
      <c r="D25" s="40">
        <f>IF('1. MASTER_ENTRY'!$C25="","",'1. MASTER_ENTRY'!$E25)</f>
        <v/>
      </c>
      <c r="E25" s="42">
        <f>IF('1. MASTER_ENTRY'!$C25="","",'1. MASTER_ENTRY'!$O25)</f>
        <v/>
      </c>
      <c r="F25" s="42">
        <f>IF('1. MASTER_ENTRY'!$C25="","",'1. MASTER_ENTRY'!$Q25)</f>
        <v/>
      </c>
      <c r="G25" s="40">
        <f>IF('1. MASTER_ENTRY'!$C25="","",'1. MASTER_ENTRY'!$P25)</f>
        <v/>
      </c>
      <c r="H25" s="43">
        <f>IF('1. MASTER_ENTRY'!$C25="","",'1. MASTER_ENTRY'!$S25)</f>
        <v/>
      </c>
      <c r="I25" s="40">
        <f>IF('1. MASTER_ENTRY'!$C25="","",'1. MASTER_ENTRY'!$R25)</f>
        <v/>
      </c>
      <c r="J25" s="40">
        <f>IF('1. MASTER_ENTRY'!$C25="","",'1. MASTER_ENTRY'!$T25)</f>
        <v/>
      </c>
    </row>
    <row r="26" ht="16" customHeight="1">
      <c r="A26" s="36">
        <f>IF('1. MASTER_ENTRY'!$C26="","",'1. MASTER_ENTRY'!$A26)</f>
        <v/>
      </c>
      <c r="B26" s="37">
        <f>IF('1. MASTER_ENTRY'!$C26="","",'1. MASTER_ENTRY'!$C26)</f>
        <v/>
      </c>
      <c r="C26" s="36">
        <f>IF('1. MASTER_ENTRY'!$C26="","",'1. MASTER_ENTRY'!$M26)</f>
        <v/>
      </c>
      <c r="D26" s="36">
        <f>IF('1. MASTER_ENTRY'!$C26="","",'1. MASTER_ENTRY'!$E26)</f>
        <v/>
      </c>
      <c r="E26" s="38">
        <f>IF('1. MASTER_ENTRY'!$C26="","",'1. MASTER_ENTRY'!$O26)</f>
        <v/>
      </c>
      <c r="F26" s="38">
        <f>IF('1. MASTER_ENTRY'!$C26="","",'1. MASTER_ENTRY'!$Q26)</f>
        <v/>
      </c>
      <c r="G26" s="36">
        <f>IF('1. MASTER_ENTRY'!$C26="","",'1. MASTER_ENTRY'!$P26)</f>
        <v/>
      </c>
      <c r="H26" s="39">
        <f>IF('1. MASTER_ENTRY'!$C26="","",'1. MASTER_ENTRY'!$S26)</f>
        <v/>
      </c>
      <c r="I26" s="36">
        <f>IF('1. MASTER_ENTRY'!$C26="","",'1. MASTER_ENTRY'!$R26)</f>
        <v/>
      </c>
      <c r="J26" s="36">
        <f>IF('1. MASTER_ENTRY'!$C26="","",'1. MASTER_ENTRY'!$T26)</f>
        <v/>
      </c>
    </row>
    <row r="27" ht="16" customHeight="1">
      <c r="A27" s="40">
        <f>IF('1. MASTER_ENTRY'!$C27="","",'1. MASTER_ENTRY'!$A27)</f>
        <v/>
      </c>
      <c r="B27" s="41">
        <f>IF('1. MASTER_ENTRY'!$C27="","",'1. MASTER_ENTRY'!$C27)</f>
        <v/>
      </c>
      <c r="C27" s="40">
        <f>IF('1. MASTER_ENTRY'!$C27="","",'1. MASTER_ENTRY'!$M27)</f>
        <v/>
      </c>
      <c r="D27" s="40">
        <f>IF('1. MASTER_ENTRY'!$C27="","",'1. MASTER_ENTRY'!$E27)</f>
        <v/>
      </c>
      <c r="E27" s="42">
        <f>IF('1. MASTER_ENTRY'!$C27="","",'1. MASTER_ENTRY'!$O27)</f>
        <v/>
      </c>
      <c r="F27" s="42">
        <f>IF('1. MASTER_ENTRY'!$C27="","",'1. MASTER_ENTRY'!$Q27)</f>
        <v/>
      </c>
      <c r="G27" s="40">
        <f>IF('1. MASTER_ENTRY'!$C27="","",'1. MASTER_ENTRY'!$P27)</f>
        <v/>
      </c>
      <c r="H27" s="43">
        <f>IF('1. MASTER_ENTRY'!$C27="","",'1. MASTER_ENTRY'!$S27)</f>
        <v/>
      </c>
      <c r="I27" s="40">
        <f>IF('1. MASTER_ENTRY'!$C27="","",'1. MASTER_ENTRY'!$R27)</f>
        <v/>
      </c>
      <c r="J27" s="40">
        <f>IF('1. MASTER_ENTRY'!$C27="","",'1. MASTER_ENTRY'!$T27)</f>
        <v/>
      </c>
    </row>
    <row r="28" ht="16" customHeight="1">
      <c r="A28" s="36">
        <f>IF('1. MASTER_ENTRY'!$C28="","",'1. MASTER_ENTRY'!$A28)</f>
        <v/>
      </c>
      <c r="B28" s="37">
        <f>IF('1. MASTER_ENTRY'!$C28="","",'1. MASTER_ENTRY'!$C28)</f>
        <v/>
      </c>
      <c r="C28" s="36">
        <f>IF('1. MASTER_ENTRY'!$C28="","",'1. MASTER_ENTRY'!$M28)</f>
        <v/>
      </c>
      <c r="D28" s="36">
        <f>IF('1. MASTER_ENTRY'!$C28="","",'1. MASTER_ENTRY'!$E28)</f>
        <v/>
      </c>
      <c r="E28" s="38">
        <f>IF('1. MASTER_ENTRY'!$C28="","",'1. MASTER_ENTRY'!$O28)</f>
        <v/>
      </c>
      <c r="F28" s="38">
        <f>IF('1. MASTER_ENTRY'!$C28="","",'1. MASTER_ENTRY'!$Q28)</f>
        <v/>
      </c>
      <c r="G28" s="36">
        <f>IF('1. MASTER_ENTRY'!$C28="","",'1. MASTER_ENTRY'!$P28)</f>
        <v/>
      </c>
      <c r="H28" s="39">
        <f>IF('1. MASTER_ENTRY'!$C28="","",'1. MASTER_ENTRY'!$S28)</f>
        <v/>
      </c>
      <c r="I28" s="36">
        <f>IF('1. MASTER_ENTRY'!$C28="","",'1. MASTER_ENTRY'!$R28)</f>
        <v/>
      </c>
      <c r="J28" s="36">
        <f>IF('1. MASTER_ENTRY'!$C28="","",'1. MASTER_ENTRY'!$T28)</f>
        <v/>
      </c>
    </row>
    <row r="29" ht="16" customHeight="1">
      <c r="A29" s="40">
        <f>IF('1. MASTER_ENTRY'!$C29="","",'1. MASTER_ENTRY'!$A29)</f>
        <v/>
      </c>
      <c r="B29" s="41">
        <f>IF('1. MASTER_ENTRY'!$C29="","",'1. MASTER_ENTRY'!$C29)</f>
        <v/>
      </c>
      <c r="C29" s="40">
        <f>IF('1. MASTER_ENTRY'!$C29="","",'1. MASTER_ENTRY'!$M29)</f>
        <v/>
      </c>
      <c r="D29" s="40">
        <f>IF('1. MASTER_ENTRY'!$C29="","",'1. MASTER_ENTRY'!$E29)</f>
        <v/>
      </c>
      <c r="E29" s="42">
        <f>IF('1. MASTER_ENTRY'!$C29="","",'1. MASTER_ENTRY'!$O29)</f>
        <v/>
      </c>
      <c r="F29" s="42">
        <f>IF('1. MASTER_ENTRY'!$C29="","",'1. MASTER_ENTRY'!$Q29)</f>
        <v/>
      </c>
      <c r="G29" s="40">
        <f>IF('1. MASTER_ENTRY'!$C29="","",'1. MASTER_ENTRY'!$P29)</f>
        <v/>
      </c>
      <c r="H29" s="43">
        <f>IF('1. MASTER_ENTRY'!$C29="","",'1. MASTER_ENTRY'!$S29)</f>
        <v/>
      </c>
      <c r="I29" s="40">
        <f>IF('1. MASTER_ENTRY'!$C29="","",'1. MASTER_ENTRY'!$R29)</f>
        <v/>
      </c>
      <c r="J29" s="40">
        <f>IF('1. MASTER_ENTRY'!$C29="","",'1. MASTER_ENTRY'!$T29)</f>
        <v/>
      </c>
    </row>
    <row r="30" ht="16" customHeight="1">
      <c r="A30" s="36">
        <f>IF('1. MASTER_ENTRY'!$C30="","",'1. MASTER_ENTRY'!$A30)</f>
        <v/>
      </c>
      <c r="B30" s="37">
        <f>IF('1. MASTER_ENTRY'!$C30="","",'1. MASTER_ENTRY'!$C30)</f>
        <v/>
      </c>
      <c r="C30" s="36">
        <f>IF('1. MASTER_ENTRY'!$C30="","",'1. MASTER_ENTRY'!$M30)</f>
        <v/>
      </c>
      <c r="D30" s="36">
        <f>IF('1. MASTER_ENTRY'!$C30="","",'1. MASTER_ENTRY'!$E30)</f>
        <v/>
      </c>
      <c r="E30" s="38">
        <f>IF('1. MASTER_ENTRY'!$C30="","",'1. MASTER_ENTRY'!$O30)</f>
        <v/>
      </c>
      <c r="F30" s="38">
        <f>IF('1. MASTER_ENTRY'!$C30="","",'1. MASTER_ENTRY'!$Q30)</f>
        <v/>
      </c>
      <c r="G30" s="36">
        <f>IF('1. MASTER_ENTRY'!$C30="","",'1. MASTER_ENTRY'!$P30)</f>
        <v/>
      </c>
      <c r="H30" s="39">
        <f>IF('1. MASTER_ENTRY'!$C30="","",'1. MASTER_ENTRY'!$S30)</f>
        <v/>
      </c>
      <c r="I30" s="36">
        <f>IF('1. MASTER_ENTRY'!$C30="","",'1. MASTER_ENTRY'!$R30)</f>
        <v/>
      </c>
      <c r="J30" s="36">
        <f>IF('1. MASTER_ENTRY'!$C30="","",'1. MASTER_ENTRY'!$T30)</f>
        <v/>
      </c>
    </row>
    <row r="31" ht="16" customHeight="1">
      <c r="A31" s="40">
        <f>IF('1. MASTER_ENTRY'!$C31="","",'1. MASTER_ENTRY'!$A31)</f>
        <v/>
      </c>
      <c r="B31" s="41">
        <f>IF('1. MASTER_ENTRY'!$C31="","",'1. MASTER_ENTRY'!$C31)</f>
        <v/>
      </c>
      <c r="C31" s="40">
        <f>IF('1. MASTER_ENTRY'!$C31="","",'1. MASTER_ENTRY'!$M31)</f>
        <v/>
      </c>
      <c r="D31" s="40">
        <f>IF('1. MASTER_ENTRY'!$C31="","",'1. MASTER_ENTRY'!$E31)</f>
        <v/>
      </c>
      <c r="E31" s="42">
        <f>IF('1. MASTER_ENTRY'!$C31="","",'1. MASTER_ENTRY'!$O31)</f>
        <v/>
      </c>
      <c r="F31" s="42">
        <f>IF('1. MASTER_ENTRY'!$C31="","",'1. MASTER_ENTRY'!$Q31)</f>
        <v/>
      </c>
      <c r="G31" s="40">
        <f>IF('1. MASTER_ENTRY'!$C31="","",'1. MASTER_ENTRY'!$P31)</f>
        <v/>
      </c>
      <c r="H31" s="43">
        <f>IF('1. MASTER_ENTRY'!$C31="","",'1. MASTER_ENTRY'!$S31)</f>
        <v/>
      </c>
      <c r="I31" s="40">
        <f>IF('1. MASTER_ENTRY'!$C31="","",'1. MASTER_ENTRY'!$R31)</f>
        <v/>
      </c>
      <c r="J31" s="40">
        <f>IF('1. MASTER_ENTRY'!$C31="","",'1. MASTER_ENTRY'!$T31)</f>
        <v/>
      </c>
    </row>
    <row r="32" ht="16" customHeight="1">
      <c r="A32" s="36">
        <f>IF('1. MASTER_ENTRY'!$C32="","",'1. MASTER_ENTRY'!$A32)</f>
        <v/>
      </c>
      <c r="B32" s="37">
        <f>IF('1. MASTER_ENTRY'!$C32="","",'1. MASTER_ENTRY'!$C32)</f>
        <v/>
      </c>
      <c r="C32" s="36">
        <f>IF('1. MASTER_ENTRY'!$C32="","",'1. MASTER_ENTRY'!$M32)</f>
        <v/>
      </c>
      <c r="D32" s="36">
        <f>IF('1. MASTER_ENTRY'!$C32="","",'1. MASTER_ENTRY'!$E32)</f>
        <v/>
      </c>
      <c r="E32" s="38">
        <f>IF('1. MASTER_ENTRY'!$C32="","",'1. MASTER_ENTRY'!$O32)</f>
        <v/>
      </c>
      <c r="F32" s="38">
        <f>IF('1. MASTER_ENTRY'!$C32="","",'1. MASTER_ENTRY'!$Q32)</f>
        <v/>
      </c>
      <c r="G32" s="36">
        <f>IF('1. MASTER_ENTRY'!$C32="","",'1. MASTER_ENTRY'!$P32)</f>
        <v/>
      </c>
      <c r="H32" s="39">
        <f>IF('1. MASTER_ENTRY'!$C32="","",'1. MASTER_ENTRY'!$S32)</f>
        <v/>
      </c>
      <c r="I32" s="36">
        <f>IF('1. MASTER_ENTRY'!$C32="","",'1. MASTER_ENTRY'!$R32)</f>
        <v/>
      </c>
      <c r="J32" s="36">
        <f>IF('1. MASTER_ENTRY'!$C32="","",'1. MASTER_ENTRY'!$T32)</f>
        <v/>
      </c>
    </row>
    <row r="33" ht="16" customHeight="1">
      <c r="A33" s="40">
        <f>IF('1. MASTER_ENTRY'!$C33="","",'1. MASTER_ENTRY'!$A33)</f>
        <v/>
      </c>
      <c r="B33" s="41">
        <f>IF('1. MASTER_ENTRY'!$C33="","",'1. MASTER_ENTRY'!$C33)</f>
        <v/>
      </c>
      <c r="C33" s="40">
        <f>IF('1. MASTER_ENTRY'!$C33="","",'1. MASTER_ENTRY'!$M33)</f>
        <v/>
      </c>
      <c r="D33" s="40">
        <f>IF('1. MASTER_ENTRY'!$C33="","",'1. MASTER_ENTRY'!$E33)</f>
        <v/>
      </c>
      <c r="E33" s="42">
        <f>IF('1. MASTER_ENTRY'!$C33="","",'1. MASTER_ENTRY'!$O33)</f>
        <v/>
      </c>
      <c r="F33" s="42">
        <f>IF('1. MASTER_ENTRY'!$C33="","",'1. MASTER_ENTRY'!$Q33)</f>
        <v/>
      </c>
      <c r="G33" s="40">
        <f>IF('1. MASTER_ENTRY'!$C33="","",'1. MASTER_ENTRY'!$P33)</f>
        <v/>
      </c>
      <c r="H33" s="43">
        <f>IF('1. MASTER_ENTRY'!$C33="","",'1. MASTER_ENTRY'!$S33)</f>
        <v/>
      </c>
      <c r="I33" s="40">
        <f>IF('1. MASTER_ENTRY'!$C33="","",'1. MASTER_ENTRY'!$R33)</f>
        <v/>
      </c>
      <c r="J33" s="40">
        <f>IF('1. MASTER_ENTRY'!$C33="","",'1. MASTER_ENTRY'!$T33)</f>
        <v/>
      </c>
    </row>
    <row r="34" ht="16" customHeight="1">
      <c r="A34" s="36">
        <f>IF('1. MASTER_ENTRY'!$C34="","",'1. MASTER_ENTRY'!$A34)</f>
        <v/>
      </c>
      <c r="B34" s="37">
        <f>IF('1. MASTER_ENTRY'!$C34="","",'1. MASTER_ENTRY'!$C34)</f>
        <v/>
      </c>
      <c r="C34" s="36">
        <f>IF('1. MASTER_ENTRY'!$C34="","",'1. MASTER_ENTRY'!$M34)</f>
        <v/>
      </c>
      <c r="D34" s="36">
        <f>IF('1. MASTER_ENTRY'!$C34="","",'1. MASTER_ENTRY'!$E34)</f>
        <v/>
      </c>
      <c r="E34" s="38">
        <f>IF('1. MASTER_ENTRY'!$C34="","",'1. MASTER_ENTRY'!$O34)</f>
        <v/>
      </c>
      <c r="F34" s="38">
        <f>IF('1. MASTER_ENTRY'!$C34="","",'1. MASTER_ENTRY'!$Q34)</f>
        <v/>
      </c>
      <c r="G34" s="36">
        <f>IF('1. MASTER_ENTRY'!$C34="","",'1. MASTER_ENTRY'!$P34)</f>
        <v/>
      </c>
      <c r="H34" s="39">
        <f>IF('1. MASTER_ENTRY'!$C34="","",'1. MASTER_ENTRY'!$S34)</f>
        <v/>
      </c>
      <c r="I34" s="36">
        <f>IF('1. MASTER_ENTRY'!$C34="","",'1. MASTER_ENTRY'!$R34)</f>
        <v/>
      </c>
      <c r="J34" s="36">
        <f>IF('1. MASTER_ENTRY'!$C34="","",'1. MASTER_ENTRY'!$T34)</f>
        <v/>
      </c>
    </row>
    <row r="35" ht="16" customHeight="1">
      <c r="A35" s="40">
        <f>IF('1. MASTER_ENTRY'!$C35="","",'1. MASTER_ENTRY'!$A35)</f>
        <v/>
      </c>
      <c r="B35" s="41">
        <f>IF('1. MASTER_ENTRY'!$C35="","",'1. MASTER_ENTRY'!$C35)</f>
        <v/>
      </c>
      <c r="C35" s="40">
        <f>IF('1. MASTER_ENTRY'!$C35="","",'1. MASTER_ENTRY'!$M35)</f>
        <v/>
      </c>
      <c r="D35" s="40">
        <f>IF('1. MASTER_ENTRY'!$C35="","",'1. MASTER_ENTRY'!$E35)</f>
        <v/>
      </c>
      <c r="E35" s="42">
        <f>IF('1. MASTER_ENTRY'!$C35="","",'1. MASTER_ENTRY'!$O35)</f>
        <v/>
      </c>
      <c r="F35" s="42">
        <f>IF('1. MASTER_ENTRY'!$C35="","",'1. MASTER_ENTRY'!$Q35)</f>
        <v/>
      </c>
      <c r="G35" s="40">
        <f>IF('1. MASTER_ENTRY'!$C35="","",'1. MASTER_ENTRY'!$P35)</f>
        <v/>
      </c>
      <c r="H35" s="43">
        <f>IF('1. MASTER_ENTRY'!$C35="","",'1. MASTER_ENTRY'!$S35)</f>
        <v/>
      </c>
      <c r="I35" s="40">
        <f>IF('1. MASTER_ENTRY'!$C35="","",'1. MASTER_ENTRY'!$R35)</f>
        <v/>
      </c>
      <c r="J35" s="40">
        <f>IF('1. MASTER_ENTRY'!$C35="","",'1. MASTER_ENTRY'!$T35)</f>
        <v/>
      </c>
    </row>
    <row r="36" ht="16" customHeight="1">
      <c r="A36" s="36">
        <f>IF('1. MASTER_ENTRY'!$C36="","",'1. MASTER_ENTRY'!$A36)</f>
        <v/>
      </c>
      <c r="B36" s="37">
        <f>IF('1. MASTER_ENTRY'!$C36="","",'1. MASTER_ENTRY'!$C36)</f>
        <v/>
      </c>
      <c r="C36" s="36">
        <f>IF('1. MASTER_ENTRY'!$C36="","",'1. MASTER_ENTRY'!$M36)</f>
        <v/>
      </c>
      <c r="D36" s="36">
        <f>IF('1. MASTER_ENTRY'!$C36="","",'1. MASTER_ENTRY'!$E36)</f>
        <v/>
      </c>
      <c r="E36" s="38">
        <f>IF('1. MASTER_ENTRY'!$C36="","",'1. MASTER_ENTRY'!$O36)</f>
        <v/>
      </c>
      <c r="F36" s="38">
        <f>IF('1. MASTER_ENTRY'!$C36="","",'1. MASTER_ENTRY'!$Q36)</f>
        <v/>
      </c>
      <c r="G36" s="36">
        <f>IF('1. MASTER_ENTRY'!$C36="","",'1. MASTER_ENTRY'!$P36)</f>
        <v/>
      </c>
      <c r="H36" s="39">
        <f>IF('1. MASTER_ENTRY'!$C36="","",'1. MASTER_ENTRY'!$S36)</f>
        <v/>
      </c>
      <c r="I36" s="36">
        <f>IF('1. MASTER_ENTRY'!$C36="","",'1. MASTER_ENTRY'!$R36)</f>
        <v/>
      </c>
      <c r="J36" s="36">
        <f>IF('1. MASTER_ENTRY'!$C36="","",'1. MASTER_ENTRY'!$T36)</f>
        <v/>
      </c>
    </row>
    <row r="37" ht="16" customHeight="1">
      <c r="A37" s="40">
        <f>IF('1. MASTER_ENTRY'!$C37="","",'1. MASTER_ENTRY'!$A37)</f>
        <v/>
      </c>
      <c r="B37" s="41">
        <f>IF('1. MASTER_ENTRY'!$C37="","",'1. MASTER_ENTRY'!$C37)</f>
        <v/>
      </c>
      <c r="C37" s="40">
        <f>IF('1. MASTER_ENTRY'!$C37="","",'1. MASTER_ENTRY'!$M37)</f>
        <v/>
      </c>
      <c r="D37" s="40">
        <f>IF('1. MASTER_ENTRY'!$C37="","",'1. MASTER_ENTRY'!$E37)</f>
        <v/>
      </c>
      <c r="E37" s="42">
        <f>IF('1. MASTER_ENTRY'!$C37="","",'1. MASTER_ENTRY'!$O37)</f>
        <v/>
      </c>
      <c r="F37" s="42">
        <f>IF('1. MASTER_ENTRY'!$C37="","",'1. MASTER_ENTRY'!$Q37)</f>
        <v/>
      </c>
      <c r="G37" s="40">
        <f>IF('1. MASTER_ENTRY'!$C37="","",'1. MASTER_ENTRY'!$P37)</f>
        <v/>
      </c>
      <c r="H37" s="43">
        <f>IF('1. MASTER_ENTRY'!$C37="","",'1. MASTER_ENTRY'!$S37)</f>
        <v/>
      </c>
      <c r="I37" s="40">
        <f>IF('1. MASTER_ENTRY'!$C37="","",'1. MASTER_ENTRY'!$R37)</f>
        <v/>
      </c>
      <c r="J37" s="40">
        <f>IF('1. MASTER_ENTRY'!$C37="","",'1. MASTER_ENTRY'!$T37)</f>
        <v/>
      </c>
    </row>
    <row r="38" ht="16" customHeight="1">
      <c r="A38" s="36">
        <f>IF('1. MASTER_ENTRY'!$C38="","",'1. MASTER_ENTRY'!$A38)</f>
        <v/>
      </c>
      <c r="B38" s="37">
        <f>IF('1. MASTER_ENTRY'!$C38="","",'1. MASTER_ENTRY'!$C38)</f>
        <v/>
      </c>
      <c r="C38" s="36">
        <f>IF('1. MASTER_ENTRY'!$C38="","",'1. MASTER_ENTRY'!$M38)</f>
        <v/>
      </c>
      <c r="D38" s="36">
        <f>IF('1. MASTER_ENTRY'!$C38="","",'1. MASTER_ENTRY'!$E38)</f>
        <v/>
      </c>
      <c r="E38" s="38">
        <f>IF('1. MASTER_ENTRY'!$C38="","",'1. MASTER_ENTRY'!$O38)</f>
        <v/>
      </c>
      <c r="F38" s="38">
        <f>IF('1. MASTER_ENTRY'!$C38="","",'1. MASTER_ENTRY'!$Q38)</f>
        <v/>
      </c>
      <c r="G38" s="36">
        <f>IF('1. MASTER_ENTRY'!$C38="","",'1. MASTER_ENTRY'!$P38)</f>
        <v/>
      </c>
      <c r="H38" s="39">
        <f>IF('1. MASTER_ENTRY'!$C38="","",'1. MASTER_ENTRY'!$S38)</f>
        <v/>
      </c>
      <c r="I38" s="36">
        <f>IF('1. MASTER_ENTRY'!$C38="","",'1. MASTER_ENTRY'!$R38)</f>
        <v/>
      </c>
      <c r="J38" s="36">
        <f>IF('1. MASTER_ENTRY'!$C38="","",'1. MASTER_ENTRY'!$T38)</f>
        <v/>
      </c>
    </row>
    <row r="39" ht="16" customHeight="1">
      <c r="A39" s="40">
        <f>IF('1. MASTER_ENTRY'!$C39="","",'1. MASTER_ENTRY'!$A39)</f>
        <v/>
      </c>
      <c r="B39" s="41">
        <f>IF('1. MASTER_ENTRY'!$C39="","",'1. MASTER_ENTRY'!$C39)</f>
        <v/>
      </c>
      <c r="C39" s="40">
        <f>IF('1. MASTER_ENTRY'!$C39="","",'1. MASTER_ENTRY'!$M39)</f>
        <v/>
      </c>
      <c r="D39" s="40">
        <f>IF('1. MASTER_ENTRY'!$C39="","",'1. MASTER_ENTRY'!$E39)</f>
        <v/>
      </c>
      <c r="E39" s="42">
        <f>IF('1. MASTER_ENTRY'!$C39="","",'1. MASTER_ENTRY'!$O39)</f>
        <v/>
      </c>
      <c r="F39" s="42">
        <f>IF('1. MASTER_ENTRY'!$C39="","",'1. MASTER_ENTRY'!$Q39)</f>
        <v/>
      </c>
      <c r="G39" s="40">
        <f>IF('1. MASTER_ENTRY'!$C39="","",'1. MASTER_ENTRY'!$P39)</f>
        <v/>
      </c>
      <c r="H39" s="43">
        <f>IF('1. MASTER_ENTRY'!$C39="","",'1. MASTER_ENTRY'!$S39)</f>
        <v/>
      </c>
      <c r="I39" s="40">
        <f>IF('1. MASTER_ENTRY'!$C39="","",'1. MASTER_ENTRY'!$R39)</f>
        <v/>
      </c>
      <c r="J39" s="40">
        <f>IF('1. MASTER_ENTRY'!$C39="","",'1. MASTER_ENTRY'!$T39)</f>
        <v/>
      </c>
    </row>
    <row r="40" ht="16" customHeight="1">
      <c r="A40" s="36">
        <f>IF('1. MASTER_ENTRY'!$C40="","",'1. MASTER_ENTRY'!$A40)</f>
        <v/>
      </c>
      <c r="B40" s="37">
        <f>IF('1. MASTER_ENTRY'!$C40="","",'1. MASTER_ENTRY'!$C40)</f>
        <v/>
      </c>
      <c r="C40" s="36">
        <f>IF('1. MASTER_ENTRY'!$C40="","",'1. MASTER_ENTRY'!$M40)</f>
        <v/>
      </c>
      <c r="D40" s="36">
        <f>IF('1. MASTER_ENTRY'!$C40="","",'1. MASTER_ENTRY'!$E40)</f>
        <v/>
      </c>
      <c r="E40" s="38">
        <f>IF('1. MASTER_ENTRY'!$C40="","",'1. MASTER_ENTRY'!$O40)</f>
        <v/>
      </c>
      <c r="F40" s="38">
        <f>IF('1. MASTER_ENTRY'!$C40="","",'1. MASTER_ENTRY'!$Q40)</f>
        <v/>
      </c>
      <c r="G40" s="36">
        <f>IF('1. MASTER_ENTRY'!$C40="","",'1. MASTER_ENTRY'!$P40)</f>
        <v/>
      </c>
      <c r="H40" s="39">
        <f>IF('1. MASTER_ENTRY'!$C40="","",'1. MASTER_ENTRY'!$S40)</f>
        <v/>
      </c>
      <c r="I40" s="36">
        <f>IF('1. MASTER_ENTRY'!$C40="","",'1. MASTER_ENTRY'!$R40)</f>
        <v/>
      </c>
      <c r="J40" s="36">
        <f>IF('1. MASTER_ENTRY'!$C40="","",'1. MASTER_ENTRY'!$T40)</f>
        <v/>
      </c>
    </row>
    <row r="41" ht="16" customHeight="1">
      <c r="A41" s="40">
        <f>IF('1. MASTER_ENTRY'!$C41="","",'1. MASTER_ENTRY'!$A41)</f>
        <v/>
      </c>
      <c r="B41" s="41">
        <f>IF('1. MASTER_ENTRY'!$C41="","",'1. MASTER_ENTRY'!$C41)</f>
        <v/>
      </c>
      <c r="C41" s="40">
        <f>IF('1. MASTER_ENTRY'!$C41="","",'1. MASTER_ENTRY'!$M41)</f>
        <v/>
      </c>
      <c r="D41" s="40">
        <f>IF('1. MASTER_ENTRY'!$C41="","",'1. MASTER_ENTRY'!$E41)</f>
        <v/>
      </c>
      <c r="E41" s="42">
        <f>IF('1. MASTER_ENTRY'!$C41="","",'1. MASTER_ENTRY'!$O41)</f>
        <v/>
      </c>
      <c r="F41" s="42">
        <f>IF('1. MASTER_ENTRY'!$C41="","",'1. MASTER_ENTRY'!$Q41)</f>
        <v/>
      </c>
      <c r="G41" s="40">
        <f>IF('1. MASTER_ENTRY'!$C41="","",'1. MASTER_ENTRY'!$P41)</f>
        <v/>
      </c>
      <c r="H41" s="43">
        <f>IF('1. MASTER_ENTRY'!$C41="","",'1. MASTER_ENTRY'!$S41)</f>
        <v/>
      </c>
      <c r="I41" s="40">
        <f>IF('1. MASTER_ENTRY'!$C41="","",'1. MASTER_ENTRY'!$R41)</f>
        <v/>
      </c>
      <c r="J41" s="40">
        <f>IF('1. MASTER_ENTRY'!$C41="","",'1. MASTER_ENTRY'!$T41)</f>
        <v/>
      </c>
    </row>
    <row r="42" ht="16" customHeight="1">
      <c r="A42" s="36">
        <f>IF('1. MASTER_ENTRY'!$C42="","",'1. MASTER_ENTRY'!$A42)</f>
        <v/>
      </c>
      <c r="B42" s="37">
        <f>IF('1. MASTER_ENTRY'!$C42="","",'1. MASTER_ENTRY'!$C42)</f>
        <v/>
      </c>
      <c r="C42" s="36">
        <f>IF('1. MASTER_ENTRY'!$C42="","",'1. MASTER_ENTRY'!$M42)</f>
        <v/>
      </c>
      <c r="D42" s="36">
        <f>IF('1. MASTER_ENTRY'!$C42="","",'1. MASTER_ENTRY'!$E42)</f>
        <v/>
      </c>
      <c r="E42" s="38">
        <f>IF('1. MASTER_ENTRY'!$C42="","",'1. MASTER_ENTRY'!$O42)</f>
        <v/>
      </c>
      <c r="F42" s="38">
        <f>IF('1. MASTER_ENTRY'!$C42="","",'1. MASTER_ENTRY'!$Q42)</f>
        <v/>
      </c>
      <c r="G42" s="36">
        <f>IF('1. MASTER_ENTRY'!$C42="","",'1. MASTER_ENTRY'!$P42)</f>
        <v/>
      </c>
      <c r="H42" s="39">
        <f>IF('1. MASTER_ENTRY'!$C42="","",'1. MASTER_ENTRY'!$S42)</f>
        <v/>
      </c>
      <c r="I42" s="36">
        <f>IF('1. MASTER_ENTRY'!$C42="","",'1. MASTER_ENTRY'!$R42)</f>
        <v/>
      </c>
      <c r="J42" s="36">
        <f>IF('1. MASTER_ENTRY'!$C42="","",'1. MASTER_ENTRY'!$T42)</f>
        <v/>
      </c>
    </row>
    <row r="43" ht="16" customHeight="1">
      <c r="A43" s="40">
        <f>IF('1. MASTER_ENTRY'!$C43="","",'1. MASTER_ENTRY'!$A43)</f>
        <v/>
      </c>
      <c r="B43" s="41">
        <f>IF('1. MASTER_ENTRY'!$C43="","",'1. MASTER_ENTRY'!$C43)</f>
        <v/>
      </c>
      <c r="C43" s="40">
        <f>IF('1. MASTER_ENTRY'!$C43="","",'1. MASTER_ENTRY'!$M43)</f>
        <v/>
      </c>
      <c r="D43" s="40">
        <f>IF('1. MASTER_ENTRY'!$C43="","",'1. MASTER_ENTRY'!$E43)</f>
        <v/>
      </c>
      <c r="E43" s="42">
        <f>IF('1. MASTER_ENTRY'!$C43="","",'1. MASTER_ENTRY'!$O43)</f>
        <v/>
      </c>
      <c r="F43" s="42">
        <f>IF('1. MASTER_ENTRY'!$C43="","",'1. MASTER_ENTRY'!$Q43)</f>
        <v/>
      </c>
      <c r="G43" s="40">
        <f>IF('1. MASTER_ENTRY'!$C43="","",'1. MASTER_ENTRY'!$P43)</f>
        <v/>
      </c>
      <c r="H43" s="43">
        <f>IF('1. MASTER_ENTRY'!$C43="","",'1. MASTER_ENTRY'!$S43)</f>
        <v/>
      </c>
      <c r="I43" s="40">
        <f>IF('1. MASTER_ENTRY'!$C43="","",'1. MASTER_ENTRY'!$R43)</f>
        <v/>
      </c>
      <c r="J43" s="40">
        <f>IF('1. MASTER_ENTRY'!$C43="","",'1. MASTER_ENTRY'!$T43)</f>
        <v/>
      </c>
    </row>
    <row r="44" ht="16" customHeight="1">
      <c r="A44" s="36">
        <f>IF('1. MASTER_ENTRY'!$C44="","",'1. MASTER_ENTRY'!$A44)</f>
        <v/>
      </c>
      <c r="B44" s="37">
        <f>IF('1. MASTER_ENTRY'!$C44="","",'1. MASTER_ENTRY'!$C44)</f>
        <v/>
      </c>
      <c r="C44" s="36">
        <f>IF('1. MASTER_ENTRY'!$C44="","",'1. MASTER_ENTRY'!$M44)</f>
        <v/>
      </c>
      <c r="D44" s="36">
        <f>IF('1. MASTER_ENTRY'!$C44="","",'1. MASTER_ENTRY'!$E44)</f>
        <v/>
      </c>
      <c r="E44" s="38">
        <f>IF('1. MASTER_ENTRY'!$C44="","",'1. MASTER_ENTRY'!$O44)</f>
        <v/>
      </c>
      <c r="F44" s="38">
        <f>IF('1. MASTER_ENTRY'!$C44="","",'1. MASTER_ENTRY'!$Q44)</f>
        <v/>
      </c>
      <c r="G44" s="36">
        <f>IF('1. MASTER_ENTRY'!$C44="","",'1. MASTER_ENTRY'!$P44)</f>
        <v/>
      </c>
      <c r="H44" s="39">
        <f>IF('1. MASTER_ENTRY'!$C44="","",'1. MASTER_ENTRY'!$S44)</f>
        <v/>
      </c>
      <c r="I44" s="36">
        <f>IF('1. MASTER_ENTRY'!$C44="","",'1. MASTER_ENTRY'!$R44)</f>
        <v/>
      </c>
      <c r="J44" s="36">
        <f>IF('1. MASTER_ENTRY'!$C44="","",'1. MASTER_ENTRY'!$T44)</f>
        <v/>
      </c>
    </row>
    <row r="45" ht="16" customHeight="1">
      <c r="A45" s="40">
        <f>IF('1. MASTER_ENTRY'!$C45="","",'1. MASTER_ENTRY'!$A45)</f>
        <v/>
      </c>
      <c r="B45" s="41">
        <f>IF('1. MASTER_ENTRY'!$C45="","",'1. MASTER_ENTRY'!$C45)</f>
        <v/>
      </c>
      <c r="C45" s="40">
        <f>IF('1. MASTER_ENTRY'!$C45="","",'1. MASTER_ENTRY'!$M45)</f>
        <v/>
      </c>
      <c r="D45" s="40">
        <f>IF('1. MASTER_ENTRY'!$C45="","",'1. MASTER_ENTRY'!$E45)</f>
        <v/>
      </c>
      <c r="E45" s="42">
        <f>IF('1. MASTER_ENTRY'!$C45="","",'1. MASTER_ENTRY'!$O45)</f>
        <v/>
      </c>
      <c r="F45" s="42">
        <f>IF('1. MASTER_ENTRY'!$C45="","",'1. MASTER_ENTRY'!$Q45)</f>
        <v/>
      </c>
      <c r="G45" s="40">
        <f>IF('1. MASTER_ENTRY'!$C45="","",'1. MASTER_ENTRY'!$P45)</f>
        <v/>
      </c>
      <c r="H45" s="43">
        <f>IF('1. MASTER_ENTRY'!$C45="","",'1. MASTER_ENTRY'!$S45)</f>
        <v/>
      </c>
      <c r="I45" s="40">
        <f>IF('1. MASTER_ENTRY'!$C45="","",'1. MASTER_ENTRY'!$R45)</f>
        <v/>
      </c>
      <c r="J45" s="40">
        <f>IF('1. MASTER_ENTRY'!$C45="","",'1. MASTER_ENTRY'!$T45)</f>
        <v/>
      </c>
    </row>
    <row r="46" ht="16" customHeight="1">
      <c r="A46" s="36">
        <f>IF('1. MASTER_ENTRY'!$C46="","",'1. MASTER_ENTRY'!$A46)</f>
        <v/>
      </c>
      <c r="B46" s="37">
        <f>IF('1. MASTER_ENTRY'!$C46="","",'1. MASTER_ENTRY'!$C46)</f>
        <v/>
      </c>
      <c r="C46" s="36">
        <f>IF('1. MASTER_ENTRY'!$C46="","",'1. MASTER_ENTRY'!$M46)</f>
        <v/>
      </c>
      <c r="D46" s="36">
        <f>IF('1. MASTER_ENTRY'!$C46="","",'1. MASTER_ENTRY'!$E46)</f>
        <v/>
      </c>
      <c r="E46" s="38">
        <f>IF('1. MASTER_ENTRY'!$C46="","",'1. MASTER_ENTRY'!$O46)</f>
        <v/>
      </c>
      <c r="F46" s="38">
        <f>IF('1. MASTER_ENTRY'!$C46="","",'1. MASTER_ENTRY'!$Q46)</f>
        <v/>
      </c>
      <c r="G46" s="36">
        <f>IF('1. MASTER_ENTRY'!$C46="","",'1. MASTER_ENTRY'!$P46)</f>
        <v/>
      </c>
      <c r="H46" s="39">
        <f>IF('1. MASTER_ENTRY'!$C46="","",'1. MASTER_ENTRY'!$S46)</f>
        <v/>
      </c>
      <c r="I46" s="36">
        <f>IF('1. MASTER_ENTRY'!$C46="","",'1. MASTER_ENTRY'!$R46)</f>
        <v/>
      </c>
      <c r="J46" s="36">
        <f>IF('1. MASTER_ENTRY'!$C46="","",'1. MASTER_ENTRY'!$T46)</f>
        <v/>
      </c>
    </row>
    <row r="47" ht="16" customHeight="1">
      <c r="A47" s="40">
        <f>IF('1. MASTER_ENTRY'!$C47="","",'1. MASTER_ENTRY'!$A47)</f>
        <v/>
      </c>
      <c r="B47" s="41">
        <f>IF('1. MASTER_ENTRY'!$C47="","",'1. MASTER_ENTRY'!$C47)</f>
        <v/>
      </c>
      <c r="C47" s="40">
        <f>IF('1. MASTER_ENTRY'!$C47="","",'1. MASTER_ENTRY'!$M47)</f>
        <v/>
      </c>
      <c r="D47" s="40">
        <f>IF('1. MASTER_ENTRY'!$C47="","",'1. MASTER_ENTRY'!$E47)</f>
        <v/>
      </c>
      <c r="E47" s="42">
        <f>IF('1. MASTER_ENTRY'!$C47="","",'1. MASTER_ENTRY'!$O47)</f>
        <v/>
      </c>
      <c r="F47" s="42">
        <f>IF('1. MASTER_ENTRY'!$C47="","",'1. MASTER_ENTRY'!$Q47)</f>
        <v/>
      </c>
      <c r="G47" s="40">
        <f>IF('1. MASTER_ENTRY'!$C47="","",'1. MASTER_ENTRY'!$P47)</f>
        <v/>
      </c>
      <c r="H47" s="43">
        <f>IF('1. MASTER_ENTRY'!$C47="","",'1. MASTER_ENTRY'!$S47)</f>
        <v/>
      </c>
      <c r="I47" s="40">
        <f>IF('1. MASTER_ENTRY'!$C47="","",'1. MASTER_ENTRY'!$R47)</f>
        <v/>
      </c>
      <c r="J47" s="40">
        <f>IF('1. MASTER_ENTRY'!$C47="","",'1. MASTER_ENTRY'!$T47)</f>
        <v/>
      </c>
    </row>
    <row r="48" ht="16" customHeight="1">
      <c r="A48" s="36">
        <f>IF('1. MASTER_ENTRY'!$C48="","",'1. MASTER_ENTRY'!$A48)</f>
        <v/>
      </c>
      <c r="B48" s="37">
        <f>IF('1. MASTER_ENTRY'!$C48="","",'1. MASTER_ENTRY'!$C48)</f>
        <v/>
      </c>
      <c r="C48" s="36">
        <f>IF('1. MASTER_ENTRY'!$C48="","",'1. MASTER_ENTRY'!$M48)</f>
        <v/>
      </c>
      <c r="D48" s="36">
        <f>IF('1. MASTER_ENTRY'!$C48="","",'1. MASTER_ENTRY'!$E48)</f>
        <v/>
      </c>
      <c r="E48" s="38">
        <f>IF('1. MASTER_ENTRY'!$C48="","",'1. MASTER_ENTRY'!$O48)</f>
        <v/>
      </c>
      <c r="F48" s="38">
        <f>IF('1. MASTER_ENTRY'!$C48="","",'1. MASTER_ENTRY'!$Q48)</f>
        <v/>
      </c>
      <c r="G48" s="36">
        <f>IF('1. MASTER_ENTRY'!$C48="","",'1. MASTER_ENTRY'!$P48)</f>
        <v/>
      </c>
      <c r="H48" s="39">
        <f>IF('1. MASTER_ENTRY'!$C48="","",'1. MASTER_ENTRY'!$S48)</f>
        <v/>
      </c>
      <c r="I48" s="36">
        <f>IF('1. MASTER_ENTRY'!$C48="","",'1. MASTER_ENTRY'!$R48)</f>
        <v/>
      </c>
      <c r="J48" s="36">
        <f>IF('1. MASTER_ENTRY'!$C48="","",'1. MASTER_ENTRY'!$T48)</f>
        <v/>
      </c>
    </row>
    <row r="49" ht="16" customHeight="1">
      <c r="A49" s="40">
        <f>IF('1. MASTER_ENTRY'!$C49="","",'1. MASTER_ENTRY'!$A49)</f>
        <v/>
      </c>
      <c r="B49" s="41">
        <f>IF('1. MASTER_ENTRY'!$C49="","",'1. MASTER_ENTRY'!$C49)</f>
        <v/>
      </c>
      <c r="C49" s="40">
        <f>IF('1. MASTER_ENTRY'!$C49="","",'1. MASTER_ENTRY'!$M49)</f>
        <v/>
      </c>
      <c r="D49" s="40">
        <f>IF('1. MASTER_ENTRY'!$C49="","",'1. MASTER_ENTRY'!$E49)</f>
        <v/>
      </c>
      <c r="E49" s="42">
        <f>IF('1. MASTER_ENTRY'!$C49="","",'1. MASTER_ENTRY'!$O49)</f>
        <v/>
      </c>
      <c r="F49" s="42">
        <f>IF('1. MASTER_ENTRY'!$C49="","",'1. MASTER_ENTRY'!$Q49)</f>
        <v/>
      </c>
      <c r="G49" s="40">
        <f>IF('1. MASTER_ENTRY'!$C49="","",'1. MASTER_ENTRY'!$P49)</f>
        <v/>
      </c>
      <c r="H49" s="43">
        <f>IF('1. MASTER_ENTRY'!$C49="","",'1. MASTER_ENTRY'!$S49)</f>
        <v/>
      </c>
      <c r="I49" s="40">
        <f>IF('1. MASTER_ENTRY'!$C49="","",'1. MASTER_ENTRY'!$R49)</f>
        <v/>
      </c>
      <c r="J49" s="40">
        <f>IF('1. MASTER_ENTRY'!$C49="","",'1. MASTER_ENTRY'!$T49)</f>
        <v/>
      </c>
    </row>
    <row r="50" ht="16" customHeight="1">
      <c r="A50" s="36">
        <f>IF('1. MASTER_ENTRY'!$C50="","",'1. MASTER_ENTRY'!$A50)</f>
        <v/>
      </c>
      <c r="B50" s="37">
        <f>IF('1. MASTER_ENTRY'!$C50="","",'1. MASTER_ENTRY'!$C50)</f>
        <v/>
      </c>
      <c r="C50" s="36">
        <f>IF('1. MASTER_ENTRY'!$C50="","",'1. MASTER_ENTRY'!$M50)</f>
        <v/>
      </c>
      <c r="D50" s="36">
        <f>IF('1. MASTER_ENTRY'!$C50="","",'1. MASTER_ENTRY'!$E50)</f>
        <v/>
      </c>
      <c r="E50" s="38">
        <f>IF('1. MASTER_ENTRY'!$C50="","",'1. MASTER_ENTRY'!$O50)</f>
        <v/>
      </c>
      <c r="F50" s="38">
        <f>IF('1. MASTER_ENTRY'!$C50="","",'1. MASTER_ENTRY'!$Q50)</f>
        <v/>
      </c>
      <c r="G50" s="36">
        <f>IF('1. MASTER_ENTRY'!$C50="","",'1. MASTER_ENTRY'!$P50)</f>
        <v/>
      </c>
      <c r="H50" s="39">
        <f>IF('1. MASTER_ENTRY'!$C50="","",'1. MASTER_ENTRY'!$S50)</f>
        <v/>
      </c>
      <c r="I50" s="36">
        <f>IF('1. MASTER_ENTRY'!$C50="","",'1. MASTER_ENTRY'!$R50)</f>
        <v/>
      </c>
      <c r="J50" s="36">
        <f>IF('1. MASTER_ENTRY'!$C50="","",'1. MASTER_ENTRY'!$T50)</f>
        <v/>
      </c>
    </row>
    <row r="51" ht="16" customHeight="1">
      <c r="A51" s="40">
        <f>IF('1. MASTER_ENTRY'!$C51="","",'1. MASTER_ENTRY'!$A51)</f>
        <v/>
      </c>
      <c r="B51" s="41">
        <f>IF('1. MASTER_ENTRY'!$C51="","",'1. MASTER_ENTRY'!$C51)</f>
        <v/>
      </c>
      <c r="C51" s="40">
        <f>IF('1. MASTER_ENTRY'!$C51="","",'1. MASTER_ENTRY'!$M51)</f>
        <v/>
      </c>
      <c r="D51" s="40">
        <f>IF('1. MASTER_ENTRY'!$C51="","",'1. MASTER_ENTRY'!$E51)</f>
        <v/>
      </c>
      <c r="E51" s="42">
        <f>IF('1. MASTER_ENTRY'!$C51="","",'1. MASTER_ENTRY'!$O51)</f>
        <v/>
      </c>
      <c r="F51" s="42">
        <f>IF('1. MASTER_ENTRY'!$C51="","",'1. MASTER_ENTRY'!$Q51)</f>
        <v/>
      </c>
      <c r="G51" s="40">
        <f>IF('1. MASTER_ENTRY'!$C51="","",'1. MASTER_ENTRY'!$P51)</f>
        <v/>
      </c>
      <c r="H51" s="43">
        <f>IF('1. MASTER_ENTRY'!$C51="","",'1. MASTER_ENTRY'!$S51)</f>
        <v/>
      </c>
      <c r="I51" s="40">
        <f>IF('1. MASTER_ENTRY'!$C51="","",'1. MASTER_ENTRY'!$R51)</f>
        <v/>
      </c>
      <c r="J51" s="40">
        <f>IF('1. MASTER_ENTRY'!$C51="","",'1. MASTER_ENTRY'!$T51)</f>
        <v/>
      </c>
    </row>
    <row r="52" ht="16" customHeight="1">
      <c r="A52" s="36">
        <f>IF('1. MASTER_ENTRY'!$C52="","",'1. MASTER_ENTRY'!$A52)</f>
        <v/>
      </c>
      <c r="B52" s="37">
        <f>IF('1. MASTER_ENTRY'!$C52="","",'1. MASTER_ENTRY'!$C52)</f>
        <v/>
      </c>
      <c r="C52" s="36">
        <f>IF('1. MASTER_ENTRY'!$C52="","",'1. MASTER_ENTRY'!$M52)</f>
        <v/>
      </c>
      <c r="D52" s="36">
        <f>IF('1. MASTER_ENTRY'!$C52="","",'1. MASTER_ENTRY'!$E52)</f>
        <v/>
      </c>
      <c r="E52" s="38">
        <f>IF('1. MASTER_ENTRY'!$C52="","",'1. MASTER_ENTRY'!$O52)</f>
        <v/>
      </c>
      <c r="F52" s="38">
        <f>IF('1. MASTER_ENTRY'!$C52="","",'1. MASTER_ENTRY'!$Q52)</f>
        <v/>
      </c>
      <c r="G52" s="36">
        <f>IF('1. MASTER_ENTRY'!$C52="","",'1. MASTER_ENTRY'!$P52)</f>
        <v/>
      </c>
      <c r="H52" s="39">
        <f>IF('1. MASTER_ENTRY'!$C52="","",'1. MASTER_ENTRY'!$S52)</f>
        <v/>
      </c>
      <c r="I52" s="36">
        <f>IF('1. MASTER_ENTRY'!$C52="","",'1. MASTER_ENTRY'!$R52)</f>
        <v/>
      </c>
      <c r="J52" s="36">
        <f>IF('1. MASTER_ENTRY'!$C52="","",'1. MASTER_ENTRY'!$T52)</f>
        <v/>
      </c>
    </row>
    <row r="53" ht="16" customHeight="1">
      <c r="A53" s="40">
        <f>IF('1. MASTER_ENTRY'!$C53="","",'1. MASTER_ENTRY'!$A53)</f>
        <v/>
      </c>
      <c r="B53" s="41">
        <f>IF('1. MASTER_ENTRY'!$C53="","",'1. MASTER_ENTRY'!$C53)</f>
        <v/>
      </c>
      <c r="C53" s="40">
        <f>IF('1. MASTER_ENTRY'!$C53="","",'1. MASTER_ENTRY'!$M53)</f>
        <v/>
      </c>
      <c r="D53" s="40">
        <f>IF('1. MASTER_ENTRY'!$C53="","",'1. MASTER_ENTRY'!$E53)</f>
        <v/>
      </c>
      <c r="E53" s="42">
        <f>IF('1. MASTER_ENTRY'!$C53="","",'1. MASTER_ENTRY'!$O53)</f>
        <v/>
      </c>
      <c r="F53" s="42">
        <f>IF('1. MASTER_ENTRY'!$C53="","",'1. MASTER_ENTRY'!$Q53)</f>
        <v/>
      </c>
      <c r="G53" s="40">
        <f>IF('1. MASTER_ENTRY'!$C53="","",'1. MASTER_ENTRY'!$P53)</f>
        <v/>
      </c>
      <c r="H53" s="43">
        <f>IF('1. MASTER_ENTRY'!$C53="","",'1. MASTER_ENTRY'!$S53)</f>
        <v/>
      </c>
      <c r="I53" s="40">
        <f>IF('1. MASTER_ENTRY'!$C53="","",'1. MASTER_ENTRY'!$R53)</f>
        <v/>
      </c>
      <c r="J53" s="40">
        <f>IF('1. MASTER_ENTRY'!$C53="","",'1. MASTER_ENTRY'!$T53)</f>
        <v/>
      </c>
    </row>
    <row r="54" ht="16" customHeight="1">
      <c r="A54" s="36">
        <f>IF('1. MASTER_ENTRY'!$C54="","",'1. MASTER_ENTRY'!$A54)</f>
        <v/>
      </c>
      <c r="B54" s="37">
        <f>IF('1. MASTER_ENTRY'!$C54="","",'1. MASTER_ENTRY'!$C54)</f>
        <v/>
      </c>
      <c r="C54" s="36">
        <f>IF('1. MASTER_ENTRY'!$C54="","",'1. MASTER_ENTRY'!$M54)</f>
        <v/>
      </c>
      <c r="D54" s="36">
        <f>IF('1. MASTER_ENTRY'!$C54="","",'1. MASTER_ENTRY'!$E54)</f>
        <v/>
      </c>
      <c r="E54" s="38">
        <f>IF('1. MASTER_ENTRY'!$C54="","",'1. MASTER_ENTRY'!$O54)</f>
        <v/>
      </c>
      <c r="F54" s="38">
        <f>IF('1. MASTER_ENTRY'!$C54="","",'1. MASTER_ENTRY'!$Q54)</f>
        <v/>
      </c>
      <c r="G54" s="36">
        <f>IF('1. MASTER_ENTRY'!$C54="","",'1. MASTER_ENTRY'!$P54)</f>
        <v/>
      </c>
      <c r="H54" s="39">
        <f>IF('1. MASTER_ENTRY'!$C54="","",'1. MASTER_ENTRY'!$S54)</f>
        <v/>
      </c>
      <c r="I54" s="36">
        <f>IF('1. MASTER_ENTRY'!$C54="","",'1. MASTER_ENTRY'!$R54)</f>
        <v/>
      </c>
      <c r="J54" s="36">
        <f>IF('1. MASTER_ENTRY'!$C54="","",'1. MASTER_ENTRY'!$T54)</f>
        <v/>
      </c>
    </row>
    <row r="55" ht="16" customHeight="1">
      <c r="A55" s="40">
        <f>IF('1. MASTER_ENTRY'!$C55="","",'1. MASTER_ENTRY'!$A55)</f>
        <v/>
      </c>
      <c r="B55" s="41">
        <f>IF('1. MASTER_ENTRY'!$C55="","",'1. MASTER_ENTRY'!$C55)</f>
        <v/>
      </c>
      <c r="C55" s="40">
        <f>IF('1. MASTER_ENTRY'!$C55="","",'1. MASTER_ENTRY'!$M55)</f>
        <v/>
      </c>
      <c r="D55" s="40">
        <f>IF('1. MASTER_ENTRY'!$C55="","",'1. MASTER_ENTRY'!$E55)</f>
        <v/>
      </c>
      <c r="E55" s="42">
        <f>IF('1. MASTER_ENTRY'!$C55="","",'1. MASTER_ENTRY'!$O55)</f>
        <v/>
      </c>
      <c r="F55" s="42">
        <f>IF('1. MASTER_ENTRY'!$C55="","",'1. MASTER_ENTRY'!$Q55)</f>
        <v/>
      </c>
      <c r="G55" s="40">
        <f>IF('1. MASTER_ENTRY'!$C55="","",'1. MASTER_ENTRY'!$P55)</f>
        <v/>
      </c>
      <c r="H55" s="43">
        <f>IF('1. MASTER_ENTRY'!$C55="","",'1. MASTER_ENTRY'!$S55)</f>
        <v/>
      </c>
      <c r="I55" s="40">
        <f>IF('1. MASTER_ENTRY'!$C55="","",'1. MASTER_ENTRY'!$R55)</f>
        <v/>
      </c>
      <c r="J55" s="40">
        <f>IF('1. MASTER_ENTRY'!$C55="","",'1. MASTER_ENTRY'!$T55)</f>
        <v/>
      </c>
    </row>
    <row r="56" ht="16" customHeight="1">
      <c r="A56" s="36">
        <f>IF('1. MASTER_ENTRY'!$C56="","",'1. MASTER_ENTRY'!$A56)</f>
        <v/>
      </c>
      <c r="B56" s="37">
        <f>IF('1. MASTER_ENTRY'!$C56="","",'1. MASTER_ENTRY'!$C56)</f>
        <v/>
      </c>
      <c r="C56" s="36">
        <f>IF('1. MASTER_ENTRY'!$C56="","",'1. MASTER_ENTRY'!$M56)</f>
        <v/>
      </c>
      <c r="D56" s="36">
        <f>IF('1. MASTER_ENTRY'!$C56="","",'1. MASTER_ENTRY'!$E56)</f>
        <v/>
      </c>
      <c r="E56" s="38">
        <f>IF('1. MASTER_ENTRY'!$C56="","",'1. MASTER_ENTRY'!$O56)</f>
        <v/>
      </c>
      <c r="F56" s="38">
        <f>IF('1. MASTER_ENTRY'!$C56="","",'1. MASTER_ENTRY'!$Q56)</f>
        <v/>
      </c>
      <c r="G56" s="36">
        <f>IF('1. MASTER_ENTRY'!$C56="","",'1. MASTER_ENTRY'!$P56)</f>
        <v/>
      </c>
      <c r="H56" s="39">
        <f>IF('1. MASTER_ENTRY'!$C56="","",'1. MASTER_ENTRY'!$S56)</f>
        <v/>
      </c>
      <c r="I56" s="36">
        <f>IF('1. MASTER_ENTRY'!$C56="","",'1. MASTER_ENTRY'!$R56)</f>
        <v/>
      </c>
      <c r="J56" s="36">
        <f>IF('1. MASTER_ENTRY'!$C56="","",'1. MASTER_ENTRY'!$T56)</f>
        <v/>
      </c>
    </row>
    <row r="57" ht="16" customHeight="1">
      <c r="A57" s="40">
        <f>IF('1. MASTER_ENTRY'!$C57="","",'1. MASTER_ENTRY'!$A57)</f>
        <v/>
      </c>
      <c r="B57" s="41">
        <f>IF('1. MASTER_ENTRY'!$C57="","",'1. MASTER_ENTRY'!$C57)</f>
        <v/>
      </c>
      <c r="C57" s="40">
        <f>IF('1. MASTER_ENTRY'!$C57="","",'1. MASTER_ENTRY'!$M57)</f>
        <v/>
      </c>
      <c r="D57" s="40">
        <f>IF('1. MASTER_ENTRY'!$C57="","",'1. MASTER_ENTRY'!$E57)</f>
        <v/>
      </c>
      <c r="E57" s="42">
        <f>IF('1. MASTER_ENTRY'!$C57="","",'1. MASTER_ENTRY'!$O57)</f>
        <v/>
      </c>
      <c r="F57" s="42">
        <f>IF('1. MASTER_ENTRY'!$C57="","",'1. MASTER_ENTRY'!$Q57)</f>
        <v/>
      </c>
      <c r="G57" s="40">
        <f>IF('1. MASTER_ENTRY'!$C57="","",'1. MASTER_ENTRY'!$P57)</f>
        <v/>
      </c>
      <c r="H57" s="43">
        <f>IF('1. MASTER_ENTRY'!$C57="","",'1. MASTER_ENTRY'!$S57)</f>
        <v/>
      </c>
      <c r="I57" s="40">
        <f>IF('1. MASTER_ENTRY'!$C57="","",'1. MASTER_ENTRY'!$R57)</f>
        <v/>
      </c>
      <c r="J57" s="40">
        <f>IF('1. MASTER_ENTRY'!$C57="","",'1. MASTER_ENTRY'!$T57)</f>
        <v/>
      </c>
    </row>
    <row r="58" ht="16" customHeight="1">
      <c r="A58" s="36">
        <f>IF('1. MASTER_ENTRY'!$C58="","",'1. MASTER_ENTRY'!$A58)</f>
        <v/>
      </c>
      <c r="B58" s="37">
        <f>IF('1. MASTER_ENTRY'!$C58="","",'1. MASTER_ENTRY'!$C58)</f>
        <v/>
      </c>
      <c r="C58" s="36">
        <f>IF('1. MASTER_ENTRY'!$C58="","",'1. MASTER_ENTRY'!$M58)</f>
        <v/>
      </c>
      <c r="D58" s="36">
        <f>IF('1. MASTER_ENTRY'!$C58="","",'1. MASTER_ENTRY'!$E58)</f>
        <v/>
      </c>
      <c r="E58" s="38">
        <f>IF('1. MASTER_ENTRY'!$C58="","",'1. MASTER_ENTRY'!$O58)</f>
        <v/>
      </c>
      <c r="F58" s="38">
        <f>IF('1. MASTER_ENTRY'!$C58="","",'1. MASTER_ENTRY'!$Q58)</f>
        <v/>
      </c>
      <c r="G58" s="36">
        <f>IF('1. MASTER_ENTRY'!$C58="","",'1. MASTER_ENTRY'!$P58)</f>
        <v/>
      </c>
      <c r="H58" s="39">
        <f>IF('1. MASTER_ENTRY'!$C58="","",'1. MASTER_ENTRY'!$S58)</f>
        <v/>
      </c>
      <c r="I58" s="36">
        <f>IF('1. MASTER_ENTRY'!$C58="","",'1. MASTER_ENTRY'!$R58)</f>
        <v/>
      </c>
      <c r="J58" s="36">
        <f>IF('1. MASTER_ENTRY'!$C58="","",'1. MASTER_ENTRY'!$T58)</f>
        <v/>
      </c>
    </row>
    <row r="59" ht="16" customHeight="1">
      <c r="A59" s="40">
        <f>IF('1. MASTER_ENTRY'!$C59="","",'1. MASTER_ENTRY'!$A59)</f>
        <v/>
      </c>
      <c r="B59" s="41">
        <f>IF('1. MASTER_ENTRY'!$C59="","",'1. MASTER_ENTRY'!$C59)</f>
        <v/>
      </c>
      <c r="C59" s="40">
        <f>IF('1. MASTER_ENTRY'!$C59="","",'1. MASTER_ENTRY'!$M59)</f>
        <v/>
      </c>
      <c r="D59" s="40">
        <f>IF('1. MASTER_ENTRY'!$C59="","",'1. MASTER_ENTRY'!$E59)</f>
        <v/>
      </c>
      <c r="E59" s="42">
        <f>IF('1. MASTER_ENTRY'!$C59="","",'1. MASTER_ENTRY'!$O59)</f>
        <v/>
      </c>
      <c r="F59" s="42">
        <f>IF('1. MASTER_ENTRY'!$C59="","",'1. MASTER_ENTRY'!$Q59)</f>
        <v/>
      </c>
      <c r="G59" s="40">
        <f>IF('1. MASTER_ENTRY'!$C59="","",'1. MASTER_ENTRY'!$P59)</f>
        <v/>
      </c>
      <c r="H59" s="43">
        <f>IF('1. MASTER_ENTRY'!$C59="","",'1. MASTER_ENTRY'!$S59)</f>
        <v/>
      </c>
      <c r="I59" s="40">
        <f>IF('1. MASTER_ENTRY'!$C59="","",'1. MASTER_ENTRY'!$R59)</f>
        <v/>
      </c>
      <c r="J59" s="40">
        <f>IF('1. MASTER_ENTRY'!$C59="","",'1. MASTER_ENTRY'!$T59)</f>
        <v/>
      </c>
    </row>
    <row r="60" ht="16" customHeight="1">
      <c r="A60" s="36">
        <f>IF('1. MASTER_ENTRY'!$C60="","",'1. MASTER_ENTRY'!$A60)</f>
        <v/>
      </c>
      <c r="B60" s="37">
        <f>IF('1. MASTER_ENTRY'!$C60="","",'1. MASTER_ENTRY'!$C60)</f>
        <v/>
      </c>
      <c r="C60" s="36">
        <f>IF('1. MASTER_ENTRY'!$C60="","",'1. MASTER_ENTRY'!$M60)</f>
        <v/>
      </c>
      <c r="D60" s="36">
        <f>IF('1. MASTER_ENTRY'!$C60="","",'1. MASTER_ENTRY'!$E60)</f>
        <v/>
      </c>
      <c r="E60" s="38">
        <f>IF('1. MASTER_ENTRY'!$C60="","",'1. MASTER_ENTRY'!$O60)</f>
        <v/>
      </c>
      <c r="F60" s="38">
        <f>IF('1. MASTER_ENTRY'!$C60="","",'1. MASTER_ENTRY'!$Q60)</f>
        <v/>
      </c>
      <c r="G60" s="36">
        <f>IF('1. MASTER_ENTRY'!$C60="","",'1. MASTER_ENTRY'!$P60)</f>
        <v/>
      </c>
      <c r="H60" s="39">
        <f>IF('1. MASTER_ENTRY'!$C60="","",'1. MASTER_ENTRY'!$S60)</f>
        <v/>
      </c>
      <c r="I60" s="36">
        <f>IF('1. MASTER_ENTRY'!$C60="","",'1. MASTER_ENTRY'!$R60)</f>
        <v/>
      </c>
      <c r="J60" s="36">
        <f>IF('1. MASTER_ENTRY'!$C60="","",'1. MASTER_ENTRY'!$T60)</f>
        <v/>
      </c>
    </row>
    <row r="61" ht="16" customHeight="1">
      <c r="A61" s="40">
        <f>IF('1. MASTER_ENTRY'!$C61="","",'1. MASTER_ENTRY'!$A61)</f>
        <v/>
      </c>
      <c r="B61" s="41">
        <f>IF('1. MASTER_ENTRY'!$C61="","",'1. MASTER_ENTRY'!$C61)</f>
        <v/>
      </c>
      <c r="C61" s="40">
        <f>IF('1. MASTER_ENTRY'!$C61="","",'1. MASTER_ENTRY'!$M61)</f>
        <v/>
      </c>
      <c r="D61" s="40">
        <f>IF('1. MASTER_ENTRY'!$C61="","",'1. MASTER_ENTRY'!$E61)</f>
        <v/>
      </c>
      <c r="E61" s="42">
        <f>IF('1. MASTER_ENTRY'!$C61="","",'1. MASTER_ENTRY'!$O61)</f>
        <v/>
      </c>
      <c r="F61" s="42">
        <f>IF('1. MASTER_ENTRY'!$C61="","",'1. MASTER_ENTRY'!$Q61)</f>
        <v/>
      </c>
      <c r="G61" s="40">
        <f>IF('1. MASTER_ENTRY'!$C61="","",'1. MASTER_ENTRY'!$P61)</f>
        <v/>
      </c>
      <c r="H61" s="43">
        <f>IF('1. MASTER_ENTRY'!$C61="","",'1. MASTER_ENTRY'!$S61)</f>
        <v/>
      </c>
      <c r="I61" s="40">
        <f>IF('1. MASTER_ENTRY'!$C61="","",'1. MASTER_ENTRY'!$R61)</f>
        <v/>
      </c>
      <c r="J61" s="40">
        <f>IF('1. MASTER_ENTRY'!$C61="","",'1. MASTER_ENTRY'!$T61)</f>
        <v/>
      </c>
    </row>
    <row r="62" ht="16" customHeight="1">
      <c r="A62" s="36">
        <f>IF('1. MASTER_ENTRY'!$C62="","",'1. MASTER_ENTRY'!$A62)</f>
        <v/>
      </c>
      <c r="B62" s="37">
        <f>IF('1. MASTER_ENTRY'!$C62="","",'1. MASTER_ENTRY'!$C62)</f>
        <v/>
      </c>
      <c r="C62" s="36">
        <f>IF('1. MASTER_ENTRY'!$C62="","",'1. MASTER_ENTRY'!$M62)</f>
        <v/>
      </c>
      <c r="D62" s="36">
        <f>IF('1. MASTER_ENTRY'!$C62="","",'1. MASTER_ENTRY'!$E62)</f>
        <v/>
      </c>
      <c r="E62" s="38">
        <f>IF('1. MASTER_ENTRY'!$C62="","",'1. MASTER_ENTRY'!$O62)</f>
        <v/>
      </c>
      <c r="F62" s="38">
        <f>IF('1. MASTER_ENTRY'!$C62="","",'1. MASTER_ENTRY'!$Q62)</f>
        <v/>
      </c>
      <c r="G62" s="36">
        <f>IF('1. MASTER_ENTRY'!$C62="","",'1. MASTER_ENTRY'!$P62)</f>
        <v/>
      </c>
      <c r="H62" s="39">
        <f>IF('1. MASTER_ENTRY'!$C62="","",'1. MASTER_ENTRY'!$S62)</f>
        <v/>
      </c>
      <c r="I62" s="36">
        <f>IF('1. MASTER_ENTRY'!$C62="","",'1. MASTER_ENTRY'!$R62)</f>
        <v/>
      </c>
      <c r="J62" s="36">
        <f>IF('1. MASTER_ENTRY'!$C62="","",'1. MASTER_ENTRY'!$T62)</f>
        <v/>
      </c>
    </row>
    <row r="63" ht="16" customHeight="1">
      <c r="A63" s="40">
        <f>IF('1. MASTER_ENTRY'!$C63="","",'1. MASTER_ENTRY'!$A63)</f>
        <v/>
      </c>
      <c r="B63" s="41">
        <f>IF('1. MASTER_ENTRY'!$C63="","",'1. MASTER_ENTRY'!$C63)</f>
        <v/>
      </c>
      <c r="C63" s="40">
        <f>IF('1. MASTER_ENTRY'!$C63="","",'1. MASTER_ENTRY'!$M63)</f>
        <v/>
      </c>
      <c r="D63" s="40">
        <f>IF('1. MASTER_ENTRY'!$C63="","",'1. MASTER_ENTRY'!$E63)</f>
        <v/>
      </c>
      <c r="E63" s="42">
        <f>IF('1. MASTER_ENTRY'!$C63="","",'1. MASTER_ENTRY'!$O63)</f>
        <v/>
      </c>
      <c r="F63" s="42">
        <f>IF('1. MASTER_ENTRY'!$C63="","",'1. MASTER_ENTRY'!$Q63)</f>
        <v/>
      </c>
      <c r="G63" s="40">
        <f>IF('1. MASTER_ENTRY'!$C63="","",'1. MASTER_ENTRY'!$P63)</f>
        <v/>
      </c>
      <c r="H63" s="43">
        <f>IF('1. MASTER_ENTRY'!$C63="","",'1. MASTER_ENTRY'!$S63)</f>
        <v/>
      </c>
      <c r="I63" s="40">
        <f>IF('1. MASTER_ENTRY'!$C63="","",'1. MASTER_ENTRY'!$R63)</f>
        <v/>
      </c>
      <c r="J63" s="40">
        <f>IF('1. MASTER_ENTRY'!$C63="","",'1. MASTER_ENTRY'!$T63)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2">
    <mergeCell ref="A1:J1"/>
    <mergeCell ref="A2:J2"/>
  </mergeCells>
  <conditionalFormatting sqref="H4:H63">
    <cfRule type="dataBar" priority="1">
      <dataBar>
        <cfvo type="num" val="0"/>
        <cfvo type="num" val="1"/>
        <color rgb="002E5496"/>
      </dataBar>
    </cfRule>
  </conditionalFormatting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K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17" customWidth="1" min="3" max="3"/>
    <col width="6" customWidth="1" min="4" max="4"/>
    <col width="6" customWidth="1" min="5" max="5"/>
    <col width="6" customWidth="1" min="6" max="6"/>
    <col width="8" customWidth="1" min="7" max="7"/>
    <col width="12" customWidth="1" min="8" max="8"/>
    <col width="24" customWidth="1" min="9" max="9"/>
    <col width="16" customWidth="1" min="10" max="10"/>
    <col width="13" customWidth="1" min="11" max="11"/>
  </cols>
  <sheetData>
    <row r="1" ht="36" customHeight="1">
      <c r="A1" s="44" t="inlineStr">
        <is>
          <t xml:space="preserve">  RISK REGISTER  -  every case scored (RPN = Sev x Occ x Det)</t>
        </is>
      </c>
    </row>
    <row r="2" ht="20" customHeight="1">
      <c r="A2" s="2" t="inlineStr">
        <is>
          <t xml:space="preserve">  Read-only. RPN band drives escalation; mitigation &amp; owner come from the case.</t>
        </is>
      </c>
    </row>
    <row r="3" ht="30" customHeight="1">
      <c r="A3" s="45" t="inlineStr">
        <is>
          <t>RISK ID</t>
        </is>
      </c>
      <c r="B3" s="45" t="inlineStr">
        <is>
          <t>RISK / EXPOSURE</t>
        </is>
      </c>
      <c r="C3" s="45" t="inlineStr">
        <is>
          <t>CATEGORY</t>
        </is>
      </c>
      <c r="D3" s="45" t="inlineStr">
        <is>
          <t>SEV</t>
        </is>
      </c>
      <c r="E3" s="45" t="inlineStr">
        <is>
          <t>OCC</t>
        </is>
      </c>
      <c r="F3" s="45" t="inlineStr">
        <is>
          <t>DET</t>
        </is>
      </c>
      <c r="G3" s="45" t="inlineStr">
        <is>
          <t>RPN</t>
        </is>
      </c>
      <c r="H3" s="45" t="inlineStr">
        <is>
          <t>RPN BAND</t>
        </is>
      </c>
      <c r="I3" s="45" t="inlineStr">
        <is>
          <t>MITIGATION METHOD</t>
        </is>
      </c>
      <c r="J3" s="45" t="inlineStr">
        <is>
          <t>OWNER</t>
        </is>
      </c>
      <c r="K3" s="45" t="inlineStr">
        <is>
          <t>STATUS</t>
        </is>
      </c>
    </row>
    <row r="4" ht="16" customHeight="1">
      <c r="A4" s="36">
        <f>IF('1. MASTER_ENTRY'!$C4="","",SUBSTITUTE('1. MASTER_ENTRY'!$A4,"CASE","RISK"))</f>
        <v/>
      </c>
      <c r="B4" s="37">
        <f>IF('1. MASTER_ENTRY'!$C4="","",'1. MASTER_ENTRY'!$C4)</f>
        <v/>
      </c>
      <c r="C4" s="36">
        <f>IF('1. MASTER_ENTRY'!$C4="","",'1. MASTER_ENTRY'!$D4)</f>
        <v/>
      </c>
      <c r="D4" s="36">
        <f>IF('1. MASTER_ENTRY'!$C4="","",'1. MASTER_ENTRY'!$F4)</f>
        <v/>
      </c>
      <c r="E4" s="36">
        <f>IF('1. MASTER_ENTRY'!$C4="","",'1. MASTER_ENTRY'!$G4)</f>
        <v/>
      </c>
      <c r="F4" s="36">
        <f>IF('1. MASTER_ENTRY'!$C4="","",'1. MASTER_ENTRY'!$H4)</f>
        <v/>
      </c>
      <c r="G4" s="36">
        <f>IF('1. MASTER_ENTRY'!$C4="","",'1. MASTER_ENTRY'!$I4)</f>
        <v/>
      </c>
      <c r="H4" s="36">
        <f>IF('1. MASTER_ENTRY'!$C4="","",'1. MASTER_ENTRY'!$J4)</f>
        <v/>
      </c>
      <c r="I4" s="36">
        <f>IF('1. MASTER_ENTRY'!$C4="","",'1. MASTER_ENTRY'!$L4)</f>
        <v/>
      </c>
      <c r="J4" s="36">
        <f>IF('1. MASTER_ENTRY'!$C4="","",'1. MASTER_ENTRY'!$M4)</f>
        <v/>
      </c>
      <c r="K4" s="36">
        <f>IF('1. MASTER_ENTRY'!$C4="","",'1. MASTER_ENTRY'!$R4)</f>
        <v/>
      </c>
    </row>
    <row r="5" ht="16" customHeight="1">
      <c r="A5" s="40">
        <f>IF('1. MASTER_ENTRY'!$C5="","",SUBSTITUTE('1. MASTER_ENTRY'!$A5,"CASE","RISK"))</f>
        <v/>
      </c>
      <c r="B5" s="41">
        <f>IF('1. MASTER_ENTRY'!$C5="","",'1. MASTER_ENTRY'!$C5)</f>
        <v/>
      </c>
      <c r="C5" s="40">
        <f>IF('1. MASTER_ENTRY'!$C5="","",'1. MASTER_ENTRY'!$D5)</f>
        <v/>
      </c>
      <c r="D5" s="40">
        <f>IF('1. MASTER_ENTRY'!$C5="","",'1. MASTER_ENTRY'!$F5)</f>
        <v/>
      </c>
      <c r="E5" s="40">
        <f>IF('1. MASTER_ENTRY'!$C5="","",'1. MASTER_ENTRY'!$G5)</f>
        <v/>
      </c>
      <c r="F5" s="40">
        <f>IF('1. MASTER_ENTRY'!$C5="","",'1. MASTER_ENTRY'!$H5)</f>
        <v/>
      </c>
      <c r="G5" s="40">
        <f>IF('1. MASTER_ENTRY'!$C5="","",'1. MASTER_ENTRY'!$I5)</f>
        <v/>
      </c>
      <c r="H5" s="40">
        <f>IF('1. MASTER_ENTRY'!$C5="","",'1. MASTER_ENTRY'!$J5)</f>
        <v/>
      </c>
      <c r="I5" s="40">
        <f>IF('1. MASTER_ENTRY'!$C5="","",'1. MASTER_ENTRY'!$L5)</f>
        <v/>
      </c>
      <c r="J5" s="40">
        <f>IF('1. MASTER_ENTRY'!$C5="","",'1. MASTER_ENTRY'!$M5)</f>
        <v/>
      </c>
      <c r="K5" s="40">
        <f>IF('1. MASTER_ENTRY'!$C5="","",'1. MASTER_ENTRY'!$R5)</f>
        <v/>
      </c>
    </row>
    <row r="6" ht="16" customHeight="1">
      <c r="A6" s="36">
        <f>IF('1. MASTER_ENTRY'!$C6="","",SUBSTITUTE('1. MASTER_ENTRY'!$A6,"CASE","RISK"))</f>
        <v/>
      </c>
      <c r="B6" s="37">
        <f>IF('1. MASTER_ENTRY'!$C6="","",'1. MASTER_ENTRY'!$C6)</f>
        <v/>
      </c>
      <c r="C6" s="36">
        <f>IF('1. MASTER_ENTRY'!$C6="","",'1. MASTER_ENTRY'!$D6)</f>
        <v/>
      </c>
      <c r="D6" s="36">
        <f>IF('1. MASTER_ENTRY'!$C6="","",'1. MASTER_ENTRY'!$F6)</f>
        <v/>
      </c>
      <c r="E6" s="36">
        <f>IF('1. MASTER_ENTRY'!$C6="","",'1. MASTER_ENTRY'!$G6)</f>
        <v/>
      </c>
      <c r="F6" s="36">
        <f>IF('1. MASTER_ENTRY'!$C6="","",'1. MASTER_ENTRY'!$H6)</f>
        <v/>
      </c>
      <c r="G6" s="36">
        <f>IF('1. MASTER_ENTRY'!$C6="","",'1. MASTER_ENTRY'!$I6)</f>
        <v/>
      </c>
      <c r="H6" s="36">
        <f>IF('1. MASTER_ENTRY'!$C6="","",'1. MASTER_ENTRY'!$J6)</f>
        <v/>
      </c>
      <c r="I6" s="36">
        <f>IF('1. MASTER_ENTRY'!$C6="","",'1. MASTER_ENTRY'!$L6)</f>
        <v/>
      </c>
      <c r="J6" s="36">
        <f>IF('1. MASTER_ENTRY'!$C6="","",'1. MASTER_ENTRY'!$M6)</f>
        <v/>
      </c>
      <c r="K6" s="36">
        <f>IF('1. MASTER_ENTRY'!$C6="","",'1. MASTER_ENTRY'!$R6)</f>
        <v/>
      </c>
    </row>
    <row r="7" ht="16" customHeight="1">
      <c r="A7" s="40">
        <f>IF('1. MASTER_ENTRY'!$C7="","",SUBSTITUTE('1. MASTER_ENTRY'!$A7,"CASE","RISK"))</f>
        <v/>
      </c>
      <c r="B7" s="41">
        <f>IF('1. MASTER_ENTRY'!$C7="","",'1. MASTER_ENTRY'!$C7)</f>
        <v/>
      </c>
      <c r="C7" s="40">
        <f>IF('1. MASTER_ENTRY'!$C7="","",'1. MASTER_ENTRY'!$D7)</f>
        <v/>
      </c>
      <c r="D7" s="40">
        <f>IF('1. MASTER_ENTRY'!$C7="","",'1. MASTER_ENTRY'!$F7)</f>
        <v/>
      </c>
      <c r="E7" s="40">
        <f>IF('1. MASTER_ENTRY'!$C7="","",'1. MASTER_ENTRY'!$G7)</f>
        <v/>
      </c>
      <c r="F7" s="40">
        <f>IF('1. MASTER_ENTRY'!$C7="","",'1. MASTER_ENTRY'!$H7)</f>
        <v/>
      </c>
      <c r="G7" s="40">
        <f>IF('1. MASTER_ENTRY'!$C7="","",'1. MASTER_ENTRY'!$I7)</f>
        <v/>
      </c>
      <c r="H7" s="40">
        <f>IF('1. MASTER_ENTRY'!$C7="","",'1. MASTER_ENTRY'!$J7)</f>
        <v/>
      </c>
      <c r="I7" s="40">
        <f>IF('1. MASTER_ENTRY'!$C7="","",'1. MASTER_ENTRY'!$L7)</f>
        <v/>
      </c>
      <c r="J7" s="40">
        <f>IF('1. MASTER_ENTRY'!$C7="","",'1. MASTER_ENTRY'!$M7)</f>
        <v/>
      </c>
      <c r="K7" s="40">
        <f>IF('1. MASTER_ENTRY'!$C7="","",'1. MASTER_ENTRY'!$R7)</f>
        <v/>
      </c>
    </row>
    <row r="8" ht="16" customHeight="1">
      <c r="A8" s="36">
        <f>IF('1. MASTER_ENTRY'!$C8="","",SUBSTITUTE('1. MASTER_ENTRY'!$A8,"CASE","RISK"))</f>
        <v/>
      </c>
      <c r="B8" s="37">
        <f>IF('1. MASTER_ENTRY'!$C8="","",'1. MASTER_ENTRY'!$C8)</f>
        <v/>
      </c>
      <c r="C8" s="36">
        <f>IF('1. MASTER_ENTRY'!$C8="","",'1. MASTER_ENTRY'!$D8)</f>
        <v/>
      </c>
      <c r="D8" s="36">
        <f>IF('1. MASTER_ENTRY'!$C8="","",'1. MASTER_ENTRY'!$F8)</f>
        <v/>
      </c>
      <c r="E8" s="36">
        <f>IF('1. MASTER_ENTRY'!$C8="","",'1. MASTER_ENTRY'!$G8)</f>
        <v/>
      </c>
      <c r="F8" s="36">
        <f>IF('1. MASTER_ENTRY'!$C8="","",'1. MASTER_ENTRY'!$H8)</f>
        <v/>
      </c>
      <c r="G8" s="36">
        <f>IF('1. MASTER_ENTRY'!$C8="","",'1. MASTER_ENTRY'!$I8)</f>
        <v/>
      </c>
      <c r="H8" s="36">
        <f>IF('1. MASTER_ENTRY'!$C8="","",'1. MASTER_ENTRY'!$J8)</f>
        <v/>
      </c>
      <c r="I8" s="36">
        <f>IF('1. MASTER_ENTRY'!$C8="","",'1. MASTER_ENTRY'!$L8)</f>
        <v/>
      </c>
      <c r="J8" s="36">
        <f>IF('1. MASTER_ENTRY'!$C8="","",'1. MASTER_ENTRY'!$M8)</f>
        <v/>
      </c>
      <c r="K8" s="36">
        <f>IF('1. MASTER_ENTRY'!$C8="","",'1. MASTER_ENTRY'!$R8)</f>
        <v/>
      </c>
    </row>
    <row r="9" ht="16" customHeight="1">
      <c r="A9" s="40">
        <f>IF('1. MASTER_ENTRY'!$C9="","",SUBSTITUTE('1. MASTER_ENTRY'!$A9,"CASE","RISK"))</f>
        <v/>
      </c>
      <c r="B9" s="41">
        <f>IF('1. MASTER_ENTRY'!$C9="","",'1. MASTER_ENTRY'!$C9)</f>
        <v/>
      </c>
      <c r="C9" s="40">
        <f>IF('1. MASTER_ENTRY'!$C9="","",'1. MASTER_ENTRY'!$D9)</f>
        <v/>
      </c>
      <c r="D9" s="40">
        <f>IF('1. MASTER_ENTRY'!$C9="","",'1. MASTER_ENTRY'!$F9)</f>
        <v/>
      </c>
      <c r="E9" s="40">
        <f>IF('1. MASTER_ENTRY'!$C9="","",'1. MASTER_ENTRY'!$G9)</f>
        <v/>
      </c>
      <c r="F9" s="40">
        <f>IF('1. MASTER_ENTRY'!$C9="","",'1. MASTER_ENTRY'!$H9)</f>
        <v/>
      </c>
      <c r="G9" s="40">
        <f>IF('1. MASTER_ENTRY'!$C9="","",'1. MASTER_ENTRY'!$I9)</f>
        <v/>
      </c>
      <c r="H9" s="40">
        <f>IF('1. MASTER_ENTRY'!$C9="","",'1. MASTER_ENTRY'!$J9)</f>
        <v/>
      </c>
      <c r="I9" s="40">
        <f>IF('1. MASTER_ENTRY'!$C9="","",'1. MASTER_ENTRY'!$L9)</f>
        <v/>
      </c>
      <c r="J9" s="40">
        <f>IF('1. MASTER_ENTRY'!$C9="","",'1. MASTER_ENTRY'!$M9)</f>
        <v/>
      </c>
      <c r="K9" s="40">
        <f>IF('1. MASTER_ENTRY'!$C9="","",'1. MASTER_ENTRY'!$R9)</f>
        <v/>
      </c>
    </row>
    <row r="10" ht="16" customHeight="1">
      <c r="A10" s="36">
        <f>IF('1. MASTER_ENTRY'!$C10="","",SUBSTITUTE('1. MASTER_ENTRY'!$A10,"CASE","RISK"))</f>
        <v/>
      </c>
      <c r="B10" s="37">
        <f>IF('1. MASTER_ENTRY'!$C10="","",'1. MASTER_ENTRY'!$C10)</f>
        <v/>
      </c>
      <c r="C10" s="36">
        <f>IF('1. MASTER_ENTRY'!$C10="","",'1. MASTER_ENTRY'!$D10)</f>
        <v/>
      </c>
      <c r="D10" s="36">
        <f>IF('1. MASTER_ENTRY'!$C10="","",'1. MASTER_ENTRY'!$F10)</f>
        <v/>
      </c>
      <c r="E10" s="36">
        <f>IF('1. MASTER_ENTRY'!$C10="","",'1. MASTER_ENTRY'!$G10)</f>
        <v/>
      </c>
      <c r="F10" s="36">
        <f>IF('1. MASTER_ENTRY'!$C10="","",'1. MASTER_ENTRY'!$H10)</f>
        <v/>
      </c>
      <c r="G10" s="36">
        <f>IF('1. MASTER_ENTRY'!$C10="","",'1. MASTER_ENTRY'!$I10)</f>
        <v/>
      </c>
      <c r="H10" s="36">
        <f>IF('1. MASTER_ENTRY'!$C10="","",'1. MASTER_ENTRY'!$J10)</f>
        <v/>
      </c>
      <c r="I10" s="36">
        <f>IF('1. MASTER_ENTRY'!$C10="","",'1. MASTER_ENTRY'!$L10)</f>
        <v/>
      </c>
      <c r="J10" s="36">
        <f>IF('1. MASTER_ENTRY'!$C10="","",'1. MASTER_ENTRY'!$M10)</f>
        <v/>
      </c>
      <c r="K10" s="36">
        <f>IF('1. MASTER_ENTRY'!$C10="","",'1. MASTER_ENTRY'!$R10)</f>
        <v/>
      </c>
    </row>
    <row r="11" ht="16" customHeight="1">
      <c r="A11" s="40">
        <f>IF('1. MASTER_ENTRY'!$C11="","",SUBSTITUTE('1. MASTER_ENTRY'!$A11,"CASE","RISK"))</f>
        <v/>
      </c>
      <c r="B11" s="41">
        <f>IF('1. MASTER_ENTRY'!$C11="","",'1. MASTER_ENTRY'!$C11)</f>
        <v/>
      </c>
      <c r="C11" s="40">
        <f>IF('1. MASTER_ENTRY'!$C11="","",'1. MASTER_ENTRY'!$D11)</f>
        <v/>
      </c>
      <c r="D11" s="40">
        <f>IF('1. MASTER_ENTRY'!$C11="","",'1. MASTER_ENTRY'!$F11)</f>
        <v/>
      </c>
      <c r="E11" s="40">
        <f>IF('1. MASTER_ENTRY'!$C11="","",'1. MASTER_ENTRY'!$G11)</f>
        <v/>
      </c>
      <c r="F11" s="40">
        <f>IF('1. MASTER_ENTRY'!$C11="","",'1. MASTER_ENTRY'!$H11)</f>
        <v/>
      </c>
      <c r="G11" s="40">
        <f>IF('1. MASTER_ENTRY'!$C11="","",'1. MASTER_ENTRY'!$I11)</f>
        <v/>
      </c>
      <c r="H11" s="40">
        <f>IF('1. MASTER_ENTRY'!$C11="","",'1. MASTER_ENTRY'!$J11)</f>
        <v/>
      </c>
      <c r="I11" s="40">
        <f>IF('1. MASTER_ENTRY'!$C11="","",'1. MASTER_ENTRY'!$L11)</f>
        <v/>
      </c>
      <c r="J11" s="40">
        <f>IF('1. MASTER_ENTRY'!$C11="","",'1. MASTER_ENTRY'!$M11)</f>
        <v/>
      </c>
      <c r="K11" s="40">
        <f>IF('1. MASTER_ENTRY'!$C11="","",'1. MASTER_ENTRY'!$R11)</f>
        <v/>
      </c>
    </row>
    <row r="12" ht="16" customHeight="1">
      <c r="A12" s="36">
        <f>IF('1. MASTER_ENTRY'!$C12="","",SUBSTITUTE('1. MASTER_ENTRY'!$A12,"CASE","RISK"))</f>
        <v/>
      </c>
      <c r="B12" s="37">
        <f>IF('1. MASTER_ENTRY'!$C12="","",'1. MASTER_ENTRY'!$C12)</f>
        <v/>
      </c>
      <c r="C12" s="36">
        <f>IF('1. MASTER_ENTRY'!$C12="","",'1. MASTER_ENTRY'!$D12)</f>
        <v/>
      </c>
      <c r="D12" s="36">
        <f>IF('1. MASTER_ENTRY'!$C12="","",'1. MASTER_ENTRY'!$F12)</f>
        <v/>
      </c>
      <c r="E12" s="36">
        <f>IF('1. MASTER_ENTRY'!$C12="","",'1. MASTER_ENTRY'!$G12)</f>
        <v/>
      </c>
      <c r="F12" s="36">
        <f>IF('1. MASTER_ENTRY'!$C12="","",'1. MASTER_ENTRY'!$H12)</f>
        <v/>
      </c>
      <c r="G12" s="36">
        <f>IF('1. MASTER_ENTRY'!$C12="","",'1. MASTER_ENTRY'!$I12)</f>
        <v/>
      </c>
      <c r="H12" s="36">
        <f>IF('1. MASTER_ENTRY'!$C12="","",'1. MASTER_ENTRY'!$J12)</f>
        <v/>
      </c>
      <c r="I12" s="36">
        <f>IF('1. MASTER_ENTRY'!$C12="","",'1. MASTER_ENTRY'!$L12)</f>
        <v/>
      </c>
      <c r="J12" s="36">
        <f>IF('1. MASTER_ENTRY'!$C12="","",'1. MASTER_ENTRY'!$M12)</f>
        <v/>
      </c>
      <c r="K12" s="36">
        <f>IF('1. MASTER_ENTRY'!$C12="","",'1. MASTER_ENTRY'!$R12)</f>
        <v/>
      </c>
    </row>
    <row r="13" ht="16" customHeight="1">
      <c r="A13" s="40">
        <f>IF('1. MASTER_ENTRY'!$C13="","",SUBSTITUTE('1. MASTER_ENTRY'!$A13,"CASE","RISK"))</f>
        <v/>
      </c>
      <c r="B13" s="41">
        <f>IF('1. MASTER_ENTRY'!$C13="","",'1. MASTER_ENTRY'!$C13)</f>
        <v/>
      </c>
      <c r="C13" s="40">
        <f>IF('1. MASTER_ENTRY'!$C13="","",'1. MASTER_ENTRY'!$D13)</f>
        <v/>
      </c>
      <c r="D13" s="40">
        <f>IF('1. MASTER_ENTRY'!$C13="","",'1. MASTER_ENTRY'!$F13)</f>
        <v/>
      </c>
      <c r="E13" s="40">
        <f>IF('1. MASTER_ENTRY'!$C13="","",'1. MASTER_ENTRY'!$G13)</f>
        <v/>
      </c>
      <c r="F13" s="40">
        <f>IF('1. MASTER_ENTRY'!$C13="","",'1. MASTER_ENTRY'!$H13)</f>
        <v/>
      </c>
      <c r="G13" s="40">
        <f>IF('1. MASTER_ENTRY'!$C13="","",'1. MASTER_ENTRY'!$I13)</f>
        <v/>
      </c>
      <c r="H13" s="40">
        <f>IF('1. MASTER_ENTRY'!$C13="","",'1. MASTER_ENTRY'!$J13)</f>
        <v/>
      </c>
      <c r="I13" s="40">
        <f>IF('1. MASTER_ENTRY'!$C13="","",'1. MASTER_ENTRY'!$L13)</f>
        <v/>
      </c>
      <c r="J13" s="40">
        <f>IF('1. MASTER_ENTRY'!$C13="","",'1. MASTER_ENTRY'!$M13)</f>
        <v/>
      </c>
      <c r="K13" s="40">
        <f>IF('1. MASTER_ENTRY'!$C13="","",'1. MASTER_ENTRY'!$R13)</f>
        <v/>
      </c>
    </row>
    <row r="14" ht="16" customHeight="1">
      <c r="A14" s="36">
        <f>IF('1. MASTER_ENTRY'!$C14="","",SUBSTITUTE('1. MASTER_ENTRY'!$A14,"CASE","RISK"))</f>
        <v/>
      </c>
      <c r="B14" s="37">
        <f>IF('1. MASTER_ENTRY'!$C14="","",'1. MASTER_ENTRY'!$C14)</f>
        <v/>
      </c>
      <c r="C14" s="36">
        <f>IF('1. MASTER_ENTRY'!$C14="","",'1. MASTER_ENTRY'!$D14)</f>
        <v/>
      </c>
      <c r="D14" s="36">
        <f>IF('1. MASTER_ENTRY'!$C14="","",'1. MASTER_ENTRY'!$F14)</f>
        <v/>
      </c>
      <c r="E14" s="36">
        <f>IF('1. MASTER_ENTRY'!$C14="","",'1. MASTER_ENTRY'!$G14)</f>
        <v/>
      </c>
      <c r="F14" s="36">
        <f>IF('1. MASTER_ENTRY'!$C14="","",'1. MASTER_ENTRY'!$H14)</f>
        <v/>
      </c>
      <c r="G14" s="36">
        <f>IF('1. MASTER_ENTRY'!$C14="","",'1. MASTER_ENTRY'!$I14)</f>
        <v/>
      </c>
      <c r="H14" s="36">
        <f>IF('1. MASTER_ENTRY'!$C14="","",'1. MASTER_ENTRY'!$J14)</f>
        <v/>
      </c>
      <c r="I14" s="36">
        <f>IF('1. MASTER_ENTRY'!$C14="","",'1. MASTER_ENTRY'!$L14)</f>
        <v/>
      </c>
      <c r="J14" s="36">
        <f>IF('1. MASTER_ENTRY'!$C14="","",'1. MASTER_ENTRY'!$M14)</f>
        <v/>
      </c>
      <c r="K14" s="36">
        <f>IF('1. MASTER_ENTRY'!$C14="","",'1. MASTER_ENTRY'!$R14)</f>
        <v/>
      </c>
    </row>
    <row r="15" ht="16" customHeight="1">
      <c r="A15" s="40">
        <f>IF('1. MASTER_ENTRY'!$C15="","",SUBSTITUTE('1. MASTER_ENTRY'!$A15,"CASE","RISK"))</f>
        <v/>
      </c>
      <c r="B15" s="41">
        <f>IF('1. MASTER_ENTRY'!$C15="","",'1. MASTER_ENTRY'!$C15)</f>
        <v/>
      </c>
      <c r="C15" s="40">
        <f>IF('1. MASTER_ENTRY'!$C15="","",'1. MASTER_ENTRY'!$D15)</f>
        <v/>
      </c>
      <c r="D15" s="40">
        <f>IF('1. MASTER_ENTRY'!$C15="","",'1. MASTER_ENTRY'!$F15)</f>
        <v/>
      </c>
      <c r="E15" s="40">
        <f>IF('1. MASTER_ENTRY'!$C15="","",'1. MASTER_ENTRY'!$G15)</f>
        <v/>
      </c>
      <c r="F15" s="40">
        <f>IF('1. MASTER_ENTRY'!$C15="","",'1. MASTER_ENTRY'!$H15)</f>
        <v/>
      </c>
      <c r="G15" s="40">
        <f>IF('1. MASTER_ENTRY'!$C15="","",'1. MASTER_ENTRY'!$I15)</f>
        <v/>
      </c>
      <c r="H15" s="40">
        <f>IF('1. MASTER_ENTRY'!$C15="","",'1. MASTER_ENTRY'!$J15)</f>
        <v/>
      </c>
      <c r="I15" s="40">
        <f>IF('1. MASTER_ENTRY'!$C15="","",'1. MASTER_ENTRY'!$L15)</f>
        <v/>
      </c>
      <c r="J15" s="40">
        <f>IF('1. MASTER_ENTRY'!$C15="","",'1. MASTER_ENTRY'!$M15)</f>
        <v/>
      </c>
      <c r="K15" s="40">
        <f>IF('1. MASTER_ENTRY'!$C15="","",'1. MASTER_ENTRY'!$R15)</f>
        <v/>
      </c>
    </row>
    <row r="16" ht="16" customHeight="1">
      <c r="A16" s="36">
        <f>IF('1. MASTER_ENTRY'!$C16="","",SUBSTITUTE('1. MASTER_ENTRY'!$A16,"CASE","RISK"))</f>
        <v/>
      </c>
      <c r="B16" s="37">
        <f>IF('1. MASTER_ENTRY'!$C16="","",'1. MASTER_ENTRY'!$C16)</f>
        <v/>
      </c>
      <c r="C16" s="36">
        <f>IF('1. MASTER_ENTRY'!$C16="","",'1. MASTER_ENTRY'!$D16)</f>
        <v/>
      </c>
      <c r="D16" s="36">
        <f>IF('1. MASTER_ENTRY'!$C16="","",'1. MASTER_ENTRY'!$F16)</f>
        <v/>
      </c>
      <c r="E16" s="36">
        <f>IF('1. MASTER_ENTRY'!$C16="","",'1. MASTER_ENTRY'!$G16)</f>
        <v/>
      </c>
      <c r="F16" s="36">
        <f>IF('1. MASTER_ENTRY'!$C16="","",'1. MASTER_ENTRY'!$H16)</f>
        <v/>
      </c>
      <c r="G16" s="36">
        <f>IF('1. MASTER_ENTRY'!$C16="","",'1. MASTER_ENTRY'!$I16)</f>
        <v/>
      </c>
      <c r="H16" s="36">
        <f>IF('1. MASTER_ENTRY'!$C16="","",'1. MASTER_ENTRY'!$J16)</f>
        <v/>
      </c>
      <c r="I16" s="36">
        <f>IF('1. MASTER_ENTRY'!$C16="","",'1. MASTER_ENTRY'!$L16)</f>
        <v/>
      </c>
      <c r="J16" s="36">
        <f>IF('1. MASTER_ENTRY'!$C16="","",'1. MASTER_ENTRY'!$M16)</f>
        <v/>
      </c>
      <c r="K16" s="36">
        <f>IF('1. MASTER_ENTRY'!$C16="","",'1. MASTER_ENTRY'!$R16)</f>
        <v/>
      </c>
    </row>
    <row r="17" ht="16" customHeight="1">
      <c r="A17" s="40">
        <f>IF('1. MASTER_ENTRY'!$C17="","",SUBSTITUTE('1. MASTER_ENTRY'!$A17,"CASE","RISK"))</f>
        <v/>
      </c>
      <c r="B17" s="41">
        <f>IF('1. MASTER_ENTRY'!$C17="","",'1. MASTER_ENTRY'!$C17)</f>
        <v/>
      </c>
      <c r="C17" s="40">
        <f>IF('1. MASTER_ENTRY'!$C17="","",'1. MASTER_ENTRY'!$D17)</f>
        <v/>
      </c>
      <c r="D17" s="40">
        <f>IF('1. MASTER_ENTRY'!$C17="","",'1. MASTER_ENTRY'!$F17)</f>
        <v/>
      </c>
      <c r="E17" s="40">
        <f>IF('1. MASTER_ENTRY'!$C17="","",'1. MASTER_ENTRY'!$G17)</f>
        <v/>
      </c>
      <c r="F17" s="40">
        <f>IF('1. MASTER_ENTRY'!$C17="","",'1. MASTER_ENTRY'!$H17)</f>
        <v/>
      </c>
      <c r="G17" s="40">
        <f>IF('1. MASTER_ENTRY'!$C17="","",'1. MASTER_ENTRY'!$I17)</f>
        <v/>
      </c>
      <c r="H17" s="40">
        <f>IF('1. MASTER_ENTRY'!$C17="","",'1. MASTER_ENTRY'!$J17)</f>
        <v/>
      </c>
      <c r="I17" s="40">
        <f>IF('1. MASTER_ENTRY'!$C17="","",'1. MASTER_ENTRY'!$L17)</f>
        <v/>
      </c>
      <c r="J17" s="40">
        <f>IF('1. MASTER_ENTRY'!$C17="","",'1. MASTER_ENTRY'!$M17)</f>
        <v/>
      </c>
      <c r="K17" s="40">
        <f>IF('1. MASTER_ENTRY'!$C17="","",'1. MASTER_ENTRY'!$R17)</f>
        <v/>
      </c>
    </row>
    <row r="18" ht="16" customHeight="1">
      <c r="A18" s="36">
        <f>IF('1. MASTER_ENTRY'!$C18="","",SUBSTITUTE('1. MASTER_ENTRY'!$A18,"CASE","RISK"))</f>
        <v/>
      </c>
      <c r="B18" s="37">
        <f>IF('1. MASTER_ENTRY'!$C18="","",'1. MASTER_ENTRY'!$C18)</f>
        <v/>
      </c>
      <c r="C18" s="36">
        <f>IF('1. MASTER_ENTRY'!$C18="","",'1. MASTER_ENTRY'!$D18)</f>
        <v/>
      </c>
      <c r="D18" s="36">
        <f>IF('1. MASTER_ENTRY'!$C18="","",'1. MASTER_ENTRY'!$F18)</f>
        <v/>
      </c>
      <c r="E18" s="36">
        <f>IF('1. MASTER_ENTRY'!$C18="","",'1. MASTER_ENTRY'!$G18)</f>
        <v/>
      </c>
      <c r="F18" s="36">
        <f>IF('1. MASTER_ENTRY'!$C18="","",'1. MASTER_ENTRY'!$H18)</f>
        <v/>
      </c>
      <c r="G18" s="36">
        <f>IF('1. MASTER_ENTRY'!$C18="","",'1. MASTER_ENTRY'!$I18)</f>
        <v/>
      </c>
      <c r="H18" s="36">
        <f>IF('1. MASTER_ENTRY'!$C18="","",'1. MASTER_ENTRY'!$J18)</f>
        <v/>
      </c>
      <c r="I18" s="36">
        <f>IF('1. MASTER_ENTRY'!$C18="","",'1. MASTER_ENTRY'!$L18)</f>
        <v/>
      </c>
      <c r="J18" s="36">
        <f>IF('1. MASTER_ENTRY'!$C18="","",'1. MASTER_ENTRY'!$M18)</f>
        <v/>
      </c>
      <c r="K18" s="36">
        <f>IF('1. MASTER_ENTRY'!$C18="","",'1. MASTER_ENTRY'!$R18)</f>
        <v/>
      </c>
    </row>
    <row r="19" ht="16" customHeight="1">
      <c r="A19" s="40">
        <f>IF('1. MASTER_ENTRY'!$C19="","",SUBSTITUTE('1. MASTER_ENTRY'!$A19,"CASE","RISK"))</f>
        <v/>
      </c>
      <c r="B19" s="41">
        <f>IF('1. MASTER_ENTRY'!$C19="","",'1. MASTER_ENTRY'!$C19)</f>
        <v/>
      </c>
      <c r="C19" s="40">
        <f>IF('1. MASTER_ENTRY'!$C19="","",'1. MASTER_ENTRY'!$D19)</f>
        <v/>
      </c>
      <c r="D19" s="40">
        <f>IF('1. MASTER_ENTRY'!$C19="","",'1. MASTER_ENTRY'!$F19)</f>
        <v/>
      </c>
      <c r="E19" s="40">
        <f>IF('1. MASTER_ENTRY'!$C19="","",'1. MASTER_ENTRY'!$G19)</f>
        <v/>
      </c>
      <c r="F19" s="40">
        <f>IF('1. MASTER_ENTRY'!$C19="","",'1. MASTER_ENTRY'!$H19)</f>
        <v/>
      </c>
      <c r="G19" s="40">
        <f>IF('1. MASTER_ENTRY'!$C19="","",'1. MASTER_ENTRY'!$I19)</f>
        <v/>
      </c>
      <c r="H19" s="40">
        <f>IF('1. MASTER_ENTRY'!$C19="","",'1. MASTER_ENTRY'!$J19)</f>
        <v/>
      </c>
      <c r="I19" s="40">
        <f>IF('1. MASTER_ENTRY'!$C19="","",'1. MASTER_ENTRY'!$L19)</f>
        <v/>
      </c>
      <c r="J19" s="40">
        <f>IF('1. MASTER_ENTRY'!$C19="","",'1. MASTER_ENTRY'!$M19)</f>
        <v/>
      </c>
      <c r="K19" s="40">
        <f>IF('1. MASTER_ENTRY'!$C19="","",'1. MASTER_ENTRY'!$R19)</f>
        <v/>
      </c>
    </row>
    <row r="20" ht="16" customHeight="1">
      <c r="A20" s="36">
        <f>IF('1. MASTER_ENTRY'!$C20="","",SUBSTITUTE('1. MASTER_ENTRY'!$A20,"CASE","RISK"))</f>
        <v/>
      </c>
      <c r="B20" s="37">
        <f>IF('1. MASTER_ENTRY'!$C20="","",'1. MASTER_ENTRY'!$C20)</f>
        <v/>
      </c>
      <c r="C20" s="36">
        <f>IF('1. MASTER_ENTRY'!$C20="","",'1. MASTER_ENTRY'!$D20)</f>
        <v/>
      </c>
      <c r="D20" s="36">
        <f>IF('1. MASTER_ENTRY'!$C20="","",'1. MASTER_ENTRY'!$F20)</f>
        <v/>
      </c>
      <c r="E20" s="36">
        <f>IF('1. MASTER_ENTRY'!$C20="","",'1. MASTER_ENTRY'!$G20)</f>
        <v/>
      </c>
      <c r="F20" s="36">
        <f>IF('1. MASTER_ENTRY'!$C20="","",'1. MASTER_ENTRY'!$H20)</f>
        <v/>
      </c>
      <c r="G20" s="36">
        <f>IF('1. MASTER_ENTRY'!$C20="","",'1. MASTER_ENTRY'!$I20)</f>
        <v/>
      </c>
      <c r="H20" s="36">
        <f>IF('1. MASTER_ENTRY'!$C20="","",'1. MASTER_ENTRY'!$J20)</f>
        <v/>
      </c>
      <c r="I20" s="36">
        <f>IF('1. MASTER_ENTRY'!$C20="","",'1. MASTER_ENTRY'!$L20)</f>
        <v/>
      </c>
      <c r="J20" s="36">
        <f>IF('1. MASTER_ENTRY'!$C20="","",'1. MASTER_ENTRY'!$M20)</f>
        <v/>
      </c>
      <c r="K20" s="36">
        <f>IF('1. MASTER_ENTRY'!$C20="","",'1. MASTER_ENTRY'!$R20)</f>
        <v/>
      </c>
    </row>
    <row r="21" ht="16" customHeight="1">
      <c r="A21" s="40">
        <f>IF('1. MASTER_ENTRY'!$C21="","",SUBSTITUTE('1. MASTER_ENTRY'!$A21,"CASE","RISK"))</f>
        <v/>
      </c>
      <c r="B21" s="41">
        <f>IF('1. MASTER_ENTRY'!$C21="","",'1. MASTER_ENTRY'!$C21)</f>
        <v/>
      </c>
      <c r="C21" s="40">
        <f>IF('1. MASTER_ENTRY'!$C21="","",'1. MASTER_ENTRY'!$D21)</f>
        <v/>
      </c>
      <c r="D21" s="40">
        <f>IF('1. MASTER_ENTRY'!$C21="","",'1. MASTER_ENTRY'!$F21)</f>
        <v/>
      </c>
      <c r="E21" s="40">
        <f>IF('1. MASTER_ENTRY'!$C21="","",'1. MASTER_ENTRY'!$G21)</f>
        <v/>
      </c>
      <c r="F21" s="40">
        <f>IF('1. MASTER_ENTRY'!$C21="","",'1. MASTER_ENTRY'!$H21)</f>
        <v/>
      </c>
      <c r="G21" s="40">
        <f>IF('1. MASTER_ENTRY'!$C21="","",'1. MASTER_ENTRY'!$I21)</f>
        <v/>
      </c>
      <c r="H21" s="40">
        <f>IF('1. MASTER_ENTRY'!$C21="","",'1. MASTER_ENTRY'!$J21)</f>
        <v/>
      </c>
      <c r="I21" s="40">
        <f>IF('1. MASTER_ENTRY'!$C21="","",'1. MASTER_ENTRY'!$L21)</f>
        <v/>
      </c>
      <c r="J21" s="40">
        <f>IF('1. MASTER_ENTRY'!$C21="","",'1. MASTER_ENTRY'!$M21)</f>
        <v/>
      </c>
      <c r="K21" s="40">
        <f>IF('1. MASTER_ENTRY'!$C21="","",'1. MASTER_ENTRY'!$R21)</f>
        <v/>
      </c>
    </row>
    <row r="22" ht="16" customHeight="1">
      <c r="A22" s="36">
        <f>IF('1. MASTER_ENTRY'!$C22="","",SUBSTITUTE('1. MASTER_ENTRY'!$A22,"CASE","RISK"))</f>
        <v/>
      </c>
      <c r="B22" s="37">
        <f>IF('1. MASTER_ENTRY'!$C22="","",'1. MASTER_ENTRY'!$C22)</f>
        <v/>
      </c>
      <c r="C22" s="36">
        <f>IF('1. MASTER_ENTRY'!$C22="","",'1. MASTER_ENTRY'!$D22)</f>
        <v/>
      </c>
      <c r="D22" s="36">
        <f>IF('1. MASTER_ENTRY'!$C22="","",'1. MASTER_ENTRY'!$F22)</f>
        <v/>
      </c>
      <c r="E22" s="36">
        <f>IF('1. MASTER_ENTRY'!$C22="","",'1. MASTER_ENTRY'!$G22)</f>
        <v/>
      </c>
      <c r="F22" s="36">
        <f>IF('1. MASTER_ENTRY'!$C22="","",'1. MASTER_ENTRY'!$H22)</f>
        <v/>
      </c>
      <c r="G22" s="36">
        <f>IF('1. MASTER_ENTRY'!$C22="","",'1. MASTER_ENTRY'!$I22)</f>
        <v/>
      </c>
      <c r="H22" s="36">
        <f>IF('1. MASTER_ENTRY'!$C22="","",'1. MASTER_ENTRY'!$J22)</f>
        <v/>
      </c>
      <c r="I22" s="36">
        <f>IF('1. MASTER_ENTRY'!$C22="","",'1. MASTER_ENTRY'!$L22)</f>
        <v/>
      </c>
      <c r="J22" s="36">
        <f>IF('1. MASTER_ENTRY'!$C22="","",'1. MASTER_ENTRY'!$M22)</f>
        <v/>
      </c>
      <c r="K22" s="36">
        <f>IF('1. MASTER_ENTRY'!$C22="","",'1. MASTER_ENTRY'!$R22)</f>
        <v/>
      </c>
    </row>
    <row r="23" ht="16" customHeight="1">
      <c r="A23" s="40">
        <f>IF('1. MASTER_ENTRY'!$C23="","",SUBSTITUTE('1. MASTER_ENTRY'!$A23,"CASE","RISK"))</f>
        <v/>
      </c>
      <c r="B23" s="41">
        <f>IF('1. MASTER_ENTRY'!$C23="","",'1. MASTER_ENTRY'!$C23)</f>
        <v/>
      </c>
      <c r="C23" s="40">
        <f>IF('1. MASTER_ENTRY'!$C23="","",'1. MASTER_ENTRY'!$D23)</f>
        <v/>
      </c>
      <c r="D23" s="40">
        <f>IF('1. MASTER_ENTRY'!$C23="","",'1. MASTER_ENTRY'!$F23)</f>
        <v/>
      </c>
      <c r="E23" s="40">
        <f>IF('1. MASTER_ENTRY'!$C23="","",'1. MASTER_ENTRY'!$G23)</f>
        <v/>
      </c>
      <c r="F23" s="40">
        <f>IF('1. MASTER_ENTRY'!$C23="","",'1. MASTER_ENTRY'!$H23)</f>
        <v/>
      </c>
      <c r="G23" s="40">
        <f>IF('1. MASTER_ENTRY'!$C23="","",'1. MASTER_ENTRY'!$I23)</f>
        <v/>
      </c>
      <c r="H23" s="40">
        <f>IF('1. MASTER_ENTRY'!$C23="","",'1. MASTER_ENTRY'!$J23)</f>
        <v/>
      </c>
      <c r="I23" s="40">
        <f>IF('1. MASTER_ENTRY'!$C23="","",'1. MASTER_ENTRY'!$L23)</f>
        <v/>
      </c>
      <c r="J23" s="40">
        <f>IF('1. MASTER_ENTRY'!$C23="","",'1. MASTER_ENTRY'!$M23)</f>
        <v/>
      </c>
      <c r="K23" s="40">
        <f>IF('1. MASTER_ENTRY'!$C23="","",'1. MASTER_ENTRY'!$R23)</f>
        <v/>
      </c>
    </row>
    <row r="24" ht="16" customHeight="1">
      <c r="A24" s="36">
        <f>IF('1. MASTER_ENTRY'!$C24="","",SUBSTITUTE('1. MASTER_ENTRY'!$A24,"CASE","RISK"))</f>
        <v/>
      </c>
      <c r="B24" s="37">
        <f>IF('1. MASTER_ENTRY'!$C24="","",'1. MASTER_ENTRY'!$C24)</f>
        <v/>
      </c>
      <c r="C24" s="36">
        <f>IF('1. MASTER_ENTRY'!$C24="","",'1. MASTER_ENTRY'!$D24)</f>
        <v/>
      </c>
      <c r="D24" s="36">
        <f>IF('1. MASTER_ENTRY'!$C24="","",'1. MASTER_ENTRY'!$F24)</f>
        <v/>
      </c>
      <c r="E24" s="36">
        <f>IF('1. MASTER_ENTRY'!$C24="","",'1. MASTER_ENTRY'!$G24)</f>
        <v/>
      </c>
      <c r="F24" s="36">
        <f>IF('1. MASTER_ENTRY'!$C24="","",'1. MASTER_ENTRY'!$H24)</f>
        <v/>
      </c>
      <c r="G24" s="36">
        <f>IF('1. MASTER_ENTRY'!$C24="","",'1. MASTER_ENTRY'!$I24)</f>
        <v/>
      </c>
      <c r="H24" s="36">
        <f>IF('1. MASTER_ENTRY'!$C24="","",'1. MASTER_ENTRY'!$J24)</f>
        <v/>
      </c>
      <c r="I24" s="36">
        <f>IF('1. MASTER_ENTRY'!$C24="","",'1. MASTER_ENTRY'!$L24)</f>
        <v/>
      </c>
      <c r="J24" s="36">
        <f>IF('1. MASTER_ENTRY'!$C24="","",'1. MASTER_ENTRY'!$M24)</f>
        <v/>
      </c>
      <c r="K24" s="36">
        <f>IF('1. MASTER_ENTRY'!$C24="","",'1. MASTER_ENTRY'!$R24)</f>
        <v/>
      </c>
    </row>
    <row r="25" ht="16" customHeight="1">
      <c r="A25" s="40">
        <f>IF('1. MASTER_ENTRY'!$C25="","",SUBSTITUTE('1. MASTER_ENTRY'!$A25,"CASE","RISK"))</f>
        <v/>
      </c>
      <c r="B25" s="41">
        <f>IF('1. MASTER_ENTRY'!$C25="","",'1. MASTER_ENTRY'!$C25)</f>
        <v/>
      </c>
      <c r="C25" s="40">
        <f>IF('1. MASTER_ENTRY'!$C25="","",'1. MASTER_ENTRY'!$D25)</f>
        <v/>
      </c>
      <c r="D25" s="40">
        <f>IF('1. MASTER_ENTRY'!$C25="","",'1. MASTER_ENTRY'!$F25)</f>
        <v/>
      </c>
      <c r="E25" s="40">
        <f>IF('1. MASTER_ENTRY'!$C25="","",'1. MASTER_ENTRY'!$G25)</f>
        <v/>
      </c>
      <c r="F25" s="40">
        <f>IF('1. MASTER_ENTRY'!$C25="","",'1. MASTER_ENTRY'!$H25)</f>
        <v/>
      </c>
      <c r="G25" s="40">
        <f>IF('1. MASTER_ENTRY'!$C25="","",'1. MASTER_ENTRY'!$I25)</f>
        <v/>
      </c>
      <c r="H25" s="40">
        <f>IF('1. MASTER_ENTRY'!$C25="","",'1. MASTER_ENTRY'!$J25)</f>
        <v/>
      </c>
      <c r="I25" s="40">
        <f>IF('1. MASTER_ENTRY'!$C25="","",'1. MASTER_ENTRY'!$L25)</f>
        <v/>
      </c>
      <c r="J25" s="40">
        <f>IF('1. MASTER_ENTRY'!$C25="","",'1. MASTER_ENTRY'!$M25)</f>
        <v/>
      </c>
      <c r="K25" s="40">
        <f>IF('1. MASTER_ENTRY'!$C25="","",'1. MASTER_ENTRY'!$R25)</f>
        <v/>
      </c>
    </row>
    <row r="26" ht="16" customHeight="1">
      <c r="A26" s="36">
        <f>IF('1. MASTER_ENTRY'!$C26="","",SUBSTITUTE('1. MASTER_ENTRY'!$A26,"CASE","RISK"))</f>
        <v/>
      </c>
      <c r="B26" s="37">
        <f>IF('1. MASTER_ENTRY'!$C26="","",'1. MASTER_ENTRY'!$C26)</f>
        <v/>
      </c>
      <c r="C26" s="36">
        <f>IF('1. MASTER_ENTRY'!$C26="","",'1. MASTER_ENTRY'!$D26)</f>
        <v/>
      </c>
      <c r="D26" s="36">
        <f>IF('1. MASTER_ENTRY'!$C26="","",'1. MASTER_ENTRY'!$F26)</f>
        <v/>
      </c>
      <c r="E26" s="36">
        <f>IF('1. MASTER_ENTRY'!$C26="","",'1. MASTER_ENTRY'!$G26)</f>
        <v/>
      </c>
      <c r="F26" s="36">
        <f>IF('1. MASTER_ENTRY'!$C26="","",'1. MASTER_ENTRY'!$H26)</f>
        <v/>
      </c>
      <c r="G26" s="36">
        <f>IF('1. MASTER_ENTRY'!$C26="","",'1. MASTER_ENTRY'!$I26)</f>
        <v/>
      </c>
      <c r="H26" s="36">
        <f>IF('1. MASTER_ENTRY'!$C26="","",'1. MASTER_ENTRY'!$J26)</f>
        <v/>
      </c>
      <c r="I26" s="36">
        <f>IF('1. MASTER_ENTRY'!$C26="","",'1. MASTER_ENTRY'!$L26)</f>
        <v/>
      </c>
      <c r="J26" s="36">
        <f>IF('1. MASTER_ENTRY'!$C26="","",'1. MASTER_ENTRY'!$M26)</f>
        <v/>
      </c>
      <c r="K26" s="36">
        <f>IF('1. MASTER_ENTRY'!$C26="","",'1. MASTER_ENTRY'!$R26)</f>
        <v/>
      </c>
    </row>
    <row r="27" ht="16" customHeight="1">
      <c r="A27" s="40">
        <f>IF('1. MASTER_ENTRY'!$C27="","",SUBSTITUTE('1. MASTER_ENTRY'!$A27,"CASE","RISK"))</f>
        <v/>
      </c>
      <c r="B27" s="41">
        <f>IF('1. MASTER_ENTRY'!$C27="","",'1. MASTER_ENTRY'!$C27)</f>
        <v/>
      </c>
      <c r="C27" s="40">
        <f>IF('1. MASTER_ENTRY'!$C27="","",'1. MASTER_ENTRY'!$D27)</f>
        <v/>
      </c>
      <c r="D27" s="40">
        <f>IF('1. MASTER_ENTRY'!$C27="","",'1. MASTER_ENTRY'!$F27)</f>
        <v/>
      </c>
      <c r="E27" s="40">
        <f>IF('1. MASTER_ENTRY'!$C27="","",'1. MASTER_ENTRY'!$G27)</f>
        <v/>
      </c>
      <c r="F27" s="40">
        <f>IF('1. MASTER_ENTRY'!$C27="","",'1. MASTER_ENTRY'!$H27)</f>
        <v/>
      </c>
      <c r="G27" s="40">
        <f>IF('1. MASTER_ENTRY'!$C27="","",'1. MASTER_ENTRY'!$I27)</f>
        <v/>
      </c>
      <c r="H27" s="40">
        <f>IF('1. MASTER_ENTRY'!$C27="","",'1. MASTER_ENTRY'!$J27)</f>
        <v/>
      </c>
      <c r="I27" s="40">
        <f>IF('1. MASTER_ENTRY'!$C27="","",'1. MASTER_ENTRY'!$L27)</f>
        <v/>
      </c>
      <c r="J27" s="40">
        <f>IF('1. MASTER_ENTRY'!$C27="","",'1. MASTER_ENTRY'!$M27)</f>
        <v/>
      </c>
      <c r="K27" s="40">
        <f>IF('1. MASTER_ENTRY'!$C27="","",'1. MASTER_ENTRY'!$R27)</f>
        <v/>
      </c>
    </row>
    <row r="28" ht="16" customHeight="1">
      <c r="A28" s="36">
        <f>IF('1. MASTER_ENTRY'!$C28="","",SUBSTITUTE('1. MASTER_ENTRY'!$A28,"CASE","RISK"))</f>
        <v/>
      </c>
      <c r="B28" s="37">
        <f>IF('1. MASTER_ENTRY'!$C28="","",'1. MASTER_ENTRY'!$C28)</f>
        <v/>
      </c>
      <c r="C28" s="36">
        <f>IF('1. MASTER_ENTRY'!$C28="","",'1. MASTER_ENTRY'!$D28)</f>
        <v/>
      </c>
      <c r="D28" s="36">
        <f>IF('1. MASTER_ENTRY'!$C28="","",'1. MASTER_ENTRY'!$F28)</f>
        <v/>
      </c>
      <c r="E28" s="36">
        <f>IF('1. MASTER_ENTRY'!$C28="","",'1. MASTER_ENTRY'!$G28)</f>
        <v/>
      </c>
      <c r="F28" s="36">
        <f>IF('1. MASTER_ENTRY'!$C28="","",'1. MASTER_ENTRY'!$H28)</f>
        <v/>
      </c>
      <c r="G28" s="36">
        <f>IF('1. MASTER_ENTRY'!$C28="","",'1. MASTER_ENTRY'!$I28)</f>
        <v/>
      </c>
      <c r="H28" s="36">
        <f>IF('1. MASTER_ENTRY'!$C28="","",'1. MASTER_ENTRY'!$J28)</f>
        <v/>
      </c>
      <c r="I28" s="36">
        <f>IF('1. MASTER_ENTRY'!$C28="","",'1. MASTER_ENTRY'!$L28)</f>
        <v/>
      </c>
      <c r="J28" s="36">
        <f>IF('1. MASTER_ENTRY'!$C28="","",'1. MASTER_ENTRY'!$M28)</f>
        <v/>
      </c>
      <c r="K28" s="36">
        <f>IF('1. MASTER_ENTRY'!$C28="","",'1. MASTER_ENTRY'!$R28)</f>
        <v/>
      </c>
    </row>
    <row r="29" ht="16" customHeight="1">
      <c r="A29" s="40">
        <f>IF('1. MASTER_ENTRY'!$C29="","",SUBSTITUTE('1. MASTER_ENTRY'!$A29,"CASE","RISK"))</f>
        <v/>
      </c>
      <c r="B29" s="41">
        <f>IF('1. MASTER_ENTRY'!$C29="","",'1. MASTER_ENTRY'!$C29)</f>
        <v/>
      </c>
      <c r="C29" s="40">
        <f>IF('1. MASTER_ENTRY'!$C29="","",'1. MASTER_ENTRY'!$D29)</f>
        <v/>
      </c>
      <c r="D29" s="40">
        <f>IF('1. MASTER_ENTRY'!$C29="","",'1. MASTER_ENTRY'!$F29)</f>
        <v/>
      </c>
      <c r="E29" s="40">
        <f>IF('1. MASTER_ENTRY'!$C29="","",'1. MASTER_ENTRY'!$G29)</f>
        <v/>
      </c>
      <c r="F29" s="40">
        <f>IF('1. MASTER_ENTRY'!$C29="","",'1. MASTER_ENTRY'!$H29)</f>
        <v/>
      </c>
      <c r="G29" s="40">
        <f>IF('1. MASTER_ENTRY'!$C29="","",'1. MASTER_ENTRY'!$I29)</f>
        <v/>
      </c>
      <c r="H29" s="40">
        <f>IF('1. MASTER_ENTRY'!$C29="","",'1. MASTER_ENTRY'!$J29)</f>
        <v/>
      </c>
      <c r="I29" s="40">
        <f>IF('1. MASTER_ENTRY'!$C29="","",'1. MASTER_ENTRY'!$L29)</f>
        <v/>
      </c>
      <c r="J29" s="40">
        <f>IF('1. MASTER_ENTRY'!$C29="","",'1. MASTER_ENTRY'!$M29)</f>
        <v/>
      </c>
      <c r="K29" s="40">
        <f>IF('1. MASTER_ENTRY'!$C29="","",'1. MASTER_ENTRY'!$R29)</f>
        <v/>
      </c>
    </row>
    <row r="30" ht="16" customHeight="1">
      <c r="A30" s="36">
        <f>IF('1. MASTER_ENTRY'!$C30="","",SUBSTITUTE('1. MASTER_ENTRY'!$A30,"CASE","RISK"))</f>
        <v/>
      </c>
      <c r="B30" s="37">
        <f>IF('1. MASTER_ENTRY'!$C30="","",'1. MASTER_ENTRY'!$C30)</f>
        <v/>
      </c>
      <c r="C30" s="36">
        <f>IF('1. MASTER_ENTRY'!$C30="","",'1. MASTER_ENTRY'!$D30)</f>
        <v/>
      </c>
      <c r="D30" s="36">
        <f>IF('1. MASTER_ENTRY'!$C30="","",'1. MASTER_ENTRY'!$F30)</f>
        <v/>
      </c>
      <c r="E30" s="36">
        <f>IF('1. MASTER_ENTRY'!$C30="","",'1. MASTER_ENTRY'!$G30)</f>
        <v/>
      </c>
      <c r="F30" s="36">
        <f>IF('1. MASTER_ENTRY'!$C30="","",'1. MASTER_ENTRY'!$H30)</f>
        <v/>
      </c>
      <c r="G30" s="36">
        <f>IF('1. MASTER_ENTRY'!$C30="","",'1. MASTER_ENTRY'!$I30)</f>
        <v/>
      </c>
      <c r="H30" s="36">
        <f>IF('1. MASTER_ENTRY'!$C30="","",'1. MASTER_ENTRY'!$J30)</f>
        <v/>
      </c>
      <c r="I30" s="36">
        <f>IF('1. MASTER_ENTRY'!$C30="","",'1. MASTER_ENTRY'!$L30)</f>
        <v/>
      </c>
      <c r="J30" s="36">
        <f>IF('1. MASTER_ENTRY'!$C30="","",'1. MASTER_ENTRY'!$M30)</f>
        <v/>
      </c>
      <c r="K30" s="36">
        <f>IF('1. MASTER_ENTRY'!$C30="","",'1. MASTER_ENTRY'!$R30)</f>
        <v/>
      </c>
    </row>
    <row r="31" ht="16" customHeight="1">
      <c r="A31" s="40">
        <f>IF('1. MASTER_ENTRY'!$C31="","",SUBSTITUTE('1. MASTER_ENTRY'!$A31,"CASE","RISK"))</f>
        <v/>
      </c>
      <c r="B31" s="41">
        <f>IF('1. MASTER_ENTRY'!$C31="","",'1. MASTER_ENTRY'!$C31)</f>
        <v/>
      </c>
      <c r="C31" s="40">
        <f>IF('1. MASTER_ENTRY'!$C31="","",'1. MASTER_ENTRY'!$D31)</f>
        <v/>
      </c>
      <c r="D31" s="40">
        <f>IF('1. MASTER_ENTRY'!$C31="","",'1. MASTER_ENTRY'!$F31)</f>
        <v/>
      </c>
      <c r="E31" s="40">
        <f>IF('1. MASTER_ENTRY'!$C31="","",'1. MASTER_ENTRY'!$G31)</f>
        <v/>
      </c>
      <c r="F31" s="40">
        <f>IF('1. MASTER_ENTRY'!$C31="","",'1. MASTER_ENTRY'!$H31)</f>
        <v/>
      </c>
      <c r="G31" s="40">
        <f>IF('1. MASTER_ENTRY'!$C31="","",'1. MASTER_ENTRY'!$I31)</f>
        <v/>
      </c>
      <c r="H31" s="40">
        <f>IF('1. MASTER_ENTRY'!$C31="","",'1. MASTER_ENTRY'!$J31)</f>
        <v/>
      </c>
      <c r="I31" s="40">
        <f>IF('1. MASTER_ENTRY'!$C31="","",'1. MASTER_ENTRY'!$L31)</f>
        <v/>
      </c>
      <c r="J31" s="40">
        <f>IF('1. MASTER_ENTRY'!$C31="","",'1. MASTER_ENTRY'!$M31)</f>
        <v/>
      </c>
      <c r="K31" s="40">
        <f>IF('1. MASTER_ENTRY'!$C31="","",'1. MASTER_ENTRY'!$R31)</f>
        <v/>
      </c>
    </row>
    <row r="32" ht="16" customHeight="1">
      <c r="A32" s="36">
        <f>IF('1. MASTER_ENTRY'!$C32="","",SUBSTITUTE('1. MASTER_ENTRY'!$A32,"CASE","RISK"))</f>
        <v/>
      </c>
      <c r="B32" s="37">
        <f>IF('1. MASTER_ENTRY'!$C32="","",'1. MASTER_ENTRY'!$C32)</f>
        <v/>
      </c>
      <c r="C32" s="36">
        <f>IF('1. MASTER_ENTRY'!$C32="","",'1. MASTER_ENTRY'!$D32)</f>
        <v/>
      </c>
      <c r="D32" s="36">
        <f>IF('1. MASTER_ENTRY'!$C32="","",'1. MASTER_ENTRY'!$F32)</f>
        <v/>
      </c>
      <c r="E32" s="36">
        <f>IF('1. MASTER_ENTRY'!$C32="","",'1. MASTER_ENTRY'!$G32)</f>
        <v/>
      </c>
      <c r="F32" s="36">
        <f>IF('1. MASTER_ENTRY'!$C32="","",'1. MASTER_ENTRY'!$H32)</f>
        <v/>
      </c>
      <c r="G32" s="36">
        <f>IF('1. MASTER_ENTRY'!$C32="","",'1. MASTER_ENTRY'!$I32)</f>
        <v/>
      </c>
      <c r="H32" s="36">
        <f>IF('1. MASTER_ENTRY'!$C32="","",'1. MASTER_ENTRY'!$J32)</f>
        <v/>
      </c>
      <c r="I32" s="36">
        <f>IF('1. MASTER_ENTRY'!$C32="","",'1. MASTER_ENTRY'!$L32)</f>
        <v/>
      </c>
      <c r="J32" s="36">
        <f>IF('1. MASTER_ENTRY'!$C32="","",'1. MASTER_ENTRY'!$M32)</f>
        <v/>
      </c>
      <c r="K32" s="36">
        <f>IF('1. MASTER_ENTRY'!$C32="","",'1. MASTER_ENTRY'!$R32)</f>
        <v/>
      </c>
    </row>
    <row r="33" ht="16" customHeight="1">
      <c r="A33" s="40">
        <f>IF('1. MASTER_ENTRY'!$C33="","",SUBSTITUTE('1. MASTER_ENTRY'!$A33,"CASE","RISK"))</f>
        <v/>
      </c>
      <c r="B33" s="41">
        <f>IF('1. MASTER_ENTRY'!$C33="","",'1. MASTER_ENTRY'!$C33)</f>
        <v/>
      </c>
      <c r="C33" s="40">
        <f>IF('1. MASTER_ENTRY'!$C33="","",'1. MASTER_ENTRY'!$D33)</f>
        <v/>
      </c>
      <c r="D33" s="40">
        <f>IF('1. MASTER_ENTRY'!$C33="","",'1. MASTER_ENTRY'!$F33)</f>
        <v/>
      </c>
      <c r="E33" s="40">
        <f>IF('1. MASTER_ENTRY'!$C33="","",'1. MASTER_ENTRY'!$G33)</f>
        <v/>
      </c>
      <c r="F33" s="40">
        <f>IF('1. MASTER_ENTRY'!$C33="","",'1. MASTER_ENTRY'!$H33)</f>
        <v/>
      </c>
      <c r="G33" s="40">
        <f>IF('1. MASTER_ENTRY'!$C33="","",'1. MASTER_ENTRY'!$I33)</f>
        <v/>
      </c>
      <c r="H33" s="40">
        <f>IF('1. MASTER_ENTRY'!$C33="","",'1. MASTER_ENTRY'!$J33)</f>
        <v/>
      </c>
      <c r="I33" s="40">
        <f>IF('1. MASTER_ENTRY'!$C33="","",'1. MASTER_ENTRY'!$L33)</f>
        <v/>
      </c>
      <c r="J33" s="40">
        <f>IF('1. MASTER_ENTRY'!$C33="","",'1. MASTER_ENTRY'!$M33)</f>
        <v/>
      </c>
      <c r="K33" s="40">
        <f>IF('1. MASTER_ENTRY'!$C33="","",'1. MASTER_ENTRY'!$R33)</f>
        <v/>
      </c>
    </row>
    <row r="34" ht="16" customHeight="1">
      <c r="A34" s="36">
        <f>IF('1. MASTER_ENTRY'!$C34="","",SUBSTITUTE('1. MASTER_ENTRY'!$A34,"CASE","RISK"))</f>
        <v/>
      </c>
      <c r="B34" s="37">
        <f>IF('1. MASTER_ENTRY'!$C34="","",'1. MASTER_ENTRY'!$C34)</f>
        <v/>
      </c>
      <c r="C34" s="36">
        <f>IF('1. MASTER_ENTRY'!$C34="","",'1. MASTER_ENTRY'!$D34)</f>
        <v/>
      </c>
      <c r="D34" s="36">
        <f>IF('1. MASTER_ENTRY'!$C34="","",'1. MASTER_ENTRY'!$F34)</f>
        <v/>
      </c>
      <c r="E34" s="36">
        <f>IF('1. MASTER_ENTRY'!$C34="","",'1. MASTER_ENTRY'!$G34)</f>
        <v/>
      </c>
      <c r="F34" s="36">
        <f>IF('1. MASTER_ENTRY'!$C34="","",'1. MASTER_ENTRY'!$H34)</f>
        <v/>
      </c>
      <c r="G34" s="36">
        <f>IF('1. MASTER_ENTRY'!$C34="","",'1. MASTER_ENTRY'!$I34)</f>
        <v/>
      </c>
      <c r="H34" s="36">
        <f>IF('1. MASTER_ENTRY'!$C34="","",'1. MASTER_ENTRY'!$J34)</f>
        <v/>
      </c>
      <c r="I34" s="36">
        <f>IF('1. MASTER_ENTRY'!$C34="","",'1. MASTER_ENTRY'!$L34)</f>
        <v/>
      </c>
      <c r="J34" s="36">
        <f>IF('1. MASTER_ENTRY'!$C34="","",'1. MASTER_ENTRY'!$M34)</f>
        <v/>
      </c>
      <c r="K34" s="36">
        <f>IF('1. MASTER_ENTRY'!$C34="","",'1. MASTER_ENTRY'!$R34)</f>
        <v/>
      </c>
    </row>
    <row r="35" ht="16" customHeight="1">
      <c r="A35" s="40">
        <f>IF('1. MASTER_ENTRY'!$C35="","",SUBSTITUTE('1. MASTER_ENTRY'!$A35,"CASE","RISK"))</f>
        <v/>
      </c>
      <c r="B35" s="41">
        <f>IF('1. MASTER_ENTRY'!$C35="","",'1. MASTER_ENTRY'!$C35)</f>
        <v/>
      </c>
      <c r="C35" s="40">
        <f>IF('1. MASTER_ENTRY'!$C35="","",'1. MASTER_ENTRY'!$D35)</f>
        <v/>
      </c>
      <c r="D35" s="40">
        <f>IF('1. MASTER_ENTRY'!$C35="","",'1. MASTER_ENTRY'!$F35)</f>
        <v/>
      </c>
      <c r="E35" s="40">
        <f>IF('1. MASTER_ENTRY'!$C35="","",'1. MASTER_ENTRY'!$G35)</f>
        <v/>
      </c>
      <c r="F35" s="40">
        <f>IF('1. MASTER_ENTRY'!$C35="","",'1. MASTER_ENTRY'!$H35)</f>
        <v/>
      </c>
      <c r="G35" s="40">
        <f>IF('1. MASTER_ENTRY'!$C35="","",'1. MASTER_ENTRY'!$I35)</f>
        <v/>
      </c>
      <c r="H35" s="40">
        <f>IF('1. MASTER_ENTRY'!$C35="","",'1. MASTER_ENTRY'!$J35)</f>
        <v/>
      </c>
      <c r="I35" s="40">
        <f>IF('1. MASTER_ENTRY'!$C35="","",'1. MASTER_ENTRY'!$L35)</f>
        <v/>
      </c>
      <c r="J35" s="40">
        <f>IF('1. MASTER_ENTRY'!$C35="","",'1. MASTER_ENTRY'!$M35)</f>
        <v/>
      </c>
      <c r="K35" s="40">
        <f>IF('1. MASTER_ENTRY'!$C35="","",'1. MASTER_ENTRY'!$R35)</f>
        <v/>
      </c>
    </row>
    <row r="36" ht="16" customHeight="1">
      <c r="A36" s="36">
        <f>IF('1. MASTER_ENTRY'!$C36="","",SUBSTITUTE('1. MASTER_ENTRY'!$A36,"CASE","RISK"))</f>
        <v/>
      </c>
      <c r="B36" s="37">
        <f>IF('1. MASTER_ENTRY'!$C36="","",'1. MASTER_ENTRY'!$C36)</f>
        <v/>
      </c>
      <c r="C36" s="36">
        <f>IF('1. MASTER_ENTRY'!$C36="","",'1. MASTER_ENTRY'!$D36)</f>
        <v/>
      </c>
      <c r="D36" s="36">
        <f>IF('1. MASTER_ENTRY'!$C36="","",'1. MASTER_ENTRY'!$F36)</f>
        <v/>
      </c>
      <c r="E36" s="36">
        <f>IF('1. MASTER_ENTRY'!$C36="","",'1. MASTER_ENTRY'!$G36)</f>
        <v/>
      </c>
      <c r="F36" s="36">
        <f>IF('1. MASTER_ENTRY'!$C36="","",'1. MASTER_ENTRY'!$H36)</f>
        <v/>
      </c>
      <c r="G36" s="36">
        <f>IF('1. MASTER_ENTRY'!$C36="","",'1. MASTER_ENTRY'!$I36)</f>
        <v/>
      </c>
      <c r="H36" s="36">
        <f>IF('1. MASTER_ENTRY'!$C36="","",'1. MASTER_ENTRY'!$J36)</f>
        <v/>
      </c>
      <c r="I36" s="36">
        <f>IF('1. MASTER_ENTRY'!$C36="","",'1. MASTER_ENTRY'!$L36)</f>
        <v/>
      </c>
      <c r="J36" s="36">
        <f>IF('1. MASTER_ENTRY'!$C36="","",'1. MASTER_ENTRY'!$M36)</f>
        <v/>
      </c>
      <c r="K36" s="36">
        <f>IF('1. MASTER_ENTRY'!$C36="","",'1. MASTER_ENTRY'!$R36)</f>
        <v/>
      </c>
    </row>
    <row r="37" ht="16" customHeight="1">
      <c r="A37" s="40">
        <f>IF('1. MASTER_ENTRY'!$C37="","",SUBSTITUTE('1. MASTER_ENTRY'!$A37,"CASE","RISK"))</f>
        <v/>
      </c>
      <c r="B37" s="41">
        <f>IF('1. MASTER_ENTRY'!$C37="","",'1. MASTER_ENTRY'!$C37)</f>
        <v/>
      </c>
      <c r="C37" s="40">
        <f>IF('1. MASTER_ENTRY'!$C37="","",'1. MASTER_ENTRY'!$D37)</f>
        <v/>
      </c>
      <c r="D37" s="40">
        <f>IF('1. MASTER_ENTRY'!$C37="","",'1. MASTER_ENTRY'!$F37)</f>
        <v/>
      </c>
      <c r="E37" s="40">
        <f>IF('1. MASTER_ENTRY'!$C37="","",'1. MASTER_ENTRY'!$G37)</f>
        <v/>
      </c>
      <c r="F37" s="40">
        <f>IF('1. MASTER_ENTRY'!$C37="","",'1. MASTER_ENTRY'!$H37)</f>
        <v/>
      </c>
      <c r="G37" s="40">
        <f>IF('1. MASTER_ENTRY'!$C37="","",'1. MASTER_ENTRY'!$I37)</f>
        <v/>
      </c>
      <c r="H37" s="40">
        <f>IF('1. MASTER_ENTRY'!$C37="","",'1. MASTER_ENTRY'!$J37)</f>
        <v/>
      </c>
      <c r="I37" s="40">
        <f>IF('1. MASTER_ENTRY'!$C37="","",'1. MASTER_ENTRY'!$L37)</f>
        <v/>
      </c>
      <c r="J37" s="40">
        <f>IF('1. MASTER_ENTRY'!$C37="","",'1. MASTER_ENTRY'!$M37)</f>
        <v/>
      </c>
      <c r="K37" s="40">
        <f>IF('1. MASTER_ENTRY'!$C37="","",'1. MASTER_ENTRY'!$R37)</f>
        <v/>
      </c>
    </row>
    <row r="38" ht="16" customHeight="1">
      <c r="A38" s="36">
        <f>IF('1. MASTER_ENTRY'!$C38="","",SUBSTITUTE('1. MASTER_ENTRY'!$A38,"CASE","RISK"))</f>
        <v/>
      </c>
      <c r="B38" s="37">
        <f>IF('1. MASTER_ENTRY'!$C38="","",'1. MASTER_ENTRY'!$C38)</f>
        <v/>
      </c>
      <c r="C38" s="36">
        <f>IF('1. MASTER_ENTRY'!$C38="","",'1. MASTER_ENTRY'!$D38)</f>
        <v/>
      </c>
      <c r="D38" s="36">
        <f>IF('1. MASTER_ENTRY'!$C38="","",'1. MASTER_ENTRY'!$F38)</f>
        <v/>
      </c>
      <c r="E38" s="36">
        <f>IF('1. MASTER_ENTRY'!$C38="","",'1. MASTER_ENTRY'!$G38)</f>
        <v/>
      </c>
      <c r="F38" s="36">
        <f>IF('1. MASTER_ENTRY'!$C38="","",'1. MASTER_ENTRY'!$H38)</f>
        <v/>
      </c>
      <c r="G38" s="36">
        <f>IF('1. MASTER_ENTRY'!$C38="","",'1. MASTER_ENTRY'!$I38)</f>
        <v/>
      </c>
      <c r="H38" s="36">
        <f>IF('1. MASTER_ENTRY'!$C38="","",'1. MASTER_ENTRY'!$J38)</f>
        <v/>
      </c>
      <c r="I38" s="36">
        <f>IF('1. MASTER_ENTRY'!$C38="","",'1. MASTER_ENTRY'!$L38)</f>
        <v/>
      </c>
      <c r="J38" s="36">
        <f>IF('1. MASTER_ENTRY'!$C38="","",'1. MASTER_ENTRY'!$M38)</f>
        <v/>
      </c>
      <c r="K38" s="36">
        <f>IF('1. MASTER_ENTRY'!$C38="","",'1. MASTER_ENTRY'!$R38)</f>
        <v/>
      </c>
    </row>
    <row r="39" ht="16" customHeight="1">
      <c r="A39" s="40">
        <f>IF('1. MASTER_ENTRY'!$C39="","",SUBSTITUTE('1. MASTER_ENTRY'!$A39,"CASE","RISK"))</f>
        <v/>
      </c>
      <c r="B39" s="41">
        <f>IF('1. MASTER_ENTRY'!$C39="","",'1. MASTER_ENTRY'!$C39)</f>
        <v/>
      </c>
      <c r="C39" s="40">
        <f>IF('1. MASTER_ENTRY'!$C39="","",'1. MASTER_ENTRY'!$D39)</f>
        <v/>
      </c>
      <c r="D39" s="40">
        <f>IF('1. MASTER_ENTRY'!$C39="","",'1. MASTER_ENTRY'!$F39)</f>
        <v/>
      </c>
      <c r="E39" s="40">
        <f>IF('1. MASTER_ENTRY'!$C39="","",'1. MASTER_ENTRY'!$G39)</f>
        <v/>
      </c>
      <c r="F39" s="40">
        <f>IF('1. MASTER_ENTRY'!$C39="","",'1. MASTER_ENTRY'!$H39)</f>
        <v/>
      </c>
      <c r="G39" s="40">
        <f>IF('1. MASTER_ENTRY'!$C39="","",'1. MASTER_ENTRY'!$I39)</f>
        <v/>
      </c>
      <c r="H39" s="40">
        <f>IF('1. MASTER_ENTRY'!$C39="","",'1. MASTER_ENTRY'!$J39)</f>
        <v/>
      </c>
      <c r="I39" s="40">
        <f>IF('1. MASTER_ENTRY'!$C39="","",'1. MASTER_ENTRY'!$L39)</f>
        <v/>
      </c>
      <c r="J39" s="40">
        <f>IF('1. MASTER_ENTRY'!$C39="","",'1. MASTER_ENTRY'!$M39)</f>
        <v/>
      </c>
      <c r="K39" s="40">
        <f>IF('1. MASTER_ENTRY'!$C39="","",'1. MASTER_ENTRY'!$R39)</f>
        <v/>
      </c>
    </row>
    <row r="40" ht="16" customHeight="1">
      <c r="A40" s="36">
        <f>IF('1. MASTER_ENTRY'!$C40="","",SUBSTITUTE('1. MASTER_ENTRY'!$A40,"CASE","RISK"))</f>
        <v/>
      </c>
      <c r="B40" s="37">
        <f>IF('1. MASTER_ENTRY'!$C40="","",'1. MASTER_ENTRY'!$C40)</f>
        <v/>
      </c>
      <c r="C40" s="36">
        <f>IF('1. MASTER_ENTRY'!$C40="","",'1. MASTER_ENTRY'!$D40)</f>
        <v/>
      </c>
      <c r="D40" s="36">
        <f>IF('1. MASTER_ENTRY'!$C40="","",'1. MASTER_ENTRY'!$F40)</f>
        <v/>
      </c>
      <c r="E40" s="36">
        <f>IF('1. MASTER_ENTRY'!$C40="","",'1. MASTER_ENTRY'!$G40)</f>
        <v/>
      </c>
      <c r="F40" s="36">
        <f>IF('1. MASTER_ENTRY'!$C40="","",'1. MASTER_ENTRY'!$H40)</f>
        <v/>
      </c>
      <c r="G40" s="36">
        <f>IF('1. MASTER_ENTRY'!$C40="","",'1. MASTER_ENTRY'!$I40)</f>
        <v/>
      </c>
      <c r="H40" s="36">
        <f>IF('1. MASTER_ENTRY'!$C40="","",'1. MASTER_ENTRY'!$J40)</f>
        <v/>
      </c>
      <c r="I40" s="36">
        <f>IF('1. MASTER_ENTRY'!$C40="","",'1. MASTER_ENTRY'!$L40)</f>
        <v/>
      </c>
      <c r="J40" s="36">
        <f>IF('1. MASTER_ENTRY'!$C40="","",'1. MASTER_ENTRY'!$M40)</f>
        <v/>
      </c>
      <c r="K40" s="36">
        <f>IF('1. MASTER_ENTRY'!$C40="","",'1. MASTER_ENTRY'!$R40)</f>
        <v/>
      </c>
    </row>
    <row r="41" ht="16" customHeight="1">
      <c r="A41" s="40">
        <f>IF('1. MASTER_ENTRY'!$C41="","",SUBSTITUTE('1. MASTER_ENTRY'!$A41,"CASE","RISK"))</f>
        <v/>
      </c>
      <c r="B41" s="41">
        <f>IF('1. MASTER_ENTRY'!$C41="","",'1. MASTER_ENTRY'!$C41)</f>
        <v/>
      </c>
      <c r="C41" s="40">
        <f>IF('1. MASTER_ENTRY'!$C41="","",'1. MASTER_ENTRY'!$D41)</f>
        <v/>
      </c>
      <c r="D41" s="40">
        <f>IF('1. MASTER_ENTRY'!$C41="","",'1. MASTER_ENTRY'!$F41)</f>
        <v/>
      </c>
      <c r="E41" s="40">
        <f>IF('1. MASTER_ENTRY'!$C41="","",'1. MASTER_ENTRY'!$G41)</f>
        <v/>
      </c>
      <c r="F41" s="40">
        <f>IF('1. MASTER_ENTRY'!$C41="","",'1. MASTER_ENTRY'!$H41)</f>
        <v/>
      </c>
      <c r="G41" s="40">
        <f>IF('1. MASTER_ENTRY'!$C41="","",'1. MASTER_ENTRY'!$I41)</f>
        <v/>
      </c>
      <c r="H41" s="40">
        <f>IF('1. MASTER_ENTRY'!$C41="","",'1. MASTER_ENTRY'!$J41)</f>
        <v/>
      </c>
      <c r="I41" s="40">
        <f>IF('1. MASTER_ENTRY'!$C41="","",'1. MASTER_ENTRY'!$L41)</f>
        <v/>
      </c>
      <c r="J41" s="40">
        <f>IF('1. MASTER_ENTRY'!$C41="","",'1. MASTER_ENTRY'!$M41)</f>
        <v/>
      </c>
      <c r="K41" s="40">
        <f>IF('1. MASTER_ENTRY'!$C41="","",'1. MASTER_ENTRY'!$R41)</f>
        <v/>
      </c>
    </row>
    <row r="42" ht="16" customHeight="1">
      <c r="A42" s="36">
        <f>IF('1. MASTER_ENTRY'!$C42="","",SUBSTITUTE('1. MASTER_ENTRY'!$A42,"CASE","RISK"))</f>
        <v/>
      </c>
      <c r="B42" s="37">
        <f>IF('1. MASTER_ENTRY'!$C42="","",'1. MASTER_ENTRY'!$C42)</f>
        <v/>
      </c>
      <c r="C42" s="36">
        <f>IF('1. MASTER_ENTRY'!$C42="","",'1. MASTER_ENTRY'!$D42)</f>
        <v/>
      </c>
      <c r="D42" s="36">
        <f>IF('1. MASTER_ENTRY'!$C42="","",'1. MASTER_ENTRY'!$F42)</f>
        <v/>
      </c>
      <c r="E42" s="36">
        <f>IF('1. MASTER_ENTRY'!$C42="","",'1. MASTER_ENTRY'!$G42)</f>
        <v/>
      </c>
      <c r="F42" s="36">
        <f>IF('1. MASTER_ENTRY'!$C42="","",'1. MASTER_ENTRY'!$H42)</f>
        <v/>
      </c>
      <c r="G42" s="36">
        <f>IF('1. MASTER_ENTRY'!$C42="","",'1. MASTER_ENTRY'!$I42)</f>
        <v/>
      </c>
      <c r="H42" s="36">
        <f>IF('1. MASTER_ENTRY'!$C42="","",'1. MASTER_ENTRY'!$J42)</f>
        <v/>
      </c>
      <c r="I42" s="36">
        <f>IF('1. MASTER_ENTRY'!$C42="","",'1. MASTER_ENTRY'!$L42)</f>
        <v/>
      </c>
      <c r="J42" s="36">
        <f>IF('1. MASTER_ENTRY'!$C42="","",'1. MASTER_ENTRY'!$M42)</f>
        <v/>
      </c>
      <c r="K42" s="36">
        <f>IF('1. MASTER_ENTRY'!$C42="","",'1. MASTER_ENTRY'!$R42)</f>
        <v/>
      </c>
    </row>
    <row r="43" ht="16" customHeight="1">
      <c r="A43" s="40">
        <f>IF('1. MASTER_ENTRY'!$C43="","",SUBSTITUTE('1. MASTER_ENTRY'!$A43,"CASE","RISK"))</f>
        <v/>
      </c>
      <c r="B43" s="41">
        <f>IF('1. MASTER_ENTRY'!$C43="","",'1. MASTER_ENTRY'!$C43)</f>
        <v/>
      </c>
      <c r="C43" s="40">
        <f>IF('1. MASTER_ENTRY'!$C43="","",'1. MASTER_ENTRY'!$D43)</f>
        <v/>
      </c>
      <c r="D43" s="40">
        <f>IF('1. MASTER_ENTRY'!$C43="","",'1. MASTER_ENTRY'!$F43)</f>
        <v/>
      </c>
      <c r="E43" s="40">
        <f>IF('1. MASTER_ENTRY'!$C43="","",'1. MASTER_ENTRY'!$G43)</f>
        <v/>
      </c>
      <c r="F43" s="40">
        <f>IF('1. MASTER_ENTRY'!$C43="","",'1. MASTER_ENTRY'!$H43)</f>
        <v/>
      </c>
      <c r="G43" s="40">
        <f>IF('1. MASTER_ENTRY'!$C43="","",'1. MASTER_ENTRY'!$I43)</f>
        <v/>
      </c>
      <c r="H43" s="40">
        <f>IF('1. MASTER_ENTRY'!$C43="","",'1. MASTER_ENTRY'!$J43)</f>
        <v/>
      </c>
      <c r="I43" s="40">
        <f>IF('1. MASTER_ENTRY'!$C43="","",'1. MASTER_ENTRY'!$L43)</f>
        <v/>
      </c>
      <c r="J43" s="40">
        <f>IF('1. MASTER_ENTRY'!$C43="","",'1. MASTER_ENTRY'!$M43)</f>
        <v/>
      </c>
      <c r="K43" s="40">
        <f>IF('1. MASTER_ENTRY'!$C43="","",'1. MASTER_ENTRY'!$R43)</f>
        <v/>
      </c>
    </row>
    <row r="44" ht="16" customHeight="1">
      <c r="A44" s="36">
        <f>IF('1. MASTER_ENTRY'!$C44="","",SUBSTITUTE('1. MASTER_ENTRY'!$A44,"CASE","RISK"))</f>
        <v/>
      </c>
      <c r="B44" s="37">
        <f>IF('1. MASTER_ENTRY'!$C44="","",'1. MASTER_ENTRY'!$C44)</f>
        <v/>
      </c>
      <c r="C44" s="36">
        <f>IF('1. MASTER_ENTRY'!$C44="","",'1. MASTER_ENTRY'!$D44)</f>
        <v/>
      </c>
      <c r="D44" s="36">
        <f>IF('1. MASTER_ENTRY'!$C44="","",'1. MASTER_ENTRY'!$F44)</f>
        <v/>
      </c>
      <c r="E44" s="36">
        <f>IF('1. MASTER_ENTRY'!$C44="","",'1. MASTER_ENTRY'!$G44)</f>
        <v/>
      </c>
      <c r="F44" s="36">
        <f>IF('1. MASTER_ENTRY'!$C44="","",'1. MASTER_ENTRY'!$H44)</f>
        <v/>
      </c>
      <c r="G44" s="36">
        <f>IF('1. MASTER_ENTRY'!$C44="","",'1. MASTER_ENTRY'!$I44)</f>
        <v/>
      </c>
      <c r="H44" s="36">
        <f>IF('1. MASTER_ENTRY'!$C44="","",'1. MASTER_ENTRY'!$J44)</f>
        <v/>
      </c>
      <c r="I44" s="36">
        <f>IF('1. MASTER_ENTRY'!$C44="","",'1. MASTER_ENTRY'!$L44)</f>
        <v/>
      </c>
      <c r="J44" s="36">
        <f>IF('1. MASTER_ENTRY'!$C44="","",'1. MASTER_ENTRY'!$M44)</f>
        <v/>
      </c>
      <c r="K44" s="36">
        <f>IF('1. MASTER_ENTRY'!$C44="","",'1. MASTER_ENTRY'!$R44)</f>
        <v/>
      </c>
    </row>
    <row r="45" ht="16" customHeight="1">
      <c r="A45" s="40">
        <f>IF('1. MASTER_ENTRY'!$C45="","",SUBSTITUTE('1. MASTER_ENTRY'!$A45,"CASE","RISK"))</f>
        <v/>
      </c>
      <c r="B45" s="41">
        <f>IF('1. MASTER_ENTRY'!$C45="","",'1. MASTER_ENTRY'!$C45)</f>
        <v/>
      </c>
      <c r="C45" s="40">
        <f>IF('1. MASTER_ENTRY'!$C45="","",'1. MASTER_ENTRY'!$D45)</f>
        <v/>
      </c>
      <c r="D45" s="40">
        <f>IF('1. MASTER_ENTRY'!$C45="","",'1. MASTER_ENTRY'!$F45)</f>
        <v/>
      </c>
      <c r="E45" s="40">
        <f>IF('1. MASTER_ENTRY'!$C45="","",'1. MASTER_ENTRY'!$G45)</f>
        <v/>
      </c>
      <c r="F45" s="40">
        <f>IF('1. MASTER_ENTRY'!$C45="","",'1. MASTER_ENTRY'!$H45)</f>
        <v/>
      </c>
      <c r="G45" s="40">
        <f>IF('1. MASTER_ENTRY'!$C45="","",'1. MASTER_ENTRY'!$I45)</f>
        <v/>
      </c>
      <c r="H45" s="40">
        <f>IF('1. MASTER_ENTRY'!$C45="","",'1. MASTER_ENTRY'!$J45)</f>
        <v/>
      </c>
      <c r="I45" s="40">
        <f>IF('1. MASTER_ENTRY'!$C45="","",'1. MASTER_ENTRY'!$L45)</f>
        <v/>
      </c>
      <c r="J45" s="40">
        <f>IF('1. MASTER_ENTRY'!$C45="","",'1. MASTER_ENTRY'!$M45)</f>
        <v/>
      </c>
      <c r="K45" s="40">
        <f>IF('1. MASTER_ENTRY'!$C45="","",'1. MASTER_ENTRY'!$R45)</f>
        <v/>
      </c>
    </row>
    <row r="46" ht="16" customHeight="1">
      <c r="A46" s="36">
        <f>IF('1. MASTER_ENTRY'!$C46="","",SUBSTITUTE('1. MASTER_ENTRY'!$A46,"CASE","RISK"))</f>
        <v/>
      </c>
      <c r="B46" s="37">
        <f>IF('1. MASTER_ENTRY'!$C46="","",'1. MASTER_ENTRY'!$C46)</f>
        <v/>
      </c>
      <c r="C46" s="36">
        <f>IF('1. MASTER_ENTRY'!$C46="","",'1. MASTER_ENTRY'!$D46)</f>
        <v/>
      </c>
      <c r="D46" s="36">
        <f>IF('1. MASTER_ENTRY'!$C46="","",'1. MASTER_ENTRY'!$F46)</f>
        <v/>
      </c>
      <c r="E46" s="36">
        <f>IF('1. MASTER_ENTRY'!$C46="","",'1. MASTER_ENTRY'!$G46)</f>
        <v/>
      </c>
      <c r="F46" s="36">
        <f>IF('1. MASTER_ENTRY'!$C46="","",'1. MASTER_ENTRY'!$H46)</f>
        <v/>
      </c>
      <c r="G46" s="36">
        <f>IF('1. MASTER_ENTRY'!$C46="","",'1. MASTER_ENTRY'!$I46)</f>
        <v/>
      </c>
      <c r="H46" s="36">
        <f>IF('1. MASTER_ENTRY'!$C46="","",'1. MASTER_ENTRY'!$J46)</f>
        <v/>
      </c>
      <c r="I46" s="36">
        <f>IF('1. MASTER_ENTRY'!$C46="","",'1. MASTER_ENTRY'!$L46)</f>
        <v/>
      </c>
      <c r="J46" s="36">
        <f>IF('1. MASTER_ENTRY'!$C46="","",'1. MASTER_ENTRY'!$M46)</f>
        <v/>
      </c>
      <c r="K46" s="36">
        <f>IF('1. MASTER_ENTRY'!$C46="","",'1. MASTER_ENTRY'!$R46)</f>
        <v/>
      </c>
    </row>
    <row r="47" ht="16" customHeight="1">
      <c r="A47" s="40">
        <f>IF('1. MASTER_ENTRY'!$C47="","",SUBSTITUTE('1. MASTER_ENTRY'!$A47,"CASE","RISK"))</f>
        <v/>
      </c>
      <c r="B47" s="41">
        <f>IF('1. MASTER_ENTRY'!$C47="","",'1. MASTER_ENTRY'!$C47)</f>
        <v/>
      </c>
      <c r="C47" s="40">
        <f>IF('1. MASTER_ENTRY'!$C47="","",'1. MASTER_ENTRY'!$D47)</f>
        <v/>
      </c>
      <c r="D47" s="40">
        <f>IF('1. MASTER_ENTRY'!$C47="","",'1. MASTER_ENTRY'!$F47)</f>
        <v/>
      </c>
      <c r="E47" s="40">
        <f>IF('1. MASTER_ENTRY'!$C47="","",'1. MASTER_ENTRY'!$G47)</f>
        <v/>
      </c>
      <c r="F47" s="40">
        <f>IF('1. MASTER_ENTRY'!$C47="","",'1. MASTER_ENTRY'!$H47)</f>
        <v/>
      </c>
      <c r="G47" s="40">
        <f>IF('1. MASTER_ENTRY'!$C47="","",'1. MASTER_ENTRY'!$I47)</f>
        <v/>
      </c>
      <c r="H47" s="40">
        <f>IF('1. MASTER_ENTRY'!$C47="","",'1. MASTER_ENTRY'!$J47)</f>
        <v/>
      </c>
      <c r="I47" s="40">
        <f>IF('1. MASTER_ENTRY'!$C47="","",'1. MASTER_ENTRY'!$L47)</f>
        <v/>
      </c>
      <c r="J47" s="40">
        <f>IF('1. MASTER_ENTRY'!$C47="","",'1. MASTER_ENTRY'!$M47)</f>
        <v/>
      </c>
      <c r="K47" s="40">
        <f>IF('1. MASTER_ENTRY'!$C47="","",'1. MASTER_ENTRY'!$R47)</f>
        <v/>
      </c>
    </row>
    <row r="48" ht="16" customHeight="1">
      <c r="A48" s="36">
        <f>IF('1. MASTER_ENTRY'!$C48="","",SUBSTITUTE('1. MASTER_ENTRY'!$A48,"CASE","RISK"))</f>
        <v/>
      </c>
      <c r="B48" s="37">
        <f>IF('1. MASTER_ENTRY'!$C48="","",'1. MASTER_ENTRY'!$C48)</f>
        <v/>
      </c>
      <c r="C48" s="36">
        <f>IF('1. MASTER_ENTRY'!$C48="","",'1. MASTER_ENTRY'!$D48)</f>
        <v/>
      </c>
      <c r="D48" s="36">
        <f>IF('1. MASTER_ENTRY'!$C48="","",'1. MASTER_ENTRY'!$F48)</f>
        <v/>
      </c>
      <c r="E48" s="36">
        <f>IF('1. MASTER_ENTRY'!$C48="","",'1. MASTER_ENTRY'!$G48)</f>
        <v/>
      </c>
      <c r="F48" s="36">
        <f>IF('1. MASTER_ENTRY'!$C48="","",'1. MASTER_ENTRY'!$H48)</f>
        <v/>
      </c>
      <c r="G48" s="36">
        <f>IF('1. MASTER_ENTRY'!$C48="","",'1. MASTER_ENTRY'!$I48)</f>
        <v/>
      </c>
      <c r="H48" s="36">
        <f>IF('1. MASTER_ENTRY'!$C48="","",'1. MASTER_ENTRY'!$J48)</f>
        <v/>
      </c>
      <c r="I48" s="36">
        <f>IF('1. MASTER_ENTRY'!$C48="","",'1. MASTER_ENTRY'!$L48)</f>
        <v/>
      </c>
      <c r="J48" s="36">
        <f>IF('1. MASTER_ENTRY'!$C48="","",'1. MASTER_ENTRY'!$M48)</f>
        <v/>
      </c>
      <c r="K48" s="36">
        <f>IF('1. MASTER_ENTRY'!$C48="","",'1. MASTER_ENTRY'!$R48)</f>
        <v/>
      </c>
    </row>
    <row r="49" ht="16" customHeight="1">
      <c r="A49" s="40">
        <f>IF('1. MASTER_ENTRY'!$C49="","",SUBSTITUTE('1. MASTER_ENTRY'!$A49,"CASE","RISK"))</f>
        <v/>
      </c>
      <c r="B49" s="41">
        <f>IF('1. MASTER_ENTRY'!$C49="","",'1. MASTER_ENTRY'!$C49)</f>
        <v/>
      </c>
      <c r="C49" s="40">
        <f>IF('1. MASTER_ENTRY'!$C49="","",'1. MASTER_ENTRY'!$D49)</f>
        <v/>
      </c>
      <c r="D49" s="40">
        <f>IF('1. MASTER_ENTRY'!$C49="","",'1. MASTER_ENTRY'!$F49)</f>
        <v/>
      </c>
      <c r="E49" s="40">
        <f>IF('1. MASTER_ENTRY'!$C49="","",'1. MASTER_ENTRY'!$G49)</f>
        <v/>
      </c>
      <c r="F49" s="40">
        <f>IF('1. MASTER_ENTRY'!$C49="","",'1. MASTER_ENTRY'!$H49)</f>
        <v/>
      </c>
      <c r="G49" s="40">
        <f>IF('1. MASTER_ENTRY'!$C49="","",'1. MASTER_ENTRY'!$I49)</f>
        <v/>
      </c>
      <c r="H49" s="40">
        <f>IF('1. MASTER_ENTRY'!$C49="","",'1. MASTER_ENTRY'!$J49)</f>
        <v/>
      </c>
      <c r="I49" s="40">
        <f>IF('1. MASTER_ENTRY'!$C49="","",'1. MASTER_ENTRY'!$L49)</f>
        <v/>
      </c>
      <c r="J49" s="40">
        <f>IF('1. MASTER_ENTRY'!$C49="","",'1. MASTER_ENTRY'!$M49)</f>
        <v/>
      </c>
      <c r="K49" s="40">
        <f>IF('1. MASTER_ENTRY'!$C49="","",'1. MASTER_ENTRY'!$R49)</f>
        <v/>
      </c>
    </row>
    <row r="50" ht="16" customHeight="1">
      <c r="A50" s="36">
        <f>IF('1. MASTER_ENTRY'!$C50="","",SUBSTITUTE('1. MASTER_ENTRY'!$A50,"CASE","RISK"))</f>
        <v/>
      </c>
      <c r="B50" s="37">
        <f>IF('1. MASTER_ENTRY'!$C50="","",'1. MASTER_ENTRY'!$C50)</f>
        <v/>
      </c>
      <c r="C50" s="36">
        <f>IF('1. MASTER_ENTRY'!$C50="","",'1. MASTER_ENTRY'!$D50)</f>
        <v/>
      </c>
      <c r="D50" s="36">
        <f>IF('1. MASTER_ENTRY'!$C50="","",'1. MASTER_ENTRY'!$F50)</f>
        <v/>
      </c>
      <c r="E50" s="36">
        <f>IF('1. MASTER_ENTRY'!$C50="","",'1. MASTER_ENTRY'!$G50)</f>
        <v/>
      </c>
      <c r="F50" s="36">
        <f>IF('1. MASTER_ENTRY'!$C50="","",'1. MASTER_ENTRY'!$H50)</f>
        <v/>
      </c>
      <c r="G50" s="36">
        <f>IF('1. MASTER_ENTRY'!$C50="","",'1. MASTER_ENTRY'!$I50)</f>
        <v/>
      </c>
      <c r="H50" s="36">
        <f>IF('1. MASTER_ENTRY'!$C50="","",'1. MASTER_ENTRY'!$J50)</f>
        <v/>
      </c>
      <c r="I50" s="36">
        <f>IF('1. MASTER_ENTRY'!$C50="","",'1. MASTER_ENTRY'!$L50)</f>
        <v/>
      </c>
      <c r="J50" s="36">
        <f>IF('1. MASTER_ENTRY'!$C50="","",'1. MASTER_ENTRY'!$M50)</f>
        <v/>
      </c>
      <c r="K50" s="36">
        <f>IF('1. MASTER_ENTRY'!$C50="","",'1. MASTER_ENTRY'!$R50)</f>
        <v/>
      </c>
    </row>
    <row r="51" ht="16" customHeight="1">
      <c r="A51" s="40">
        <f>IF('1. MASTER_ENTRY'!$C51="","",SUBSTITUTE('1. MASTER_ENTRY'!$A51,"CASE","RISK"))</f>
        <v/>
      </c>
      <c r="B51" s="41">
        <f>IF('1. MASTER_ENTRY'!$C51="","",'1. MASTER_ENTRY'!$C51)</f>
        <v/>
      </c>
      <c r="C51" s="40">
        <f>IF('1. MASTER_ENTRY'!$C51="","",'1. MASTER_ENTRY'!$D51)</f>
        <v/>
      </c>
      <c r="D51" s="40">
        <f>IF('1. MASTER_ENTRY'!$C51="","",'1. MASTER_ENTRY'!$F51)</f>
        <v/>
      </c>
      <c r="E51" s="40">
        <f>IF('1. MASTER_ENTRY'!$C51="","",'1. MASTER_ENTRY'!$G51)</f>
        <v/>
      </c>
      <c r="F51" s="40">
        <f>IF('1. MASTER_ENTRY'!$C51="","",'1. MASTER_ENTRY'!$H51)</f>
        <v/>
      </c>
      <c r="G51" s="40">
        <f>IF('1. MASTER_ENTRY'!$C51="","",'1. MASTER_ENTRY'!$I51)</f>
        <v/>
      </c>
      <c r="H51" s="40">
        <f>IF('1. MASTER_ENTRY'!$C51="","",'1. MASTER_ENTRY'!$J51)</f>
        <v/>
      </c>
      <c r="I51" s="40">
        <f>IF('1. MASTER_ENTRY'!$C51="","",'1. MASTER_ENTRY'!$L51)</f>
        <v/>
      </c>
      <c r="J51" s="40">
        <f>IF('1. MASTER_ENTRY'!$C51="","",'1. MASTER_ENTRY'!$M51)</f>
        <v/>
      </c>
      <c r="K51" s="40">
        <f>IF('1. MASTER_ENTRY'!$C51="","",'1. MASTER_ENTRY'!$R51)</f>
        <v/>
      </c>
    </row>
    <row r="52" ht="16" customHeight="1">
      <c r="A52" s="36">
        <f>IF('1. MASTER_ENTRY'!$C52="","",SUBSTITUTE('1. MASTER_ENTRY'!$A52,"CASE","RISK"))</f>
        <v/>
      </c>
      <c r="B52" s="37">
        <f>IF('1. MASTER_ENTRY'!$C52="","",'1. MASTER_ENTRY'!$C52)</f>
        <v/>
      </c>
      <c r="C52" s="36">
        <f>IF('1. MASTER_ENTRY'!$C52="","",'1. MASTER_ENTRY'!$D52)</f>
        <v/>
      </c>
      <c r="D52" s="36">
        <f>IF('1. MASTER_ENTRY'!$C52="","",'1. MASTER_ENTRY'!$F52)</f>
        <v/>
      </c>
      <c r="E52" s="36">
        <f>IF('1. MASTER_ENTRY'!$C52="","",'1. MASTER_ENTRY'!$G52)</f>
        <v/>
      </c>
      <c r="F52" s="36">
        <f>IF('1. MASTER_ENTRY'!$C52="","",'1. MASTER_ENTRY'!$H52)</f>
        <v/>
      </c>
      <c r="G52" s="36">
        <f>IF('1. MASTER_ENTRY'!$C52="","",'1. MASTER_ENTRY'!$I52)</f>
        <v/>
      </c>
      <c r="H52" s="36">
        <f>IF('1. MASTER_ENTRY'!$C52="","",'1. MASTER_ENTRY'!$J52)</f>
        <v/>
      </c>
      <c r="I52" s="36">
        <f>IF('1. MASTER_ENTRY'!$C52="","",'1. MASTER_ENTRY'!$L52)</f>
        <v/>
      </c>
      <c r="J52" s="36">
        <f>IF('1. MASTER_ENTRY'!$C52="","",'1. MASTER_ENTRY'!$M52)</f>
        <v/>
      </c>
      <c r="K52" s="36">
        <f>IF('1. MASTER_ENTRY'!$C52="","",'1. MASTER_ENTRY'!$R52)</f>
        <v/>
      </c>
    </row>
    <row r="53" ht="16" customHeight="1">
      <c r="A53" s="40">
        <f>IF('1. MASTER_ENTRY'!$C53="","",SUBSTITUTE('1. MASTER_ENTRY'!$A53,"CASE","RISK"))</f>
        <v/>
      </c>
      <c r="B53" s="41">
        <f>IF('1. MASTER_ENTRY'!$C53="","",'1. MASTER_ENTRY'!$C53)</f>
        <v/>
      </c>
      <c r="C53" s="40">
        <f>IF('1. MASTER_ENTRY'!$C53="","",'1. MASTER_ENTRY'!$D53)</f>
        <v/>
      </c>
      <c r="D53" s="40">
        <f>IF('1. MASTER_ENTRY'!$C53="","",'1. MASTER_ENTRY'!$F53)</f>
        <v/>
      </c>
      <c r="E53" s="40">
        <f>IF('1. MASTER_ENTRY'!$C53="","",'1. MASTER_ENTRY'!$G53)</f>
        <v/>
      </c>
      <c r="F53" s="40">
        <f>IF('1. MASTER_ENTRY'!$C53="","",'1. MASTER_ENTRY'!$H53)</f>
        <v/>
      </c>
      <c r="G53" s="40">
        <f>IF('1. MASTER_ENTRY'!$C53="","",'1. MASTER_ENTRY'!$I53)</f>
        <v/>
      </c>
      <c r="H53" s="40">
        <f>IF('1. MASTER_ENTRY'!$C53="","",'1. MASTER_ENTRY'!$J53)</f>
        <v/>
      </c>
      <c r="I53" s="40">
        <f>IF('1. MASTER_ENTRY'!$C53="","",'1. MASTER_ENTRY'!$L53)</f>
        <v/>
      </c>
      <c r="J53" s="40">
        <f>IF('1. MASTER_ENTRY'!$C53="","",'1. MASTER_ENTRY'!$M53)</f>
        <v/>
      </c>
      <c r="K53" s="40">
        <f>IF('1. MASTER_ENTRY'!$C53="","",'1. MASTER_ENTRY'!$R53)</f>
        <v/>
      </c>
    </row>
    <row r="54" ht="16" customHeight="1">
      <c r="A54" s="36">
        <f>IF('1. MASTER_ENTRY'!$C54="","",SUBSTITUTE('1. MASTER_ENTRY'!$A54,"CASE","RISK"))</f>
        <v/>
      </c>
      <c r="B54" s="37">
        <f>IF('1. MASTER_ENTRY'!$C54="","",'1. MASTER_ENTRY'!$C54)</f>
        <v/>
      </c>
      <c r="C54" s="36">
        <f>IF('1. MASTER_ENTRY'!$C54="","",'1. MASTER_ENTRY'!$D54)</f>
        <v/>
      </c>
      <c r="D54" s="36">
        <f>IF('1. MASTER_ENTRY'!$C54="","",'1. MASTER_ENTRY'!$F54)</f>
        <v/>
      </c>
      <c r="E54" s="36">
        <f>IF('1. MASTER_ENTRY'!$C54="","",'1. MASTER_ENTRY'!$G54)</f>
        <v/>
      </c>
      <c r="F54" s="36">
        <f>IF('1. MASTER_ENTRY'!$C54="","",'1. MASTER_ENTRY'!$H54)</f>
        <v/>
      </c>
      <c r="G54" s="36">
        <f>IF('1. MASTER_ENTRY'!$C54="","",'1. MASTER_ENTRY'!$I54)</f>
        <v/>
      </c>
      <c r="H54" s="36">
        <f>IF('1. MASTER_ENTRY'!$C54="","",'1. MASTER_ENTRY'!$J54)</f>
        <v/>
      </c>
      <c r="I54" s="36">
        <f>IF('1. MASTER_ENTRY'!$C54="","",'1. MASTER_ENTRY'!$L54)</f>
        <v/>
      </c>
      <c r="J54" s="36">
        <f>IF('1. MASTER_ENTRY'!$C54="","",'1. MASTER_ENTRY'!$M54)</f>
        <v/>
      </c>
      <c r="K54" s="36">
        <f>IF('1. MASTER_ENTRY'!$C54="","",'1. MASTER_ENTRY'!$R54)</f>
        <v/>
      </c>
    </row>
    <row r="55" ht="16" customHeight="1">
      <c r="A55" s="40">
        <f>IF('1. MASTER_ENTRY'!$C55="","",SUBSTITUTE('1. MASTER_ENTRY'!$A55,"CASE","RISK"))</f>
        <v/>
      </c>
      <c r="B55" s="41">
        <f>IF('1. MASTER_ENTRY'!$C55="","",'1. MASTER_ENTRY'!$C55)</f>
        <v/>
      </c>
      <c r="C55" s="40">
        <f>IF('1. MASTER_ENTRY'!$C55="","",'1. MASTER_ENTRY'!$D55)</f>
        <v/>
      </c>
      <c r="D55" s="40">
        <f>IF('1. MASTER_ENTRY'!$C55="","",'1. MASTER_ENTRY'!$F55)</f>
        <v/>
      </c>
      <c r="E55" s="40">
        <f>IF('1. MASTER_ENTRY'!$C55="","",'1. MASTER_ENTRY'!$G55)</f>
        <v/>
      </c>
      <c r="F55" s="40">
        <f>IF('1. MASTER_ENTRY'!$C55="","",'1. MASTER_ENTRY'!$H55)</f>
        <v/>
      </c>
      <c r="G55" s="40">
        <f>IF('1. MASTER_ENTRY'!$C55="","",'1. MASTER_ENTRY'!$I55)</f>
        <v/>
      </c>
      <c r="H55" s="40">
        <f>IF('1. MASTER_ENTRY'!$C55="","",'1. MASTER_ENTRY'!$J55)</f>
        <v/>
      </c>
      <c r="I55" s="40">
        <f>IF('1. MASTER_ENTRY'!$C55="","",'1. MASTER_ENTRY'!$L55)</f>
        <v/>
      </c>
      <c r="J55" s="40">
        <f>IF('1. MASTER_ENTRY'!$C55="","",'1. MASTER_ENTRY'!$M55)</f>
        <v/>
      </c>
      <c r="K55" s="40">
        <f>IF('1. MASTER_ENTRY'!$C55="","",'1. MASTER_ENTRY'!$R55)</f>
        <v/>
      </c>
    </row>
    <row r="56" ht="16" customHeight="1">
      <c r="A56" s="36">
        <f>IF('1. MASTER_ENTRY'!$C56="","",SUBSTITUTE('1. MASTER_ENTRY'!$A56,"CASE","RISK"))</f>
        <v/>
      </c>
      <c r="B56" s="37">
        <f>IF('1. MASTER_ENTRY'!$C56="","",'1. MASTER_ENTRY'!$C56)</f>
        <v/>
      </c>
      <c r="C56" s="36">
        <f>IF('1. MASTER_ENTRY'!$C56="","",'1. MASTER_ENTRY'!$D56)</f>
        <v/>
      </c>
      <c r="D56" s="36">
        <f>IF('1. MASTER_ENTRY'!$C56="","",'1. MASTER_ENTRY'!$F56)</f>
        <v/>
      </c>
      <c r="E56" s="36">
        <f>IF('1. MASTER_ENTRY'!$C56="","",'1. MASTER_ENTRY'!$G56)</f>
        <v/>
      </c>
      <c r="F56" s="36">
        <f>IF('1. MASTER_ENTRY'!$C56="","",'1. MASTER_ENTRY'!$H56)</f>
        <v/>
      </c>
      <c r="G56" s="36">
        <f>IF('1. MASTER_ENTRY'!$C56="","",'1. MASTER_ENTRY'!$I56)</f>
        <v/>
      </c>
      <c r="H56" s="36">
        <f>IF('1. MASTER_ENTRY'!$C56="","",'1. MASTER_ENTRY'!$J56)</f>
        <v/>
      </c>
      <c r="I56" s="36">
        <f>IF('1. MASTER_ENTRY'!$C56="","",'1. MASTER_ENTRY'!$L56)</f>
        <v/>
      </c>
      <c r="J56" s="36">
        <f>IF('1. MASTER_ENTRY'!$C56="","",'1. MASTER_ENTRY'!$M56)</f>
        <v/>
      </c>
      <c r="K56" s="36">
        <f>IF('1. MASTER_ENTRY'!$C56="","",'1. MASTER_ENTRY'!$R56)</f>
        <v/>
      </c>
    </row>
    <row r="57" ht="16" customHeight="1">
      <c r="A57" s="40">
        <f>IF('1. MASTER_ENTRY'!$C57="","",SUBSTITUTE('1. MASTER_ENTRY'!$A57,"CASE","RISK"))</f>
        <v/>
      </c>
      <c r="B57" s="41">
        <f>IF('1. MASTER_ENTRY'!$C57="","",'1. MASTER_ENTRY'!$C57)</f>
        <v/>
      </c>
      <c r="C57" s="40">
        <f>IF('1. MASTER_ENTRY'!$C57="","",'1. MASTER_ENTRY'!$D57)</f>
        <v/>
      </c>
      <c r="D57" s="40">
        <f>IF('1. MASTER_ENTRY'!$C57="","",'1. MASTER_ENTRY'!$F57)</f>
        <v/>
      </c>
      <c r="E57" s="40">
        <f>IF('1. MASTER_ENTRY'!$C57="","",'1. MASTER_ENTRY'!$G57)</f>
        <v/>
      </c>
      <c r="F57" s="40">
        <f>IF('1. MASTER_ENTRY'!$C57="","",'1. MASTER_ENTRY'!$H57)</f>
        <v/>
      </c>
      <c r="G57" s="40">
        <f>IF('1. MASTER_ENTRY'!$C57="","",'1. MASTER_ENTRY'!$I57)</f>
        <v/>
      </c>
      <c r="H57" s="40">
        <f>IF('1. MASTER_ENTRY'!$C57="","",'1. MASTER_ENTRY'!$J57)</f>
        <v/>
      </c>
      <c r="I57" s="40">
        <f>IF('1. MASTER_ENTRY'!$C57="","",'1. MASTER_ENTRY'!$L57)</f>
        <v/>
      </c>
      <c r="J57" s="40">
        <f>IF('1. MASTER_ENTRY'!$C57="","",'1. MASTER_ENTRY'!$M57)</f>
        <v/>
      </c>
      <c r="K57" s="40">
        <f>IF('1. MASTER_ENTRY'!$C57="","",'1. MASTER_ENTRY'!$R57)</f>
        <v/>
      </c>
    </row>
    <row r="58" ht="16" customHeight="1">
      <c r="A58" s="36">
        <f>IF('1. MASTER_ENTRY'!$C58="","",SUBSTITUTE('1. MASTER_ENTRY'!$A58,"CASE","RISK"))</f>
        <v/>
      </c>
      <c r="B58" s="37">
        <f>IF('1. MASTER_ENTRY'!$C58="","",'1. MASTER_ENTRY'!$C58)</f>
        <v/>
      </c>
      <c r="C58" s="36">
        <f>IF('1. MASTER_ENTRY'!$C58="","",'1. MASTER_ENTRY'!$D58)</f>
        <v/>
      </c>
      <c r="D58" s="36">
        <f>IF('1. MASTER_ENTRY'!$C58="","",'1. MASTER_ENTRY'!$F58)</f>
        <v/>
      </c>
      <c r="E58" s="36">
        <f>IF('1. MASTER_ENTRY'!$C58="","",'1. MASTER_ENTRY'!$G58)</f>
        <v/>
      </c>
      <c r="F58" s="36">
        <f>IF('1. MASTER_ENTRY'!$C58="","",'1. MASTER_ENTRY'!$H58)</f>
        <v/>
      </c>
      <c r="G58" s="36">
        <f>IF('1. MASTER_ENTRY'!$C58="","",'1. MASTER_ENTRY'!$I58)</f>
        <v/>
      </c>
      <c r="H58" s="36">
        <f>IF('1. MASTER_ENTRY'!$C58="","",'1. MASTER_ENTRY'!$J58)</f>
        <v/>
      </c>
      <c r="I58" s="36">
        <f>IF('1. MASTER_ENTRY'!$C58="","",'1. MASTER_ENTRY'!$L58)</f>
        <v/>
      </c>
      <c r="J58" s="36">
        <f>IF('1. MASTER_ENTRY'!$C58="","",'1. MASTER_ENTRY'!$M58)</f>
        <v/>
      </c>
      <c r="K58" s="36">
        <f>IF('1. MASTER_ENTRY'!$C58="","",'1. MASTER_ENTRY'!$R58)</f>
        <v/>
      </c>
    </row>
    <row r="59" ht="16" customHeight="1">
      <c r="A59" s="40">
        <f>IF('1. MASTER_ENTRY'!$C59="","",SUBSTITUTE('1. MASTER_ENTRY'!$A59,"CASE","RISK"))</f>
        <v/>
      </c>
      <c r="B59" s="41">
        <f>IF('1. MASTER_ENTRY'!$C59="","",'1. MASTER_ENTRY'!$C59)</f>
        <v/>
      </c>
      <c r="C59" s="40">
        <f>IF('1. MASTER_ENTRY'!$C59="","",'1. MASTER_ENTRY'!$D59)</f>
        <v/>
      </c>
      <c r="D59" s="40">
        <f>IF('1. MASTER_ENTRY'!$C59="","",'1. MASTER_ENTRY'!$F59)</f>
        <v/>
      </c>
      <c r="E59" s="40">
        <f>IF('1. MASTER_ENTRY'!$C59="","",'1. MASTER_ENTRY'!$G59)</f>
        <v/>
      </c>
      <c r="F59" s="40">
        <f>IF('1. MASTER_ENTRY'!$C59="","",'1. MASTER_ENTRY'!$H59)</f>
        <v/>
      </c>
      <c r="G59" s="40">
        <f>IF('1. MASTER_ENTRY'!$C59="","",'1. MASTER_ENTRY'!$I59)</f>
        <v/>
      </c>
      <c r="H59" s="40">
        <f>IF('1. MASTER_ENTRY'!$C59="","",'1. MASTER_ENTRY'!$J59)</f>
        <v/>
      </c>
      <c r="I59" s="40">
        <f>IF('1. MASTER_ENTRY'!$C59="","",'1. MASTER_ENTRY'!$L59)</f>
        <v/>
      </c>
      <c r="J59" s="40">
        <f>IF('1. MASTER_ENTRY'!$C59="","",'1. MASTER_ENTRY'!$M59)</f>
        <v/>
      </c>
      <c r="K59" s="40">
        <f>IF('1. MASTER_ENTRY'!$C59="","",'1. MASTER_ENTRY'!$R59)</f>
        <v/>
      </c>
    </row>
    <row r="60" ht="16" customHeight="1">
      <c r="A60" s="36">
        <f>IF('1. MASTER_ENTRY'!$C60="","",SUBSTITUTE('1. MASTER_ENTRY'!$A60,"CASE","RISK"))</f>
        <v/>
      </c>
      <c r="B60" s="37">
        <f>IF('1. MASTER_ENTRY'!$C60="","",'1. MASTER_ENTRY'!$C60)</f>
        <v/>
      </c>
      <c r="C60" s="36">
        <f>IF('1. MASTER_ENTRY'!$C60="","",'1. MASTER_ENTRY'!$D60)</f>
        <v/>
      </c>
      <c r="D60" s="36">
        <f>IF('1. MASTER_ENTRY'!$C60="","",'1. MASTER_ENTRY'!$F60)</f>
        <v/>
      </c>
      <c r="E60" s="36">
        <f>IF('1. MASTER_ENTRY'!$C60="","",'1. MASTER_ENTRY'!$G60)</f>
        <v/>
      </c>
      <c r="F60" s="36">
        <f>IF('1. MASTER_ENTRY'!$C60="","",'1. MASTER_ENTRY'!$H60)</f>
        <v/>
      </c>
      <c r="G60" s="36">
        <f>IF('1. MASTER_ENTRY'!$C60="","",'1. MASTER_ENTRY'!$I60)</f>
        <v/>
      </c>
      <c r="H60" s="36">
        <f>IF('1. MASTER_ENTRY'!$C60="","",'1. MASTER_ENTRY'!$J60)</f>
        <v/>
      </c>
      <c r="I60" s="36">
        <f>IF('1. MASTER_ENTRY'!$C60="","",'1. MASTER_ENTRY'!$L60)</f>
        <v/>
      </c>
      <c r="J60" s="36">
        <f>IF('1. MASTER_ENTRY'!$C60="","",'1. MASTER_ENTRY'!$M60)</f>
        <v/>
      </c>
      <c r="K60" s="36">
        <f>IF('1. MASTER_ENTRY'!$C60="","",'1. MASTER_ENTRY'!$R60)</f>
        <v/>
      </c>
    </row>
    <row r="61" ht="16" customHeight="1">
      <c r="A61" s="40">
        <f>IF('1. MASTER_ENTRY'!$C61="","",SUBSTITUTE('1. MASTER_ENTRY'!$A61,"CASE","RISK"))</f>
        <v/>
      </c>
      <c r="B61" s="41">
        <f>IF('1. MASTER_ENTRY'!$C61="","",'1. MASTER_ENTRY'!$C61)</f>
        <v/>
      </c>
      <c r="C61" s="40">
        <f>IF('1. MASTER_ENTRY'!$C61="","",'1. MASTER_ENTRY'!$D61)</f>
        <v/>
      </c>
      <c r="D61" s="40">
        <f>IF('1. MASTER_ENTRY'!$C61="","",'1. MASTER_ENTRY'!$F61)</f>
        <v/>
      </c>
      <c r="E61" s="40">
        <f>IF('1. MASTER_ENTRY'!$C61="","",'1. MASTER_ENTRY'!$G61)</f>
        <v/>
      </c>
      <c r="F61" s="40">
        <f>IF('1. MASTER_ENTRY'!$C61="","",'1. MASTER_ENTRY'!$H61)</f>
        <v/>
      </c>
      <c r="G61" s="40">
        <f>IF('1. MASTER_ENTRY'!$C61="","",'1. MASTER_ENTRY'!$I61)</f>
        <v/>
      </c>
      <c r="H61" s="40">
        <f>IF('1. MASTER_ENTRY'!$C61="","",'1. MASTER_ENTRY'!$J61)</f>
        <v/>
      </c>
      <c r="I61" s="40">
        <f>IF('1. MASTER_ENTRY'!$C61="","",'1. MASTER_ENTRY'!$L61)</f>
        <v/>
      </c>
      <c r="J61" s="40">
        <f>IF('1. MASTER_ENTRY'!$C61="","",'1. MASTER_ENTRY'!$M61)</f>
        <v/>
      </c>
      <c r="K61" s="40">
        <f>IF('1. MASTER_ENTRY'!$C61="","",'1. MASTER_ENTRY'!$R61)</f>
        <v/>
      </c>
    </row>
    <row r="62" ht="16" customHeight="1">
      <c r="A62" s="36">
        <f>IF('1. MASTER_ENTRY'!$C62="","",SUBSTITUTE('1. MASTER_ENTRY'!$A62,"CASE","RISK"))</f>
        <v/>
      </c>
      <c r="B62" s="37">
        <f>IF('1. MASTER_ENTRY'!$C62="","",'1. MASTER_ENTRY'!$C62)</f>
        <v/>
      </c>
      <c r="C62" s="36">
        <f>IF('1. MASTER_ENTRY'!$C62="","",'1. MASTER_ENTRY'!$D62)</f>
        <v/>
      </c>
      <c r="D62" s="36">
        <f>IF('1. MASTER_ENTRY'!$C62="","",'1. MASTER_ENTRY'!$F62)</f>
        <v/>
      </c>
      <c r="E62" s="36">
        <f>IF('1. MASTER_ENTRY'!$C62="","",'1. MASTER_ENTRY'!$G62)</f>
        <v/>
      </c>
      <c r="F62" s="36">
        <f>IF('1. MASTER_ENTRY'!$C62="","",'1. MASTER_ENTRY'!$H62)</f>
        <v/>
      </c>
      <c r="G62" s="36">
        <f>IF('1. MASTER_ENTRY'!$C62="","",'1. MASTER_ENTRY'!$I62)</f>
        <v/>
      </c>
      <c r="H62" s="36">
        <f>IF('1. MASTER_ENTRY'!$C62="","",'1. MASTER_ENTRY'!$J62)</f>
        <v/>
      </c>
      <c r="I62" s="36">
        <f>IF('1. MASTER_ENTRY'!$C62="","",'1. MASTER_ENTRY'!$L62)</f>
        <v/>
      </c>
      <c r="J62" s="36">
        <f>IF('1. MASTER_ENTRY'!$C62="","",'1. MASTER_ENTRY'!$M62)</f>
        <v/>
      </c>
      <c r="K62" s="36">
        <f>IF('1. MASTER_ENTRY'!$C62="","",'1. MASTER_ENTRY'!$R62)</f>
        <v/>
      </c>
    </row>
    <row r="63" ht="16" customHeight="1">
      <c r="A63" s="40">
        <f>IF('1. MASTER_ENTRY'!$C63="","",SUBSTITUTE('1. MASTER_ENTRY'!$A63,"CASE","RISK"))</f>
        <v/>
      </c>
      <c r="B63" s="41">
        <f>IF('1. MASTER_ENTRY'!$C63="","",'1. MASTER_ENTRY'!$C63)</f>
        <v/>
      </c>
      <c r="C63" s="40">
        <f>IF('1. MASTER_ENTRY'!$C63="","",'1. MASTER_ENTRY'!$D63)</f>
        <v/>
      </c>
      <c r="D63" s="40">
        <f>IF('1. MASTER_ENTRY'!$C63="","",'1. MASTER_ENTRY'!$F63)</f>
        <v/>
      </c>
      <c r="E63" s="40">
        <f>IF('1. MASTER_ENTRY'!$C63="","",'1. MASTER_ENTRY'!$G63)</f>
        <v/>
      </c>
      <c r="F63" s="40">
        <f>IF('1. MASTER_ENTRY'!$C63="","",'1. MASTER_ENTRY'!$H63)</f>
        <v/>
      </c>
      <c r="G63" s="40">
        <f>IF('1. MASTER_ENTRY'!$C63="","",'1. MASTER_ENTRY'!$I63)</f>
        <v/>
      </c>
      <c r="H63" s="40">
        <f>IF('1. MASTER_ENTRY'!$C63="","",'1. MASTER_ENTRY'!$J63)</f>
        <v/>
      </c>
      <c r="I63" s="40">
        <f>IF('1. MASTER_ENTRY'!$C63="","",'1. MASTER_ENTRY'!$L63)</f>
        <v/>
      </c>
      <c r="J63" s="40">
        <f>IF('1. MASTER_ENTRY'!$C63="","",'1. MASTER_ENTRY'!$M63)</f>
        <v/>
      </c>
      <c r="K63" s="40">
        <f>IF('1. MASTER_ENTRY'!$C63="","",'1. MASTER_ENTRY'!$R63)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2">
    <mergeCell ref="A2:K2"/>
    <mergeCell ref="A1:K1"/>
  </mergeCells>
  <conditionalFormatting sqref="G4:G63">
    <cfRule type="colorScale" priority="1">
      <colorScale>
        <cfvo type="num" val="0"/>
        <cfvo type="num" val="100"/>
        <cfvo type="num" val="300"/>
        <color rgb="0063BE7B"/>
        <color rgb="00FFEB84"/>
        <color rgb="00F8696B"/>
      </colorScale>
    </cfRule>
  </conditionalFormatting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8A8A"/>
    <outlinePr summaryBelow="1" summaryRight="1"/>
    <pageSetUpPr fitToPage="1"/>
  </sheetPr>
  <dimension ref="A1:L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30" customWidth="1" min="4" max="4"/>
    <col width="6" customWidth="1" min="5" max="5"/>
    <col width="6" customWidth="1" min="6" max="6"/>
    <col width="6" customWidth="1" min="7" max="7"/>
    <col width="8" customWidth="1" min="8" max="8"/>
    <col width="12" customWidth="1" min="9" max="9"/>
    <col width="50" customWidth="1" min="10" max="10"/>
    <col width="16" customWidth="1" min="11" max="11"/>
    <col width="13" customWidth="1" min="12" max="12"/>
  </cols>
  <sheetData>
    <row r="1" ht="36" customHeight="1">
      <c r="A1" s="1" t="inlineStr">
        <is>
          <t xml:space="preserve">  FMEA  -  Failure Mode &amp; Effects Analysis (auto from cases)</t>
        </is>
      </c>
    </row>
    <row r="2" ht="20" customHeight="1">
      <c r="A2" s="2" t="inlineStr">
        <is>
          <t xml:space="preserve">  Read-only. Area=category, Failure=problem, Cause=root cause; RPN &amp; action auto-fill.</t>
        </is>
      </c>
    </row>
    <row r="3" ht="30" customHeight="1">
      <c r="A3" s="46" t="inlineStr">
        <is>
          <t>CASE ID</t>
        </is>
      </c>
      <c r="B3" s="46" t="inlineStr">
        <is>
          <t>PROCESS / AREA</t>
        </is>
      </c>
      <c r="C3" s="46" t="inlineStr">
        <is>
          <t>FAILURE MODE (problem)</t>
        </is>
      </c>
      <c r="D3" s="46" t="inlineStr">
        <is>
          <t>POTENTIAL CAUSE</t>
        </is>
      </c>
      <c r="E3" s="46" t="inlineStr">
        <is>
          <t>SEV</t>
        </is>
      </c>
      <c r="F3" s="46" t="inlineStr">
        <is>
          <t>OCC</t>
        </is>
      </c>
      <c r="G3" s="46" t="inlineStr">
        <is>
          <t>DET</t>
        </is>
      </c>
      <c r="H3" s="46" t="inlineStr">
        <is>
          <t>RPN</t>
        </is>
      </c>
      <c r="I3" s="46" t="inlineStr">
        <is>
          <t>BAND</t>
        </is>
      </c>
      <c r="J3" s="46" t="inlineStr">
        <is>
          <t>RECOMMENDED ACTION (AI)</t>
        </is>
      </c>
      <c r="K3" s="46" t="inlineStr">
        <is>
          <t>OWNER</t>
        </is>
      </c>
      <c r="L3" s="46" t="inlineStr">
        <is>
          <t>STATUS</t>
        </is>
      </c>
    </row>
    <row r="4" ht="16" customHeight="1">
      <c r="A4" s="36">
        <f>IF('1. MASTER_ENTRY'!$C4="","",'1. MASTER_ENTRY'!$A4)</f>
        <v/>
      </c>
      <c r="B4" s="36">
        <f>IF('1. MASTER_ENTRY'!$C4="","",'1. MASTER_ENTRY'!$D4)</f>
        <v/>
      </c>
      <c r="C4" s="37">
        <f>IF('1. MASTER_ENTRY'!$C4="","",'1. MASTER_ENTRY'!$C4)</f>
        <v/>
      </c>
      <c r="D4" s="37">
        <f>IF('1. MASTER_ENTRY'!$C4="","",'1. MASTER_ENTRY'!$K4)</f>
        <v/>
      </c>
      <c r="E4" s="36">
        <f>IF('1. MASTER_ENTRY'!$C4="","",'1. MASTER_ENTRY'!$F4)</f>
        <v/>
      </c>
      <c r="F4" s="36">
        <f>IF('1. MASTER_ENTRY'!$C4="","",'1. MASTER_ENTRY'!$G4)</f>
        <v/>
      </c>
      <c r="G4" s="36">
        <f>IF('1. MASTER_ENTRY'!$C4="","",'1. MASTER_ENTRY'!$H4)</f>
        <v/>
      </c>
      <c r="H4" s="36">
        <f>IF('1. MASTER_ENTRY'!$C4="","",'1. MASTER_ENTRY'!$I4)</f>
        <v/>
      </c>
      <c r="I4" s="36">
        <f>IF('1. MASTER_ENTRY'!$C4="","",'1. MASTER_ENTRY'!$J4)</f>
        <v/>
      </c>
      <c r="J4" s="37">
        <f>IF('1. MASTER_ENTRY'!$C4="","",'1. MASTER_ENTRY'!$U4)</f>
        <v/>
      </c>
      <c r="K4" s="36">
        <f>IF('1. MASTER_ENTRY'!$C4="","",'1. MASTER_ENTRY'!$M4)</f>
        <v/>
      </c>
      <c r="L4" s="36">
        <f>IF('1. MASTER_ENTRY'!$C4="","",'1. MASTER_ENTRY'!$R4)</f>
        <v/>
      </c>
    </row>
    <row r="5" ht="16" customHeight="1">
      <c r="A5" s="40">
        <f>IF('1. MASTER_ENTRY'!$C5="","",'1. MASTER_ENTRY'!$A5)</f>
        <v/>
      </c>
      <c r="B5" s="40">
        <f>IF('1. MASTER_ENTRY'!$C5="","",'1. MASTER_ENTRY'!$D5)</f>
        <v/>
      </c>
      <c r="C5" s="41">
        <f>IF('1. MASTER_ENTRY'!$C5="","",'1. MASTER_ENTRY'!$C5)</f>
        <v/>
      </c>
      <c r="D5" s="41">
        <f>IF('1. MASTER_ENTRY'!$C5="","",'1. MASTER_ENTRY'!$K5)</f>
        <v/>
      </c>
      <c r="E5" s="40">
        <f>IF('1. MASTER_ENTRY'!$C5="","",'1. MASTER_ENTRY'!$F5)</f>
        <v/>
      </c>
      <c r="F5" s="40">
        <f>IF('1. MASTER_ENTRY'!$C5="","",'1. MASTER_ENTRY'!$G5)</f>
        <v/>
      </c>
      <c r="G5" s="40">
        <f>IF('1. MASTER_ENTRY'!$C5="","",'1. MASTER_ENTRY'!$H5)</f>
        <v/>
      </c>
      <c r="H5" s="40">
        <f>IF('1. MASTER_ENTRY'!$C5="","",'1. MASTER_ENTRY'!$I5)</f>
        <v/>
      </c>
      <c r="I5" s="40">
        <f>IF('1. MASTER_ENTRY'!$C5="","",'1. MASTER_ENTRY'!$J5)</f>
        <v/>
      </c>
      <c r="J5" s="41">
        <f>IF('1. MASTER_ENTRY'!$C5="","",'1. MASTER_ENTRY'!$U5)</f>
        <v/>
      </c>
      <c r="K5" s="40">
        <f>IF('1. MASTER_ENTRY'!$C5="","",'1. MASTER_ENTRY'!$M5)</f>
        <v/>
      </c>
      <c r="L5" s="40">
        <f>IF('1. MASTER_ENTRY'!$C5="","",'1. MASTER_ENTRY'!$R5)</f>
        <v/>
      </c>
    </row>
    <row r="6" ht="16" customHeight="1">
      <c r="A6" s="36">
        <f>IF('1. MASTER_ENTRY'!$C6="","",'1. MASTER_ENTRY'!$A6)</f>
        <v/>
      </c>
      <c r="B6" s="36">
        <f>IF('1. MASTER_ENTRY'!$C6="","",'1. MASTER_ENTRY'!$D6)</f>
        <v/>
      </c>
      <c r="C6" s="37">
        <f>IF('1. MASTER_ENTRY'!$C6="","",'1. MASTER_ENTRY'!$C6)</f>
        <v/>
      </c>
      <c r="D6" s="37">
        <f>IF('1. MASTER_ENTRY'!$C6="","",'1. MASTER_ENTRY'!$K6)</f>
        <v/>
      </c>
      <c r="E6" s="36">
        <f>IF('1. MASTER_ENTRY'!$C6="","",'1. MASTER_ENTRY'!$F6)</f>
        <v/>
      </c>
      <c r="F6" s="36">
        <f>IF('1. MASTER_ENTRY'!$C6="","",'1. MASTER_ENTRY'!$G6)</f>
        <v/>
      </c>
      <c r="G6" s="36">
        <f>IF('1. MASTER_ENTRY'!$C6="","",'1. MASTER_ENTRY'!$H6)</f>
        <v/>
      </c>
      <c r="H6" s="36">
        <f>IF('1. MASTER_ENTRY'!$C6="","",'1. MASTER_ENTRY'!$I6)</f>
        <v/>
      </c>
      <c r="I6" s="36">
        <f>IF('1. MASTER_ENTRY'!$C6="","",'1. MASTER_ENTRY'!$J6)</f>
        <v/>
      </c>
      <c r="J6" s="37">
        <f>IF('1. MASTER_ENTRY'!$C6="","",'1. MASTER_ENTRY'!$U6)</f>
        <v/>
      </c>
      <c r="K6" s="36">
        <f>IF('1. MASTER_ENTRY'!$C6="","",'1. MASTER_ENTRY'!$M6)</f>
        <v/>
      </c>
      <c r="L6" s="36">
        <f>IF('1. MASTER_ENTRY'!$C6="","",'1. MASTER_ENTRY'!$R6)</f>
        <v/>
      </c>
    </row>
    <row r="7" ht="16" customHeight="1">
      <c r="A7" s="40">
        <f>IF('1. MASTER_ENTRY'!$C7="","",'1. MASTER_ENTRY'!$A7)</f>
        <v/>
      </c>
      <c r="B7" s="40">
        <f>IF('1. MASTER_ENTRY'!$C7="","",'1. MASTER_ENTRY'!$D7)</f>
        <v/>
      </c>
      <c r="C7" s="41">
        <f>IF('1. MASTER_ENTRY'!$C7="","",'1. MASTER_ENTRY'!$C7)</f>
        <v/>
      </c>
      <c r="D7" s="41">
        <f>IF('1. MASTER_ENTRY'!$C7="","",'1. MASTER_ENTRY'!$K7)</f>
        <v/>
      </c>
      <c r="E7" s="40">
        <f>IF('1. MASTER_ENTRY'!$C7="","",'1. MASTER_ENTRY'!$F7)</f>
        <v/>
      </c>
      <c r="F7" s="40">
        <f>IF('1. MASTER_ENTRY'!$C7="","",'1. MASTER_ENTRY'!$G7)</f>
        <v/>
      </c>
      <c r="G7" s="40">
        <f>IF('1. MASTER_ENTRY'!$C7="","",'1. MASTER_ENTRY'!$H7)</f>
        <v/>
      </c>
      <c r="H7" s="40">
        <f>IF('1. MASTER_ENTRY'!$C7="","",'1. MASTER_ENTRY'!$I7)</f>
        <v/>
      </c>
      <c r="I7" s="40">
        <f>IF('1. MASTER_ENTRY'!$C7="","",'1. MASTER_ENTRY'!$J7)</f>
        <v/>
      </c>
      <c r="J7" s="41">
        <f>IF('1. MASTER_ENTRY'!$C7="","",'1. MASTER_ENTRY'!$U7)</f>
        <v/>
      </c>
      <c r="K7" s="40">
        <f>IF('1. MASTER_ENTRY'!$C7="","",'1. MASTER_ENTRY'!$M7)</f>
        <v/>
      </c>
      <c r="L7" s="40">
        <f>IF('1. MASTER_ENTRY'!$C7="","",'1. MASTER_ENTRY'!$R7)</f>
        <v/>
      </c>
    </row>
    <row r="8" ht="16" customHeight="1">
      <c r="A8" s="36">
        <f>IF('1. MASTER_ENTRY'!$C8="","",'1. MASTER_ENTRY'!$A8)</f>
        <v/>
      </c>
      <c r="B8" s="36">
        <f>IF('1. MASTER_ENTRY'!$C8="","",'1. MASTER_ENTRY'!$D8)</f>
        <v/>
      </c>
      <c r="C8" s="37">
        <f>IF('1. MASTER_ENTRY'!$C8="","",'1. MASTER_ENTRY'!$C8)</f>
        <v/>
      </c>
      <c r="D8" s="37">
        <f>IF('1. MASTER_ENTRY'!$C8="","",'1. MASTER_ENTRY'!$K8)</f>
        <v/>
      </c>
      <c r="E8" s="36">
        <f>IF('1. MASTER_ENTRY'!$C8="","",'1. MASTER_ENTRY'!$F8)</f>
        <v/>
      </c>
      <c r="F8" s="36">
        <f>IF('1. MASTER_ENTRY'!$C8="","",'1. MASTER_ENTRY'!$G8)</f>
        <v/>
      </c>
      <c r="G8" s="36">
        <f>IF('1. MASTER_ENTRY'!$C8="","",'1. MASTER_ENTRY'!$H8)</f>
        <v/>
      </c>
      <c r="H8" s="36">
        <f>IF('1. MASTER_ENTRY'!$C8="","",'1. MASTER_ENTRY'!$I8)</f>
        <v/>
      </c>
      <c r="I8" s="36">
        <f>IF('1. MASTER_ENTRY'!$C8="","",'1. MASTER_ENTRY'!$J8)</f>
        <v/>
      </c>
      <c r="J8" s="37">
        <f>IF('1. MASTER_ENTRY'!$C8="","",'1. MASTER_ENTRY'!$U8)</f>
        <v/>
      </c>
      <c r="K8" s="36">
        <f>IF('1. MASTER_ENTRY'!$C8="","",'1. MASTER_ENTRY'!$M8)</f>
        <v/>
      </c>
      <c r="L8" s="36">
        <f>IF('1. MASTER_ENTRY'!$C8="","",'1. MASTER_ENTRY'!$R8)</f>
        <v/>
      </c>
    </row>
    <row r="9" ht="16" customHeight="1">
      <c r="A9" s="40">
        <f>IF('1. MASTER_ENTRY'!$C9="","",'1. MASTER_ENTRY'!$A9)</f>
        <v/>
      </c>
      <c r="B9" s="40">
        <f>IF('1. MASTER_ENTRY'!$C9="","",'1. MASTER_ENTRY'!$D9)</f>
        <v/>
      </c>
      <c r="C9" s="41">
        <f>IF('1. MASTER_ENTRY'!$C9="","",'1. MASTER_ENTRY'!$C9)</f>
        <v/>
      </c>
      <c r="D9" s="41">
        <f>IF('1. MASTER_ENTRY'!$C9="","",'1. MASTER_ENTRY'!$K9)</f>
        <v/>
      </c>
      <c r="E9" s="40">
        <f>IF('1. MASTER_ENTRY'!$C9="","",'1. MASTER_ENTRY'!$F9)</f>
        <v/>
      </c>
      <c r="F9" s="40">
        <f>IF('1. MASTER_ENTRY'!$C9="","",'1. MASTER_ENTRY'!$G9)</f>
        <v/>
      </c>
      <c r="G9" s="40">
        <f>IF('1. MASTER_ENTRY'!$C9="","",'1. MASTER_ENTRY'!$H9)</f>
        <v/>
      </c>
      <c r="H9" s="40">
        <f>IF('1. MASTER_ENTRY'!$C9="","",'1. MASTER_ENTRY'!$I9)</f>
        <v/>
      </c>
      <c r="I9" s="40">
        <f>IF('1. MASTER_ENTRY'!$C9="","",'1. MASTER_ENTRY'!$J9)</f>
        <v/>
      </c>
      <c r="J9" s="41">
        <f>IF('1. MASTER_ENTRY'!$C9="","",'1. MASTER_ENTRY'!$U9)</f>
        <v/>
      </c>
      <c r="K9" s="40">
        <f>IF('1. MASTER_ENTRY'!$C9="","",'1. MASTER_ENTRY'!$M9)</f>
        <v/>
      </c>
      <c r="L9" s="40">
        <f>IF('1. MASTER_ENTRY'!$C9="","",'1. MASTER_ENTRY'!$R9)</f>
        <v/>
      </c>
    </row>
    <row r="10" ht="16" customHeight="1">
      <c r="A10" s="36">
        <f>IF('1. MASTER_ENTRY'!$C10="","",'1. MASTER_ENTRY'!$A10)</f>
        <v/>
      </c>
      <c r="B10" s="36">
        <f>IF('1. MASTER_ENTRY'!$C10="","",'1. MASTER_ENTRY'!$D10)</f>
        <v/>
      </c>
      <c r="C10" s="37">
        <f>IF('1. MASTER_ENTRY'!$C10="","",'1. MASTER_ENTRY'!$C10)</f>
        <v/>
      </c>
      <c r="D10" s="37">
        <f>IF('1. MASTER_ENTRY'!$C10="","",'1. MASTER_ENTRY'!$K10)</f>
        <v/>
      </c>
      <c r="E10" s="36">
        <f>IF('1. MASTER_ENTRY'!$C10="","",'1. MASTER_ENTRY'!$F10)</f>
        <v/>
      </c>
      <c r="F10" s="36">
        <f>IF('1. MASTER_ENTRY'!$C10="","",'1. MASTER_ENTRY'!$G10)</f>
        <v/>
      </c>
      <c r="G10" s="36">
        <f>IF('1. MASTER_ENTRY'!$C10="","",'1. MASTER_ENTRY'!$H10)</f>
        <v/>
      </c>
      <c r="H10" s="36">
        <f>IF('1. MASTER_ENTRY'!$C10="","",'1. MASTER_ENTRY'!$I10)</f>
        <v/>
      </c>
      <c r="I10" s="36">
        <f>IF('1. MASTER_ENTRY'!$C10="","",'1. MASTER_ENTRY'!$J10)</f>
        <v/>
      </c>
      <c r="J10" s="37">
        <f>IF('1. MASTER_ENTRY'!$C10="","",'1. MASTER_ENTRY'!$U10)</f>
        <v/>
      </c>
      <c r="K10" s="36">
        <f>IF('1. MASTER_ENTRY'!$C10="","",'1. MASTER_ENTRY'!$M10)</f>
        <v/>
      </c>
      <c r="L10" s="36">
        <f>IF('1. MASTER_ENTRY'!$C10="","",'1. MASTER_ENTRY'!$R10)</f>
        <v/>
      </c>
    </row>
    <row r="11" ht="16" customHeight="1">
      <c r="A11" s="40">
        <f>IF('1. MASTER_ENTRY'!$C11="","",'1. MASTER_ENTRY'!$A11)</f>
        <v/>
      </c>
      <c r="B11" s="40">
        <f>IF('1. MASTER_ENTRY'!$C11="","",'1. MASTER_ENTRY'!$D11)</f>
        <v/>
      </c>
      <c r="C11" s="41">
        <f>IF('1. MASTER_ENTRY'!$C11="","",'1. MASTER_ENTRY'!$C11)</f>
        <v/>
      </c>
      <c r="D11" s="41">
        <f>IF('1. MASTER_ENTRY'!$C11="","",'1. MASTER_ENTRY'!$K11)</f>
        <v/>
      </c>
      <c r="E11" s="40">
        <f>IF('1. MASTER_ENTRY'!$C11="","",'1. MASTER_ENTRY'!$F11)</f>
        <v/>
      </c>
      <c r="F11" s="40">
        <f>IF('1. MASTER_ENTRY'!$C11="","",'1. MASTER_ENTRY'!$G11)</f>
        <v/>
      </c>
      <c r="G11" s="40">
        <f>IF('1. MASTER_ENTRY'!$C11="","",'1. MASTER_ENTRY'!$H11)</f>
        <v/>
      </c>
      <c r="H11" s="40">
        <f>IF('1. MASTER_ENTRY'!$C11="","",'1. MASTER_ENTRY'!$I11)</f>
        <v/>
      </c>
      <c r="I11" s="40">
        <f>IF('1. MASTER_ENTRY'!$C11="","",'1. MASTER_ENTRY'!$J11)</f>
        <v/>
      </c>
      <c r="J11" s="41">
        <f>IF('1. MASTER_ENTRY'!$C11="","",'1. MASTER_ENTRY'!$U11)</f>
        <v/>
      </c>
      <c r="K11" s="40">
        <f>IF('1. MASTER_ENTRY'!$C11="","",'1. MASTER_ENTRY'!$M11)</f>
        <v/>
      </c>
      <c r="L11" s="40">
        <f>IF('1. MASTER_ENTRY'!$C11="","",'1. MASTER_ENTRY'!$R11)</f>
        <v/>
      </c>
    </row>
    <row r="12" ht="16" customHeight="1">
      <c r="A12" s="36">
        <f>IF('1. MASTER_ENTRY'!$C12="","",'1. MASTER_ENTRY'!$A12)</f>
        <v/>
      </c>
      <c r="B12" s="36">
        <f>IF('1. MASTER_ENTRY'!$C12="","",'1. MASTER_ENTRY'!$D12)</f>
        <v/>
      </c>
      <c r="C12" s="37">
        <f>IF('1. MASTER_ENTRY'!$C12="","",'1. MASTER_ENTRY'!$C12)</f>
        <v/>
      </c>
      <c r="D12" s="37">
        <f>IF('1. MASTER_ENTRY'!$C12="","",'1. MASTER_ENTRY'!$K12)</f>
        <v/>
      </c>
      <c r="E12" s="36">
        <f>IF('1. MASTER_ENTRY'!$C12="","",'1. MASTER_ENTRY'!$F12)</f>
        <v/>
      </c>
      <c r="F12" s="36">
        <f>IF('1. MASTER_ENTRY'!$C12="","",'1. MASTER_ENTRY'!$G12)</f>
        <v/>
      </c>
      <c r="G12" s="36">
        <f>IF('1. MASTER_ENTRY'!$C12="","",'1. MASTER_ENTRY'!$H12)</f>
        <v/>
      </c>
      <c r="H12" s="36">
        <f>IF('1. MASTER_ENTRY'!$C12="","",'1. MASTER_ENTRY'!$I12)</f>
        <v/>
      </c>
      <c r="I12" s="36">
        <f>IF('1. MASTER_ENTRY'!$C12="","",'1. MASTER_ENTRY'!$J12)</f>
        <v/>
      </c>
      <c r="J12" s="37">
        <f>IF('1. MASTER_ENTRY'!$C12="","",'1. MASTER_ENTRY'!$U12)</f>
        <v/>
      </c>
      <c r="K12" s="36">
        <f>IF('1. MASTER_ENTRY'!$C12="","",'1. MASTER_ENTRY'!$M12)</f>
        <v/>
      </c>
      <c r="L12" s="36">
        <f>IF('1. MASTER_ENTRY'!$C12="","",'1. MASTER_ENTRY'!$R12)</f>
        <v/>
      </c>
    </row>
    <row r="13" ht="16" customHeight="1">
      <c r="A13" s="40">
        <f>IF('1. MASTER_ENTRY'!$C13="","",'1. MASTER_ENTRY'!$A13)</f>
        <v/>
      </c>
      <c r="B13" s="40">
        <f>IF('1. MASTER_ENTRY'!$C13="","",'1. MASTER_ENTRY'!$D13)</f>
        <v/>
      </c>
      <c r="C13" s="41">
        <f>IF('1. MASTER_ENTRY'!$C13="","",'1. MASTER_ENTRY'!$C13)</f>
        <v/>
      </c>
      <c r="D13" s="41">
        <f>IF('1. MASTER_ENTRY'!$C13="","",'1. MASTER_ENTRY'!$K13)</f>
        <v/>
      </c>
      <c r="E13" s="40">
        <f>IF('1. MASTER_ENTRY'!$C13="","",'1. MASTER_ENTRY'!$F13)</f>
        <v/>
      </c>
      <c r="F13" s="40">
        <f>IF('1. MASTER_ENTRY'!$C13="","",'1. MASTER_ENTRY'!$G13)</f>
        <v/>
      </c>
      <c r="G13" s="40">
        <f>IF('1. MASTER_ENTRY'!$C13="","",'1. MASTER_ENTRY'!$H13)</f>
        <v/>
      </c>
      <c r="H13" s="40">
        <f>IF('1. MASTER_ENTRY'!$C13="","",'1. MASTER_ENTRY'!$I13)</f>
        <v/>
      </c>
      <c r="I13" s="40">
        <f>IF('1. MASTER_ENTRY'!$C13="","",'1. MASTER_ENTRY'!$J13)</f>
        <v/>
      </c>
      <c r="J13" s="41">
        <f>IF('1. MASTER_ENTRY'!$C13="","",'1. MASTER_ENTRY'!$U13)</f>
        <v/>
      </c>
      <c r="K13" s="40">
        <f>IF('1. MASTER_ENTRY'!$C13="","",'1. MASTER_ENTRY'!$M13)</f>
        <v/>
      </c>
      <c r="L13" s="40">
        <f>IF('1. MASTER_ENTRY'!$C13="","",'1. MASTER_ENTRY'!$R13)</f>
        <v/>
      </c>
    </row>
    <row r="14" ht="16" customHeight="1">
      <c r="A14" s="36">
        <f>IF('1. MASTER_ENTRY'!$C14="","",'1. MASTER_ENTRY'!$A14)</f>
        <v/>
      </c>
      <c r="B14" s="36">
        <f>IF('1. MASTER_ENTRY'!$C14="","",'1. MASTER_ENTRY'!$D14)</f>
        <v/>
      </c>
      <c r="C14" s="37">
        <f>IF('1. MASTER_ENTRY'!$C14="","",'1. MASTER_ENTRY'!$C14)</f>
        <v/>
      </c>
      <c r="D14" s="37">
        <f>IF('1. MASTER_ENTRY'!$C14="","",'1. MASTER_ENTRY'!$K14)</f>
        <v/>
      </c>
      <c r="E14" s="36">
        <f>IF('1. MASTER_ENTRY'!$C14="","",'1. MASTER_ENTRY'!$F14)</f>
        <v/>
      </c>
      <c r="F14" s="36">
        <f>IF('1. MASTER_ENTRY'!$C14="","",'1. MASTER_ENTRY'!$G14)</f>
        <v/>
      </c>
      <c r="G14" s="36">
        <f>IF('1. MASTER_ENTRY'!$C14="","",'1. MASTER_ENTRY'!$H14)</f>
        <v/>
      </c>
      <c r="H14" s="36">
        <f>IF('1. MASTER_ENTRY'!$C14="","",'1. MASTER_ENTRY'!$I14)</f>
        <v/>
      </c>
      <c r="I14" s="36">
        <f>IF('1. MASTER_ENTRY'!$C14="","",'1. MASTER_ENTRY'!$J14)</f>
        <v/>
      </c>
      <c r="J14" s="37">
        <f>IF('1. MASTER_ENTRY'!$C14="","",'1. MASTER_ENTRY'!$U14)</f>
        <v/>
      </c>
      <c r="K14" s="36">
        <f>IF('1. MASTER_ENTRY'!$C14="","",'1. MASTER_ENTRY'!$M14)</f>
        <v/>
      </c>
      <c r="L14" s="36">
        <f>IF('1. MASTER_ENTRY'!$C14="","",'1. MASTER_ENTRY'!$R14)</f>
        <v/>
      </c>
    </row>
    <row r="15" ht="16" customHeight="1">
      <c r="A15" s="40">
        <f>IF('1. MASTER_ENTRY'!$C15="","",'1. MASTER_ENTRY'!$A15)</f>
        <v/>
      </c>
      <c r="B15" s="40">
        <f>IF('1. MASTER_ENTRY'!$C15="","",'1. MASTER_ENTRY'!$D15)</f>
        <v/>
      </c>
      <c r="C15" s="41">
        <f>IF('1. MASTER_ENTRY'!$C15="","",'1. MASTER_ENTRY'!$C15)</f>
        <v/>
      </c>
      <c r="D15" s="41">
        <f>IF('1. MASTER_ENTRY'!$C15="","",'1. MASTER_ENTRY'!$K15)</f>
        <v/>
      </c>
      <c r="E15" s="40">
        <f>IF('1. MASTER_ENTRY'!$C15="","",'1. MASTER_ENTRY'!$F15)</f>
        <v/>
      </c>
      <c r="F15" s="40">
        <f>IF('1. MASTER_ENTRY'!$C15="","",'1. MASTER_ENTRY'!$G15)</f>
        <v/>
      </c>
      <c r="G15" s="40">
        <f>IF('1. MASTER_ENTRY'!$C15="","",'1. MASTER_ENTRY'!$H15)</f>
        <v/>
      </c>
      <c r="H15" s="40">
        <f>IF('1. MASTER_ENTRY'!$C15="","",'1. MASTER_ENTRY'!$I15)</f>
        <v/>
      </c>
      <c r="I15" s="40">
        <f>IF('1. MASTER_ENTRY'!$C15="","",'1. MASTER_ENTRY'!$J15)</f>
        <v/>
      </c>
      <c r="J15" s="41">
        <f>IF('1. MASTER_ENTRY'!$C15="","",'1. MASTER_ENTRY'!$U15)</f>
        <v/>
      </c>
      <c r="K15" s="40">
        <f>IF('1. MASTER_ENTRY'!$C15="","",'1. MASTER_ENTRY'!$M15)</f>
        <v/>
      </c>
      <c r="L15" s="40">
        <f>IF('1. MASTER_ENTRY'!$C15="","",'1. MASTER_ENTRY'!$R15)</f>
        <v/>
      </c>
    </row>
    <row r="16" ht="16" customHeight="1">
      <c r="A16" s="36">
        <f>IF('1. MASTER_ENTRY'!$C16="","",'1. MASTER_ENTRY'!$A16)</f>
        <v/>
      </c>
      <c r="B16" s="36">
        <f>IF('1. MASTER_ENTRY'!$C16="","",'1. MASTER_ENTRY'!$D16)</f>
        <v/>
      </c>
      <c r="C16" s="37">
        <f>IF('1. MASTER_ENTRY'!$C16="","",'1. MASTER_ENTRY'!$C16)</f>
        <v/>
      </c>
      <c r="D16" s="37">
        <f>IF('1. MASTER_ENTRY'!$C16="","",'1. MASTER_ENTRY'!$K16)</f>
        <v/>
      </c>
      <c r="E16" s="36">
        <f>IF('1. MASTER_ENTRY'!$C16="","",'1. MASTER_ENTRY'!$F16)</f>
        <v/>
      </c>
      <c r="F16" s="36">
        <f>IF('1. MASTER_ENTRY'!$C16="","",'1. MASTER_ENTRY'!$G16)</f>
        <v/>
      </c>
      <c r="G16" s="36">
        <f>IF('1. MASTER_ENTRY'!$C16="","",'1. MASTER_ENTRY'!$H16)</f>
        <v/>
      </c>
      <c r="H16" s="36">
        <f>IF('1. MASTER_ENTRY'!$C16="","",'1. MASTER_ENTRY'!$I16)</f>
        <v/>
      </c>
      <c r="I16" s="36">
        <f>IF('1. MASTER_ENTRY'!$C16="","",'1. MASTER_ENTRY'!$J16)</f>
        <v/>
      </c>
      <c r="J16" s="37">
        <f>IF('1. MASTER_ENTRY'!$C16="","",'1. MASTER_ENTRY'!$U16)</f>
        <v/>
      </c>
      <c r="K16" s="36">
        <f>IF('1. MASTER_ENTRY'!$C16="","",'1. MASTER_ENTRY'!$M16)</f>
        <v/>
      </c>
      <c r="L16" s="36">
        <f>IF('1. MASTER_ENTRY'!$C16="","",'1. MASTER_ENTRY'!$R16)</f>
        <v/>
      </c>
    </row>
    <row r="17" ht="16" customHeight="1">
      <c r="A17" s="40">
        <f>IF('1. MASTER_ENTRY'!$C17="","",'1. MASTER_ENTRY'!$A17)</f>
        <v/>
      </c>
      <c r="B17" s="40">
        <f>IF('1. MASTER_ENTRY'!$C17="","",'1. MASTER_ENTRY'!$D17)</f>
        <v/>
      </c>
      <c r="C17" s="41">
        <f>IF('1. MASTER_ENTRY'!$C17="","",'1. MASTER_ENTRY'!$C17)</f>
        <v/>
      </c>
      <c r="D17" s="41">
        <f>IF('1. MASTER_ENTRY'!$C17="","",'1. MASTER_ENTRY'!$K17)</f>
        <v/>
      </c>
      <c r="E17" s="40">
        <f>IF('1. MASTER_ENTRY'!$C17="","",'1. MASTER_ENTRY'!$F17)</f>
        <v/>
      </c>
      <c r="F17" s="40">
        <f>IF('1. MASTER_ENTRY'!$C17="","",'1. MASTER_ENTRY'!$G17)</f>
        <v/>
      </c>
      <c r="G17" s="40">
        <f>IF('1. MASTER_ENTRY'!$C17="","",'1. MASTER_ENTRY'!$H17)</f>
        <v/>
      </c>
      <c r="H17" s="40">
        <f>IF('1. MASTER_ENTRY'!$C17="","",'1. MASTER_ENTRY'!$I17)</f>
        <v/>
      </c>
      <c r="I17" s="40">
        <f>IF('1. MASTER_ENTRY'!$C17="","",'1. MASTER_ENTRY'!$J17)</f>
        <v/>
      </c>
      <c r="J17" s="41">
        <f>IF('1. MASTER_ENTRY'!$C17="","",'1. MASTER_ENTRY'!$U17)</f>
        <v/>
      </c>
      <c r="K17" s="40">
        <f>IF('1. MASTER_ENTRY'!$C17="","",'1. MASTER_ENTRY'!$M17)</f>
        <v/>
      </c>
      <c r="L17" s="40">
        <f>IF('1. MASTER_ENTRY'!$C17="","",'1. MASTER_ENTRY'!$R17)</f>
        <v/>
      </c>
    </row>
    <row r="18" ht="16" customHeight="1">
      <c r="A18" s="36">
        <f>IF('1. MASTER_ENTRY'!$C18="","",'1. MASTER_ENTRY'!$A18)</f>
        <v/>
      </c>
      <c r="B18" s="36">
        <f>IF('1. MASTER_ENTRY'!$C18="","",'1. MASTER_ENTRY'!$D18)</f>
        <v/>
      </c>
      <c r="C18" s="37">
        <f>IF('1. MASTER_ENTRY'!$C18="","",'1. MASTER_ENTRY'!$C18)</f>
        <v/>
      </c>
      <c r="D18" s="37">
        <f>IF('1. MASTER_ENTRY'!$C18="","",'1. MASTER_ENTRY'!$K18)</f>
        <v/>
      </c>
      <c r="E18" s="36">
        <f>IF('1. MASTER_ENTRY'!$C18="","",'1. MASTER_ENTRY'!$F18)</f>
        <v/>
      </c>
      <c r="F18" s="36">
        <f>IF('1. MASTER_ENTRY'!$C18="","",'1. MASTER_ENTRY'!$G18)</f>
        <v/>
      </c>
      <c r="G18" s="36">
        <f>IF('1. MASTER_ENTRY'!$C18="","",'1. MASTER_ENTRY'!$H18)</f>
        <v/>
      </c>
      <c r="H18" s="36">
        <f>IF('1. MASTER_ENTRY'!$C18="","",'1. MASTER_ENTRY'!$I18)</f>
        <v/>
      </c>
      <c r="I18" s="36">
        <f>IF('1. MASTER_ENTRY'!$C18="","",'1. MASTER_ENTRY'!$J18)</f>
        <v/>
      </c>
      <c r="J18" s="37">
        <f>IF('1. MASTER_ENTRY'!$C18="","",'1. MASTER_ENTRY'!$U18)</f>
        <v/>
      </c>
      <c r="K18" s="36">
        <f>IF('1. MASTER_ENTRY'!$C18="","",'1. MASTER_ENTRY'!$M18)</f>
        <v/>
      </c>
      <c r="L18" s="36">
        <f>IF('1. MASTER_ENTRY'!$C18="","",'1. MASTER_ENTRY'!$R18)</f>
        <v/>
      </c>
    </row>
    <row r="19" ht="16" customHeight="1">
      <c r="A19" s="40">
        <f>IF('1. MASTER_ENTRY'!$C19="","",'1. MASTER_ENTRY'!$A19)</f>
        <v/>
      </c>
      <c r="B19" s="40">
        <f>IF('1. MASTER_ENTRY'!$C19="","",'1. MASTER_ENTRY'!$D19)</f>
        <v/>
      </c>
      <c r="C19" s="41">
        <f>IF('1. MASTER_ENTRY'!$C19="","",'1. MASTER_ENTRY'!$C19)</f>
        <v/>
      </c>
      <c r="D19" s="41">
        <f>IF('1. MASTER_ENTRY'!$C19="","",'1. MASTER_ENTRY'!$K19)</f>
        <v/>
      </c>
      <c r="E19" s="40">
        <f>IF('1. MASTER_ENTRY'!$C19="","",'1. MASTER_ENTRY'!$F19)</f>
        <v/>
      </c>
      <c r="F19" s="40">
        <f>IF('1. MASTER_ENTRY'!$C19="","",'1. MASTER_ENTRY'!$G19)</f>
        <v/>
      </c>
      <c r="G19" s="40">
        <f>IF('1. MASTER_ENTRY'!$C19="","",'1. MASTER_ENTRY'!$H19)</f>
        <v/>
      </c>
      <c r="H19" s="40">
        <f>IF('1. MASTER_ENTRY'!$C19="","",'1. MASTER_ENTRY'!$I19)</f>
        <v/>
      </c>
      <c r="I19" s="40">
        <f>IF('1. MASTER_ENTRY'!$C19="","",'1. MASTER_ENTRY'!$J19)</f>
        <v/>
      </c>
      <c r="J19" s="41">
        <f>IF('1. MASTER_ENTRY'!$C19="","",'1. MASTER_ENTRY'!$U19)</f>
        <v/>
      </c>
      <c r="K19" s="40">
        <f>IF('1. MASTER_ENTRY'!$C19="","",'1. MASTER_ENTRY'!$M19)</f>
        <v/>
      </c>
      <c r="L19" s="40">
        <f>IF('1. MASTER_ENTRY'!$C19="","",'1. MASTER_ENTRY'!$R19)</f>
        <v/>
      </c>
    </row>
    <row r="20" ht="16" customHeight="1">
      <c r="A20" s="36">
        <f>IF('1. MASTER_ENTRY'!$C20="","",'1. MASTER_ENTRY'!$A20)</f>
        <v/>
      </c>
      <c r="B20" s="36">
        <f>IF('1. MASTER_ENTRY'!$C20="","",'1. MASTER_ENTRY'!$D20)</f>
        <v/>
      </c>
      <c r="C20" s="37">
        <f>IF('1. MASTER_ENTRY'!$C20="","",'1. MASTER_ENTRY'!$C20)</f>
        <v/>
      </c>
      <c r="D20" s="37">
        <f>IF('1. MASTER_ENTRY'!$C20="","",'1. MASTER_ENTRY'!$K20)</f>
        <v/>
      </c>
      <c r="E20" s="36">
        <f>IF('1. MASTER_ENTRY'!$C20="","",'1. MASTER_ENTRY'!$F20)</f>
        <v/>
      </c>
      <c r="F20" s="36">
        <f>IF('1. MASTER_ENTRY'!$C20="","",'1. MASTER_ENTRY'!$G20)</f>
        <v/>
      </c>
      <c r="G20" s="36">
        <f>IF('1. MASTER_ENTRY'!$C20="","",'1. MASTER_ENTRY'!$H20)</f>
        <v/>
      </c>
      <c r="H20" s="36">
        <f>IF('1. MASTER_ENTRY'!$C20="","",'1. MASTER_ENTRY'!$I20)</f>
        <v/>
      </c>
      <c r="I20" s="36">
        <f>IF('1. MASTER_ENTRY'!$C20="","",'1. MASTER_ENTRY'!$J20)</f>
        <v/>
      </c>
      <c r="J20" s="37">
        <f>IF('1. MASTER_ENTRY'!$C20="","",'1. MASTER_ENTRY'!$U20)</f>
        <v/>
      </c>
      <c r="K20" s="36">
        <f>IF('1. MASTER_ENTRY'!$C20="","",'1. MASTER_ENTRY'!$M20)</f>
        <v/>
      </c>
      <c r="L20" s="36">
        <f>IF('1. MASTER_ENTRY'!$C20="","",'1. MASTER_ENTRY'!$R20)</f>
        <v/>
      </c>
    </row>
    <row r="21" ht="16" customHeight="1">
      <c r="A21" s="40">
        <f>IF('1. MASTER_ENTRY'!$C21="","",'1. MASTER_ENTRY'!$A21)</f>
        <v/>
      </c>
      <c r="B21" s="40">
        <f>IF('1. MASTER_ENTRY'!$C21="","",'1. MASTER_ENTRY'!$D21)</f>
        <v/>
      </c>
      <c r="C21" s="41">
        <f>IF('1. MASTER_ENTRY'!$C21="","",'1. MASTER_ENTRY'!$C21)</f>
        <v/>
      </c>
      <c r="D21" s="41">
        <f>IF('1. MASTER_ENTRY'!$C21="","",'1. MASTER_ENTRY'!$K21)</f>
        <v/>
      </c>
      <c r="E21" s="40">
        <f>IF('1. MASTER_ENTRY'!$C21="","",'1. MASTER_ENTRY'!$F21)</f>
        <v/>
      </c>
      <c r="F21" s="40">
        <f>IF('1. MASTER_ENTRY'!$C21="","",'1. MASTER_ENTRY'!$G21)</f>
        <v/>
      </c>
      <c r="G21" s="40">
        <f>IF('1. MASTER_ENTRY'!$C21="","",'1. MASTER_ENTRY'!$H21)</f>
        <v/>
      </c>
      <c r="H21" s="40">
        <f>IF('1. MASTER_ENTRY'!$C21="","",'1. MASTER_ENTRY'!$I21)</f>
        <v/>
      </c>
      <c r="I21" s="40">
        <f>IF('1. MASTER_ENTRY'!$C21="","",'1. MASTER_ENTRY'!$J21)</f>
        <v/>
      </c>
      <c r="J21" s="41">
        <f>IF('1. MASTER_ENTRY'!$C21="","",'1. MASTER_ENTRY'!$U21)</f>
        <v/>
      </c>
      <c r="K21" s="40">
        <f>IF('1. MASTER_ENTRY'!$C21="","",'1. MASTER_ENTRY'!$M21)</f>
        <v/>
      </c>
      <c r="L21" s="40">
        <f>IF('1. MASTER_ENTRY'!$C21="","",'1. MASTER_ENTRY'!$R21)</f>
        <v/>
      </c>
    </row>
    <row r="22" ht="16" customHeight="1">
      <c r="A22" s="36">
        <f>IF('1. MASTER_ENTRY'!$C22="","",'1. MASTER_ENTRY'!$A22)</f>
        <v/>
      </c>
      <c r="B22" s="36">
        <f>IF('1. MASTER_ENTRY'!$C22="","",'1. MASTER_ENTRY'!$D22)</f>
        <v/>
      </c>
      <c r="C22" s="37">
        <f>IF('1. MASTER_ENTRY'!$C22="","",'1. MASTER_ENTRY'!$C22)</f>
        <v/>
      </c>
      <c r="D22" s="37">
        <f>IF('1. MASTER_ENTRY'!$C22="","",'1. MASTER_ENTRY'!$K22)</f>
        <v/>
      </c>
      <c r="E22" s="36">
        <f>IF('1. MASTER_ENTRY'!$C22="","",'1. MASTER_ENTRY'!$F22)</f>
        <v/>
      </c>
      <c r="F22" s="36">
        <f>IF('1. MASTER_ENTRY'!$C22="","",'1. MASTER_ENTRY'!$G22)</f>
        <v/>
      </c>
      <c r="G22" s="36">
        <f>IF('1. MASTER_ENTRY'!$C22="","",'1. MASTER_ENTRY'!$H22)</f>
        <v/>
      </c>
      <c r="H22" s="36">
        <f>IF('1. MASTER_ENTRY'!$C22="","",'1. MASTER_ENTRY'!$I22)</f>
        <v/>
      </c>
      <c r="I22" s="36">
        <f>IF('1. MASTER_ENTRY'!$C22="","",'1. MASTER_ENTRY'!$J22)</f>
        <v/>
      </c>
      <c r="J22" s="37">
        <f>IF('1. MASTER_ENTRY'!$C22="","",'1. MASTER_ENTRY'!$U22)</f>
        <v/>
      </c>
      <c r="K22" s="36">
        <f>IF('1. MASTER_ENTRY'!$C22="","",'1. MASTER_ENTRY'!$M22)</f>
        <v/>
      </c>
      <c r="L22" s="36">
        <f>IF('1. MASTER_ENTRY'!$C22="","",'1. MASTER_ENTRY'!$R22)</f>
        <v/>
      </c>
    </row>
    <row r="23" ht="16" customHeight="1">
      <c r="A23" s="40">
        <f>IF('1. MASTER_ENTRY'!$C23="","",'1. MASTER_ENTRY'!$A23)</f>
        <v/>
      </c>
      <c r="B23" s="40">
        <f>IF('1. MASTER_ENTRY'!$C23="","",'1. MASTER_ENTRY'!$D23)</f>
        <v/>
      </c>
      <c r="C23" s="41">
        <f>IF('1. MASTER_ENTRY'!$C23="","",'1. MASTER_ENTRY'!$C23)</f>
        <v/>
      </c>
      <c r="D23" s="41">
        <f>IF('1. MASTER_ENTRY'!$C23="","",'1. MASTER_ENTRY'!$K23)</f>
        <v/>
      </c>
      <c r="E23" s="40">
        <f>IF('1. MASTER_ENTRY'!$C23="","",'1. MASTER_ENTRY'!$F23)</f>
        <v/>
      </c>
      <c r="F23" s="40">
        <f>IF('1. MASTER_ENTRY'!$C23="","",'1. MASTER_ENTRY'!$G23)</f>
        <v/>
      </c>
      <c r="G23" s="40">
        <f>IF('1. MASTER_ENTRY'!$C23="","",'1. MASTER_ENTRY'!$H23)</f>
        <v/>
      </c>
      <c r="H23" s="40">
        <f>IF('1. MASTER_ENTRY'!$C23="","",'1. MASTER_ENTRY'!$I23)</f>
        <v/>
      </c>
      <c r="I23" s="40">
        <f>IF('1. MASTER_ENTRY'!$C23="","",'1. MASTER_ENTRY'!$J23)</f>
        <v/>
      </c>
      <c r="J23" s="41">
        <f>IF('1. MASTER_ENTRY'!$C23="","",'1. MASTER_ENTRY'!$U23)</f>
        <v/>
      </c>
      <c r="K23" s="40">
        <f>IF('1. MASTER_ENTRY'!$C23="","",'1. MASTER_ENTRY'!$M23)</f>
        <v/>
      </c>
      <c r="L23" s="40">
        <f>IF('1. MASTER_ENTRY'!$C23="","",'1. MASTER_ENTRY'!$R23)</f>
        <v/>
      </c>
    </row>
    <row r="24" ht="16" customHeight="1">
      <c r="A24" s="36">
        <f>IF('1. MASTER_ENTRY'!$C24="","",'1. MASTER_ENTRY'!$A24)</f>
        <v/>
      </c>
      <c r="B24" s="36">
        <f>IF('1. MASTER_ENTRY'!$C24="","",'1. MASTER_ENTRY'!$D24)</f>
        <v/>
      </c>
      <c r="C24" s="37">
        <f>IF('1. MASTER_ENTRY'!$C24="","",'1. MASTER_ENTRY'!$C24)</f>
        <v/>
      </c>
      <c r="D24" s="37">
        <f>IF('1. MASTER_ENTRY'!$C24="","",'1. MASTER_ENTRY'!$K24)</f>
        <v/>
      </c>
      <c r="E24" s="36">
        <f>IF('1. MASTER_ENTRY'!$C24="","",'1. MASTER_ENTRY'!$F24)</f>
        <v/>
      </c>
      <c r="F24" s="36">
        <f>IF('1. MASTER_ENTRY'!$C24="","",'1. MASTER_ENTRY'!$G24)</f>
        <v/>
      </c>
      <c r="G24" s="36">
        <f>IF('1. MASTER_ENTRY'!$C24="","",'1. MASTER_ENTRY'!$H24)</f>
        <v/>
      </c>
      <c r="H24" s="36">
        <f>IF('1. MASTER_ENTRY'!$C24="","",'1. MASTER_ENTRY'!$I24)</f>
        <v/>
      </c>
      <c r="I24" s="36">
        <f>IF('1. MASTER_ENTRY'!$C24="","",'1. MASTER_ENTRY'!$J24)</f>
        <v/>
      </c>
      <c r="J24" s="37">
        <f>IF('1. MASTER_ENTRY'!$C24="","",'1. MASTER_ENTRY'!$U24)</f>
        <v/>
      </c>
      <c r="K24" s="36">
        <f>IF('1. MASTER_ENTRY'!$C24="","",'1. MASTER_ENTRY'!$M24)</f>
        <v/>
      </c>
      <c r="L24" s="36">
        <f>IF('1. MASTER_ENTRY'!$C24="","",'1. MASTER_ENTRY'!$R24)</f>
        <v/>
      </c>
    </row>
    <row r="25" ht="16" customHeight="1">
      <c r="A25" s="40">
        <f>IF('1. MASTER_ENTRY'!$C25="","",'1. MASTER_ENTRY'!$A25)</f>
        <v/>
      </c>
      <c r="B25" s="40">
        <f>IF('1. MASTER_ENTRY'!$C25="","",'1. MASTER_ENTRY'!$D25)</f>
        <v/>
      </c>
      <c r="C25" s="41">
        <f>IF('1. MASTER_ENTRY'!$C25="","",'1. MASTER_ENTRY'!$C25)</f>
        <v/>
      </c>
      <c r="D25" s="41">
        <f>IF('1. MASTER_ENTRY'!$C25="","",'1. MASTER_ENTRY'!$K25)</f>
        <v/>
      </c>
      <c r="E25" s="40">
        <f>IF('1. MASTER_ENTRY'!$C25="","",'1. MASTER_ENTRY'!$F25)</f>
        <v/>
      </c>
      <c r="F25" s="40">
        <f>IF('1. MASTER_ENTRY'!$C25="","",'1. MASTER_ENTRY'!$G25)</f>
        <v/>
      </c>
      <c r="G25" s="40">
        <f>IF('1. MASTER_ENTRY'!$C25="","",'1. MASTER_ENTRY'!$H25)</f>
        <v/>
      </c>
      <c r="H25" s="40">
        <f>IF('1. MASTER_ENTRY'!$C25="","",'1. MASTER_ENTRY'!$I25)</f>
        <v/>
      </c>
      <c r="I25" s="40">
        <f>IF('1. MASTER_ENTRY'!$C25="","",'1. MASTER_ENTRY'!$J25)</f>
        <v/>
      </c>
      <c r="J25" s="41">
        <f>IF('1. MASTER_ENTRY'!$C25="","",'1. MASTER_ENTRY'!$U25)</f>
        <v/>
      </c>
      <c r="K25" s="40">
        <f>IF('1. MASTER_ENTRY'!$C25="","",'1. MASTER_ENTRY'!$M25)</f>
        <v/>
      </c>
      <c r="L25" s="40">
        <f>IF('1. MASTER_ENTRY'!$C25="","",'1. MASTER_ENTRY'!$R25)</f>
        <v/>
      </c>
    </row>
    <row r="26" ht="16" customHeight="1">
      <c r="A26" s="36">
        <f>IF('1. MASTER_ENTRY'!$C26="","",'1. MASTER_ENTRY'!$A26)</f>
        <v/>
      </c>
      <c r="B26" s="36">
        <f>IF('1. MASTER_ENTRY'!$C26="","",'1. MASTER_ENTRY'!$D26)</f>
        <v/>
      </c>
      <c r="C26" s="37">
        <f>IF('1. MASTER_ENTRY'!$C26="","",'1. MASTER_ENTRY'!$C26)</f>
        <v/>
      </c>
      <c r="D26" s="37">
        <f>IF('1. MASTER_ENTRY'!$C26="","",'1. MASTER_ENTRY'!$K26)</f>
        <v/>
      </c>
      <c r="E26" s="36">
        <f>IF('1. MASTER_ENTRY'!$C26="","",'1. MASTER_ENTRY'!$F26)</f>
        <v/>
      </c>
      <c r="F26" s="36">
        <f>IF('1. MASTER_ENTRY'!$C26="","",'1. MASTER_ENTRY'!$G26)</f>
        <v/>
      </c>
      <c r="G26" s="36">
        <f>IF('1. MASTER_ENTRY'!$C26="","",'1. MASTER_ENTRY'!$H26)</f>
        <v/>
      </c>
      <c r="H26" s="36">
        <f>IF('1. MASTER_ENTRY'!$C26="","",'1. MASTER_ENTRY'!$I26)</f>
        <v/>
      </c>
      <c r="I26" s="36">
        <f>IF('1. MASTER_ENTRY'!$C26="","",'1. MASTER_ENTRY'!$J26)</f>
        <v/>
      </c>
      <c r="J26" s="37">
        <f>IF('1. MASTER_ENTRY'!$C26="","",'1. MASTER_ENTRY'!$U26)</f>
        <v/>
      </c>
      <c r="K26" s="36">
        <f>IF('1. MASTER_ENTRY'!$C26="","",'1. MASTER_ENTRY'!$M26)</f>
        <v/>
      </c>
      <c r="L26" s="36">
        <f>IF('1. MASTER_ENTRY'!$C26="","",'1. MASTER_ENTRY'!$R26)</f>
        <v/>
      </c>
    </row>
    <row r="27" ht="16" customHeight="1">
      <c r="A27" s="40">
        <f>IF('1. MASTER_ENTRY'!$C27="","",'1. MASTER_ENTRY'!$A27)</f>
        <v/>
      </c>
      <c r="B27" s="40">
        <f>IF('1. MASTER_ENTRY'!$C27="","",'1. MASTER_ENTRY'!$D27)</f>
        <v/>
      </c>
      <c r="C27" s="41">
        <f>IF('1. MASTER_ENTRY'!$C27="","",'1. MASTER_ENTRY'!$C27)</f>
        <v/>
      </c>
      <c r="D27" s="41">
        <f>IF('1. MASTER_ENTRY'!$C27="","",'1. MASTER_ENTRY'!$K27)</f>
        <v/>
      </c>
      <c r="E27" s="40">
        <f>IF('1. MASTER_ENTRY'!$C27="","",'1. MASTER_ENTRY'!$F27)</f>
        <v/>
      </c>
      <c r="F27" s="40">
        <f>IF('1. MASTER_ENTRY'!$C27="","",'1. MASTER_ENTRY'!$G27)</f>
        <v/>
      </c>
      <c r="G27" s="40">
        <f>IF('1. MASTER_ENTRY'!$C27="","",'1. MASTER_ENTRY'!$H27)</f>
        <v/>
      </c>
      <c r="H27" s="40">
        <f>IF('1. MASTER_ENTRY'!$C27="","",'1. MASTER_ENTRY'!$I27)</f>
        <v/>
      </c>
      <c r="I27" s="40">
        <f>IF('1. MASTER_ENTRY'!$C27="","",'1. MASTER_ENTRY'!$J27)</f>
        <v/>
      </c>
      <c r="J27" s="41">
        <f>IF('1. MASTER_ENTRY'!$C27="","",'1. MASTER_ENTRY'!$U27)</f>
        <v/>
      </c>
      <c r="K27" s="40">
        <f>IF('1. MASTER_ENTRY'!$C27="","",'1. MASTER_ENTRY'!$M27)</f>
        <v/>
      </c>
      <c r="L27" s="40">
        <f>IF('1. MASTER_ENTRY'!$C27="","",'1. MASTER_ENTRY'!$R27)</f>
        <v/>
      </c>
    </row>
    <row r="28" ht="16" customHeight="1">
      <c r="A28" s="36">
        <f>IF('1. MASTER_ENTRY'!$C28="","",'1. MASTER_ENTRY'!$A28)</f>
        <v/>
      </c>
      <c r="B28" s="36">
        <f>IF('1. MASTER_ENTRY'!$C28="","",'1. MASTER_ENTRY'!$D28)</f>
        <v/>
      </c>
      <c r="C28" s="37">
        <f>IF('1. MASTER_ENTRY'!$C28="","",'1. MASTER_ENTRY'!$C28)</f>
        <v/>
      </c>
      <c r="D28" s="37">
        <f>IF('1. MASTER_ENTRY'!$C28="","",'1. MASTER_ENTRY'!$K28)</f>
        <v/>
      </c>
      <c r="E28" s="36">
        <f>IF('1. MASTER_ENTRY'!$C28="","",'1. MASTER_ENTRY'!$F28)</f>
        <v/>
      </c>
      <c r="F28" s="36">
        <f>IF('1. MASTER_ENTRY'!$C28="","",'1. MASTER_ENTRY'!$G28)</f>
        <v/>
      </c>
      <c r="G28" s="36">
        <f>IF('1. MASTER_ENTRY'!$C28="","",'1. MASTER_ENTRY'!$H28)</f>
        <v/>
      </c>
      <c r="H28" s="36">
        <f>IF('1. MASTER_ENTRY'!$C28="","",'1. MASTER_ENTRY'!$I28)</f>
        <v/>
      </c>
      <c r="I28" s="36">
        <f>IF('1. MASTER_ENTRY'!$C28="","",'1. MASTER_ENTRY'!$J28)</f>
        <v/>
      </c>
      <c r="J28" s="37">
        <f>IF('1. MASTER_ENTRY'!$C28="","",'1. MASTER_ENTRY'!$U28)</f>
        <v/>
      </c>
      <c r="K28" s="36">
        <f>IF('1. MASTER_ENTRY'!$C28="","",'1. MASTER_ENTRY'!$M28)</f>
        <v/>
      </c>
      <c r="L28" s="36">
        <f>IF('1. MASTER_ENTRY'!$C28="","",'1. MASTER_ENTRY'!$R28)</f>
        <v/>
      </c>
    </row>
    <row r="29" ht="16" customHeight="1">
      <c r="A29" s="40">
        <f>IF('1. MASTER_ENTRY'!$C29="","",'1. MASTER_ENTRY'!$A29)</f>
        <v/>
      </c>
      <c r="B29" s="40">
        <f>IF('1. MASTER_ENTRY'!$C29="","",'1. MASTER_ENTRY'!$D29)</f>
        <v/>
      </c>
      <c r="C29" s="41">
        <f>IF('1. MASTER_ENTRY'!$C29="","",'1. MASTER_ENTRY'!$C29)</f>
        <v/>
      </c>
      <c r="D29" s="41">
        <f>IF('1. MASTER_ENTRY'!$C29="","",'1. MASTER_ENTRY'!$K29)</f>
        <v/>
      </c>
      <c r="E29" s="40">
        <f>IF('1. MASTER_ENTRY'!$C29="","",'1. MASTER_ENTRY'!$F29)</f>
        <v/>
      </c>
      <c r="F29" s="40">
        <f>IF('1. MASTER_ENTRY'!$C29="","",'1. MASTER_ENTRY'!$G29)</f>
        <v/>
      </c>
      <c r="G29" s="40">
        <f>IF('1. MASTER_ENTRY'!$C29="","",'1. MASTER_ENTRY'!$H29)</f>
        <v/>
      </c>
      <c r="H29" s="40">
        <f>IF('1. MASTER_ENTRY'!$C29="","",'1. MASTER_ENTRY'!$I29)</f>
        <v/>
      </c>
      <c r="I29" s="40">
        <f>IF('1. MASTER_ENTRY'!$C29="","",'1. MASTER_ENTRY'!$J29)</f>
        <v/>
      </c>
      <c r="J29" s="41">
        <f>IF('1. MASTER_ENTRY'!$C29="","",'1. MASTER_ENTRY'!$U29)</f>
        <v/>
      </c>
      <c r="K29" s="40">
        <f>IF('1. MASTER_ENTRY'!$C29="","",'1. MASTER_ENTRY'!$M29)</f>
        <v/>
      </c>
      <c r="L29" s="40">
        <f>IF('1. MASTER_ENTRY'!$C29="","",'1. MASTER_ENTRY'!$R29)</f>
        <v/>
      </c>
    </row>
    <row r="30" ht="16" customHeight="1">
      <c r="A30" s="36">
        <f>IF('1. MASTER_ENTRY'!$C30="","",'1. MASTER_ENTRY'!$A30)</f>
        <v/>
      </c>
      <c r="B30" s="36">
        <f>IF('1. MASTER_ENTRY'!$C30="","",'1. MASTER_ENTRY'!$D30)</f>
        <v/>
      </c>
      <c r="C30" s="37">
        <f>IF('1. MASTER_ENTRY'!$C30="","",'1. MASTER_ENTRY'!$C30)</f>
        <v/>
      </c>
      <c r="D30" s="37">
        <f>IF('1. MASTER_ENTRY'!$C30="","",'1. MASTER_ENTRY'!$K30)</f>
        <v/>
      </c>
      <c r="E30" s="36">
        <f>IF('1. MASTER_ENTRY'!$C30="","",'1. MASTER_ENTRY'!$F30)</f>
        <v/>
      </c>
      <c r="F30" s="36">
        <f>IF('1. MASTER_ENTRY'!$C30="","",'1. MASTER_ENTRY'!$G30)</f>
        <v/>
      </c>
      <c r="G30" s="36">
        <f>IF('1. MASTER_ENTRY'!$C30="","",'1. MASTER_ENTRY'!$H30)</f>
        <v/>
      </c>
      <c r="H30" s="36">
        <f>IF('1. MASTER_ENTRY'!$C30="","",'1. MASTER_ENTRY'!$I30)</f>
        <v/>
      </c>
      <c r="I30" s="36">
        <f>IF('1. MASTER_ENTRY'!$C30="","",'1. MASTER_ENTRY'!$J30)</f>
        <v/>
      </c>
      <c r="J30" s="37">
        <f>IF('1. MASTER_ENTRY'!$C30="","",'1. MASTER_ENTRY'!$U30)</f>
        <v/>
      </c>
      <c r="K30" s="36">
        <f>IF('1. MASTER_ENTRY'!$C30="","",'1. MASTER_ENTRY'!$M30)</f>
        <v/>
      </c>
      <c r="L30" s="36">
        <f>IF('1. MASTER_ENTRY'!$C30="","",'1. MASTER_ENTRY'!$R30)</f>
        <v/>
      </c>
    </row>
    <row r="31" ht="16" customHeight="1">
      <c r="A31" s="40">
        <f>IF('1. MASTER_ENTRY'!$C31="","",'1. MASTER_ENTRY'!$A31)</f>
        <v/>
      </c>
      <c r="B31" s="40">
        <f>IF('1. MASTER_ENTRY'!$C31="","",'1. MASTER_ENTRY'!$D31)</f>
        <v/>
      </c>
      <c r="C31" s="41">
        <f>IF('1. MASTER_ENTRY'!$C31="","",'1. MASTER_ENTRY'!$C31)</f>
        <v/>
      </c>
      <c r="D31" s="41">
        <f>IF('1. MASTER_ENTRY'!$C31="","",'1. MASTER_ENTRY'!$K31)</f>
        <v/>
      </c>
      <c r="E31" s="40">
        <f>IF('1. MASTER_ENTRY'!$C31="","",'1. MASTER_ENTRY'!$F31)</f>
        <v/>
      </c>
      <c r="F31" s="40">
        <f>IF('1. MASTER_ENTRY'!$C31="","",'1. MASTER_ENTRY'!$G31)</f>
        <v/>
      </c>
      <c r="G31" s="40">
        <f>IF('1. MASTER_ENTRY'!$C31="","",'1. MASTER_ENTRY'!$H31)</f>
        <v/>
      </c>
      <c r="H31" s="40">
        <f>IF('1. MASTER_ENTRY'!$C31="","",'1. MASTER_ENTRY'!$I31)</f>
        <v/>
      </c>
      <c r="I31" s="40">
        <f>IF('1. MASTER_ENTRY'!$C31="","",'1. MASTER_ENTRY'!$J31)</f>
        <v/>
      </c>
      <c r="J31" s="41">
        <f>IF('1. MASTER_ENTRY'!$C31="","",'1. MASTER_ENTRY'!$U31)</f>
        <v/>
      </c>
      <c r="K31" s="40">
        <f>IF('1. MASTER_ENTRY'!$C31="","",'1. MASTER_ENTRY'!$M31)</f>
        <v/>
      </c>
      <c r="L31" s="40">
        <f>IF('1. MASTER_ENTRY'!$C31="","",'1. MASTER_ENTRY'!$R31)</f>
        <v/>
      </c>
    </row>
    <row r="32" ht="16" customHeight="1">
      <c r="A32" s="36">
        <f>IF('1. MASTER_ENTRY'!$C32="","",'1. MASTER_ENTRY'!$A32)</f>
        <v/>
      </c>
      <c r="B32" s="36">
        <f>IF('1. MASTER_ENTRY'!$C32="","",'1. MASTER_ENTRY'!$D32)</f>
        <v/>
      </c>
      <c r="C32" s="37">
        <f>IF('1. MASTER_ENTRY'!$C32="","",'1. MASTER_ENTRY'!$C32)</f>
        <v/>
      </c>
      <c r="D32" s="37">
        <f>IF('1. MASTER_ENTRY'!$C32="","",'1. MASTER_ENTRY'!$K32)</f>
        <v/>
      </c>
      <c r="E32" s="36">
        <f>IF('1. MASTER_ENTRY'!$C32="","",'1. MASTER_ENTRY'!$F32)</f>
        <v/>
      </c>
      <c r="F32" s="36">
        <f>IF('1. MASTER_ENTRY'!$C32="","",'1. MASTER_ENTRY'!$G32)</f>
        <v/>
      </c>
      <c r="G32" s="36">
        <f>IF('1. MASTER_ENTRY'!$C32="","",'1. MASTER_ENTRY'!$H32)</f>
        <v/>
      </c>
      <c r="H32" s="36">
        <f>IF('1. MASTER_ENTRY'!$C32="","",'1. MASTER_ENTRY'!$I32)</f>
        <v/>
      </c>
      <c r="I32" s="36">
        <f>IF('1. MASTER_ENTRY'!$C32="","",'1. MASTER_ENTRY'!$J32)</f>
        <v/>
      </c>
      <c r="J32" s="37">
        <f>IF('1. MASTER_ENTRY'!$C32="","",'1. MASTER_ENTRY'!$U32)</f>
        <v/>
      </c>
      <c r="K32" s="36">
        <f>IF('1. MASTER_ENTRY'!$C32="","",'1. MASTER_ENTRY'!$M32)</f>
        <v/>
      </c>
      <c r="L32" s="36">
        <f>IF('1. MASTER_ENTRY'!$C32="","",'1. MASTER_ENTRY'!$R32)</f>
        <v/>
      </c>
    </row>
    <row r="33" ht="16" customHeight="1">
      <c r="A33" s="40">
        <f>IF('1. MASTER_ENTRY'!$C33="","",'1. MASTER_ENTRY'!$A33)</f>
        <v/>
      </c>
      <c r="B33" s="40">
        <f>IF('1. MASTER_ENTRY'!$C33="","",'1. MASTER_ENTRY'!$D33)</f>
        <v/>
      </c>
      <c r="C33" s="41">
        <f>IF('1. MASTER_ENTRY'!$C33="","",'1. MASTER_ENTRY'!$C33)</f>
        <v/>
      </c>
      <c r="D33" s="41">
        <f>IF('1. MASTER_ENTRY'!$C33="","",'1. MASTER_ENTRY'!$K33)</f>
        <v/>
      </c>
      <c r="E33" s="40">
        <f>IF('1. MASTER_ENTRY'!$C33="","",'1. MASTER_ENTRY'!$F33)</f>
        <v/>
      </c>
      <c r="F33" s="40">
        <f>IF('1. MASTER_ENTRY'!$C33="","",'1. MASTER_ENTRY'!$G33)</f>
        <v/>
      </c>
      <c r="G33" s="40">
        <f>IF('1. MASTER_ENTRY'!$C33="","",'1. MASTER_ENTRY'!$H33)</f>
        <v/>
      </c>
      <c r="H33" s="40">
        <f>IF('1. MASTER_ENTRY'!$C33="","",'1. MASTER_ENTRY'!$I33)</f>
        <v/>
      </c>
      <c r="I33" s="40">
        <f>IF('1. MASTER_ENTRY'!$C33="","",'1. MASTER_ENTRY'!$J33)</f>
        <v/>
      </c>
      <c r="J33" s="41">
        <f>IF('1. MASTER_ENTRY'!$C33="","",'1. MASTER_ENTRY'!$U33)</f>
        <v/>
      </c>
      <c r="K33" s="40">
        <f>IF('1. MASTER_ENTRY'!$C33="","",'1. MASTER_ENTRY'!$M33)</f>
        <v/>
      </c>
      <c r="L33" s="40">
        <f>IF('1. MASTER_ENTRY'!$C33="","",'1. MASTER_ENTRY'!$R33)</f>
        <v/>
      </c>
    </row>
    <row r="34" ht="16" customHeight="1">
      <c r="A34" s="36">
        <f>IF('1. MASTER_ENTRY'!$C34="","",'1. MASTER_ENTRY'!$A34)</f>
        <v/>
      </c>
      <c r="B34" s="36">
        <f>IF('1. MASTER_ENTRY'!$C34="","",'1. MASTER_ENTRY'!$D34)</f>
        <v/>
      </c>
      <c r="C34" s="37">
        <f>IF('1. MASTER_ENTRY'!$C34="","",'1. MASTER_ENTRY'!$C34)</f>
        <v/>
      </c>
      <c r="D34" s="37">
        <f>IF('1. MASTER_ENTRY'!$C34="","",'1. MASTER_ENTRY'!$K34)</f>
        <v/>
      </c>
      <c r="E34" s="36">
        <f>IF('1. MASTER_ENTRY'!$C34="","",'1. MASTER_ENTRY'!$F34)</f>
        <v/>
      </c>
      <c r="F34" s="36">
        <f>IF('1. MASTER_ENTRY'!$C34="","",'1. MASTER_ENTRY'!$G34)</f>
        <v/>
      </c>
      <c r="G34" s="36">
        <f>IF('1. MASTER_ENTRY'!$C34="","",'1. MASTER_ENTRY'!$H34)</f>
        <v/>
      </c>
      <c r="H34" s="36">
        <f>IF('1. MASTER_ENTRY'!$C34="","",'1. MASTER_ENTRY'!$I34)</f>
        <v/>
      </c>
      <c r="I34" s="36">
        <f>IF('1. MASTER_ENTRY'!$C34="","",'1. MASTER_ENTRY'!$J34)</f>
        <v/>
      </c>
      <c r="J34" s="37">
        <f>IF('1. MASTER_ENTRY'!$C34="","",'1. MASTER_ENTRY'!$U34)</f>
        <v/>
      </c>
      <c r="K34" s="36">
        <f>IF('1. MASTER_ENTRY'!$C34="","",'1. MASTER_ENTRY'!$M34)</f>
        <v/>
      </c>
      <c r="L34" s="36">
        <f>IF('1. MASTER_ENTRY'!$C34="","",'1. MASTER_ENTRY'!$R34)</f>
        <v/>
      </c>
    </row>
    <row r="35" ht="16" customHeight="1">
      <c r="A35" s="40">
        <f>IF('1. MASTER_ENTRY'!$C35="","",'1. MASTER_ENTRY'!$A35)</f>
        <v/>
      </c>
      <c r="B35" s="40">
        <f>IF('1. MASTER_ENTRY'!$C35="","",'1. MASTER_ENTRY'!$D35)</f>
        <v/>
      </c>
      <c r="C35" s="41">
        <f>IF('1. MASTER_ENTRY'!$C35="","",'1. MASTER_ENTRY'!$C35)</f>
        <v/>
      </c>
      <c r="D35" s="41">
        <f>IF('1. MASTER_ENTRY'!$C35="","",'1. MASTER_ENTRY'!$K35)</f>
        <v/>
      </c>
      <c r="E35" s="40">
        <f>IF('1. MASTER_ENTRY'!$C35="","",'1. MASTER_ENTRY'!$F35)</f>
        <v/>
      </c>
      <c r="F35" s="40">
        <f>IF('1. MASTER_ENTRY'!$C35="","",'1. MASTER_ENTRY'!$G35)</f>
        <v/>
      </c>
      <c r="G35" s="40">
        <f>IF('1. MASTER_ENTRY'!$C35="","",'1. MASTER_ENTRY'!$H35)</f>
        <v/>
      </c>
      <c r="H35" s="40">
        <f>IF('1. MASTER_ENTRY'!$C35="","",'1. MASTER_ENTRY'!$I35)</f>
        <v/>
      </c>
      <c r="I35" s="40">
        <f>IF('1. MASTER_ENTRY'!$C35="","",'1. MASTER_ENTRY'!$J35)</f>
        <v/>
      </c>
      <c r="J35" s="41">
        <f>IF('1. MASTER_ENTRY'!$C35="","",'1. MASTER_ENTRY'!$U35)</f>
        <v/>
      </c>
      <c r="K35" s="40">
        <f>IF('1. MASTER_ENTRY'!$C35="","",'1. MASTER_ENTRY'!$M35)</f>
        <v/>
      </c>
      <c r="L35" s="40">
        <f>IF('1. MASTER_ENTRY'!$C35="","",'1. MASTER_ENTRY'!$R35)</f>
        <v/>
      </c>
    </row>
    <row r="36" ht="16" customHeight="1">
      <c r="A36" s="36">
        <f>IF('1. MASTER_ENTRY'!$C36="","",'1. MASTER_ENTRY'!$A36)</f>
        <v/>
      </c>
      <c r="B36" s="36">
        <f>IF('1. MASTER_ENTRY'!$C36="","",'1. MASTER_ENTRY'!$D36)</f>
        <v/>
      </c>
      <c r="C36" s="37">
        <f>IF('1. MASTER_ENTRY'!$C36="","",'1. MASTER_ENTRY'!$C36)</f>
        <v/>
      </c>
      <c r="D36" s="37">
        <f>IF('1. MASTER_ENTRY'!$C36="","",'1. MASTER_ENTRY'!$K36)</f>
        <v/>
      </c>
      <c r="E36" s="36">
        <f>IF('1. MASTER_ENTRY'!$C36="","",'1. MASTER_ENTRY'!$F36)</f>
        <v/>
      </c>
      <c r="F36" s="36">
        <f>IF('1. MASTER_ENTRY'!$C36="","",'1. MASTER_ENTRY'!$G36)</f>
        <v/>
      </c>
      <c r="G36" s="36">
        <f>IF('1. MASTER_ENTRY'!$C36="","",'1. MASTER_ENTRY'!$H36)</f>
        <v/>
      </c>
      <c r="H36" s="36">
        <f>IF('1. MASTER_ENTRY'!$C36="","",'1. MASTER_ENTRY'!$I36)</f>
        <v/>
      </c>
      <c r="I36" s="36">
        <f>IF('1. MASTER_ENTRY'!$C36="","",'1. MASTER_ENTRY'!$J36)</f>
        <v/>
      </c>
      <c r="J36" s="37">
        <f>IF('1. MASTER_ENTRY'!$C36="","",'1. MASTER_ENTRY'!$U36)</f>
        <v/>
      </c>
      <c r="K36" s="36">
        <f>IF('1. MASTER_ENTRY'!$C36="","",'1. MASTER_ENTRY'!$M36)</f>
        <v/>
      </c>
      <c r="L36" s="36">
        <f>IF('1. MASTER_ENTRY'!$C36="","",'1. MASTER_ENTRY'!$R36)</f>
        <v/>
      </c>
    </row>
    <row r="37" ht="16" customHeight="1">
      <c r="A37" s="40">
        <f>IF('1. MASTER_ENTRY'!$C37="","",'1. MASTER_ENTRY'!$A37)</f>
        <v/>
      </c>
      <c r="B37" s="40">
        <f>IF('1. MASTER_ENTRY'!$C37="","",'1. MASTER_ENTRY'!$D37)</f>
        <v/>
      </c>
      <c r="C37" s="41">
        <f>IF('1. MASTER_ENTRY'!$C37="","",'1. MASTER_ENTRY'!$C37)</f>
        <v/>
      </c>
      <c r="D37" s="41">
        <f>IF('1. MASTER_ENTRY'!$C37="","",'1. MASTER_ENTRY'!$K37)</f>
        <v/>
      </c>
      <c r="E37" s="40">
        <f>IF('1. MASTER_ENTRY'!$C37="","",'1. MASTER_ENTRY'!$F37)</f>
        <v/>
      </c>
      <c r="F37" s="40">
        <f>IF('1. MASTER_ENTRY'!$C37="","",'1. MASTER_ENTRY'!$G37)</f>
        <v/>
      </c>
      <c r="G37" s="40">
        <f>IF('1. MASTER_ENTRY'!$C37="","",'1. MASTER_ENTRY'!$H37)</f>
        <v/>
      </c>
      <c r="H37" s="40">
        <f>IF('1. MASTER_ENTRY'!$C37="","",'1. MASTER_ENTRY'!$I37)</f>
        <v/>
      </c>
      <c r="I37" s="40">
        <f>IF('1. MASTER_ENTRY'!$C37="","",'1. MASTER_ENTRY'!$J37)</f>
        <v/>
      </c>
      <c r="J37" s="41">
        <f>IF('1. MASTER_ENTRY'!$C37="","",'1. MASTER_ENTRY'!$U37)</f>
        <v/>
      </c>
      <c r="K37" s="40">
        <f>IF('1. MASTER_ENTRY'!$C37="","",'1. MASTER_ENTRY'!$M37)</f>
        <v/>
      </c>
      <c r="L37" s="40">
        <f>IF('1. MASTER_ENTRY'!$C37="","",'1. MASTER_ENTRY'!$R37)</f>
        <v/>
      </c>
    </row>
    <row r="38" ht="16" customHeight="1">
      <c r="A38" s="36">
        <f>IF('1. MASTER_ENTRY'!$C38="","",'1. MASTER_ENTRY'!$A38)</f>
        <v/>
      </c>
      <c r="B38" s="36">
        <f>IF('1. MASTER_ENTRY'!$C38="","",'1. MASTER_ENTRY'!$D38)</f>
        <v/>
      </c>
      <c r="C38" s="37">
        <f>IF('1. MASTER_ENTRY'!$C38="","",'1. MASTER_ENTRY'!$C38)</f>
        <v/>
      </c>
      <c r="D38" s="37">
        <f>IF('1. MASTER_ENTRY'!$C38="","",'1. MASTER_ENTRY'!$K38)</f>
        <v/>
      </c>
      <c r="E38" s="36">
        <f>IF('1. MASTER_ENTRY'!$C38="","",'1. MASTER_ENTRY'!$F38)</f>
        <v/>
      </c>
      <c r="F38" s="36">
        <f>IF('1. MASTER_ENTRY'!$C38="","",'1. MASTER_ENTRY'!$G38)</f>
        <v/>
      </c>
      <c r="G38" s="36">
        <f>IF('1. MASTER_ENTRY'!$C38="","",'1. MASTER_ENTRY'!$H38)</f>
        <v/>
      </c>
      <c r="H38" s="36">
        <f>IF('1. MASTER_ENTRY'!$C38="","",'1. MASTER_ENTRY'!$I38)</f>
        <v/>
      </c>
      <c r="I38" s="36">
        <f>IF('1. MASTER_ENTRY'!$C38="","",'1. MASTER_ENTRY'!$J38)</f>
        <v/>
      </c>
      <c r="J38" s="37">
        <f>IF('1. MASTER_ENTRY'!$C38="","",'1. MASTER_ENTRY'!$U38)</f>
        <v/>
      </c>
      <c r="K38" s="36">
        <f>IF('1. MASTER_ENTRY'!$C38="","",'1. MASTER_ENTRY'!$M38)</f>
        <v/>
      </c>
      <c r="L38" s="36">
        <f>IF('1. MASTER_ENTRY'!$C38="","",'1. MASTER_ENTRY'!$R38)</f>
        <v/>
      </c>
    </row>
    <row r="39" ht="16" customHeight="1">
      <c r="A39" s="40">
        <f>IF('1. MASTER_ENTRY'!$C39="","",'1. MASTER_ENTRY'!$A39)</f>
        <v/>
      </c>
      <c r="B39" s="40">
        <f>IF('1. MASTER_ENTRY'!$C39="","",'1. MASTER_ENTRY'!$D39)</f>
        <v/>
      </c>
      <c r="C39" s="41">
        <f>IF('1. MASTER_ENTRY'!$C39="","",'1. MASTER_ENTRY'!$C39)</f>
        <v/>
      </c>
      <c r="D39" s="41">
        <f>IF('1. MASTER_ENTRY'!$C39="","",'1. MASTER_ENTRY'!$K39)</f>
        <v/>
      </c>
      <c r="E39" s="40">
        <f>IF('1. MASTER_ENTRY'!$C39="","",'1. MASTER_ENTRY'!$F39)</f>
        <v/>
      </c>
      <c r="F39" s="40">
        <f>IF('1. MASTER_ENTRY'!$C39="","",'1. MASTER_ENTRY'!$G39)</f>
        <v/>
      </c>
      <c r="G39" s="40">
        <f>IF('1. MASTER_ENTRY'!$C39="","",'1. MASTER_ENTRY'!$H39)</f>
        <v/>
      </c>
      <c r="H39" s="40">
        <f>IF('1. MASTER_ENTRY'!$C39="","",'1. MASTER_ENTRY'!$I39)</f>
        <v/>
      </c>
      <c r="I39" s="40">
        <f>IF('1. MASTER_ENTRY'!$C39="","",'1. MASTER_ENTRY'!$J39)</f>
        <v/>
      </c>
      <c r="J39" s="41">
        <f>IF('1. MASTER_ENTRY'!$C39="","",'1. MASTER_ENTRY'!$U39)</f>
        <v/>
      </c>
      <c r="K39" s="40">
        <f>IF('1. MASTER_ENTRY'!$C39="","",'1. MASTER_ENTRY'!$M39)</f>
        <v/>
      </c>
      <c r="L39" s="40">
        <f>IF('1. MASTER_ENTRY'!$C39="","",'1. MASTER_ENTRY'!$R39)</f>
        <v/>
      </c>
    </row>
    <row r="40" ht="16" customHeight="1">
      <c r="A40" s="36">
        <f>IF('1. MASTER_ENTRY'!$C40="","",'1. MASTER_ENTRY'!$A40)</f>
        <v/>
      </c>
      <c r="B40" s="36">
        <f>IF('1. MASTER_ENTRY'!$C40="","",'1. MASTER_ENTRY'!$D40)</f>
        <v/>
      </c>
      <c r="C40" s="37">
        <f>IF('1. MASTER_ENTRY'!$C40="","",'1. MASTER_ENTRY'!$C40)</f>
        <v/>
      </c>
      <c r="D40" s="37">
        <f>IF('1. MASTER_ENTRY'!$C40="","",'1. MASTER_ENTRY'!$K40)</f>
        <v/>
      </c>
      <c r="E40" s="36">
        <f>IF('1. MASTER_ENTRY'!$C40="","",'1. MASTER_ENTRY'!$F40)</f>
        <v/>
      </c>
      <c r="F40" s="36">
        <f>IF('1. MASTER_ENTRY'!$C40="","",'1. MASTER_ENTRY'!$G40)</f>
        <v/>
      </c>
      <c r="G40" s="36">
        <f>IF('1. MASTER_ENTRY'!$C40="","",'1. MASTER_ENTRY'!$H40)</f>
        <v/>
      </c>
      <c r="H40" s="36">
        <f>IF('1. MASTER_ENTRY'!$C40="","",'1. MASTER_ENTRY'!$I40)</f>
        <v/>
      </c>
      <c r="I40" s="36">
        <f>IF('1. MASTER_ENTRY'!$C40="","",'1. MASTER_ENTRY'!$J40)</f>
        <v/>
      </c>
      <c r="J40" s="37">
        <f>IF('1. MASTER_ENTRY'!$C40="","",'1. MASTER_ENTRY'!$U40)</f>
        <v/>
      </c>
      <c r="K40" s="36">
        <f>IF('1. MASTER_ENTRY'!$C40="","",'1. MASTER_ENTRY'!$M40)</f>
        <v/>
      </c>
      <c r="L40" s="36">
        <f>IF('1. MASTER_ENTRY'!$C40="","",'1. MASTER_ENTRY'!$R40)</f>
        <v/>
      </c>
    </row>
    <row r="41" ht="16" customHeight="1">
      <c r="A41" s="40">
        <f>IF('1. MASTER_ENTRY'!$C41="","",'1. MASTER_ENTRY'!$A41)</f>
        <v/>
      </c>
      <c r="B41" s="40">
        <f>IF('1. MASTER_ENTRY'!$C41="","",'1. MASTER_ENTRY'!$D41)</f>
        <v/>
      </c>
      <c r="C41" s="41">
        <f>IF('1. MASTER_ENTRY'!$C41="","",'1. MASTER_ENTRY'!$C41)</f>
        <v/>
      </c>
      <c r="D41" s="41">
        <f>IF('1. MASTER_ENTRY'!$C41="","",'1. MASTER_ENTRY'!$K41)</f>
        <v/>
      </c>
      <c r="E41" s="40">
        <f>IF('1. MASTER_ENTRY'!$C41="","",'1. MASTER_ENTRY'!$F41)</f>
        <v/>
      </c>
      <c r="F41" s="40">
        <f>IF('1. MASTER_ENTRY'!$C41="","",'1. MASTER_ENTRY'!$G41)</f>
        <v/>
      </c>
      <c r="G41" s="40">
        <f>IF('1. MASTER_ENTRY'!$C41="","",'1. MASTER_ENTRY'!$H41)</f>
        <v/>
      </c>
      <c r="H41" s="40">
        <f>IF('1. MASTER_ENTRY'!$C41="","",'1. MASTER_ENTRY'!$I41)</f>
        <v/>
      </c>
      <c r="I41" s="40">
        <f>IF('1. MASTER_ENTRY'!$C41="","",'1. MASTER_ENTRY'!$J41)</f>
        <v/>
      </c>
      <c r="J41" s="41">
        <f>IF('1. MASTER_ENTRY'!$C41="","",'1. MASTER_ENTRY'!$U41)</f>
        <v/>
      </c>
      <c r="K41" s="40">
        <f>IF('1. MASTER_ENTRY'!$C41="","",'1. MASTER_ENTRY'!$M41)</f>
        <v/>
      </c>
      <c r="L41" s="40">
        <f>IF('1. MASTER_ENTRY'!$C41="","",'1. MASTER_ENTRY'!$R41)</f>
        <v/>
      </c>
    </row>
    <row r="42" ht="16" customHeight="1">
      <c r="A42" s="36">
        <f>IF('1. MASTER_ENTRY'!$C42="","",'1. MASTER_ENTRY'!$A42)</f>
        <v/>
      </c>
      <c r="B42" s="36">
        <f>IF('1. MASTER_ENTRY'!$C42="","",'1. MASTER_ENTRY'!$D42)</f>
        <v/>
      </c>
      <c r="C42" s="37">
        <f>IF('1. MASTER_ENTRY'!$C42="","",'1. MASTER_ENTRY'!$C42)</f>
        <v/>
      </c>
      <c r="D42" s="37">
        <f>IF('1. MASTER_ENTRY'!$C42="","",'1. MASTER_ENTRY'!$K42)</f>
        <v/>
      </c>
      <c r="E42" s="36">
        <f>IF('1. MASTER_ENTRY'!$C42="","",'1. MASTER_ENTRY'!$F42)</f>
        <v/>
      </c>
      <c r="F42" s="36">
        <f>IF('1. MASTER_ENTRY'!$C42="","",'1. MASTER_ENTRY'!$G42)</f>
        <v/>
      </c>
      <c r="G42" s="36">
        <f>IF('1. MASTER_ENTRY'!$C42="","",'1. MASTER_ENTRY'!$H42)</f>
        <v/>
      </c>
      <c r="H42" s="36">
        <f>IF('1. MASTER_ENTRY'!$C42="","",'1. MASTER_ENTRY'!$I42)</f>
        <v/>
      </c>
      <c r="I42" s="36">
        <f>IF('1. MASTER_ENTRY'!$C42="","",'1. MASTER_ENTRY'!$J42)</f>
        <v/>
      </c>
      <c r="J42" s="37">
        <f>IF('1. MASTER_ENTRY'!$C42="","",'1. MASTER_ENTRY'!$U42)</f>
        <v/>
      </c>
      <c r="K42" s="36">
        <f>IF('1. MASTER_ENTRY'!$C42="","",'1. MASTER_ENTRY'!$M42)</f>
        <v/>
      </c>
      <c r="L42" s="36">
        <f>IF('1. MASTER_ENTRY'!$C42="","",'1. MASTER_ENTRY'!$R42)</f>
        <v/>
      </c>
    </row>
    <row r="43" ht="16" customHeight="1">
      <c r="A43" s="40">
        <f>IF('1. MASTER_ENTRY'!$C43="","",'1. MASTER_ENTRY'!$A43)</f>
        <v/>
      </c>
      <c r="B43" s="40">
        <f>IF('1. MASTER_ENTRY'!$C43="","",'1. MASTER_ENTRY'!$D43)</f>
        <v/>
      </c>
      <c r="C43" s="41">
        <f>IF('1. MASTER_ENTRY'!$C43="","",'1. MASTER_ENTRY'!$C43)</f>
        <v/>
      </c>
      <c r="D43" s="41">
        <f>IF('1. MASTER_ENTRY'!$C43="","",'1. MASTER_ENTRY'!$K43)</f>
        <v/>
      </c>
      <c r="E43" s="40">
        <f>IF('1. MASTER_ENTRY'!$C43="","",'1. MASTER_ENTRY'!$F43)</f>
        <v/>
      </c>
      <c r="F43" s="40">
        <f>IF('1. MASTER_ENTRY'!$C43="","",'1. MASTER_ENTRY'!$G43)</f>
        <v/>
      </c>
      <c r="G43" s="40">
        <f>IF('1. MASTER_ENTRY'!$C43="","",'1. MASTER_ENTRY'!$H43)</f>
        <v/>
      </c>
      <c r="H43" s="40">
        <f>IF('1. MASTER_ENTRY'!$C43="","",'1. MASTER_ENTRY'!$I43)</f>
        <v/>
      </c>
      <c r="I43" s="40">
        <f>IF('1. MASTER_ENTRY'!$C43="","",'1. MASTER_ENTRY'!$J43)</f>
        <v/>
      </c>
      <c r="J43" s="41">
        <f>IF('1. MASTER_ENTRY'!$C43="","",'1. MASTER_ENTRY'!$U43)</f>
        <v/>
      </c>
      <c r="K43" s="40">
        <f>IF('1. MASTER_ENTRY'!$C43="","",'1. MASTER_ENTRY'!$M43)</f>
        <v/>
      </c>
      <c r="L43" s="40">
        <f>IF('1. MASTER_ENTRY'!$C43="","",'1. MASTER_ENTRY'!$R43)</f>
        <v/>
      </c>
    </row>
    <row r="44" ht="16" customHeight="1">
      <c r="A44" s="36">
        <f>IF('1. MASTER_ENTRY'!$C44="","",'1. MASTER_ENTRY'!$A44)</f>
        <v/>
      </c>
      <c r="B44" s="36">
        <f>IF('1. MASTER_ENTRY'!$C44="","",'1. MASTER_ENTRY'!$D44)</f>
        <v/>
      </c>
      <c r="C44" s="37">
        <f>IF('1. MASTER_ENTRY'!$C44="","",'1. MASTER_ENTRY'!$C44)</f>
        <v/>
      </c>
      <c r="D44" s="37">
        <f>IF('1. MASTER_ENTRY'!$C44="","",'1. MASTER_ENTRY'!$K44)</f>
        <v/>
      </c>
      <c r="E44" s="36">
        <f>IF('1. MASTER_ENTRY'!$C44="","",'1. MASTER_ENTRY'!$F44)</f>
        <v/>
      </c>
      <c r="F44" s="36">
        <f>IF('1. MASTER_ENTRY'!$C44="","",'1. MASTER_ENTRY'!$G44)</f>
        <v/>
      </c>
      <c r="G44" s="36">
        <f>IF('1. MASTER_ENTRY'!$C44="","",'1. MASTER_ENTRY'!$H44)</f>
        <v/>
      </c>
      <c r="H44" s="36">
        <f>IF('1. MASTER_ENTRY'!$C44="","",'1. MASTER_ENTRY'!$I44)</f>
        <v/>
      </c>
      <c r="I44" s="36">
        <f>IF('1. MASTER_ENTRY'!$C44="","",'1. MASTER_ENTRY'!$J44)</f>
        <v/>
      </c>
      <c r="J44" s="37">
        <f>IF('1. MASTER_ENTRY'!$C44="","",'1. MASTER_ENTRY'!$U44)</f>
        <v/>
      </c>
      <c r="K44" s="36">
        <f>IF('1. MASTER_ENTRY'!$C44="","",'1. MASTER_ENTRY'!$M44)</f>
        <v/>
      </c>
      <c r="L44" s="36">
        <f>IF('1. MASTER_ENTRY'!$C44="","",'1. MASTER_ENTRY'!$R44)</f>
        <v/>
      </c>
    </row>
    <row r="45" ht="16" customHeight="1">
      <c r="A45" s="40">
        <f>IF('1. MASTER_ENTRY'!$C45="","",'1. MASTER_ENTRY'!$A45)</f>
        <v/>
      </c>
      <c r="B45" s="40">
        <f>IF('1. MASTER_ENTRY'!$C45="","",'1. MASTER_ENTRY'!$D45)</f>
        <v/>
      </c>
      <c r="C45" s="41">
        <f>IF('1. MASTER_ENTRY'!$C45="","",'1. MASTER_ENTRY'!$C45)</f>
        <v/>
      </c>
      <c r="D45" s="41">
        <f>IF('1. MASTER_ENTRY'!$C45="","",'1. MASTER_ENTRY'!$K45)</f>
        <v/>
      </c>
      <c r="E45" s="40">
        <f>IF('1. MASTER_ENTRY'!$C45="","",'1. MASTER_ENTRY'!$F45)</f>
        <v/>
      </c>
      <c r="F45" s="40">
        <f>IF('1. MASTER_ENTRY'!$C45="","",'1. MASTER_ENTRY'!$G45)</f>
        <v/>
      </c>
      <c r="G45" s="40">
        <f>IF('1. MASTER_ENTRY'!$C45="","",'1. MASTER_ENTRY'!$H45)</f>
        <v/>
      </c>
      <c r="H45" s="40">
        <f>IF('1. MASTER_ENTRY'!$C45="","",'1. MASTER_ENTRY'!$I45)</f>
        <v/>
      </c>
      <c r="I45" s="40">
        <f>IF('1. MASTER_ENTRY'!$C45="","",'1. MASTER_ENTRY'!$J45)</f>
        <v/>
      </c>
      <c r="J45" s="41">
        <f>IF('1. MASTER_ENTRY'!$C45="","",'1. MASTER_ENTRY'!$U45)</f>
        <v/>
      </c>
      <c r="K45" s="40">
        <f>IF('1. MASTER_ENTRY'!$C45="","",'1. MASTER_ENTRY'!$M45)</f>
        <v/>
      </c>
      <c r="L45" s="40">
        <f>IF('1. MASTER_ENTRY'!$C45="","",'1. MASTER_ENTRY'!$R45)</f>
        <v/>
      </c>
    </row>
    <row r="46" ht="16" customHeight="1">
      <c r="A46" s="36">
        <f>IF('1. MASTER_ENTRY'!$C46="","",'1. MASTER_ENTRY'!$A46)</f>
        <v/>
      </c>
      <c r="B46" s="36">
        <f>IF('1. MASTER_ENTRY'!$C46="","",'1. MASTER_ENTRY'!$D46)</f>
        <v/>
      </c>
      <c r="C46" s="37">
        <f>IF('1. MASTER_ENTRY'!$C46="","",'1. MASTER_ENTRY'!$C46)</f>
        <v/>
      </c>
      <c r="D46" s="37">
        <f>IF('1. MASTER_ENTRY'!$C46="","",'1. MASTER_ENTRY'!$K46)</f>
        <v/>
      </c>
      <c r="E46" s="36">
        <f>IF('1. MASTER_ENTRY'!$C46="","",'1. MASTER_ENTRY'!$F46)</f>
        <v/>
      </c>
      <c r="F46" s="36">
        <f>IF('1. MASTER_ENTRY'!$C46="","",'1. MASTER_ENTRY'!$G46)</f>
        <v/>
      </c>
      <c r="G46" s="36">
        <f>IF('1. MASTER_ENTRY'!$C46="","",'1. MASTER_ENTRY'!$H46)</f>
        <v/>
      </c>
      <c r="H46" s="36">
        <f>IF('1. MASTER_ENTRY'!$C46="","",'1. MASTER_ENTRY'!$I46)</f>
        <v/>
      </c>
      <c r="I46" s="36">
        <f>IF('1. MASTER_ENTRY'!$C46="","",'1. MASTER_ENTRY'!$J46)</f>
        <v/>
      </c>
      <c r="J46" s="37">
        <f>IF('1. MASTER_ENTRY'!$C46="","",'1. MASTER_ENTRY'!$U46)</f>
        <v/>
      </c>
      <c r="K46" s="36">
        <f>IF('1. MASTER_ENTRY'!$C46="","",'1. MASTER_ENTRY'!$M46)</f>
        <v/>
      </c>
      <c r="L46" s="36">
        <f>IF('1. MASTER_ENTRY'!$C46="","",'1. MASTER_ENTRY'!$R46)</f>
        <v/>
      </c>
    </row>
    <row r="47" ht="16" customHeight="1">
      <c r="A47" s="40">
        <f>IF('1. MASTER_ENTRY'!$C47="","",'1. MASTER_ENTRY'!$A47)</f>
        <v/>
      </c>
      <c r="B47" s="40">
        <f>IF('1. MASTER_ENTRY'!$C47="","",'1. MASTER_ENTRY'!$D47)</f>
        <v/>
      </c>
      <c r="C47" s="41">
        <f>IF('1. MASTER_ENTRY'!$C47="","",'1. MASTER_ENTRY'!$C47)</f>
        <v/>
      </c>
      <c r="D47" s="41">
        <f>IF('1. MASTER_ENTRY'!$C47="","",'1. MASTER_ENTRY'!$K47)</f>
        <v/>
      </c>
      <c r="E47" s="40">
        <f>IF('1. MASTER_ENTRY'!$C47="","",'1. MASTER_ENTRY'!$F47)</f>
        <v/>
      </c>
      <c r="F47" s="40">
        <f>IF('1. MASTER_ENTRY'!$C47="","",'1. MASTER_ENTRY'!$G47)</f>
        <v/>
      </c>
      <c r="G47" s="40">
        <f>IF('1. MASTER_ENTRY'!$C47="","",'1. MASTER_ENTRY'!$H47)</f>
        <v/>
      </c>
      <c r="H47" s="40">
        <f>IF('1. MASTER_ENTRY'!$C47="","",'1. MASTER_ENTRY'!$I47)</f>
        <v/>
      </c>
      <c r="I47" s="40">
        <f>IF('1. MASTER_ENTRY'!$C47="","",'1. MASTER_ENTRY'!$J47)</f>
        <v/>
      </c>
      <c r="J47" s="41">
        <f>IF('1. MASTER_ENTRY'!$C47="","",'1. MASTER_ENTRY'!$U47)</f>
        <v/>
      </c>
      <c r="K47" s="40">
        <f>IF('1. MASTER_ENTRY'!$C47="","",'1. MASTER_ENTRY'!$M47)</f>
        <v/>
      </c>
      <c r="L47" s="40">
        <f>IF('1. MASTER_ENTRY'!$C47="","",'1. MASTER_ENTRY'!$R47)</f>
        <v/>
      </c>
    </row>
    <row r="48" ht="16" customHeight="1">
      <c r="A48" s="36">
        <f>IF('1. MASTER_ENTRY'!$C48="","",'1. MASTER_ENTRY'!$A48)</f>
        <v/>
      </c>
      <c r="B48" s="36">
        <f>IF('1. MASTER_ENTRY'!$C48="","",'1. MASTER_ENTRY'!$D48)</f>
        <v/>
      </c>
      <c r="C48" s="37">
        <f>IF('1. MASTER_ENTRY'!$C48="","",'1. MASTER_ENTRY'!$C48)</f>
        <v/>
      </c>
      <c r="D48" s="37">
        <f>IF('1. MASTER_ENTRY'!$C48="","",'1. MASTER_ENTRY'!$K48)</f>
        <v/>
      </c>
      <c r="E48" s="36">
        <f>IF('1. MASTER_ENTRY'!$C48="","",'1. MASTER_ENTRY'!$F48)</f>
        <v/>
      </c>
      <c r="F48" s="36">
        <f>IF('1. MASTER_ENTRY'!$C48="","",'1. MASTER_ENTRY'!$G48)</f>
        <v/>
      </c>
      <c r="G48" s="36">
        <f>IF('1. MASTER_ENTRY'!$C48="","",'1. MASTER_ENTRY'!$H48)</f>
        <v/>
      </c>
      <c r="H48" s="36">
        <f>IF('1. MASTER_ENTRY'!$C48="","",'1. MASTER_ENTRY'!$I48)</f>
        <v/>
      </c>
      <c r="I48" s="36">
        <f>IF('1. MASTER_ENTRY'!$C48="","",'1. MASTER_ENTRY'!$J48)</f>
        <v/>
      </c>
      <c r="J48" s="37">
        <f>IF('1. MASTER_ENTRY'!$C48="","",'1. MASTER_ENTRY'!$U48)</f>
        <v/>
      </c>
      <c r="K48" s="36">
        <f>IF('1. MASTER_ENTRY'!$C48="","",'1. MASTER_ENTRY'!$M48)</f>
        <v/>
      </c>
      <c r="L48" s="36">
        <f>IF('1. MASTER_ENTRY'!$C48="","",'1. MASTER_ENTRY'!$R48)</f>
        <v/>
      </c>
    </row>
    <row r="49" ht="16" customHeight="1">
      <c r="A49" s="40">
        <f>IF('1. MASTER_ENTRY'!$C49="","",'1. MASTER_ENTRY'!$A49)</f>
        <v/>
      </c>
      <c r="B49" s="40">
        <f>IF('1. MASTER_ENTRY'!$C49="","",'1. MASTER_ENTRY'!$D49)</f>
        <v/>
      </c>
      <c r="C49" s="41">
        <f>IF('1. MASTER_ENTRY'!$C49="","",'1. MASTER_ENTRY'!$C49)</f>
        <v/>
      </c>
      <c r="D49" s="41">
        <f>IF('1. MASTER_ENTRY'!$C49="","",'1. MASTER_ENTRY'!$K49)</f>
        <v/>
      </c>
      <c r="E49" s="40">
        <f>IF('1. MASTER_ENTRY'!$C49="","",'1. MASTER_ENTRY'!$F49)</f>
        <v/>
      </c>
      <c r="F49" s="40">
        <f>IF('1. MASTER_ENTRY'!$C49="","",'1. MASTER_ENTRY'!$G49)</f>
        <v/>
      </c>
      <c r="G49" s="40">
        <f>IF('1. MASTER_ENTRY'!$C49="","",'1. MASTER_ENTRY'!$H49)</f>
        <v/>
      </c>
      <c r="H49" s="40">
        <f>IF('1. MASTER_ENTRY'!$C49="","",'1. MASTER_ENTRY'!$I49)</f>
        <v/>
      </c>
      <c r="I49" s="40">
        <f>IF('1. MASTER_ENTRY'!$C49="","",'1. MASTER_ENTRY'!$J49)</f>
        <v/>
      </c>
      <c r="J49" s="41">
        <f>IF('1. MASTER_ENTRY'!$C49="","",'1. MASTER_ENTRY'!$U49)</f>
        <v/>
      </c>
      <c r="K49" s="40">
        <f>IF('1. MASTER_ENTRY'!$C49="","",'1. MASTER_ENTRY'!$M49)</f>
        <v/>
      </c>
      <c r="L49" s="40">
        <f>IF('1. MASTER_ENTRY'!$C49="","",'1. MASTER_ENTRY'!$R49)</f>
        <v/>
      </c>
    </row>
    <row r="50" ht="16" customHeight="1">
      <c r="A50" s="36">
        <f>IF('1. MASTER_ENTRY'!$C50="","",'1. MASTER_ENTRY'!$A50)</f>
        <v/>
      </c>
      <c r="B50" s="36">
        <f>IF('1. MASTER_ENTRY'!$C50="","",'1. MASTER_ENTRY'!$D50)</f>
        <v/>
      </c>
      <c r="C50" s="37">
        <f>IF('1. MASTER_ENTRY'!$C50="","",'1. MASTER_ENTRY'!$C50)</f>
        <v/>
      </c>
      <c r="D50" s="37">
        <f>IF('1. MASTER_ENTRY'!$C50="","",'1. MASTER_ENTRY'!$K50)</f>
        <v/>
      </c>
      <c r="E50" s="36">
        <f>IF('1. MASTER_ENTRY'!$C50="","",'1. MASTER_ENTRY'!$F50)</f>
        <v/>
      </c>
      <c r="F50" s="36">
        <f>IF('1. MASTER_ENTRY'!$C50="","",'1. MASTER_ENTRY'!$G50)</f>
        <v/>
      </c>
      <c r="G50" s="36">
        <f>IF('1. MASTER_ENTRY'!$C50="","",'1. MASTER_ENTRY'!$H50)</f>
        <v/>
      </c>
      <c r="H50" s="36">
        <f>IF('1. MASTER_ENTRY'!$C50="","",'1. MASTER_ENTRY'!$I50)</f>
        <v/>
      </c>
      <c r="I50" s="36">
        <f>IF('1. MASTER_ENTRY'!$C50="","",'1. MASTER_ENTRY'!$J50)</f>
        <v/>
      </c>
      <c r="J50" s="37">
        <f>IF('1. MASTER_ENTRY'!$C50="","",'1. MASTER_ENTRY'!$U50)</f>
        <v/>
      </c>
      <c r="K50" s="36">
        <f>IF('1. MASTER_ENTRY'!$C50="","",'1. MASTER_ENTRY'!$M50)</f>
        <v/>
      </c>
      <c r="L50" s="36">
        <f>IF('1. MASTER_ENTRY'!$C50="","",'1. MASTER_ENTRY'!$R50)</f>
        <v/>
      </c>
    </row>
    <row r="51" ht="16" customHeight="1">
      <c r="A51" s="40">
        <f>IF('1. MASTER_ENTRY'!$C51="","",'1. MASTER_ENTRY'!$A51)</f>
        <v/>
      </c>
      <c r="B51" s="40">
        <f>IF('1. MASTER_ENTRY'!$C51="","",'1. MASTER_ENTRY'!$D51)</f>
        <v/>
      </c>
      <c r="C51" s="41">
        <f>IF('1. MASTER_ENTRY'!$C51="","",'1. MASTER_ENTRY'!$C51)</f>
        <v/>
      </c>
      <c r="D51" s="41">
        <f>IF('1. MASTER_ENTRY'!$C51="","",'1. MASTER_ENTRY'!$K51)</f>
        <v/>
      </c>
      <c r="E51" s="40">
        <f>IF('1. MASTER_ENTRY'!$C51="","",'1. MASTER_ENTRY'!$F51)</f>
        <v/>
      </c>
      <c r="F51" s="40">
        <f>IF('1. MASTER_ENTRY'!$C51="","",'1. MASTER_ENTRY'!$G51)</f>
        <v/>
      </c>
      <c r="G51" s="40">
        <f>IF('1. MASTER_ENTRY'!$C51="","",'1. MASTER_ENTRY'!$H51)</f>
        <v/>
      </c>
      <c r="H51" s="40">
        <f>IF('1. MASTER_ENTRY'!$C51="","",'1. MASTER_ENTRY'!$I51)</f>
        <v/>
      </c>
      <c r="I51" s="40">
        <f>IF('1. MASTER_ENTRY'!$C51="","",'1. MASTER_ENTRY'!$J51)</f>
        <v/>
      </c>
      <c r="J51" s="41">
        <f>IF('1. MASTER_ENTRY'!$C51="","",'1. MASTER_ENTRY'!$U51)</f>
        <v/>
      </c>
      <c r="K51" s="40">
        <f>IF('1. MASTER_ENTRY'!$C51="","",'1. MASTER_ENTRY'!$M51)</f>
        <v/>
      </c>
      <c r="L51" s="40">
        <f>IF('1. MASTER_ENTRY'!$C51="","",'1. MASTER_ENTRY'!$R51)</f>
        <v/>
      </c>
    </row>
    <row r="52" ht="16" customHeight="1">
      <c r="A52" s="36">
        <f>IF('1. MASTER_ENTRY'!$C52="","",'1. MASTER_ENTRY'!$A52)</f>
        <v/>
      </c>
      <c r="B52" s="36">
        <f>IF('1. MASTER_ENTRY'!$C52="","",'1. MASTER_ENTRY'!$D52)</f>
        <v/>
      </c>
      <c r="C52" s="37">
        <f>IF('1. MASTER_ENTRY'!$C52="","",'1. MASTER_ENTRY'!$C52)</f>
        <v/>
      </c>
      <c r="D52" s="37">
        <f>IF('1. MASTER_ENTRY'!$C52="","",'1. MASTER_ENTRY'!$K52)</f>
        <v/>
      </c>
      <c r="E52" s="36">
        <f>IF('1. MASTER_ENTRY'!$C52="","",'1. MASTER_ENTRY'!$F52)</f>
        <v/>
      </c>
      <c r="F52" s="36">
        <f>IF('1. MASTER_ENTRY'!$C52="","",'1. MASTER_ENTRY'!$G52)</f>
        <v/>
      </c>
      <c r="G52" s="36">
        <f>IF('1. MASTER_ENTRY'!$C52="","",'1. MASTER_ENTRY'!$H52)</f>
        <v/>
      </c>
      <c r="H52" s="36">
        <f>IF('1. MASTER_ENTRY'!$C52="","",'1. MASTER_ENTRY'!$I52)</f>
        <v/>
      </c>
      <c r="I52" s="36">
        <f>IF('1. MASTER_ENTRY'!$C52="","",'1. MASTER_ENTRY'!$J52)</f>
        <v/>
      </c>
      <c r="J52" s="37">
        <f>IF('1. MASTER_ENTRY'!$C52="","",'1. MASTER_ENTRY'!$U52)</f>
        <v/>
      </c>
      <c r="K52" s="36">
        <f>IF('1. MASTER_ENTRY'!$C52="","",'1. MASTER_ENTRY'!$M52)</f>
        <v/>
      </c>
      <c r="L52" s="36">
        <f>IF('1. MASTER_ENTRY'!$C52="","",'1. MASTER_ENTRY'!$R52)</f>
        <v/>
      </c>
    </row>
    <row r="53" ht="16" customHeight="1">
      <c r="A53" s="40">
        <f>IF('1. MASTER_ENTRY'!$C53="","",'1. MASTER_ENTRY'!$A53)</f>
        <v/>
      </c>
      <c r="B53" s="40">
        <f>IF('1. MASTER_ENTRY'!$C53="","",'1. MASTER_ENTRY'!$D53)</f>
        <v/>
      </c>
      <c r="C53" s="41">
        <f>IF('1. MASTER_ENTRY'!$C53="","",'1. MASTER_ENTRY'!$C53)</f>
        <v/>
      </c>
      <c r="D53" s="41">
        <f>IF('1. MASTER_ENTRY'!$C53="","",'1. MASTER_ENTRY'!$K53)</f>
        <v/>
      </c>
      <c r="E53" s="40">
        <f>IF('1. MASTER_ENTRY'!$C53="","",'1. MASTER_ENTRY'!$F53)</f>
        <v/>
      </c>
      <c r="F53" s="40">
        <f>IF('1. MASTER_ENTRY'!$C53="","",'1. MASTER_ENTRY'!$G53)</f>
        <v/>
      </c>
      <c r="G53" s="40">
        <f>IF('1. MASTER_ENTRY'!$C53="","",'1. MASTER_ENTRY'!$H53)</f>
        <v/>
      </c>
      <c r="H53" s="40">
        <f>IF('1. MASTER_ENTRY'!$C53="","",'1. MASTER_ENTRY'!$I53)</f>
        <v/>
      </c>
      <c r="I53" s="40">
        <f>IF('1. MASTER_ENTRY'!$C53="","",'1. MASTER_ENTRY'!$J53)</f>
        <v/>
      </c>
      <c r="J53" s="41">
        <f>IF('1. MASTER_ENTRY'!$C53="","",'1. MASTER_ENTRY'!$U53)</f>
        <v/>
      </c>
      <c r="K53" s="40">
        <f>IF('1. MASTER_ENTRY'!$C53="","",'1. MASTER_ENTRY'!$M53)</f>
        <v/>
      </c>
      <c r="L53" s="40">
        <f>IF('1. MASTER_ENTRY'!$C53="","",'1. MASTER_ENTRY'!$R53)</f>
        <v/>
      </c>
    </row>
    <row r="54" ht="16" customHeight="1">
      <c r="A54" s="36">
        <f>IF('1. MASTER_ENTRY'!$C54="","",'1. MASTER_ENTRY'!$A54)</f>
        <v/>
      </c>
      <c r="B54" s="36">
        <f>IF('1. MASTER_ENTRY'!$C54="","",'1. MASTER_ENTRY'!$D54)</f>
        <v/>
      </c>
      <c r="C54" s="37">
        <f>IF('1. MASTER_ENTRY'!$C54="","",'1. MASTER_ENTRY'!$C54)</f>
        <v/>
      </c>
      <c r="D54" s="37">
        <f>IF('1. MASTER_ENTRY'!$C54="","",'1. MASTER_ENTRY'!$K54)</f>
        <v/>
      </c>
      <c r="E54" s="36">
        <f>IF('1. MASTER_ENTRY'!$C54="","",'1. MASTER_ENTRY'!$F54)</f>
        <v/>
      </c>
      <c r="F54" s="36">
        <f>IF('1. MASTER_ENTRY'!$C54="","",'1. MASTER_ENTRY'!$G54)</f>
        <v/>
      </c>
      <c r="G54" s="36">
        <f>IF('1. MASTER_ENTRY'!$C54="","",'1. MASTER_ENTRY'!$H54)</f>
        <v/>
      </c>
      <c r="H54" s="36">
        <f>IF('1. MASTER_ENTRY'!$C54="","",'1. MASTER_ENTRY'!$I54)</f>
        <v/>
      </c>
      <c r="I54" s="36">
        <f>IF('1. MASTER_ENTRY'!$C54="","",'1. MASTER_ENTRY'!$J54)</f>
        <v/>
      </c>
      <c r="J54" s="37">
        <f>IF('1. MASTER_ENTRY'!$C54="","",'1. MASTER_ENTRY'!$U54)</f>
        <v/>
      </c>
      <c r="K54" s="36">
        <f>IF('1. MASTER_ENTRY'!$C54="","",'1. MASTER_ENTRY'!$M54)</f>
        <v/>
      </c>
      <c r="L54" s="36">
        <f>IF('1. MASTER_ENTRY'!$C54="","",'1. MASTER_ENTRY'!$R54)</f>
        <v/>
      </c>
    </row>
    <row r="55" ht="16" customHeight="1">
      <c r="A55" s="40">
        <f>IF('1. MASTER_ENTRY'!$C55="","",'1. MASTER_ENTRY'!$A55)</f>
        <v/>
      </c>
      <c r="B55" s="40">
        <f>IF('1. MASTER_ENTRY'!$C55="","",'1. MASTER_ENTRY'!$D55)</f>
        <v/>
      </c>
      <c r="C55" s="41">
        <f>IF('1. MASTER_ENTRY'!$C55="","",'1. MASTER_ENTRY'!$C55)</f>
        <v/>
      </c>
      <c r="D55" s="41">
        <f>IF('1. MASTER_ENTRY'!$C55="","",'1. MASTER_ENTRY'!$K55)</f>
        <v/>
      </c>
      <c r="E55" s="40">
        <f>IF('1. MASTER_ENTRY'!$C55="","",'1. MASTER_ENTRY'!$F55)</f>
        <v/>
      </c>
      <c r="F55" s="40">
        <f>IF('1. MASTER_ENTRY'!$C55="","",'1. MASTER_ENTRY'!$G55)</f>
        <v/>
      </c>
      <c r="G55" s="40">
        <f>IF('1. MASTER_ENTRY'!$C55="","",'1. MASTER_ENTRY'!$H55)</f>
        <v/>
      </c>
      <c r="H55" s="40">
        <f>IF('1. MASTER_ENTRY'!$C55="","",'1. MASTER_ENTRY'!$I55)</f>
        <v/>
      </c>
      <c r="I55" s="40">
        <f>IF('1. MASTER_ENTRY'!$C55="","",'1. MASTER_ENTRY'!$J55)</f>
        <v/>
      </c>
      <c r="J55" s="41">
        <f>IF('1. MASTER_ENTRY'!$C55="","",'1. MASTER_ENTRY'!$U55)</f>
        <v/>
      </c>
      <c r="K55" s="40">
        <f>IF('1. MASTER_ENTRY'!$C55="","",'1. MASTER_ENTRY'!$M55)</f>
        <v/>
      </c>
      <c r="L55" s="40">
        <f>IF('1. MASTER_ENTRY'!$C55="","",'1. MASTER_ENTRY'!$R55)</f>
        <v/>
      </c>
    </row>
    <row r="56" ht="16" customHeight="1">
      <c r="A56" s="36">
        <f>IF('1. MASTER_ENTRY'!$C56="","",'1. MASTER_ENTRY'!$A56)</f>
        <v/>
      </c>
      <c r="B56" s="36">
        <f>IF('1. MASTER_ENTRY'!$C56="","",'1. MASTER_ENTRY'!$D56)</f>
        <v/>
      </c>
      <c r="C56" s="37">
        <f>IF('1. MASTER_ENTRY'!$C56="","",'1. MASTER_ENTRY'!$C56)</f>
        <v/>
      </c>
      <c r="D56" s="37">
        <f>IF('1. MASTER_ENTRY'!$C56="","",'1. MASTER_ENTRY'!$K56)</f>
        <v/>
      </c>
      <c r="E56" s="36">
        <f>IF('1. MASTER_ENTRY'!$C56="","",'1. MASTER_ENTRY'!$F56)</f>
        <v/>
      </c>
      <c r="F56" s="36">
        <f>IF('1. MASTER_ENTRY'!$C56="","",'1. MASTER_ENTRY'!$G56)</f>
        <v/>
      </c>
      <c r="G56" s="36">
        <f>IF('1. MASTER_ENTRY'!$C56="","",'1. MASTER_ENTRY'!$H56)</f>
        <v/>
      </c>
      <c r="H56" s="36">
        <f>IF('1. MASTER_ENTRY'!$C56="","",'1. MASTER_ENTRY'!$I56)</f>
        <v/>
      </c>
      <c r="I56" s="36">
        <f>IF('1. MASTER_ENTRY'!$C56="","",'1. MASTER_ENTRY'!$J56)</f>
        <v/>
      </c>
      <c r="J56" s="37">
        <f>IF('1. MASTER_ENTRY'!$C56="","",'1. MASTER_ENTRY'!$U56)</f>
        <v/>
      </c>
      <c r="K56" s="36">
        <f>IF('1. MASTER_ENTRY'!$C56="","",'1. MASTER_ENTRY'!$M56)</f>
        <v/>
      </c>
      <c r="L56" s="36">
        <f>IF('1. MASTER_ENTRY'!$C56="","",'1. MASTER_ENTRY'!$R56)</f>
        <v/>
      </c>
    </row>
    <row r="57" ht="16" customHeight="1">
      <c r="A57" s="40">
        <f>IF('1. MASTER_ENTRY'!$C57="","",'1. MASTER_ENTRY'!$A57)</f>
        <v/>
      </c>
      <c r="B57" s="40">
        <f>IF('1. MASTER_ENTRY'!$C57="","",'1. MASTER_ENTRY'!$D57)</f>
        <v/>
      </c>
      <c r="C57" s="41">
        <f>IF('1. MASTER_ENTRY'!$C57="","",'1. MASTER_ENTRY'!$C57)</f>
        <v/>
      </c>
      <c r="D57" s="41">
        <f>IF('1. MASTER_ENTRY'!$C57="","",'1. MASTER_ENTRY'!$K57)</f>
        <v/>
      </c>
      <c r="E57" s="40">
        <f>IF('1. MASTER_ENTRY'!$C57="","",'1. MASTER_ENTRY'!$F57)</f>
        <v/>
      </c>
      <c r="F57" s="40">
        <f>IF('1. MASTER_ENTRY'!$C57="","",'1. MASTER_ENTRY'!$G57)</f>
        <v/>
      </c>
      <c r="G57" s="40">
        <f>IF('1. MASTER_ENTRY'!$C57="","",'1. MASTER_ENTRY'!$H57)</f>
        <v/>
      </c>
      <c r="H57" s="40">
        <f>IF('1. MASTER_ENTRY'!$C57="","",'1. MASTER_ENTRY'!$I57)</f>
        <v/>
      </c>
      <c r="I57" s="40">
        <f>IF('1. MASTER_ENTRY'!$C57="","",'1. MASTER_ENTRY'!$J57)</f>
        <v/>
      </c>
      <c r="J57" s="41">
        <f>IF('1. MASTER_ENTRY'!$C57="","",'1. MASTER_ENTRY'!$U57)</f>
        <v/>
      </c>
      <c r="K57" s="40">
        <f>IF('1. MASTER_ENTRY'!$C57="","",'1. MASTER_ENTRY'!$M57)</f>
        <v/>
      </c>
      <c r="L57" s="40">
        <f>IF('1. MASTER_ENTRY'!$C57="","",'1. MASTER_ENTRY'!$R57)</f>
        <v/>
      </c>
    </row>
    <row r="58" ht="16" customHeight="1">
      <c r="A58" s="36">
        <f>IF('1. MASTER_ENTRY'!$C58="","",'1. MASTER_ENTRY'!$A58)</f>
        <v/>
      </c>
      <c r="B58" s="36">
        <f>IF('1. MASTER_ENTRY'!$C58="","",'1. MASTER_ENTRY'!$D58)</f>
        <v/>
      </c>
      <c r="C58" s="37">
        <f>IF('1. MASTER_ENTRY'!$C58="","",'1. MASTER_ENTRY'!$C58)</f>
        <v/>
      </c>
      <c r="D58" s="37">
        <f>IF('1. MASTER_ENTRY'!$C58="","",'1. MASTER_ENTRY'!$K58)</f>
        <v/>
      </c>
      <c r="E58" s="36">
        <f>IF('1. MASTER_ENTRY'!$C58="","",'1. MASTER_ENTRY'!$F58)</f>
        <v/>
      </c>
      <c r="F58" s="36">
        <f>IF('1. MASTER_ENTRY'!$C58="","",'1. MASTER_ENTRY'!$G58)</f>
        <v/>
      </c>
      <c r="G58" s="36">
        <f>IF('1. MASTER_ENTRY'!$C58="","",'1. MASTER_ENTRY'!$H58)</f>
        <v/>
      </c>
      <c r="H58" s="36">
        <f>IF('1. MASTER_ENTRY'!$C58="","",'1. MASTER_ENTRY'!$I58)</f>
        <v/>
      </c>
      <c r="I58" s="36">
        <f>IF('1. MASTER_ENTRY'!$C58="","",'1. MASTER_ENTRY'!$J58)</f>
        <v/>
      </c>
      <c r="J58" s="37">
        <f>IF('1. MASTER_ENTRY'!$C58="","",'1. MASTER_ENTRY'!$U58)</f>
        <v/>
      </c>
      <c r="K58" s="36">
        <f>IF('1. MASTER_ENTRY'!$C58="","",'1. MASTER_ENTRY'!$M58)</f>
        <v/>
      </c>
      <c r="L58" s="36">
        <f>IF('1. MASTER_ENTRY'!$C58="","",'1. MASTER_ENTRY'!$R58)</f>
        <v/>
      </c>
    </row>
    <row r="59" ht="16" customHeight="1">
      <c r="A59" s="40">
        <f>IF('1. MASTER_ENTRY'!$C59="","",'1. MASTER_ENTRY'!$A59)</f>
        <v/>
      </c>
      <c r="B59" s="40">
        <f>IF('1. MASTER_ENTRY'!$C59="","",'1. MASTER_ENTRY'!$D59)</f>
        <v/>
      </c>
      <c r="C59" s="41">
        <f>IF('1. MASTER_ENTRY'!$C59="","",'1. MASTER_ENTRY'!$C59)</f>
        <v/>
      </c>
      <c r="D59" s="41">
        <f>IF('1. MASTER_ENTRY'!$C59="","",'1. MASTER_ENTRY'!$K59)</f>
        <v/>
      </c>
      <c r="E59" s="40">
        <f>IF('1. MASTER_ENTRY'!$C59="","",'1. MASTER_ENTRY'!$F59)</f>
        <v/>
      </c>
      <c r="F59" s="40">
        <f>IF('1. MASTER_ENTRY'!$C59="","",'1. MASTER_ENTRY'!$G59)</f>
        <v/>
      </c>
      <c r="G59" s="40">
        <f>IF('1. MASTER_ENTRY'!$C59="","",'1. MASTER_ENTRY'!$H59)</f>
        <v/>
      </c>
      <c r="H59" s="40">
        <f>IF('1. MASTER_ENTRY'!$C59="","",'1. MASTER_ENTRY'!$I59)</f>
        <v/>
      </c>
      <c r="I59" s="40">
        <f>IF('1. MASTER_ENTRY'!$C59="","",'1. MASTER_ENTRY'!$J59)</f>
        <v/>
      </c>
      <c r="J59" s="41">
        <f>IF('1. MASTER_ENTRY'!$C59="","",'1. MASTER_ENTRY'!$U59)</f>
        <v/>
      </c>
      <c r="K59" s="40">
        <f>IF('1. MASTER_ENTRY'!$C59="","",'1. MASTER_ENTRY'!$M59)</f>
        <v/>
      </c>
      <c r="L59" s="40">
        <f>IF('1. MASTER_ENTRY'!$C59="","",'1. MASTER_ENTRY'!$R59)</f>
        <v/>
      </c>
    </row>
    <row r="60" ht="16" customHeight="1">
      <c r="A60" s="36">
        <f>IF('1. MASTER_ENTRY'!$C60="","",'1. MASTER_ENTRY'!$A60)</f>
        <v/>
      </c>
      <c r="B60" s="36">
        <f>IF('1. MASTER_ENTRY'!$C60="","",'1. MASTER_ENTRY'!$D60)</f>
        <v/>
      </c>
      <c r="C60" s="37">
        <f>IF('1. MASTER_ENTRY'!$C60="","",'1. MASTER_ENTRY'!$C60)</f>
        <v/>
      </c>
      <c r="D60" s="37">
        <f>IF('1. MASTER_ENTRY'!$C60="","",'1. MASTER_ENTRY'!$K60)</f>
        <v/>
      </c>
      <c r="E60" s="36">
        <f>IF('1. MASTER_ENTRY'!$C60="","",'1. MASTER_ENTRY'!$F60)</f>
        <v/>
      </c>
      <c r="F60" s="36">
        <f>IF('1. MASTER_ENTRY'!$C60="","",'1. MASTER_ENTRY'!$G60)</f>
        <v/>
      </c>
      <c r="G60" s="36">
        <f>IF('1. MASTER_ENTRY'!$C60="","",'1. MASTER_ENTRY'!$H60)</f>
        <v/>
      </c>
      <c r="H60" s="36">
        <f>IF('1. MASTER_ENTRY'!$C60="","",'1. MASTER_ENTRY'!$I60)</f>
        <v/>
      </c>
      <c r="I60" s="36">
        <f>IF('1. MASTER_ENTRY'!$C60="","",'1. MASTER_ENTRY'!$J60)</f>
        <v/>
      </c>
      <c r="J60" s="37">
        <f>IF('1. MASTER_ENTRY'!$C60="","",'1. MASTER_ENTRY'!$U60)</f>
        <v/>
      </c>
      <c r="K60" s="36">
        <f>IF('1. MASTER_ENTRY'!$C60="","",'1. MASTER_ENTRY'!$M60)</f>
        <v/>
      </c>
      <c r="L60" s="36">
        <f>IF('1. MASTER_ENTRY'!$C60="","",'1. MASTER_ENTRY'!$R60)</f>
        <v/>
      </c>
    </row>
    <row r="61" ht="16" customHeight="1">
      <c r="A61" s="40">
        <f>IF('1. MASTER_ENTRY'!$C61="","",'1. MASTER_ENTRY'!$A61)</f>
        <v/>
      </c>
      <c r="B61" s="40">
        <f>IF('1. MASTER_ENTRY'!$C61="","",'1. MASTER_ENTRY'!$D61)</f>
        <v/>
      </c>
      <c r="C61" s="41">
        <f>IF('1. MASTER_ENTRY'!$C61="","",'1. MASTER_ENTRY'!$C61)</f>
        <v/>
      </c>
      <c r="D61" s="41">
        <f>IF('1. MASTER_ENTRY'!$C61="","",'1. MASTER_ENTRY'!$K61)</f>
        <v/>
      </c>
      <c r="E61" s="40">
        <f>IF('1. MASTER_ENTRY'!$C61="","",'1. MASTER_ENTRY'!$F61)</f>
        <v/>
      </c>
      <c r="F61" s="40">
        <f>IF('1. MASTER_ENTRY'!$C61="","",'1. MASTER_ENTRY'!$G61)</f>
        <v/>
      </c>
      <c r="G61" s="40">
        <f>IF('1. MASTER_ENTRY'!$C61="","",'1. MASTER_ENTRY'!$H61)</f>
        <v/>
      </c>
      <c r="H61" s="40">
        <f>IF('1. MASTER_ENTRY'!$C61="","",'1. MASTER_ENTRY'!$I61)</f>
        <v/>
      </c>
      <c r="I61" s="40">
        <f>IF('1. MASTER_ENTRY'!$C61="","",'1. MASTER_ENTRY'!$J61)</f>
        <v/>
      </c>
      <c r="J61" s="41">
        <f>IF('1. MASTER_ENTRY'!$C61="","",'1. MASTER_ENTRY'!$U61)</f>
        <v/>
      </c>
      <c r="K61" s="40">
        <f>IF('1. MASTER_ENTRY'!$C61="","",'1. MASTER_ENTRY'!$M61)</f>
        <v/>
      </c>
      <c r="L61" s="40">
        <f>IF('1. MASTER_ENTRY'!$C61="","",'1. MASTER_ENTRY'!$R61)</f>
        <v/>
      </c>
    </row>
    <row r="62" ht="16" customHeight="1">
      <c r="A62" s="36">
        <f>IF('1. MASTER_ENTRY'!$C62="","",'1. MASTER_ENTRY'!$A62)</f>
        <v/>
      </c>
      <c r="B62" s="36">
        <f>IF('1. MASTER_ENTRY'!$C62="","",'1. MASTER_ENTRY'!$D62)</f>
        <v/>
      </c>
      <c r="C62" s="37">
        <f>IF('1. MASTER_ENTRY'!$C62="","",'1. MASTER_ENTRY'!$C62)</f>
        <v/>
      </c>
      <c r="D62" s="37">
        <f>IF('1. MASTER_ENTRY'!$C62="","",'1. MASTER_ENTRY'!$K62)</f>
        <v/>
      </c>
      <c r="E62" s="36">
        <f>IF('1. MASTER_ENTRY'!$C62="","",'1. MASTER_ENTRY'!$F62)</f>
        <v/>
      </c>
      <c r="F62" s="36">
        <f>IF('1. MASTER_ENTRY'!$C62="","",'1. MASTER_ENTRY'!$G62)</f>
        <v/>
      </c>
      <c r="G62" s="36">
        <f>IF('1. MASTER_ENTRY'!$C62="","",'1. MASTER_ENTRY'!$H62)</f>
        <v/>
      </c>
      <c r="H62" s="36">
        <f>IF('1. MASTER_ENTRY'!$C62="","",'1. MASTER_ENTRY'!$I62)</f>
        <v/>
      </c>
      <c r="I62" s="36">
        <f>IF('1. MASTER_ENTRY'!$C62="","",'1. MASTER_ENTRY'!$J62)</f>
        <v/>
      </c>
      <c r="J62" s="37">
        <f>IF('1. MASTER_ENTRY'!$C62="","",'1. MASTER_ENTRY'!$U62)</f>
        <v/>
      </c>
      <c r="K62" s="36">
        <f>IF('1. MASTER_ENTRY'!$C62="","",'1. MASTER_ENTRY'!$M62)</f>
        <v/>
      </c>
      <c r="L62" s="36">
        <f>IF('1. MASTER_ENTRY'!$C62="","",'1. MASTER_ENTRY'!$R62)</f>
        <v/>
      </c>
    </row>
    <row r="63" ht="16" customHeight="1">
      <c r="A63" s="40">
        <f>IF('1. MASTER_ENTRY'!$C63="","",'1. MASTER_ENTRY'!$A63)</f>
        <v/>
      </c>
      <c r="B63" s="40">
        <f>IF('1. MASTER_ENTRY'!$C63="","",'1. MASTER_ENTRY'!$D63)</f>
        <v/>
      </c>
      <c r="C63" s="41">
        <f>IF('1. MASTER_ENTRY'!$C63="","",'1. MASTER_ENTRY'!$C63)</f>
        <v/>
      </c>
      <c r="D63" s="41">
        <f>IF('1. MASTER_ENTRY'!$C63="","",'1. MASTER_ENTRY'!$K63)</f>
        <v/>
      </c>
      <c r="E63" s="40">
        <f>IF('1. MASTER_ENTRY'!$C63="","",'1. MASTER_ENTRY'!$F63)</f>
        <v/>
      </c>
      <c r="F63" s="40">
        <f>IF('1. MASTER_ENTRY'!$C63="","",'1. MASTER_ENTRY'!$G63)</f>
        <v/>
      </c>
      <c r="G63" s="40">
        <f>IF('1. MASTER_ENTRY'!$C63="","",'1. MASTER_ENTRY'!$H63)</f>
        <v/>
      </c>
      <c r="H63" s="40">
        <f>IF('1. MASTER_ENTRY'!$C63="","",'1. MASTER_ENTRY'!$I63)</f>
        <v/>
      </c>
      <c r="I63" s="40">
        <f>IF('1. MASTER_ENTRY'!$C63="","",'1. MASTER_ENTRY'!$J63)</f>
        <v/>
      </c>
      <c r="J63" s="41">
        <f>IF('1. MASTER_ENTRY'!$C63="","",'1. MASTER_ENTRY'!$U63)</f>
        <v/>
      </c>
      <c r="K63" s="40">
        <f>IF('1. MASTER_ENTRY'!$C63="","",'1. MASTER_ENTRY'!$M63)</f>
        <v/>
      </c>
      <c r="L63" s="40">
        <f>IF('1. MASTER_ENTRY'!$C63="","",'1. MASTER_ENTRY'!$R63)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2">
    <mergeCell ref="A2:L2"/>
    <mergeCell ref="A1:L1"/>
  </mergeCells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F8A8A"/>
    <outlinePr summaryBelow="1" summaryRight="1"/>
    <pageSetUpPr fitToPage="1"/>
  </sheetPr>
  <dimension ref="A1:G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34" customWidth="1" min="3" max="3"/>
    <col width="40" customWidth="1" min="4" max="4"/>
    <col width="30" customWidth="1" min="5" max="5"/>
    <col width="50" customWidth="1" min="6" max="6"/>
    <col width="13" customWidth="1" min="7" max="7"/>
  </cols>
  <sheetData>
    <row r="1" ht="36" customHeight="1">
      <c r="A1" s="47" t="inlineStr">
        <is>
          <t xml:space="preserve">  PDCA CYCLES  -  one Plan-Do-Check-Act loop per case</t>
        </is>
      </c>
    </row>
    <row r="2" ht="20" customHeight="1">
      <c r="A2" s="2" t="inlineStr">
        <is>
          <t xml:space="preserve">  Read-only. PLAN=problem, DO=root cause+method, CHECK=target, ACT=AI recommendation.</t>
        </is>
      </c>
    </row>
    <row r="3" ht="30" customHeight="1">
      <c r="A3" s="48" t="inlineStr">
        <is>
          <t>CASE ID</t>
        </is>
      </c>
      <c r="B3" s="48" t="inlineStr">
        <is>
          <t>CYCLE</t>
        </is>
      </c>
      <c r="C3" s="48" t="inlineStr">
        <is>
          <t>PLAN (problem)</t>
        </is>
      </c>
      <c r="D3" s="48" t="inlineStr">
        <is>
          <t>DO (root cause + method)</t>
        </is>
      </c>
      <c r="E3" s="48" t="inlineStr">
        <is>
          <t>CHECK (target)</t>
        </is>
      </c>
      <c r="F3" s="48" t="inlineStr">
        <is>
          <t>ACT (AI next step)</t>
        </is>
      </c>
      <c r="G3" s="48" t="inlineStr">
        <is>
          <t>STATUS</t>
        </is>
      </c>
    </row>
    <row r="4" ht="16" customHeight="1">
      <c r="A4" s="36">
        <f>IF('1. MASTER_ENTRY'!$C4="","",'1. MASTER_ENTRY'!$A4)</f>
        <v/>
      </c>
      <c r="B4" s="36">
        <f>IF('1. MASTER_ENTRY'!$C4="","","Cycle "&amp;(4-4+1))</f>
        <v/>
      </c>
      <c r="C4" s="37">
        <f>IF('1. MASTER_ENTRY'!$C4="","",'1. MASTER_ENTRY'!$C4)</f>
        <v/>
      </c>
      <c r="D4" s="37">
        <f>IF('1. MASTER_ENTRY'!$C4="","",'1. MASTER_ENTRY'!$K4&amp;"  -&gt;  "&amp;'1. MASTER_ENTRY'!$L4)</f>
        <v/>
      </c>
      <c r="E4" s="37">
        <f>IF('1. MASTER_ENTRY'!$C4="","",'1. MASTER_ENTRY'!$N4)</f>
        <v/>
      </c>
      <c r="F4" s="37">
        <f>IF('1. MASTER_ENTRY'!$C4="","",'1. MASTER_ENTRY'!$U4)</f>
        <v/>
      </c>
      <c r="G4" s="36">
        <f>IF('1. MASTER_ENTRY'!$C4="","",'1. MASTER_ENTRY'!$R4)</f>
        <v/>
      </c>
    </row>
    <row r="5" ht="16" customHeight="1">
      <c r="A5" s="40">
        <f>IF('1. MASTER_ENTRY'!$C5="","",'1. MASTER_ENTRY'!$A5)</f>
        <v/>
      </c>
      <c r="B5" s="40">
        <f>IF('1. MASTER_ENTRY'!$C5="","","Cycle "&amp;(5-4+1))</f>
        <v/>
      </c>
      <c r="C5" s="41">
        <f>IF('1. MASTER_ENTRY'!$C5="","",'1. MASTER_ENTRY'!$C5)</f>
        <v/>
      </c>
      <c r="D5" s="41">
        <f>IF('1. MASTER_ENTRY'!$C5="","",'1. MASTER_ENTRY'!$K5&amp;"  -&gt;  "&amp;'1. MASTER_ENTRY'!$L5)</f>
        <v/>
      </c>
      <c r="E5" s="41">
        <f>IF('1. MASTER_ENTRY'!$C5="","",'1. MASTER_ENTRY'!$N5)</f>
        <v/>
      </c>
      <c r="F5" s="41">
        <f>IF('1. MASTER_ENTRY'!$C5="","",'1. MASTER_ENTRY'!$U5)</f>
        <v/>
      </c>
      <c r="G5" s="40">
        <f>IF('1. MASTER_ENTRY'!$C5="","",'1. MASTER_ENTRY'!$R5)</f>
        <v/>
      </c>
    </row>
    <row r="6" ht="16" customHeight="1">
      <c r="A6" s="36">
        <f>IF('1. MASTER_ENTRY'!$C6="","",'1. MASTER_ENTRY'!$A6)</f>
        <v/>
      </c>
      <c r="B6" s="36">
        <f>IF('1. MASTER_ENTRY'!$C6="","","Cycle "&amp;(6-4+1))</f>
        <v/>
      </c>
      <c r="C6" s="37">
        <f>IF('1. MASTER_ENTRY'!$C6="","",'1. MASTER_ENTRY'!$C6)</f>
        <v/>
      </c>
      <c r="D6" s="37">
        <f>IF('1. MASTER_ENTRY'!$C6="","",'1. MASTER_ENTRY'!$K6&amp;"  -&gt;  "&amp;'1. MASTER_ENTRY'!$L6)</f>
        <v/>
      </c>
      <c r="E6" s="37">
        <f>IF('1. MASTER_ENTRY'!$C6="","",'1. MASTER_ENTRY'!$N6)</f>
        <v/>
      </c>
      <c r="F6" s="37">
        <f>IF('1. MASTER_ENTRY'!$C6="","",'1. MASTER_ENTRY'!$U6)</f>
        <v/>
      </c>
      <c r="G6" s="36">
        <f>IF('1. MASTER_ENTRY'!$C6="","",'1. MASTER_ENTRY'!$R6)</f>
        <v/>
      </c>
    </row>
    <row r="7" ht="16" customHeight="1">
      <c r="A7" s="40">
        <f>IF('1. MASTER_ENTRY'!$C7="","",'1. MASTER_ENTRY'!$A7)</f>
        <v/>
      </c>
      <c r="B7" s="40">
        <f>IF('1. MASTER_ENTRY'!$C7="","","Cycle "&amp;(7-4+1))</f>
        <v/>
      </c>
      <c r="C7" s="41">
        <f>IF('1. MASTER_ENTRY'!$C7="","",'1. MASTER_ENTRY'!$C7)</f>
        <v/>
      </c>
      <c r="D7" s="41">
        <f>IF('1. MASTER_ENTRY'!$C7="","",'1. MASTER_ENTRY'!$K7&amp;"  -&gt;  "&amp;'1. MASTER_ENTRY'!$L7)</f>
        <v/>
      </c>
      <c r="E7" s="41">
        <f>IF('1. MASTER_ENTRY'!$C7="","",'1. MASTER_ENTRY'!$N7)</f>
        <v/>
      </c>
      <c r="F7" s="41">
        <f>IF('1. MASTER_ENTRY'!$C7="","",'1. MASTER_ENTRY'!$U7)</f>
        <v/>
      </c>
      <c r="G7" s="40">
        <f>IF('1. MASTER_ENTRY'!$C7="","",'1. MASTER_ENTRY'!$R7)</f>
        <v/>
      </c>
    </row>
    <row r="8" ht="16" customHeight="1">
      <c r="A8" s="36">
        <f>IF('1. MASTER_ENTRY'!$C8="","",'1. MASTER_ENTRY'!$A8)</f>
        <v/>
      </c>
      <c r="B8" s="36">
        <f>IF('1. MASTER_ENTRY'!$C8="","","Cycle "&amp;(8-4+1))</f>
        <v/>
      </c>
      <c r="C8" s="37">
        <f>IF('1. MASTER_ENTRY'!$C8="","",'1. MASTER_ENTRY'!$C8)</f>
        <v/>
      </c>
      <c r="D8" s="37">
        <f>IF('1. MASTER_ENTRY'!$C8="","",'1. MASTER_ENTRY'!$K8&amp;"  -&gt;  "&amp;'1. MASTER_ENTRY'!$L8)</f>
        <v/>
      </c>
      <c r="E8" s="37">
        <f>IF('1. MASTER_ENTRY'!$C8="","",'1. MASTER_ENTRY'!$N8)</f>
        <v/>
      </c>
      <c r="F8" s="37">
        <f>IF('1. MASTER_ENTRY'!$C8="","",'1. MASTER_ENTRY'!$U8)</f>
        <v/>
      </c>
      <c r="G8" s="36">
        <f>IF('1. MASTER_ENTRY'!$C8="","",'1. MASTER_ENTRY'!$R8)</f>
        <v/>
      </c>
    </row>
    <row r="9" ht="16" customHeight="1">
      <c r="A9" s="40">
        <f>IF('1. MASTER_ENTRY'!$C9="","",'1. MASTER_ENTRY'!$A9)</f>
        <v/>
      </c>
      <c r="B9" s="40">
        <f>IF('1. MASTER_ENTRY'!$C9="","","Cycle "&amp;(9-4+1))</f>
        <v/>
      </c>
      <c r="C9" s="41">
        <f>IF('1. MASTER_ENTRY'!$C9="","",'1. MASTER_ENTRY'!$C9)</f>
        <v/>
      </c>
      <c r="D9" s="41">
        <f>IF('1. MASTER_ENTRY'!$C9="","",'1. MASTER_ENTRY'!$K9&amp;"  -&gt;  "&amp;'1. MASTER_ENTRY'!$L9)</f>
        <v/>
      </c>
      <c r="E9" s="41">
        <f>IF('1. MASTER_ENTRY'!$C9="","",'1. MASTER_ENTRY'!$N9)</f>
        <v/>
      </c>
      <c r="F9" s="41">
        <f>IF('1. MASTER_ENTRY'!$C9="","",'1. MASTER_ENTRY'!$U9)</f>
        <v/>
      </c>
      <c r="G9" s="40">
        <f>IF('1. MASTER_ENTRY'!$C9="","",'1. MASTER_ENTRY'!$R9)</f>
        <v/>
      </c>
    </row>
    <row r="10" ht="16" customHeight="1">
      <c r="A10" s="36">
        <f>IF('1. MASTER_ENTRY'!$C10="","",'1. MASTER_ENTRY'!$A10)</f>
        <v/>
      </c>
      <c r="B10" s="36">
        <f>IF('1. MASTER_ENTRY'!$C10="","","Cycle "&amp;(10-4+1))</f>
        <v/>
      </c>
      <c r="C10" s="37">
        <f>IF('1. MASTER_ENTRY'!$C10="","",'1. MASTER_ENTRY'!$C10)</f>
        <v/>
      </c>
      <c r="D10" s="37">
        <f>IF('1. MASTER_ENTRY'!$C10="","",'1. MASTER_ENTRY'!$K10&amp;"  -&gt;  "&amp;'1. MASTER_ENTRY'!$L10)</f>
        <v/>
      </c>
      <c r="E10" s="37">
        <f>IF('1. MASTER_ENTRY'!$C10="","",'1. MASTER_ENTRY'!$N10)</f>
        <v/>
      </c>
      <c r="F10" s="37">
        <f>IF('1. MASTER_ENTRY'!$C10="","",'1. MASTER_ENTRY'!$U10)</f>
        <v/>
      </c>
      <c r="G10" s="36">
        <f>IF('1. MASTER_ENTRY'!$C10="","",'1. MASTER_ENTRY'!$R10)</f>
        <v/>
      </c>
    </row>
    <row r="11" ht="16" customHeight="1">
      <c r="A11" s="40">
        <f>IF('1. MASTER_ENTRY'!$C11="","",'1. MASTER_ENTRY'!$A11)</f>
        <v/>
      </c>
      <c r="B11" s="40">
        <f>IF('1. MASTER_ENTRY'!$C11="","","Cycle "&amp;(11-4+1))</f>
        <v/>
      </c>
      <c r="C11" s="41">
        <f>IF('1. MASTER_ENTRY'!$C11="","",'1. MASTER_ENTRY'!$C11)</f>
        <v/>
      </c>
      <c r="D11" s="41">
        <f>IF('1. MASTER_ENTRY'!$C11="","",'1. MASTER_ENTRY'!$K11&amp;"  -&gt;  "&amp;'1. MASTER_ENTRY'!$L11)</f>
        <v/>
      </c>
      <c r="E11" s="41">
        <f>IF('1. MASTER_ENTRY'!$C11="","",'1. MASTER_ENTRY'!$N11)</f>
        <v/>
      </c>
      <c r="F11" s="41">
        <f>IF('1. MASTER_ENTRY'!$C11="","",'1. MASTER_ENTRY'!$U11)</f>
        <v/>
      </c>
      <c r="G11" s="40">
        <f>IF('1. MASTER_ENTRY'!$C11="","",'1. MASTER_ENTRY'!$R11)</f>
        <v/>
      </c>
    </row>
    <row r="12" ht="16" customHeight="1">
      <c r="A12" s="36">
        <f>IF('1. MASTER_ENTRY'!$C12="","",'1. MASTER_ENTRY'!$A12)</f>
        <v/>
      </c>
      <c r="B12" s="36">
        <f>IF('1. MASTER_ENTRY'!$C12="","","Cycle "&amp;(12-4+1))</f>
        <v/>
      </c>
      <c r="C12" s="37">
        <f>IF('1. MASTER_ENTRY'!$C12="","",'1. MASTER_ENTRY'!$C12)</f>
        <v/>
      </c>
      <c r="D12" s="37">
        <f>IF('1. MASTER_ENTRY'!$C12="","",'1. MASTER_ENTRY'!$K12&amp;"  -&gt;  "&amp;'1. MASTER_ENTRY'!$L12)</f>
        <v/>
      </c>
      <c r="E12" s="37">
        <f>IF('1. MASTER_ENTRY'!$C12="","",'1. MASTER_ENTRY'!$N12)</f>
        <v/>
      </c>
      <c r="F12" s="37">
        <f>IF('1. MASTER_ENTRY'!$C12="","",'1. MASTER_ENTRY'!$U12)</f>
        <v/>
      </c>
      <c r="G12" s="36">
        <f>IF('1. MASTER_ENTRY'!$C12="","",'1. MASTER_ENTRY'!$R12)</f>
        <v/>
      </c>
    </row>
    <row r="13" ht="16" customHeight="1">
      <c r="A13" s="40">
        <f>IF('1. MASTER_ENTRY'!$C13="","",'1. MASTER_ENTRY'!$A13)</f>
        <v/>
      </c>
      <c r="B13" s="40">
        <f>IF('1. MASTER_ENTRY'!$C13="","","Cycle "&amp;(13-4+1))</f>
        <v/>
      </c>
      <c r="C13" s="41">
        <f>IF('1. MASTER_ENTRY'!$C13="","",'1. MASTER_ENTRY'!$C13)</f>
        <v/>
      </c>
      <c r="D13" s="41">
        <f>IF('1. MASTER_ENTRY'!$C13="","",'1. MASTER_ENTRY'!$K13&amp;"  -&gt;  "&amp;'1. MASTER_ENTRY'!$L13)</f>
        <v/>
      </c>
      <c r="E13" s="41">
        <f>IF('1. MASTER_ENTRY'!$C13="","",'1. MASTER_ENTRY'!$N13)</f>
        <v/>
      </c>
      <c r="F13" s="41">
        <f>IF('1. MASTER_ENTRY'!$C13="","",'1. MASTER_ENTRY'!$U13)</f>
        <v/>
      </c>
      <c r="G13" s="40">
        <f>IF('1. MASTER_ENTRY'!$C13="","",'1. MASTER_ENTRY'!$R13)</f>
        <v/>
      </c>
    </row>
    <row r="14" ht="16" customHeight="1">
      <c r="A14" s="36">
        <f>IF('1. MASTER_ENTRY'!$C14="","",'1. MASTER_ENTRY'!$A14)</f>
        <v/>
      </c>
      <c r="B14" s="36">
        <f>IF('1. MASTER_ENTRY'!$C14="","","Cycle "&amp;(14-4+1))</f>
        <v/>
      </c>
      <c r="C14" s="37">
        <f>IF('1. MASTER_ENTRY'!$C14="","",'1. MASTER_ENTRY'!$C14)</f>
        <v/>
      </c>
      <c r="D14" s="37">
        <f>IF('1. MASTER_ENTRY'!$C14="","",'1. MASTER_ENTRY'!$K14&amp;"  -&gt;  "&amp;'1. MASTER_ENTRY'!$L14)</f>
        <v/>
      </c>
      <c r="E14" s="37">
        <f>IF('1. MASTER_ENTRY'!$C14="","",'1. MASTER_ENTRY'!$N14)</f>
        <v/>
      </c>
      <c r="F14" s="37">
        <f>IF('1. MASTER_ENTRY'!$C14="","",'1. MASTER_ENTRY'!$U14)</f>
        <v/>
      </c>
      <c r="G14" s="36">
        <f>IF('1. MASTER_ENTRY'!$C14="","",'1. MASTER_ENTRY'!$R14)</f>
        <v/>
      </c>
    </row>
    <row r="15" ht="16" customHeight="1">
      <c r="A15" s="40">
        <f>IF('1. MASTER_ENTRY'!$C15="","",'1. MASTER_ENTRY'!$A15)</f>
        <v/>
      </c>
      <c r="B15" s="40">
        <f>IF('1. MASTER_ENTRY'!$C15="","","Cycle "&amp;(15-4+1))</f>
        <v/>
      </c>
      <c r="C15" s="41">
        <f>IF('1. MASTER_ENTRY'!$C15="","",'1. MASTER_ENTRY'!$C15)</f>
        <v/>
      </c>
      <c r="D15" s="41">
        <f>IF('1. MASTER_ENTRY'!$C15="","",'1. MASTER_ENTRY'!$K15&amp;"  -&gt;  "&amp;'1. MASTER_ENTRY'!$L15)</f>
        <v/>
      </c>
      <c r="E15" s="41">
        <f>IF('1. MASTER_ENTRY'!$C15="","",'1. MASTER_ENTRY'!$N15)</f>
        <v/>
      </c>
      <c r="F15" s="41">
        <f>IF('1. MASTER_ENTRY'!$C15="","",'1. MASTER_ENTRY'!$U15)</f>
        <v/>
      </c>
      <c r="G15" s="40">
        <f>IF('1. MASTER_ENTRY'!$C15="","",'1. MASTER_ENTRY'!$R15)</f>
        <v/>
      </c>
    </row>
    <row r="16" ht="16" customHeight="1">
      <c r="A16" s="36">
        <f>IF('1. MASTER_ENTRY'!$C16="","",'1. MASTER_ENTRY'!$A16)</f>
        <v/>
      </c>
      <c r="B16" s="36">
        <f>IF('1. MASTER_ENTRY'!$C16="","","Cycle "&amp;(16-4+1))</f>
        <v/>
      </c>
      <c r="C16" s="37">
        <f>IF('1. MASTER_ENTRY'!$C16="","",'1. MASTER_ENTRY'!$C16)</f>
        <v/>
      </c>
      <c r="D16" s="37">
        <f>IF('1. MASTER_ENTRY'!$C16="","",'1. MASTER_ENTRY'!$K16&amp;"  -&gt;  "&amp;'1. MASTER_ENTRY'!$L16)</f>
        <v/>
      </c>
      <c r="E16" s="37">
        <f>IF('1. MASTER_ENTRY'!$C16="","",'1. MASTER_ENTRY'!$N16)</f>
        <v/>
      </c>
      <c r="F16" s="37">
        <f>IF('1. MASTER_ENTRY'!$C16="","",'1. MASTER_ENTRY'!$U16)</f>
        <v/>
      </c>
      <c r="G16" s="36">
        <f>IF('1. MASTER_ENTRY'!$C16="","",'1. MASTER_ENTRY'!$R16)</f>
        <v/>
      </c>
    </row>
    <row r="17" ht="16" customHeight="1">
      <c r="A17" s="40">
        <f>IF('1. MASTER_ENTRY'!$C17="","",'1. MASTER_ENTRY'!$A17)</f>
        <v/>
      </c>
      <c r="B17" s="40">
        <f>IF('1. MASTER_ENTRY'!$C17="","","Cycle "&amp;(17-4+1))</f>
        <v/>
      </c>
      <c r="C17" s="41">
        <f>IF('1. MASTER_ENTRY'!$C17="","",'1. MASTER_ENTRY'!$C17)</f>
        <v/>
      </c>
      <c r="D17" s="41">
        <f>IF('1. MASTER_ENTRY'!$C17="","",'1. MASTER_ENTRY'!$K17&amp;"  -&gt;  "&amp;'1. MASTER_ENTRY'!$L17)</f>
        <v/>
      </c>
      <c r="E17" s="41">
        <f>IF('1. MASTER_ENTRY'!$C17="","",'1. MASTER_ENTRY'!$N17)</f>
        <v/>
      </c>
      <c r="F17" s="41">
        <f>IF('1. MASTER_ENTRY'!$C17="","",'1. MASTER_ENTRY'!$U17)</f>
        <v/>
      </c>
      <c r="G17" s="40">
        <f>IF('1. MASTER_ENTRY'!$C17="","",'1. MASTER_ENTRY'!$R17)</f>
        <v/>
      </c>
    </row>
    <row r="18" ht="16" customHeight="1">
      <c r="A18" s="36">
        <f>IF('1. MASTER_ENTRY'!$C18="","",'1. MASTER_ENTRY'!$A18)</f>
        <v/>
      </c>
      <c r="B18" s="36">
        <f>IF('1. MASTER_ENTRY'!$C18="","","Cycle "&amp;(18-4+1))</f>
        <v/>
      </c>
      <c r="C18" s="37">
        <f>IF('1. MASTER_ENTRY'!$C18="","",'1. MASTER_ENTRY'!$C18)</f>
        <v/>
      </c>
      <c r="D18" s="37">
        <f>IF('1. MASTER_ENTRY'!$C18="","",'1. MASTER_ENTRY'!$K18&amp;"  -&gt;  "&amp;'1. MASTER_ENTRY'!$L18)</f>
        <v/>
      </c>
      <c r="E18" s="37">
        <f>IF('1. MASTER_ENTRY'!$C18="","",'1. MASTER_ENTRY'!$N18)</f>
        <v/>
      </c>
      <c r="F18" s="37">
        <f>IF('1. MASTER_ENTRY'!$C18="","",'1. MASTER_ENTRY'!$U18)</f>
        <v/>
      </c>
      <c r="G18" s="36">
        <f>IF('1. MASTER_ENTRY'!$C18="","",'1. MASTER_ENTRY'!$R18)</f>
        <v/>
      </c>
    </row>
    <row r="19" ht="16" customHeight="1">
      <c r="A19" s="40">
        <f>IF('1. MASTER_ENTRY'!$C19="","",'1. MASTER_ENTRY'!$A19)</f>
        <v/>
      </c>
      <c r="B19" s="40">
        <f>IF('1. MASTER_ENTRY'!$C19="","","Cycle "&amp;(19-4+1))</f>
        <v/>
      </c>
      <c r="C19" s="41">
        <f>IF('1. MASTER_ENTRY'!$C19="","",'1. MASTER_ENTRY'!$C19)</f>
        <v/>
      </c>
      <c r="D19" s="41">
        <f>IF('1. MASTER_ENTRY'!$C19="","",'1. MASTER_ENTRY'!$K19&amp;"  -&gt;  "&amp;'1. MASTER_ENTRY'!$L19)</f>
        <v/>
      </c>
      <c r="E19" s="41">
        <f>IF('1. MASTER_ENTRY'!$C19="","",'1. MASTER_ENTRY'!$N19)</f>
        <v/>
      </c>
      <c r="F19" s="41">
        <f>IF('1. MASTER_ENTRY'!$C19="","",'1. MASTER_ENTRY'!$U19)</f>
        <v/>
      </c>
      <c r="G19" s="40">
        <f>IF('1. MASTER_ENTRY'!$C19="","",'1. MASTER_ENTRY'!$R19)</f>
        <v/>
      </c>
    </row>
    <row r="20" ht="16" customHeight="1">
      <c r="A20" s="36">
        <f>IF('1. MASTER_ENTRY'!$C20="","",'1. MASTER_ENTRY'!$A20)</f>
        <v/>
      </c>
      <c r="B20" s="36">
        <f>IF('1. MASTER_ENTRY'!$C20="","","Cycle "&amp;(20-4+1))</f>
        <v/>
      </c>
      <c r="C20" s="37">
        <f>IF('1. MASTER_ENTRY'!$C20="","",'1. MASTER_ENTRY'!$C20)</f>
        <v/>
      </c>
      <c r="D20" s="37">
        <f>IF('1. MASTER_ENTRY'!$C20="","",'1. MASTER_ENTRY'!$K20&amp;"  -&gt;  "&amp;'1. MASTER_ENTRY'!$L20)</f>
        <v/>
      </c>
      <c r="E20" s="37">
        <f>IF('1. MASTER_ENTRY'!$C20="","",'1. MASTER_ENTRY'!$N20)</f>
        <v/>
      </c>
      <c r="F20" s="37">
        <f>IF('1. MASTER_ENTRY'!$C20="","",'1. MASTER_ENTRY'!$U20)</f>
        <v/>
      </c>
      <c r="G20" s="36">
        <f>IF('1. MASTER_ENTRY'!$C20="","",'1. MASTER_ENTRY'!$R20)</f>
        <v/>
      </c>
    </row>
    <row r="21" ht="16" customHeight="1">
      <c r="A21" s="40">
        <f>IF('1. MASTER_ENTRY'!$C21="","",'1. MASTER_ENTRY'!$A21)</f>
        <v/>
      </c>
      <c r="B21" s="40">
        <f>IF('1. MASTER_ENTRY'!$C21="","","Cycle "&amp;(21-4+1))</f>
        <v/>
      </c>
      <c r="C21" s="41">
        <f>IF('1. MASTER_ENTRY'!$C21="","",'1. MASTER_ENTRY'!$C21)</f>
        <v/>
      </c>
      <c r="D21" s="41">
        <f>IF('1. MASTER_ENTRY'!$C21="","",'1. MASTER_ENTRY'!$K21&amp;"  -&gt;  "&amp;'1. MASTER_ENTRY'!$L21)</f>
        <v/>
      </c>
      <c r="E21" s="41">
        <f>IF('1. MASTER_ENTRY'!$C21="","",'1. MASTER_ENTRY'!$N21)</f>
        <v/>
      </c>
      <c r="F21" s="41">
        <f>IF('1. MASTER_ENTRY'!$C21="","",'1. MASTER_ENTRY'!$U21)</f>
        <v/>
      </c>
      <c r="G21" s="40">
        <f>IF('1. MASTER_ENTRY'!$C21="","",'1. MASTER_ENTRY'!$R21)</f>
        <v/>
      </c>
    </row>
    <row r="22" ht="16" customHeight="1">
      <c r="A22" s="36">
        <f>IF('1. MASTER_ENTRY'!$C22="","",'1. MASTER_ENTRY'!$A22)</f>
        <v/>
      </c>
      <c r="B22" s="36">
        <f>IF('1. MASTER_ENTRY'!$C22="","","Cycle "&amp;(22-4+1))</f>
        <v/>
      </c>
      <c r="C22" s="37">
        <f>IF('1. MASTER_ENTRY'!$C22="","",'1. MASTER_ENTRY'!$C22)</f>
        <v/>
      </c>
      <c r="D22" s="37">
        <f>IF('1. MASTER_ENTRY'!$C22="","",'1. MASTER_ENTRY'!$K22&amp;"  -&gt;  "&amp;'1. MASTER_ENTRY'!$L22)</f>
        <v/>
      </c>
      <c r="E22" s="37">
        <f>IF('1. MASTER_ENTRY'!$C22="","",'1. MASTER_ENTRY'!$N22)</f>
        <v/>
      </c>
      <c r="F22" s="37">
        <f>IF('1. MASTER_ENTRY'!$C22="","",'1. MASTER_ENTRY'!$U22)</f>
        <v/>
      </c>
      <c r="G22" s="36">
        <f>IF('1. MASTER_ENTRY'!$C22="","",'1. MASTER_ENTRY'!$R22)</f>
        <v/>
      </c>
    </row>
    <row r="23" ht="16" customHeight="1">
      <c r="A23" s="40">
        <f>IF('1. MASTER_ENTRY'!$C23="","",'1. MASTER_ENTRY'!$A23)</f>
        <v/>
      </c>
      <c r="B23" s="40">
        <f>IF('1. MASTER_ENTRY'!$C23="","","Cycle "&amp;(23-4+1))</f>
        <v/>
      </c>
      <c r="C23" s="41">
        <f>IF('1. MASTER_ENTRY'!$C23="","",'1. MASTER_ENTRY'!$C23)</f>
        <v/>
      </c>
      <c r="D23" s="41">
        <f>IF('1. MASTER_ENTRY'!$C23="","",'1. MASTER_ENTRY'!$K23&amp;"  -&gt;  "&amp;'1. MASTER_ENTRY'!$L23)</f>
        <v/>
      </c>
      <c r="E23" s="41">
        <f>IF('1. MASTER_ENTRY'!$C23="","",'1. MASTER_ENTRY'!$N23)</f>
        <v/>
      </c>
      <c r="F23" s="41">
        <f>IF('1. MASTER_ENTRY'!$C23="","",'1. MASTER_ENTRY'!$U23)</f>
        <v/>
      </c>
      <c r="G23" s="40">
        <f>IF('1. MASTER_ENTRY'!$C23="","",'1. MASTER_ENTRY'!$R23)</f>
        <v/>
      </c>
    </row>
    <row r="24" ht="16" customHeight="1">
      <c r="A24" s="36">
        <f>IF('1. MASTER_ENTRY'!$C24="","",'1. MASTER_ENTRY'!$A24)</f>
        <v/>
      </c>
      <c r="B24" s="36">
        <f>IF('1. MASTER_ENTRY'!$C24="","","Cycle "&amp;(24-4+1))</f>
        <v/>
      </c>
      <c r="C24" s="37">
        <f>IF('1. MASTER_ENTRY'!$C24="","",'1. MASTER_ENTRY'!$C24)</f>
        <v/>
      </c>
      <c r="D24" s="37">
        <f>IF('1. MASTER_ENTRY'!$C24="","",'1. MASTER_ENTRY'!$K24&amp;"  -&gt;  "&amp;'1. MASTER_ENTRY'!$L24)</f>
        <v/>
      </c>
      <c r="E24" s="37">
        <f>IF('1. MASTER_ENTRY'!$C24="","",'1. MASTER_ENTRY'!$N24)</f>
        <v/>
      </c>
      <c r="F24" s="37">
        <f>IF('1. MASTER_ENTRY'!$C24="","",'1. MASTER_ENTRY'!$U24)</f>
        <v/>
      </c>
      <c r="G24" s="36">
        <f>IF('1. MASTER_ENTRY'!$C24="","",'1. MASTER_ENTRY'!$R24)</f>
        <v/>
      </c>
    </row>
    <row r="25" ht="16" customHeight="1">
      <c r="A25" s="40">
        <f>IF('1. MASTER_ENTRY'!$C25="","",'1. MASTER_ENTRY'!$A25)</f>
        <v/>
      </c>
      <c r="B25" s="40">
        <f>IF('1. MASTER_ENTRY'!$C25="","","Cycle "&amp;(25-4+1))</f>
        <v/>
      </c>
      <c r="C25" s="41">
        <f>IF('1. MASTER_ENTRY'!$C25="","",'1. MASTER_ENTRY'!$C25)</f>
        <v/>
      </c>
      <c r="D25" s="41">
        <f>IF('1. MASTER_ENTRY'!$C25="","",'1. MASTER_ENTRY'!$K25&amp;"  -&gt;  "&amp;'1. MASTER_ENTRY'!$L25)</f>
        <v/>
      </c>
      <c r="E25" s="41">
        <f>IF('1. MASTER_ENTRY'!$C25="","",'1. MASTER_ENTRY'!$N25)</f>
        <v/>
      </c>
      <c r="F25" s="41">
        <f>IF('1. MASTER_ENTRY'!$C25="","",'1. MASTER_ENTRY'!$U25)</f>
        <v/>
      </c>
      <c r="G25" s="40">
        <f>IF('1. MASTER_ENTRY'!$C25="","",'1. MASTER_ENTRY'!$R25)</f>
        <v/>
      </c>
    </row>
    <row r="26" ht="16" customHeight="1">
      <c r="A26" s="36">
        <f>IF('1. MASTER_ENTRY'!$C26="","",'1. MASTER_ENTRY'!$A26)</f>
        <v/>
      </c>
      <c r="B26" s="36">
        <f>IF('1. MASTER_ENTRY'!$C26="","","Cycle "&amp;(26-4+1))</f>
        <v/>
      </c>
      <c r="C26" s="37">
        <f>IF('1. MASTER_ENTRY'!$C26="","",'1. MASTER_ENTRY'!$C26)</f>
        <v/>
      </c>
      <c r="D26" s="37">
        <f>IF('1. MASTER_ENTRY'!$C26="","",'1. MASTER_ENTRY'!$K26&amp;"  -&gt;  "&amp;'1. MASTER_ENTRY'!$L26)</f>
        <v/>
      </c>
      <c r="E26" s="37">
        <f>IF('1. MASTER_ENTRY'!$C26="","",'1. MASTER_ENTRY'!$N26)</f>
        <v/>
      </c>
      <c r="F26" s="37">
        <f>IF('1. MASTER_ENTRY'!$C26="","",'1. MASTER_ENTRY'!$U26)</f>
        <v/>
      </c>
      <c r="G26" s="36">
        <f>IF('1. MASTER_ENTRY'!$C26="","",'1. MASTER_ENTRY'!$R26)</f>
        <v/>
      </c>
    </row>
    <row r="27" ht="16" customHeight="1">
      <c r="A27" s="40">
        <f>IF('1. MASTER_ENTRY'!$C27="","",'1. MASTER_ENTRY'!$A27)</f>
        <v/>
      </c>
      <c r="B27" s="40">
        <f>IF('1. MASTER_ENTRY'!$C27="","","Cycle "&amp;(27-4+1))</f>
        <v/>
      </c>
      <c r="C27" s="41">
        <f>IF('1. MASTER_ENTRY'!$C27="","",'1. MASTER_ENTRY'!$C27)</f>
        <v/>
      </c>
      <c r="D27" s="41">
        <f>IF('1. MASTER_ENTRY'!$C27="","",'1. MASTER_ENTRY'!$K27&amp;"  -&gt;  "&amp;'1. MASTER_ENTRY'!$L27)</f>
        <v/>
      </c>
      <c r="E27" s="41">
        <f>IF('1. MASTER_ENTRY'!$C27="","",'1. MASTER_ENTRY'!$N27)</f>
        <v/>
      </c>
      <c r="F27" s="41">
        <f>IF('1. MASTER_ENTRY'!$C27="","",'1. MASTER_ENTRY'!$U27)</f>
        <v/>
      </c>
      <c r="G27" s="40">
        <f>IF('1. MASTER_ENTRY'!$C27="","",'1. MASTER_ENTRY'!$R27)</f>
        <v/>
      </c>
    </row>
    <row r="28" ht="16" customHeight="1">
      <c r="A28" s="36">
        <f>IF('1. MASTER_ENTRY'!$C28="","",'1. MASTER_ENTRY'!$A28)</f>
        <v/>
      </c>
      <c r="B28" s="36">
        <f>IF('1. MASTER_ENTRY'!$C28="","","Cycle "&amp;(28-4+1))</f>
        <v/>
      </c>
      <c r="C28" s="37">
        <f>IF('1. MASTER_ENTRY'!$C28="","",'1. MASTER_ENTRY'!$C28)</f>
        <v/>
      </c>
      <c r="D28" s="37">
        <f>IF('1. MASTER_ENTRY'!$C28="","",'1. MASTER_ENTRY'!$K28&amp;"  -&gt;  "&amp;'1. MASTER_ENTRY'!$L28)</f>
        <v/>
      </c>
      <c r="E28" s="37">
        <f>IF('1. MASTER_ENTRY'!$C28="","",'1. MASTER_ENTRY'!$N28)</f>
        <v/>
      </c>
      <c r="F28" s="37">
        <f>IF('1. MASTER_ENTRY'!$C28="","",'1. MASTER_ENTRY'!$U28)</f>
        <v/>
      </c>
      <c r="G28" s="36">
        <f>IF('1. MASTER_ENTRY'!$C28="","",'1. MASTER_ENTRY'!$R28)</f>
        <v/>
      </c>
    </row>
    <row r="29" ht="16" customHeight="1">
      <c r="A29" s="40">
        <f>IF('1. MASTER_ENTRY'!$C29="","",'1. MASTER_ENTRY'!$A29)</f>
        <v/>
      </c>
      <c r="B29" s="40">
        <f>IF('1. MASTER_ENTRY'!$C29="","","Cycle "&amp;(29-4+1))</f>
        <v/>
      </c>
      <c r="C29" s="41">
        <f>IF('1. MASTER_ENTRY'!$C29="","",'1. MASTER_ENTRY'!$C29)</f>
        <v/>
      </c>
      <c r="D29" s="41">
        <f>IF('1. MASTER_ENTRY'!$C29="","",'1. MASTER_ENTRY'!$K29&amp;"  -&gt;  "&amp;'1. MASTER_ENTRY'!$L29)</f>
        <v/>
      </c>
      <c r="E29" s="41">
        <f>IF('1. MASTER_ENTRY'!$C29="","",'1. MASTER_ENTRY'!$N29)</f>
        <v/>
      </c>
      <c r="F29" s="41">
        <f>IF('1. MASTER_ENTRY'!$C29="","",'1. MASTER_ENTRY'!$U29)</f>
        <v/>
      </c>
      <c r="G29" s="40">
        <f>IF('1. MASTER_ENTRY'!$C29="","",'1. MASTER_ENTRY'!$R29)</f>
        <v/>
      </c>
    </row>
    <row r="30" ht="16" customHeight="1">
      <c r="A30" s="36">
        <f>IF('1. MASTER_ENTRY'!$C30="","",'1. MASTER_ENTRY'!$A30)</f>
        <v/>
      </c>
      <c r="B30" s="36">
        <f>IF('1. MASTER_ENTRY'!$C30="","","Cycle "&amp;(30-4+1))</f>
        <v/>
      </c>
      <c r="C30" s="37">
        <f>IF('1. MASTER_ENTRY'!$C30="","",'1. MASTER_ENTRY'!$C30)</f>
        <v/>
      </c>
      <c r="D30" s="37">
        <f>IF('1. MASTER_ENTRY'!$C30="","",'1. MASTER_ENTRY'!$K30&amp;"  -&gt;  "&amp;'1. MASTER_ENTRY'!$L30)</f>
        <v/>
      </c>
      <c r="E30" s="37">
        <f>IF('1. MASTER_ENTRY'!$C30="","",'1. MASTER_ENTRY'!$N30)</f>
        <v/>
      </c>
      <c r="F30" s="37">
        <f>IF('1. MASTER_ENTRY'!$C30="","",'1. MASTER_ENTRY'!$U30)</f>
        <v/>
      </c>
      <c r="G30" s="36">
        <f>IF('1. MASTER_ENTRY'!$C30="","",'1. MASTER_ENTRY'!$R30)</f>
        <v/>
      </c>
    </row>
    <row r="31" ht="16" customHeight="1">
      <c r="A31" s="40">
        <f>IF('1. MASTER_ENTRY'!$C31="","",'1. MASTER_ENTRY'!$A31)</f>
        <v/>
      </c>
      <c r="B31" s="40">
        <f>IF('1. MASTER_ENTRY'!$C31="","","Cycle "&amp;(31-4+1))</f>
        <v/>
      </c>
      <c r="C31" s="41">
        <f>IF('1. MASTER_ENTRY'!$C31="","",'1. MASTER_ENTRY'!$C31)</f>
        <v/>
      </c>
      <c r="D31" s="41">
        <f>IF('1. MASTER_ENTRY'!$C31="","",'1. MASTER_ENTRY'!$K31&amp;"  -&gt;  "&amp;'1. MASTER_ENTRY'!$L31)</f>
        <v/>
      </c>
      <c r="E31" s="41">
        <f>IF('1. MASTER_ENTRY'!$C31="","",'1. MASTER_ENTRY'!$N31)</f>
        <v/>
      </c>
      <c r="F31" s="41">
        <f>IF('1. MASTER_ENTRY'!$C31="","",'1. MASTER_ENTRY'!$U31)</f>
        <v/>
      </c>
      <c r="G31" s="40">
        <f>IF('1. MASTER_ENTRY'!$C31="","",'1. MASTER_ENTRY'!$R31)</f>
        <v/>
      </c>
    </row>
    <row r="32" ht="16" customHeight="1">
      <c r="A32" s="36">
        <f>IF('1. MASTER_ENTRY'!$C32="","",'1. MASTER_ENTRY'!$A32)</f>
        <v/>
      </c>
      <c r="B32" s="36">
        <f>IF('1. MASTER_ENTRY'!$C32="","","Cycle "&amp;(32-4+1))</f>
        <v/>
      </c>
      <c r="C32" s="37">
        <f>IF('1. MASTER_ENTRY'!$C32="","",'1. MASTER_ENTRY'!$C32)</f>
        <v/>
      </c>
      <c r="D32" s="37">
        <f>IF('1. MASTER_ENTRY'!$C32="","",'1. MASTER_ENTRY'!$K32&amp;"  -&gt;  "&amp;'1. MASTER_ENTRY'!$L32)</f>
        <v/>
      </c>
      <c r="E32" s="37">
        <f>IF('1. MASTER_ENTRY'!$C32="","",'1. MASTER_ENTRY'!$N32)</f>
        <v/>
      </c>
      <c r="F32" s="37">
        <f>IF('1. MASTER_ENTRY'!$C32="","",'1. MASTER_ENTRY'!$U32)</f>
        <v/>
      </c>
      <c r="G32" s="36">
        <f>IF('1. MASTER_ENTRY'!$C32="","",'1. MASTER_ENTRY'!$R32)</f>
        <v/>
      </c>
    </row>
    <row r="33" ht="16" customHeight="1">
      <c r="A33" s="40">
        <f>IF('1. MASTER_ENTRY'!$C33="","",'1. MASTER_ENTRY'!$A33)</f>
        <v/>
      </c>
      <c r="B33" s="40">
        <f>IF('1. MASTER_ENTRY'!$C33="","","Cycle "&amp;(33-4+1))</f>
        <v/>
      </c>
      <c r="C33" s="41">
        <f>IF('1. MASTER_ENTRY'!$C33="","",'1. MASTER_ENTRY'!$C33)</f>
        <v/>
      </c>
      <c r="D33" s="41">
        <f>IF('1. MASTER_ENTRY'!$C33="","",'1. MASTER_ENTRY'!$K33&amp;"  -&gt;  "&amp;'1. MASTER_ENTRY'!$L33)</f>
        <v/>
      </c>
      <c r="E33" s="41">
        <f>IF('1. MASTER_ENTRY'!$C33="","",'1. MASTER_ENTRY'!$N33)</f>
        <v/>
      </c>
      <c r="F33" s="41">
        <f>IF('1. MASTER_ENTRY'!$C33="","",'1. MASTER_ENTRY'!$U33)</f>
        <v/>
      </c>
      <c r="G33" s="40">
        <f>IF('1. MASTER_ENTRY'!$C33="","",'1. MASTER_ENTRY'!$R33)</f>
        <v/>
      </c>
    </row>
    <row r="34" ht="16" customHeight="1">
      <c r="A34" s="36">
        <f>IF('1. MASTER_ENTRY'!$C34="","",'1. MASTER_ENTRY'!$A34)</f>
        <v/>
      </c>
      <c r="B34" s="36">
        <f>IF('1. MASTER_ENTRY'!$C34="","","Cycle "&amp;(34-4+1))</f>
        <v/>
      </c>
      <c r="C34" s="37">
        <f>IF('1. MASTER_ENTRY'!$C34="","",'1. MASTER_ENTRY'!$C34)</f>
        <v/>
      </c>
      <c r="D34" s="37">
        <f>IF('1. MASTER_ENTRY'!$C34="","",'1. MASTER_ENTRY'!$K34&amp;"  -&gt;  "&amp;'1. MASTER_ENTRY'!$L34)</f>
        <v/>
      </c>
      <c r="E34" s="37">
        <f>IF('1. MASTER_ENTRY'!$C34="","",'1. MASTER_ENTRY'!$N34)</f>
        <v/>
      </c>
      <c r="F34" s="37">
        <f>IF('1. MASTER_ENTRY'!$C34="","",'1. MASTER_ENTRY'!$U34)</f>
        <v/>
      </c>
      <c r="G34" s="36">
        <f>IF('1. MASTER_ENTRY'!$C34="","",'1. MASTER_ENTRY'!$R34)</f>
        <v/>
      </c>
    </row>
    <row r="35" ht="16" customHeight="1">
      <c r="A35" s="40">
        <f>IF('1. MASTER_ENTRY'!$C35="","",'1. MASTER_ENTRY'!$A35)</f>
        <v/>
      </c>
      <c r="B35" s="40">
        <f>IF('1. MASTER_ENTRY'!$C35="","","Cycle "&amp;(35-4+1))</f>
        <v/>
      </c>
      <c r="C35" s="41">
        <f>IF('1. MASTER_ENTRY'!$C35="","",'1. MASTER_ENTRY'!$C35)</f>
        <v/>
      </c>
      <c r="D35" s="41">
        <f>IF('1. MASTER_ENTRY'!$C35="","",'1. MASTER_ENTRY'!$K35&amp;"  -&gt;  "&amp;'1. MASTER_ENTRY'!$L35)</f>
        <v/>
      </c>
      <c r="E35" s="41">
        <f>IF('1. MASTER_ENTRY'!$C35="","",'1. MASTER_ENTRY'!$N35)</f>
        <v/>
      </c>
      <c r="F35" s="41">
        <f>IF('1. MASTER_ENTRY'!$C35="","",'1. MASTER_ENTRY'!$U35)</f>
        <v/>
      </c>
      <c r="G35" s="40">
        <f>IF('1. MASTER_ENTRY'!$C35="","",'1. MASTER_ENTRY'!$R35)</f>
        <v/>
      </c>
    </row>
    <row r="36" ht="16" customHeight="1">
      <c r="A36" s="36">
        <f>IF('1. MASTER_ENTRY'!$C36="","",'1. MASTER_ENTRY'!$A36)</f>
        <v/>
      </c>
      <c r="B36" s="36">
        <f>IF('1. MASTER_ENTRY'!$C36="","","Cycle "&amp;(36-4+1))</f>
        <v/>
      </c>
      <c r="C36" s="37">
        <f>IF('1. MASTER_ENTRY'!$C36="","",'1. MASTER_ENTRY'!$C36)</f>
        <v/>
      </c>
      <c r="D36" s="37">
        <f>IF('1. MASTER_ENTRY'!$C36="","",'1. MASTER_ENTRY'!$K36&amp;"  -&gt;  "&amp;'1. MASTER_ENTRY'!$L36)</f>
        <v/>
      </c>
      <c r="E36" s="37">
        <f>IF('1. MASTER_ENTRY'!$C36="","",'1. MASTER_ENTRY'!$N36)</f>
        <v/>
      </c>
      <c r="F36" s="37">
        <f>IF('1. MASTER_ENTRY'!$C36="","",'1. MASTER_ENTRY'!$U36)</f>
        <v/>
      </c>
      <c r="G36" s="36">
        <f>IF('1. MASTER_ENTRY'!$C36="","",'1. MASTER_ENTRY'!$R36)</f>
        <v/>
      </c>
    </row>
    <row r="37" ht="16" customHeight="1">
      <c r="A37" s="40">
        <f>IF('1. MASTER_ENTRY'!$C37="","",'1. MASTER_ENTRY'!$A37)</f>
        <v/>
      </c>
      <c r="B37" s="40">
        <f>IF('1. MASTER_ENTRY'!$C37="","","Cycle "&amp;(37-4+1))</f>
        <v/>
      </c>
      <c r="C37" s="41">
        <f>IF('1. MASTER_ENTRY'!$C37="","",'1. MASTER_ENTRY'!$C37)</f>
        <v/>
      </c>
      <c r="D37" s="41">
        <f>IF('1. MASTER_ENTRY'!$C37="","",'1. MASTER_ENTRY'!$K37&amp;"  -&gt;  "&amp;'1. MASTER_ENTRY'!$L37)</f>
        <v/>
      </c>
      <c r="E37" s="41">
        <f>IF('1. MASTER_ENTRY'!$C37="","",'1. MASTER_ENTRY'!$N37)</f>
        <v/>
      </c>
      <c r="F37" s="41">
        <f>IF('1. MASTER_ENTRY'!$C37="","",'1. MASTER_ENTRY'!$U37)</f>
        <v/>
      </c>
      <c r="G37" s="40">
        <f>IF('1. MASTER_ENTRY'!$C37="","",'1. MASTER_ENTRY'!$R37)</f>
        <v/>
      </c>
    </row>
    <row r="38" ht="16" customHeight="1">
      <c r="A38" s="36">
        <f>IF('1. MASTER_ENTRY'!$C38="","",'1. MASTER_ENTRY'!$A38)</f>
        <v/>
      </c>
      <c r="B38" s="36">
        <f>IF('1. MASTER_ENTRY'!$C38="","","Cycle "&amp;(38-4+1))</f>
        <v/>
      </c>
      <c r="C38" s="37">
        <f>IF('1. MASTER_ENTRY'!$C38="","",'1. MASTER_ENTRY'!$C38)</f>
        <v/>
      </c>
      <c r="D38" s="37">
        <f>IF('1. MASTER_ENTRY'!$C38="","",'1. MASTER_ENTRY'!$K38&amp;"  -&gt;  "&amp;'1. MASTER_ENTRY'!$L38)</f>
        <v/>
      </c>
      <c r="E38" s="37">
        <f>IF('1. MASTER_ENTRY'!$C38="","",'1. MASTER_ENTRY'!$N38)</f>
        <v/>
      </c>
      <c r="F38" s="37">
        <f>IF('1. MASTER_ENTRY'!$C38="","",'1. MASTER_ENTRY'!$U38)</f>
        <v/>
      </c>
      <c r="G38" s="36">
        <f>IF('1. MASTER_ENTRY'!$C38="","",'1. MASTER_ENTRY'!$R38)</f>
        <v/>
      </c>
    </row>
    <row r="39" ht="16" customHeight="1">
      <c r="A39" s="40">
        <f>IF('1. MASTER_ENTRY'!$C39="","",'1. MASTER_ENTRY'!$A39)</f>
        <v/>
      </c>
      <c r="B39" s="40">
        <f>IF('1. MASTER_ENTRY'!$C39="","","Cycle "&amp;(39-4+1))</f>
        <v/>
      </c>
      <c r="C39" s="41">
        <f>IF('1. MASTER_ENTRY'!$C39="","",'1. MASTER_ENTRY'!$C39)</f>
        <v/>
      </c>
      <c r="D39" s="41">
        <f>IF('1. MASTER_ENTRY'!$C39="","",'1. MASTER_ENTRY'!$K39&amp;"  -&gt;  "&amp;'1. MASTER_ENTRY'!$L39)</f>
        <v/>
      </c>
      <c r="E39" s="41">
        <f>IF('1. MASTER_ENTRY'!$C39="","",'1. MASTER_ENTRY'!$N39)</f>
        <v/>
      </c>
      <c r="F39" s="41">
        <f>IF('1. MASTER_ENTRY'!$C39="","",'1. MASTER_ENTRY'!$U39)</f>
        <v/>
      </c>
      <c r="G39" s="40">
        <f>IF('1. MASTER_ENTRY'!$C39="","",'1. MASTER_ENTRY'!$R39)</f>
        <v/>
      </c>
    </row>
    <row r="40" ht="16" customHeight="1">
      <c r="A40" s="36">
        <f>IF('1. MASTER_ENTRY'!$C40="","",'1. MASTER_ENTRY'!$A40)</f>
        <v/>
      </c>
      <c r="B40" s="36">
        <f>IF('1. MASTER_ENTRY'!$C40="","","Cycle "&amp;(40-4+1))</f>
        <v/>
      </c>
      <c r="C40" s="37">
        <f>IF('1. MASTER_ENTRY'!$C40="","",'1. MASTER_ENTRY'!$C40)</f>
        <v/>
      </c>
      <c r="D40" s="37">
        <f>IF('1. MASTER_ENTRY'!$C40="","",'1. MASTER_ENTRY'!$K40&amp;"  -&gt;  "&amp;'1. MASTER_ENTRY'!$L40)</f>
        <v/>
      </c>
      <c r="E40" s="37">
        <f>IF('1. MASTER_ENTRY'!$C40="","",'1. MASTER_ENTRY'!$N40)</f>
        <v/>
      </c>
      <c r="F40" s="37">
        <f>IF('1. MASTER_ENTRY'!$C40="","",'1. MASTER_ENTRY'!$U40)</f>
        <v/>
      </c>
      <c r="G40" s="36">
        <f>IF('1. MASTER_ENTRY'!$C40="","",'1. MASTER_ENTRY'!$R40)</f>
        <v/>
      </c>
    </row>
    <row r="41" ht="16" customHeight="1">
      <c r="A41" s="40">
        <f>IF('1. MASTER_ENTRY'!$C41="","",'1. MASTER_ENTRY'!$A41)</f>
        <v/>
      </c>
      <c r="B41" s="40">
        <f>IF('1. MASTER_ENTRY'!$C41="","","Cycle "&amp;(41-4+1))</f>
        <v/>
      </c>
      <c r="C41" s="41">
        <f>IF('1. MASTER_ENTRY'!$C41="","",'1. MASTER_ENTRY'!$C41)</f>
        <v/>
      </c>
      <c r="D41" s="41">
        <f>IF('1. MASTER_ENTRY'!$C41="","",'1. MASTER_ENTRY'!$K41&amp;"  -&gt;  "&amp;'1. MASTER_ENTRY'!$L41)</f>
        <v/>
      </c>
      <c r="E41" s="41">
        <f>IF('1. MASTER_ENTRY'!$C41="","",'1. MASTER_ENTRY'!$N41)</f>
        <v/>
      </c>
      <c r="F41" s="41">
        <f>IF('1. MASTER_ENTRY'!$C41="","",'1. MASTER_ENTRY'!$U41)</f>
        <v/>
      </c>
      <c r="G41" s="40">
        <f>IF('1. MASTER_ENTRY'!$C41="","",'1. MASTER_ENTRY'!$R41)</f>
        <v/>
      </c>
    </row>
    <row r="42" ht="16" customHeight="1">
      <c r="A42" s="36">
        <f>IF('1. MASTER_ENTRY'!$C42="","",'1. MASTER_ENTRY'!$A42)</f>
        <v/>
      </c>
      <c r="B42" s="36">
        <f>IF('1. MASTER_ENTRY'!$C42="","","Cycle "&amp;(42-4+1))</f>
        <v/>
      </c>
      <c r="C42" s="37">
        <f>IF('1. MASTER_ENTRY'!$C42="","",'1. MASTER_ENTRY'!$C42)</f>
        <v/>
      </c>
      <c r="D42" s="37">
        <f>IF('1. MASTER_ENTRY'!$C42="","",'1. MASTER_ENTRY'!$K42&amp;"  -&gt;  "&amp;'1. MASTER_ENTRY'!$L42)</f>
        <v/>
      </c>
      <c r="E42" s="37">
        <f>IF('1. MASTER_ENTRY'!$C42="","",'1. MASTER_ENTRY'!$N42)</f>
        <v/>
      </c>
      <c r="F42" s="37">
        <f>IF('1. MASTER_ENTRY'!$C42="","",'1. MASTER_ENTRY'!$U42)</f>
        <v/>
      </c>
      <c r="G42" s="36">
        <f>IF('1. MASTER_ENTRY'!$C42="","",'1. MASTER_ENTRY'!$R42)</f>
        <v/>
      </c>
    </row>
    <row r="43" ht="16" customHeight="1">
      <c r="A43" s="40">
        <f>IF('1. MASTER_ENTRY'!$C43="","",'1. MASTER_ENTRY'!$A43)</f>
        <v/>
      </c>
      <c r="B43" s="40">
        <f>IF('1. MASTER_ENTRY'!$C43="","","Cycle "&amp;(43-4+1))</f>
        <v/>
      </c>
      <c r="C43" s="41">
        <f>IF('1. MASTER_ENTRY'!$C43="","",'1. MASTER_ENTRY'!$C43)</f>
        <v/>
      </c>
      <c r="D43" s="41">
        <f>IF('1. MASTER_ENTRY'!$C43="","",'1. MASTER_ENTRY'!$K43&amp;"  -&gt;  "&amp;'1. MASTER_ENTRY'!$L43)</f>
        <v/>
      </c>
      <c r="E43" s="41">
        <f>IF('1. MASTER_ENTRY'!$C43="","",'1. MASTER_ENTRY'!$N43)</f>
        <v/>
      </c>
      <c r="F43" s="41">
        <f>IF('1. MASTER_ENTRY'!$C43="","",'1. MASTER_ENTRY'!$U43)</f>
        <v/>
      </c>
      <c r="G43" s="40">
        <f>IF('1. MASTER_ENTRY'!$C43="","",'1. MASTER_ENTRY'!$R43)</f>
        <v/>
      </c>
    </row>
    <row r="44" ht="16" customHeight="1">
      <c r="A44" s="36">
        <f>IF('1. MASTER_ENTRY'!$C44="","",'1. MASTER_ENTRY'!$A44)</f>
        <v/>
      </c>
      <c r="B44" s="36">
        <f>IF('1. MASTER_ENTRY'!$C44="","","Cycle "&amp;(44-4+1))</f>
        <v/>
      </c>
      <c r="C44" s="37">
        <f>IF('1. MASTER_ENTRY'!$C44="","",'1. MASTER_ENTRY'!$C44)</f>
        <v/>
      </c>
      <c r="D44" s="37">
        <f>IF('1. MASTER_ENTRY'!$C44="","",'1. MASTER_ENTRY'!$K44&amp;"  -&gt;  "&amp;'1. MASTER_ENTRY'!$L44)</f>
        <v/>
      </c>
      <c r="E44" s="37">
        <f>IF('1. MASTER_ENTRY'!$C44="","",'1. MASTER_ENTRY'!$N44)</f>
        <v/>
      </c>
      <c r="F44" s="37">
        <f>IF('1. MASTER_ENTRY'!$C44="","",'1. MASTER_ENTRY'!$U44)</f>
        <v/>
      </c>
      <c r="G44" s="36">
        <f>IF('1. MASTER_ENTRY'!$C44="","",'1. MASTER_ENTRY'!$R44)</f>
        <v/>
      </c>
    </row>
    <row r="45" ht="16" customHeight="1">
      <c r="A45" s="40">
        <f>IF('1. MASTER_ENTRY'!$C45="","",'1. MASTER_ENTRY'!$A45)</f>
        <v/>
      </c>
      <c r="B45" s="40">
        <f>IF('1. MASTER_ENTRY'!$C45="","","Cycle "&amp;(45-4+1))</f>
        <v/>
      </c>
      <c r="C45" s="41">
        <f>IF('1. MASTER_ENTRY'!$C45="","",'1. MASTER_ENTRY'!$C45)</f>
        <v/>
      </c>
      <c r="D45" s="41">
        <f>IF('1. MASTER_ENTRY'!$C45="","",'1. MASTER_ENTRY'!$K45&amp;"  -&gt;  "&amp;'1. MASTER_ENTRY'!$L45)</f>
        <v/>
      </c>
      <c r="E45" s="41">
        <f>IF('1. MASTER_ENTRY'!$C45="","",'1. MASTER_ENTRY'!$N45)</f>
        <v/>
      </c>
      <c r="F45" s="41">
        <f>IF('1. MASTER_ENTRY'!$C45="","",'1. MASTER_ENTRY'!$U45)</f>
        <v/>
      </c>
      <c r="G45" s="40">
        <f>IF('1. MASTER_ENTRY'!$C45="","",'1. MASTER_ENTRY'!$R45)</f>
        <v/>
      </c>
    </row>
    <row r="46" ht="16" customHeight="1">
      <c r="A46" s="36">
        <f>IF('1. MASTER_ENTRY'!$C46="","",'1. MASTER_ENTRY'!$A46)</f>
        <v/>
      </c>
      <c r="B46" s="36">
        <f>IF('1. MASTER_ENTRY'!$C46="","","Cycle "&amp;(46-4+1))</f>
        <v/>
      </c>
      <c r="C46" s="37">
        <f>IF('1. MASTER_ENTRY'!$C46="","",'1. MASTER_ENTRY'!$C46)</f>
        <v/>
      </c>
      <c r="D46" s="37">
        <f>IF('1. MASTER_ENTRY'!$C46="","",'1. MASTER_ENTRY'!$K46&amp;"  -&gt;  "&amp;'1. MASTER_ENTRY'!$L46)</f>
        <v/>
      </c>
      <c r="E46" s="37">
        <f>IF('1. MASTER_ENTRY'!$C46="","",'1. MASTER_ENTRY'!$N46)</f>
        <v/>
      </c>
      <c r="F46" s="37">
        <f>IF('1. MASTER_ENTRY'!$C46="","",'1. MASTER_ENTRY'!$U46)</f>
        <v/>
      </c>
      <c r="G46" s="36">
        <f>IF('1. MASTER_ENTRY'!$C46="","",'1. MASTER_ENTRY'!$R46)</f>
        <v/>
      </c>
    </row>
    <row r="47" ht="16" customHeight="1">
      <c r="A47" s="40">
        <f>IF('1. MASTER_ENTRY'!$C47="","",'1. MASTER_ENTRY'!$A47)</f>
        <v/>
      </c>
      <c r="B47" s="40">
        <f>IF('1. MASTER_ENTRY'!$C47="","","Cycle "&amp;(47-4+1))</f>
        <v/>
      </c>
      <c r="C47" s="41">
        <f>IF('1. MASTER_ENTRY'!$C47="","",'1. MASTER_ENTRY'!$C47)</f>
        <v/>
      </c>
      <c r="D47" s="41">
        <f>IF('1. MASTER_ENTRY'!$C47="","",'1. MASTER_ENTRY'!$K47&amp;"  -&gt;  "&amp;'1. MASTER_ENTRY'!$L47)</f>
        <v/>
      </c>
      <c r="E47" s="41">
        <f>IF('1. MASTER_ENTRY'!$C47="","",'1. MASTER_ENTRY'!$N47)</f>
        <v/>
      </c>
      <c r="F47" s="41">
        <f>IF('1. MASTER_ENTRY'!$C47="","",'1. MASTER_ENTRY'!$U47)</f>
        <v/>
      </c>
      <c r="G47" s="40">
        <f>IF('1. MASTER_ENTRY'!$C47="","",'1. MASTER_ENTRY'!$R47)</f>
        <v/>
      </c>
    </row>
    <row r="48" ht="16" customHeight="1">
      <c r="A48" s="36">
        <f>IF('1. MASTER_ENTRY'!$C48="","",'1. MASTER_ENTRY'!$A48)</f>
        <v/>
      </c>
      <c r="B48" s="36">
        <f>IF('1. MASTER_ENTRY'!$C48="","","Cycle "&amp;(48-4+1))</f>
        <v/>
      </c>
      <c r="C48" s="37">
        <f>IF('1. MASTER_ENTRY'!$C48="","",'1. MASTER_ENTRY'!$C48)</f>
        <v/>
      </c>
      <c r="D48" s="37">
        <f>IF('1. MASTER_ENTRY'!$C48="","",'1. MASTER_ENTRY'!$K48&amp;"  -&gt;  "&amp;'1. MASTER_ENTRY'!$L48)</f>
        <v/>
      </c>
      <c r="E48" s="37">
        <f>IF('1. MASTER_ENTRY'!$C48="","",'1. MASTER_ENTRY'!$N48)</f>
        <v/>
      </c>
      <c r="F48" s="37">
        <f>IF('1. MASTER_ENTRY'!$C48="","",'1. MASTER_ENTRY'!$U48)</f>
        <v/>
      </c>
      <c r="G48" s="36">
        <f>IF('1. MASTER_ENTRY'!$C48="","",'1. MASTER_ENTRY'!$R48)</f>
        <v/>
      </c>
    </row>
    <row r="49" ht="16" customHeight="1">
      <c r="A49" s="40">
        <f>IF('1. MASTER_ENTRY'!$C49="","",'1. MASTER_ENTRY'!$A49)</f>
        <v/>
      </c>
      <c r="B49" s="40">
        <f>IF('1. MASTER_ENTRY'!$C49="","","Cycle "&amp;(49-4+1))</f>
        <v/>
      </c>
      <c r="C49" s="41">
        <f>IF('1. MASTER_ENTRY'!$C49="","",'1. MASTER_ENTRY'!$C49)</f>
        <v/>
      </c>
      <c r="D49" s="41">
        <f>IF('1. MASTER_ENTRY'!$C49="","",'1. MASTER_ENTRY'!$K49&amp;"  -&gt;  "&amp;'1. MASTER_ENTRY'!$L49)</f>
        <v/>
      </c>
      <c r="E49" s="41">
        <f>IF('1. MASTER_ENTRY'!$C49="","",'1. MASTER_ENTRY'!$N49)</f>
        <v/>
      </c>
      <c r="F49" s="41">
        <f>IF('1. MASTER_ENTRY'!$C49="","",'1. MASTER_ENTRY'!$U49)</f>
        <v/>
      </c>
      <c r="G49" s="40">
        <f>IF('1. MASTER_ENTRY'!$C49="","",'1. MASTER_ENTRY'!$R49)</f>
        <v/>
      </c>
    </row>
    <row r="50" ht="16" customHeight="1">
      <c r="A50" s="36">
        <f>IF('1. MASTER_ENTRY'!$C50="","",'1. MASTER_ENTRY'!$A50)</f>
        <v/>
      </c>
      <c r="B50" s="36">
        <f>IF('1. MASTER_ENTRY'!$C50="","","Cycle "&amp;(50-4+1))</f>
        <v/>
      </c>
      <c r="C50" s="37">
        <f>IF('1. MASTER_ENTRY'!$C50="","",'1. MASTER_ENTRY'!$C50)</f>
        <v/>
      </c>
      <c r="D50" s="37">
        <f>IF('1. MASTER_ENTRY'!$C50="","",'1. MASTER_ENTRY'!$K50&amp;"  -&gt;  "&amp;'1. MASTER_ENTRY'!$L50)</f>
        <v/>
      </c>
      <c r="E50" s="37">
        <f>IF('1. MASTER_ENTRY'!$C50="","",'1. MASTER_ENTRY'!$N50)</f>
        <v/>
      </c>
      <c r="F50" s="37">
        <f>IF('1. MASTER_ENTRY'!$C50="","",'1. MASTER_ENTRY'!$U50)</f>
        <v/>
      </c>
      <c r="G50" s="36">
        <f>IF('1. MASTER_ENTRY'!$C50="","",'1. MASTER_ENTRY'!$R50)</f>
        <v/>
      </c>
    </row>
    <row r="51" ht="16" customHeight="1">
      <c r="A51" s="40">
        <f>IF('1. MASTER_ENTRY'!$C51="","",'1. MASTER_ENTRY'!$A51)</f>
        <v/>
      </c>
      <c r="B51" s="40">
        <f>IF('1. MASTER_ENTRY'!$C51="","","Cycle "&amp;(51-4+1))</f>
        <v/>
      </c>
      <c r="C51" s="41">
        <f>IF('1. MASTER_ENTRY'!$C51="","",'1. MASTER_ENTRY'!$C51)</f>
        <v/>
      </c>
      <c r="D51" s="41">
        <f>IF('1. MASTER_ENTRY'!$C51="","",'1. MASTER_ENTRY'!$K51&amp;"  -&gt;  "&amp;'1. MASTER_ENTRY'!$L51)</f>
        <v/>
      </c>
      <c r="E51" s="41">
        <f>IF('1. MASTER_ENTRY'!$C51="","",'1. MASTER_ENTRY'!$N51)</f>
        <v/>
      </c>
      <c r="F51" s="41">
        <f>IF('1. MASTER_ENTRY'!$C51="","",'1. MASTER_ENTRY'!$U51)</f>
        <v/>
      </c>
      <c r="G51" s="40">
        <f>IF('1. MASTER_ENTRY'!$C51="","",'1. MASTER_ENTRY'!$R51)</f>
        <v/>
      </c>
    </row>
    <row r="52" ht="16" customHeight="1">
      <c r="A52" s="36">
        <f>IF('1. MASTER_ENTRY'!$C52="","",'1. MASTER_ENTRY'!$A52)</f>
        <v/>
      </c>
      <c r="B52" s="36">
        <f>IF('1. MASTER_ENTRY'!$C52="","","Cycle "&amp;(52-4+1))</f>
        <v/>
      </c>
      <c r="C52" s="37">
        <f>IF('1. MASTER_ENTRY'!$C52="","",'1. MASTER_ENTRY'!$C52)</f>
        <v/>
      </c>
      <c r="D52" s="37">
        <f>IF('1. MASTER_ENTRY'!$C52="","",'1. MASTER_ENTRY'!$K52&amp;"  -&gt;  "&amp;'1. MASTER_ENTRY'!$L52)</f>
        <v/>
      </c>
      <c r="E52" s="37">
        <f>IF('1. MASTER_ENTRY'!$C52="","",'1. MASTER_ENTRY'!$N52)</f>
        <v/>
      </c>
      <c r="F52" s="37">
        <f>IF('1. MASTER_ENTRY'!$C52="","",'1. MASTER_ENTRY'!$U52)</f>
        <v/>
      </c>
      <c r="G52" s="36">
        <f>IF('1. MASTER_ENTRY'!$C52="","",'1. MASTER_ENTRY'!$R52)</f>
        <v/>
      </c>
    </row>
    <row r="53" ht="16" customHeight="1">
      <c r="A53" s="40">
        <f>IF('1. MASTER_ENTRY'!$C53="","",'1. MASTER_ENTRY'!$A53)</f>
        <v/>
      </c>
      <c r="B53" s="40">
        <f>IF('1. MASTER_ENTRY'!$C53="","","Cycle "&amp;(53-4+1))</f>
        <v/>
      </c>
      <c r="C53" s="41">
        <f>IF('1. MASTER_ENTRY'!$C53="","",'1. MASTER_ENTRY'!$C53)</f>
        <v/>
      </c>
      <c r="D53" s="41">
        <f>IF('1. MASTER_ENTRY'!$C53="","",'1. MASTER_ENTRY'!$K53&amp;"  -&gt;  "&amp;'1. MASTER_ENTRY'!$L53)</f>
        <v/>
      </c>
      <c r="E53" s="41">
        <f>IF('1. MASTER_ENTRY'!$C53="","",'1. MASTER_ENTRY'!$N53)</f>
        <v/>
      </c>
      <c r="F53" s="41">
        <f>IF('1. MASTER_ENTRY'!$C53="","",'1. MASTER_ENTRY'!$U53)</f>
        <v/>
      </c>
      <c r="G53" s="40">
        <f>IF('1. MASTER_ENTRY'!$C53="","",'1. MASTER_ENTRY'!$R53)</f>
        <v/>
      </c>
    </row>
    <row r="54" ht="16" customHeight="1">
      <c r="A54" s="36">
        <f>IF('1. MASTER_ENTRY'!$C54="","",'1. MASTER_ENTRY'!$A54)</f>
        <v/>
      </c>
      <c r="B54" s="36">
        <f>IF('1. MASTER_ENTRY'!$C54="","","Cycle "&amp;(54-4+1))</f>
        <v/>
      </c>
      <c r="C54" s="37">
        <f>IF('1. MASTER_ENTRY'!$C54="","",'1. MASTER_ENTRY'!$C54)</f>
        <v/>
      </c>
      <c r="D54" s="37">
        <f>IF('1. MASTER_ENTRY'!$C54="","",'1. MASTER_ENTRY'!$K54&amp;"  -&gt;  "&amp;'1. MASTER_ENTRY'!$L54)</f>
        <v/>
      </c>
      <c r="E54" s="37">
        <f>IF('1. MASTER_ENTRY'!$C54="","",'1. MASTER_ENTRY'!$N54)</f>
        <v/>
      </c>
      <c r="F54" s="37">
        <f>IF('1. MASTER_ENTRY'!$C54="","",'1. MASTER_ENTRY'!$U54)</f>
        <v/>
      </c>
      <c r="G54" s="36">
        <f>IF('1. MASTER_ENTRY'!$C54="","",'1. MASTER_ENTRY'!$R54)</f>
        <v/>
      </c>
    </row>
    <row r="55" ht="16" customHeight="1">
      <c r="A55" s="40">
        <f>IF('1. MASTER_ENTRY'!$C55="","",'1. MASTER_ENTRY'!$A55)</f>
        <v/>
      </c>
      <c r="B55" s="40">
        <f>IF('1. MASTER_ENTRY'!$C55="","","Cycle "&amp;(55-4+1))</f>
        <v/>
      </c>
      <c r="C55" s="41">
        <f>IF('1. MASTER_ENTRY'!$C55="","",'1. MASTER_ENTRY'!$C55)</f>
        <v/>
      </c>
      <c r="D55" s="41">
        <f>IF('1. MASTER_ENTRY'!$C55="","",'1. MASTER_ENTRY'!$K55&amp;"  -&gt;  "&amp;'1. MASTER_ENTRY'!$L55)</f>
        <v/>
      </c>
      <c r="E55" s="41">
        <f>IF('1. MASTER_ENTRY'!$C55="","",'1. MASTER_ENTRY'!$N55)</f>
        <v/>
      </c>
      <c r="F55" s="41">
        <f>IF('1. MASTER_ENTRY'!$C55="","",'1. MASTER_ENTRY'!$U55)</f>
        <v/>
      </c>
      <c r="G55" s="40">
        <f>IF('1. MASTER_ENTRY'!$C55="","",'1. MASTER_ENTRY'!$R55)</f>
        <v/>
      </c>
    </row>
    <row r="56" ht="16" customHeight="1">
      <c r="A56" s="36">
        <f>IF('1. MASTER_ENTRY'!$C56="","",'1. MASTER_ENTRY'!$A56)</f>
        <v/>
      </c>
      <c r="B56" s="36">
        <f>IF('1. MASTER_ENTRY'!$C56="","","Cycle "&amp;(56-4+1))</f>
        <v/>
      </c>
      <c r="C56" s="37">
        <f>IF('1. MASTER_ENTRY'!$C56="","",'1. MASTER_ENTRY'!$C56)</f>
        <v/>
      </c>
      <c r="D56" s="37">
        <f>IF('1. MASTER_ENTRY'!$C56="","",'1. MASTER_ENTRY'!$K56&amp;"  -&gt;  "&amp;'1. MASTER_ENTRY'!$L56)</f>
        <v/>
      </c>
      <c r="E56" s="37">
        <f>IF('1. MASTER_ENTRY'!$C56="","",'1. MASTER_ENTRY'!$N56)</f>
        <v/>
      </c>
      <c r="F56" s="37">
        <f>IF('1. MASTER_ENTRY'!$C56="","",'1. MASTER_ENTRY'!$U56)</f>
        <v/>
      </c>
      <c r="G56" s="36">
        <f>IF('1. MASTER_ENTRY'!$C56="","",'1. MASTER_ENTRY'!$R56)</f>
        <v/>
      </c>
    </row>
    <row r="57" ht="16" customHeight="1">
      <c r="A57" s="40">
        <f>IF('1. MASTER_ENTRY'!$C57="","",'1. MASTER_ENTRY'!$A57)</f>
        <v/>
      </c>
      <c r="B57" s="40">
        <f>IF('1. MASTER_ENTRY'!$C57="","","Cycle "&amp;(57-4+1))</f>
        <v/>
      </c>
      <c r="C57" s="41">
        <f>IF('1. MASTER_ENTRY'!$C57="","",'1. MASTER_ENTRY'!$C57)</f>
        <v/>
      </c>
      <c r="D57" s="41">
        <f>IF('1. MASTER_ENTRY'!$C57="","",'1. MASTER_ENTRY'!$K57&amp;"  -&gt;  "&amp;'1. MASTER_ENTRY'!$L57)</f>
        <v/>
      </c>
      <c r="E57" s="41">
        <f>IF('1. MASTER_ENTRY'!$C57="","",'1. MASTER_ENTRY'!$N57)</f>
        <v/>
      </c>
      <c r="F57" s="41">
        <f>IF('1. MASTER_ENTRY'!$C57="","",'1. MASTER_ENTRY'!$U57)</f>
        <v/>
      </c>
      <c r="G57" s="40">
        <f>IF('1. MASTER_ENTRY'!$C57="","",'1. MASTER_ENTRY'!$R57)</f>
        <v/>
      </c>
    </row>
    <row r="58" ht="16" customHeight="1">
      <c r="A58" s="36">
        <f>IF('1. MASTER_ENTRY'!$C58="","",'1. MASTER_ENTRY'!$A58)</f>
        <v/>
      </c>
      <c r="B58" s="36">
        <f>IF('1. MASTER_ENTRY'!$C58="","","Cycle "&amp;(58-4+1))</f>
        <v/>
      </c>
      <c r="C58" s="37">
        <f>IF('1. MASTER_ENTRY'!$C58="","",'1. MASTER_ENTRY'!$C58)</f>
        <v/>
      </c>
      <c r="D58" s="37">
        <f>IF('1. MASTER_ENTRY'!$C58="","",'1. MASTER_ENTRY'!$K58&amp;"  -&gt;  "&amp;'1. MASTER_ENTRY'!$L58)</f>
        <v/>
      </c>
      <c r="E58" s="37">
        <f>IF('1. MASTER_ENTRY'!$C58="","",'1. MASTER_ENTRY'!$N58)</f>
        <v/>
      </c>
      <c r="F58" s="37">
        <f>IF('1. MASTER_ENTRY'!$C58="","",'1. MASTER_ENTRY'!$U58)</f>
        <v/>
      </c>
      <c r="G58" s="36">
        <f>IF('1. MASTER_ENTRY'!$C58="","",'1. MASTER_ENTRY'!$R58)</f>
        <v/>
      </c>
    </row>
    <row r="59" ht="16" customHeight="1">
      <c r="A59" s="40">
        <f>IF('1. MASTER_ENTRY'!$C59="","",'1. MASTER_ENTRY'!$A59)</f>
        <v/>
      </c>
      <c r="B59" s="40">
        <f>IF('1. MASTER_ENTRY'!$C59="","","Cycle "&amp;(59-4+1))</f>
        <v/>
      </c>
      <c r="C59" s="41">
        <f>IF('1. MASTER_ENTRY'!$C59="","",'1. MASTER_ENTRY'!$C59)</f>
        <v/>
      </c>
      <c r="D59" s="41">
        <f>IF('1. MASTER_ENTRY'!$C59="","",'1. MASTER_ENTRY'!$K59&amp;"  -&gt;  "&amp;'1. MASTER_ENTRY'!$L59)</f>
        <v/>
      </c>
      <c r="E59" s="41">
        <f>IF('1. MASTER_ENTRY'!$C59="","",'1. MASTER_ENTRY'!$N59)</f>
        <v/>
      </c>
      <c r="F59" s="41">
        <f>IF('1. MASTER_ENTRY'!$C59="","",'1. MASTER_ENTRY'!$U59)</f>
        <v/>
      </c>
      <c r="G59" s="40">
        <f>IF('1. MASTER_ENTRY'!$C59="","",'1. MASTER_ENTRY'!$R59)</f>
        <v/>
      </c>
    </row>
    <row r="60" ht="16" customHeight="1">
      <c r="A60" s="36">
        <f>IF('1. MASTER_ENTRY'!$C60="","",'1. MASTER_ENTRY'!$A60)</f>
        <v/>
      </c>
      <c r="B60" s="36">
        <f>IF('1. MASTER_ENTRY'!$C60="","","Cycle "&amp;(60-4+1))</f>
        <v/>
      </c>
      <c r="C60" s="37">
        <f>IF('1. MASTER_ENTRY'!$C60="","",'1. MASTER_ENTRY'!$C60)</f>
        <v/>
      </c>
      <c r="D60" s="37">
        <f>IF('1. MASTER_ENTRY'!$C60="","",'1. MASTER_ENTRY'!$K60&amp;"  -&gt;  "&amp;'1. MASTER_ENTRY'!$L60)</f>
        <v/>
      </c>
      <c r="E60" s="37">
        <f>IF('1. MASTER_ENTRY'!$C60="","",'1. MASTER_ENTRY'!$N60)</f>
        <v/>
      </c>
      <c r="F60" s="37">
        <f>IF('1. MASTER_ENTRY'!$C60="","",'1. MASTER_ENTRY'!$U60)</f>
        <v/>
      </c>
      <c r="G60" s="36">
        <f>IF('1. MASTER_ENTRY'!$C60="","",'1. MASTER_ENTRY'!$R60)</f>
        <v/>
      </c>
    </row>
    <row r="61" ht="16" customHeight="1">
      <c r="A61" s="40">
        <f>IF('1. MASTER_ENTRY'!$C61="","",'1. MASTER_ENTRY'!$A61)</f>
        <v/>
      </c>
      <c r="B61" s="40">
        <f>IF('1. MASTER_ENTRY'!$C61="","","Cycle "&amp;(61-4+1))</f>
        <v/>
      </c>
      <c r="C61" s="41">
        <f>IF('1. MASTER_ENTRY'!$C61="","",'1. MASTER_ENTRY'!$C61)</f>
        <v/>
      </c>
      <c r="D61" s="41">
        <f>IF('1. MASTER_ENTRY'!$C61="","",'1. MASTER_ENTRY'!$K61&amp;"  -&gt;  "&amp;'1. MASTER_ENTRY'!$L61)</f>
        <v/>
      </c>
      <c r="E61" s="41">
        <f>IF('1. MASTER_ENTRY'!$C61="","",'1. MASTER_ENTRY'!$N61)</f>
        <v/>
      </c>
      <c r="F61" s="41">
        <f>IF('1. MASTER_ENTRY'!$C61="","",'1. MASTER_ENTRY'!$U61)</f>
        <v/>
      </c>
      <c r="G61" s="40">
        <f>IF('1. MASTER_ENTRY'!$C61="","",'1. MASTER_ENTRY'!$R61)</f>
        <v/>
      </c>
    </row>
    <row r="62" ht="16" customHeight="1">
      <c r="A62" s="36">
        <f>IF('1. MASTER_ENTRY'!$C62="","",'1. MASTER_ENTRY'!$A62)</f>
        <v/>
      </c>
      <c r="B62" s="36">
        <f>IF('1. MASTER_ENTRY'!$C62="","","Cycle "&amp;(62-4+1))</f>
        <v/>
      </c>
      <c r="C62" s="37">
        <f>IF('1. MASTER_ENTRY'!$C62="","",'1. MASTER_ENTRY'!$C62)</f>
        <v/>
      </c>
      <c r="D62" s="37">
        <f>IF('1. MASTER_ENTRY'!$C62="","",'1. MASTER_ENTRY'!$K62&amp;"  -&gt;  "&amp;'1. MASTER_ENTRY'!$L62)</f>
        <v/>
      </c>
      <c r="E62" s="37">
        <f>IF('1. MASTER_ENTRY'!$C62="","",'1. MASTER_ENTRY'!$N62)</f>
        <v/>
      </c>
      <c r="F62" s="37">
        <f>IF('1. MASTER_ENTRY'!$C62="","",'1. MASTER_ENTRY'!$U62)</f>
        <v/>
      </c>
      <c r="G62" s="36">
        <f>IF('1. MASTER_ENTRY'!$C62="","",'1. MASTER_ENTRY'!$R62)</f>
        <v/>
      </c>
    </row>
    <row r="63" ht="16" customHeight="1">
      <c r="A63" s="40">
        <f>IF('1. MASTER_ENTRY'!$C63="","",'1. MASTER_ENTRY'!$A63)</f>
        <v/>
      </c>
      <c r="B63" s="40">
        <f>IF('1. MASTER_ENTRY'!$C63="","","Cycle "&amp;(63-4+1))</f>
        <v/>
      </c>
      <c r="C63" s="41">
        <f>IF('1. MASTER_ENTRY'!$C63="","",'1. MASTER_ENTRY'!$C63)</f>
        <v/>
      </c>
      <c r="D63" s="41">
        <f>IF('1. MASTER_ENTRY'!$C63="","",'1. MASTER_ENTRY'!$K63&amp;"  -&gt;  "&amp;'1. MASTER_ENTRY'!$L63)</f>
        <v/>
      </c>
      <c r="E63" s="41">
        <f>IF('1. MASTER_ENTRY'!$C63="","",'1. MASTER_ENTRY'!$N63)</f>
        <v/>
      </c>
      <c r="F63" s="41">
        <f>IF('1. MASTER_ENTRY'!$C63="","",'1. MASTER_ENTRY'!$U63)</f>
        <v/>
      </c>
      <c r="G63" s="40">
        <f>IF('1. MASTER_ENTRY'!$C63="","",'1. MASTER_ENTRY'!$R63)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2">
    <mergeCell ref="A2:G2"/>
    <mergeCell ref="A1:G1"/>
  </mergeCells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1F8A8A"/>
    <outlinePr summaryBelow="1" summaryRight="1"/>
    <pageSetUpPr fitToPage="1"/>
  </sheetPr>
  <dimension ref="A1:G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46" customWidth="1" min="3" max="3"/>
    <col width="16" customWidth="1" min="4" max="4"/>
    <col width="34" customWidth="1" min="5" max="5"/>
    <col width="13" customWidth="1" min="6" max="6"/>
    <col width="11" customWidth="1" min="7" max="7"/>
  </cols>
  <sheetData>
    <row r="1" ht="36" customHeight="1">
      <c r="A1" s="49" t="inlineStr">
        <is>
          <t xml:space="preserve">  ACTION LOG  -  improvement action captured for every case</t>
        </is>
      </c>
    </row>
    <row r="2" ht="20" customHeight="1">
      <c r="A2" s="2" t="inlineStr">
        <is>
          <t xml:space="preserve">  Read-only audit trail. Owner, outcome, due date, status flow from MASTER_ENTRY.</t>
        </is>
      </c>
    </row>
    <row r="3" ht="30" customHeight="1">
      <c r="A3" s="50" t="inlineStr">
        <is>
          <t>CASE ID</t>
        </is>
      </c>
      <c r="B3" s="50" t="inlineStr">
        <is>
          <t>DATE</t>
        </is>
      </c>
      <c r="C3" s="50" t="inlineStr">
        <is>
          <t>ACTION TAKEN / PLANNED</t>
        </is>
      </c>
      <c r="D3" s="50" t="inlineStr">
        <is>
          <t>OWNER</t>
        </is>
      </c>
      <c r="E3" s="50" t="inlineStr">
        <is>
          <t>EXPECTED OUTCOME</t>
        </is>
      </c>
      <c r="F3" s="50" t="inlineStr">
        <is>
          <t>STATUS</t>
        </is>
      </c>
      <c r="G3" s="50" t="inlineStr">
        <is>
          <t>DUE</t>
        </is>
      </c>
    </row>
    <row r="4" ht="16" customHeight="1">
      <c r="A4" s="36">
        <f>IF('1. MASTER_ENTRY'!$C4="","",'1. MASTER_ENTRY'!$A4)</f>
        <v/>
      </c>
      <c r="B4" s="38">
        <f>IF('1. MASTER_ENTRY'!$C4="","",'1. MASTER_ENTRY'!$B4)</f>
        <v/>
      </c>
      <c r="C4" s="37">
        <f>IF('1. MASTER_ENTRY'!$C4="","","Apply "&amp;'1. MASTER_ENTRY'!$L4&amp;" to: "&amp;'1. MASTER_ENTRY'!$C4)</f>
        <v/>
      </c>
      <c r="D4" s="36">
        <f>IF('1. MASTER_ENTRY'!$C4="","",'1. MASTER_ENTRY'!$M4)</f>
        <v/>
      </c>
      <c r="E4" s="37">
        <f>IF('1. MASTER_ENTRY'!$C4="","",'1. MASTER_ENTRY'!$N4)</f>
        <v/>
      </c>
      <c r="F4" s="36">
        <f>IF('1. MASTER_ENTRY'!$C4="","",'1. MASTER_ENTRY'!$R4)</f>
        <v/>
      </c>
      <c r="G4" s="38">
        <f>IF('1. MASTER_ENTRY'!$C4="","",'1. MASTER_ENTRY'!$Q4)</f>
        <v/>
      </c>
    </row>
    <row r="5" ht="16" customHeight="1">
      <c r="A5" s="40">
        <f>IF('1. MASTER_ENTRY'!$C5="","",'1. MASTER_ENTRY'!$A5)</f>
        <v/>
      </c>
      <c r="B5" s="42">
        <f>IF('1. MASTER_ENTRY'!$C5="","",'1. MASTER_ENTRY'!$B5)</f>
        <v/>
      </c>
      <c r="C5" s="41">
        <f>IF('1. MASTER_ENTRY'!$C5="","","Apply "&amp;'1. MASTER_ENTRY'!$L5&amp;" to: "&amp;'1. MASTER_ENTRY'!$C5)</f>
        <v/>
      </c>
      <c r="D5" s="40">
        <f>IF('1. MASTER_ENTRY'!$C5="","",'1. MASTER_ENTRY'!$M5)</f>
        <v/>
      </c>
      <c r="E5" s="41">
        <f>IF('1. MASTER_ENTRY'!$C5="","",'1. MASTER_ENTRY'!$N5)</f>
        <v/>
      </c>
      <c r="F5" s="40">
        <f>IF('1. MASTER_ENTRY'!$C5="","",'1. MASTER_ENTRY'!$R5)</f>
        <v/>
      </c>
      <c r="G5" s="42">
        <f>IF('1. MASTER_ENTRY'!$C5="","",'1. MASTER_ENTRY'!$Q5)</f>
        <v/>
      </c>
    </row>
    <row r="6" ht="16" customHeight="1">
      <c r="A6" s="36">
        <f>IF('1. MASTER_ENTRY'!$C6="","",'1. MASTER_ENTRY'!$A6)</f>
        <v/>
      </c>
      <c r="B6" s="38">
        <f>IF('1. MASTER_ENTRY'!$C6="","",'1. MASTER_ENTRY'!$B6)</f>
        <v/>
      </c>
      <c r="C6" s="37">
        <f>IF('1. MASTER_ENTRY'!$C6="","","Apply "&amp;'1. MASTER_ENTRY'!$L6&amp;" to: "&amp;'1. MASTER_ENTRY'!$C6)</f>
        <v/>
      </c>
      <c r="D6" s="36">
        <f>IF('1. MASTER_ENTRY'!$C6="","",'1. MASTER_ENTRY'!$M6)</f>
        <v/>
      </c>
      <c r="E6" s="37">
        <f>IF('1. MASTER_ENTRY'!$C6="","",'1. MASTER_ENTRY'!$N6)</f>
        <v/>
      </c>
      <c r="F6" s="36">
        <f>IF('1. MASTER_ENTRY'!$C6="","",'1. MASTER_ENTRY'!$R6)</f>
        <v/>
      </c>
      <c r="G6" s="38">
        <f>IF('1. MASTER_ENTRY'!$C6="","",'1. MASTER_ENTRY'!$Q6)</f>
        <v/>
      </c>
    </row>
    <row r="7" ht="16" customHeight="1">
      <c r="A7" s="40">
        <f>IF('1. MASTER_ENTRY'!$C7="","",'1. MASTER_ENTRY'!$A7)</f>
        <v/>
      </c>
      <c r="B7" s="42">
        <f>IF('1. MASTER_ENTRY'!$C7="","",'1. MASTER_ENTRY'!$B7)</f>
        <v/>
      </c>
      <c r="C7" s="41">
        <f>IF('1. MASTER_ENTRY'!$C7="","","Apply "&amp;'1. MASTER_ENTRY'!$L7&amp;" to: "&amp;'1. MASTER_ENTRY'!$C7)</f>
        <v/>
      </c>
      <c r="D7" s="40">
        <f>IF('1. MASTER_ENTRY'!$C7="","",'1. MASTER_ENTRY'!$M7)</f>
        <v/>
      </c>
      <c r="E7" s="41">
        <f>IF('1. MASTER_ENTRY'!$C7="","",'1. MASTER_ENTRY'!$N7)</f>
        <v/>
      </c>
      <c r="F7" s="40">
        <f>IF('1. MASTER_ENTRY'!$C7="","",'1. MASTER_ENTRY'!$R7)</f>
        <v/>
      </c>
      <c r="G7" s="42">
        <f>IF('1. MASTER_ENTRY'!$C7="","",'1. MASTER_ENTRY'!$Q7)</f>
        <v/>
      </c>
    </row>
    <row r="8" ht="16" customHeight="1">
      <c r="A8" s="36">
        <f>IF('1. MASTER_ENTRY'!$C8="","",'1. MASTER_ENTRY'!$A8)</f>
        <v/>
      </c>
      <c r="B8" s="38">
        <f>IF('1. MASTER_ENTRY'!$C8="","",'1. MASTER_ENTRY'!$B8)</f>
        <v/>
      </c>
      <c r="C8" s="37">
        <f>IF('1. MASTER_ENTRY'!$C8="","","Apply "&amp;'1. MASTER_ENTRY'!$L8&amp;" to: "&amp;'1. MASTER_ENTRY'!$C8)</f>
        <v/>
      </c>
      <c r="D8" s="36">
        <f>IF('1. MASTER_ENTRY'!$C8="","",'1. MASTER_ENTRY'!$M8)</f>
        <v/>
      </c>
      <c r="E8" s="37">
        <f>IF('1. MASTER_ENTRY'!$C8="","",'1. MASTER_ENTRY'!$N8)</f>
        <v/>
      </c>
      <c r="F8" s="36">
        <f>IF('1. MASTER_ENTRY'!$C8="","",'1. MASTER_ENTRY'!$R8)</f>
        <v/>
      </c>
      <c r="G8" s="38">
        <f>IF('1. MASTER_ENTRY'!$C8="","",'1. MASTER_ENTRY'!$Q8)</f>
        <v/>
      </c>
    </row>
    <row r="9" ht="16" customHeight="1">
      <c r="A9" s="40">
        <f>IF('1. MASTER_ENTRY'!$C9="","",'1. MASTER_ENTRY'!$A9)</f>
        <v/>
      </c>
      <c r="B9" s="42">
        <f>IF('1. MASTER_ENTRY'!$C9="","",'1. MASTER_ENTRY'!$B9)</f>
        <v/>
      </c>
      <c r="C9" s="41">
        <f>IF('1. MASTER_ENTRY'!$C9="","","Apply "&amp;'1. MASTER_ENTRY'!$L9&amp;" to: "&amp;'1. MASTER_ENTRY'!$C9)</f>
        <v/>
      </c>
      <c r="D9" s="40">
        <f>IF('1. MASTER_ENTRY'!$C9="","",'1. MASTER_ENTRY'!$M9)</f>
        <v/>
      </c>
      <c r="E9" s="41">
        <f>IF('1. MASTER_ENTRY'!$C9="","",'1. MASTER_ENTRY'!$N9)</f>
        <v/>
      </c>
      <c r="F9" s="40">
        <f>IF('1. MASTER_ENTRY'!$C9="","",'1. MASTER_ENTRY'!$R9)</f>
        <v/>
      </c>
      <c r="G9" s="42">
        <f>IF('1. MASTER_ENTRY'!$C9="","",'1. MASTER_ENTRY'!$Q9)</f>
        <v/>
      </c>
    </row>
    <row r="10" ht="16" customHeight="1">
      <c r="A10" s="36">
        <f>IF('1. MASTER_ENTRY'!$C10="","",'1. MASTER_ENTRY'!$A10)</f>
        <v/>
      </c>
      <c r="B10" s="38">
        <f>IF('1. MASTER_ENTRY'!$C10="","",'1. MASTER_ENTRY'!$B10)</f>
        <v/>
      </c>
      <c r="C10" s="37">
        <f>IF('1. MASTER_ENTRY'!$C10="","","Apply "&amp;'1. MASTER_ENTRY'!$L10&amp;" to: "&amp;'1. MASTER_ENTRY'!$C10)</f>
        <v/>
      </c>
      <c r="D10" s="36">
        <f>IF('1. MASTER_ENTRY'!$C10="","",'1. MASTER_ENTRY'!$M10)</f>
        <v/>
      </c>
      <c r="E10" s="37">
        <f>IF('1. MASTER_ENTRY'!$C10="","",'1. MASTER_ENTRY'!$N10)</f>
        <v/>
      </c>
      <c r="F10" s="36">
        <f>IF('1. MASTER_ENTRY'!$C10="","",'1. MASTER_ENTRY'!$R10)</f>
        <v/>
      </c>
      <c r="G10" s="38">
        <f>IF('1. MASTER_ENTRY'!$C10="","",'1. MASTER_ENTRY'!$Q10)</f>
        <v/>
      </c>
    </row>
    <row r="11" ht="16" customHeight="1">
      <c r="A11" s="40">
        <f>IF('1. MASTER_ENTRY'!$C11="","",'1. MASTER_ENTRY'!$A11)</f>
        <v/>
      </c>
      <c r="B11" s="42">
        <f>IF('1. MASTER_ENTRY'!$C11="","",'1. MASTER_ENTRY'!$B11)</f>
        <v/>
      </c>
      <c r="C11" s="41">
        <f>IF('1. MASTER_ENTRY'!$C11="","","Apply "&amp;'1. MASTER_ENTRY'!$L11&amp;" to: "&amp;'1. MASTER_ENTRY'!$C11)</f>
        <v/>
      </c>
      <c r="D11" s="40">
        <f>IF('1. MASTER_ENTRY'!$C11="","",'1. MASTER_ENTRY'!$M11)</f>
        <v/>
      </c>
      <c r="E11" s="41">
        <f>IF('1. MASTER_ENTRY'!$C11="","",'1. MASTER_ENTRY'!$N11)</f>
        <v/>
      </c>
      <c r="F11" s="40">
        <f>IF('1. MASTER_ENTRY'!$C11="","",'1. MASTER_ENTRY'!$R11)</f>
        <v/>
      </c>
      <c r="G11" s="42">
        <f>IF('1. MASTER_ENTRY'!$C11="","",'1. MASTER_ENTRY'!$Q11)</f>
        <v/>
      </c>
    </row>
    <row r="12" ht="16" customHeight="1">
      <c r="A12" s="36">
        <f>IF('1. MASTER_ENTRY'!$C12="","",'1. MASTER_ENTRY'!$A12)</f>
        <v/>
      </c>
      <c r="B12" s="38">
        <f>IF('1. MASTER_ENTRY'!$C12="","",'1. MASTER_ENTRY'!$B12)</f>
        <v/>
      </c>
      <c r="C12" s="37">
        <f>IF('1. MASTER_ENTRY'!$C12="","","Apply "&amp;'1. MASTER_ENTRY'!$L12&amp;" to: "&amp;'1. MASTER_ENTRY'!$C12)</f>
        <v/>
      </c>
      <c r="D12" s="36">
        <f>IF('1. MASTER_ENTRY'!$C12="","",'1. MASTER_ENTRY'!$M12)</f>
        <v/>
      </c>
      <c r="E12" s="37">
        <f>IF('1. MASTER_ENTRY'!$C12="","",'1. MASTER_ENTRY'!$N12)</f>
        <v/>
      </c>
      <c r="F12" s="36">
        <f>IF('1. MASTER_ENTRY'!$C12="","",'1. MASTER_ENTRY'!$R12)</f>
        <v/>
      </c>
      <c r="G12" s="38">
        <f>IF('1. MASTER_ENTRY'!$C12="","",'1. MASTER_ENTRY'!$Q12)</f>
        <v/>
      </c>
    </row>
    <row r="13" ht="16" customHeight="1">
      <c r="A13" s="40">
        <f>IF('1. MASTER_ENTRY'!$C13="","",'1. MASTER_ENTRY'!$A13)</f>
        <v/>
      </c>
      <c r="B13" s="42">
        <f>IF('1. MASTER_ENTRY'!$C13="","",'1. MASTER_ENTRY'!$B13)</f>
        <v/>
      </c>
      <c r="C13" s="41">
        <f>IF('1. MASTER_ENTRY'!$C13="","","Apply "&amp;'1. MASTER_ENTRY'!$L13&amp;" to: "&amp;'1. MASTER_ENTRY'!$C13)</f>
        <v/>
      </c>
      <c r="D13" s="40">
        <f>IF('1. MASTER_ENTRY'!$C13="","",'1. MASTER_ENTRY'!$M13)</f>
        <v/>
      </c>
      <c r="E13" s="41">
        <f>IF('1. MASTER_ENTRY'!$C13="","",'1. MASTER_ENTRY'!$N13)</f>
        <v/>
      </c>
      <c r="F13" s="40">
        <f>IF('1. MASTER_ENTRY'!$C13="","",'1. MASTER_ENTRY'!$R13)</f>
        <v/>
      </c>
      <c r="G13" s="42">
        <f>IF('1. MASTER_ENTRY'!$C13="","",'1. MASTER_ENTRY'!$Q13)</f>
        <v/>
      </c>
    </row>
    <row r="14" ht="16" customHeight="1">
      <c r="A14" s="36">
        <f>IF('1. MASTER_ENTRY'!$C14="","",'1. MASTER_ENTRY'!$A14)</f>
        <v/>
      </c>
      <c r="B14" s="38">
        <f>IF('1. MASTER_ENTRY'!$C14="","",'1. MASTER_ENTRY'!$B14)</f>
        <v/>
      </c>
      <c r="C14" s="37">
        <f>IF('1. MASTER_ENTRY'!$C14="","","Apply "&amp;'1. MASTER_ENTRY'!$L14&amp;" to: "&amp;'1. MASTER_ENTRY'!$C14)</f>
        <v/>
      </c>
      <c r="D14" s="36">
        <f>IF('1. MASTER_ENTRY'!$C14="","",'1. MASTER_ENTRY'!$M14)</f>
        <v/>
      </c>
      <c r="E14" s="37">
        <f>IF('1. MASTER_ENTRY'!$C14="","",'1. MASTER_ENTRY'!$N14)</f>
        <v/>
      </c>
      <c r="F14" s="36">
        <f>IF('1. MASTER_ENTRY'!$C14="","",'1. MASTER_ENTRY'!$R14)</f>
        <v/>
      </c>
      <c r="G14" s="38">
        <f>IF('1. MASTER_ENTRY'!$C14="","",'1. MASTER_ENTRY'!$Q14)</f>
        <v/>
      </c>
    </row>
    <row r="15" ht="16" customHeight="1">
      <c r="A15" s="40">
        <f>IF('1. MASTER_ENTRY'!$C15="","",'1. MASTER_ENTRY'!$A15)</f>
        <v/>
      </c>
      <c r="B15" s="42">
        <f>IF('1. MASTER_ENTRY'!$C15="","",'1. MASTER_ENTRY'!$B15)</f>
        <v/>
      </c>
      <c r="C15" s="41">
        <f>IF('1. MASTER_ENTRY'!$C15="","","Apply "&amp;'1. MASTER_ENTRY'!$L15&amp;" to: "&amp;'1. MASTER_ENTRY'!$C15)</f>
        <v/>
      </c>
      <c r="D15" s="40">
        <f>IF('1. MASTER_ENTRY'!$C15="","",'1. MASTER_ENTRY'!$M15)</f>
        <v/>
      </c>
      <c r="E15" s="41">
        <f>IF('1. MASTER_ENTRY'!$C15="","",'1. MASTER_ENTRY'!$N15)</f>
        <v/>
      </c>
      <c r="F15" s="40">
        <f>IF('1. MASTER_ENTRY'!$C15="","",'1. MASTER_ENTRY'!$R15)</f>
        <v/>
      </c>
      <c r="G15" s="42">
        <f>IF('1. MASTER_ENTRY'!$C15="","",'1. MASTER_ENTRY'!$Q15)</f>
        <v/>
      </c>
    </row>
    <row r="16" ht="16" customHeight="1">
      <c r="A16" s="36">
        <f>IF('1. MASTER_ENTRY'!$C16="","",'1. MASTER_ENTRY'!$A16)</f>
        <v/>
      </c>
      <c r="B16" s="38">
        <f>IF('1. MASTER_ENTRY'!$C16="","",'1. MASTER_ENTRY'!$B16)</f>
        <v/>
      </c>
      <c r="C16" s="37">
        <f>IF('1. MASTER_ENTRY'!$C16="","","Apply "&amp;'1. MASTER_ENTRY'!$L16&amp;" to: "&amp;'1. MASTER_ENTRY'!$C16)</f>
        <v/>
      </c>
      <c r="D16" s="36">
        <f>IF('1. MASTER_ENTRY'!$C16="","",'1. MASTER_ENTRY'!$M16)</f>
        <v/>
      </c>
      <c r="E16" s="37">
        <f>IF('1. MASTER_ENTRY'!$C16="","",'1. MASTER_ENTRY'!$N16)</f>
        <v/>
      </c>
      <c r="F16" s="36">
        <f>IF('1. MASTER_ENTRY'!$C16="","",'1. MASTER_ENTRY'!$R16)</f>
        <v/>
      </c>
      <c r="G16" s="38">
        <f>IF('1. MASTER_ENTRY'!$C16="","",'1. MASTER_ENTRY'!$Q16)</f>
        <v/>
      </c>
    </row>
    <row r="17" ht="16" customHeight="1">
      <c r="A17" s="40">
        <f>IF('1. MASTER_ENTRY'!$C17="","",'1. MASTER_ENTRY'!$A17)</f>
        <v/>
      </c>
      <c r="B17" s="42">
        <f>IF('1. MASTER_ENTRY'!$C17="","",'1. MASTER_ENTRY'!$B17)</f>
        <v/>
      </c>
      <c r="C17" s="41">
        <f>IF('1. MASTER_ENTRY'!$C17="","","Apply "&amp;'1. MASTER_ENTRY'!$L17&amp;" to: "&amp;'1. MASTER_ENTRY'!$C17)</f>
        <v/>
      </c>
      <c r="D17" s="40">
        <f>IF('1. MASTER_ENTRY'!$C17="","",'1. MASTER_ENTRY'!$M17)</f>
        <v/>
      </c>
      <c r="E17" s="41">
        <f>IF('1. MASTER_ENTRY'!$C17="","",'1. MASTER_ENTRY'!$N17)</f>
        <v/>
      </c>
      <c r="F17" s="40">
        <f>IF('1. MASTER_ENTRY'!$C17="","",'1. MASTER_ENTRY'!$R17)</f>
        <v/>
      </c>
      <c r="G17" s="42">
        <f>IF('1. MASTER_ENTRY'!$C17="","",'1. MASTER_ENTRY'!$Q17)</f>
        <v/>
      </c>
    </row>
    <row r="18" ht="16" customHeight="1">
      <c r="A18" s="36">
        <f>IF('1. MASTER_ENTRY'!$C18="","",'1. MASTER_ENTRY'!$A18)</f>
        <v/>
      </c>
      <c r="B18" s="38">
        <f>IF('1. MASTER_ENTRY'!$C18="","",'1. MASTER_ENTRY'!$B18)</f>
        <v/>
      </c>
      <c r="C18" s="37">
        <f>IF('1. MASTER_ENTRY'!$C18="","","Apply "&amp;'1. MASTER_ENTRY'!$L18&amp;" to: "&amp;'1. MASTER_ENTRY'!$C18)</f>
        <v/>
      </c>
      <c r="D18" s="36">
        <f>IF('1. MASTER_ENTRY'!$C18="","",'1. MASTER_ENTRY'!$M18)</f>
        <v/>
      </c>
      <c r="E18" s="37">
        <f>IF('1. MASTER_ENTRY'!$C18="","",'1. MASTER_ENTRY'!$N18)</f>
        <v/>
      </c>
      <c r="F18" s="36">
        <f>IF('1. MASTER_ENTRY'!$C18="","",'1. MASTER_ENTRY'!$R18)</f>
        <v/>
      </c>
      <c r="G18" s="38">
        <f>IF('1. MASTER_ENTRY'!$C18="","",'1. MASTER_ENTRY'!$Q18)</f>
        <v/>
      </c>
    </row>
    <row r="19" ht="16" customHeight="1">
      <c r="A19" s="40">
        <f>IF('1. MASTER_ENTRY'!$C19="","",'1. MASTER_ENTRY'!$A19)</f>
        <v/>
      </c>
      <c r="B19" s="42">
        <f>IF('1. MASTER_ENTRY'!$C19="","",'1. MASTER_ENTRY'!$B19)</f>
        <v/>
      </c>
      <c r="C19" s="41">
        <f>IF('1. MASTER_ENTRY'!$C19="","","Apply "&amp;'1. MASTER_ENTRY'!$L19&amp;" to: "&amp;'1. MASTER_ENTRY'!$C19)</f>
        <v/>
      </c>
      <c r="D19" s="40">
        <f>IF('1. MASTER_ENTRY'!$C19="","",'1. MASTER_ENTRY'!$M19)</f>
        <v/>
      </c>
      <c r="E19" s="41">
        <f>IF('1. MASTER_ENTRY'!$C19="","",'1. MASTER_ENTRY'!$N19)</f>
        <v/>
      </c>
      <c r="F19" s="40">
        <f>IF('1. MASTER_ENTRY'!$C19="","",'1. MASTER_ENTRY'!$R19)</f>
        <v/>
      </c>
      <c r="G19" s="42">
        <f>IF('1. MASTER_ENTRY'!$C19="","",'1. MASTER_ENTRY'!$Q19)</f>
        <v/>
      </c>
    </row>
    <row r="20" ht="16" customHeight="1">
      <c r="A20" s="36">
        <f>IF('1. MASTER_ENTRY'!$C20="","",'1. MASTER_ENTRY'!$A20)</f>
        <v/>
      </c>
      <c r="B20" s="38">
        <f>IF('1. MASTER_ENTRY'!$C20="","",'1. MASTER_ENTRY'!$B20)</f>
        <v/>
      </c>
      <c r="C20" s="37">
        <f>IF('1. MASTER_ENTRY'!$C20="","","Apply "&amp;'1. MASTER_ENTRY'!$L20&amp;" to: "&amp;'1. MASTER_ENTRY'!$C20)</f>
        <v/>
      </c>
      <c r="D20" s="36">
        <f>IF('1. MASTER_ENTRY'!$C20="","",'1. MASTER_ENTRY'!$M20)</f>
        <v/>
      </c>
      <c r="E20" s="37">
        <f>IF('1. MASTER_ENTRY'!$C20="","",'1. MASTER_ENTRY'!$N20)</f>
        <v/>
      </c>
      <c r="F20" s="36">
        <f>IF('1. MASTER_ENTRY'!$C20="","",'1. MASTER_ENTRY'!$R20)</f>
        <v/>
      </c>
      <c r="G20" s="38">
        <f>IF('1. MASTER_ENTRY'!$C20="","",'1. MASTER_ENTRY'!$Q20)</f>
        <v/>
      </c>
    </row>
    <row r="21" ht="16" customHeight="1">
      <c r="A21" s="40">
        <f>IF('1. MASTER_ENTRY'!$C21="","",'1. MASTER_ENTRY'!$A21)</f>
        <v/>
      </c>
      <c r="B21" s="42">
        <f>IF('1. MASTER_ENTRY'!$C21="","",'1. MASTER_ENTRY'!$B21)</f>
        <v/>
      </c>
      <c r="C21" s="41">
        <f>IF('1. MASTER_ENTRY'!$C21="","","Apply "&amp;'1. MASTER_ENTRY'!$L21&amp;" to: "&amp;'1. MASTER_ENTRY'!$C21)</f>
        <v/>
      </c>
      <c r="D21" s="40">
        <f>IF('1. MASTER_ENTRY'!$C21="","",'1. MASTER_ENTRY'!$M21)</f>
        <v/>
      </c>
      <c r="E21" s="41">
        <f>IF('1. MASTER_ENTRY'!$C21="","",'1. MASTER_ENTRY'!$N21)</f>
        <v/>
      </c>
      <c r="F21" s="40">
        <f>IF('1. MASTER_ENTRY'!$C21="","",'1. MASTER_ENTRY'!$R21)</f>
        <v/>
      </c>
      <c r="G21" s="42">
        <f>IF('1. MASTER_ENTRY'!$C21="","",'1. MASTER_ENTRY'!$Q21)</f>
        <v/>
      </c>
    </row>
    <row r="22" ht="16" customHeight="1">
      <c r="A22" s="36">
        <f>IF('1. MASTER_ENTRY'!$C22="","",'1. MASTER_ENTRY'!$A22)</f>
        <v/>
      </c>
      <c r="B22" s="38">
        <f>IF('1. MASTER_ENTRY'!$C22="","",'1. MASTER_ENTRY'!$B22)</f>
        <v/>
      </c>
      <c r="C22" s="37">
        <f>IF('1. MASTER_ENTRY'!$C22="","","Apply "&amp;'1. MASTER_ENTRY'!$L22&amp;" to: "&amp;'1. MASTER_ENTRY'!$C22)</f>
        <v/>
      </c>
      <c r="D22" s="36">
        <f>IF('1. MASTER_ENTRY'!$C22="","",'1. MASTER_ENTRY'!$M22)</f>
        <v/>
      </c>
      <c r="E22" s="37">
        <f>IF('1. MASTER_ENTRY'!$C22="","",'1. MASTER_ENTRY'!$N22)</f>
        <v/>
      </c>
      <c r="F22" s="36">
        <f>IF('1. MASTER_ENTRY'!$C22="","",'1. MASTER_ENTRY'!$R22)</f>
        <v/>
      </c>
      <c r="G22" s="38">
        <f>IF('1. MASTER_ENTRY'!$C22="","",'1. MASTER_ENTRY'!$Q22)</f>
        <v/>
      </c>
    </row>
    <row r="23" ht="16" customHeight="1">
      <c r="A23" s="40">
        <f>IF('1. MASTER_ENTRY'!$C23="","",'1. MASTER_ENTRY'!$A23)</f>
        <v/>
      </c>
      <c r="B23" s="42">
        <f>IF('1. MASTER_ENTRY'!$C23="","",'1. MASTER_ENTRY'!$B23)</f>
        <v/>
      </c>
      <c r="C23" s="41">
        <f>IF('1. MASTER_ENTRY'!$C23="","","Apply "&amp;'1. MASTER_ENTRY'!$L23&amp;" to: "&amp;'1. MASTER_ENTRY'!$C23)</f>
        <v/>
      </c>
      <c r="D23" s="40">
        <f>IF('1. MASTER_ENTRY'!$C23="","",'1. MASTER_ENTRY'!$M23)</f>
        <v/>
      </c>
      <c r="E23" s="41">
        <f>IF('1. MASTER_ENTRY'!$C23="","",'1. MASTER_ENTRY'!$N23)</f>
        <v/>
      </c>
      <c r="F23" s="40">
        <f>IF('1. MASTER_ENTRY'!$C23="","",'1. MASTER_ENTRY'!$R23)</f>
        <v/>
      </c>
      <c r="G23" s="42">
        <f>IF('1. MASTER_ENTRY'!$C23="","",'1. MASTER_ENTRY'!$Q23)</f>
        <v/>
      </c>
    </row>
    <row r="24" ht="16" customHeight="1">
      <c r="A24" s="36">
        <f>IF('1. MASTER_ENTRY'!$C24="","",'1. MASTER_ENTRY'!$A24)</f>
        <v/>
      </c>
      <c r="B24" s="38">
        <f>IF('1. MASTER_ENTRY'!$C24="","",'1. MASTER_ENTRY'!$B24)</f>
        <v/>
      </c>
      <c r="C24" s="37">
        <f>IF('1. MASTER_ENTRY'!$C24="","","Apply "&amp;'1. MASTER_ENTRY'!$L24&amp;" to: "&amp;'1. MASTER_ENTRY'!$C24)</f>
        <v/>
      </c>
      <c r="D24" s="36">
        <f>IF('1. MASTER_ENTRY'!$C24="","",'1. MASTER_ENTRY'!$M24)</f>
        <v/>
      </c>
      <c r="E24" s="37">
        <f>IF('1. MASTER_ENTRY'!$C24="","",'1. MASTER_ENTRY'!$N24)</f>
        <v/>
      </c>
      <c r="F24" s="36">
        <f>IF('1. MASTER_ENTRY'!$C24="","",'1. MASTER_ENTRY'!$R24)</f>
        <v/>
      </c>
      <c r="G24" s="38">
        <f>IF('1. MASTER_ENTRY'!$C24="","",'1. MASTER_ENTRY'!$Q24)</f>
        <v/>
      </c>
    </row>
    <row r="25" ht="16" customHeight="1">
      <c r="A25" s="40">
        <f>IF('1. MASTER_ENTRY'!$C25="","",'1. MASTER_ENTRY'!$A25)</f>
        <v/>
      </c>
      <c r="B25" s="42">
        <f>IF('1. MASTER_ENTRY'!$C25="","",'1. MASTER_ENTRY'!$B25)</f>
        <v/>
      </c>
      <c r="C25" s="41">
        <f>IF('1. MASTER_ENTRY'!$C25="","","Apply "&amp;'1. MASTER_ENTRY'!$L25&amp;" to: "&amp;'1. MASTER_ENTRY'!$C25)</f>
        <v/>
      </c>
      <c r="D25" s="40">
        <f>IF('1. MASTER_ENTRY'!$C25="","",'1. MASTER_ENTRY'!$M25)</f>
        <v/>
      </c>
      <c r="E25" s="41">
        <f>IF('1. MASTER_ENTRY'!$C25="","",'1. MASTER_ENTRY'!$N25)</f>
        <v/>
      </c>
      <c r="F25" s="40">
        <f>IF('1. MASTER_ENTRY'!$C25="","",'1. MASTER_ENTRY'!$R25)</f>
        <v/>
      </c>
      <c r="G25" s="42">
        <f>IF('1. MASTER_ENTRY'!$C25="","",'1. MASTER_ENTRY'!$Q25)</f>
        <v/>
      </c>
    </row>
    <row r="26" ht="16" customHeight="1">
      <c r="A26" s="36">
        <f>IF('1. MASTER_ENTRY'!$C26="","",'1. MASTER_ENTRY'!$A26)</f>
        <v/>
      </c>
      <c r="B26" s="38">
        <f>IF('1. MASTER_ENTRY'!$C26="","",'1. MASTER_ENTRY'!$B26)</f>
        <v/>
      </c>
      <c r="C26" s="37">
        <f>IF('1. MASTER_ENTRY'!$C26="","","Apply "&amp;'1. MASTER_ENTRY'!$L26&amp;" to: "&amp;'1. MASTER_ENTRY'!$C26)</f>
        <v/>
      </c>
      <c r="D26" s="36">
        <f>IF('1. MASTER_ENTRY'!$C26="","",'1. MASTER_ENTRY'!$M26)</f>
        <v/>
      </c>
      <c r="E26" s="37">
        <f>IF('1. MASTER_ENTRY'!$C26="","",'1. MASTER_ENTRY'!$N26)</f>
        <v/>
      </c>
      <c r="F26" s="36">
        <f>IF('1. MASTER_ENTRY'!$C26="","",'1. MASTER_ENTRY'!$R26)</f>
        <v/>
      </c>
      <c r="G26" s="38">
        <f>IF('1. MASTER_ENTRY'!$C26="","",'1. MASTER_ENTRY'!$Q26)</f>
        <v/>
      </c>
    </row>
    <row r="27" ht="16" customHeight="1">
      <c r="A27" s="40">
        <f>IF('1. MASTER_ENTRY'!$C27="","",'1. MASTER_ENTRY'!$A27)</f>
        <v/>
      </c>
      <c r="B27" s="42">
        <f>IF('1. MASTER_ENTRY'!$C27="","",'1. MASTER_ENTRY'!$B27)</f>
        <v/>
      </c>
      <c r="C27" s="41">
        <f>IF('1. MASTER_ENTRY'!$C27="","","Apply "&amp;'1. MASTER_ENTRY'!$L27&amp;" to: "&amp;'1. MASTER_ENTRY'!$C27)</f>
        <v/>
      </c>
      <c r="D27" s="40">
        <f>IF('1. MASTER_ENTRY'!$C27="","",'1. MASTER_ENTRY'!$M27)</f>
        <v/>
      </c>
      <c r="E27" s="41">
        <f>IF('1. MASTER_ENTRY'!$C27="","",'1. MASTER_ENTRY'!$N27)</f>
        <v/>
      </c>
      <c r="F27" s="40">
        <f>IF('1. MASTER_ENTRY'!$C27="","",'1. MASTER_ENTRY'!$R27)</f>
        <v/>
      </c>
      <c r="G27" s="42">
        <f>IF('1. MASTER_ENTRY'!$C27="","",'1. MASTER_ENTRY'!$Q27)</f>
        <v/>
      </c>
    </row>
    <row r="28" ht="16" customHeight="1">
      <c r="A28" s="36">
        <f>IF('1. MASTER_ENTRY'!$C28="","",'1. MASTER_ENTRY'!$A28)</f>
        <v/>
      </c>
      <c r="B28" s="38">
        <f>IF('1. MASTER_ENTRY'!$C28="","",'1. MASTER_ENTRY'!$B28)</f>
        <v/>
      </c>
      <c r="C28" s="37">
        <f>IF('1. MASTER_ENTRY'!$C28="","","Apply "&amp;'1. MASTER_ENTRY'!$L28&amp;" to: "&amp;'1. MASTER_ENTRY'!$C28)</f>
        <v/>
      </c>
      <c r="D28" s="36">
        <f>IF('1. MASTER_ENTRY'!$C28="","",'1. MASTER_ENTRY'!$M28)</f>
        <v/>
      </c>
      <c r="E28" s="37">
        <f>IF('1. MASTER_ENTRY'!$C28="","",'1. MASTER_ENTRY'!$N28)</f>
        <v/>
      </c>
      <c r="F28" s="36">
        <f>IF('1. MASTER_ENTRY'!$C28="","",'1. MASTER_ENTRY'!$R28)</f>
        <v/>
      </c>
      <c r="G28" s="38">
        <f>IF('1. MASTER_ENTRY'!$C28="","",'1. MASTER_ENTRY'!$Q28)</f>
        <v/>
      </c>
    </row>
    <row r="29" ht="16" customHeight="1">
      <c r="A29" s="40">
        <f>IF('1. MASTER_ENTRY'!$C29="","",'1. MASTER_ENTRY'!$A29)</f>
        <v/>
      </c>
      <c r="B29" s="42">
        <f>IF('1. MASTER_ENTRY'!$C29="","",'1. MASTER_ENTRY'!$B29)</f>
        <v/>
      </c>
      <c r="C29" s="41">
        <f>IF('1. MASTER_ENTRY'!$C29="","","Apply "&amp;'1. MASTER_ENTRY'!$L29&amp;" to: "&amp;'1. MASTER_ENTRY'!$C29)</f>
        <v/>
      </c>
      <c r="D29" s="40">
        <f>IF('1. MASTER_ENTRY'!$C29="","",'1. MASTER_ENTRY'!$M29)</f>
        <v/>
      </c>
      <c r="E29" s="41">
        <f>IF('1. MASTER_ENTRY'!$C29="","",'1. MASTER_ENTRY'!$N29)</f>
        <v/>
      </c>
      <c r="F29" s="40">
        <f>IF('1. MASTER_ENTRY'!$C29="","",'1. MASTER_ENTRY'!$R29)</f>
        <v/>
      </c>
      <c r="G29" s="42">
        <f>IF('1. MASTER_ENTRY'!$C29="","",'1. MASTER_ENTRY'!$Q29)</f>
        <v/>
      </c>
    </row>
    <row r="30" ht="16" customHeight="1">
      <c r="A30" s="36">
        <f>IF('1. MASTER_ENTRY'!$C30="","",'1. MASTER_ENTRY'!$A30)</f>
        <v/>
      </c>
      <c r="B30" s="38">
        <f>IF('1. MASTER_ENTRY'!$C30="","",'1. MASTER_ENTRY'!$B30)</f>
        <v/>
      </c>
      <c r="C30" s="37">
        <f>IF('1. MASTER_ENTRY'!$C30="","","Apply "&amp;'1. MASTER_ENTRY'!$L30&amp;" to: "&amp;'1. MASTER_ENTRY'!$C30)</f>
        <v/>
      </c>
      <c r="D30" s="36">
        <f>IF('1. MASTER_ENTRY'!$C30="","",'1. MASTER_ENTRY'!$M30)</f>
        <v/>
      </c>
      <c r="E30" s="37">
        <f>IF('1. MASTER_ENTRY'!$C30="","",'1. MASTER_ENTRY'!$N30)</f>
        <v/>
      </c>
      <c r="F30" s="36">
        <f>IF('1. MASTER_ENTRY'!$C30="","",'1. MASTER_ENTRY'!$R30)</f>
        <v/>
      </c>
      <c r="G30" s="38">
        <f>IF('1. MASTER_ENTRY'!$C30="","",'1. MASTER_ENTRY'!$Q30)</f>
        <v/>
      </c>
    </row>
    <row r="31" ht="16" customHeight="1">
      <c r="A31" s="40">
        <f>IF('1. MASTER_ENTRY'!$C31="","",'1. MASTER_ENTRY'!$A31)</f>
        <v/>
      </c>
      <c r="B31" s="42">
        <f>IF('1. MASTER_ENTRY'!$C31="","",'1. MASTER_ENTRY'!$B31)</f>
        <v/>
      </c>
      <c r="C31" s="41">
        <f>IF('1. MASTER_ENTRY'!$C31="","","Apply "&amp;'1. MASTER_ENTRY'!$L31&amp;" to: "&amp;'1. MASTER_ENTRY'!$C31)</f>
        <v/>
      </c>
      <c r="D31" s="40">
        <f>IF('1. MASTER_ENTRY'!$C31="","",'1. MASTER_ENTRY'!$M31)</f>
        <v/>
      </c>
      <c r="E31" s="41">
        <f>IF('1. MASTER_ENTRY'!$C31="","",'1. MASTER_ENTRY'!$N31)</f>
        <v/>
      </c>
      <c r="F31" s="40">
        <f>IF('1. MASTER_ENTRY'!$C31="","",'1. MASTER_ENTRY'!$R31)</f>
        <v/>
      </c>
      <c r="G31" s="42">
        <f>IF('1. MASTER_ENTRY'!$C31="","",'1. MASTER_ENTRY'!$Q31)</f>
        <v/>
      </c>
    </row>
    <row r="32" ht="16" customHeight="1">
      <c r="A32" s="36">
        <f>IF('1. MASTER_ENTRY'!$C32="","",'1. MASTER_ENTRY'!$A32)</f>
        <v/>
      </c>
      <c r="B32" s="38">
        <f>IF('1. MASTER_ENTRY'!$C32="","",'1. MASTER_ENTRY'!$B32)</f>
        <v/>
      </c>
      <c r="C32" s="37">
        <f>IF('1. MASTER_ENTRY'!$C32="","","Apply "&amp;'1. MASTER_ENTRY'!$L32&amp;" to: "&amp;'1. MASTER_ENTRY'!$C32)</f>
        <v/>
      </c>
      <c r="D32" s="36">
        <f>IF('1. MASTER_ENTRY'!$C32="","",'1. MASTER_ENTRY'!$M32)</f>
        <v/>
      </c>
      <c r="E32" s="37">
        <f>IF('1. MASTER_ENTRY'!$C32="","",'1. MASTER_ENTRY'!$N32)</f>
        <v/>
      </c>
      <c r="F32" s="36">
        <f>IF('1. MASTER_ENTRY'!$C32="","",'1. MASTER_ENTRY'!$R32)</f>
        <v/>
      </c>
      <c r="G32" s="38">
        <f>IF('1. MASTER_ENTRY'!$C32="","",'1. MASTER_ENTRY'!$Q32)</f>
        <v/>
      </c>
    </row>
    <row r="33" ht="16" customHeight="1">
      <c r="A33" s="40">
        <f>IF('1. MASTER_ENTRY'!$C33="","",'1. MASTER_ENTRY'!$A33)</f>
        <v/>
      </c>
      <c r="B33" s="42">
        <f>IF('1. MASTER_ENTRY'!$C33="","",'1. MASTER_ENTRY'!$B33)</f>
        <v/>
      </c>
      <c r="C33" s="41">
        <f>IF('1. MASTER_ENTRY'!$C33="","","Apply "&amp;'1. MASTER_ENTRY'!$L33&amp;" to: "&amp;'1. MASTER_ENTRY'!$C33)</f>
        <v/>
      </c>
      <c r="D33" s="40">
        <f>IF('1. MASTER_ENTRY'!$C33="","",'1. MASTER_ENTRY'!$M33)</f>
        <v/>
      </c>
      <c r="E33" s="41">
        <f>IF('1. MASTER_ENTRY'!$C33="","",'1. MASTER_ENTRY'!$N33)</f>
        <v/>
      </c>
      <c r="F33" s="40">
        <f>IF('1. MASTER_ENTRY'!$C33="","",'1. MASTER_ENTRY'!$R33)</f>
        <v/>
      </c>
      <c r="G33" s="42">
        <f>IF('1. MASTER_ENTRY'!$C33="","",'1. MASTER_ENTRY'!$Q33)</f>
        <v/>
      </c>
    </row>
    <row r="34" ht="16" customHeight="1">
      <c r="A34" s="36">
        <f>IF('1. MASTER_ENTRY'!$C34="","",'1. MASTER_ENTRY'!$A34)</f>
        <v/>
      </c>
      <c r="B34" s="38">
        <f>IF('1. MASTER_ENTRY'!$C34="","",'1. MASTER_ENTRY'!$B34)</f>
        <v/>
      </c>
      <c r="C34" s="37">
        <f>IF('1. MASTER_ENTRY'!$C34="","","Apply "&amp;'1. MASTER_ENTRY'!$L34&amp;" to: "&amp;'1. MASTER_ENTRY'!$C34)</f>
        <v/>
      </c>
      <c r="D34" s="36">
        <f>IF('1. MASTER_ENTRY'!$C34="","",'1. MASTER_ENTRY'!$M34)</f>
        <v/>
      </c>
      <c r="E34" s="37">
        <f>IF('1. MASTER_ENTRY'!$C34="","",'1. MASTER_ENTRY'!$N34)</f>
        <v/>
      </c>
      <c r="F34" s="36">
        <f>IF('1. MASTER_ENTRY'!$C34="","",'1. MASTER_ENTRY'!$R34)</f>
        <v/>
      </c>
      <c r="G34" s="38">
        <f>IF('1. MASTER_ENTRY'!$C34="","",'1. MASTER_ENTRY'!$Q34)</f>
        <v/>
      </c>
    </row>
    <row r="35" ht="16" customHeight="1">
      <c r="A35" s="40">
        <f>IF('1. MASTER_ENTRY'!$C35="","",'1. MASTER_ENTRY'!$A35)</f>
        <v/>
      </c>
      <c r="B35" s="42">
        <f>IF('1. MASTER_ENTRY'!$C35="","",'1. MASTER_ENTRY'!$B35)</f>
        <v/>
      </c>
      <c r="C35" s="41">
        <f>IF('1. MASTER_ENTRY'!$C35="","","Apply "&amp;'1. MASTER_ENTRY'!$L35&amp;" to: "&amp;'1. MASTER_ENTRY'!$C35)</f>
        <v/>
      </c>
      <c r="D35" s="40">
        <f>IF('1. MASTER_ENTRY'!$C35="","",'1. MASTER_ENTRY'!$M35)</f>
        <v/>
      </c>
      <c r="E35" s="41">
        <f>IF('1. MASTER_ENTRY'!$C35="","",'1. MASTER_ENTRY'!$N35)</f>
        <v/>
      </c>
      <c r="F35" s="40">
        <f>IF('1. MASTER_ENTRY'!$C35="","",'1. MASTER_ENTRY'!$R35)</f>
        <v/>
      </c>
      <c r="G35" s="42">
        <f>IF('1. MASTER_ENTRY'!$C35="","",'1. MASTER_ENTRY'!$Q35)</f>
        <v/>
      </c>
    </row>
    <row r="36" ht="16" customHeight="1">
      <c r="A36" s="36">
        <f>IF('1. MASTER_ENTRY'!$C36="","",'1. MASTER_ENTRY'!$A36)</f>
        <v/>
      </c>
      <c r="B36" s="38">
        <f>IF('1. MASTER_ENTRY'!$C36="","",'1. MASTER_ENTRY'!$B36)</f>
        <v/>
      </c>
      <c r="C36" s="37">
        <f>IF('1. MASTER_ENTRY'!$C36="","","Apply "&amp;'1. MASTER_ENTRY'!$L36&amp;" to: "&amp;'1. MASTER_ENTRY'!$C36)</f>
        <v/>
      </c>
      <c r="D36" s="36">
        <f>IF('1. MASTER_ENTRY'!$C36="","",'1. MASTER_ENTRY'!$M36)</f>
        <v/>
      </c>
      <c r="E36" s="37">
        <f>IF('1. MASTER_ENTRY'!$C36="","",'1. MASTER_ENTRY'!$N36)</f>
        <v/>
      </c>
      <c r="F36" s="36">
        <f>IF('1. MASTER_ENTRY'!$C36="","",'1. MASTER_ENTRY'!$R36)</f>
        <v/>
      </c>
      <c r="G36" s="38">
        <f>IF('1. MASTER_ENTRY'!$C36="","",'1. MASTER_ENTRY'!$Q36)</f>
        <v/>
      </c>
    </row>
    <row r="37" ht="16" customHeight="1">
      <c r="A37" s="40">
        <f>IF('1. MASTER_ENTRY'!$C37="","",'1. MASTER_ENTRY'!$A37)</f>
        <v/>
      </c>
      <c r="B37" s="42">
        <f>IF('1. MASTER_ENTRY'!$C37="","",'1. MASTER_ENTRY'!$B37)</f>
        <v/>
      </c>
      <c r="C37" s="41">
        <f>IF('1. MASTER_ENTRY'!$C37="","","Apply "&amp;'1. MASTER_ENTRY'!$L37&amp;" to: "&amp;'1. MASTER_ENTRY'!$C37)</f>
        <v/>
      </c>
      <c r="D37" s="40">
        <f>IF('1. MASTER_ENTRY'!$C37="","",'1. MASTER_ENTRY'!$M37)</f>
        <v/>
      </c>
      <c r="E37" s="41">
        <f>IF('1. MASTER_ENTRY'!$C37="","",'1. MASTER_ENTRY'!$N37)</f>
        <v/>
      </c>
      <c r="F37" s="40">
        <f>IF('1. MASTER_ENTRY'!$C37="","",'1. MASTER_ENTRY'!$R37)</f>
        <v/>
      </c>
      <c r="G37" s="42">
        <f>IF('1. MASTER_ENTRY'!$C37="","",'1. MASTER_ENTRY'!$Q37)</f>
        <v/>
      </c>
    </row>
    <row r="38" ht="16" customHeight="1">
      <c r="A38" s="36">
        <f>IF('1. MASTER_ENTRY'!$C38="","",'1. MASTER_ENTRY'!$A38)</f>
        <v/>
      </c>
      <c r="B38" s="38">
        <f>IF('1. MASTER_ENTRY'!$C38="","",'1. MASTER_ENTRY'!$B38)</f>
        <v/>
      </c>
      <c r="C38" s="37">
        <f>IF('1. MASTER_ENTRY'!$C38="","","Apply "&amp;'1. MASTER_ENTRY'!$L38&amp;" to: "&amp;'1. MASTER_ENTRY'!$C38)</f>
        <v/>
      </c>
      <c r="D38" s="36">
        <f>IF('1. MASTER_ENTRY'!$C38="","",'1. MASTER_ENTRY'!$M38)</f>
        <v/>
      </c>
      <c r="E38" s="37">
        <f>IF('1. MASTER_ENTRY'!$C38="","",'1. MASTER_ENTRY'!$N38)</f>
        <v/>
      </c>
      <c r="F38" s="36">
        <f>IF('1. MASTER_ENTRY'!$C38="","",'1. MASTER_ENTRY'!$R38)</f>
        <v/>
      </c>
      <c r="G38" s="38">
        <f>IF('1. MASTER_ENTRY'!$C38="","",'1. MASTER_ENTRY'!$Q38)</f>
        <v/>
      </c>
    </row>
    <row r="39" ht="16" customHeight="1">
      <c r="A39" s="40">
        <f>IF('1. MASTER_ENTRY'!$C39="","",'1. MASTER_ENTRY'!$A39)</f>
        <v/>
      </c>
      <c r="B39" s="42">
        <f>IF('1. MASTER_ENTRY'!$C39="","",'1. MASTER_ENTRY'!$B39)</f>
        <v/>
      </c>
      <c r="C39" s="41">
        <f>IF('1. MASTER_ENTRY'!$C39="","","Apply "&amp;'1. MASTER_ENTRY'!$L39&amp;" to: "&amp;'1. MASTER_ENTRY'!$C39)</f>
        <v/>
      </c>
      <c r="D39" s="40">
        <f>IF('1. MASTER_ENTRY'!$C39="","",'1. MASTER_ENTRY'!$M39)</f>
        <v/>
      </c>
      <c r="E39" s="41">
        <f>IF('1. MASTER_ENTRY'!$C39="","",'1. MASTER_ENTRY'!$N39)</f>
        <v/>
      </c>
      <c r="F39" s="40">
        <f>IF('1. MASTER_ENTRY'!$C39="","",'1. MASTER_ENTRY'!$R39)</f>
        <v/>
      </c>
      <c r="G39" s="42">
        <f>IF('1. MASTER_ENTRY'!$C39="","",'1. MASTER_ENTRY'!$Q39)</f>
        <v/>
      </c>
    </row>
    <row r="40" ht="16" customHeight="1">
      <c r="A40" s="36">
        <f>IF('1. MASTER_ENTRY'!$C40="","",'1. MASTER_ENTRY'!$A40)</f>
        <v/>
      </c>
      <c r="B40" s="38">
        <f>IF('1. MASTER_ENTRY'!$C40="","",'1. MASTER_ENTRY'!$B40)</f>
        <v/>
      </c>
      <c r="C40" s="37">
        <f>IF('1. MASTER_ENTRY'!$C40="","","Apply "&amp;'1. MASTER_ENTRY'!$L40&amp;" to: "&amp;'1. MASTER_ENTRY'!$C40)</f>
        <v/>
      </c>
      <c r="D40" s="36">
        <f>IF('1. MASTER_ENTRY'!$C40="","",'1. MASTER_ENTRY'!$M40)</f>
        <v/>
      </c>
      <c r="E40" s="37">
        <f>IF('1. MASTER_ENTRY'!$C40="","",'1. MASTER_ENTRY'!$N40)</f>
        <v/>
      </c>
      <c r="F40" s="36">
        <f>IF('1. MASTER_ENTRY'!$C40="","",'1. MASTER_ENTRY'!$R40)</f>
        <v/>
      </c>
      <c r="G40" s="38">
        <f>IF('1. MASTER_ENTRY'!$C40="","",'1. MASTER_ENTRY'!$Q40)</f>
        <v/>
      </c>
    </row>
    <row r="41" ht="16" customHeight="1">
      <c r="A41" s="40">
        <f>IF('1. MASTER_ENTRY'!$C41="","",'1. MASTER_ENTRY'!$A41)</f>
        <v/>
      </c>
      <c r="B41" s="42">
        <f>IF('1. MASTER_ENTRY'!$C41="","",'1. MASTER_ENTRY'!$B41)</f>
        <v/>
      </c>
      <c r="C41" s="41">
        <f>IF('1. MASTER_ENTRY'!$C41="","","Apply "&amp;'1. MASTER_ENTRY'!$L41&amp;" to: "&amp;'1. MASTER_ENTRY'!$C41)</f>
        <v/>
      </c>
      <c r="D41" s="40">
        <f>IF('1. MASTER_ENTRY'!$C41="","",'1. MASTER_ENTRY'!$M41)</f>
        <v/>
      </c>
      <c r="E41" s="41">
        <f>IF('1. MASTER_ENTRY'!$C41="","",'1. MASTER_ENTRY'!$N41)</f>
        <v/>
      </c>
      <c r="F41" s="40">
        <f>IF('1. MASTER_ENTRY'!$C41="","",'1. MASTER_ENTRY'!$R41)</f>
        <v/>
      </c>
      <c r="G41" s="42">
        <f>IF('1. MASTER_ENTRY'!$C41="","",'1. MASTER_ENTRY'!$Q41)</f>
        <v/>
      </c>
    </row>
    <row r="42" ht="16" customHeight="1">
      <c r="A42" s="36">
        <f>IF('1. MASTER_ENTRY'!$C42="","",'1. MASTER_ENTRY'!$A42)</f>
        <v/>
      </c>
      <c r="B42" s="38">
        <f>IF('1. MASTER_ENTRY'!$C42="","",'1. MASTER_ENTRY'!$B42)</f>
        <v/>
      </c>
      <c r="C42" s="37">
        <f>IF('1. MASTER_ENTRY'!$C42="","","Apply "&amp;'1. MASTER_ENTRY'!$L42&amp;" to: "&amp;'1. MASTER_ENTRY'!$C42)</f>
        <v/>
      </c>
      <c r="D42" s="36">
        <f>IF('1. MASTER_ENTRY'!$C42="","",'1. MASTER_ENTRY'!$M42)</f>
        <v/>
      </c>
      <c r="E42" s="37">
        <f>IF('1. MASTER_ENTRY'!$C42="","",'1. MASTER_ENTRY'!$N42)</f>
        <v/>
      </c>
      <c r="F42" s="36">
        <f>IF('1. MASTER_ENTRY'!$C42="","",'1. MASTER_ENTRY'!$R42)</f>
        <v/>
      </c>
      <c r="G42" s="38">
        <f>IF('1. MASTER_ENTRY'!$C42="","",'1. MASTER_ENTRY'!$Q42)</f>
        <v/>
      </c>
    </row>
    <row r="43" ht="16" customHeight="1">
      <c r="A43" s="40">
        <f>IF('1. MASTER_ENTRY'!$C43="","",'1. MASTER_ENTRY'!$A43)</f>
        <v/>
      </c>
      <c r="B43" s="42">
        <f>IF('1. MASTER_ENTRY'!$C43="","",'1. MASTER_ENTRY'!$B43)</f>
        <v/>
      </c>
      <c r="C43" s="41">
        <f>IF('1. MASTER_ENTRY'!$C43="","","Apply "&amp;'1. MASTER_ENTRY'!$L43&amp;" to: "&amp;'1. MASTER_ENTRY'!$C43)</f>
        <v/>
      </c>
      <c r="D43" s="40">
        <f>IF('1. MASTER_ENTRY'!$C43="","",'1. MASTER_ENTRY'!$M43)</f>
        <v/>
      </c>
      <c r="E43" s="41">
        <f>IF('1. MASTER_ENTRY'!$C43="","",'1. MASTER_ENTRY'!$N43)</f>
        <v/>
      </c>
      <c r="F43" s="40">
        <f>IF('1. MASTER_ENTRY'!$C43="","",'1. MASTER_ENTRY'!$R43)</f>
        <v/>
      </c>
      <c r="G43" s="42">
        <f>IF('1. MASTER_ENTRY'!$C43="","",'1. MASTER_ENTRY'!$Q43)</f>
        <v/>
      </c>
    </row>
    <row r="44" ht="16" customHeight="1">
      <c r="A44" s="36">
        <f>IF('1. MASTER_ENTRY'!$C44="","",'1. MASTER_ENTRY'!$A44)</f>
        <v/>
      </c>
      <c r="B44" s="38">
        <f>IF('1. MASTER_ENTRY'!$C44="","",'1. MASTER_ENTRY'!$B44)</f>
        <v/>
      </c>
      <c r="C44" s="37">
        <f>IF('1. MASTER_ENTRY'!$C44="","","Apply "&amp;'1. MASTER_ENTRY'!$L44&amp;" to: "&amp;'1. MASTER_ENTRY'!$C44)</f>
        <v/>
      </c>
      <c r="D44" s="36">
        <f>IF('1. MASTER_ENTRY'!$C44="","",'1. MASTER_ENTRY'!$M44)</f>
        <v/>
      </c>
      <c r="E44" s="37">
        <f>IF('1. MASTER_ENTRY'!$C44="","",'1. MASTER_ENTRY'!$N44)</f>
        <v/>
      </c>
      <c r="F44" s="36">
        <f>IF('1. MASTER_ENTRY'!$C44="","",'1. MASTER_ENTRY'!$R44)</f>
        <v/>
      </c>
      <c r="G44" s="38">
        <f>IF('1. MASTER_ENTRY'!$C44="","",'1. MASTER_ENTRY'!$Q44)</f>
        <v/>
      </c>
    </row>
    <row r="45" ht="16" customHeight="1">
      <c r="A45" s="40">
        <f>IF('1. MASTER_ENTRY'!$C45="","",'1. MASTER_ENTRY'!$A45)</f>
        <v/>
      </c>
      <c r="B45" s="42">
        <f>IF('1. MASTER_ENTRY'!$C45="","",'1. MASTER_ENTRY'!$B45)</f>
        <v/>
      </c>
      <c r="C45" s="41">
        <f>IF('1. MASTER_ENTRY'!$C45="","","Apply "&amp;'1. MASTER_ENTRY'!$L45&amp;" to: "&amp;'1. MASTER_ENTRY'!$C45)</f>
        <v/>
      </c>
      <c r="D45" s="40">
        <f>IF('1. MASTER_ENTRY'!$C45="","",'1. MASTER_ENTRY'!$M45)</f>
        <v/>
      </c>
      <c r="E45" s="41">
        <f>IF('1. MASTER_ENTRY'!$C45="","",'1. MASTER_ENTRY'!$N45)</f>
        <v/>
      </c>
      <c r="F45" s="40">
        <f>IF('1. MASTER_ENTRY'!$C45="","",'1. MASTER_ENTRY'!$R45)</f>
        <v/>
      </c>
      <c r="G45" s="42">
        <f>IF('1. MASTER_ENTRY'!$C45="","",'1. MASTER_ENTRY'!$Q45)</f>
        <v/>
      </c>
    </row>
    <row r="46" ht="16" customHeight="1">
      <c r="A46" s="36">
        <f>IF('1. MASTER_ENTRY'!$C46="","",'1. MASTER_ENTRY'!$A46)</f>
        <v/>
      </c>
      <c r="B46" s="38">
        <f>IF('1. MASTER_ENTRY'!$C46="","",'1. MASTER_ENTRY'!$B46)</f>
        <v/>
      </c>
      <c r="C46" s="37">
        <f>IF('1. MASTER_ENTRY'!$C46="","","Apply "&amp;'1. MASTER_ENTRY'!$L46&amp;" to: "&amp;'1. MASTER_ENTRY'!$C46)</f>
        <v/>
      </c>
      <c r="D46" s="36">
        <f>IF('1. MASTER_ENTRY'!$C46="","",'1. MASTER_ENTRY'!$M46)</f>
        <v/>
      </c>
      <c r="E46" s="37">
        <f>IF('1. MASTER_ENTRY'!$C46="","",'1. MASTER_ENTRY'!$N46)</f>
        <v/>
      </c>
      <c r="F46" s="36">
        <f>IF('1. MASTER_ENTRY'!$C46="","",'1. MASTER_ENTRY'!$R46)</f>
        <v/>
      </c>
      <c r="G46" s="38">
        <f>IF('1. MASTER_ENTRY'!$C46="","",'1. MASTER_ENTRY'!$Q46)</f>
        <v/>
      </c>
    </row>
    <row r="47" ht="16" customHeight="1">
      <c r="A47" s="40">
        <f>IF('1. MASTER_ENTRY'!$C47="","",'1. MASTER_ENTRY'!$A47)</f>
        <v/>
      </c>
      <c r="B47" s="42">
        <f>IF('1. MASTER_ENTRY'!$C47="","",'1. MASTER_ENTRY'!$B47)</f>
        <v/>
      </c>
      <c r="C47" s="41">
        <f>IF('1. MASTER_ENTRY'!$C47="","","Apply "&amp;'1. MASTER_ENTRY'!$L47&amp;" to: "&amp;'1. MASTER_ENTRY'!$C47)</f>
        <v/>
      </c>
      <c r="D47" s="40">
        <f>IF('1. MASTER_ENTRY'!$C47="","",'1. MASTER_ENTRY'!$M47)</f>
        <v/>
      </c>
      <c r="E47" s="41">
        <f>IF('1. MASTER_ENTRY'!$C47="","",'1. MASTER_ENTRY'!$N47)</f>
        <v/>
      </c>
      <c r="F47" s="40">
        <f>IF('1. MASTER_ENTRY'!$C47="","",'1. MASTER_ENTRY'!$R47)</f>
        <v/>
      </c>
      <c r="G47" s="42">
        <f>IF('1. MASTER_ENTRY'!$C47="","",'1. MASTER_ENTRY'!$Q47)</f>
        <v/>
      </c>
    </row>
    <row r="48" ht="16" customHeight="1">
      <c r="A48" s="36">
        <f>IF('1. MASTER_ENTRY'!$C48="","",'1. MASTER_ENTRY'!$A48)</f>
        <v/>
      </c>
      <c r="B48" s="38">
        <f>IF('1. MASTER_ENTRY'!$C48="","",'1. MASTER_ENTRY'!$B48)</f>
        <v/>
      </c>
      <c r="C48" s="37">
        <f>IF('1. MASTER_ENTRY'!$C48="","","Apply "&amp;'1. MASTER_ENTRY'!$L48&amp;" to: "&amp;'1. MASTER_ENTRY'!$C48)</f>
        <v/>
      </c>
      <c r="D48" s="36">
        <f>IF('1. MASTER_ENTRY'!$C48="","",'1. MASTER_ENTRY'!$M48)</f>
        <v/>
      </c>
      <c r="E48" s="37">
        <f>IF('1. MASTER_ENTRY'!$C48="","",'1. MASTER_ENTRY'!$N48)</f>
        <v/>
      </c>
      <c r="F48" s="36">
        <f>IF('1. MASTER_ENTRY'!$C48="","",'1. MASTER_ENTRY'!$R48)</f>
        <v/>
      </c>
      <c r="G48" s="38">
        <f>IF('1. MASTER_ENTRY'!$C48="","",'1. MASTER_ENTRY'!$Q48)</f>
        <v/>
      </c>
    </row>
    <row r="49" ht="16" customHeight="1">
      <c r="A49" s="40">
        <f>IF('1. MASTER_ENTRY'!$C49="","",'1. MASTER_ENTRY'!$A49)</f>
        <v/>
      </c>
      <c r="B49" s="42">
        <f>IF('1. MASTER_ENTRY'!$C49="","",'1. MASTER_ENTRY'!$B49)</f>
        <v/>
      </c>
      <c r="C49" s="41">
        <f>IF('1. MASTER_ENTRY'!$C49="","","Apply "&amp;'1. MASTER_ENTRY'!$L49&amp;" to: "&amp;'1. MASTER_ENTRY'!$C49)</f>
        <v/>
      </c>
      <c r="D49" s="40">
        <f>IF('1. MASTER_ENTRY'!$C49="","",'1. MASTER_ENTRY'!$M49)</f>
        <v/>
      </c>
      <c r="E49" s="41">
        <f>IF('1. MASTER_ENTRY'!$C49="","",'1. MASTER_ENTRY'!$N49)</f>
        <v/>
      </c>
      <c r="F49" s="40">
        <f>IF('1. MASTER_ENTRY'!$C49="","",'1. MASTER_ENTRY'!$R49)</f>
        <v/>
      </c>
      <c r="G49" s="42">
        <f>IF('1. MASTER_ENTRY'!$C49="","",'1. MASTER_ENTRY'!$Q49)</f>
        <v/>
      </c>
    </row>
    <row r="50" ht="16" customHeight="1">
      <c r="A50" s="36">
        <f>IF('1. MASTER_ENTRY'!$C50="","",'1. MASTER_ENTRY'!$A50)</f>
        <v/>
      </c>
      <c r="B50" s="38">
        <f>IF('1. MASTER_ENTRY'!$C50="","",'1. MASTER_ENTRY'!$B50)</f>
        <v/>
      </c>
      <c r="C50" s="37">
        <f>IF('1. MASTER_ENTRY'!$C50="","","Apply "&amp;'1. MASTER_ENTRY'!$L50&amp;" to: "&amp;'1. MASTER_ENTRY'!$C50)</f>
        <v/>
      </c>
      <c r="D50" s="36">
        <f>IF('1. MASTER_ENTRY'!$C50="","",'1. MASTER_ENTRY'!$M50)</f>
        <v/>
      </c>
      <c r="E50" s="37">
        <f>IF('1. MASTER_ENTRY'!$C50="","",'1. MASTER_ENTRY'!$N50)</f>
        <v/>
      </c>
      <c r="F50" s="36">
        <f>IF('1. MASTER_ENTRY'!$C50="","",'1. MASTER_ENTRY'!$R50)</f>
        <v/>
      </c>
      <c r="G50" s="38">
        <f>IF('1. MASTER_ENTRY'!$C50="","",'1. MASTER_ENTRY'!$Q50)</f>
        <v/>
      </c>
    </row>
    <row r="51" ht="16" customHeight="1">
      <c r="A51" s="40">
        <f>IF('1. MASTER_ENTRY'!$C51="","",'1. MASTER_ENTRY'!$A51)</f>
        <v/>
      </c>
      <c r="B51" s="42">
        <f>IF('1. MASTER_ENTRY'!$C51="","",'1. MASTER_ENTRY'!$B51)</f>
        <v/>
      </c>
      <c r="C51" s="41">
        <f>IF('1. MASTER_ENTRY'!$C51="","","Apply "&amp;'1. MASTER_ENTRY'!$L51&amp;" to: "&amp;'1. MASTER_ENTRY'!$C51)</f>
        <v/>
      </c>
      <c r="D51" s="40">
        <f>IF('1. MASTER_ENTRY'!$C51="","",'1. MASTER_ENTRY'!$M51)</f>
        <v/>
      </c>
      <c r="E51" s="41">
        <f>IF('1. MASTER_ENTRY'!$C51="","",'1. MASTER_ENTRY'!$N51)</f>
        <v/>
      </c>
      <c r="F51" s="40">
        <f>IF('1. MASTER_ENTRY'!$C51="","",'1. MASTER_ENTRY'!$R51)</f>
        <v/>
      </c>
      <c r="G51" s="42">
        <f>IF('1. MASTER_ENTRY'!$C51="","",'1. MASTER_ENTRY'!$Q51)</f>
        <v/>
      </c>
    </row>
    <row r="52" ht="16" customHeight="1">
      <c r="A52" s="36">
        <f>IF('1. MASTER_ENTRY'!$C52="","",'1. MASTER_ENTRY'!$A52)</f>
        <v/>
      </c>
      <c r="B52" s="38">
        <f>IF('1. MASTER_ENTRY'!$C52="","",'1. MASTER_ENTRY'!$B52)</f>
        <v/>
      </c>
      <c r="C52" s="37">
        <f>IF('1. MASTER_ENTRY'!$C52="","","Apply "&amp;'1. MASTER_ENTRY'!$L52&amp;" to: "&amp;'1. MASTER_ENTRY'!$C52)</f>
        <v/>
      </c>
      <c r="D52" s="36">
        <f>IF('1. MASTER_ENTRY'!$C52="","",'1. MASTER_ENTRY'!$M52)</f>
        <v/>
      </c>
      <c r="E52" s="37">
        <f>IF('1. MASTER_ENTRY'!$C52="","",'1. MASTER_ENTRY'!$N52)</f>
        <v/>
      </c>
      <c r="F52" s="36">
        <f>IF('1. MASTER_ENTRY'!$C52="","",'1. MASTER_ENTRY'!$R52)</f>
        <v/>
      </c>
      <c r="G52" s="38">
        <f>IF('1. MASTER_ENTRY'!$C52="","",'1. MASTER_ENTRY'!$Q52)</f>
        <v/>
      </c>
    </row>
    <row r="53" ht="16" customHeight="1">
      <c r="A53" s="40">
        <f>IF('1. MASTER_ENTRY'!$C53="","",'1. MASTER_ENTRY'!$A53)</f>
        <v/>
      </c>
      <c r="B53" s="42">
        <f>IF('1. MASTER_ENTRY'!$C53="","",'1. MASTER_ENTRY'!$B53)</f>
        <v/>
      </c>
      <c r="C53" s="41">
        <f>IF('1. MASTER_ENTRY'!$C53="","","Apply "&amp;'1. MASTER_ENTRY'!$L53&amp;" to: "&amp;'1. MASTER_ENTRY'!$C53)</f>
        <v/>
      </c>
      <c r="D53" s="40">
        <f>IF('1. MASTER_ENTRY'!$C53="","",'1. MASTER_ENTRY'!$M53)</f>
        <v/>
      </c>
      <c r="E53" s="41">
        <f>IF('1. MASTER_ENTRY'!$C53="","",'1. MASTER_ENTRY'!$N53)</f>
        <v/>
      </c>
      <c r="F53" s="40">
        <f>IF('1. MASTER_ENTRY'!$C53="","",'1. MASTER_ENTRY'!$R53)</f>
        <v/>
      </c>
      <c r="G53" s="42">
        <f>IF('1. MASTER_ENTRY'!$C53="","",'1. MASTER_ENTRY'!$Q53)</f>
        <v/>
      </c>
    </row>
    <row r="54" ht="16" customHeight="1">
      <c r="A54" s="36">
        <f>IF('1. MASTER_ENTRY'!$C54="","",'1. MASTER_ENTRY'!$A54)</f>
        <v/>
      </c>
      <c r="B54" s="38">
        <f>IF('1. MASTER_ENTRY'!$C54="","",'1. MASTER_ENTRY'!$B54)</f>
        <v/>
      </c>
      <c r="C54" s="37">
        <f>IF('1. MASTER_ENTRY'!$C54="","","Apply "&amp;'1. MASTER_ENTRY'!$L54&amp;" to: "&amp;'1. MASTER_ENTRY'!$C54)</f>
        <v/>
      </c>
      <c r="D54" s="36">
        <f>IF('1. MASTER_ENTRY'!$C54="","",'1. MASTER_ENTRY'!$M54)</f>
        <v/>
      </c>
      <c r="E54" s="37">
        <f>IF('1. MASTER_ENTRY'!$C54="","",'1. MASTER_ENTRY'!$N54)</f>
        <v/>
      </c>
      <c r="F54" s="36">
        <f>IF('1. MASTER_ENTRY'!$C54="","",'1. MASTER_ENTRY'!$R54)</f>
        <v/>
      </c>
      <c r="G54" s="38">
        <f>IF('1. MASTER_ENTRY'!$C54="","",'1. MASTER_ENTRY'!$Q54)</f>
        <v/>
      </c>
    </row>
    <row r="55" ht="16" customHeight="1">
      <c r="A55" s="40">
        <f>IF('1. MASTER_ENTRY'!$C55="","",'1. MASTER_ENTRY'!$A55)</f>
        <v/>
      </c>
      <c r="B55" s="42">
        <f>IF('1. MASTER_ENTRY'!$C55="","",'1. MASTER_ENTRY'!$B55)</f>
        <v/>
      </c>
      <c r="C55" s="41">
        <f>IF('1. MASTER_ENTRY'!$C55="","","Apply "&amp;'1. MASTER_ENTRY'!$L55&amp;" to: "&amp;'1. MASTER_ENTRY'!$C55)</f>
        <v/>
      </c>
      <c r="D55" s="40">
        <f>IF('1. MASTER_ENTRY'!$C55="","",'1. MASTER_ENTRY'!$M55)</f>
        <v/>
      </c>
      <c r="E55" s="41">
        <f>IF('1. MASTER_ENTRY'!$C55="","",'1. MASTER_ENTRY'!$N55)</f>
        <v/>
      </c>
      <c r="F55" s="40">
        <f>IF('1. MASTER_ENTRY'!$C55="","",'1. MASTER_ENTRY'!$R55)</f>
        <v/>
      </c>
      <c r="G55" s="42">
        <f>IF('1. MASTER_ENTRY'!$C55="","",'1. MASTER_ENTRY'!$Q55)</f>
        <v/>
      </c>
    </row>
    <row r="56" ht="16" customHeight="1">
      <c r="A56" s="36">
        <f>IF('1. MASTER_ENTRY'!$C56="","",'1. MASTER_ENTRY'!$A56)</f>
        <v/>
      </c>
      <c r="B56" s="38">
        <f>IF('1. MASTER_ENTRY'!$C56="","",'1. MASTER_ENTRY'!$B56)</f>
        <v/>
      </c>
      <c r="C56" s="37">
        <f>IF('1. MASTER_ENTRY'!$C56="","","Apply "&amp;'1. MASTER_ENTRY'!$L56&amp;" to: "&amp;'1. MASTER_ENTRY'!$C56)</f>
        <v/>
      </c>
      <c r="D56" s="36">
        <f>IF('1. MASTER_ENTRY'!$C56="","",'1. MASTER_ENTRY'!$M56)</f>
        <v/>
      </c>
      <c r="E56" s="37">
        <f>IF('1. MASTER_ENTRY'!$C56="","",'1. MASTER_ENTRY'!$N56)</f>
        <v/>
      </c>
      <c r="F56" s="36">
        <f>IF('1. MASTER_ENTRY'!$C56="","",'1. MASTER_ENTRY'!$R56)</f>
        <v/>
      </c>
      <c r="G56" s="38">
        <f>IF('1. MASTER_ENTRY'!$C56="","",'1. MASTER_ENTRY'!$Q56)</f>
        <v/>
      </c>
    </row>
    <row r="57" ht="16" customHeight="1">
      <c r="A57" s="40">
        <f>IF('1. MASTER_ENTRY'!$C57="","",'1. MASTER_ENTRY'!$A57)</f>
        <v/>
      </c>
      <c r="B57" s="42">
        <f>IF('1. MASTER_ENTRY'!$C57="","",'1. MASTER_ENTRY'!$B57)</f>
        <v/>
      </c>
      <c r="C57" s="41">
        <f>IF('1. MASTER_ENTRY'!$C57="","","Apply "&amp;'1. MASTER_ENTRY'!$L57&amp;" to: "&amp;'1. MASTER_ENTRY'!$C57)</f>
        <v/>
      </c>
      <c r="D57" s="40">
        <f>IF('1. MASTER_ENTRY'!$C57="","",'1. MASTER_ENTRY'!$M57)</f>
        <v/>
      </c>
      <c r="E57" s="41">
        <f>IF('1. MASTER_ENTRY'!$C57="","",'1. MASTER_ENTRY'!$N57)</f>
        <v/>
      </c>
      <c r="F57" s="40">
        <f>IF('1. MASTER_ENTRY'!$C57="","",'1. MASTER_ENTRY'!$R57)</f>
        <v/>
      </c>
      <c r="G57" s="42">
        <f>IF('1. MASTER_ENTRY'!$C57="","",'1. MASTER_ENTRY'!$Q57)</f>
        <v/>
      </c>
    </row>
    <row r="58" ht="16" customHeight="1">
      <c r="A58" s="36">
        <f>IF('1. MASTER_ENTRY'!$C58="","",'1. MASTER_ENTRY'!$A58)</f>
        <v/>
      </c>
      <c r="B58" s="38">
        <f>IF('1. MASTER_ENTRY'!$C58="","",'1. MASTER_ENTRY'!$B58)</f>
        <v/>
      </c>
      <c r="C58" s="37">
        <f>IF('1. MASTER_ENTRY'!$C58="","","Apply "&amp;'1. MASTER_ENTRY'!$L58&amp;" to: "&amp;'1. MASTER_ENTRY'!$C58)</f>
        <v/>
      </c>
      <c r="D58" s="36">
        <f>IF('1. MASTER_ENTRY'!$C58="","",'1. MASTER_ENTRY'!$M58)</f>
        <v/>
      </c>
      <c r="E58" s="37">
        <f>IF('1. MASTER_ENTRY'!$C58="","",'1. MASTER_ENTRY'!$N58)</f>
        <v/>
      </c>
      <c r="F58" s="36">
        <f>IF('1. MASTER_ENTRY'!$C58="","",'1. MASTER_ENTRY'!$R58)</f>
        <v/>
      </c>
      <c r="G58" s="38">
        <f>IF('1. MASTER_ENTRY'!$C58="","",'1. MASTER_ENTRY'!$Q58)</f>
        <v/>
      </c>
    </row>
    <row r="59" ht="16" customHeight="1">
      <c r="A59" s="40">
        <f>IF('1. MASTER_ENTRY'!$C59="","",'1. MASTER_ENTRY'!$A59)</f>
        <v/>
      </c>
      <c r="B59" s="42">
        <f>IF('1. MASTER_ENTRY'!$C59="","",'1. MASTER_ENTRY'!$B59)</f>
        <v/>
      </c>
      <c r="C59" s="41">
        <f>IF('1. MASTER_ENTRY'!$C59="","","Apply "&amp;'1. MASTER_ENTRY'!$L59&amp;" to: "&amp;'1. MASTER_ENTRY'!$C59)</f>
        <v/>
      </c>
      <c r="D59" s="40">
        <f>IF('1. MASTER_ENTRY'!$C59="","",'1. MASTER_ENTRY'!$M59)</f>
        <v/>
      </c>
      <c r="E59" s="41">
        <f>IF('1. MASTER_ENTRY'!$C59="","",'1. MASTER_ENTRY'!$N59)</f>
        <v/>
      </c>
      <c r="F59" s="40">
        <f>IF('1. MASTER_ENTRY'!$C59="","",'1. MASTER_ENTRY'!$R59)</f>
        <v/>
      </c>
      <c r="G59" s="42">
        <f>IF('1. MASTER_ENTRY'!$C59="","",'1. MASTER_ENTRY'!$Q59)</f>
        <v/>
      </c>
    </row>
    <row r="60" ht="16" customHeight="1">
      <c r="A60" s="36">
        <f>IF('1. MASTER_ENTRY'!$C60="","",'1. MASTER_ENTRY'!$A60)</f>
        <v/>
      </c>
      <c r="B60" s="38">
        <f>IF('1. MASTER_ENTRY'!$C60="","",'1. MASTER_ENTRY'!$B60)</f>
        <v/>
      </c>
      <c r="C60" s="37">
        <f>IF('1. MASTER_ENTRY'!$C60="","","Apply "&amp;'1. MASTER_ENTRY'!$L60&amp;" to: "&amp;'1. MASTER_ENTRY'!$C60)</f>
        <v/>
      </c>
      <c r="D60" s="36">
        <f>IF('1. MASTER_ENTRY'!$C60="","",'1. MASTER_ENTRY'!$M60)</f>
        <v/>
      </c>
      <c r="E60" s="37">
        <f>IF('1. MASTER_ENTRY'!$C60="","",'1. MASTER_ENTRY'!$N60)</f>
        <v/>
      </c>
      <c r="F60" s="36">
        <f>IF('1. MASTER_ENTRY'!$C60="","",'1. MASTER_ENTRY'!$R60)</f>
        <v/>
      </c>
      <c r="G60" s="38">
        <f>IF('1. MASTER_ENTRY'!$C60="","",'1. MASTER_ENTRY'!$Q60)</f>
        <v/>
      </c>
    </row>
    <row r="61" ht="16" customHeight="1">
      <c r="A61" s="40">
        <f>IF('1. MASTER_ENTRY'!$C61="","",'1. MASTER_ENTRY'!$A61)</f>
        <v/>
      </c>
      <c r="B61" s="42">
        <f>IF('1. MASTER_ENTRY'!$C61="","",'1. MASTER_ENTRY'!$B61)</f>
        <v/>
      </c>
      <c r="C61" s="41">
        <f>IF('1. MASTER_ENTRY'!$C61="","","Apply "&amp;'1. MASTER_ENTRY'!$L61&amp;" to: "&amp;'1. MASTER_ENTRY'!$C61)</f>
        <v/>
      </c>
      <c r="D61" s="40">
        <f>IF('1. MASTER_ENTRY'!$C61="","",'1. MASTER_ENTRY'!$M61)</f>
        <v/>
      </c>
      <c r="E61" s="41">
        <f>IF('1. MASTER_ENTRY'!$C61="","",'1. MASTER_ENTRY'!$N61)</f>
        <v/>
      </c>
      <c r="F61" s="40">
        <f>IF('1. MASTER_ENTRY'!$C61="","",'1. MASTER_ENTRY'!$R61)</f>
        <v/>
      </c>
      <c r="G61" s="42">
        <f>IF('1. MASTER_ENTRY'!$C61="","",'1. MASTER_ENTRY'!$Q61)</f>
        <v/>
      </c>
    </row>
    <row r="62" ht="16" customHeight="1">
      <c r="A62" s="36">
        <f>IF('1. MASTER_ENTRY'!$C62="","",'1. MASTER_ENTRY'!$A62)</f>
        <v/>
      </c>
      <c r="B62" s="38">
        <f>IF('1. MASTER_ENTRY'!$C62="","",'1. MASTER_ENTRY'!$B62)</f>
        <v/>
      </c>
      <c r="C62" s="37">
        <f>IF('1. MASTER_ENTRY'!$C62="","","Apply "&amp;'1. MASTER_ENTRY'!$L62&amp;" to: "&amp;'1. MASTER_ENTRY'!$C62)</f>
        <v/>
      </c>
      <c r="D62" s="36">
        <f>IF('1. MASTER_ENTRY'!$C62="","",'1. MASTER_ENTRY'!$M62)</f>
        <v/>
      </c>
      <c r="E62" s="37">
        <f>IF('1. MASTER_ENTRY'!$C62="","",'1. MASTER_ENTRY'!$N62)</f>
        <v/>
      </c>
      <c r="F62" s="36">
        <f>IF('1. MASTER_ENTRY'!$C62="","",'1. MASTER_ENTRY'!$R62)</f>
        <v/>
      </c>
      <c r="G62" s="38">
        <f>IF('1. MASTER_ENTRY'!$C62="","",'1. MASTER_ENTRY'!$Q62)</f>
        <v/>
      </c>
    </row>
    <row r="63" ht="16" customHeight="1">
      <c r="A63" s="40">
        <f>IF('1. MASTER_ENTRY'!$C63="","",'1. MASTER_ENTRY'!$A63)</f>
        <v/>
      </c>
      <c r="B63" s="42">
        <f>IF('1. MASTER_ENTRY'!$C63="","",'1. MASTER_ENTRY'!$B63)</f>
        <v/>
      </c>
      <c r="C63" s="41">
        <f>IF('1. MASTER_ENTRY'!$C63="","","Apply "&amp;'1. MASTER_ENTRY'!$L63&amp;" to: "&amp;'1. MASTER_ENTRY'!$C63)</f>
        <v/>
      </c>
      <c r="D63" s="40">
        <f>IF('1. MASTER_ENTRY'!$C63="","",'1. MASTER_ENTRY'!$M63)</f>
        <v/>
      </c>
      <c r="E63" s="41">
        <f>IF('1. MASTER_ENTRY'!$C63="","",'1. MASTER_ENTRY'!$N63)</f>
        <v/>
      </c>
      <c r="F63" s="40">
        <f>IF('1. MASTER_ENTRY'!$C63="","",'1. MASTER_ENTRY'!$R63)</f>
        <v/>
      </c>
      <c r="G63" s="42">
        <f>IF('1. MASTER_ENTRY'!$C63="","",'1. MASTER_ENTRY'!$Q63)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2">
    <mergeCell ref="A2:G2"/>
    <mergeCell ref="A1:G1"/>
  </mergeCells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A1:AD65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4" customWidth="1" min="2" max="2"/>
    <col width="16" customWidth="1" min="3" max="3"/>
    <col width="11" customWidth="1" min="4" max="4"/>
    <col width="11" customWidth="1" min="5" max="5"/>
    <col width="8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</cols>
  <sheetData>
    <row r="1" ht="36" customHeight="1">
      <c r="A1" s="35" t="inlineStr">
        <is>
          <t xml:space="preserve">  TIMELINE / GANTT  -  schedule auto-drawn from each case</t>
        </is>
      </c>
    </row>
    <row r="2" ht="20" customHeight="1">
      <c r="A2" s="2" t="inlineStr">
        <is>
          <t xml:space="preserve">  Read-only. Start/end/duration AI-estimated on MASTER_ENTRY. Bars redraw automatically.</t>
        </is>
      </c>
    </row>
    <row r="3" ht="30" customHeight="1">
      <c r="A3" s="28" t="inlineStr">
        <is>
          <t>CASE ID</t>
        </is>
      </c>
      <c r="B3" s="28" t="inlineStr">
        <is>
          <t>TASK</t>
        </is>
      </c>
      <c r="C3" s="28" t="inlineStr">
        <is>
          <t>OWNER</t>
        </is>
      </c>
      <c r="D3" s="28" t="inlineStr">
        <is>
          <t>START</t>
        </is>
      </c>
      <c r="E3" s="28" t="inlineStr">
        <is>
          <t>END</t>
        </is>
      </c>
      <c r="F3" s="28" t="inlineStr">
        <is>
          <t>% DONE</t>
        </is>
      </c>
      <c r="G3" s="51">
        <f>DATE(2026,6,1)</f>
        <v/>
      </c>
      <c r="H3" s="51">
        <f>G3+7</f>
        <v/>
      </c>
      <c r="I3" s="51">
        <f>H3+7</f>
        <v/>
      </c>
      <c r="J3" s="51">
        <f>I3+7</f>
        <v/>
      </c>
      <c r="K3" s="51">
        <f>J3+7</f>
        <v/>
      </c>
      <c r="L3" s="51">
        <f>K3+7</f>
        <v/>
      </c>
      <c r="M3" s="51">
        <f>L3+7</f>
        <v/>
      </c>
      <c r="N3" s="51">
        <f>M3+7</f>
        <v/>
      </c>
      <c r="O3" s="51">
        <f>N3+7</f>
        <v/>
      </c>
      <c r="P3" s="51">
        <f>O3+7</f>
        <v/>
      </c>
      <c r="Q3" s="51">
        <f>P3+7</f>
        <v/>
      </c>
      <c r="R3" s="51">
        <f>Q3+7</f>
        <v/>
      </c>
      <c r="S3" s="51">
        <f>R3+7</f>
        <v/>
      </c>
      <c r="T3" s="51">
        <f>S3+7</f>
        <v/>
      </c>
      <c r="U3" s="51">
        <f>T3+7</f>
        <v/>
      </c>
      <c r="V3" s="51">
        <f>U3+7</f>
        <v/>
      </c>
      <c r="W3" s="51">
        <f>V3+7</f>
        <v/>
      </c>
      <c r="X3" s="51">
        <f>W3+7</f>
        <v/>
      </c>
      <c r="Y3" s="51">
        <f>X3+7</f>
        <v/>
      </c>
      <c r="Z3" s="51">
        <f>Y3+7</f>
        <v/>
      </c>
      <c r="AA3" s="51">
        <f>Z3+7</f>
        <v/>
      </c>
      <c r="AB3" s="51">
        <f>AA3+7</f>
        <v/>
      </c>
      <c r="AC3" s="51">
        <f>AB3+7</f>
        <v/>
      </c>
      <c r="AD3" s="51">
        <f>AC3+7</f>
        <v/>
      </c>
    </row>
    <row r="4" ht="15" customHeight="1">
      <c r="A4" s="36">
        <f>IF('1. MASTER_ENTRY'!$C4="","",'1. MASTER_ENTRY'!$A4)</f>
        <v/>
      </c>
      <c r="B4" s="37">
        <f>IF('1. MASTER_ENTRY'!$C4="","",'1. MASTER_ENTRY'!$C4)</f>
        <v/>
      </c>
      <c r="C4" s="36">
        <f>IF('1. MASTER_ENTRY'!$C4="","",'1. MASTER_ENTRY'!$M4)</f>
        <v/>
      </c>
      <c r="D4" s="38">
        <f>IF('1. MASTER_ENTRY'!$C4="","",'1. MASTER_ENTRY'!$O4)</f>
        <v/>
      </c>
      <c r="E4" s="38">
        <f>IF('1. MASTER_ENTRY'!$C4="","",'1. MASTER_ENTRY'!$Q4)</f>
        <v/>
      </c>
      <c r="F4" s="39">
        <f>IF('1. MASTER_ENTRY'!$C4="","",'1. MASTER_ENTRY'!$S4)</f>
        <v/>
      </c>
      <c r="G4" s="52" t="n"/>
      <c r="H4" s="52" t="n"/>
      <c r="I4" s="52" t="n"/>
      <c r="J4" s="52" t="n"/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  <c r="AA4" s="52" t="n"/>
      <c r="AB4" s="52" t="n"/>
      <c r="AC4" s="52" t="n"/>
      <c r="AD4" s="52" t="n"/>
    </row>
    <row r="5" ht="15" customHeight="1">
      <c r="A5" s="40">
        <f>IF('1. MASTER_ENTRY'!$C5="","",'1. MASTER_ENTRY'!$A5)</f>
        <v/>
      </c>
      <c r="B5" s="41">
        <f>IF('1. MASTER_ENTRY'!$C5="","",'1. MASTER_ENTRY'!$C5)</f>
        <v/>
      </c>
      <c r="C5" s="40">
        <f>IF('1. MASTER_ENTRY'!$C5="","",'1. MASTER_ENTRY'!$M5)</f>
        <v/>
      </c>
      <c r="D5" s="42">
        <f>IF('1. MASTER_ENTRY'!$C5="","",'1. MASTER_ENTRY'!$O5)</f>
        <v/>
      </c>
      <c r="E5" s="42">
        <f>IF('1. MASTER_ENTRY'!$C5="","",'1. MASTER_ENTRY'!$Q5)</f>
        <v/>
      </c>
      <c r="F5" s="43">
        <f>IF('1. MASTER_ENTRY'!$C5="","",'1. MASTER_ENTRY'!$S5)</f>
        <v/>
      </c>
      <c r="G5" s="52" t="n"/>
      <c r="H5" s="52" t="n"/>
      <c r="I5" s="52" t="n"/>
      <c r="J5" s="52" t="n"/>
      <c r="K5" s="52" t="n"/>
      <c r="L5" s="52" t="n"/>
      <c r="M5" s="52" t="n"/>
      <c r="N5" s="52" t="n"/>
      <c r="O5" s="52" t="n"/>
      <c r="P5" s="52" t="n"/>
      <c r="Q5" s="52" t="n"/>
      <c r="R5" s="52" t="n"/>
      <c r="S5" s="52" t="n"/>
      <c r="T5" s="52" t="n"/>
      <c r="U5" s="52" t="n"/>
      <c r="V5" s="52" t="n"/>
      <c r="W5" s="52" t="n"/>
      <c r="X5" s="52" t="n"/>
      <c r="Y5" s="52" t="n"/>
      <c r="Z5" s="52" t="n"/>
      <c r="AA5" s="52" t="n"/>
      <c r="AB5" s="52" t="n"/>
      <c r="AC5" s="52" t="n"/>
      <c r="AD5" s="52" t="n"/>
    </row>
    <row r="6" ht="15" customHeight="1">
      <c r="A6" s="36">
        <f>IF('1. MASTER_ENTRY'!$C6="","",'1. MASTER_ENTRY'!$A6)</f>
        <v/>
      </c>
      <c r="B6" s="37">
        <f>IF('1. MASTER_ENTRY'!$C6="","",'1. MASTER_ENTRY'!$C6)</f>
        <v/>
      </c>
      <c r="C6" s="36">
        <f>IF('1. MASTER_ENTRY'!$C6="","",'1. MASTER_ENTRY'!$M6)</f>
        <v/>
      </c>
      <c r="D6" s="38">
        <f>IF('1. MASTER_ENTRY'!$C6="","",'1. MASTER_ENTRY'!$O6)</f>
        <v/>
      </c>
      <c r="E6" s="38">
        <f>IF('1. MASTER_ENTRY'!$C6="","",'1. MASTER_ENTRY'!$Q6)</f>
        <v/>
      </c>
      <c r="F6" s="39">
        <f>IF('1. MASTER_ENTRY'!$C6="","",'1. MASTER_ENTRY'!$S6)</f>
        <v/>
      </c>
      <c r="G6" s="52" t="n"/>
      <c r="H6" s="52" t="n"/>
      <c r="I6" s="52" t="n"/>
      <c r="J6" s="52" t="n"/>
      <c r="K6" s="52" t="n"/>
      <c r="L6" s="52" t="n"/>
      <c r="M6" s="52" t="n"/>
      <c r="N6" s="52" t="n"/>
      <c r="O6" s="52" t="n"/>
      <c r="P6" s="52" t="n"/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  <c r="AA6" s="52" t="n"/>
      <c r="AB6" s="52" t="n"/>
      <c r="AC6" s="52" t="n"/>
      <c r="AD6" s="52" t="n"/>
    </row>
    <row r="7" ht="15" customHeight="1">
      <c r="A7" s="40">
        <f>IF('1. MASTER_ENTRY'!$C7="","",'1. MASTER_ENTRY'!$A7)</f>
        <v/>
      </c>
      <c r="B7" s="41">
        <f>IF('1. MASTER_ENTRY'!$C7="","",'1. MASTER_ENTRY'!$C7)</f>
        <v/>
      </c>
      <c r="C7" s="40">
        <f>IF('1. MASTER_ENTRY'!$C7="","",'1. MASTER_ENTRY'!$M7)</f>
        <v/>
      </c>
      <c r="D7" s="42">
        <f>IF('1. MASTER_ENTRY'!$C7="","",'1. MASTER_ENTRY'!$O7)</f>
        <v/>
      </c>
      <c r="E7" s="42">
        <f>IF('1. MASTER_ENTRY'!$C7="","",'1. MASTER_ENTRY'!$Q7)</f>
        <v/>
      </c>
      <c r="F7" s="43">
        <f>IF('1. MASTER_ENTRY'!$C7="","",'1. MASTER_ENTRY'!$S7)</f>
        <v/>
      </c>
      <c r="G7" s="52" t="n"/>
      <c r="H7" s="52" t="n"/>
      <c r="I7" s="52" t="n"/>
      <c r="J7" s="52" t="n"/>
      <c r="K7" s="52" t="n"/>
      <c r="L7" s="52" t="n"/>
      <c r="M7" s="52" t="n"/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  <c r="AA7" s="52" t="n"/>
      <c r="AB7" s="52" t="n"/>
      <c r="AC7" s="52" t="n"/>
      <c r="AD7" s="52" t="n"/>
    </row>
    <row r="8" ht="15" customHeight="1">
      <c r="A8" s="36">
        <f>IF('1. MASTER_ENTRY'!$C8="","",'1. MASTER_ENTRY'!$A8)</f>
        <v/>
      </c>
      <c r="B8" s="37">
        <f>IF('1. MASTER_ENTRY'!$C8="","",'1. MASTER_ENTRY'!$C8)</f>
        <v/>
      </c>
      <c r="C8" s="36">
        <f>IF('1. MASTER_ENTRY'!$C8="","",'1. MASTER_ENTRY'!$M8)</f>
        <v/>
      </c>
      <c r="D8" s="38">
        <f>IF('1. MASTER_ENTRY'!$C8="","",'1. MASTER_ENTRY'!$O8)</f>
        <v/>
      </c>
      <c r="E8" s="38">
        <f>IF('1. MASTER_ENTRY'!$C8="","",'1. MASTER_ENTRY'!$Q8)</f>
        <v/>
      </c>
      <c r="F8" s="39">
        <f>IF('1. MASTER_ENTRY'!$C8="","",'1. MASTER_ENTRY'!$S8)</f>
        <v/>
      </c>
      <c r="G8" s="52" t="n"/>
      <c r="H8" s="52" t="n"/>
      <c r="I8" s="52" t="n"/>
      <c r="J8" s="52" t="n"/>
      <c r="K8" s="52" t="n"/>
      <c r="L8" s="52" t="n"/>
      <c r="M8" s="52" t="n"/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  <c r="AA8" s="52" t="n"/>
      <c r="AB8" s="52" t="n"/>
      <c r="AC8" s="52" t="n"/>
      <c r="AD8" s="52" t="n"/>
    </row>
    <row r="9" ht="15" customHeight="1">
      <c r="A9" s="40">
        <f>IF('1. MASTER_ENTRY'!$C9="","",'1. MASTER_ENTRY'!$A9)</f>
        <v/>
      </c>
      <c r="B9" s="41">
        <f>IF('1. MASTER_ENTRY'!$C9="","",'1. MASTER_ENTRY'!$C9)</f>
        <v/>
      </c>
      <c r="C9" s="40">
        <f>IF('1. MASTER_ENTRY'!$C9="","",'1. MASTER_ENTRY'!$M9)</f>
        <v/>
      </c>
      <c r="D9" s="42">
        <f>IF('1. MASTER_ENTRY'!$C9="","",'1. MASTER_ENTRY'!$O9)</f>
        <v/>
      </c>
      <c r="E9" s="42">
        <f>IF('1. MASTER_ENTRY'!$C9="","",'1. MASTER_ENTRY'!$Q9)</f>
        <v/>
      </c>
      <c r="F9" s="43">
        <f>IF('1. MASTER_ENTRY'!$C9="","",'1. MASTER_ENTRY'!$S9)</f>
        <v/>
      </c>
      <c r="G9" s="52" t="n"/>
      <c r="H9" s="52" t="n"/>
      <c r="I9" s="52" t="n"/>
      <c r="J9" s="52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  <c r="AA9" s="52" t="n"/>
      <c r="AB9" s="52" t="n"/>
      <c r="AC9" s="52" t="n"/>
      <c r="AD9" s="52" t="n"/>
    </row>
    <row r="10" ht="15" customHeight="1">
      <c r="A10" s="36">
        <f>IF('1. MASTER_ENTRY'!$C10="","",'1. MASTER_ENTRY'!$A10)</f>
        <v/>
      </c>
      <c r="B10" s="37">
        <f>IF('1. MASTER_ENTRY'!$C10="","",'1. MASTER_ENTRY'!$C10)</f>
        <v/>
      </c>
      <c r="C10" s="36">
        <f>IF('1. MASTER_ENTRY'!$C10="","",'1. MASTER_ENTRY'!$M10)</f>
        <v/>
      </c>
      <c r="D10" s="38">
        <f>IF('1. MASTER_ENTRY'!$C10="","",'1. MASTER_ENTRY'!$O10)</f>
        <v/>
      </c>
      <c r="E10" s="38">
        <f>IF('1. MASTER_ENTRY'!$C10="","",'1. MASTER_ENTRY'!$Q10)</f>
        <v/>
      </c>
      <c r="F10" s="39">
        <f>IF('1. MASTER_ENTRY'!$C10="","",'1. MASTER_ENTRY'!$S10)</f>
        <v/>
      </c>
      <c r="G10" s="52" t="n"/>
      <c r="H10" s="52" t="n"/>
      <c r="I10" s="52" t="n"/>
      <c r="J10" s="52" t="n"/>
      <c r="K10" s="52" t="n"/>
      <c r="L10" s="52" t="n"/>
      <c r="M10" s="52" t="n"/>
      <c r="N10" s="52" t="n"/>
      <c r="O10" s="52" t="n"/>
      <c r="P10" s="52" t="n"/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  <c r="AA10" s="52" t="n"/>
      <c r="AB10" s="52" t="n"/>
      <c r="AC10" s="52" t="n"/>
      <c r="AD10" s="52" t="n"/>
    </row>
    <row r="11" ht="15" customHeight="1">
      <c r="A11" s="40">
        <f>IF('1. MASTER_ENTRY'!$C11="","",'1. MASTER_ENTRY'!$A11)</f>
        <v/>
      </c>
      <c r="B11" s="41">
        <f>IF('1. MASTER_ENTRY'!$C11="","",'1. MASTER_ENTRY'!$C11)</f>
        <v/>
      </c>
      <c r="C11" s="40">
        <f>IF('1. MASTER_ENTRY'!$C11="","",'1. MASTER_ENTRY'!$M11)</f>
        <v/>
      </c>
      <c r="D11" s="42">
        <f>IF('1. MASTER_ENTRY'!$C11="","",'1. MASTER_ENTRY'!$O11)</f>
        <v/>
      </c>
      <c r="E11" s="42">
        <f>IF('1. MASTER_ENTRY'!$C11="","",'1. MASTER_ENTRY'!$Q11)</f>
        <v/>
      </c>
      <c r="F11" s="43">
        <f>IF('1. MASTER_ENTRY'!$C11="","",'1. MASTER_ENTRY'!$S11)</f>
        <v/>
      </c>
      <c r="G11" s="52" t="n"/>
      <c r="H11" s="52" t="n"/>
      <c r="I11" s="52" t="n"/>
      <c r="J11" s="52" t="n"/>
      <c r="K11" s="52" t="n"/>
      <c r="L11" s="52" t="n"/>
      <c r="M11" s="52" t="n"/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n"/>
      <c r="W11" s="52" t="n"/>
      <c r="X11" s="52" t="n"/>
      <c r="Y11" s="52" t="n"/>
      <c r="Z11" s="52" t="n"/>
      <c r="AA11" s="52" t="n"/>
      <c r="AB11" s="52" t="n"/>
      <c r="AC11" s="52" t="n"/>
      <c r="AD11" s="52" t="n"/>
    </row>
    <row r="12" ht="15" customHeight="1">
      <c r="A12" s="36">
        <f>IF('1. MASTER_ENTRY'!$C12="","",'1. MASTER_ENTRY'!$A12)</f>
        <v/>
      </c>
      <c r="B12" s="37">
        <f>IF('1. MASTER_ENTRY'!$C12="","",'1. MASTER_ENTRY'!$C12)</f>
        <v/>
      </c>
      <c r="C12" s="36">
        <f>IF('1. MASTER_ENTRY'!$C12="","",'1. MASTER_ENTRY'!$M12)</f>
        <v/>
      </c>
      <c r="D12" s="38">
        <f>IF('1. MASTER_ENTRY'!$C12="","",'1. MASTER_ENTRY'!$O12)</f>
        <v/>
      </c>
      <c r="E12" s="38">
        <f>IF('1. MASTER_ENTRY'!$C12="","",'1. MASTER_ENTRY'!$Q12)</f>
        <v/>
      </c>
      <c r="F12" s="39">
        <f>IF('1. MASTER_ENTRY'!$C12="","",'1. MASTER_ENTRY'!$S12)</f>
        <v/>
      </c>
      <c r="G12" s="52" t="n"/>
      <c r="H12" s="52" t="n"/>
      <c r="I12" s="52" t="n"/>
      <c r="J12" s="52" t="n"/>
      <c r="K12" s="52" t="n"/>
      <c r="L12" s="52" t="n"/>
      <c r="M12" s="52" t="n"/>
      <c r="N12" s="52" t="n"/>
      <c r="O12" s="52" t="n"/>
      <c r="P12" s="52" t="n"/>
      <c r="Q12" s="52" t="n"/>
      <c r="R12" s="52" t="n"/>
      <c r="S12" s="52" t="n"/>
      <c r="T12" s="52" t="n"/>
      <c r="U12" s="52" t="n"/>
      <c r="V12" s="52" t="n"/>
      <c r="W12" s="52" t="n"/>
      <c r="X12" s="52" t="n"/>
      <c r="Y12" s="52" t="n"/>
      <c r="Z12" s="52" t="n"/>
      <c r="AA12" s="52" t="n"/>
      <c r="AB12" s="52" t="n"/>
      <c r="AC12" s="52" t="n"/>
      <c r="AD12" s="52" t="n"/>
    </row>
    <row r="13" ht="15" customHeight="1">
      <c r="A13" s="40">
        <f>IF('1. MASTER_ENTRY'!$C13="","",'1. MASTER_ENTRY'!$A13)</f>
        <v/>
      </c>
      <c r="B13" s="41">
        <f>IF('1. MASTER_ENTRY'!$C13="","",'1. MASTER_ENTRY'!$C13)</f>
        <v/>
      </c>
      <c r="C13" s="40">
        <f>IF('1. MASTER_ENTRY'!$C13="","",'1. MASTER_ENTRY'!$M13)</f>
        <v/>
      </c>
      <c r="D13" s="42">
        <f>IF('1. MASTER_ENTRY'!$C13="","",'1. MASTER_ENTRY'!$O13)</f>
        <v/>
      </c>
      <c r="E13" s="42">
        <f>IF('1. MASTER_ENTRY'!$C13="","",'1. MASTER_ENTRY'!$Q13)</f>
        <v/>
      </c>
      <c r="F13" s="43">
        <f>IF('1. MASTER_ENTRY'!$C13="","",'1. MASTER_ENTRY'!$S13)</f>
        <v/>
      </c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  <c r="AA13" s="52" t="n"/>
      <c r="AB13" s="52" t="n"/>
      <c r="AC13" s="52" t="n"/>
      <c r="AD13" s="52" t="n"/>
    </row>
    <row r="14" ht="15" customHeight="1">
      <c r="A14" s="36">
        <f>IF('1. MASTER_ENTRY'!$C14="","",'1. MASTER_ENTRY'!$A14)</f>
        <v/>
      </c>
      <c r="B14" s="37">
        <f>IF('1. MASTER_ENTRY'!$C14="","",'1. MASTER_ENTRY'!$C14)</f>
        <v/>
      </c>
      <c r="C14" s="36">
        <f>IF('1. MASTER_ENTRY'!$C14="","",'1. MASTER_ENTRY'!$M14)</f>
        <v/>
      </c>
      <c r="D14" s="38">
        <f>IF('1. MASTER_ENTRY'!$C14="","",'1. MASTER_ENTRY'!$O14)</f>
        <v/>
      </c>
      <c r="E14" s="38">
        <f>IF('1. MASTER_ENTRY'!$C14="","",'1. MASTER_ENTRY'!$Q14)</f>
        <v/>
      </c>
      <c r="F14" s="39">
        <f>IF('1. MASTER_ENTRY'!$C14="","",'1. MASTER_ENTRY'!$S14)</f>
        <v/>
      </c>
      <c r="G14" s="52" t="n"/>
      <c r="H14" s="52" t="n"/>
      <c r="I14" s="52" t="n"/>
      <c r="J14" s="52" t="n"/>
      <c r="K14" s="52" t="n"/>
      <c r="L14" s="52" t="n"/>
      <c r="M14" s="52" t="n"/>
      <c r="N14" s="52" t="n"/>
      <c r="O14" s="52" t="n"/>
      <c r="P14" s="52" t="n"/>
      <c r="Q14" s="52" t="n"/>
      <c r="R14" s="52" t="n"/>
      <c r="S14" s="52" t="n"/>
      <c r="T14" s="52" t="n"/>
      <c r="U14" s="52" t="n"/>
      <c r="V14" s="52" t="n"/>
      <c r="W14" s="52" t="n"/>
      <c r="X14" s="52" t="n"/>
      <c r="Y14" s="52" t="n"/>
      <c r="Z14" s="52" t="n"/>
      <c r="AA14" s="52" t="n"/>
      <c r="AB14" s="52" t="n"/>
      <c r="AC14" s="52" t="n"/>
      <c r="AD14" s="52" t="n"/>
    </row>
    <row r="15" ht="15" customHeight="1">
      <c r="A15" s="40">
        <f>IF('1. MASTER_ENTRY'!$C15="","",'1. MASTER_ENTRY'!$A15)</f>
        <v/>
      </c>
      <c r="B15" s="41">
        <f>IF('1. MASTER_ENTRY'!$C15="","",'1. MASTER_ENTRY'!$C15)</f>
        <v/>
      </c>
      <c r="C15" s="40">
        <f>IF('1. MASTER_ENTRY'!$C15="","",'1. MASTER_ENTRY'!$M15)</f>
        <v/>
      </c>
      <c r="D15" s="42">
        <f>IF('1. MASTER_ENTRY'!$C15="","",'1. MASTER_ENTRY'!$O15)</f>
        <v/>
      </c>
      <c r="E15" s="42">
        <f>IF('1. MASTER_ENTRY'!$C15="","",'1. MASTER_ENTRY'!$Q15)</f>
        <v/>
      </c>
      <c r="F15" s="43">
        <f>IF('1. MASTER_ENTRY'!$C15="","",'1. MASTER_ENTRY'!$S15)</f>
        <v/>
      </c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  <c r="AA15" s="52" t="n"/>
      <c r="AB15" s="52" t="n"/>
      <c r="AC15" s="52" t="n"/>
      <c r="AD15" s="52" t="n"/>
    </row>
    <row r="16" ht="15" customHeight="1">
      <c r="A16" s="36">
        <f>IF('1. MASTER_ENTRY'!$C16="","",'1. MASTER_ENTRY'!$A16)</f>
        <v/>
      </c>
      <c r="B16" s="37">
        <f>IF('1. MASTER_ENTRY'!$C16="","",'1. MASTER_ENTRY'!$C16)</f>
        <v/>
      </c>
      <c r="C16" s="36">
        <f>IF('1. MASTER_ENTRY'!$C16="","",'1. MASTER_ENTRY'!$M16)</f>
        <v/>
      </c>
      <c r="D16" s="38">
        <f>IF('1. MASTER_ENTRY'!$C16="","",'1. MASTER_ENTRY'!$O16)</f>
        <v/>
      </c>
      <c r="E16" s="38">
        <f>IF('1. MASTER_ENTRY'!$C16="","",'1. MASTER_ENTRY'!$Q16)</f>
        <v/>
      </c>
      <c r="F16" s="39">
        <f>IF('1. MASTER_ENTRY'!$C16="","",'1. MASTER_ENTRY'!$S16)</f>
        <v/>
      </c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  <c r="AA16" s="52" t="n"/>
      <c r="AB16" s="52" t="n"/>
      <c r="AC16" s="52" t="n"/>
      <c r="AD16" s="52" t="n"/>
    </row>
    <row r="17" ht="15" customHeight="1">
      <c r="A17" s="40">
        <f>IF('1. MASTER_ENTRY'!$C17="","",'1. MASTER_ENTRY'!$A17)</f>
        <v/>
      </c>
      <c r="B17" s="41">
        <f>IF('1. MASTER_ENTRY'!$C17="","",'1. MASTER_ENTRY'!$C17)</f>
        <v/>
      </c>
      <c r="C17" s="40">
        <f>IF('1. MASTER_ENTRY'!$C17="","",'1. MASTER_ENTRY'!$M17)</f>
        <v/>
      </c>
      <c r="D17" s="42">
        <f>IF('1. MASTER_ENTRY'!$C17="","",'1. MASTER_ENTRY'!$O17)</f>
        <v/>
      </c>
      <c r="E17" s="42">
        <f>IF('1. MASTER_ENTRY'!$C17="","",'1. MASTER_ENTRY'!$Q17)</f>
        <v/>
      </c>
      <c r="F17" s="43">
        <f>IF('1. MASTER_ENTRY'!$C17="","",'1. MASTER_ENTRY'!$S17)</f>
        <v/>
      </c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  <c r="AA17" s="52" t="n"/>
      <c r="AB17" s="52" t="n"/>
      <c r="AC17" s="52" t="n"/>
      <c r="AD17" s="52" t="n"/>
    </row>
    <row r="18" ht="15" customHeight="1">
      <c r="A18" s="36">
        <f>IF('1. MASTER_ENTRY'!$C18="","",'1. MASTER_ENTRY'!$A18)</f>
        <v/>
      </c>
      <c r="B18" s="37">
        <f>IF('1. MASTER_ENTRY'!$C18="","",'1. MASTER_ENTRY'!$C18)</f>
        <v/>
      </c>
      <c r="C18" s="36">
        <f>IF('1. MASTER_ENTRY'!$C18="","",'1. MASTER_ENTRY'!$M18)</f>
        <v/>
      </c>
      <c r="D18" s="38">
        <f>IF('1. MASTER_ENTRY'!$C18="","",'1. MASTER_ENTRY'!$O18)</f>
        <v/>
      </c>
      <c r="E18" s="38">
        <f>IF('1. MASTER_ENTRY'!$C18="","",'1. MASTER_ENTRY'!$Q18)</f>
        <v/>
      </c>
      <c r="F18" s="39">
        <f>IF('1. MASTER_ENTRY'!$C18="","",'1. MASTER_ENTRY'!$S18)</f>
        <v/>
      </c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  <c r="AA18" s="52" t="n"/>
      <c r="AB18" s="52" t="n"/>
      <c r="AC18" s="52" t="n"/>
      <c r="AD18" s="52" t="n"/>
    </row>
    <row r="19" ht="15" customHeight="1">
      <c r="A19" s="40">
        <f>IF('1. MASTER_ENTRY'!$C19="","",'1. MASTER_ENTRY'!$A19)</f>
        <v/>
      </c>
      <c r="B19" s="41">
        <f>IF('1. MASTER_ENTRY'!$C19="","",'1. MASTER_ENTRY'!$C19)</f>
        <v/>
      </c>
      <c r="C19" s="40">
        <f>IF('1. MASTER_ENTRY'!$C19="","",'1. MASTER_ENTRY'!$M19)</f>
        <v/>
      </c>
      <c r="D19" s="42">
        <f>IF('1. MASTER_ENTRY'!$C19="","",'1. MASTER_ENTRY'!$O19)</f>
        <v/>
      </c>
      <c r="E19" s="42">
        <f>IF('1. MASTER_ENTRY'!$C19="","",'1. MASTER_ENTRY'!$Q19)</f>
        <v/>
      </c>
      <c r="F19" s="43">
        <f>IF('1. MASTER_ENTRY'!$C19="","",'1. MASTER_ENTRY'!$S19)</f>
        <v/>
      </c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  <c r="AA19" s="52" t="n"/>
      <c r="AB19" s="52" t="n"/>
      <c r="AC19" s="52" t="n"/>
      <c r="AD19" s="52" t="n"/>
    </row>
    <row r="20" ht="15" customHeight="1">
      <c r="A20" s="36">
        <f>IF('1. MASTER_ENTRY'!$C20="","",'1. MASTER_ENTRY'!$A20)</f>
        <v/>
      </c>
      <c r="B20" s="37">
        <f>IF('1. MASTER_ENTRY'!$C20="","",'1. MASTER_ENTRY'!$C20)</f>
        <v/>
      </c>
      <c r="C20" s="36">
        <f>IF('1. MASTER_ENTRY'!$C20="","",'1. MASTER_ENTRY'!$M20)</f>
        <v/>
      </c>
      <c r="D20" s="38">
        <f>IF('1. MASTER_ENTRY'!$C20="","",'1. MASTER_ENTRY'!$O20)</f>
        <v/>
      </c>
      <c r="E20" s="38">
        <f>IF('1. MASTER_ENTRY'!$C20="","",'1. MASTER_ENTRY'!$Q20)</f>
        <v/>
      </c>
      <c r="F20" s="39">
        <f>IF('1. MASTER_ENTRY'!$C20="","",'1. MASTER_ENTRY'!$S20)</f>
        <v/>
      </c>
      <c r="G20" s="52" t="n"/>
      <c r="H20" s="52" t="n"/>
      <c r="I20" s="52" t="n"/>
      <c r="J20" s="52" t="n"/>
      <c r="K20" s="52" t="n"/>
      <c r="L20" s="52" t="n"/>
      <c r="M20" s="52" t="n"/>
      <c r="N20" s="52" t="n"/>
      <c r="O20" s="52" t="n"/>
      <c r="P20" s="52" t="n"/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  <c r="AA20" s="52" t="n"/>
      <c r="AB20" s="52" t="n"/>
      <c r="AC20" s="52" t="n"/>
      <c r="AD20" s="52" t="n"/>
    </row>
    <row r="21" ht="15" customHeight="1">
      <c r="A21" s="40">
        <f>IF('1. MASTER_ENTRY'!$C21="","",'1. MASTER_ENTRY'!$A21)</f>
        <v/>
      </c>
      <c r="B21" s="41">
        <f>IF('1. MASTER_ENTRY'!$C21="","",'1. MASTER_ENTRY'!$C21)</f>
        <v/>
      </c>
      <c r="C21" s="40">
        <f>IF('1. MASTER_ENTRY'!$C21="","",'1. MASTER_ENTRY'!$M21)</f>
        <v/>
      </c>
      <c r="D21" s="42">
        <f>IF('1. MASTER_ENTRY'!$C21="","",'1. MASTER_ENTRY'!$O21)</f>
        <v/>
      </c>
      <c r="E21" s="42">
        <f>IF('1. MASTER_ENTRY'!$C21="","",'1. MASTER_ENTRY'!$Q21)</f>
        <v/>
      </c>
      <c r="F21" s="43">
        <f>IF('1. MASTER_ENTRY'!$C21="","",'1. MASTER_ENTRY'!$S21)</f>
        <v/>
      </c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  <c r="AA21" s="52" t="n"/>
      <c r="AB21" s="52" t="n"/>
      <c r="AC21" s="52" t="n"/>
      <c r="AD21" s="52" t="n"/>
    </row>
    <row r="22" ht="15" customHeight="1">
      <c r="A22" s="36">
        <f>IF('1. MASTER_ENTRY'!$C22="","",'1. MASTER_ENTRY'!$A22)</f>
        <v/>
      </c>
      <c r="B22" s="37">
        <f>IF('1. MASTER_ENTRY'!$C22="","",'1. MASTER_ENTRY'!$C22)</f>
        <v/>
      </c>
      <c r="C22" s="36">
        <f>IF('1. MASTER_ENTRY'!$C22="","",'1. MASTER_ENTRY'!$M22)</f>
        <v/>
      </c>
      <c r="D22" s="38">
        <f>IF('1. MASTER_ENTRY'!$C22="","",'1. MASTER_ENTRY'!$O22)</f>
        <v/>
      </c>
      <c r="E22" s="38">
        <f>IF('1. MASTER_ENTRY'!$C22="","",'1. MASTER_ENTRY'!$Q22)</f>
        <v/>
      </c>
      <c r="F22" s="39">
        <f>IF('1. MASTER_ENTRY'!$C22="","",'1. MASTER_ENTRY'!$S22)</f>
        <v/>
      </c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  <c r="AA22" s="52" t="n"/>
      <c r="AB22" s="52" t="n"/>
      <c r="AC22" s="52" t="n"/>
      <c r="AD22" s="52" t="n"/>
    </row>
    <row r="23" ht="15" customHeight="1">
      <c r="A23" s="40">
        <f>IF('1. MASTER_ENTRY'!$C23="","",'1. MASTER_ENTRY'!$A23)</f>
        <v/>
      </c>
      <c r="B23" s="41">
        <f>IF('1. MASTER_ENTRY'!$C23="","",'1. MASTER_ENTRY'!$C23)</f>
        <v/>
      </c>
      <c r="C23" s="40">
        <f>IF('1. MASTER_ENTRY'!$C23="","",'1. MASTER_ENTRY'!$M23)</f>
        <v/>
      </c>
      <c r="D23" s="42">
        <f>IF('1. MASTER_ENTRY'!$C23="","",'1. MASTER_ENTRY'!$O23)</f>
        <v/>
      </c>
      <c r="E23" s="42">
        <f>IF('1. MASTER_ENTRY'!$C23="","",'1. MASTER_ENTRY'!$Q23)</f>
        <v/>
      </c>
      <c r="F23" s="43">
        <f>IF('1. MASTER_ENTRY'!$C23="","",'1. MASTER_ENTRY'!$S23)</f>
        <v/>
      </c>
      <c r="G23" s="52" t="n"/>
      <c r="H23" s="52" t="n"/>
      <c r="I23" s="52" t="n"/>
      <c r="J23" s="52" t="n"/>
      <c r="K23" s="52" t="n"/>
      <c r="L23" s="52" t="n"/>
      <c r="M23" s="52" t="n"/>
      <c r="N23" s="52" t="n"/>
      <c r="O23" s="52" t="n"/>
      <c r="P23" s="52" t="n"/>
      <c r="Q23" s="52" t="n"/>
      <c r="R23" s="52" t="n"/>
      <c r="S23" s="52" t="n"/>
      <c r="T23" s="52" t="n"/>
      <c r="U23" s="52" t="n"/>
      <c r="V23" s="52" t="n"/>
      <c r="W23" s="52" t="n"/>
      <c r="X23" s="52" t="n"/>
      <c r="Y23" s="52" t="n"/>
      <c r="Z23" s="52" t="n"/>
      <c r="AA23" s="52" t="n"/>
      <c r="AB23" s="52" t="n"/>
      <c r="AC23" s="52" t="n"/>
      <c r="AD23" s="52" t="n"/>
    </row>
    <row r="24" ht="15" customHeight="1">
      <c r="A24" s="36">
        <f>IF('1. MASTER_ENTRY'!$C24="","",'1. MASTER_ENTRY'!$A24)</f>
        <v/>
      </c>
      <c r="B24" s="37">
        <f>IF('1. MASTER_ENTRY'!$C24="","",'1. MASTER_ENTRY'!$C24)</f>
        <v/>
      </c>
      <c r="C24" s="36">
        <f>IF('1. MASTER_ENTRY'!$C24="","",'1. MASTER_ENTRY'!$M24)</f>
        <v/>
      </c>
      <c r="D24" s="38">
        <f>IF('1. MASTER_ENTRY'!$C24="","",'1. MASTER_ENTRY'!$O24)</f>
        <v/>
      </c>
      <c r="E24" s="38">
        <f>IF('1. MASTER_ENTRY'!$C24="","",'1. MASTER_ENTRY'!$Q24)</f>
        <v/>
      </c>
      <c r="F24" s="39">
        <f>IF('1. MASTER_ENTRY'!$C24="","",'1. MASTER_ENTRY'!$S24)</f>
        <v/>
      </c>
      <c r="G24" s="52" t="n"/>
      <c r="H24" s="52" t="n"/>
      <c r="I24" s="52" t="n"/>
      <c r="J24" s="52" t="n"/>
      <c r="K24" s="52" t="n"/>
      <c r="L24" s="52" t="n"/>
      <c r="M24" s="52" t="n"/>
      <c r="N24" s="52" t="n"/>
      <c r="O24" s="52" t="n"/>
      <c r="P24" s="52" t="n"/>
      <c r="Q24" s="52" t="n"/>
      <c r="R24" s="52" t="n"/>
      <c r="S24" s="52" t="n"/>
      <c r="T24" s="52" t="n"/>
      <c r="U24" s="52" t="n"/>
      <c r="V24" s="52" t="n"/>
      <c r="W24" s="52" t="n"/>
      <c r="X24" s="52" t="n"/>
      <c r="Y24" s="52" t="n"/>
      <c r="Z24" s="52" t="n"/>
      <c r="AA24" s="52" t="n"/>
      <c r="AB24" s="52" t="n"/>
      <c r="AC24" s="52" t="n"/>
      <c r="AD24" s="52" t="n"/>
    </row>
    <row r="25" ht="15" customHeight="1">
      <c r="A25" s="40">
        <f>IF('1. MASTER_ENTRY'!$C25="","",'1. MASTER_ENTRY'!$A25)</f>
        <v/>
      </c>
      <c r="B25" s="41">
        <f>IF('1. MASTER_ENTRY'!$C25="","",'1. MASTER_ENTRY'!$C25)</f>
        <v/>
      </c>
      <c r="C25" s="40">
        <f>IF('1. MASTER_ENTRY'!$C25="","",'1. MASTER_ENTRY'!$M25)</f>
        <v/>
      </c>
      <c r="D25" s="42">
        <f>IF('1. MASTER_ENTRY'!$C25="","",'1. MASTER_ENTRY'!$O25)</f>
        <v/>
      </c>
      <c r="E25" s="42">
        <f>IF('1. MASTER_ENTRY'!$C25="","",'1. MASTER_ENTRY'!$Q25)</f>
        <v/>
      </c>
      <c r="F25" s="43">
        <f>IF('1. MASTER_ENTRY'!$C25="","",'1. MASTER_ENTRY'!$S25)</f>
        <v/>
      </c>
      <c r="G25" s="52" t="n"/>
      <c r="H25" s="52" t="n"/>
      <c r="I25" s="52" t="n"/>
      <c r="J25" s="52" t="n"/>
      <c r="K25" s="52" t="n"/>
      <c r="L25" s="52" t="n"/>
      <c r="M25" s="52" t="n"/>
      <c r="N25" s="52" t="n"/>
      <c r="O25" s="52" t="n"/>
      <c r="P25" s="52" t="n"/>
      <c r="Q25" s="52" t="n"/>
      <c r="R25" s="52" t="n"/>
      <c r="S25" s="52" t="n"/>
      <c r="T25" s="52" t="n"/>
      <c r="U25" s="52" t="n"/>
      <c r="V25" s="52" t="n"/>
      <c r="W25" s="52" t="n"/>
      <c r="X25" s="52" t="n"/>
      <c r="Y25" s="52" t="n"/>
      <c r="Z25" s="52" t="n"/>
      <c r="AA25" s="52" t="n"/>
      <c r="AB25" s="52" t="n"/>
      <c r="AC25" s="52" t="n"/>
      <c r="AD25" s="52" t="n"/>
    </row>
    <row r="26" ht="15" customHeight="1">
      <c r="A26" s="36">
        <f>IF('1. MASTER_ENTRY'!$C26="","",'1. MASTER_ENTRY'!$A26)</f>
        <v/>
      </c>
      <c r="B26" s="37">
        <f>IF('1. MASTER_ENTRY'!$C26="","",'1. MASTER_ENTRY'!$C26)</f>
        <v/>
      </c>
      <c r="C26" s="36">
        <f>IF('1. MASTER_ENTRY'!$C26="","",'1. MASTER_ENTRY'!$M26)</f>
        <v/>
      </c>
      <c r="D26" s="38">
        <f>IF('1. MASTER_ENTRY'!$C26="","",'1. MASTER_ENTRY'!$O26)</f>
        <v/>
      </c>
      <c r="E26" s="38">
        <f>IF('1. MASTER_ENTRY'!$C26="","",'1. MASTER_ENTRY'!$Q26)</f>
        <v/>
      </c>
      <c r="F26" s="39">
        <f>IF('1. MASTER_ENTRY'!$C26="","",'1. MASTER_ENTRY'!$S26)</f>
        <v/>
      </c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</row>
    <row r="27" ht="15" customHeight="1">
      <c r="A27" s="40">
        <f>IF('1. MASTER_ENTRY'!$C27="","",'1. MASTER_ENTRY'!$A27)</f>
        <v/>
      </c>
      <c r="B27" s="41">
        <f>IF('1. MASTER_ENTRY'!$C27="","",'1. MASTER_ENTRY'!$C27)</f>
        <v/>
      </c>
      <c r="C27" s="40">
        <f>IF('1. MASTER_ENTRY'!$C27="","",'1. MASTER_ENTRY'!$M27)</f>
        <v/>
      </c>
      <c r="D27" s="42">
        <f>IF('1. MASTER_ENTRY'!$C27="","",'1. MASTER_ENTRY'!$O27)</f>
        <v/>
      </c>
      <c r="E27" s="42">
        <f>IF('1. MASTER_ENTRY'!$C27="","",'1. MASTER_ENTRY'!$Q27)</f>
        <v/>
      </c>
      <c r="F27" s="43">
        <f>IF('1. MASTER_ENTRY'!$C27="","",'1. MASTER_ENTRY'!$S27)</f>
        <v/>
      </c>
      <c r="G27" s="52" t="n"/>
      <c r="H27" s="52" t="n"/>
      <c r="I27" s="52" t="n"/>
      <c r="J27" s="52" t="n"/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</row>
    <row r="28" ht="15" customHeight="1">
      <c r="A28" s="36">
        <f>IF('1. MASTER_ENTRY'!$C28="","",'1. MASTER_ENTRY'!$A28)</f>
        <v/>
      </c>
      <c r="B28" s="37">
        <f>IF('1. MASTER_ENTRY'!$C28="","",'1. MASTER_ENTRY'!$C28)</f>
        <v/>
      </c>
      <c r="C28" s="36">
        <f>IF('1. MASTER_ENTRY'!$C28="","",'1. MASTER_ENTRY'!$M28)</f>
        <v/>
      </c>
      <c r="D28" s="38">
        <f>IF('1. MASTER_ENTRY'!$C28="","",'1. MASTER_ENTRY'!$O28)</f>
        <v/>
      </c>
      <c r="E28" s="38">
        <f>IF('1. MASTER_ENTRY'!$C28="","",'1. MASTER_ENTRY'!$Q28)</f>
        <v/>
      </c>
      <c r="F28" s="39">
        <f>IF('1. MASTER_ENTRY'!$C28="","",'1. MASTER_ENTRY'!$S28)</f>
        <v/>
      </c>
      <c r="G28" s="52" t="n"/>
      <c r="H28" s="52" t="n"/>
      <c r="I28" s="52" t="n"/>
      <c r="J28" s="52" t="n"/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</row>
    <row r="29" ht="15" customHeight="1">
      <c r="A29" s="40">
        <f>IF('1. MASTER_ENTRY'!$C29="","",'1. MASTER_ENTRY'!$A29)</f>
        <v/>
      </c>
      <c r="B29" s="41">
        <f>IF('1. MASTER_ENTRY'!$C29="","",'1. MASTER_ENTRY'!$C29)</f>
        <v/>
      </c>
      <c r="C29" s="40">
        <f>IF('1. MASTER_ENTRY'!$C29="","",'1. MASTER_ENTRY'!$M29)</f>
        <v/>
      </c>
      <c r="D29" s="42">
        <f>IF('1. MASTER_ENTRY'!$C29="","",'1. MASTER_ENTRY'!$O29)</f>
        <v/>
      </c>
      <c r="E29" s="42">
        <f>IF('1. MASTER_ENTRY'!$C29="","",'1. MASTER_ENTRY'!$Q29)</f>
        <v/>
      </c>
      <c r="F29" s="43">
        <f>IF('1. MASTER_ENTRY'!$C29="","",'1. MASTER_ENTRY'!$S29)</f>
        <v/>
      </c>
      <c r="G29" s="52" t="n"/>
      <c r="H29" s="52" t="n"/>
      <c r="I29" s="52" t="n"/>
      <c r="J29" s="52" t="n"/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</row>
    <row r="30" ht="15" customHeight="1">
      <c r="A30" s="36">
        <f>IF('1. MASTER_ENTRY'!$C30="","",'1. MASTER_ENTRY'!$A30)</f>
        <v/>
      </c>
      <c r="B30" s="37">
        <f>IF('1. MASTER_ENTRY'!$C30="","",'1. MASTER_ENTRY'!$C30)</f>
        <v/>
      </c>
      <c r="C30" s="36">
        <f>IF('1. MASTER_ENTRY'!$C30="","",'1. MASTER_ENTRY'!$M30)</f>
        <v/>
      </c>
      <c r="D30" s="38">
        <f>IF('1. MASTER_ENTRY'!$C30="","",'1. MASTER_ENTRY'!$O30)</f>
        <v/>
      </c>
      <c r="E30" s="38">
        <f>IF('1. MASTER_ENTRY'!$C30="","",'1. MASTER_ENTRY'!$Q30)</f>
        <v/>
      </c>
      <c r="F30" s="39">
        <f>IF('1. MASTER_ENTRY'!$C30="","",'1. MASTER_ENTRY'!$S30)</f>
        <v/>
      </c>
      <c r="G30" s="52" t="n"/>
      <c r="H30" s="52" t="n"/>
      <c r="I30" s="52" t="n"/>
      <c r="J30" s="52" t="n"/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</row>
    <row r="31" ht="15" customHeight="1">
      <c r="A31" s="40">
        <f>IF('1. MASTER_ENTRY'!$C31="","",'1. MASTER_ENTRY'!$A31)</f>
        <v/>
      </c>
      <c r="B31" s="41">
        <f>IF('1. MASTER_ENTRY'!$C31="","",'1. MASTER_ENTRY'!$C31)</f>
        <v/>
      </c>
      <c r="C31" s="40">
        <f>IF('1. MASTER_ENTRY'!$C31="","",'1. MASTER_ENTRY'!$M31)</f>
        <v/>
      </c>
      <c r="D31" s="42">
        <f>IF('1. MASTER_ENTRY'!$C31="","",'1. MASTER_ENTRY'!$O31)</f>
        <v/>
      </c>
      <c r="E31" s="42">
        <f>IF('1. MASTER_ENTRY'!$C31="","",'1. MASTER_ENTRY'!$Q31)</f>
        <v/>
      </c>
      <c r="F31" s="43">
        <f>IF('1. MASTER_ENTRY'!$C31="","",'1. MASTER_ENTRY'!$S31)</f>
        <v/>
      </c>
      <c r="G31" s="52" t="n"/>
      <c r="H31" s="52" t="n"/>
      <c r="I31" s="52" t="n"/>
      <c r="J31" s="52" t="n"/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</row>
    <row r="32" ht="15" customHeight="1">
      <c r="A32" s="36">
        <f>IF('1. MASTER_ENTRY'!$C32="","",'1. MASTER_ENTRY'!$A32)</f>
        <v/>
      </c>
      <c r="B32" s="37">
        <f>IF('1. MASTER_ENTRY'!$C32="","",'1. MASTER_ENTRY'!$C32)</f>
        <v/>
      </c>
      <c r="C32" s="36">
        <f>IF('1. MASTER_ENTRY'!$C32="","",'1. MASTER_ENTRY'!$M32)</f>
        <v/>
      </c>
      <c r="D32" s="38">
        <f>IF('1. MASTER_ENTRY'!$C32="","",'1. MASTER_ENTRY'!$O32)</f>
        <v/>
      </c>
      <c r="E32" s="38">
        <f>IF('1. MASTER_ENTRY'!$C32="","",'1. MASTER_ENTRY'!$Q32)</f>
        <v/>
      </c>
      <c r="F32" s="39">
        <f>IF('1. MASTER_ENTRY'!$C32="","",'1. MASTER_ENTRY'!$S32)</f>
        <v/>
      </c>
      <c r="G32" s="52" t="n"/>
      <c r="H32" s="52" t="n"/>
      <c r="I32" s="52" t="n"/>
      <c r="J32" s="52" t="n"/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</row>
    <row r="33" ht="15" customHeight="1">
      <c r="A33" s="40">
        <f>IF('1. MASTER_ENTRY'!$C33="","",'1. MASTER_ENTRY'!$A33)</f>
        <v/>
      </c>
      <c r="B33" s="41">
        <f>IF('1. MASTER_ENTRY'!$C33="","",'1. MASTER_ENTRY'!$C33)</f>
        <v/>
      </c>
      <c r="C33" s="40">
        <f>IF('1. MASTER_ENTRY'!$C33="","",'1. MASTER_ENTRY'!$M33)</f>
        <v/>
      </c>
      <c r="D33" s="42">
        <f>IF('1. MASTER_ENTRY'!$C33="","",'1. MASTER_ENTRY'!$O33)</f>
        <v/>
      </c>
      <c r="E33" s="42">
        <f>IF('1. MASTER_ENTRY'!$C33="","",'1. MASTER_ENTRY'!$Q33)</f>
        <v/>
      </c>
      <c r="F33" s="43">
        <f>IF('1. MASTER_ENTRY'!$C33="","",'1. MASTER_ENTRY'!$S33)</f>
        <v/>
      </c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</row>
    <row r="34" ht="15" customHeight="1">
      <c r="A34" s="36">
        <f>IF('1. MASTER_ENTRY'!$C34="","",'1. MASTER_ENTRY'!$A34)</f>
        <v/>
      </c>
      <c r="B34" s="37">
        <f>IF('1. MASTER_ENTRY'!$C34="","",'1. MASTER_ENTRY'!$C34)</f>
        <v/>
      </c>
      <c r="C34" s="36">
        <f>IF('1. MASTER_ENTRY'!$C34="","",'1. MASTER_ENTRY'!$M34)</f>
        <v/>
      </c>
      <c r="D34" s="38">
        <f>IF('1. MASTER_ENTRY'!$C34="","",'1. MASTER_ENTRY'!$O34)</f>
        <v/>
      </c>
      <c r="E34" s="38">
        <f>IF('1. MASTER_ENTRY'!$C34="","",'1. MASTER_ENTRY'!$Q34)</f>
        <v/>
      </c>
      <c r="F34" s="39">
        <f>IF('1. MASTER_ENTRY'!$C34="","",'1. MASTER_ENTRY'!$S34)</f>
        <v/>
      </c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</row>
    <row r="35" ht="15" customHeight="1">
      <c r="A35" s="40">
        <f>IF('1. MASTER_ENTRY'!$C35="","",'1. MASTER_ENTRY'!$A35)</f>
        <v/>
      </c>
      <c r="B35" s="41">
        <f>IF('1. MASTER_ENTRY'!$C35="","",'1. MASTER_ENTRY'!$C35)</f>
        <v/>
      </c>
      <c r="C35" s="40">
        <f>IF('1. MASTER_ENTRY'!$C35="","",'1. MASTER_ENTRY'!$M35)</f>
        <v/>
      </c>
      <c r="D35" s="42">
        <f>IF('1. MASTER_ENTRY'!$C35="","",'1. MASTER_ENTRY'!$O35)</f>
        <v/>
      </c>
      <c r="E35" s="42">
        <f>IF('1. MASTER_ENTRY'!$C35="","",'1. MASTER_ENTRY'!$Q35)</f>
        <v/>
      </c>
      <c r="F35" s="43">
        <f>IF('1. MASTER_ENTRY'!$C35="","",'1. MASTER_ENTRY'!$S35)</f>
        <v/>
      </c>
      <c r="G35" s="52" t="n"/>
      <c r="H35" s="52" t="n"/>
      <c r="I35" s="52" t="n"/>
      <c r="J35" s="52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</row>
    <row r="36" ht="15" customHeight="1">
      <c r="A36" s="36">
        <f>IF('1. MASTER_ENTRY'!$C36="","",'1. MASTER_ENTRY'!$A36)</f>
        <v/>
      </c>
      <c r="B36" s="37">
        <f>IF('1. MASTER_ENTRY'!$C36="","",'1. MASTER_ENTRY'!$C36)</f>
        <v/>
      </c>
      <c r="C36" s="36">
        <f>IF('1. MASTER_ENTRY'!$C36="","",'1. MASTER_ENTRY'!$M36)</f>
        <v/>
      </c>
      <c r="D36" s="38">
        <f>IF('1. MASTER_ENTRY'!$C36="","",'1. MASTER_ENTRY'!$O36)</f>
        <v/>
      </c>
      <c r="E36" s="38">
        <f>IF('1. MASTER_ENTRY'!$C36="","",'1. MASTER_ENTRY'!$Q36)</f>
        <v/>
      </c>
      <c r="F36" s="39">
        <f>IF('1. MASTER_ENTRY'!$C36="","",'1. MASTER_ENTRY'!$S36)</f>
        <v/>
      </c>
      <c r="G36" s="52" t="n"/>
      <c r="H36" s="52" t="n"/>
      <c r="I36" s="52" t="n"/>
      <c r="J36" s="52" t="n"/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</row>
    <row r="37" ht="15" customHeight="1">
      <c r="A37" s="40">
        <f>IF('1. MASTER_ENTRY'!$C37="","",'1. MASTER_ENTRY'!$A37)</f>
        <v/>
      </c>
      <c r="B37" s="41">
        <f>IF('1. MASTER_ENTRY'!$C37="","",'1. MASTER_ENTRY'!$C37)</f>
        <v/>
      </c>
      <c r="C37" s="40">
        <f>IF('1. MASTER_ENTRY'!$C37="","",'1. MASTER_ENTRY'!$M37)</f>
        <v/>
      </c>
      <c r="D37" s="42">
        <f>IF('1. MASTER_ENTRY'!$C37="","",'1. MASTER_ENTRY'!$O37)</f>
        <v/>
      </c>
      <c r="E37" s="42">
        <f>IF('1. MASTER_ENTRY'!$C37="","",'1. MASTER_ENTRY'!$Q37)</f>
        <v/>
      </c>
      <c r="F37" s="43">
        <f>IF('1. MASTER_ENTRY'!$C37="","",'1. MASTER_ENTRY'!$S37)</f>
        <v/>
      </c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</row>
    <row r="38" ht="15" customHeight="1">
      <c r="A38" s="36">
        <f>IF('1. MASTER_ENTRY'!$C38="","",'1. MASTER_ENTRY'!$A38)</f>
        <v/>
      </c>
      <c r="B38" s="37">
        <f>IF('1. MASTER_ENTRY'!$C38="","",'1. MASTER_ENTRY'!$C38)</f>
        <v/>
      </c>
      <c r="C38" s="36">
        <f>IF('1. MASTER_ENTRY'!$C38="","",'1. MASTER_ENTRY'!$M38)</f>
        <v/>
      </c>
      <c r="D38" s="38">
        <f>IF('1. MASTER_ENTRY'!$C38="","",'1. MASTER_ENTRY'!$O38)</f>
        <v/>
      </c>
      <c r="E38" s="38">
        <f>IF('1. MASTER_ENTRY'!$C38="","",'1. MASTER_ENTRY'!$Q38)</f>
        <v/>
      </c>
      <c r="F38" s="39">
        <f>IF('1. MASTER_ENTRY'!$C38="","",'1. MASTER_ENTRY'!$S38)</f>
        <v/>
      </c>
      <c r="G38" s="52" t="n"/>
      <c r="H38" s="52" t="n"/>
      <c r="I38" s="52" t="n"/>
      <c r="J38" s="52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</row>
    <row r="39" ht="15" customHeight="1">
      <c r="A39" s="40">
        <f>IF('1. MASTER_ENTRY'!$C39="","",'1. MASTER_ENTRY'!$A39)</f>
        <v/>
      </c>
      <c r="B39" s="41">
        <f>IF('1. MASTER_ENTRY'!$C39="","",'1. MASTER_ENTRY'!$C39)</f>
        <v/>
      </c>
      <c r="C39" s="40">
        <f>IF('1. MASTER_ENTRY'!$C39="","",'1. MASTER_ENTRY'!$M39)</f>
        <v/>
      </c>
      <c r="D39" s="42">
        <f>IF('1. MASTER_ENTRY'!$C39="","",'1. MASTER_ENTRY'!$O39)</f>
        <v/>
      </c>
      <c r="E39" s="42">
        <f>IF('1. MASTER_ENTRY'!$C39="","",'1. MASTER_ENTRY'!$Q39)</f>
        <v/>
      </c>
      <c r="F39" s="43">
        <f>IF('1. MASTER_ENTRY'!$C39="","",'1. MASTER_ENTRY'!$S39)</f>
        <v/>
      </c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</row>
    <row r="40" ht="15" customHeight="1">
      <c r="A40" s="36">
        <f>IF('1. MASTER_ENTRY'!$C40="","",'1. MASTER_ENTRY'!$A40)</f>
        <v/>
      </c>
      <c r="B40" s="37">
        <f>IF('1. MASTER_ENTRY'!$C40="","",'1. MASTER_ENTRY'!$C40)</f>
        <v/>
      </c>
      <c r="C40" s="36">
        <f>IF('1. MASTER_ENTRY'!$C40="","",'1. MASTER_ENTRY'!$M40)</f>
        <v/>
      </c>
      <c r="D40" s="38">
        <f>IF('1. MASTER_ENTRY'!$C40="","",'1. MASTER_ENTRY'!$O40)</f>
        <v/>
      </c>
      <c r="E40" s="38">
        <f>IF('1. MASTER_ENTRY'!$C40="","",'1. MASTER_ENTRY'!$Q40)</f>
        <v/>
      </c>
      <c r="F40" s="39">
        <f>IF('1. MASTER_ENTRY'!$C40="","",'1. MASTER_ENTRY'!$S40)</f>
        <v/>
      </c>
      <c r="G40" s="52" t="n"/>
      <c r="H40" s="52" t="n"/>
      <c r="I40" s="52" t="n"/>
      <c r="J40" s="52" t="n"/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</row>
    <row r="41" ht="15" customHeight="1">
      <c r="A41" s="40">
        <f>IF('1. MASTER_ENTRY'!$C41="","",'1. MASTER_ENTRY'!$A41)</f>
        <v/>
      </c>
      <c r="B41" s="41">
        <f>IF('1. MASTER_ENTRY'!$C41="","",'1. MASTER_ENTRY'!$C41)</f>
        <v/>
      </c>
      <c r="C41" s="40">
        <f>IF('1. MASTER_ENTRY'!$C41="","",'1. MASTER_ENTRY'!$M41)</f>
        <v/>
      </c>
      <c r="D41" s="42">
        <f>IF('1. MASTER_ENTRY'!$C41="","",'1. MASTER_ENTRY'!$O41)</f>
        <v/>
      </c>
      <c r="E41" s="42">
        <f>IF('1. MASTER_ENTRY'!$C41="","",'1. MASTER_ENTRY'!$Q41)</f>
        <v/>
      </c>
      <c r="F41" s="43">
        <f>IF('1. MASTER_ENTRY'!$C41="","",'1. MASTER_ENTRY'!$S41)</f>
        <v/>
      </c>
      <c r="G41" s="52" t="n"/>
      <c r="H41" s="52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</row>
    <row r="42" ht="15" customHeight="1">
      <c r="A42" s="36">
        <f>IF('1. MASTER_ENTRY'!$C42="","",'1. MASTER_ENTRY'!$A42)</f>
        <v/>
      </c>
      <c r="B42" s="37">
        <f>IF('1. MASTER_ENTRY'!$C42="","",'1. MASTER_ENTRY'!$C42)</f>
        <v/>
      </c>
      <c r="C42" s="36">
        <f>IF('1. MASTER_ENTRY'!$C42="","",'1. MASTER_ENTRY'!$M42)</f>
        <v/>
      </c>
      <c r="D42" s="38">
        <f>IF('1. MASTER_ENTRY'!$C42="","",'1. MASTER_ENTRY'!$O42)</f>
        <v/>
      </c>
      <c r="E42" s="38">
        <f>IF('1. MASTER_ENTRY'!$C42="","",'1. MASTER_ENTRY'!$Q42)</f>
        <v/>
      </c>
      <c r="F42" s="39">
        <f>IF('1. MASTER_ENTRY'!$C42="","",'1. MASTER_ENTRY'!$S42)</f>
        <v/>
      </c>
      <c r="G42" s="52" t="n"/>
      <c r="H42" s="52" t="n"/>
      <c r="I42" s="52" t="n"/>
      <c r="J42" s="52" t="n"/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</row>
    <row r="43" ht="15" customHeight="1">
      <c r="A43" s="40">
        <f>IF('1. MASTER_ENTRY'!$C43="","",'1. MASTER_ENTRY'!$A43)</f>
        <v/>
      </c>
      <c r="B43" s="41">
        <f>IF('1. MASTER_ENTRY'!$C43="","",'1. MASTER_ENTRY'!$C43)</f>
        <v/>
      </c>
      <c r="C43" s="40">
        <f>IF('1. MASTER_ENTRY'!$C43="","",'1. MASTER_ENTRY'!$M43)</f>
        <v/>
      </c>
      <c r="D43" s="42">
        <f>IF('1. MASTER_ENTRY'!$C43="","",'1. MASTER_ENTRY'!$O43)</f>
        <v/>
      </c>
      <c r="E43" s="42">
        <f>IF('1. MASTER_ENTRY'!$C43="","",'1. MASTER_ENTRY'!$Q43)</f>
        <v/>
      </c>
      <c r="F43" s="43">
        <f>IF('1. MASTER_ENTRY'!$C43="","",'1. MASTER_ENTRY'!$S43)</f>
        <v/>
      </c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</row>
    <row r="44" ht="15" customHeight="1">
      <c r="A44" s="36">
        <f>IF('1. MASTER_ENTRY'!$C44="","",'1. MASTER_ENTRY'!$A44)</f>
        <v/>
      </c>
      <c r="B44" s="37">
        <f>IF('1. MASTER_ENTRY'!$C44="","",'1. MASTER_ENTRY'!$C44)</f>
        <v/>
      </c>
      <c r="C44" s="36">
        <f>IF('1. MASTER_ENTRY'!$C44="","",'1. MASTER_ENTRY'!$M44)</f>
        <v/>
      </c>
      <c r="D44" s="38">
        <f>IF('1. MASTER_ENTRY'!$C44="","",'1. MASTER_ENTRY'!$O44)</f>
        <v/>
      </c>
      <c r="E44" s="38">
        <f>IF('1. MASTER_ENTRY'!$C44="","",'1. MASTER_ENTRY'!$Q44)</f>
        <v/>
      </c>
      <c r="F44" s="39">
        <f>IF('1. MASTER_ENTRY'!$C44="","",'1. MASTER_ENTRY'!$S44)</f>
        <v/>
      </c>
      <c r="G44" s="52" t="n"/>
      <c r="H44" s="52" t="n"/>
      <c r="I44" s="52" t="n"/>
      <c r="J44" s="52" t="n"/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</row>
    <row r="45" ht="15" customHeight="1">
      <c r="A45" s="40">
        <f>IF('1. MASTER_ENTRY'!$C45="","",'1. MASTER_ENTRY'!$A45)</f>
        <v/>
      </c>
      <c r="B45" s="41">
        <f>IF('1. MASTER_ENTRY'!$C45="","",'1. MASTER_ENTRY'!$C45)</f>
        <v/>
      </c>
      <c r="C45" s="40">
        <f>IF('1. MASTER_ENTRY'!$C45="","",'1. MASTER_ENTRY'!$M45)</f>
        <v/>
      </c>
      <c r="D45" s="42">
        <f>IF('1. MASTER_ENTRY'!$C45="","",'1. MASTER_ENTRY'!$O45)</f>
        <v/>
      </c>
      <c r="E45" s="42">
        <f>IF('1. MASTER_ENTRY'!$C45="","",'1. MASTER_ENTRY'!$Q45)</f>
        <v/>
      </c>
      <c r="F45" s="43">
        <f>IF('1. MASTER_ENTRY'!$C45="","",'1. MASTER_ENTRY'!$S45)</f>
        <v/>
      </c>
      <c r="G45" s="52" t="n"/>
      <c r="H45" s="52" t="n"/>
      <c r="I45" s="52" t="n"/>
      <c r="J45" s="52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</row>
    <row r="46" ht="15" customHeight="1">
      <c r="A46" s="36">
        <f>IF('1. MASTER_ENTRY'!$C46="","",'1. MASTER_ENTRY'!$A46)</f>
        <v/>
      </c>
      <c r="B46" s="37">
        <f>IF('1. MASTER_ENTRY'!$C46="","",'1. MASTER_ENTRY'!$C46)</f>
        <v/>
      </c>
      <c r="C46" s="36">
        <f>IF('1. MASTER_ENTRY'!$C46="","",'1. MASTER_ENTRY'!$M46)</f>
        <v/>
      </c>
      <c r="D46" s="38">
        <f>IF('1. MASTER_ENTRY'!$C46="","",'1. MASTER_ENTRY'!$O46)</f>
        <v/>
      </c>
      <c r="E46" s="38">
        <f>IF('1. MASTER_ENTRY'!$C46="","",'1. MASTER_ENTRY'!$Q46)</f>
        <v/>
      </c>
      <c r="F46" s="39">
        <f>IF('1. MASTER_ENTRY'!$C46="","",'1. MASTER_ENTRY'!$S46)</f>
        <v/>
      </c>
      <c r="G46" s="52" t="n"/>
      <c r="H46" s="52" t="n"/>
      <c r="I46" s="52" t="n"/>
      <c r="J46" s="52" t="n"/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</row>
    <row r="47" ht="15" customHeight="1">
      <c r="A47" s="40">
        <f>IF('1. MASTER_ENTRY'!$C47="","",'1. MASTER_ENTRY'!$A47)</f>
        <v/>
      </c>
      <c r="B47" s="41">
        <f>IF('1. MASTER_ENTRY'!$C47="","",'1. MASTER_ENTRY'!$C47)</f>
        <v/>
      </c>
      <c r="C47" s="40">
        <f>IF('1. MASTER_ENTRY'!$C47="","",'1. MASTER_ENTRY'!$M47)</f>
        <v/>
      </c>
      <c r="D47" s="42">
        <f>IF('1. MASTER_ENTRY'!$C47="","",'1. MASTER_ENTRY'!$O47)</f>
        <v/>
      </c>
      <c r="E47" s="42">
        <f>IF('1. MASTER_ENTRY'!$C47="","",'1. MASTER_ENTRY'!$Q47)</f>
        <v/>
      </c>
      <c r="F47" s="43">
        <f>IF('1. MASTER_ENTRY'!$C47="","",'1. MASTER_ENTRY'!$S47)</f>
        <v/>
      </c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</row>
    <row r="48" ht="15" customHeight="1">
      <c r="A48" s="36">
        <f>IF('1. MASTER_ENTRY'!$C48="","",'1. MASTER_ENTRY'!$A48)</f>
        <v/>
      </c>
      <c r="B48" s="37">
        <f>IF('1. MASTER_ENTRY'!$C48="","",'1. MASTER_ENTRY'!$C48)</f>
        <v/>
      </c>
      <c r="C48" s="36">
        <f>IF('1. MASTER_ENTRY'!$C48="","",'1. MASTER_ENTRY'!$M48)</f>
        <v/>
      </c>
      <c r="D48" s="38">
        <f>IF('1. MASTER_ENTRY'!$C48="","",'1. MASTER_ENTRY'!$O48)</f>
        <v/>
      </c>
      <c r="E48" s="38">
        <f>IF('1. MASTER_ENTRY'!$C48="","",'1. MASTER_ENTRY'!$Q48)</f>
        <v/>
      </c>
      <c r="F48" s="39">
        <f>IF('1. MASTER_ENTRY'!$C48="","",'1. MASTER_ENTRY'!$S48)</f>
        <v/>
      </c>
      <c r="G48" s="52" t="n"/>
      <c r="H48" s="52" t="n"/>
      <c r="I48" s="52" t="n"/>
      <c r="J48" s="52" t="n"/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</row>
    <row r="49" ht="15" customHeight="1">
      <c r="A49" s="40">
        <f>IF('1. MASTER_ENTRY'!$C49="","",'1. MASTER_ENTRY'!$A49)</f>
        <v/>
      </c>
      <c r="B49" s="41">
        <f>IF('1. MASTER_ENTRY'!$C49="","",'1. MASTER_ENTRY'!$C49)</f>
        <v/>
      </c>
      <c r="C49" s="40">
        <f>IF('1. MASTER_ENTRY'!$C49="","",'1. MASTER_ENTRY'!$M49)</f>
        <v/>
      </c>
      <c r="D49" s="42">
        <f>IF('1. MASTER_ENTRY'!$C49="","",'1. MASTER_ENTRY'!$O49)</f>
        <v/>
      </c>
      <c r="E49" s="42">
        <f>IF('1. MASTER_ENTRY'!$C49="","",'1. MASTER_ENTRY'!$Q49)</f>
        <v/>
      </c>
      <c r="F49" s="43">
        <f>IF('1. MASTER_ENTRY'!$C49="","",'1. MASTER_ENTRY'!$S49)</f>
        <v/>
      </c>
      <c r="G49" s="52" t="n"/>
      <c r="H49" s="52" t="n"/>
      <c r="I49" s="52" t="n"/>
      <c r="J49" s="52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</row>
    <row r="50" ht="15" customHeight="1">
      <c r="A50" s="36">
        <f>IF('1. MASTER_ENTRY'!$C50="","",'1. MASTER_ENTRY'!$A50)</f>
        <v/>
      </c>
      <c r="B50" s="37">
        <f>IF('1. MASTER_ENTRY'!$C50="","",'1. MASTER_ENTRY'!$C50)</f>
        <v/>
      </c>
      <c r="C50" s="36">
        <f>IF('1. MASTER_ENTRY'!$C50="","",'1. MASTER_ENTRY'!$M50)</f>
        <v/>
      </c>
      <c r="D50" s="38">
        <f>IF('1. MASTER_ENTRY'!$C50="","",'1. MASTER_ENTRY'!$O50)</f>
        <v/>
      </c>
      <c r="E50" s="38">
        <f>IF('1. MASTER_ENTRY'!$C50="","",'1. MASTER_ENTRY'!$Q50)</f>
        <v/>
      </c>
      <c r="F50" s="39">
        <f>IF('1. MASTER_ENTRY'!$C50="","",'1. MASTER_ENTRY'!$S50)</f>
        <v/>
      </c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</row>
    <row r="51" ht="15" customHeight="1">
      <c r="A51" s="40">
        <f>IF('1. MASTER_ENTRY'!$C51="","",'1. MASTER_ENTRY'!$A51)</f>
        <v/>
      </c>
      <c r="B51" s="41">
        <f>IF('1. MASTER_ENTRY'!$C51="","",'1. MASTER_ENTRY'!$C51)</f>
        <v/>
      </c>
      <c r="C51" s="40">
        <f>IF('1. MASTER_ENTRY'!$C51="","",'1. MASTER_ENTRY'!$M51)</f>
        <v/>
      </c>
      <c r="D51" s="42">
        <f>IF('1. MASTER_ENTRY'!$C51="","",'1. MASTER_ENTRY'!$O51)</f>
        <v/>
      </c>
      <c r="E51" s="42">
        <f>IF('1. MASTER_ENTRY'!$C51="","",'1. MASTER_ENTRY'!$Q51)</f>
        <v/>
      </c>
      <c r="F51" s="43">
        <f>IF('1. MASTER_ENTRY'!$C51="","",'1. MASTER_ENTRY'!$S51)</f>
        <v/>
      </c>
      <c r="G51" s="52" t="n"/>
      <c r="H51" s="52" t="n"/>
      <c r="I51" s="52" t="n"/>
      <c r="J51" s="52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</row>
    <row r="52" ht="15" customHeight="1">
      <c r="A52" s="36">
        <f>IF('1. MASTER_ENTRY'!$C52="","",'1. MASTER_ENTRY'!$A52)</f>
        <v/>
      </c>
      <c r="B52" s="37">
        <f>IF('1. MASTER_ENTRY'!$C52="","",'1. MASTER_ENTRY'!$C52)</f>
        <v/>
      </c>
      <c r="C52" s="36">
        <f>IF('1. MASTER_ENTRY'!$C52="","",'1. MASTER_ENTRY'!$M52)</f>
        <v/>
      </c>
      <c r="D52" s="38">
        <f>IF('1. MASTER_ENTRY'!$C52="","",'1. MASTER_ENTRY'!$O52)</f>
        <v/>
      </c>
      <c r="E52" s="38">
        <f>IF('1. MASTER_ENTRY'!$C52="","",'1. MASTER_ENTRY'!$Q52)</f>
        <v/>
      </c>
      <c r="F52" s="39">
        <f>IF('1. MASTER_ENTRY'!$C52="","",'1. MASTER_ENTRY'!$S52)</f>
        <v/>
      </c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</row>
    <row r="53" ht="15" customHeight="1">
      <c r="A53" s="40">
        <f>IF('1. MASTER_ENTRY'!$C53="","",'1. MASTER_ENTRY'!$A53)</f>
        <v/>
      </c>
      <c r="B53" s="41">
        <f>IF('1. MASTER_ENTRY'!$C53="","",'1. MASTER_ENTRY'!$C53)</f>
        <v/>
      </c>
      <c r="C53" s="40">
        <f>IF('1. MASTER_ENTRY'!$C53="","",'1. MASTER_ENTRY'!$M53)</f>
        <v/>
      </c>
      <c r="D53" s="42">
        <f>IF('1. MASTER_ENTRY'!$C53="","",'1. MASTER_ENTRY'!$O53)</f>
        <v/>
      </c>
      <c r="E53" s="42">
        <f>IF('1. MASTER_ENTRY'!$C53="","",'1. MASTER_ENTRY'!$Q53)</f>
        <v/>
      </c>
      <c r="F53" s="43">
        <f>IF('1. MASTER_ENTRY'!$C53="","",'1. MASTER_ENTRY'!$S53)</f>
        <v/>
      </c>
      <c r="G53" s="52" t="n"/>
      <c r="H53" s="52" t="n"/>
      <c r="I53" s="52" t="n"/>
      <c r="J53" s="52" t="n"/>
      <c r="K53" s="52" t="n"/>
      <c r="L53" s="52" t="n"/>
      <c r="M53" s="52" t="n"/>
      <c r="N53" s="52" t="n"/>
      <c r="O53" s="52" t="n"/>
      <c r="P53" s="52" t="n"/>
      <c r="Q53" s="52" t="n"/>
      <c r="R53" s="52" t="n"/>
      <c r="S53" s="52" t="n"/>
      <c r="T53" s="52" t="n"/>
      <c r="U53" s="52" t="n"/>
      <c r="V53" s="52" t="n"/>
      <c r="W53" s="52" t="n"/>
      <c r="X53" s="52" t="n"/>
      <c r="Y53" s="52" t="n"/>
      <c r="Z53" s="52" t="n"/>
      <c r="AA53" s="52" t="n"/>
      <c r="AB53" s="52" t="n"/>
      <c r="AC53" s="52" t="n"/>
      <c r="AD53" s="52" t="n"/>
    </row>
    <row r="54" ht="15" customHeight="1">
      <c r="A54" s="36">
        <f>IF('1. MASTER_ENTRY'!$C54="","",'1. MASTER_ENTRY'!$A54)</f>
        <v/>
      </c>
      <c r="B54" s="37">
        <f>IF('1. MASTER_ENTRY'!$C54="","",'1. MASTER_ENTRY'!$C54)</f>
        <v/>
      </c>
      <c r="C54" s="36">
        <f>IF('1. MASTER_ENTRY'!$C54="","",'1. MASTER_ENTRY'!$M54)</f>
        <v/>
      </c>
      <c r="D54" s="38">
        <f>IF('1. MASTER_ENTRY'!$C54="","",'1. MASTER_ENTRY'!$O54)</f>
        <v/>
      </c>
      <c r="E54" s="38">
        <f>IF('1. MASTER_ENTRY'!$C54="","",'1. MASTER_ENTRY'!$Q54)</f>
        <v/>
      </c>
      <c r="F54" s="39">
        <f>IF('1. MASTER_ENTRY'!$C54="","",'1. MASTER_ENTRY'!$S54)</f>
        <v/>
      </c>
      <c r="G54" s="52" t="n"/>
      <c r="H54" s="52" t="n"/>
      <c r="I54" s="52" t="n"/>
      <c r="J54" s="52" t="n"/>
      <c r="K54" s="52" t="n"/>
      <c r="L54" s="52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52" t="n"/>
      <c r="Y54" s="52" t="n"/>
      <c r="Z54" s="52" t="n"/>
      <c r="AA54" s="52" t="n"/>
      <c r="AB54" s="52" t="n"/>
      <c r="AC54" s="52" t="n"/>
      <c r="AD54" s="52" t="n"/>
    </row>
    <row r="55" ht="15" customHeight="1">
      <c r="A55" s="40">
        <f>IF('1. MASTER_ENTRY'!$C55="","",'1. MASTER_ENTRY'!$A55)</f>
        <v/>
      </c>
      <c r="B55" s="41">
        <f>IF('1. MASTER_ENTRY'!$C55="","",'1. MASTER_ENTRY'!$C55)</f>
        <v/>
      </c>
      <c r="C55" s="40">
        <f>IF('1. MASTER_ENTRY'!$C55="","",'1. MASTER_ENTRY'!$M55)</f>
        <v/>
      </c>
      <c r="D55" s="42">
        <f>IF('1. MASTER_ENTRY'!$C55="","",'1. MASTER_ENTRY'!$O55)</f>
        <v/>
      </c>
      <c r="E55" s="42">
        <f>IF('1. MASTER_ENTRY'!$C55="","",'1. MASTER_ENTRY'!$Q55)</f>
        <v/>
      </c>
      <c r="F55" s="43">
        <f>IF('1. MASTER_ENTRY'!$C55="","",'1. MASTER_ENTRY'!$S55)</f>
        <v/>
      </c>
      <c r="G55" s="52" t="n"/>
      <c r="H55" s="52" t="n"/>
      <c r="I55" s="52" t="n"/>
      <c r="J55" s="52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  <c r="AA55" s="52" t="n"/>
      <c r="AB55" s="52" t="n"/>
      <c r="AC55" s="52" t="n"/>
      <c r="AD55" s="52" t="n"/>
    </row>
    <row r="56" ht="15" customHeight="1">
      <c r="A56" s="36">
        <f>IF('1. MASTER_ENTRY'!$C56="","",'1. MASTER_ENTRY'!$A56)</f>
        <v/>
      </c>
      <c r="B56" s="37">
        <f>IF('1. MASTER_ENTRY'!$C56="","",'1. MASTER_ENTRY'!$C56)</f>
        <v/>
      </c>
      <c r="C56" s="36">
        <f>IF('1. MASTER_ENTRY'!$C56="","",'1. MASTER_ENTRY'!$M56)</f>
        <v/>
      </c>
      <c r="D56" s="38">
        <f>IF('1. MASTER_ENTRY'!$C56="","",'1. MASTER_ENTRY'!$O56)</f>
        <v/>
      </c>
      <c r="E56" s="38">
        <f>IF('1. MASTER_ENTRY'!$C56="","",'1. MASTER_ENTRY'!$Q56)</f>
        <v/>
      </c>
      <c r="F56" s="39">
        <f>IF('1. MASTER_ENTRY'!$C56="","",'1. MASTER_ENTRY'!$S56)</f>
        <v/>
      </c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  <c r="AA56" s="52" t="n"/>
      <c r="AB56" s="52" t="n"/>
      <c r="AC56" s="52" t="n"/>
      <c r="AD56" s="52" t="n"/>
    </row>
    <row r="57" ht="15" customHeight="1">
      <c r="A57" s="40">
        <f>IF('1. MASTER_ENTRY'!$C57="","",'1. MASTER_ENTRY'!$A57)</f>
        <v/>
      </c>
      <c r="B57" s="41">
        <f>IF('1. MASTER_ENTRY'!$C57="","",'1. MASTER_ENTRY'!$C57)</f>
        <v/>
      </c>
      <c r="C57" s="40">
        <f>IF('1. MASTER_ENTRY'!$C57="","",'1. MASTER_ENTRY'!$M57)</f>
        <v/>
      </c>
      <c r="D57" s="42">
        <f>IF('1. MASTER_ENTRY'!$C57="","",'1. MASTER_ENTRY'!$O57)</f>
        <v/>
      </c>
      <c r="E57" s="42">
        <f>IF('1. MASTER_ENTRY'!$C57="","",'1. MASTER_ENTRY'!$Q57)</f>
        <v/>
      </c>
      <c r="F57" s="43">
        <f>IF('1. MASTER_ENTRY'!$C57="","",'1. MASTER_ENTRY'!$S57)</f>
        <v/>
      </c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  <c r="AA57" s="52" t="n"/>
      <c r="AB57" s="52" t="n"/>
      <c r="AC57" s="52" t="n"/>
      <c r="AD57" s="52" t="n"/>
    </row>
    <row r="58" ht="15" customHeight="1">
      <c r="A58" s="36">
        <f>IF('1. MASTER_ENTRY'!$C58="","",'1. MASTER_ENTRY'!$A58)</f>
        <v/>
      </c>
      <c r="B58" s="37">
        <f>IF('1. MASTER_ENTRY'!$C58="","",'1. MASTER_ENTRY'!$C58)</f>
        <v/>
      </c>
      <c r="C58" s="36">
        <f>IF('1. MASTER_ENTRY'!$C58="","",'1. MASTER_ENTRY'!$M58)</f>
        <v/>
      </c>
      <c r="D58" s="38">
        <f>IF('1. MASTER_ENTRY'!$C58="","",'1. MASTER_ENTRY'!$O58)</f>
        <v/>
      </c>
      <c r="E58" s="38">
        <f>IF('1. MASTER_ENTRY'!$C58="","",'1. MASTER_ENTRY'!$Q58)</f>
        <v/>
      </c>
      <c r="F58" s="39">
        <f>IF('1. MASTER_ENTRY'!$C58="","",'1. MASTER_ENTRY'!$S58)</f>
        <v/>
      </c>
      <c r="G58" s="52" t="n"/>
      <c r="H58" s="52" t="n"/>
      <c r="I58" s="52" t="n"/>
      <c r="J58" s="52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  <c r="AA58" s="52" t="n"/>
      <c r="AB58" s="52" t="n"/>
      <c r="AC58" s="52" t="n"/>
      <c r="AD58" s="52" t="n"/>
    </row>
    <row r="59" ht="15" customHeight="1">
      <c r="A59" s="40">
        <f>IF('1. MASTER_ENTRY'!$C59="","",'1. MASTER_ENTRY'!$A59)</f>
        <v/>
      </c>
      <c r="B59" s="41">
        <f>IF('1. MASTER_ENTRY'!$C59="","",'1. MASTER_ENTRY'!$C59)</f>
        <v/>
      </c>
      <c r="C59" s="40">
        <f>IF('1. MASTER_ENTRY'!$C59="","",'1. MASTER_ENTRY'!$M59)</f>
        <v/>
      </c>
      <c r="D59" s="42">
        <f>IF('1. MASTER_ENTRY'!$C59="","",'1. MASTER_ENTRY'!$O59)</f>
        <v/>
      </c>
      <c r="E59" s="42">
        <f>IF('1. MASTER_ENTRY'!$C59="","",'1. MASTER_ENTRY'!$Q59)</f>
        <v/>
      </c>
      <c r="F59" s="43">
        <f>IF('1. MASTER_ENTRY'!$C59="","",'1. MASTER_ENTRY'!$S59)</f>
        <v/>
      </c>
      <c r="G59" s="52" t="n"/>
      <c r="H59" s="52" t="n"/>
      <c r="I59" s="52" t="n"/>
      <c r="J59" s="52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  <c r="AA59" s="52" t="n"/>
      <c r="AB59" s="52" t="n"/>
      <c r="AC59" s="52" t="n"/>
      <c r="AD59" s="52" t="n"/>
    </row>
    <row r="60" ht="15" customHeight="1">
      <c r="A60" s="36">
        <f>IF('1. MASTER_ENTRY'!$C60="","",'1. MASTER_ENTRY'!$A60)</f>
        <v/>
      </c>
      <c r="B60" s="37">
        <f>IF('1. MASTER_ENTRY'!$C60="","",'1. MASTER_ENTRY'!$C60)</f>
        <v/>
      </c>
      <c r="C60" s="36">
        <f>IF('1. MASTER_ENTRY'!$C60="","",'1. MASTER_ENTRY'!$M60)</f>
        <v/>
      </c>
      <c r="D60" s="38">
        <f>IF('1. MASTER_ENTRY'!$C60="","",'1. MASTER_ENTRY'!$O60)</f>
        <v/>
      </c>
      <c r="E60" s="38">
        <f>IF('1. MASTER_ENTRY'!$C60="","",'1. MASTER_ENTRY'!$Q60)</f>
        <v/>
      </c>
      <c r="F60" s="39">
        <f>IF('1. MASTER_ENTRY'!$C60="","",'1. MASTER_ENTRY'!$S60)</f>
        <v/>
      </c>
      <c r="G60" s="52" t="n"/>
      <c r="H60" s="52" t="n"/>
      <c r="I60" s="52" t="n"/>
      <c r="J60" s="52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  <c r="AA60" s="52" t="n"/>
      <c r="AB60" s="52" t="n"/>
      <c r="AC60" s="52" t="n"/>
      <c r="AD60" s="52" t="n"/>
    </row>
    <row r="61" ht="15" customHeight="1">
      <c r="A61" s="40">
        <f>IF('1. MASTER_ENTRY'!$C61="","",'1. MASTER_ENTRY'!$A61)</f>
        <v/>
      </c>
      <c r="B61" s="41">
        <f>IF('1. MASTER_ENTRY'!$C61="","",'1. MASTER_ENTRY'!$C61)</f>
        <v/>
      </c>
      <c r="C61" s="40">
        <f>IF('1. MASTER_ENTRY'!$C61="","",'1. MASTER_ENTRY'!$M61)</f>
        <v/>
      </c>
      <c r="D61" s="42">
        <f>IF('1. MASTER_ENTRY'!$C61="","",'1. MASTER_ENTRY'!$O61)</f>
        <v/>
      </c>
      <c r="E61" s="42">
        <f>IF('1. MASTER_ENTRY'!$C61="","",'1. MASTER_ENTRY'!$Q61)</f>
        <v/>
      </c>
      <c r="F61" s="43">
        <f>IF('1. MASTER_ENTRY'!$C61="","",'1. MASTER_ENTRY'!$S61)</f>
        <v/>
      </c>
      <c r="G61" s="52" t="n"/>
      <c r="H61" s="52" t="n"/>
      <c r="I61" s="52" t="n"/>
      <c r="J61" s="52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  <c r="AA61" s="52" t="n"/>
      <c r="AB61" s="52" t="n"/>
      <c r="AC61" s="52" t="n"/>
      <c r="AD61" s="52" t="n"/>
    </row>
    <row r="62" ht="15" customHeight="1">
      <c r="A62" s="36">
        <f>IF('1. MASTER_ENTRY'!$C62="","",'1. MASTER_ENTRY'!$A62)</f>
        <v/>
      </c>
      <c r="B62" s="37">
        <f>IF('1. MASTER_ENTRY'!$C62="","",'1. MASTER_ENTRY'!$C62)</f>
        <v/>
      </c>
      <c r="C62" s="36">
        <f>IF('1. MASTER_ENTRY'!$C62="","",'1. MASTER_ENTRY'!$M62)</f>
        <v/>
      </c>
      <c r="D62" s="38">
        <f>IF('1. MASTER_ENTRY'!$C62="","",'1. MASTER_ENTRY'!$O62)</f>
        <v/>
      </c>
      <c r="E62" s="38">
        <f>IF('1. MASTER_ENTRY'!$C62="","",'1. MASTER_ENTRY'!$Q62)</f>
        <v/>
      </c>
      <c r="F62" s="39">
        <f>IF('1. MASTER_ENTRY'!$C62="","",'1. MASTER_ENTRY'!$S62)</f>
        <v/>
      </c>
      <c r="G62" s="52" t="n"/>
      <c r="H62" s="52" t="n"/>
      <c r="I62" s="52" t="n"/>
      <c r="J62" s="52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  <c r="AA62" s="52" t="n"/>
      <c r="AB62" s="52" t="n"/>
      <c r="AC62" s="52" t="n"/>
      <c r="AD62" s="52" t="n"/>
    </row>
    <row r="63" ht="15" customHeight="1">
      <c r="A63" s="40">
        <f>IF('1. MASTER_ENTRY'!$C63="","",'1. MASTER_ENTRY'!$A63)</f>
        <v/>
      </c>
      <c r="B63" s="41">
        <f>IF('1. MASTER_ENTRY'!$C63="","",'1. MASTER_ENTRY'!$C63)</f>
        <v/>
      </c>
      <c r="C63" s="40">
        <f>IF('1. MASTER_ENTRY'!$C63="","",'1. MASTER_ENTRY'!$M63)</f>
        <v/>
      </c>
      <c r="D63" s="42">
        <f>IF('1. MASTER_ENTRY'!$C63="","",'1. MASTER_ENTRY'!$O63)</f>
        <v/>
      </c>
      <c r="E63" s="42">
        <f>IF('1. MASTER_ENTRY'!$C63="","",'1. MASTER_ENTRY'!$Q63)</f>
        <v/>
      </c>
      <c r="F63" s="43">
        <f>IF('1. MASTER_ENTRY'!$C63="","",'1. MASTER_ENTRY'!$S63)</f>
        <v/>
      </c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  <c r="AA63" s="52" t="n"/>
      <c r="AB63" s="52" t="n"/>
      <c r="AC63" s="52" t="n"/>
      <c r="AD63" s="52" t="n"/>
    </row>
    <row r="65">
      <c r="B65" s="53" t="inlineStr">
        <is>
          <t>Legend:</t>
        </is>
      </c>
      <c r="C65" s="54" t="inlineStr">
        <is>
          <t>Scheduled</t>
        </is>
      </c>
      <c r="D65" s="55" t="inlineStr">
        <is>
          <t>Completed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2">
    <mergeCell ref="A2:AD2"/>
    <mergeCell ref="A1:AD1"/>
  </mergeCells>
  <conditionalFormatting sqref="G4:AD63">
    <cfRule type="expression" priority="1" dxfId="4">
      <formula>AND(G$3&gt;=$D4,G$3&lt;=$E4+6,$D4&lt;&gt;"")</formula>
    </cfRule>
    <cfRule type="expression" priority="2" dxfId="5">
      <formula>AND(G$3&gt;=$D4,G$3&lt;=$D4+($E4-$D4)*$F4,$D4&lt;&gt;"")</formula>
    </cfRule>
  </conditionalFormatting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H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1" customWidth="1" min="4" max="4"/>
    <col width="10" customWidth="1" min="5" max="5"/>
    <col width="10" customWidth="1" min="6" max="6"/>
    <col width="9" customWidth="1" min="7" max="7"/>
    <col width="9" customWidth="1" min="8" max="8"/>
  </cols>
  <sheetData>
    <row r="1" ht="36" customHeight="1">
      <c r="A1" s="47" t="inlineStr">
        <is>
          <t xml:space="preserve">  SIX SIGMA  -  defect &amp; Sigma-level trend (live chart)</t>
        </is>
      </c>
    </row>
    <row r="2" ht="20" customHeight="1">
      <c r="A2" s="2" t="inlineStr">
        <is>
          <t xml:space="preserve">  Choose Units, Defects and Opps/Unit from dropdowns. Defect%, DPMO and Sigma auto-calculate.</t>
        </is>
      </c>
    </row>
    <row r="3" ht="30" customHeight="1">
      <c r="A3" s="48" t="inlineStr">
        <is>
          <t>WEEK</t>
        </is>
      </c>
      <c r="B3" s="48" t="inlineStr">
        <is>
          <t>UNITS
(choose)</t>
        </is>
      </c>
      <c r="C3" s="48" t="inlineStr">
        <is>
          <t>DEFECTS
(choose)</t>
        </is>
      </c>
      <c r="D3" s="48" t="inlineStr">
        <is>
          <t>OPPS/UNIT
(choose)</t>
        </is>
      </c>
      <c r="E3" s="48" t="inlineStr">
        <is>
          <t>DEFECT %</t>
        </is>
      </c>
      <c r="F3" s="48" t="inlineStr">
        <is>
          <t>DPMO</t>
        </is>
      </c>
      <c r="G3" s="48" t="inlineStr">
        <is>
          <t>SIGMA</t>
        </is>
      </c>
      <c r="H3" s="48" t="inlineStr">
        <is>
          <t>TARGET</t>
        </is>
      </c>
    </row>
    <row r="4">
      <c r="A4" s="40" t="inlineStr">
        <is>
          <t>Week 1</t>
        </is>
      </c>
      <c r="B4" s="31" t="n">
        <v>600</v>
      </c>
      <c r="C4" s="31" t="n">
        <v>72</v>
      </c>
      <c r="D4" s="31" t="n">
        <v>5</v>
      </c>
      <c r="E4" s="56">
        <f>IF(OR(B4="",C4=""),"",C4/(B4*D4))</f>
        <v/>
      </c>
      <c r="F4" s="29">
        <f>IF(E4="","",E4*1000000)</f>
        <v/>
      </c>
      <c r="G4" s="29">
        <f>IF(OR(F4="",F4=0),"",ROUND(0.8406+SQRT(MAX(29.37-2.221*LN(F4),0)),2))</f>
        <v/>
      </c>
      <c r="H4" s="40" t="n">
        <v>4.5</v>
      </c>
    </row>
    <row r="5">
      <c r="A5" s="40" t="inlineStr">
        <is>
          <t>Week 2</t>
        </is>
      </c>
      <c r="B5" s="31" t="n">
        <v>580</v>
      </c>
      <c r="C5" s="31" t="n">
        <v>65</v>
      </c>
      <c r="D5" s="31" t="n">
        <v>5</v>
      </c>
      <c r="E5" s="56">
        <f>IF(OR(B5="",C5=""),"",C5/(B5*D5))</f>
        <v/>
      </c>
      <c r="F5" s="29">
        <f>IF(E5="","",E5*1000000)</f>
        <v/>
      </c>
      <c r="G5" s="29">
        <f>IF(OR(F5="",F5=0),"",ROUND(0.8406+SQRT(MAX(29.37-2.221*LN(F5),0)),2))</f>
        <v/>
      </c>
      <c r="H5" s="40" t="n">
        <v>4.5</v>
      </c>
    </row>
    <row r="6">
      <c r="A6" s="40" t="inlineStr">
        <is>
          <t>Week 3</t>
        </is>
      </c>
      <c r="B6" s="31" t="n">
        <v>610</v>
      </c>
      <c r="C6" s="31" t="n">
        <v>58</v>
      </c>
      <c r="D6" s="31" t="n">
        <v>5</v>
      </c>
      <c r="E6" s="56">
        <f>IF(OR(B6="",C6=""),"",C6/(B6*D6))</f>
        <v/>
      </c>
      <c r="F6" s="29">
        <f>IF(E6="","",E6*1000000)</f>
        <v/>
      </c>
      <c r="G6" s="29">
        <f>IF(OR(F6="",F6=0),"",ROUND(0.8406+SQRT(MAX(29.37-2.221*LN(F6),0)),2))</f>
        <v/>
      </c>
      <c r="H6" s="40" t="n">
        <v>4.5</v>
      </c>
    </row>
    <row r="7">
      <c r="A7" s="40" t="inlineStr">
        <is>
          <t>Week 4</t>
        </is>
      </c>
      <c r="B7" s="31" t="n">
        <v>595</v>
      </c>
      <c r="C7" s="31" t="n">
        <v>50</v>
      </c>
      <c r="D7" s="31" t="n">
        <v>5</v>
      </c>
      <c r="E7" s="56">
        <f>IF(OR(B7="",C7=""),"",C7/(B7*D7))</f>
        <v/>
      </c>
      <c r="F7" s="29">
        <f>IF(E7="","",E7*1000000)</f>
        <v/>
      </c>
      <c r="G7" s="29">
        <f>IF(OR(F7="",F7=0),"",ROUND(0.8406+SQRT(MAX(29.37-2.221*LN(F7),0)),2))</f>
        <v/>
      </c>
      <c r="H7" s="40" t="n">
        <v>4.5</v>
      </c>
    </row>
    <row r="8">
      <c r="A8" s="40" t="inlineStr">
        <is>
          <t>Week 5</t>
        </is>
      </c>
      <c r="B8" s="31" t="n">
        <v>620</v>
      </c>
      <c r="C8" s="31" t="n">
        <v>45</v>
      </c>
      <c r="D8" s="31" t="n">
        <v>5</v>
      </c>
      <c r="E8" s="56">
        <f>IF(OR(B8="",C8=""),"",C8/(B8*D8))</f>
        <v/>
      </c>
      <c r="F8" s="29">
        <f>IF(E8="","",E8*1000000)</f>
        <v/>
      </c>
      <c r="G8" s="29">
        <f>IF(OR(F8="",F8=0),"",ROUND(0.8406+SQRT(MAX(29.37-2.221*LN(F8),0)),2))</f>
        <v/>
      </c>
      <c r="H8" s="40" t="n">
        <v>4.5</v>
      </c>
    </row>
    <row r="9">
      <c r="A9" s="40" t="inlineStr">
        <is>
          <t>Week 6</t>
        </is>
      </c>
      <c r="B9" s="31" t="n">
        <v>605</v>
      </c>
      <c r="C9" s="31" t="n">
        <v>38</v>
      </c>
      <c r="D9" s="31" t="n">
        <v>5</v>
      </c>
      <c r="E9" s="56">
        <f>IF(OR(B9="",C9=""),"",C9/(B9*D9))</f>
        <v/>
      </c>
      <c r="F9" s="29">
        <f>IF(E9="","",E9*1000000)</f>
        <v/>
      </c>
      <c r="G9" s="29">
        <f>IF(OR(F9="",F9=0),"",ROUND(0.8406+SQRT(MAX(29.37-2.221*LN(F9),0)),2))</f>
        <v/>
      </c>
      <c r="H9" s="40" t="n">
        <v>4.5</v>
      </c>
    </row>
    <row r="10">
      <c r="A10" s="40" t="inlineStr">
        <is>
          <t>Week 7</t>
        </is>
      </c>
      <c r="B10" s="31" t="n">
        <v>615</v>
      </c>
      <c r="C10" s="31" t="n"/>
      <c r="D10" s="31" t="n">
        <v>5</v>
      </c>
      <c r="E10" s="56">
        <f>IF(OR(B10="",C10=""),"",C10/(B10*D10))</f>
        <v/>
      </c>
      <c r="F10" s="29">
        <f>IF(E10="","",E10*1000000)</f>
        <v/>
      </c>
      <c r="G10" s="29">
        <f>IF(OR(F10="",F10=0),"",ROUND(0.8406+SQRT(MAX(29.37-2.221*LN(F10),0)),2))</f>
        <v/>
      </c>
      <c r="H10" s="40" t="n">
        <v>4.5</v>
      </c>
    </row>
    <row r="11">
      <c r="A11" s="40" t="inlineStr">
        <is>
          <t>Week 8</t>
        </is>
      </c>
      <c r="B11" s="31" t="n"/>
      <c r="C11" s="31" t="n"/>
      <c r="D11" s="31" t="n">
        <v>5</v>
      </c>
      <c r="E11" s="56">
        <f>IF(OR(B11="",C11=""),"",C11/(B11*D11))</f>
        <v/>
      </c>
      <c r="F11" s="29">
        <f>IF(E11="","",E11*1000000)</f>
        <v/>
      </c>
      <c r="G11" s="29">
        <f>IF(OR(F11="",F11=0),"",ROUND(0.8406+SQRT(MAX(29.37-2.221*LN(F11),0)),2))</f>
        <v/>
      </c>
      <c r="H11" s="40" t="n">
        <v>4.5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2">
    <mergeCell ref="A2:H2"/>
    <mergeCell ref="A1:H1"/>
  </mergeCells>
  <dataValidations count="3">
    <dataValidation sqref="B4:B11" showDropDown="0" showInputMessage="0" showErrorMessage="1" allowBlank="1" errorTitle="Choose from list" error="Please CHOOSE a value from the dropdown - free typing is not allowed." promptTitle="Units" prompt="Click the arrow and choose" type="list" errorStyle="stop">
      <formula1>LISTS!$N$2:$N$202</formula1>
    </dataValidation>
    <dataValidation sqref="C4:C11" showDropDown="0" showInputMessage="0" showErrorMessage="1" allowBlank="1" errorTitle="Choose from list" error="Please CHOOSE a value from the dropdown - free typing is not allowed." promptTitle="Defects" prompt="Click the arrow and choose" type="list" errorStyle="stop">
      <formula1>LISTS!$O$2:$O$302</formula1>
    </dataValidation>
    <dataValidation sqref="D4:D11" showDropDown="0" showInputMessage="0" showErrorMessage="1" allowBlank="1" errorTitle="Choose from list" error="Please CHOOSE a value from the dropdown - free typing is not allowed." promptTitle="Opps" prompt="Click the arrow and choose" type="list" errorStyle="stop">
      <formula1>LISTS!$P$2:$P$21</formula1>
    </dataValidation>
  </dataValidations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A1:F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8" customWidth="1" min="5" max="5"/>
    <col width="24" customWidth="1" min="6" max="6"/>
  </cols>
  <sheetData>
    <row r="1" ht="36" customHeight="1">
      <c r="A1" s="20" t="inlineStr">
        <is>
          <t xml:space="preserve">  STAKEHOLDER REGISTER  -  RACI &amp; Power/Interest grid</t>
        </is>
      </c>
    </row>
    <row r="2" ht="20" customHeight="1">
      <c r="A2" s="2" t="inlineStr">
        <is>
          <t xml:space="preserve">  Choose-only. Names come from the CONFIG roster. Strategy auto-calculates.</t>
        </is>
      </c>
    </row>
    <row r="3" ht="30" customHeight="1">
      <c r="A3" s="27" t="inlineStr">
        <is>
          <t>STAKEHOLDER</t>
        </is>
      </c>
      <c r="B3" s="27" t="inlineStr">
        <is>
          <t>ROLE</t>
        </is>
      </c>
      <c r="C3" s="27" t="inlineStr">
        <is>
          <t>INFLUENCE</t>
        </is>
      </c>
      <c r="D3" s="27" t="inlineStr">
        <is>
          <t>INTEREST</t>
        </is>
      </c>
      <c r="E3" s="27" t="inlineStr">
        <is>
          <t>RACI</t>
        </is>
      </c>
      <c r="F3" s="27" t="inlineStr">
        <is>
          <t>ENGAGEMENT STRATEGY (auto)</t>
        </is>
      </c>
    </row>
    <row r="4">
      <c r="A4" s="23" t="inlineStr">
        <is>
          <t>PM</t>
        </is>
      </c>
      <c r="B4" s="23" t="inlineStr">
        <is>
          <t>Project Manager</t>
        </is>
      </c>
      <c r="C4" s="31" t="inlineStr">
        <is>
          <t>High</t>
        </is>
      </c>
      <c r="D4" s="31" t="inlineStr">
        <is>
          <t>High</t>
        </is>
      </c>
      <c r="E4" s="31" t="inlineStr">
        <is>
          <t>A - Accountable</t>
        </is>
      </c>
      <c r="F4" s="34">
        <f>IF(OR($C4="",$D4=""),"",IF(AND($C4="High",$D4="High"),"Manage closely",IF(AND($C4="High",$D4&lt;&gt;"High"),"Keep satisfied",IF(AND($C4&lt;&gt;"High",$D4="High"),"Keep informed","Monitor"))))</f>
        <v/>
      </c>
    </row>
    <row r="5">
      <c r="A5" s="23" t="inlineStr">
        <is>
          <t>Sponsor</t>
        </is>
      </c>
      <c r="B5" s="23" t="inlineStr">
        <is>
          <t>Sponsor</t>
        </is>
      </c>
      <c r="C5" s="31" t="inlineStr">
        <is>
          <t>High</t>
        </is>
      </c>
      <c r="D5" s="31" t="inlineStr">
        <is>
          <t>Medium</t>
        </is>
      </c>
      <c r="E5" s="31" t="inlineStr">
        <is>
          <t>I - Informed</t>
        </is>
      </c>
      <c r="F5" s="34">
        <f>IF(OR($C5="",$D5=""),"",IF(AND($C5="High",$D5="High"),"Manage closely",IF(AND($C5="High",$D5&lt;&gt;"High"),"Keep satisfied",IF(AND($C5&lt;&gt;"High",$D5="High"),"Keep informed","Monitor"))))</f>
        <v/>
      </c>
    </row>
    <row r="6">
      <c r="A6" s="23" t="inlineStr">
        <is>
          <t>QA Lead</t>
        </is>
      </c>
      <c r="B6" s="23" t="inlineStr">
        <is>
          <t>QA Lead</t>
        </is>
      </c>
      <c r="C6" s="31" t="inlineStr">
        <is>
          <t>Medium</t>
        </is>
      </c>
      <c r="D6" s="31" t="inlineStr">
        <is>
          <t>High</t>
        </is>
      </c>
      <c r="E6" s="31" t="inlineStr">
        <is>
          <t>R - Responsible</t>
        </is>
      </c>
      <c r="F6" s="34">
        <f>IF(OR($C6="",$D6=""),"",IF(AND($C6="High",$D6="High"),"Manage closely",IF(AND($C6="High",$D6&lt;&gt;"High"),"Keep satisfied",IF(AND($C6&lt;&gt;"High",$D6="High"),"Keep informed","Monitor"))))</f>
        <v/>
      </c>
    </row>
    <row r="7">
      <c r="A7" s="23" t="n"/>
      <c r="B7" s="23" t="n"/>
      <c r="C7" s="31" t="n"/>
      <c r="D7" s="31" t="n"/>
      <c r="E7" s="31" t="n"/>
      <c r="F7" s="34">
        <f>IF(OR($C7="",$D7=""),"",IF(AND($C7="High",$D7="High"),"Manage closely",IF(AND($C7="High",$D7&lt;&gt;"High"),"Keep satisfied",IF(AND($C7&lt;&gt;"High",$D7="High"),"Keep informed","Monitor"))))</f>
        <v/>
      </c>
    </row>
    <row r="8">
      <c r="A8" s="23" t="n"/>
      <c r="B8" s="23" t="n"/>
      <c r="C8" s="31" t="n"/>
      <c r="D8" s="31" t="n"/>
      <c r="E8" s="31" t="n"/>
      <c r="F8" s="34">
        <f>IF(OR($C8="",$D8=""),"",IF(AND($C8="High",$D8="High"),"Manage closely",IF(AND($C8="High",$D8&lt;&gt;"High"),"Keep satisfied",IF(AND($C8&lt;&gt;"High",$D8="High"),"Keep informed","Monitor"))))</f>
        <v/>
      </c>
    </row>
    <row r="9">
      <c r="A9" s="23" t="n"/>
      <c r="B9" s="23" t="n"/>
      <c r="C9" s="31" t="n"/>
      <c r="D9" s="31" t="n"/>
      <c r="E9" s="31" t="n"/>
      <c r="F9" s="34">
        <f>IF(OR($C9="",$D9=""),"",IF(AND($C9="High",$D9="High"),"Manage closely",IF(AND($C9="High",$D9&lt;&gt;"High"),"Keep satisfied",IF(AND($C9&lt;&gt;"High",$D9="High"),"Keep informed","Monitor"))))</f>
        <v/>
      </c>
    </row>
    <row r="10">
      <c r="A10" s="23" t="n"/>
      <c r="B10" s="23" t="n"/>
      <c r="C10" s="31" t="n"/>
      <c r="D10" s="31" t="n"/>
      <c r="E10" s="31" t="n"/>
      <c r="F10" s="34">
        <f>IF(OR($C10="",$D10=""),"",IF(AND($C10="High",$D10="High"),"Manage closely",IF(AND($C10="High",$D10&lt;&gt;"High"),"Keep satisfied",IF(AND($C10&lt;&gt;"High",$D10="High"),"Keep informed","Monitor"))))</f>
        <v/>
      </c>
    </row>
    <row r="11">
      <c r="A11" s="23" t="n"/>
      <c r="B11" s="23" t="n"/>
      <c r="C11" s="31" t="n"/>
      <c r="D11" s="31" t="n"/>
      <c r="E11" s="31" t="n"/>
      <c r="F11" s="34">
        <f>IF(OR($C11="",$D11=""),"",IF(AND($C11="High",$D11="High"),"Manage closely",IF(AND($C11="High",$D11&lt;&gt;"High"),"Keep satisfied",IF(AND($C11&lt;&gt;"High",$D11="High"),"Keep informed","Monitor"))))</f>
        <v/>
      </c>
    </row>
    <row r="12">
      <c r="A12" s="23" t="n"/>
      <c r="B12" s="23" t="n"/>
      <c r="C12" s="31" t="n"/>
      <c r="D12" s="31" t="n"/>
      <c r="E12" s="31" t="n"/>
      <c r="F12" s="34">
        <f>IF(OR($C12="",$D12=""),"",IF(AND($C12="High",$D12="High"),"Manage closely",IF(AND($C12="High",$D12&lt;&gt;"High"),"Keep satisfied",IF(AND($C12&lt;&gt;"High",$D12="High"),"Keep informed","Monitor"))))</f>
        <v/>
      </c>
    </row>
    <row r="13">
      <c r="A13" s="23" t="n"/>
      <c r="B13" s="23" t="n"/>
      <c r="C13" s="31" t="n"/>
      <c r="D13" s="31" t="n"/>
      <c r="E13" s="31" t="n"/>
      <c r="F13" s="34">
        <f>IF(OR($C13="",$D13=""),"",IF(AND($C13="High",$D13="High"),"Manage closely",IF(AND($C13="High",$D13&lt;&gt;"High"),"Keep satisfied",IF(AND($C13&lt;&gt;"High",$D13="High"),"Keep informed","Monitor"))))</f>
        <v/>
      </c>
    </row>
    <row r="14">
      <c r="A14" s="23" t="n"/>
      <c r="B14" s="23" t="n"/>
      <c r="C14" s="31" t="n"/>
      <c r="D14" s="31" t="n"/>
      <c r="E14" s="31" t="n"/>
      <c r="F14" s="34">
        <f>IF(OR($C14="",$D14=""),"",IF(AND($C14="High",$D14="High"),"Manage closely",IF(AND($C14="High",$D14&lt;&gt;"High"),"Keep satisfied",IF(AND($C14&lt;&gt;"High",$D14="High"),"Keep informed","Monitor"))))</f>
        <v/>
      </c>
    </row>
    <row r="15">
      <c r="A15" s="23" t="n"/>
      <c r="B15" s="23" t="n"/>
      <c r="C15" s="31" t="n"/>
      <c r="D15" s="31" t="n"/>
      <c r="E15" s="31" t="n"/>
      <c r="F15" s="34">
        <f>IF(OR($C15="",$D15=""),"",IF(AND($C15="High",$D15="High"),"Manage closely",IF(AND($C15="High",$D15&lt;&gt;"High"),"Keep satisfied",IF(AND($C15&lt;&gt;"High",$D15="High"),"Keep informed","Monitor"))))</f>
        <v/>
      </c>
    </row>
    <row r="16">
      <c r="A16" s="23" t="n"/>
      <c r="B16" s="23" t="n"/>
      <c r="C16" s="31" t="n"/>
      <c r="D16" s="31" t="n"/>
      <c r="E16" s="31" t="n"/>
      <c r="F16" s="34">
        <f>IF(OR($C16="",$D16=""),"",IF(AND($C16="High",$D16="High"),"Manage closely",IF(AND($C16="High",$D16&lt;&gt;"High"),"Keep satisfied",IF(AND($C16&lt;&gt;"High",$D16="High"),"Keep informed","Monitor"))))</f>
        <v/>
      </c>
    </row>
    <row r="17">
      <c r="A17" s="23" t="n"/>
      <c r="B17" s="23" t="n"/>
      <c r="C17" s="31" t="n"/>
      <c r="D17" s="31" t="n"/>
      <c r="E17" s="31" t="n"/>
      <c r="F17" s="34">
        <f>IF(OR($C17="",$D17=""),"",IF(AND($C17="High",$D17="High"),"Manage closely",IF(AND($C17="High",$D17&lt;&gt;"High"),"Keep satisfied",IF(AND($C17&lt;&gt;"High",$D17="High"),"Keep informed","Monitor"))))</f>
        <v/>
      </c>
    </row>
    <row r="18">
      <c r="A18" s="23" t="n"/>
      <c r="B18" s="23" t="n"/>
      <c r="C18" s="31" t="n"/>
      <c r="D18" s="31" t="n"/>
      <c r="E18" s="31" t="n"/>
      <c r="F18" s="34">
        <f>IF(OR($C18="",$D18=""),"",IF(AND($C18="High",$D18="High"),"Manage closely",IF(AND($C18="High",$D18&lt;&gt;"High"),"Keep satisfied",IF(AND($C18&lt;&gt;"High",$D18="High"),"Keep informed","Monitor"))))</f>
        <v/>
      </c>
    </row>
    <row r="19">
      <c r="A19" s="23" t="n"/>
      <c r="B19" s="23" t="n"/>
      <c r="C19" s="31" t="n"/>
      <c r="D19" s="31" t="n"/>
      <c r="E19" s="31" t="n"/>
      <c r="F19" s="34">
        <f>IF(OR($C19="",$D19=""),"",IF(AND($C19="High",$D19="High"),"Manage closely",IF(AND($C19="High",$D19&lt;&gt;"High"),"Keep satisfied",IF(AND($C19&lt;&gt;"High",$D19="High"),"Keep informed","Monitor"))))</f>
        <v/>
      </c>
    </row>
    <row r="20">
      <c r="A20" s="23" t="n"/>
      <c r="B20" s="23" t="n"/>
      <c r="C20" s="31" t="n"/>
      <c r="D20" s="31" t="n"/>
      <c r="E20" s="31" t="n"/>
      <c r="F20" s="34">
        <f>IF(OR($C20="",$D20=""),"",IF(AND($C20="High",$D20="High"),"Manage closely",IF(AND($C20="High",$D20&lt;&gt;"High"),"Keep satisfied",IF(AND($C20&lt;&gt;"High",$D20="High"),"Keep informed","Monitor"))))</f>
        <v/>
      </c>
    </row>
    <row r="21">
      <c r="A21" s="23" t="n"/>
      <c r="B21" s="23" t="n"/>
      <c r="C21" s="31" t="n"/>
      <c r="D21" s="31" t="n"/>
      <c r="E21" s="31" t="n"/>
      <c r="F21" s="34">
        <f>IF(OR($C21="",$D21=""),"",IF(AND($C21="High",$D21="High"),"Manage closely",IF(AND($C21="High",$D21&lt;&gt;"High"),"Keep satisfied",IF(AND($C21&lt;&gt;"High",$D21="High"),"Keep informed","Monitor"))))</f>
        <v/>
      </c>
    </row>
    <row r="22">
      <c r="A22" s="23" t="n"/>
      <c r="B22" s="23" t="n"/>
      <c r="C22" s="31" t="n"/>
      <c r="D22" s="31" t="n"/>
      <c r="E22" s="31" t="n"/>
      <c r="F22" s="34">
        <f>IF(OR($C22="",$D22=""),"",IF(AND($C22="High",$D22="High"),"Manage closely",IF(AND($C22="High",$D22&lt;&gt;"High"),"Keep satisfied",IF(AND($C22&lt;&gt;"High",$D22="High"),"Keep informed","Monitor"))))</f>
        <v/>
      </c>
    </row>
    <row r="23">
      <c r="A23" s="23" t="n"/>
      <c r="B23" s="23" t="n"/>
      <c r="C23" s="31" t="n"/>
      <c r="D23" s="31" t="n"/>
      <c r="E23" s="31" t="n"/>
      <c r="F23" s="34">
        <f>IF(OR($C23="",$D23=""),"",IF(AND($C23="High",$D23="High"),"Manage closely",IF(AND($C23="High",$D23&lt;&gt;"High"),"Keep satisfied",IF(AND($C23&lt;&gt;"High",$D23="High"),"Keep informed","Monitor"))))</f>
        <v/>
      </c>
    </row>
    <row r="24">
      <c r="A24" s="23" t="n"/>
      <c r="B24" s="23" t="n"/>
      <c r="C24" s="31" t="n"/>
      <c r="D24" s="31" t="n"/>
      <c r="E24" s="31" t="n"/>
      <c r="F24" s="34">
        <f>IF(OR($C24="",$D24=""),"",IF(AND($C24="High",$D24="High"),"Manage closely",IF(AND($C24="High",$D24&lt;&gt;"High"),"Keep satisfied",IF(AND($C24&lt;&gt;"High",$D24="High"),"Keep informed","Monitor"))))</f>
        <v/>
      </c>
    </row>
    <row r="25">
      <c r="A25" s="23" t="n"/>
      <c r="B25" s="23" t="n"/>
      <c r="C25" s="31" t="n"/>
      <c r="D25" s="31" t="n"/>
      <c r="E25" s="31" t="n"/>
      <c r="F25" s="34">
        <f>IF(OR($C25="",$D25=""),"",IF(AND($C25="High",$D25="High"),"Manage closely",IF(AND($C25="High",$D25&lt;&gt;"High"),"Keep satisfied",IF(AND($C25&lt;&gt;"High",$D25="High"),"Keep informed","Monitor"))))</f>
        <v/>
      </c>
    </row>
    <row r="26">
      <c r="A26" s="23" t="n"/>
      <c r="B26" s="23" t="n"/>
      <c r="C26" s="31" t="n"/>
      <c r="D26" s="31" t="n"/>
      <c r="E26" s="31" t="n"/>
      <c r="F26" s="34">
        <f>IF(OR($C26="",$D26=""),"",IF(AND($C26="High",$D26="High"),"Manage closely",IF(AND($C26="High",$D26&lt;&gt;"High"),"Keep satisfied",IF(AND($C26&lt;&gt;"High",$D26="High"),"Keep informed","Monitor"))))</f>
        <v/>
      </c>
    </row>
    <row r="27">
      <c r="A27" s="23" t="n"/>
      <c r="B27" s="23" t="n"/>
      <c r="C27" s="31" t="n"/>
      <c r="D27" s="31" t="n"/>
      <c r="E27" s="31" t="n"/>
      <c r="F27" s="34">
        <f>IF(OR($C27="",$D27=""),"",IF(AND($C27="High",$D27="High"),"Manage closely",IF(AND($C27="High",$D27&lt;&gt;"High"),"Keep satisfied",IF(AND($C27&lt;&gt;"High",$D27="High"),"Keep informed","Monitor"))))</f>
        <v/>
      </c>
    </row>
    <row r="28">
      <c r="A28" s="23" t="n"/>
      <c r="B28" s="23" t="n"/>
      <c r="C28" s="31" t="n"/>
      <c r="D28" s="31" t="n"/>
      <c r="E28" s="31" t="n"/>
      <c r="F28" s="34">
        <f>IF(OR($C28="",$D28=""),"",IF(AND($C28="High",$D28="High"),"Manage closely",IF(AND($C28="High",$D28&lt;&gt;"High"),"Keep satisfied",IF(AND($C28&lt;&gt;"High",$D28="High"),"Keep informed","Monitor"))))</f>
        <v/>
      </c>
    </row>
    <row r="29">
      <c r="A29" s="23" t="n"/>
      <c r="B29" s="23" t="n"/>
      <c r="C29" s="31" t="n"/>
      <c r="D29" s="31" t="n"/>
      <c r="E29" s="31" t="n"/>
      <c r="F29" s="34">
        <f>IF(OR($C29="",$D29=""),"",IF(AND($C29="High",$D29="High"),"Manage closely",IF(AND($C29="High",$D29&lt;&gt;"High"),"Keep satisfied",IF(AND($C29&lt;&gt;"High",$D29="High"),"Keep informed","Monitor"))))</f>
        <v/>
      </c>
    </row>
    <row r="30">
      <c r="A30" s="23" t="n"/>
      <c r="B30" s="23" t="n"/>
      <c r="C30" s="31" t="n"/>
      <c r="D30" s="31" t="n"/>
      <c r="E30" s="31" t="n"/>
      <c r="F30" s="34">
        <f>IF(OR($C30="",$D30=""),"",IF(AND($C30="High",$D30="High"),"Manage closely",IF(AND($C30="High",$D30&lt;&gt;"High"),"Keep satisfied",IF(AND($C30&lt;&gt;"High",$D30="High"),"Keep informed","Monitor"))))</f>
        <v/>
      </c>
    </row>
    <row r="31">
      <c r="A31" s="23" t="n"/>
      <c r="B31" s="23" t="n"/>
      <c r="C31" s="31" t="n"/>
      <c r="D31" s="31" t="n"/>
      <c r="E31" s="31" t="n"/>
      <c r="F31" s="34">
        <f>IF(OR($C31="",$D31=""),"",IF(AND($C31="High",$D31="High"),"Manage closely",IF(AND($C31="High",$D31&lt;&gt;"High"),"Keep satisfied",IF(AND($C31&lt;&gt;"High",$D31="High"),"Keep informed","Monitor"))))</f>
        <v/>
      </c>
    </row>
    <row r="32">
      <c r="A32" s="23" t="n"/>
      <c r="B32" s="23" t="n"/>
      <c r="C32" s="31" t="n"/>
      <c r="D32" s="31" t="n"/>
      <c r="E32" s="31" t="n"/>
      <c r="F32" s="34">
        <f>IF(OR($C32="",$D32=""),"",IF(AND($C32="High",$D32="High"),"Manage closely",IF(AND($C32="High",$D32&lt;&gt;"High"),"Keep satisfied",IF(AND($C32&lt;&gt;"High",$D32="High"),"Keep informed","Monitor"))))</f>
        <v/>
      </c>
    </row>
    <row r="33">
      <c r="A33" s="23" t="n"/>
      <c r="B33" s="23" t="n"/>
      <c r="C33" s="31" t="n"/>
      <c r="D33" s="31" t="n"/>
      <c r="E33" s="31" t="n"/>
      <c r="F33" s="34">
        <f>IF(OR($C33="",$D33=""),"",IF(AND($C33="High",$D33="High"),"Manage closely",IF(AND($C33="High",$D33&lt;&gt;"High"),"Keep satisfied",IF(AND($C33&lt;&gt;"High",$D33="High"),"Keep informed","Monitor"))))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2">
    <mergeCell ref="A2:F2"/>
    <mergeCell ref="A1:F1"/>
  </mergeCells>
  <conditionalFormatting sqref="F4:F33">
    <cfRule type="cellIs" priority="1" operator="equal" dxfId="6">
      <formula>"Manage closely"</formula>
    </cfRule>
    <cfRule type="cellIs" priority="2" operator="equal" dxfId="7">
      <formula>"Keep satisfied"</formula>
    </cfRule>
    <cfRule type="cellIs" priority="3" operator="equal" dxfId="8">
      <formula>"Keep informed"</formula>
    </cfRule>
    <cfRule type="cellIs" priority="4" operator="equal" dxfId="9">
      <formula>"Monitor"</formula>
    </cfRule>
  </conditionalFormatting>
  <dataValidations count="5">
    <dataValidation sqref="A4:A33" showDropDown="0" showInputMessage="0" showErrorMessage="1" allowBlank="1" errorTitle="Choose from list" error="Please CHOOSE a value from the dropdown - free typing is not allowed." promptTitle="Owner" prompt="Click the arrow and choose" type="list" errorStyle="stop">
      <formula1>CONFIG!$B$15:$B$39</formula1>
    </dataValidation>
    <dataValidation sqref="B4:B33" showDropDown="0" showInputMessage="0" showErrorMessage="1" allowBlank="1" errorTitle="Choose from list" error="Please CHOOSE a value from the dropdown - free typing is not allowed." promptTitle="Role" prompt="Click the arrow and choose" type="list" errorStyle="stop">
      <formula1>LISTS!$I$2:$I$20</formula1>
    </dataValidation>
    <dataValidation sqref="C4:C33" showDropDown="0" showInputMessage="0" showErrorMessage="1" allowBlank="1" errorTitle="Choose from list" error="Please CHOOSE a value from the dropdown - free typing is not allowed." promptTitle="HML" prompt="Click the arrow and choose" type="list" errorStyle="stop">
      <formula1>LISTS!$J$2:$J$4</formula1>
    </dataValidation>
    <dataValidation sqref="D4:D33" showDropDown="0" showInputMessage="0" showErrorMessage="1" allowBlank="1" errorTitle="Choose from list" error="Please CHOOSE a value from the dropdown - free typing is not allowed." promptTitle="HML" prompt="Click the arrow and choose" type="list" errorStyle="stop">
      <formula1>LISTS!$J$2:$J$4</formula1>
    </dataValidation>
    <dataValidation sqref="E4:E33" showDropDown="0" showInputMessage="0" showErrorMessage="1" allowBlank="1" errorTitle="Choose from list" error="Please CHOOSE a value from the dropdown - free typing is not allowed." promptTitle="RACI" prompt="Click the arrow and choose" type="list" errorStyle="stop">
      <formula1>LISTS!$K$2:$K$5</formula1>
    </dataValidation>
  </dataValidations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P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20" customWidth="1" min="3" max="3"/>
    <col width="12" customWidth="1" min="4" max="4"/>
    <col width="12" customWidth="1" min="5" max="5"/>
    <col width="12" customWidth="1" min="6" max="6"/>
    <col width="13" customWidth="1" min="7" max="7"/>
    <col hidden="1" width="13" customWidth="1" min="9" max="9"/>
    <col hidden="1" width="13" customWidth="1" min="10" max="10"/>
    <col hidden="1" width="13" customWidth="1" min="11" max="11"/>
  </cols>
  <sheetData>
    <row r="1" ht="36" customHeight="1">
      <c r="A1" s="57" t="inlineStr">
        <is>
          <t xml:space="preserve">  BUDGET / COST TRACKER  -  estimate vs actual per case</t>
        </is>
      </c>
    </row>
    <row r="2" ht="20" customHeight="1">
      <c r="A2" s="2" t="inlineStr">
        <is>
          <t xml:space="preserve">  Choose-only. Case &amp; status auto-link from MASTER_ENTRY. Pick a cost category and amounts from the dropdowns.</t>
        </is>
      </c>
    </row>
    <row r="3" ht="30" customHeight="1">
      <c r="A3" s="58" t="inlineStr">
        <is>
          <t>CASE ID</t>
        </is>
      </c>
      <c r="B3" s="58" t="inlineStr">
        <is>
          <t>PROBLEM (auto)</t>
        </is>
      </c>
      <c r="C3" s="58" t="inlineStr">
        <is>
          <t>COST CATEGORY</t>
        </is>
      </c>
      <c r="D3" s="58" t="inlineStr">
        <is>
          <t>EST. COST</t>
        </is>
      </c>
      <c r="E3" s="58" t="inlineStr">
        <is>
          <t>ACTUAL COST</t>
        </is>
      </c>
      <c r="F3" s="58" t="inlineStr">
        <is>
          <t>VARIANCE
(auto)</t>
        </is>
      </c>
      <c r="G3" s="58" t="inlineStr">
        <is>
          <t>STATUS
(auto)</t>
        </is>
      </c>
    </row>
    <row r="4" ht="15" customHeight="1">
      <c r="A4" s="36">
        <f>IF('1. MASTER_ENTRY'!$C4="","",'1. MASTER_ENTRY'!$A4)</f>
        <v/>
      </c>
      <c r="B4" s="37">
        <f>IF('1. MASTER_ENTRY'!$C4="","",'1. MASTER_ENTRY'!$C4)</f>
        <v/>
      </c>
      <c r="C4" s="31" t="inlineStr">
        <is>
          <t>Labour / Effort</t>
        </is>
      </c>
      <c r="D4" s="59" t="n">
        <v>15000</v>
      </c>
      <c r="E4" s="59" t="n">
        <v>12000</v>
      </c>
      <c r="F4" s="60">
        <f>IF(OR($D4="",$E4=""),"",$D4-$E4)</f>
        <v/>
      </c>
      <c r="G4" s="29">
        <f>IF('1. MASTER_ENTRY'!$C4="","",'1. MASTER_ENTRY'!$R4)</f>
        <v/>
      </c>
      <c r="I4" s="61" t="inlineStr">
        <is>
          <t>TOTAL EST. BUDGET</t>
        </is>
      </c>
      <c r="J4" s="5" t="n"/>
      <c r="K4" s="62" t="inlineStr">
        <is>
          <t>TOTAL ACTUAL SPEND</t>
        </is>
      </c>
      <c r="L4" s="5" t="n"/>
      <c r="M4" s="63" t="inlineStr">
        <is>
          <t>VARIANCE (est-act)</t>
        </is>
      </c>
      <c r="N4" s="5" t="n"/>
      <c r="O4" s="64" t="inlineStr">
        <is>
          <t>% OF BUDGET SPENT</t>
        </is>
      </c>
      <c r="P4" s="5" t="n"/>
    </row>
    <row r="5" ht="15" customHeight="1">
      <c r="A5" s="29">
        <f>IF('1. MASTER_ENTRY'!$C5="","",'1. MASTER_ENTRY'!$A5)</f>
        <v/>
      </c>
      <c r="B5" s="41">
        <f>IF('1. MASTER_ENTRY'!$C5="","",'1. MASTER_ENTRY'!$C5)</f>
        <v/>
      </c>
      <c r="C5" s="31" t="inlineStr">
        <is>
          <t>Materials</t>
        </is>
      </c>
      <c r="D5" s="59" t="n">
        <v>5000</v>
      </c>
      <c r="E5" s="59" t="n">
        <v>7500</v>
      </c>
      <c r="F5" s="60">
        <f>IF(OR($D5="",$E5=""),"",$D5-$E5)</f>
        <v/>
      </c>
      <c r="G5" s="29">
        <f>IF('1. MASTER_ENTRY'!$C5="","",'1. MASTER_ENTRY'!$R5)</f>
        <v/>
      </c>
      <c r="I5" s="65">
        <f>SUM($D$4:$D$63)</f>
        <v/>
      </c>
      <c r="J5" s="5" t="n"/>
      <c r="K5" s="66">
        <f>SUM($E$4:$E$63)</f>
        <v/>
      </c>
      <c r="L5" s="5" t="n"/>
      <c r="M5" s="67">
        <f>SUM($D$4:$D$63)-SUM($E$4:$E$63)</f>
        <v/>
      </c>
      <c r="N5" s="5" t="n"/>
      <c r="O5" s="68">
        <f>IFERROR(SUM($E$4:$E$63)/SUM($D$4:$D$63),0)</f>
        <v/>
      </c>
      <c r="P5" s="5" t="n"/>
    </row>
    <row r="6" ht="15" customHeight="1">
      <c r="A6" s="36">
        <f>IF('1. MASTER_ENTRY'!$C6="","",'1. MASTER_ENTRY'!$A6)</f>
        <v/>
      </c>
      <c r="B6" s="37">
        <f>IF('1. MASTER_ENTRY'!$C6="","",'1. MASTER_ENTRY'!$C6)</f>
        <v/>
      </c>
      <c r="C6" s="31" t="inlineStr">
        <is>
          <t>Training</t>
        </is>
      </c>
      <c r="D6" s="59" t="n">
        <v>3000</v>
      </c>
      <c r="E6" s="59" t="n">
        <v>2000</v>
      </c>
      <c r="F6" s="60">
        <f>IF(OR($D6="",$E6=""),"",$D6-$E6)</f>
        <v/>
      </c>
      <c r="G6" s="29">
        <f>IF('1. MASTER_ENTRY'!$C6="","",'1. MASTER_ENTRY'!$R6)</f>
        <v/>
      </c>
      <c r="I6" s="5" t="n"/>
      <c r="J6" s="5" t="n"/>
      <c r="K6" s="5" t="n"/>
      <c r="L6" s="5" t="n"/>
      <c r="M6" s="5" t="n"/>
      <c r="N6" s="5" t="n"/>
      <c r="O6" s="5" t="n"/>
      <c r="P6" s="5" t="n"/>
    </row>
    <row r="7" ht="15" customHeight="1">
      <c r="A7" s="29">
        <f>IF('1. MASTER_ENTRY'!$C7="","",'1. MASTER_ENTRY'!$A7)</f>
        <v/>
      </c>
      <c r="B7" s="41">
        <f>IF('1. MASTER_ENTRY'!$C7="","",'1. MASTER_ENTRY'!$C7)</f>
        <v/>
      </c>
      <c r="C7" s="31" t="inlineStr">
        <is>
          <t>External / Consultant</t>
        </is>
      </c>
      <c r="D7" s="59" t="n">
        <v>10000</v>
      </c>
      <c r="E7" s="59" t="n">
        <v>10000</v>
      </c>
      <c r="F7" s="60">
        <f>IF(OR($D7="",$E7=""),"",$D7-$E7)</f>
        <v/>
      </c>
      <c r="G7" s="29">
        <f>IF('1. MASTER_ENTRY'!$C7="","",'1. MASTER_ENTRY'!$R7)</f>
        <v/>
      </c>
    </row>
    <row r="8" ht="15" customHeight="1">
      <c r="A8" s="36">
        <f>IF('1. MASTER_ENTRY'!$C8="","",'1. MASTER_ENTRY'!$A8)</f>
        <v/>
      </c>
      <c r="B8" s="37">
        <f>IF('1. MASTER_ENTRY'!$C8="","",'1. MASTER_ENTRY'!$C8)</f>
        <v/>
      </c>
      <c r="C8" s="31" t="inlineStr">
        <is>
          <t>Tooling / Software</t>
        </is>
      </c>
      <c r="D8" s="59" t="n">
        <v>2000</v>
      </c>
      <c r="E8" s="59" t="n">
        <v>1500</v>
      </c>
      <c r="F8" s="60">
        <f>IF(OR($D8="",$E8=""),"",$D8-$E8)</f>
        <v/>
      </c>
      <c r="G8" s="29">
        <f>IF('1. MASTER_ENTRY'!$C8="","",'1. MASTER_ENTRY'!$R8)</f>
        <v/>
      </c>
      <c r="I8" s="69" t="inlineStr">
        <is>
          <t>Category</t>
        </is>
      </c>
      <c r="J8" t="inlineStr">
        <is>
          <t>Est</t>
        </is>
      </c>
      <c r="K8" t="inlineStr">
        <is>
          <t>Actual</t>
        </is>
      </c>
    </row>
    <row r="9" ht="15" customHeight="1">
      <c r="A9" s="29">
        <f>IF('1. MASTER_ENTRY'!$C9="","",'1. MASTER_ENTRY'!$A9)</f>
        <v/>
      </c>
      <c r="B9" s="41">
        <f>IF('1. MASTER_ENTRY'!$C9="","",'1. MASTER_ENTRY'!$C9)</f>
        <v/>
      </c>
      <c r="C9" s="31" t="inlineStr">
        <is>
          <t>Labour / Effort</t>
        </is>
      </c>
      <c r="D9" s="59" t="n">
        <v>7500</v>
      </c>
      <c r="E9" s="59" t="n">
        <v>5000</v>
      </c>
      <c r="F9" s="60">
        <f>IF(OR($D9="",$E9=""),"",$D9-$E9)</f>
        <v/>
      </c>
      <c r="G9" s="29">
        <f>IF('1. MASTER_ENTRY'!$C9="","",'1. MASTER_ENTRY'!$R9)</f>
        <v/>
      </c>
      <c r="I9" t="inlineStr">
        <is>
          <t>Labour / Effort</t>
        </is>
      </c>
      <c r="J9">
        <f>SUMIF($C$4:$C$63,I9,$D$4:$D$63)</f>
        <v/>
      </c>
      <c r="K9">
        <f>SUMIF($C$4:$C$63,I9,$E$4:$E$63)</f>
        <v/>
      </c>
    </row>
    <row r="10" ht="15" customHeight="1">
      <c r="A10" s="36">
        <f>IF('1. MASTER_ENTRY'!$C10="","",'1. MASTER_ENTRY'!$A10)</f>
        <v/>
      </c>
      <c r="B10" s="37">
        <f>IF('1. MASTER_ENTRY'!$C10="","",'1. MASTER_ENTRY'!$C10)</f>
        <v/>
      </c>
      <c r="C10" s="31" t="n"/>
      <c r="D10" s="59" t="n"/>
      <c r="E10" s="59" t="n"/>
      <c r="F10" s="60">
        <f>IF(OR($D10="",$E10=""),"",$D10-$E10)</f>
        <v/>
      </c>
      <c r="G10" s="29">
        <f>IF('1. MASTER_ENTRY'!$C10="","",'1. MASTER_ENTRY'!$R10)</f>
        <v/>
      </c>
      <c r="I10" t="inlineStr">
        <is>
          <t>Tooling / Software</t>
        </is>
      </c>
      <c r="J10">
        <f>SUMIF($C$4:$C$63,I10,$D$4:$D$63)</f>
        <v/>
      </c>
      <c r="K10">
        <f>SUMIF($C$4:$C$63,I10,$E$4:$E$63)</f>
        <v/>
      </c>
    </row>
    <row r="11" ht="15" customHeight="1">
      <c r="A11" s="29">
        <f>IF('1. MASTER_ENTRY'!$C11="","",'1. MASTER_ENTRY'!$A11)</f>
        <v/>
      </c>
      <c r="B11" s="41">
        <f>IF('1. MASTER_ENTRY'!$C11="","",'1. MASTER_ENTRY'!$C11)</f>
        <v/>
      </c>
      <c r="C11" s="31" t="n"/>
      <c r="D11" s="59" t="n"/>
      <c r="E11" s="59" t="n"/>
      <c r="F11" s="60">
        <f>IF(OR($D11="",$E11=""),"",$D11-$E11)</f>
        <v/>
      </c>
      <c r="G11" s="29">
        <f>IF('1. MASTER_ENTRY'!$C11="","",'1. MASTER_ENTRY'!$R11)</f>
        <v/>
      </c>
      <c r="I11" t="inlineStr">
        <is>
          <t>Training</t>
        </is>
      </c>
      <c r="J11">
        <f>SUMIF($C$4:$C$63,I11,$D$4:$D$63)</f>
        <v/>
      </c>
      <c r="K11">
        <f>SUMIF($C$4:$C$63,I11,$E$4:$E$63)</f>
        <v/>
      </c>
    </row>
    <row r="12" ht="15" customHeight="1">
      <c r="A12" s="36">
        <f>IF('1. MASTER_ENTRY'!$C12="","",'1. MASTER_ENTRY'!$A12)</f>
        <v/>
      </c>
      <c r="B12" s="37">
        <f>IF('1. MASTER_ENTRY'!$C12="","",'1. MASTER_ENTRY'!$C12)</f>
        <v/>
      </c>
      <c r="C12" s="31" t="n"/>
      <c r="D12" s="59" t="n"/>
      <c r="E12" s="59" t="n"/>
      <c r="F12" s="60">
        <f>IF(OR($D12="",$E12=""),"",$D12-$E12)</f>
        <v/>
      </c>
      <c r="G12" s="29">
        <f>IF('1. MASTER_ENTRY'!$C12="","",'1. MASTER_ENTRY'!$R12)</f>
        <v/>
      </c>
      <c r="I12" t="inlineStr">
        <is>
          <t>Materials</t>
        </is>
      </c>
      <c r="J12">
        <f>SUMIF($C$4:$C$63,I12,$D$4:$D$63)</f>
        <v/>
      </c>
      <c r="K12">
        <f>SUMIF($C$4:$C$63,I12,$E$4:$E$63)</f>
        <v/>
      </c>
    </row>
    <row r="13" ht="15" customHeight="1">
      <c r="A13" s="29">
        <f>IF('1. MASTER_ENTRY'!$C13="","",'1. MASTER_ENTRY'!$A13)</f>
        <v/>
      </c>
      <c r="B13" s="41">
        <f>IF('1. MASTER_ENTRY'!$C13="","",'1. MASTER_ENTRY'!$C13)</f>
        <v/>
      </c>
      <c r="C13" s="31" t="n"/>
      <c r="D13" s="59" t="n"/>
      <c r="E13" s="59" t="n"/>
      <c r="F13" s="60">
        <f>IF(OR($D13="",$E13=""),"",$D13-$E13)</f>
        <v/>
      </c>
      <c r="G13" s="29">
        <f>IF('1. MASTER_ENTRY'!$C13="","",'1. MASTER_ENTRY'!$R13)</f>
        <v/>
      </c>
      <c r="I13" t="inlineStr">
        <is>
          <t>External / Consultant</t>
        </is>
      </c>
      <c r="J13">
        <f>SUMIF($C$4:$C$63,I13,$D$4:$D$63)</f>
        <v/>
      </c>
      <c r="K13">
        <f>SUMIF($C$4:$C$63,I13,$E$4:$E$63)</f>
        <v/>
      </c>
    </row>
    <row r="14" ht="15" customHeight="1">
      <c r="A14" s="36">
        <f>IF('1. MASTER_ENTRY'!$C14="","",'1. MASTER_ENTRY'!$A14)</f>
        <v/>
      </c>
      <c r="B14" s="37">
        <f>IF('1. MASTER_ENTRY'!$C14="","",'1. MASTER_ENTRY'!$C14)</f>
        <v/>
      </c>
      <c r="C14" s="31" t="n"/>
      <c r="D14" s="59" t="n"/>
      <c r="E14" s="59" t="n"/>
      <c r="F14" s="60">
        <f>IF(OR($D14="",$E14=""),"",$D14-$E14)</f>
        <v/>
      </c>
      <c r="G14" s="29">
        <f>IF('1. MASTER_ENTRY'!$C14="","",'1. MASTER_ENTRY'!$R14)</f>
        <v/>
      </c>
      <c r="I14" t="inlineStr">
        <is>
          <t>Downtime / Lost output</t>
        </is>
      </c>
      <c r="J14">
        <f>SUMIF($C$4:$C$63,I14,$D$4:$D$63)</f>
        <v/>
      </c>
      <c r="K14">
        <f>SUMIF($C$4:$C$63,I14,$E$4:$E$63)</f>
        <v/>
      </c>
    </row>
    <row r="15" ht="15" customHeight="1">
      <c r="A15" s="29">
        <f>IF('1. MASTER_ENTRY'!$C15="","",'1. MASTER_ENTRY'!$A15)</f>
        <v/>
      </c>
      <c r="B15" s="41">
        <f>IF('1. MASTER_ENTRY'!$C15="","",'1. MASTER_ENTRY'!$C15)</f>
        <v/>
      </c>
      <c r="C15" s="31" t="n"/>
      <c r="D15" s="59" t="n"/>
      <c r="E15" s="59" t="n"/>
      <c r="F15" s="60">
        <f>IF(OR($D15="",$E15=""),"",$D15-$E15)</f>
        <v/>
      </c>
      <c r="G15" s="29">
        <f>IF('1. MASTER_ENTRY'!$C15="","",'1. MASTER_ENTRY'!$R15)</f>
        <v/>
      </c>
      <c r="I15" t="inlineStr">
        <is>
          <t>Other</t>
        </is>
      </c>
      <c r="J15">
        <f>SUMIF($C$4:$C$63,I15,$D$4:$D$63)</f>
        <v/>
      </c>
      <c r="K15">
        <f>SUMIF($C$4:$C$63,I15,$E$4:$E$63)</f>
        <v/>
      </c>
    </row>
    <row r="16" ht="15" customHeight="1">
      <c r="A16" s="36">
        <f>IF('1. MASTER_ENTRY'!$C16="","",'1. MASTER_ENTRY'!$A16)</f>
        <v/>
      </c>
      <c r="B16" s="37">
        <f>IF('1. MASTER_ENTRY'!$C16="","",'1. MASTER_ENTRY'!$C16)</f>
        <v/>
      </c>
      <c r="C16" s="31" t="n"/>
      <c r="D16" s="59" t="n"/>
      <c r="E16" s="59" t="n"/>
      <c r="F16" s="60">
        <f>IF(OR($D16="",$E16=""),"",$D16-$E16)</f>
        <v/>
      </c>
      <c r="G16" s="29">
        <f>IF('1. MASTER_ENTRY'!$C16="","",'1. MASTER_ENTRY'!$R16)</f>
        <v/>
      </c>
    </row>
    <row r="17" ht="15" customHeight="1">
      <c r="A17" s="29">
        <f>IF('1. MASTER_ENTRY'!$C17="","",'1. MASTER_ENTRY'!$A17)</f>
        <v/>
      </c>
      <c r="B17" s="41">
        <f>IF('1. MASTER_ENTRY'!$C17="","",'1. MASTER_ENTRY'!$C17)</f>
        <v/>
      </c>
      <c r="C17" s="31" t="n"/>
      <c r="D17" s="59" t="n"/>
      <c r="E17" s="59" t="n"/>
      <c r="F17" s="60">
        <f>IF(OR($D17="",$E17=""),"",$D17-$E17)</f>
        <v/>
      </c>
      <c r="G17" s="29">
        <f>IF('1. MASTER_ENTRY'!$C17="","",'1. MASTER_ENTRY'!$R17)</f>
        <v/>
      </c>
    </row>
    <row r="18" ht="15" customHeight="1">
      <c r="A18" s="36">
        <f>IF('1. MASTER_ENTRY'!$C18="","",'1. MASTER_ENTRY'!$A18)</f>
        <v/>
      </c>
      <c r="B18" s="37">
        <f>IF('1. MASTER_ENTRY'!$C18="","",'1. MASTER_ENTRY'!$C18)</f>
        <v/>
      </c>
      <c r="C18" s="31" t="n"/>
      <c r="D18" s="59" t="n"/>
      <c r="E18" s="59" t="n"/>
      <c r="F18" s="60">
        <f>IF(OR($D18="",$E18=""),"",$D18-$E18)</f>
        <v/>
      </c>
      <c r="G18" s="29">
        <f>IF('1. MASTER_ENTRY'!$C18="","",'1. MASTER_ENTRY'!$R18)</f>
        <v/>
      </c>
    </row>
    <row r="19" ht="15" customHeight="1">
      <c r="A19" s="29">
        <f>IF('1. MASTER_ENTRY'!$C19="","",'1. MASTER_ENTRY'!$A19)</f>
        <v/>
      </c>
      <c r="B19" s="41">
        <f>IF('1. MASTER_ENTRY'!$C19="","",'1. MASTER_ENTRY'!$C19)</f>
        <v/>
      </c>
      <c r="C19" s="31" t="n"/>
      <c r="D19" s="59" t="n"/>
      <c r="E19" s="59" t="n"/>
      <c r="F19" s="60">
        <f>IF(OR($D19="",$E19=""),"",$D19-$E19)</f>
        <v/>
      </c>
      <c r="G19" s="29">
        <f>IF('1. MASTER_ENTRY'!$C19="","",'1. MASTER_ENTRY'!$R19)</f>
        <v/>
      </c>
    </row>
    <row r="20" ht="15" customHeight="1">
      <c r="A20" s="36">
        <f>IF('1. MASTER_ENTRY'!$C20="","",'1. MASTER_ENTRY'!$A20)</f>
        <v/>
      </c>
      <c r="B20" s="37">
        <f>IF('1. MASTER_ENTRY'!$C20="","",'1. MASTER_ENTRY'!$C20)</f>
        <v/>
      </c>
      <c r="C20" s="31" t="n"/>
      <c r="D20" s="59" t="n"/>
      <c r="E20" s="59" t="n"/>
      <c r="F20" s="60">
        <f>IF(OR($D20="",$E20=""),"",$D20-$E20)</f>
        <v/>
      </c>
      <c r="G20" s="29">
        <f>IF('1. MASTER_ENTRY'!$C20="","",'1. MASTER_ENTRY'!$R20)</f>
        <v/>
      </c>
    </row>
    <row r="21" ht="15" customHeight="1">
      <c r="A21" s="29">
        <f>IF('1. MASTER_ENTRY'!$C21="","",'1. MASTER_ENTRY'!$A21)</f>
        <v/>
      </c>
      <c r="B21" s="41">
        <f>IF('1. MASTER_ENTRY'!$C21="","",'1. MASTER_ENTRY'!$C21)</f>
        <v/>
      </c>
      <c r="C21" s="31" t="n"/>
      <c r="D21" s="59" t="n"/>
      <c r="E21" s="59" t="n"/>
      <c r="F21" s="60">
        <f>IF(OR($D21="",$E21=""),"",$D21-$E21)</f>
        <v/>
      </c>
      <c r="G21" s="29">
        <f>IF('1. MASTER_ENTRY'!$C21="","",'1. MASTER_ENTRY'!$R21)</f>
        <v/>
      </c>
    </row>
    <row r="22" ht="15" customHeight="1">
      <c r="A22" s="36">
        <f>IF('1. MASTER_ENTRY'!$C22="","",'1. MASTER_ENTRY'!$A22)</f>
        <v/>
      </c>
      <c r="B22" s="37">
        <f>IF('1. MASTER_ENTRY'!$C22="","",'1. MASTER_ENTRY'!$C22)</f>
        <v/>
      </c>
      <c r="C22" s="31" t="n"/>
      <c r="D22" s="59" t="n"/>
      <c r="E22" s="59" t="n"/>
      <c r="F22" s="60">
        <f>IF(OR($D22="",$E22=""),"",$D22-$E22)</f>
        <v/>
      </c>
      <c r="G22" s="29">
        <f>IF('1. MASTER_ENTRY'!$C22="","",'1. MASTER_ENTRY'!$R22)</f>
        <v/>
      </c>
    </row>
    <row r="23" ht="15" customHeight="1">
      <c r="A23" s="29">
        <f>IF('1. MASTER_ENTRY'!$C23="","",'1. MASTER_ENTRY'!$A23)</f>
        <v/>
      </c>
      <c r="B23" s="41">
        <f>IF('1. MASTER_ENTRY'!$C23="","",'1. MASTER_ENTRY'!$C23)</f>
        <v/>
      </c>
      <c r="C23" s="31" t="n"/>
      <c r="D23" s="59" t="n"/>
      <c r="E23" s="59" t="n"/>
      <c r="F23" s="60">
        <f>IF(OR($D23="",$E23=""),"",$D23-$E23)</f>
        <v/>
      </c>
      <c r="G23" s="29">
        <f>IF('1. MASTER_ENTRY'!$C23="","",'1. MASTER_ENTRY'!$R23)</f>
        <v/>
      </c>
    </row>
    <row r="24" ht="15" customHeight="1">
      <c r="A24" s="36">
        <f>IF('1. MASTER_ENTRY'!$C24="","",'1. MASTER_ENTRY'!$A24)</f>
        <v/>
      </c>
      <c r="B24" s="37">
        <f>IF('1. MASTER_ENTRY'!$C24="","",'1. MASTER_ENTRY'!$C24)</f>
        <v/>
      </c>
      <c r="C24" s="31" t="n"/>
      <c r="D24" s="59" t="n"/>
      <c r="E24" s="59" t="n"/>
      <c r="F24" s="60">
        <f>IF(OR($D24="",$E24=""),"",$D24-$E24)</f>
        <v/>
      </c>
      <c r="G24" s="29">
        <f>IF('1. MASTER_ENTRY'!$C24="","",'1. MASTER_ENTRY'!$R24)</f>
        <v/>
      </c>
    </row>
    <row r="25" ht="15" customHeight="1">
      <c r="A25" s="29">
        <f>IF('1. MASTER_ENTRY'!$C25="","",'1. MASTER_ENTRY'!$A25)</f>
        <v/>
      </c>
      <c r="B25" s="41">
        <f>IF('1. MASTER_ENTRY'!$C25="","",'1. MASTER_ENTRY'!$C25)</f>
        <v/>
      </c>
      <c r="C25" s="31" t="n"/>
      <c r="D25" s="59" t="n"/>
      <c r="E25" s="59" t="n"/>
      <c r="F25" s="60">
        <f>IF(OR($D25="",$E25=""),"",$D25-$E25)</f>
        <v/>
      </c>
      <c r="G25" s="29">
        <f>IF('1. MASTER_ENTRY'!$C25="","",'1. MASTER_ENTRY'!$R25)</f>
        <v/>
      </c>
    </row>
    <row r="26" ht="15" customHeight="1">
      <c r="A26" s="36">
        <f>IF('1. MASTER_ENTRY'!$C26="","",'1. MASTER_ENTRY'!$A26)</f>
        <v/>
      </c>
      <c r="B26" s="37">
        <f>IF('1. MASTER_ENTRY'!$C26="","",'1. MASTER_ENTRY'!$C26)</f>
        <v/>
      </c>
      <c r="C26" s="31" t="n"/>
      <c r="D26" s="59" t="n"/>
      <c r="E26" s="59" t="n"/>
      <c r="F26" s="60">
        <f>IF(OR($D26="",$E26=""),"",$D26-$E26)</f>
        <v/>
      </c>
      <c r="G26" s="29">
        <f>IF('1. MASTER_ENTRY'!$C26="","",'1. MASTER_ENTRY'!$R26)</f>
        <v/>
      </c>
    </row>
    <row r="27" ht="15" customHeight="1">
      <c r="A27" s="29">
        <f>IF('1. MASTER_ENTRY'!$C27="","",'1. MASTER_ENTRY'!$A27)</f>
        <v/>
      </c>
      <c r="B27" s="41">
        <f>IF('1. MASTER_ENTRY'!$C27="","",'1. MASTER_ENTRY'!$C27)</f>
        <v/>
      </c>
      <c r="C27" s="31" t="n"/>
      <c r="D27" s="59" t="n"/>
      <c r="E27" s="59" t="n"/>
      <c r="F27" s="60">
        <f>IF(OR($D27="",$E27=""),"",$D27-$E27)</f>
        <v/>
      </c>
      <c r="G27" s="29">
        <f>IF('1. MASTER_ENTRY'!$C27="","",'1. MASTER_ENTRY'!$R27)</f>
        <v/>
      </c>
    </row>
    <row r="28" ht="15" customHeight="1">
      <c r="A28" s="36">
        <f>IF('1. MASTER_ENTRY'!$C28="","",'1. MASTER_ENTRY'!$A28)</f>
        <v/>
      </c>
      <c r="B28" s="37">
        <f>IF('1. MASTER_ENTRY'!$C28="","",'1. MASTER_ENTRY'!$C28)</f>
        <v/>
      </c>
      <c r="C28" s="31" t="n"/>
      <c r="D28" s="59" t="n"/>
      <c r="E28" s="59" t="n"/>
      <c r="F28" s="60">
        <f>IF(OR($D28="",$E28=""),"",$D28-$E28)</f>
        <v/>
      </c>
      <c r="G28" s="29">
        <f>IF('1. MASTER_ENTRY'!$C28="","",'1. MASTER_ENTRY'!$R28)</f>
        <v/>
      </c>
    </row>
    <row r="29" ht="15" customHeight="1">
      <c r="A29" s="29">
        <f>IF('1. MASTER_ENTRY'!$C29="","",'1. MASTER_ENTRY'!$A29)</f>
        <v/>
      </c>
      <c r="B29" s="41">
        <f>IF('1. MASTER_ENTRY'!$C29="","",'1. MASTER_ENTRY'!$C29)</f>
        <v/>
      </c>
      <c r="C29" s="31" t="n"/>
      <c r="D29" s="59" t="n"/>
      <c r="E29" s="59" t="n"/>
      <c r="F29" s="60">
        <f>IF(OR($D29="",$E29=""),"",$D29-$E29)</f>
        <v/>
      </c>
      <c r="G29" s="29">
        <f>IF('1. MASTER_ENTRY'!$C29="","",'1. MASTER_ENTRY'!$R29)</f>
        <v/>
      </c>
    </row>
    <row r="30" ht="15" customHeight="1">
      <c r="A30" s="36">
        <f>IF('1. MASTER_ENTRY'!$C30="","",'1. MASTER_ENTRY'!$A30)</f>
        <v/>
      </c>
      <c r="B30" s="37">
        <f>IF('1. MASTER_ENTRY'!$C30="","",'1. MASTER_ENTRY'!$C30)</f>
        <v/>
      </c>
      <c r="C30" s="31" t="n"/>
      <c r="D30" s="59" t="n"/>
      <c r="E30" s="59" t="n"/>
      <c r="F30" s="60">
        <f>IF(OR($D30="",$E30=""),"",$D30-$E30)</f>
        <v/>
      </c>
      <c r="G30" s="29">
        <f>IF('1. MASTER_ENTRY'!$C30="","",'1. MASTER_ENTRY'!$R30)</f>
        <v/>
      </c>
    </row>
    <row r="31" ht="15" customHeight="1">
      <c r="A31" s="29">
        <f>IF('1. MASTER_ENTRY'!$C31="","",'1. MASTER_ENTRY'!$A31)</f>
        <v/>
      </c>
      <c r="B31" s="41">
        <f>IF('1. MASTER_ENTRY'!$C31="","",'1. MASTER_ENTRY'!$C31)</f>
        <v/>
      </c>
      <c r="C31" s="31" t="n"/>
      <c r="D31" s="59" t="n"/>
      <c r="E31" s="59" t="n"/>
      <c r="F31" s="60">
        <f>IF(OR($D31="",$E31=""),"",$D31-$E31)</f>
        <v/>
      </c>
      <c r="G31" s="29">
        <f>IF('1. MASTER_ENTRY'!$C31="","",'1. MASTER_ENTRY'!$R31)</f>
        <v/>
      </c>
    </row>
    <row r="32" ht="15" customHeight="1">
      <c r="A32" s="36">
        <f>IF('1. MASTER_ENTRY'!$C32="","",'1. MASTER_ENTRY'!$A32)</f>
        <v/>
      </c>
      <c r="B32" s="37">
        <f>IF('1. MASTER_ENTRY'!$C32="","",'1. MASTER_ENTRY'!$C32)</f>
        <v/>
      </c>
      <c r="C32" s="31" t="n"/>
      <c r="D32" s="59" t="n"/>
      <c r="E32" s="59" t="n"/>
      <c r="F32" s="60">
        <f>IF(OR($D32="",$E32=""),"",$D32-$E32)</f>
        <v/>
      </c>
      <c r="G32" s="29">
        <f>IF('1. MASTER_ENTRY'!$C32="","",'1. MASTER_ENTRY'!$R32)</f>
        <v/>
      </c>
    </row>
    <row r="33" ht="15" customHeight="1">
      <c r="A33" s="29">
        <f>IF('1. MASTER_ENTRY'!$C33="","",'1. MASTER_ENTRY'!$A33)</f>
        <v/>
      </c>
      <c r="B33" s="41">
        <f>IF('1. MASTER_ENTRY'!$C33="","",'1. MASTER_ENTRY'!$C33)</f>
        <v/>
      </c>
      <c r="C33" s="31" t="n"/>
      <c r="D33" s="59" t="n"/>
      <c r="E33" s="59" t="n"/>
      <c r="F33" s="60">
        <f>IF(OR($D33="",$E33=""),"",$D33-$E33)</f>
        <v/>
      </c>
      <c r="G33" s="29">
        <f>IF('1. MASTER_ENTRY'!$C33="","",'1. MASTER_ENTRY'!$R33)</f>
        <v/>
      </c>
    </row>
    <row r="34" ht="15" customHeight="1">
      <c r="A34" s="36">
        <f>IF('1. MASTER_ENTRY'!$C34="","",'1. MASTER_ENTRY'!$A34)</f>
        <v/>
      </c>
      <c r="B34" s="37">
        <f>IF('1. MASTER_ENTRY'!$C34="","",'1. MASTER_ENTRY'!$C34)</f>
        <v/>
      </c>
      <c r="C34" s="31" t="n"/>
      <c r="D34" s="59" t="n"/>
      <c r="E34" s="59" t="n"/>
      <c r="F34" s="60">
        <f>IF(OR($D34="",$E34=""),"",$D34-$E34)</f>
        <v/>
      </c>
      <c r="G34" s="29">
        <f>IF('1. MASTER_ENTRY'!$C34="","",'1. MASTER_ENTRY'!$R34)</f>
        <v/>
      </c>
    </row>
    <row r="35" ht="15" customHeight="1">
      <c r="A35" s="29">
        <f>IF('1. MASTER_ENTRY'!$C35="","",'1. MASTER_ENTRY'!$A35)</f>
        <v/>
      </c>
      <c r="B35" s="41">
        <f>IF('1. MASTER_ENTRY'!$C35="","",'1. MASTER_ENTRY'!$C35)</f>
        <v/>
      </c>
      <c r="C35" s="31" t="n"/>
      <c r="D35" s="59" t="n"/>
      <c r="E35" s="59" t="n"/>
      <c r="F35" s="60">
        <f>IF(OR($D35="",$E35=""),"",$D35-$E35)</f>
        <v/>
      </c>
      <c r="G35" s="29">
        <f>IF('1. MASTER_ENTRY'!$C35="","",'1. MASTER_ENTRY'!$R35)</f>
        <v/>
      </c>
    </row>
    <row r="36" ht="15" customHeight="1">
      <c r="A36" s="36">
        <f>IF('1. MASTER_ENTRY'!$C36="","",'1. MASTER_ENTRY'!$A36)</f>
        <v/>
      </c>
      <c r="B36" s="37">
        <f>IF('1. MASTER_ENTRY'!$C36="","",'1. MASTER_ENTRY'!$C36)</f>
        <v/>
      </c>
      <c r="C36" s="31" t="n"/>
      <c r="D36" s="59" t="n"/>
      <c r="E36" s="59" t="n"/>
      <c r="F36" s="60">
        <f>IF(OR($D36="",$E36=""),"",$D36-$E36)</f>
        <v/>
      </c>
      <c r="G36" s="29">
        <f>IF('1. MASTER_ENTRY'!$C36="","",'1. MASTER_ENTRY'!$R36)</f>
        <v/>
      </c>
    </row>
    <row r="37" ht="15" customHeight="1">
      <c r="A37" s="29">
        <f>IF('1. MASTER_ENTRY'!$C37="","",'1. MASTER_ENTRY'!$A37)</f>
        <v/>
      </c>
      <c r="B37" s="41">
        <f>IF('1. MASTER_ENTRY'!$C37="","",'1. MASTER_ENTRY'!$C37)</f>
        <v/>
      </c>
      <c r="C37" s="31" t="n"/>
      <c r="D37" s="59" t="n"/>
      <c r="E37" s="59" t="n"/>
      <c r="F37" s="60">
        <f>IF(OR($D37="",$E37=""),"",$D37-$E37)</f>
        <v/>
      </c>
      <c r="G37" s="29">
        <f>IF('1. MASTER_ENTRY'!$C37="","",'1. MASTER_ENTRY'!$R37)</f>
        <v/>
      </c>
    </row>
    <row r="38" ht="15" customHeight="1">
      <c r="A38" s="36">
        <f>IF('1. MASTER_ENTRY'!$C38="","",'1. MASTER_ENTRY'!$A38)</f>
        <v/>
      </c>
      <c r="B38" s="37">
        <f>IF('1. MASTER_ENTRY'!$C38="","",'1. MASTER_ENTRY'!$C38)</f>
        <v/>
      </c>
      <c r="C38" s="31" t="n"/>
      <c r="D38" s="59" t="n"/>
      <c r="E38" s="59" t="n"/>
      <c r="F38" s="60">
        <f>IF(OR($D38="",$E38=""),"",$D38-$E38)</f>
        <v/>
      </c>
      <c r="G38" s="29">
        <f>IF('1. MASTER_ENTRY'!$C38="","",'1. MASTER_ENTRY'!$R38)</f>
        <v/>
      </c>
    </row>
    <row r="39" ht="15" customHeight="1">
      <c r="A39" s="29">
        <f>IF('1. MASTER_ENTRY'!$C39="","",'1. MASTER_ENTRY'!$A39)</f>
        <v/>
      </c>
      <c r="B39" s="41">
        <f>IF('1. MASTER_ENTRY'!$C39="","",'1. MASTER_ENTRY'!$C39)</f>
        <v/>
      </c>
      <c r="C39" s="31" t="n"/>
      <c r="D39" s="59" t="n"/>
      <c r="E39" s="59" t="n"/>
      <c r="F39" s="60">
        <f>IF(OR($D39="",$E39=""),"",$D39-$E39)</f>
        <v/>
      </c>
      <c r="G39" s="29">
        <f>IF('1. MASTER_ENTRY'!$C39="","",'1. MASTER_ENTRY'!$R39)</f>
        <v/>
      </c>
    </row>
    <row r="40" ht="15" customHeight="1">
      <c r="A40" s="36">
        <f>IF('1. MASTER_ENTRY'!$C40="","",'1. MASTER_ENTRY'!$A40)</f>
        <v/>
      </c>
      <c r="B40" s="37">
        <f>IF('1. MASTER_ENTRY'!$C40="","",'1. MASTER_ENTRY'!$C40)</f>
        <v/>
      </c>
      <c r="C40" s="31" t="n"/>
      <c r="D40" s="59" t="n"/>
      <c r="E40" s="59" t="n"/>
      <c r="F40" s="60">
        <f>IF(OR($D40="",$E40=""),"",$D40-$E40)</f>
        <v/>
      </c>
      <c r="G40" s="29">
        <f>IF('1. MASTER_ENTRY'!$C40="","",'1. MASTER_ENTRY'!$R40)</f>
        <v/>
      </c>
    </row>
    <row r="41" ht="15" customHeight="1">
      <c r="A41" s="29">
        <f>IF('1. MASTER_ENTRY'!$C41="","",'1. MASTER_ENTRY'!$A41)</f>
        <v/>
      </c>
      <c r="B41" s="41">
        <f>IF('1. MASTER_ENTRY'!$C41="","",'1. MASTER_ENTRY'!$C41)</f>
        <v/>
      </c>
      <c r="C41" s="31" t="n"/>
      <c r="D41" s="59" t="n"/>
      <c r="E41" s="59" t="n"/>
      <c r="F41" s="60">
        <f>IF(OR($D41="",$E41=""),"",$D41-$E41)</f>
        <v/>
      </c>
      <c r="G41" s="29">
        <f>IF('1. MASTER_ENTRY'!$C41="","",'1. MASTER_ENTRY'!$R41)</f>
        <v/>
      </c>
    </row>
    <row r="42" ht="15" customHeight="1">
      <c r="A42" s="36">
        <f>IF('1. MASTER_ENTRY'!$C42="","",'1. MASTER_ENTRY'!$A42)</f>
        <v/>
      </c>
      <c r="B42" s="37">
        <f>IF('1. MASTER_ENTRY'!$C42="","",'1. MASTER_ENTRY'!$C42)</f>
        <v/>
      </c>
      <c r="C42" s="31" t="n"/>
      <c r="D42" s="59" t="n"/>
      <c r="E42" s="59" t="n"/>
      <c r="F42" s="60">
        <f>IF(OR($D42="",$E42=""),"",$D42-$E42)</f>
        <v/>
      </c>
      <c r="G42" s="29">
        <f>IF('1. MASTER_ENTRY'!$C42="","",'1. MASTER_ENTRY'!$R42)</f>
        <v/>
      </c>
    </row>
    <row r="43" ht="15" customHeight="1">
      <c r="A43" s="29">
        <f>IF('1. MASTER_ENTRY'!$C43="","",'1. MASTER_ENTRY'!$A43)</f>
        <v/>
      </c>
      <c r="B43" s="41">
        <f>IF('1. MASTER_ENTRY'!$C43="","",'1. MASTER_ENTRY'!$C43)</f>
        <v/>
      </c>
      <c r="C43" s="31" t="n"/>
      <c r="D43" s="59" t="n"/>
      <c r="E43" s="59" t="n"/>
      <c r="F43" s="60">
        <f>IF(OR($D43="",$E43=""),"",$D43-$E43)</f>
        <v/>
      </c>
      <c r="G43" s="29">
        <f>IF('1. MASTER_ENTRY'!$C43="","",'1. MASTER_ENTRY'!$R43)</f>
        <v/>
      </c>
    </row>
    <row r="44" ht="15" customHeight="1">
      <c r="A44" s="36">
        <f>IF('1. MASTER_ENTRY'!$C44="","",'1. MASTER_ENTRY'!$A44)</f>
        <v/>
      </c>
      <c r="B44" s="37">
        <f>IF('1. MASTER_ENTRY'!$C44="","",'1. MASTER_ENTRY'!$C44)</f>
        <v/>
      </c>
      <c r="C44" s="31" t="n"/>
      <c r="D44" s="59" t="n"/>
      <c r="E44" s="59" t="n"/>
      <c r="F44" s="60">
        <f>IF(OR($D44="",$E44=""),"",$D44-$E44)</f>
        <v/>
      </c>
      <c r="G44" s="29">
        <f>IF('1. MASTER_ENTRY'!$C44="","",'1. MASTER_ENTRY'!$R44)</f>
        <v/>
      </c>
    </row>
    <row r="45" ht="15" customHeight="1">
      <c r="A45" s="29">
        <f>IF('1. MASTER_ENTRY'!$C45="","",'1. MASTER_ENTRY'!$A45)</f>
        <v/>
      </c>
      <c r="B45" s="41">
        <f>IF('1. MASTER_ENTRY'!$C45="","",'1. MASTER_ENTRY'!$C45)</f>
        <v/>
      </c>
      <c r="C45" s="31" t="n"/>
      <c r="D45" s="59" t="n"/>
      <c r="E45" s="59" t="n"/>
      <c r="F45" s="60">
        <f>IF(OR($D45="",$E45=""),"",$D45-$E45)</f>
        <v/>
      </c>
      <c r="G45" s="29">
        <f>IF('1. MASTER_ENTRY'!$C45="","",'1. MASTER_ENTRY'!$R45)</f>
        <v/>
      </c>
    </row>
    <row r="46" ht="15" customHeight="1">
      <c r="A46" s="36">
        <f>IF('1. MASTER_ENTRY'!$C46="","",'1. MASTER_ENTRY'!$A46)</f>
        <v/>
      </c>
      <c r="B46" s="37">
        <f>IF('1. MASTER_ENTRY'!$C46="","",'1. MASTER_ENTRY'!$C46)</f>
        <v/>
      </c>
      <c r="C46" s="31" t="n"/>
      <c r="D46" s="59" t="n"/>
      <c r="E46" s="59" t="n"/>
      <c r="F46" s="60">
        <f>IF(OR($D46="",$E46=""),"",$D46-$E46)</f>
        <v/>
      </c>
      <c r="G46" s="29">
        <f>IF('1. MASTER_ENTRY'!$C46="","",'1. MASTER_ENTRY'!$R46)</f>
        <v/>
      </c>
    </row>
    <row r="47" ht="15" customHeight="1">
      <c r="A47" s="29">
        <f>IF('1. MASTER_ENTRY'!$C47="","",'1. MASTER_ENTRY'!$A47)</f>
        <v/>
      </c>
      <c r="B47" s="41">
        <f>IF('1. MASTER_ENTRY'!$C47="","",'1. MASTER_ENTRY'!$C47)</f>
        <v/>
      </c>
      <c r="C47" s="31" t="n"/>
      <c r="D47" s="59" t="n"/>
      <c r="E47" s="59" t="n"/>
      <c r="F47" s="60">
        <f>IF(OR($D47="",$E47=""),"",$D47-$E47)</f>
        <v/>
      </c>
      <c r="G47" s="29">
        <f>IF('1. MASTER_ENTRY'!$C47="","",'1. MASTER_ENTRY'!$R47)</f>
        <v/>
      </c>
    </row>
    <row r="48" ht="15" customHeight="1">
      <c r="A48" s="36">
        <f>IF('1. MASTER_ENTRY'!$C48="","",'1. MASTER_ENTRY'!$A48)</f>
        <v/>
      </c>
      <c r="B48" s="37">
        <f>IF('1. MASTER_ENTRY'!$C48="","",'1. MASTER_ENTRY'!$C48)</f>
        <v/>
      </c>
      <c r="C48" s="31" t="n"/>
      <c r="D48" s="59" t="n"/>
      <c r="E48" s="59" t="n"/>
      <c r="F48" s="60">
        <f>IF(OR($D48="",$E48=""),"",$D48-$E48)</f>
        <v/>
      </c>
      <c r="G48" s="29">
        <f>IF('1. MASTER_ENTRY'!$C48="","",'1. MASTER_ENTRY'!$R48)</f>
        <v/>
      </c>
    </row>
    <row r="49" ht="15" customHeight="1">
      <c r="A49" s="29">
        <f>IF('1. MASTER_ENTRY'!$C49="","",'1. MASTER_ENTRY'!$A49)</f>
        <v/>
      </c>
      <c r="B49" s="41">
        <f>IF('1. MASTER_ENTRY'!$C49="","",'1. MASTER_ENTRY'!$C49)</f>
        <v/>
      </c>
      <c r="C49" s="31" t="n"/>
      <c r="D49" s="59" t="n"/>
      <c r="E49" s="59" t="n"/>
      <c r="F49" s="60">
        <f>IF(OR($D49="",$E49=""),"",$D49-$E49)</f>
        <v/>
      </c>
      <c r="G49" s="29">
        <f>IF('1. MASTER_ENTRY'!$C49="","",'1. MASTER_ENTRY'!$R49)</f>
        <v/>
      </c>
    </row>
    <row r="50" ht="15" customHeight="1">
      <c r="A50" s="36">
        <f>IF('1. MASTER_ENTRY'!$C50="","",'1. MASTER_ENTRY'!$A50)</f>
        <v/>
      </c>
      <c r="B50" s="37">
        <f>IF('1. MASTER_ENTRY'!$C50="","",'1. MASTER_ENTRY'!$C50)</f>
        <v/>
      </c>
      <c r="C50" s="31" t="n"/>
      <c r="D50" s="59" t="n"/>
      <c r="E50" s="59" t="n"/>
      <c r="F50" s="60">
        <f>IF(OR($D50="",$E50=""),"",$D50-$E50)</f>
        <v/>
      </c>
      <c r="G50" s="29">
        <f>IF('1. MASTER_ENTRY'!$C50="","",'1. MASTER_ENTRY'!$R50)</f>
        <v/>
      </c>
    </row>
    <row r="51" ht="15" customHeight="1">
      <c r="A51" s="29">
        <f>IF('1. MASTER_ENTRY'!$C51="","",'1. MASTER_ENTRY'!$A51)</f>
        <v/>
      </c>
      <c r="B51" s="41">
        <f>IF('1. MASTER_ENTRY'!$C51="","",'1. MASTER_ENTRY'!$C51)</f>
        <v/>
      </c>
      <c r="C51" s="31" t="n"/>
      <c r="D51" s="59" t="n"/>
      <c r="E51" s="59" t="n"/>
      <c r="F51" s="60">
        <f>IF(OR($D51="",$E51=""),"",$D51-$E51)</f>
        <v/>
      </c>
      <c r="G51" s="29">
        <f>IF('1. MASTER_ENTRY'!$C51="","",'1. MASTER_ENTRY'!$R51)</f>
        <v/>
      </c>
    </row>
    <row r="52" ht="15" customHeight="1">
      <c r="A52" s="36">
        <f>IF('1. MASTER_ENTRY'!$C52="","",'1. MASTER_ENTRY'!$A52)</f>
        <v/>
      </c>
      <c r="B52" s="37">
        <f>IF('1. MASTER_ENTRY'!$C52="","",'1. MASTER_ENTRY'!$C52)</f>
        <v/>
      </c>
      <c r="C52" s="31" t="n"/>
      <c r="D52" s="59" t="n"/>
      <c r="E52" s="59" t="n"/>
      <c r="F52" s="60">
        <f>IF(OR($D52="",$E52=""),"",$D52-$E52)</f>
        <v/>
      </c>
      <c r="G52" s="29">
        <f>IF('1. MASTER_ENTRY'!$C52="","",'1. MASTER_ENTRY'!$R52)</f>
        <v/>
      </c>
    </row>
    <row r="53" ht="15" customHeight="1">
      <c r="A53" s="29">
        <f>IF('1. MASTER_ENTRY'!$C53="","",'1. MASTER_ENTRY'!$A53)</f>
        <v/>
      </c>
      <c r="B53" s="41">
        <f>IF('1. MASTER_ENTRY'!$C53="","",'1. MASTER_ENTRY'!$C53)</f>
        <v/>
      </c>
      <c r="C53" s="31" t="n"/>
      <c r="D53" s="59" t="n"/>
      <c r="E53" s="59" t="n"/>
      <c r="F53" s="60">
        <f>IF(OR($D53="",$E53=""),"",$D53-$E53)</f>
        <v/>
      </c>
      <c r="G53" s="29">
        <f>IF('1. MASTER_ENTRY'!$C53="","",'1. MASTER_ENTRY'!$R53)</f>
        <v/>
      </c>
    </row>
    <row r="54" ht="15" customHeight="1">
      <c r="A54" s="36">
        <f>IF('1. MASTER_ENTRY'!$C54="","",'1. MASTER_ENTRY'!$A54)</f>
        <v/>
      </c>
      <c r="B54" s="37">
        <f>IF('1. MASTER_ENTRY'!$C54="","",'1. MASTER_ENTRY'!$C54)</f>
        <v/>
      </c>
      <c r="C54" s="31" t="n"/>
      <c r="D54" s="59" t="n"/>
      <c r="E54" s="59" t="n"/>
      <c r="F54" s="60">
        <f>IF(OR($D54="",$E54=""),"",$D54-$E54)</f>
        <v/>
      </c>
      <c r="G54" s="29">
        <f>IF('1. MASTER_ENTRY'!$C54="","",'1. MASTER_ENTRY'!$R54)</f>
        <v/>
      </c>
    </row>
    <row r="55" ht="15" customHeight="1">
      <c r="A55" s="29">
        <f>IF('1. MASTER_ENTRY'!$C55="","",'1. MASTER_ENTRY'!$A55)</f>
        <v/>
      </c>
      <c r="B55" s="41">
        <f>IF('1. MASTER_ENTRY'!$C55="","",'1. MASTER_ENTRY'!$C55)</f>
        <v/>
      </c>
      <c r="C55" s="31" t="n"/>
      <c r="D55" s="59" t="n"/>
      <c r="E55" s="59" t="n"/>
      <c r="F55" s="60">
        <f>IF(OR($D55="",$E55=""),"",$D55-$E55)</f>
        <v/>
      </c>
      <c r="G55" s="29">
        <f>IF('1. MASTER_ENTRY'!$C55="","",'1. MASTER_ENTRY'!$R55)</f>
        <v/>
      </c>
    </row>
    <row r="56" ht="15" customHeight="1">
      <c r="A56" s="36">
        <f>IF('1. MASTER_ENTRY'!$C56="","",'1. MASTER_ENTRY'!$A56)</f>
        <v/>
      </c>
      <c r="B56" s="37">
        <f>IF('1. MASTER_ENTRY'!$C56="","",'1. MASTER_ENTRY'!$C56)</f>
        <v/>
      </c>
      <c r="C56" s="31" t="n"/>
      <c r="D56" s="59" t="n"/>
      <c r="E56" s="59" t="n"/>
      <c r="F56" s="60">
        <f>IF(OR($D56="",$E56=""),"",$D56-$E56)</f>
        <v/>
      </c>
      <c r="G56" s="29">
        <f>IF('1. MASTER_ENTRY'!$C56="","",'1. MASTER_ENTRY'!$R56)</f>
        <v/>
      </c>
    </row>
    <row r="57" ht="15" customHeight="1">
      <c r="A57" s="29">
        <f>IF('1. MASTER_ENTRY'!$C57="","",'1. MASTER_ENTRY'!$A57)</f>
        <v/>
      </c>
      <c r="B57" s="41">
        <f>IF('1. MASTER_ENTRY'!$C57="","",'1. MASTER_ENTRY'!$C57)</f>
        <v/>
      </c>
      <c r="C57" s="31" t="n"/>
      <c r="D57" s="59" t="n"/>
      <c r="E57" s="59" t="n"/>
      <c r="F57" s="60">
        <f>IF(OR($D57="",$E57=""),"",$D57-$E57)</f>
        <v/>
      </c>
      <c r="G57" s="29">
        <f>IF('1. MASTER_ENTRY'!$C57="","",'1. MASTER_ENTRY'!$R57)</f>
        <v/>
      </c>
    </row>
    <row r="58" ht="15" customHeight="1">
      <c r="A58" s="36">
        <f>IF('1. MASTER_ENTRY'!$C58="","",'1. MASTER_ENTRY'!$A58)</f>
        <v/>
      </c>
      <c r="B58" s="37">
        <f>IF('1. MASTER_ENTRY'!$C58="","",'1. MASTER_ENTRY'!$C58)</f>
        <v/>
      </c>
      <c r="C58" s="31" t="n"/>
      <c r="D58" s="59" t="n"/>
      <c r="E58" s="59" t="n"/>
      <c r="F58" s="60">
        <f>IF(OR($D58="",$E58=""),"",$D58-$E58)</f>
        <v/>
      </c>
      <c r="G58" s="29">
        <f>IF('1. MASTER_ENTRY'!$C58="","",'1. MASTER_ENTRY'!$R58)</f>
        <v/>
      </c>
    </row>
    <row r="59" ht="15" customHeight="1">
      <c r="A59" s="29">
        <f>IF('1. MASTER_ENTRY'!$C59="","",'1. MASTER_ENTRY'!$A59)</f>
        <v/>
      </c>
      <c r="B59" s="41">
        <f>IF('1. MASTER_ENTRY'!$C59="","",'1. MASTER_ENTRY'!$C59)</f>
        <v/>
      </c>
      <c r="C59" s="31" t="n"/>
      <c r="D59" s="59" t="n"/>
      <c r="E59" s="59" t="n"/>
      <c r="F59" s="60">
        <f>IF(OR($D59="",$E59=""),"",$D59-$E59)</f>
        <v/>
      </c>
      <c r="G59" s="29">
        <f>IF('1. MASTER_ENTRY'!$C59="","",'1. MASTER_ENTRY'!$R59)</f>
        <v/>
      </c>
    </row>
    <row r="60" ht="15" customHeight="1">
      <c r="A60" s="36">
        <f>IF('1. MASTER_ENTRY'!$C60="","",'1. MASTER_ENTRY'!$A60)</f>
        <v/>
      </c>
      <c r="B60" s="37">
        <f>IF('1. MASTER_ENTRY'!$C60="","",'1. MASTER_ENTRY'!$C60)</f>
        <v/>
      </c>
      <c r="C60" s="31" t="n"/>
      <c r="D60" s="59" t="n"/>
      <c r="E60" s="59" t="n"/>
      <c r="F60" s="60">
        <f>IF(OR($D60="",$E60=""),"",$D60-$E60)</f>
        <v/>
      </c>
      <c r="G60" s="29">
        <f>IF('1. MASTER_ENTRY'!$C60="","",'1. MASTER_ENTRY'!$R60)</f>
        <v/>
      </c>
    </row>
    <row r="61" ht="15" customHeight="1">
      <c r="A61" s="29">
        <f>IF('1. MASTER_ENTRY'!$C61="","",'1. MASTER_ENTRY'!$A61)</f>
        <v/>
      </c>
      <c r="B61" s="41">
        <f>IF('1. MASTER_ENTRY'!$C61="","",'1. MASTER_ENTRY'!$C61)</f>
        <v/>
      </c>
      <c r="C61" s="31" t="n"/>
      <c r="D61" s="59" t="n"/>
      <c r="E61" s="59" t="n"/>
      <c r="F61" s="60">
        <f>IF(OR($D61="",$E61=""),"",$D61-$E61)</f>
        <v/>
      </c>
      <c r="G61" s="29">
        <f>IF('1. MASTER_ENTRY'!$C61="","",'1. MASTER_ENTRY'!$R61)</f>
        <v/>
      </c>
    </row>
    <row r="62" ht="15" customHeight="1">
      <c r="A62" s="36">
        <f>IF('1. MASTER_ENTRY'!$C62="","",'1. MASTER_ENTRY'!$A62)</f>
        <v/>
      </c>
      <c r="B62" s="37">
        <f>IF('1. MASTER_ENTRY'!$C62="","",'1. MASTER_ENTRY'!$C62)</f>
        <v/>
      </c>
      <c r="C62" s="31" t="n"/>
      <c r="D62" s="59" t="n"/>
      <c r="E62" s="59" t="n"/>
      <c r="F62" s="60">
        <f>IF(OR($D62="",$E62=""),"",$D62-$E62)</f>
        <v/>
      </c>
      <c r="G62" s="29">
        <f>IF('1. MASTER_ENTRY'!$C62="","",'1. MASTER_ENTRY'!$R62)</f>
        <v/>
      </c>
    </row>
    <row r="63" ht="15" customHeight="1">
      <c r="A63" s="29">
        <f>IF('1. MASTER_ENTRY'!$C63="","",'1. MASTER_ENTRY'!$A63)</f>
        <v/>
      </c>
      <c r="B63" s="41">
        <f>IF('1. MASTER_ENTRY'!$C63="","",'1. MASTER_ENTRY'!$C63)</f>
        <v/>
      </c>
      <c r="C63" s="31" t="n"/>
      <c r="D63" s="59" t="n"/>
      <c r="E63" s="59" t="n"/>
      <c r="F63" s="60">
        <f>IF(OR($D63="",$E63=""),"",$D63-$E63)</f>
        <v/>
      </c>
      <c r="G63" s="29">
        <f>IF('1. MASTER_ENTRY'!$C63="","",'1. MASTER_ENTRY'!$R63)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10">
    <mergeCell ref="I4:J4"/>
    <mergeCell ref="A1:G1"/>
    <mergeCell ref="M5:N6"/>
    <mergeCell ref="O5:P6"/>
    <mergeCell ref="A2:G2"/>
    <mergeCell ref="K5:L6"/>
    <mergeCell ref="I5:J6"/>
    <mergeCell ref="K4:L4"/>
    <mergeCell ref="O4:P4"/>
    <mergeCell ref="M4:N4"/>
  </mergeCells>
  <conditionalFormatting sqref="F4:F63">
    <cfRule type="cellIs" priority="1" operator="lessThan" dxfId="10">
      <formula>0</formula>
    </cfRule>
    <cfRule type="cellIs" priority="2" operator="greaterThanOrEqual" dxfId="11">
      <formula>0</formula>
    </cfRule>
  </conditionalFormatting>
  <dataValidations count="3">
    <dataValidation sqref="C4:C63" showDropDown="0" showInputMessage="0" showErrorMessage="1" allowBlank="1" errorTitle="Choose from list" error="Please CHOOSE a value from the dropdown - free typing is not allowed." promptTitle="CostCat" prompt="Click the arrow and choose" type="list" errorStyle="stop">
      <formula1>LISTS!$L$2:$L$8</formula1>
    </dataValidation>
    <dataValidation sqref="D4:D63" showDropDown="0" showInputMessage="0" showErrorMessage="1" allowBlank="1" errorTitle="Choose from list" error="Please CHOOSE a value from the dropdown - free typing is not allowed." promptTitle="Cost" prompt="Click the arrow and choose" type="list" errorStyle="stop">
      <formula1>LISTS!$Q$2:$Q$17</formula1>
    </dataValidation>
    <dataValidation sqref="E4:E63" showDropDown="0" showInputMessage="0" showErrorMessage="1" allowBlank="1" errorTitle="Choose from list" error="Please CHOOSE a value from the dropdown - free typing is not allowed." promptTitle="Cost" prompt="Click the arrow and choose" type="list" errorStyle="stop">
      <formula1>LISTS!$Q$2:$Q$17</formula1>
    </dataValidation>
  </dataValidations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W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0" customWidth="1" min="3" max="3"/>
    <col width="14" customWidth="1" min="4" max="4"/>
    <col hidden="1" width="13" customWidth="1" min="7" max="7"/>
    <col width="18" customWidth="1" min="11" max="11"/>
    <col width="10" customWidth="1" min="12" max="12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36" customHeight="1">
      <c r="A1" s="70" t="inlineStr">
        <is>
          <t xml:space="preserve">  LIVE DASHBOARD  -  auto-refreshes from MASTER_ENTRY</t>
        </is>
      </c>
    </row>
    <row r="2" ht="20" customHeight="1">
      <c r="A2" s="2" t="inlineStr">
        <is>
          <t xml:space="preserve">  Read-only except the dropdown in D13 which changes the main chart grouping.</t>
        </is>
      </c>
    </row>
    <row r="3">
      <c r="B3" s="71">
        <f>" Project:  "&amp;CONFIG!$C$5</f>
        <v/>
      </c>
    </row>
    <row r="4">
      <c r="B4" s="4" t="inlineStr">
        <is>
          <t>TOTAL CASES</t>
        </is>
      </c>
      <c r="C4" s="5" t="n"/>
      <c r="D4" s="7" t="inlineStr">
        <is>
          <t>OPEN / ACTIVE</t>
        </is>
      </c>
      <c r="E4" s="5" t="n"/>
      <c r="F4" s="6" t="inlineStr">
        <is>
          <t>CRITICAL (RPN&gt;=200)</t>
        </is>
      </c>
      <c r="G4" s="5" t="n"/>
      <c r="H4" s="72" t="inlineStr">
        <is>
          <t>AVG RPN</t>
        </is>
      </c>
      <c r="I4" s="5" t="n"/>
      <c r="J4" s="8" t="inlineStr">
        <is>
          <t>AVG % DONE</t>
        </is>
      </c>
      <c r="K4" s="5" t="n"/>
      <c r="L4" s="73" t="inlineStr">
        <is>
          <t>BLOCKED</t>
        </is>
      </c>
      <c r="M4" s="5" t="n"/>
    </row>
    <row r="5" ht="26" customHeight="1">
      <c r="B5" s="74">
        <f>COUNT('1. MASTER_ENTRY'!$V$4:$V$63)</f>
        <v/>
      </c>
      <c r="C5" s="5" t="n"/>
      <c r="D5" s="75">
        <f>COUNTIF('1. MASTER_ENTRY'!$R$4:$R$63,"OPEN")+COUNTIF('1. MASTER_ENTRY'!$R$4:$R$63,"IN PROGRESS")+COUNTIF('1. MASTER_ENTRY'!$R$4:$R$63,"ON HOLD")+COUNTIF('1. MASTER_ENTRY'!$R$4:$R$63,"BLOCKED")</f>
        <v/>
      </c>
      <c r="E5" s="5" t="n"/>
      <c r="F5" s="76">
        <f>COUNTIF('1. MASTER_ENTRY'!$I$4:$I$63,"&gt;=200")</f>
        <v/>
      </c>
      <c r="G5" s="5" t="n"/>
      <c r="H5" s="77">
        <f>IFERROR(ROUND(AVERAGEIF('1. MASTER_ENTRY'!$I$4:$I$63,"&gt;0"),0),0)</f>
        <v/>
      </c>
      <c r="I5" s="5" t="n"/>
      <c r="J5" s="78">
        <f>IFERROR(AVERAGE('1. MASTER_ENTRY'!$S$4:$S$63),0)</f>
        <v/>
      </c>
      <c r="K5" s="5" t="n"/>
      <c r="L5" s="79">
        <f>COUNTIF('1. MASTER_ENTRY'!$R$4:$R$63,"BLOCKED")</f>
        <v/>
      </c>
      <c r="M5" s="5" t="n"/>
    </row>
    <row r="6" ht="22" customHeight="1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13">
      <c r="B13" s="80" t="inlineStr">
        <is>
          <t>MAIN CHART - group cases by:</t>
        </is>
      </c>
      <c r="D13" s="81" t="inlineStr">
        <is>
          <t>Priority</t>
        </is>
      </c>
      <c r="E13" s="82" t="inlineStr">
        <is>
          <t>&lt;- change me</t>
        </is>
      </c>
      <c r="G13">
        <f>MATCH($D$13,{"Priority";"Status";"Category";"Owner"},0)</f>
        <v/>
      </c>
    </row>
    <row r="14">
      <c r="B14" s="83" t="inlineStr">
        <is>
          <t>Bucket</t>
        </is>
      </c>
      <c r="C14" s="83" t="inlineStr">
        <is>
          <t>Cases</t>
        </is>
      </c>
    </row>
    <row r="15">
      <c r="B15" s="41">
        <f>CHOOSE($G$13,T15,U15,V15,W15)</f>
        <v/>
      </c>
      <c r="C15" s="40">
        <f>IF($B15="","",CHOOSE($G$13,COUNTIF('1. MASTER_ENTRY'!$E$4:$E$63,$B15),COUNTIF('1. MASTER_ENTRY'!$R$4:$R$63,$B15),COUNTIF('1. MASTER_ENTRY'!$D$4:$D$63,$B15),COUNTIF('1. MASTER_ENTRY'!$M$4:$M$63,$B15)))</f>
        <v/>
      </c>
      <c r="T15" t="inlineStr">
        <is>
          <t>1-CRITICAL</t>
        </is>
      </c>
      <c r="U15" t="inlineStr">
        <is>
          <t>OPEN</t>
        </is>
      </c>
      <c r="V15" t="inlineStr">
        <is>
          <t>Quality / Defects</t>
        </is>
      </c>
      <c r="W15" t="inlineStr">
        <is>
          <t>PM</t>
        </is>
      </c>
    </row>
    <row r="16">
      <c r="B16" s="41">
        <f>CHOOSE($G$13,T16,U16,V16,W16)</f>
        <v/>
      </c>
      <c r="C16" s="40">
        <f>IF($B16="","",CHOOSE($G$13,COUNTIF('1. MASTER_ENTRY'!$E$4:$E$63,$B16),COUNTIF('1. MASTER_ENTRY'!$R$4:$R$63,$B16),COUNTIF('1. MASTER_ENTRY'!$D$4:$D$63,$B16),COUNTIF('1. MASTER_ENTRY'!$M$4:$M$63,$B16)))</f>
        <v/>
      </c>
      <c r="T16" t="inlineStr">
        <is>
          <t>2-HIGH</t>
        </is>
      </c>
      <c r="U16" t="inlineStr">
        <is>
          <t>IN PROGRESS</t>
        </is>
      </c>
      <c r="V16" t="inlineStr">
        <is>
          <t>Delivery / Schedule</t>
        </is>
      </c>
      <c r="W16" t="inlineStr">
        <is>
          <t>Dev Lead</t>
        </is>
      </c>
    </row>
    <row r="17">
      <c r="B17" s="41">
        <f>CHOOSE($G$13,T17,U17,V17,W17)</f>
        <v/>
      </c>
      <c r="C17" s="40">
        <f>IF($B17="","",CHOOSE($G$13,COUNTIF('1. MASTER_ENTRY'!$E$4:$E$63,$B17),COUNTIF('1. MASTER_ENTRY'!$R$4:$R$63,$B17),COUNTIF('1. MASTER_ENTRY'!$D$4:$D$63,$B17),COUNTIF('1. MASTER_ENTRY'!$M$4:$M$63,$B17)))</f>
        <v/>
      </c>
      <c r="T17" t="inlineStr">
        <is>
          <t>3-MEDIUM</t>
        </is>
      </c>
      <c r="U17" t="inlineStr">
        <is>
          <t>ON HOLD</t>
        </is>
      </c>
      <c r="V17" t="inlineStr">
        <is>
          <t>Process / Flow</t>
        </is>
      </c>
      <c r="W17" t="inlineStr">
        <is>
          <t>QA Lead</t>
        </is>
      </c>
    </row>
    <row r="18">
      <c r="B18" s="41">
        <f>CHOOSE($G$13,T18,U18,V18,W18)</f>
        <v/>
      </c>
      <c r="C18" s="40">
        <f>IF($B18="","",CHOOSE($G$13,COUNTIF('1. MASTER_ENTRY'!$E$4:$E$63,$B18),COUNTIF('1. MASTER_ENTRY'!$R$4:$R$63,$B18),COUNTIF('1. MASTER_ENTRY'!$D$4:$D$63,$B18),COUNTIF('1. MASTER_ENTRY'!$M$4:$M$63,$B18)))</f>
        <v/>
      </c>
      <c r="T18" t="inlineStr">
        <is>
          <t>4-LOW</t>
        </is>
      </c>
      <c r="U18" t="inlineStr">
        <is>
          <t>BLOCKED</t>
        </is>
      </c>
      <c r="V18" t="inlineStr">
        <is>
          <t>People / Training</t>
        </is>
      </c>
      <c r="W18" t="inlineStr">
        <is>
          <t>Ops Lead</t>
        </is>
      </c>
    </row>
    <row r="19">
      <c r="B19" s="41">
        <f>CHOOSE($G$13,T19,U19,V19,W19)</f>
        <v/>
      </c>
      <c r="C19" s="40">
        <f>IF($B19="","",CHOOSE($G$13,COUNTIF('1. MASTER_ENTRY'!$E$4:$E$63,$B19),COUNTIF('1. MASTER_ENTRY'!$R$4:$R$63,$B19),COUNTIF('1. MASTER_ENTRY'!$D$4:$D$63,$B19),COUNTIF('1. MASTER_ENTRY'!$M$4:$M$63,$B19)))</f>
        <v/>
      </c>
      <c r="T19" t="inlineStr"/>
      <c r="U19" t="inlineStr">
        <is>
          <t>RESOLVED</t>
        </is>
      </c>
      <c r="V19" t="inlineStr">
        <is>
          <t>Cost / Waste</t>
        </is>
      </c>
      <c r="W19" t="inlineStr">
        <is>
          <t>Architect</t>
        </is>
      </c>
    </row>
    <row r="20">
      <c r="B20" s="41">
        <f>CHOOSE($G$13,T20,U20,V20,W20)</f>
        <v/>
      </c>
      <c r="C20" s="40">
        <f>IF($B20="","",CHOOSE($G$13,COUNTIF('1. MASTER_ENTRY'!$E$4:$E$63,$B20),COUNTIF('1. MASTER_ENTRY'!$R$4:$R$63,$B20),COUNTIF('1. MASTER_ENTRY'!$D$4:$D$63,$B20),COUNTIF('1. MASTER_ENTRY'!$M$4:$M$63,$B20)))</f>
        <v/>
      </c>
      <c r="T20" t="inlineStr"/>
      <c r="U20" t="inlineStr">
        <is>
          <t>CLOSED</t>
        </is>
      </c>
      <c r="V20" t="inlineStr">
        <is>
          <t>Safety / Compliance</t>
        </is>
      </c>
      <c r="W20" t="inlineStr">
        <is>
          <t>BA</t>
        </is>
      </c>
    </row>
    <row r="21">
      <c r="B21" s="41">
        <f>CHOOSE($G$13,T21,U21,V21,W21)</f>
        <v/>
      </c>
      <c r="C21" s="40">
        <f>IF($B21="","",CHOOSE($G$13,COUNTIF('1. MASTER_ENTRY'!$E$4:$E$63,$B21),COUNTIF('1. MASTER_ENTRY'!$R$4:$R$63,$B21),COUNTIF('1. MASTER_ENTRY'!$D$4:$D$63,$B21),COUNTIF('1. MASTER_ENTRY'!$M$4:$M$63,$B21)))</f>
        <v/>
      </c>
      <c r="T21" t="inlineStr"/>
      <c r="U21" t="inlineStr"/>
      <c r="V21" t="inlineStr">
        <is>
          <t>Technology / Tools</t>
        </is>
      </c>
      <c r="W21" t="inlineStr">
        <is>
          <t>Team Lead</t>
        </is>
      </c>
    </row>
    <row r="22">
      <c r="B22" s="41">
        <f>CHOOSE($G$13,T22,U22,V22,W22)</f>
        <v/>
      </c>
      <c r="C22" s="40">
        <f>IF($B22="","",CHOOSE($G$13,COUNTIF('1. MASTER_ENTRY'!$E$4:$E$63,$B22),COUNTIF('1. MASTER_ENTRY'!$R$4:$R$63,$B22),COUNTIF('1. MASTER_ENTRY'!$D$4:$D$63,$B22),COUNTIF('1. MASTER_ENTRY'!$M$4:$M$63,$B22)))</f>
        <v/>
      </c>
      <c r="T22" t="inlineStr"/>
      <c r="U22" t="inlineStr"/>
      <c r="V22" t="inlineStr">
        <is>
          <t>Customer / VOC</t>
        </is>
      </c>
      <c r="W22" t="inlineStr">
        <is>
          <t>Process Owner</t>
        </is>
      </c>
    </row>
    <row r="26">
      <c r="B26" s="84" t="inlineStr">
        <is>
          <t>Status breakdown</t>
        </is>
      </c>
      <c r="K26" s="84" t="inlineStr">
        <is>
          <t>Total RPN by category</t>
        </is>
      </c>
    </row>
    <row r="27">
      <c r="B27" s="5" t="inlineStr">
        <is>
          <t>OPEN</t>
        </is>
      </c>
      <c r="C27" s="5">
        <f>COUNTIF('1. MASTER_ENTRY'!$R$4:$R$63,"OPEN")</f>
        <v/>
      </c>
      <c r="K27" s="5" t="inlineStr">
        <is>
          <t>Quality / Defects</t>
        </is>
      </c>
      <c r="L27" s="5">
        <f>SUMIF('1. MASTER_ENTRY'!$D$4:$D$63,"Quality / Defects",'1. MASTER_ENTRY'!$I$4:$I$63)</f>
        <v/>
      </c>
    </row>
    <row r="28">
      <c r="B28" s="5" t="inlineStr">
        <is>
          <t>IN PROGRESS</t>
        </is>
      </c>
      <c r="C28" s="5">
        <f>COUNTIF('1. MASTER_ENTRY'!$R$4:$R$63,"IN PROGRESS")</f>
        <v/>
      </c>
      <c r="K28" s="5" t="inlineStr">
        <is>
          <t>Delivery / Schedule</t>
        </is>
      </c>
      <c r="L28" s="5">
        <f>SUMIF('1. MASTER_ENTRY'!$D$4:$D$63,"Delivery / Schedule",'1. MASTER_ENTRY'!$I$4:$I$63)</f>
        <v/>
      </c>
    </row>
    <row r="29">
      <c r="B29" s="5" t="inlineStr">
        <is>
          <t>ON HOLD</t>
        </is>
      </c>
      <c r="C29" s="5">
        <f>COUNTIF('1. MASTER_ENTRY'!$R$4:$R$63,"ON HOLD")</f>
        <v/>
      </c>
      <c r="K29" s="5" t="inlineStr">
        <is>
          <t>Process / Flow</t>
        </is>
      </c>
      <c r="L29" s="5">
        <f>SUMIF('1. MASTER_ENTRY'!$D$4:$D$63,"Process / Flow",'1. MASTER_ENTRY'!$I$4:$I$63)</f>
        <v/>
      </c>
    </row>
    <row r="30">
      <c r="B30" s="5" t="inlineStr">
        <is>
          <t>BLOCKED</t>
        </is>
      </c>
      <c r="C30" s="5">
        <f>COUNTIF('1. MASTER_ENTRY'!$R$4:$R$63,"BLOCKED")</f>
        <v/>
      </c>
      <c r="K30" s="5" t="inlineStr">
        <is>
          <t>People / Training</t>
        </is>
      </c>
      <c r="L30" s="5">
        <f>SUMIF('1. MASTER_ENTRY'!$D$4:$D$63,"People / Training",'1. MASTER_ENTRY'!$I$4:$I$63)</f>
        <v/>
      </c>
    </row>
    <row r="31">
      <c r="B31" s="5" t="inlineStr">
        <is>
          <t>RESOLVED</t>
        </is>
      </c>
      <c r="C31" s="5">
        <f>COUNTIF('1. MASTER_ENTRY'!$R$4:$R$63,"RESOLVED")</f>
        <v/>
      </c>
      <c r="K31" s="5" t="inlineStr">
        <is>
          <t>Cost / Waste</t>
        </is>
      </c>
      <c r="L31" s="5">
        <f>SUMIF('1. MASTER_ENTRY'!$D$4:$D$63,"Cost / Waste",'1. MASTER_ENTRY'!$I$4:$I$63)</f>
        <v/>
      </c>
    </row>
    <row r="32">
      <c r="B32" s="5" t="inlineStr">
        <is>
          <t>CLOSED</t>
        </is>
      </c>
      <c r="C32" s="5">
        <f>COUNTIF('1. MASTER_ENTRY'!$R$4:$R$63,"CLOSED")</f>
        <v/>
      </c>
      <c r="K32" s="5" t="inlineStr">
        <is>
          <t>Safety / Compliance</t>
        </is>
      </c>
      <c r="L32" s="5">
        <f>SUMIF('1. MASTER_ENTRY'!$D$4:$D$63,"Safety / Compliance",'1. MASTER_ENTRY'!$I$4:$I$63)</f>
        <v/>
      </c>
    </row>
    <row r="33">
      <c r="K33" s="5" t="inlineStr">
        <is>
          <t>Technology / Tools</t>
        </is>
      </c>
      <c r="L33" s="5">
        <f>SUMIF('1. MASTER_ENTRY'!$D$4:$D$63,"Technology / Tools",'1. MASTER_ENTRY'!$I$4:$I$63)</f>
        <v/>
      </c>
    </row>
    <row r="34">
      <c r="K34" s="5" t="inlineStr">
        <is>
          <t>Customer / VOC</t>
        </is>
      </c>
      <c r="L34" s="5">
        <f>SUMIF('1. MASTER_ENTRY'!$D$4:$D$63,"Customer / VOC",'1. MASTER_ENTRY'!$I$4:$I$63)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15">
    <mergeCell ref="B3:G3"/>
    <mergeCell ref="F4:G4"/>
    <mergeCell ref="A2:L2"/>
    <mergeCell ref="J4:K4"/>
    <mergeCell ref="L4:M4"/>
    <mergeCell ref="A1:L1"/>
    <mergeCell ref="B5:C6"/>
    <mergeCell ref="F5:G6"/>
    <mergeCell ref="D5:E6"/>
    <mergeCell ref="D4:E4"/>
    <mergeCell ref="H4:I4"/>
    <mergeCell ref="H5:I6"/>
    <mergeCell ref="L5:M6"/>
    <mergeCell ref="J5:K6"/>
    <mergeCell ref="B4:C4"/>
  </mergeCells>
  <dataValidations count="1">
    <dataValidation sqref="D13" showDropDown="0" showInputMessage="0" showErrorMessage="1" allowBlank="0" error="Choose one of the four groupings." type="list" errorStyle="stop">
      <formula1>"Priority,Status,Category,Owner"</formula1>
    </dataValidation>
  </dataValidations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1F8A8A"/>
    <outlinePr summaryBelow="1" summaryRight="1"/>
    <pageSetUpPr fitToPage="1"/>
  </sheetPr>
  <dimension ref="A1:J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13" customWidth="1" min="3" max="3"/>
    <col width="40" customWidth="1" min="4" max="4"/>
    <col width="18" customWidth="1" min="5" max="5"/>
    <col width="16" customWidth="1" min="6" max="6"/>
    <col width="56" customWidth="1" min="7" max="7"/>
  </cols>
  <sheetData>
    <row r="1" ht="36" customHeight="1">
      <c r="A1" s="49" t="inlineStr">
        <is>
          <t xml:space="preserve">  AI ASSISTANT  -  live insights &amp; recommended actions</t>
        </is>
      </c>
    </row>
    <row r="2" ht="20" customHeight="1">
      <c r="A2" s="2" t="inlineStr">
        <is>
          <t xml:space="preserve">  Read-only except the advisor dropdown. Action queue ranked by RPN.</t>
        </is>
      </c>
    </row>
    <row r="4">
      <c r="B4" s="85" t="inlineStr">
        <is>
          <t>EXECUTIVE SUMMARY (auto-generated)</t>
        </is>
      </c>
    </row>
    <row r="5">
      <c r="B5" s="86">
        <f>"You are tracking "&amp;COUNT('1. MASTER_ENTRY'!$V$4:$V$63)&amp;" case(s). "&amp;IF(COUNTIF('1. MASTER_ENTRY'!$I$4:$I$63,"&gt;=200")&gt;0,COUNTIF('1. MASTER_ENTRY'!$I$4:$I$63,"&gt;=200")&amp;" are CRITICAL (RPN&gt;=200) and must be escalated today. ","No critical risks - good. ")&amp;IF(COUNTIFS('1. MASTER_ENTRY'!$I$4:$I$63,"&gt;=100",'1. MASTER_ENTRY'!$I$4:$I$63,"&lt;200")&gt;0,COUNTIFS('1. MASTER_ENTRY'!$I$4:$I$63,"&gt;=100",'1. MASTER_ENTRY'!$I$4:$I$63,"&lt;200")&amp;" are HIGH and should enter the current sprint. ","")&amp;IF(COUNTIF('1. MASTER_ENTRY'!$R$4:$R$63,"BLOCKED")&gt;0,COUNTIF('1. MASTER_ENTRY'!$R$4:$R$63,"BLOCKED")&amp;" case(s) are BLOCKED - clear these first. ","")&amp;"Average completion is "&amp;TEXT(IFERROR(AVERAGE('1. MASTER_ENTRY'!$S$4:$S$63),0),"0%")&amp;". "&amp;"Top exposure: "&amp;IFERROR(INDEX('1. MASTER_ENTRY'!$C$4:$C$63,MATCH(MAX('1. MASTER_ENTRY'!$I$4:$I$63),'1. MASTER_ENTRY'!$I$4:$I$63,0)),"n/a")&amp;". "&amp;"Focus: attack the top 3 items in the queue below using their Lean methods."</f>
        <v/>
      </c>
      <c r="C5" s="87" t="n"/>
      <c r="D5" s="87" t="n"/>
      <c r="E5" s="87" t="n"/>
      <c r="F5" s="87" t="n"/>
      <c r="G5" s="87" t="n"/>
      <c r="H5" s="87" t="n"/>
      <c r="I5" s="87" t="n"/>
      <c r="J5" s="87" t="n"/>
    </row>
    <row r="6">
      <c r="B6" s="87" t="n"/>
      <c r="C6" s="87" t="n"/>
      <c r="D6" s="87" t="n"/>
      <c r="E6" s="87" t="n"/>
      <c r="F6" s="87" t="n"/>
      <c r="G6" s="87" t="n"/>
      <c r="H6" s="87" t="n"/>
      <c r="I6" s="87" t="n"/>
      <c r="J6" s="87" t="n"/>
    </row>
    <row r="7">
      <c r="B7" s="87" t="n"/>
      <c r="C7" s="87" t="n"/>
      <c r="D7" s="87" t="n"/>
      <c r="E7" s="87" t="n"/>
      <c r="F7" s="87" t="n"/>
      <c r="G7" s="87" t="n"/>
      <c r="H7" s="87" t="n"/>
      <c r="I7" s="87" t="n"/>
      <c r="J7" s="87" t="n"/>
    </row>
    <row r="8">
      <c r="B8" s="87" t="n"/>
      <c r="C8" s="87" t="n"/>
      <c r="D8" s="87" t="n"/>
      <c r="E8" s="87" t="n"/>
      <c r="F8" s="87" t="n"/>
      <c r="G8" s="87" t="n"/>
      <c r="H8" s="87" t="n"/>
      <c r="I8" s="87" t="n"/>
      <c r="J8" s="87" t="n"/>
    </row>
    <row r="10">
      <c r="B10" s="88" t="inlineStr">
        <is>
          <t>PRIORITY ACTION QUEUE - ranked by RPN (highest risk first)</t>
        </is>
      </c>
    </row>
    <row r="11">
      <c r="B11" s="46" t="inlineStr">
        <is>
          <t>#</t>
        </is>
      </c>
      <c r="C11" s="46" t="inlineStr">
        <is>
          <t>CASE ID</t>
        </is>
      </c>
      <c r="D11" s="46" t="inlineStr">
        <is>
          <t>PROBLEM</t>
        </is>
      </c>
      <c r="E11" s="46" t="inlineStr">
        <is>
          <t>RPN</t>
        </is>
      </c>
      <c r="F11" s="46" t="inlineStr">
        <is>
          <t>OWNER</t>
        </is>
      </c>
      <c r="G11" s="46" t="inlineStr">
        <is>
          <t>AI RECOMMENDED ACTION</t>
        </is>
      </c>
    </row>
    <row r="12" ht="28" customHeight="1">
      <c r="B12" s="40" t="n">
        <v>1</v>
      </c>
      <c r="C12" s="41">
        <f>IFERROR(INDEX('1. MASTER_ENTRY'!$A$4:$A$63,MATCH(LARGE('1. MASTER_ENTRY'!$V$4:$V$63,1),'1. MASTER_ENTRY'!$V$4:$V$63,0)),"")</f>
        <v/>
      </c>
      <c r="D12" s="40">
        <f>IFERROR(INDEX('1. MASTER_ENTRY'!$C$4:$C$63,MATCH(LARGE('1. MASTER_ENTRY'!$V$4:$V$63,1),'1. MASTER_ENTRY'!$V$4:$V$63,0)),"")</f>
        <v/>
      </c>
      <c r="E12" s="40">
        <f>IFERROR(INDEX('1. MASTER_ENTRY'!$I$4:$I$63,MATCH(LARGE('1. MASTER_ENTRY'!$V$4:$V$63,1),'1. MASTER_ENTRY'!$V$4:$V$63,0)),"")</f>
        <v/>
      </c>
      <c r="F12" s="40">
        <f>IFERROR(INDEX('1. MASTER_ENTRY'!$M$4:$M$63,MATCH(LARGE('1. MASTER_ENTRY'!$V$4:$V$63,1),'1. MASTER_ENTRY'!$V$4:$V$63,0)),"")</f>
        <v/>
      </c>
      <c r="G12" s="41">
        <f>IFERROR(INDEX('1. MASTER_ENTRY'!$U$4:$U$63,MATCH(LARGE('1. MASTER_ENTRY'!$V$4:$V$63,1),'1. MASTER_ENTRY'!$V$4:$V$63,0)),"")</f>
        <v/>
      </c>
    </row>
    <row r="13" ht="28" customHeight="1">
      <c r="B13" s="36" t="n">
        <v>2</v>
      </c>
      <c r="C13" s="37">
        <f>IFERROR(INDEX('1. MASTER_ENTRY'!$A$4:$A$63,MATCH(LARGE('1. MASTER_ENTRY'!$V$4:$V$63,2),'1. MASTER_ENTRY'!$V$4:$V$63,0)),"")</f>
        <v/>
      </c>
      <c r="D13" s="36">
        <f>IFERROR(INDEX('1. MASTER_ENTRY'!$C$4:$C$63,MATCH(LARGE('1. MASTER_ENTRY'!$V$4:$V$63,2),'1. MASTER_ENTRY'!$V$4:$V$63,0)),"")</f>
        <v/>
      </c>
      <c r="E13" s="36">
        <f>IFERROR(INDEX('1. MASTER_ENTRY'!$I$4:$I$63,MATCH(LARGE('1. MASTER_ENTRY'!$V$4:$V$63,2),'1. MASTER_ENTRY'!$V$4:$V$63,0)),"")</f>
        <v/>
      </c>
      <c r="F13" s="36">
        <f>IFERROR(INDEX('1. MASTER_ENTRY'!$M$4:$M$63,MATCH(LARGE('1. MASTER_ENTRY'!$V$4:$V$63,2),'1. MASTER_ENTRY'!$V$4:$V$63,0)),"")</f>
        <v/>
      </c>
      <c r="G13" s="37">
        <f>IFERROR(INDEX('1. MASTER_ENTRY'!$U$4:$U$63,MATCH(LARGE('1. MASTER_ENTRY'!$V$4:$V$63,2),'1. MASTER_ENTRY'!$V$4:$V$63,0)),"")</f>
        <v/>
      </c>
    </row>
    <row r="14" ht="28" customHeight="1">
      <c r="B14" s="40" t="n">
        <v>3</v>
      </c>
      <c r="C14" s="41">
        <f>IFERROR(INDEX('1. MASTER_ENTRY'!$A$4:$A$63,MATCH(LARGE('1. MASTER_ENTRY'!$V$4:$V$63,3),'1. MASTER_ENTRY'!$V$4:$V$63,0)),"")</f>
        <v/>
      </c>
      <c r="D14" s="40">
        <f>IFERROR(INDEX('1. MASTER_ENTRY'!$C$4:$C$63,MATCH(LARGE('1. MASTER_ENTRY'!$V$4:$V$63,3),'1. MASTER_ENTRY'!$V$4:$V$63,0)),"")</f>
        <v/>
      </c>
      <c r="E14" s="40">
        <f>IFERROR(INDEX('1. MASTER_ENTRY'!$I$4:$I$63,MATCH(LARGE('1. MASTER_ENTRY'!$V$4:$V$63,3),'1. MASTER_ENTRY'!$V$4:$V$63,0)),"")</f>
        <v/>
      </c>
      <c r="F14" s="40">
        <f>IFERROR(INDEX('1. MASTER_ENTRY'!$M$4:$M$63,MATCH(LARGE('1. MASTER_ENTRY'!$V$4:$V$63,3),'1. MASTER_ENTRY'!$V$4:$V$63,0)),"")</f>
        <v/>
      </c>
      <c r="G14" s="41">
        <f>IFERROR(INDEX('1. MASTER_ENTRY'!$U$4:$U$63,MATCH(LARGE('1. MASTER_ENTRY'!$V$4:$V$63,3),'1. MASTER_ENTRY'!$V$4:$V$63,0)),"")</f>
        <v/>
      </c>
    </row>
    <row r="15" ht="28" customHeight="1">
      <c r="B15" s="36" t="n">
        <v>4</v>
      </c>
      <c r="C15" s="37">
        <f>IFERROR(INDEX('1. MASTER_ENTRY'!$A$4:$A$63,MATCH(LARGE('1. MASTER_ENTRY'!$V$4:$V$63,4),'1. MASTER_ENTRY'!$V$4:$V$63,0)),"")</f>
        <v/>
      </c>
      <c r="D15" s="36">
        <f>IFERROR(INDEX('1. MASTER_ENTRY'!$C$4:$C$63,MATCH(LARGE('1. MASTER_ENTRY'!$V$4:$V$63,4),'1. MASTER_ENTRY'!$V$4:$V$63,0)),"")</f>
        <v/>
      </c>
      <c r="E15" s="36">
        <f>IFERROR(INDEX('1. MASTER_ENTRY'!$I$4:$I$63,MATCH(LARGE('1. MASTER_ENTRY'!$V$4:$V$63,4),'1. MASTER_ENTRY'!$V$4:$V$63,0)),"")</f>
        <v/>
      </c>
      <c r="F15" s="36">
        <f>IFERROR(INDEX('1. MASTER_ENTRY'!$M$4:$M$63,MATCH(LARGE('1. MASTER_ENTRY'!$V$4:$V$63,4),'1. MASTER_ENTRY'!$V$4:$V$63,0)),"")</f>
        <v/>
      </c>
      <c r="G15" s="37">
        <f>IFERROR(INDEX('1. MASTER_ENTRY'!$U$4:$U$63,MATCH(LARGE('1. MASTER_ENTRY'!$V$4:$V$63,4),'1. MASTER_ENTRY'!$V$4:$V$63,0)),"")</f>
        <v/>
      </c>
    </row>
    <row r="16" ht="28" customHeight="1">
      <c r="B16" s="40" t="n">
        <v>5</v>
      </c>
      <c r="C16" s="41">
        <f>IFERROR(INDEX('1. MASTER_ENTRY'!$A$4:$A$63,MATCH(LARGE('1. MASTER_ENTRY'!$V$4:$V$63,5),'1. MASTER_ENTRY'!$V$4:$V$63,0)),"")</f>
        <v/>
      </c>
      <c r="D16" s="40">
        <f>IFERROR(INDEX('1. MASTER_ENTRY'!$C$4:$C$63,MATCH(LARGE('1. MASTER_ENTRY'!$V$4:$V$63,5),'1. MASTER_ENTRY'!$V$4:$V$63,0)),"")</f>
        <v/>
      </c>
      <c r="E16" s="40">
        <f>IFERROR(INDEX('1. MASTER_ENTRY'!$I$4:$I$63,MATCH(LARGE('1. MASTER_ENTRY'!$V$4:$V$63,5),'1. MASTER_ENTRY'!$V$4:$V$63,0)),"")</f>
        <v/>
      </c>
      <c r="F16" s="40">
        <f>IFERROR(INDEX('1. MASTER_ENTRY'!$M$4:$M$63,MATCH(LARGE('1. MASTER_ENTRY'!$V$4:$V$63,5),'1. MASTER_ENTRY'!$V$4:$V$63,0)),"")</f>
        <v/>
      </c>
      <c r="G16" s="41">
        <f>IFERROR(INDEX('1. MASTER_ENTRY'!$U$4:$U$63,MATCH(LARGE('1. MASTER_ENTRY'!$V$4:$V$63,5),'1. MASTER_ENTRY'!$V$4:$V$63,0)),"")</f>
        <v/>
      </c>
    </row>
    <row r="17" ht="28" customHeight="1">
      <c r="B17" s="36" t="n">
        <v>6</v>
      </c>
      <c r="C17" s="37">
        <f>IFERROR(INDEX('1. MASTER_ENTRY'!$A$4:$A$63,MATCH(LARGE('1. MASTER_ENTRY'!$V$4:$V$63,6),'1. MASTER_ENTRY'!$V$4:$V$63,0)),"")</f>
        <v/>
      </c>
      <c r="D17" s="36">
        <f>IFERROR(INDEX('1. MASTER_ENTRY'!$C$4:$C$63,MATCH(LARGE('1. MASTER_ENTRY'!$V$4:$V$63,6),'1. MASTER_ENTRY'!$V$4:$V$63,0)),"")</f>
        <v/>
      </c>
      <c r="E17" s="36">
        <f>IFERROR(INDEX('1. MASTER_ENTRY'!$I$4:$I$63,MATCH(LARGE('1. MASTER_ENTRY'!$V$4:$V$63,6),'1. MASTER_ENTRY'!$V$4:$V$63,0)),"")</f>
        <v/>
      </c>
      <c r="F17" s="36">
        <f>IFERROR(INDEX('1. MASTER_ENTRY'!$M$4:$M$63,MATCH(LARGE('1. MASTER_ENTRY'!$V$4:$V$63,6),'1. MASTER_ENTRY'!$V$4:$V$63,0)),"")</f>
        <v/>
      </c>
      <c r="G17" s="37">
        <f>IFERROR(INDEX('1. MASTER_ENTRY'!$U$4:$U$63,MATCH(LARGE('1. MASTER_ENTRY'!$V$4:$V$63,6),'1. MASTER_ENTRY'!$V$4:$V$63,0)),"")</f>
        <v/>
      </c>
    </row>
    <row r="18" ht="28" customHeight="1">
      <c r="B18" s="40" t="n">
        <v>7</v>
      </c>
      <c r="C18" s="41">
        <f>IFERROR(INDEX('1. MASTER_ENTRY'!$A$4:$A$63,MATCH(LARGE('1. MASTER_ENTRY'!$V$4:$V$63,7),'1. MASTER_ENTRY'!$V$4:$V$63,0)),"")</f>
        <v/>
      </c>
      <c r="D18" s="40">
        <f>IFERROR(INDEX('1. MASTER_ENTRY'!$C$4:$C$63,MATCH(LARGE('1. MASTER_ENTRY'!$V$4:$V$63,7),'1. MASTER_ENTRY'!$V$4:$V$63,0)),"")</f>
        <v/>
      </c>
      <c r="E18" s="40">
        <f>IFERROR(INDEX('1. MASTER_ENTRY'!$I$4:$I$63,MATCH(LARGE('1. MASTER_ENTRY'!$V$4:$V$63,7),'1. MASTER_ENTRY'!$V$4:$V$63,0)),"")</f>
        <v/>
      </c>
      <c r="F18" s="40">
        <f>IFERROR(INDEX('1. MASTER_ENTRY'!$M$4:$M$63,MATCH(LARGE('1. MASTER_ENTRY'!$V$4:$V$63,7),'1. MASTER_ENTRY'!$V$4:$V$63,0)),"")</f>
        <v/>
      </c>
      <c r="G18" s="41">
        <f>IFERROR(INDEX('1. MASTER_ENTRY'!$U$4:$U$63,MATCH(LARGE('1. MASTER_ENTRY'!$V$4:$V$63,7),'1. MASTER_ENTRY'!$V$4:$V$63,0)),"")</f>
        <v/>
      </c>
    </row>
    <row r="19" ht="28" customHeight="1">
      <c r="B19" s="36" t="n">
        <v>8</v>
      </c>
      <c r="C19" s="37">
        <f>IFERROR(INDEX('1. MASTER_ENTRY'!$A$4:$A$63,MATCH(LARGE('1. MASTER_ENTRY'!$V$4:$V$63,8),'1. MASTER_ENTRY'!$V$4:$V$63,0)),"")</f>
        <v/>
      </c>
      <c r="D19" s="36">
        <f>IFERROR(INDEX('1. MASTER_ENTRY'!$C$4:$C$63,MATCH(LARGE('1. MASTER_ENTRY'!$V$4:$V$63,8),'1. MASTER_ENTRY'!$V$4:$V$63,0)),"")</f>
        <v/>
      </c>
      <c r="E19" s="36">
        <f>IFERROR(INDEX('1. MASTER_ENTRY'!$I$4:$I$63,MATCH(LARGE('1. MASTER_ENTRY'!$V$4:$V$63,8),'1. MASTER_ENTRY'!$V$4:$V$63,0)),"")</f>
        <v/>
      </c>
      <c r="F19" s="36">
        <f>IFERROR(INDEX('1. MASTER_ENTRY'!$M$4:$M$63,MATCH(LARGE('1. MASTER_ENTRY'!$V$4:$V$63,8),'1. MASTER_ENTRY'!$V$4:$V$63,0)),"")</f>
        <v/>
      </c>
      <c r="G19" s="37">
        <f>IFERROR(INDEX('1. MASTER_ENTRY'!$U$4:$U$63,MATCH(LARGE('1. MASTER_ENTRY'!$V$4:$V$63,8),'1. MASTER_ENTRY'!$V$4:$V$63,0)),"")</f>
        <v/>
      </c>
    </row>
    <row r="20" ht="28" customHeight="1">
      <c r="B20" s="40" t="n">
        <v>9</v>
      </c>
      <c r="C20" s="41">
        <f>IFERROR(INDEX('1. MASTER_ENTRY'!$A$4:$A$63,MATCH(LARGE('1. MASTER_ENTRY'!$V$4:$V$63,9),'1. MASTER_ENTRY'!$V$4:$V$63,0)),"")</f>
        <v/>
      </c>
      <c r="D20" s="40">
        <f>IFERROR(INDEX('1. MASTER_ENTRY'!$C$4:$C$63,MATCH(LARGE('1. MASTER_ENTRY'!$V$4:$V$63,9),'1. MASTER_ENTRY'!$V$4:$V$63,0)),"")</f>
        <v/>
      </c>
      <c r="E20" s="40">
        <f>IFERROR(INDEX('1. MASTER_ENTRY'!$I$4:$I$63,MATCH(LARGE('1. MASTER_ENTRY'!$V$4:$V$63,9),'1. MASTER_ENTRY'!$V$4:$V$63,0)),"")</f>
        <v/>
      </c>
      <c r="F20" s="40">
        <f>IFERROR(INDEX('1. MASTER_ENTRY'!$M$4:$M$63,MATCH(LARGE('1. MASTER_ENTRY'!$V$4:$V$63,9),'1. MASTER_ENTRY'!$V$4:$V$63,0)),"")</f>
        <v/>
      </c>
      <c r="G20" s="41">
        <f>IFERROR(INDEX('1. MASTER_ENTRY'!$U$4:$U$63,MATCH(LARGE('1. MASTER_ENTRY'!$V$4:$V$63,9),'1. MASTER_ENTRY'!$V$4:$V$63,0)),"")</f>
        <v/>
      </c>
    </row>
    <row r="21" ht="28" customHeight="1">
      <c r="B21" s="36" t="n">
        <v>10</v>
      </c>
      <c r="C21" s="37">
        <f>IFERROR(INDEX('1. MASTER_ENTRY'!$A$4:$A$63,MATCH(LARGE('1. MASTER_ENTRY'!$V$4:$V$63,10),'1. MASTER_ENTRY'!$V$4:$V$63,0)),"")</f>
        <v/>
      </c>
      <c r="D21" s="36">
        <f>IFERROR(INDEX('1. MASTER_ENTRY'!$C$4:$C$63,MATCH(LARGE('1. MASTER_ENTRY'!$V$4:$V$63,10),'1. MASTER_ENTRY'!$V$4:$V$63,0)),"")</f>
        <v/>
      </c>
      <c r="E21" s="36">
        <f>IFERROR(INDEX('1. MASTER_ENTRY'!$I$4:$I$63,MATCH(LARGE('1. MASTER_ENTRY'!$V$4:$V$63,10),'1. MASTER_ENTRY'!$V$4:$V$63,0)),"")</f>
        <v/>
      </c>
      <c r="F21" s="36">
        <f>IFERROR(INDEX('1. MASTER_ENTRY'!$M$4:$M$63,MATCH(LARGE('1. MASTER_ENTRY'!$V$4:$V$63,10),'1. MASTER_ENTRY'!$V$4:$V$63,0)),"")</f>
        <v/>
      </c>
      <c r="G21" s="37">
        <f>IFERROR(INDEX('1. MASTER_ENTRY'!$U$4:$U$63,MATCH(LARGE('1. MASTER_ENTRY'!$V$4:$V$63,10),'1. MASTER_ENTRY'!$V$4:$V$63,0)),"")</f>
        <v/>
      </c>
    </row>
    <row r="22" ht="28" customHeight="1">
      <c r="B22" s="40" t="n">
        <v>11</v>
      </c>
      <c r="C22" s="41">
        <f>IFERROR(INDEX('1. MASTER_ENTRY'!$A$4:$A$63,MATCH(LARGE('1. MASTER_ENTRY'!$V$4:$V$63,11),'1. MASTER_ENTRY'!$V$4:$V$63,0)),"")</f>
        <v/>
      </c>
      <c r="D22" s="40">
        <f>IFERROR(INDEX('1. MASTER_ENTRY'!$C$4:$C$63,MATCH(LARGE('1. MASTER_ENTRY'!$V$4:$V$63,11),'1. MASTER_ENTRY'!$V$4:$V$63,0)),"")</f>
        <v/>
      </c>
      <c r="E22" s="40">
        <f>IFERROR(INDEX('1. MASTER_ENTRY'!$I$4:$I$63,MATCH(LARGE('1. MASTER_ENTRY'!$V$4:$V$63,11),'1. MASTER_ENTRY'!$V$4:$V$63,0)),"")</f>
        <v/>
      </c>
      <c r="F22" s="40">
        <f>IFERROR(INDEX('1. MASTER_ENTRY'!$M$4:$M$63,MATCH(LARGE('1. MASTER_ENTRY'!$V$4:$V$63,11),'1. MASTER_ENTRY'!$V$4:$V$63,0)),"")</f>
        <v/>
      </c>
      <c r="G22" s="41">
        <f>IFERROR(INDEX('1. MASTER_ENTRY'!$U$4:$U$63,MATCH(LARGE('1. MASTER_ENTRY'!$V$4:$V$63,11),'1. MASTER_ENTRY'!$V$4:$V$63,0)),"")</f>
        <v/>
      </c>
    </row>
    <row r="23" ht="28" customHeight="1">
      <c r="B23" s="36" t="n">
        <v>12</v>
      </c>
      <c r="C23" s="37">
        <f>IFERROR(INDEX('1. MASTER_ENTRY'!$A$4:$A$63,MATCH(LARGE('1. MASTER_ENTRY'!$V$4:$V$63,12),'1. MASTER_ENTRY'!$V$4:$V$63,0)),"")</f>
        <v/>
      </c>
      <c r="D23" s="36">
        <f>IFERROR(INDEX('1. MASTER_ENTRY'!$C$4:$C$63,MATCH(LARGE('1. MASTER_ENTRY'!$V$4:$V$63,12),'1. MASTER_ENTRY'!$V$4:$V$63,0)),"")</f>
        <v/>
      </c>
      <c r="E23" s="36">
        <f>IFERROR(INDEX('1. MASTER_ENTRY'!$I$4:$I$63,MATCH(LARGE('1. MASTER_ENTRY'!$V$4:$V$63,12),'1. MASTER_ENTRY'!$V$4:$V$63,0)),"")</f>
        <v/>
      </c>
      <c r="F23" s="36">
        <f>IFERROR(INDEX('1. MASTER_ENTRY'!$M$4:$M$63,MATCH(LARGE('1. MASTER_ENTRY'!$V$4:$V$63,12),'1. MASTER_ENTRY'!$V$4:$V$63,0)),"")</f>
        <v/>
      </c>
      <c r="G23" s="37">
        <f>IFERROR(INDEX('1. MASTER_ENTRY'!$U$4:$U$63,MATCH(LARGE('1. MASTER_ENTRY'!$V$4:$V$63,12),'1. MASTER_ENTRY'!$V$4:$V$63,0)),"")</f>
        <v/>
      </c>
    </row>
    <row r="25">
      <c r="B25" s="80" t="inlineStr">
        <is>
          <t>ASK THE ADVISOR - pick a focus area:</t>
        </is>
      </c>
      <c r="E25" s="31" t="inlineStr">
        <is>
          <t>Quality / Defects</t>
        </is>
      </c>
    </row>
    <row r="26">
      <c r="B26" s="89">
        <f>CHOOSE(MATCH($E$25,LISTS!$A$2:$A$9,0),"QUALITY: Run a Fishbone + 5-Whys to find the root cause. Add a Poka-Yoke check at the source. Track defect rate weekly on the Six Sigma trend.","DELIVERY: Map the value stream, expose handoff delays, set WIP limits with Kanban. Add a daily stand-up; measure on-time delivery %.","PROCESS/FLOW: Apply Standard Work to remove variation. Use a Gemba walk to find the real bottleneck, then PDCA the fix in short cycles.","PEOPLE/TRAINING: Build a standard onboarding checklist and skills matrix. Use A3 coaching so the team owns the improvement.","COST/WASTE: Use the 8 Wastes lens. Quantify each waste; attack the Pareto top-3 first for ~80% of the benefit.","SAFETY/COMPLIANCE: Run an FMEA on high-severity steps, add controls that lower Detection risk, verify with an audit checklist.","TECHNOLOGY/TOOLS: Pilot the change in one team (PDCA), measure cycle-time before/after, then standardise and roll out.","CUSTOMER/VOC: Capture Voice-of-Customer, translate to CTQs, link each CTQ to a measurable target on a case.")</f>
        <v/>
      </c>
      <c r="C26" s="90" t="n"/>
      <c r="D26" s="90" t="n"/>
      <c r="E26" s="90" t="n"/>
      <c r="F26" s="90" t="n"/>
      <c r="G26" s="90" t="n"/>
      <c r="H26" s="90" t="n"/>
      <c r="I26" s="90" t="n"/>
      <c r="J26" s="90" t="n"/>
    </row>
    <row r="27"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</row>
    <row r="28"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</row>
    <row r="29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5">
    <mergeCell ref="A1:J1"/>
    <mergeCell ref="B5:J8"/>
    <mergeCell ref="B4:J4"/>
    <mergeCell ref="A2:J2"/>
    <mergeCell ref="B26:J29"/>
  </mergeCells>
  <conditionalFormatting sqref="E12:E23">
    <cfRule type="colorScale" priority="1">
      <colorScale>
        <cfvo type="num" val="0"/>
        <cfvo type="num" val="100"/>
        <cfvo type="num" val="300"/>
        <color rgb="0063BE7B"/>
        <color rgb="00FFEB84"/>
        <color rgb="00F8696B"/>
      </colorScale>
    </cfRule>
  </conditionalFormatting>
  <dataValidations count="1">
    <dataValidation sqref="E25" showDropDown="0" showInputMessage="0" showErrorMessage="1" allowBlank="0" error="Choose a focus area from the list." type="list" errorStyle="stop">
      <formula1>LISTS!$A$2:$A$9</formula1>
    </dataValidation>
  </dataValidations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H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34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6" customHeight="1">
      <c r="A1" s="1" t="inlineStr">
        <is>
          <t xml:space="preserve">  EXECUTIVE REPORT  -  one-page summary (print me)</t>
        </is>
      </c>
    </row>
    <row r="2" ht="20" customHeight="1">
      <c r="A2" s="2" t="inlineStr">
        <is>
          <t xml:space="preserve">  Read-only. Auto-generated live from all sheets.</t>
        </is>
      </c>
    </row>
    <row r="3">
      <c r="B3" s="71">
        <f>" Project:  "&amp;CONFIG!$C$5&amp;"     Status:  "&amp;CONFIG!$C$11&amp;"     Generated:  "&amp;TEXT(TODAY(),"dd-mmm-yyyy")</f>
        <v/>
      </c>
    </row>
    <row r="5">
      <c r="B5" s="4" t="inlineStr">
        <is>
          <t>CASES</t>
        </is>
      </c>
      <c r="C5" s="5" t="n"/>
      <c r="D5" s="6" t="inlineStr">
        <is>
          <t>CRITICAL</t>
        </is>
      </c>
      <c r="E5" s="5" t="n"/>
      <c r="F5" s="7" t="inlineStr">
        <is>
          <t>OPEN / ACTIVE</t>
        </is>
      </c>
      <c r="G5" s="5" t="n"/>
    </row>
    <row r="6" ht="22" customHeight="1">
      <c r="B6" s="91">
        <f>COUNT('1. MASTER_ENTRY'!$V$4:$V$63)</f>
        <v/>
      </c>
      <c r="C6" s="5" t="n"/>
      <c r="D6" s="92">
        <f>COUNTIF('1. MASTER_ENTRY'!$I$4:$I$63,"&gt;=200")</f>
        <v/>
      </c>
      <c r="E6" s="5" t="n"/>
      <c r="F6" s="93">
        <f>COUNTIF('1. MASTER_ENTRY'!$R$4:$R$63,"OPEN")+COUNTIF('1. MASTER_ENTRY'!$R$4:$R$63,"IN PROGRESS")+COUNTIF('1. MASTER_ENTRY'!$R$4:$R$63,"ON HOLD")+COUNTIF('1. MASTER_ENTRY'!$R$4:$R$63,"BLOCKED")</f>
        <v/>
      </c>
      <c r="G6" s="5" t="n"/>
    </row>
    <row r="8">
      <c r="B8" s="8" t="inlineStr">
        <is>
          <t>AVG % DONE</t>
        </is>
      </c>
      <c r="C8" s="5" t="n"/>
      <c r="D8" s="72" t="inlineStr">
        <is>
          <t>AVG RPN</t>
        </is>
      </c>
      <c r="E8" s="5" t="n"/>
      <c r="F8" s="73" t="inlineStr">
        <is>
          <t>BLOCKED</t>
        </is>
      </c>
      <c r="G8" s="5" t="n"/>
    </row>
    <row r="9" ht="22" customHeight="1">
      <c r="B9" s="94">
        <f>IFERROR(AVERAGE('1. MASTER_ENTRY'!$S$4:$S$63),0)</f>
        <v/>
      </c>
      <c r="C9" s="5" t="n"/>
      <c r="D9" s="95">
        <f>IFERROR(ROUND(AVERAGEIF('1. MASTER_ENTRY'!$I$4:$I$63,"&gt;0"),0),0)</f>
        <v/>
      </c>
      <c r="E9" s="5" t="n"/>
      <c r="F9" s="96">
        <f>COUNTIF('1. MASTER_ENTRY'!$R$4:$R$63,"BLOCKED")</f>
        <v/>
      </c>
      <c r="G9" s="5" t="n"/>
    </row>
    <row r="11">
      <c r="B11" s="97" t="inlineStr">
        <is>
          <t>EST. BUDGET</t>
        </is>
      </c>
      <c r="C11" s="5" t="n"/>
      <c r="D11" s="98" t="inlineStr">
        <is>
          <t>ACTUAL SPEND</t>
        </is>
      </c>
      <c r="E11" s="5" t="n"/>
      <c r="F11" s="99" t="inlineStr">
        <is>
          <t>% BUDGET SPENT</t>
        </is>
      </c>
      <c r="G11" s="5" t="n"/>
    </row>
    <row r="12" ht="22" customHeight="1">
      <c r="B12" s="100">
        <f>SUM('10. BUDGET'!$D$4:$D$63)</f>
        <v/>
      </c>
      <c r="C12" s="5" t="n"/>
      <c r="D12" s="101">
        <f>SUM('10. BUDGET'!$E$4:$E$63)</f>
        <v/>
      </c>
      <c r="E12" s="5" t="n"/>
      <c r="F12" s="102">
        <f>IFERROR(SUM('10. BUDGET'!$E$4:$E$63)/SUM('10. BUDGET'!$D$4:$D$63),0)</f>
        <v/>
      </c>
      <c r="G12" s="5" t="n"/>
    </row>
    <row r="14">
      <c r="B14" s="88" t="inlineStr">
        <is>
          <t>TOP 5 RISKS (by RPN)</t>
        </is>
      </c>
    </row>
    <row r="15">
      <c r="B15" s="4" t="inlineStr">
        <is>
          <t>#</t>
        </is>
      </c>
      <c r="C15" s="4" t="inlineStr">
        <is>
          <t>CASE</t>
        </is>
      </c>
      <c r="D15" s="4" t="inlineStr">
        <is>
          <t>PROBLEM</t>
        </is>
      </c>
      <c r="E15" s="4" t="inlineStr">
        <is>
          <t>RPN</t>
        </is>
      </c>
      <c r="F15" s="4" t="inlineStr">
        <is>
          <t>OWNER</t>
        </is>
      </c>
    </row>
    <row r="16">
      <c r="B16" s="40" t="n">
        <v>1</v>
      </c>
      <c r="C16" s="40">
        <f>IFERROR(INDEX('1. MASTER_ENTRY'!$A$4:$A$63,MATCH(LARGE('1. MASTER_ENTRY'!$V$4:$V$63,1),'1. MASTER_ENTRY'!$V$4:$V$63,0)),"")</f>
        <v/>
      </c>
      <c r="D16" s="41">
        <f>IFERROR(INDEX('1. MASTER_ENTRY'!$C$4:$C$63,MATCH(LARGE('1. MASTER_ENTRY'!$V$4:$V$63,1),'1. MASTER_ENTRY'!$V$4:$V$63,0)),"")</f>
        <v/>
      </c>
      <c r="E16" s="40">
        <f>IFERROR(INDEX('1. MASTER_ENTRY'!$I$4:$I$63,MATCH(LARGE('1. MASTER_ENTRY'!$V$4:$V$63,1),'1. MASTER_ENTRY'!$V$4:$V$63,0)),"")</f>
        <v/>
      </c>
      <c r="F16" s="40">
        <f>IFERROR(INDEX('1. MASTER_ENTRY'!$M$4:$M$63,MATCH(LARGE('1. MASTER_ENTRY'!$V$4:$V$63,1),'1. MASTER_ENTRY'!$V$4:$V$63,0)),"")</f>
        <v/>
      </c>
    </row>
    <row r="17">
      <c r="B17" s="36" t="n">
        <v>2</v>
      </c>
      <c r="C17" s="36">
        <f>IFERROR(INDEX('1. MASTER_ENTRY'!$A$4:$A$63,MATCH(LARGE('1. MASTER_ENTRY'!$V$4:$V$63,2),'1. MASTER_ENTRY'!$V$4:$V$63,0)),"")</f>
        <v/>
      </c>
      <c r="D17" s="37">
        <f>IFERROR(INDEX('1. MASTER_ENTRY'!$C$4:$C$63,MATCH(LARGE('1. MASTER_ENTRY'!$V$4:$V$63,2),'1. MASTER_ENTRY'!$V$4:$V$63,0)),"")</f>
        <v/>
      </c>
      <c r="E17" s="36">
        <f>IFERROR(INDEX('1. MASTER_ENTRY'!$I$4:$I$63,MATCH(LARGE('1. MASTER_ENTRY'!$V$4:$V$63,2),'1. MASTER_ENTRY'!$V$4:$V$63,0)),"")</f>
        <v/>
      </c>
      <c r="F17" s="36">
        <f>IFERROR(INDEX('1. MASTER_ENTRY'!$M$4:$M$63,MATCH(LARGE('1. MASTER_ENTRY'!$V$4:$V$63,2),'1. MASTER_ENTRY'!$V$4:$V$63,0)),"")</f>
        <v/>
      </c>
    </row>
    <row r="18">
      <c r="B18" s="40" t="n">
        <v>3</v>
      </c>
      <c r="C18" s="40">
        <f>IFERROR(INDEX('1. MASTER_ENTRY'!$A$4:$A$63,MATCH(LARGE('1. MASTER_ENTRY'!$V$4:$V$63,3),'1. MASTER_ENTRY'!$V$4:$V$63,0)),"")</f>
        <v/>
      </c>
      <c r="D18" s="41">
        <f>IFERROR(INDEX('1. MASTER_ENTRY'!$C$4:$C$63,MATCH(LARGE('1. MASTER_ENTRY'!$V$4:$V$63,3),'1. MASTER_ENTRY'!$V$4:$V$63,0)),"")</f>
        <v/>
      </c>
      <c r="E18" s="40">
        <f>IFERROR(INDEX('1. MASTER_ENTRY'!$I$4:$I$63,MATCH(LARGE('1. MASTER_ENTRY'!$V$4:$V$63,3),'1. MASTER_ENTRY'!$V$4:$V$63,0)),"")</f>
        <v/>
      </c>
      <c r="F18" s="40">
        <f>IFERROR(INDEX('1. MASTER_ENTRY'!$M$4:$M$63,MATCH(LARGE('1. MASTER_ENTRY'!$V$4:$V$63,3),'1. MASTER_ENTRY'!$V$4:$V$63,0)),"")</f>
        <v/>
      </c>
    </row>
    <row r="19">
      <c r="B19" s="36" t="n">
        <v>4</v>
      </c>
      <c r="C19" s="36">
        <f>IFERROR(INDEX('1. MASTER_ENTRY'!$A$4:$A$63,MATCH(LARGE('1. MASTER_ENTRY'!$V$4:$V$63,4),'1. MASTER_ENTRY'!$V$4:$V$63,0)),"")</f>
        <v/>
      </c>
      <c r="D19" s="37">
        <f>IFERROR(INDEX('1. MASTER_ENTRY'!$C$4:$C$63,MATCH(LARGE('1. MASTER_ENTRY'!$V$4:$V$63,4),'1. MASTER_ENTRY'!$V$4:$V$63,0)),"")</f>
        <v/>
      </c>
      <c r="E19" s="36">
        <f>IFERROR(INDEX('1. MASTER_ENTRY'!$I$4:$I$63,MATCH(LARGE('1. MASTER_ENTRY'!$V$4:$V$63,4),'1. MASTER_ENTRY'!$V$4:$V$63,0)),"")</f>
        <v/>
      </c>
      <c r="F19" s="36">
        <f>IFERROR(INDEX('1. MASTER_ENTRY'!$M$4:$M$63,MATCH(LARGE('1. MASTER_ENTRY'!$V$4:$V$63,4),'1. MASTER_ENTRY'!$V$4:$V$63,0)),"")</f>
        <v/>
      </c>
    </row>
    <row r="20">
      <c r="B20" s="40" t="n">
        <v>5</v>
      </c>
      <c r="C20" s="40">
        <f>IFERROR(INDEX('1. MASTER_ENTRY'!$A$4:$A$63,MATCH(LARGE('1. MASTER_ENTRY'!$V$4:$V$63,5),'1. MASTER_ENTRY'!$V$4:$V$63,0)),"")</f>
        <v/>
      </c>
      <c r="D20" s="41">
        <f>IFERROR(INDEX('1. MASTER_ENTRY'!$C$4:$C$63,MATCH(LARGE('1. MASTER_ENTRY'!$V$4:$V$63,5),'1. MASTER_ENTRY'!$V$4:$V$63,0)),"")</f>
        <v/>
      </c>
      <c r="E20" s="40">
        <f>IFERROR(INDEX('1. MASTER_ENTRY'!$I$4:$I$63,MATCH(LARGE('1. MASTER_ENTRY'!$V$4:$V$63,5),'1. MASTER_ENTRY'!$V$4:$V$63,0)),"")</f>
        <v/>
      </c>
      <c r="F20" s="40">
        <f>IFERROR(INDEX('1. MASTER_ENTRY'!$M$4:$M$63,MATCH(LARGE('1. MASTER_ENTRY'!$V$4:$V$63,5),'1. MASTER_ENTRY'!$V$4:$V$63,0)),"")</f>
        <v/>
      </c>
    </row>
    <row r="22">
      <c r="B22" s="85" t="inlineStr">
        <is>
          <t>EXECUTIVE SUMMARY</t>
        </is>
      </c>
    </row>
    <row r="23">
      <c r="B23" s="86">
        <f>"Project '"&amp;CONFIG!$C$5&amp;"' is tracking "&amp;COUNT('1. MASTER_ENTRY'!$V$4:$V$63)&amp;" case(s); "&amp;COUNTIF('1. MASTER_ENTRY'!$I$4:$I$63,"&gt;=200")&amp;" critical and "&amp;(COUNTIF('1. MASTER_ENTRY'!$R$4:$R$63,"OPEN")+COUNTIF('1. MASTER_ENTRY'!$R$4:$R$63,"IN PROGRESS")+COUNTIF('1. MASTER_ENTRY'!$R$4:$R$63,"ON HOLD")+COUNTIF('1. MASTER_ENTRY'!$R$4:$R$63,"BLOCKED"))&amp;" open. "&amp;"Average completion "&amp;TEXT(IFERROR(AVERAGE('1. MASTER_ENTRY'!$S$4:$S$63),0),"0%")&amp;". Budget: "&amp;TEXT(SUM('10. BUDGET'!$E$4:$E$63),"#,##0")&amp;" spent of "&amp;TEXT(SUM('10. BUDGET'!$D$4:$D$63),"#,##0")&amp;" estimated ("&amp;TEXT(IFERROR(SUM('10. BUDGET'!$E$4:$E$63)/SUM('10. BUDGET'!$D$4:$D$63),0),"0%")&amp;"). "&amp;"Highest exposure: "&amp;IFERROR(INDEX('1. MASTER_ENTRY'!$C$4:$C$63,MATCH(MAX('1. MASTER_ENTRY'!$I$4:$I$63),'1. MASTER_ENTRY'!$I$4:$I$63,0)),"n/a")&amp;". Recommended focus: clear blocked items and attack the top risks listed above."</f>
        <v/>
      </c>
      <c r="C23" s="87" t="n"/>
      <c r="D23" s="87" t="n"/>
      <c r="E23" s="87" t="n"/>
      <c r="F23" s="87" t="n"/>
      <c r="G23" s="87" t="n"/>
      <c r="H23" s="87" t="n"/>
    </row>
    <row r="24">
      <c r="B24" s="87" t="n"/>
      <c r="C24" s="87" t="n"/>
      <c r="D24" s="87" t="n"/>
      <c r="E24" s="87" t="n"/>
      <c r="F24" s="87" t="n"/>
      <c r="G24" s="87" t="n"/>
      <c r="H24" s="87" t="n"/>
    </row>
    <row r="25">
      <c r="B25" s="87" t="n"/>
      <c r="C25" s="87" t="n"/>
      <c r="D25" s="87" t="n"/>
      <c r="E25" s="87" t="n"/>
      <c r="F25" s="87" t="n"/>
      <c r="G25" s="87" t="n"/>
      <c r="H25" s="87" t="n"/>
    </row>
    <row r="26">
      <c r="B26" s="87" t="n"/>
      <c r="C26" s="87" t="n"/>
      <c r="D26" s="87" t="n"/>
      <c r="E26" s="87" t="n"/>
      <c r="F26" s="87" t="n"/>
      <c r="G26" s="87" t="n"/>
      <c r="H26" s="87" t="n"/>
    </row>
    <row r="27">
      <c r="B27" s="87" t="n"/>
      <c r="C27" s="87" t="n"/>
      <c r="D27" s="87" t="n"/>
      <c r="E27" s="87" t="n"/>
      <c r="F27" s="87" t="n"/>
      <c r="G27" s="87" t="n"/>
      <c r="H27" s="8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22">
    <mergeCell ref="F11:G11"/>
    <mergeCell ref="F6:G6"/>
    <mergeCell ref="A1:H1"/>
    <mergeCell ref="B12:C12"/>
    <mergeCell ref="D6:E6"/>
    <mergeCell ref="F12:G12"/>
    <mergeCell ref="B11:C11"/>
    <mergeCell ref="D11:E11"/>
    <mergeCell ref="F5:G5"/>
    <mergeCell ref="B3:H3"/>
    <mergeCell ref="B8:C8"/>
    <mergeCell ref="F8:G8"/>
    <mergeCell ref="A2:H2"/>
    <mergeCell ref="B9:C9"/>
    <mergeCell ref="D9:E9"/>
    <mergeCell ref="F9:G9"/>
    <mergeCell ref="D12:E12"/>
    <mergeCell ref="D8:E8"/>
    <mergeCell ref="B6:C6"/>
    <mergeCell ref="B5:C5"/>
    <mergeCell ref="D5:E5"/>
    <mergeCell ref="B23:H27"/>
  </mergeCells>
  <pageMargins left="0.3" right="0.3" top="0.5" bottom="0.5" header="0.5" footer="0.5"/>
  <pageSetup orientation="portrait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A1: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38" customWidth="1" min="3" max="3"/>
    <col width="38" customWidth="1" min="4" max="4"/>
  </cols>
  <sheetData>
    <row r="1" ht="36" customHeight="1">
      <c r="A1" s="20" t="inlineStr">
        <is>
          <t xml:space="preserve">  GLOSSARY  -  terms &amp; how the numbers are calculated</t>
        </is>
      </c>
    </row>
    <row r="2" ht="20" customHeight="1">
      <c r="A2" s="2" t="inlineStr">
        <is>
          <t xml:space="preserve">  Reference only.</t>
        </is>
      </c>
    </row>
    <row r="3" ht="30" customHeight="1">
      <c r="A3" s="27" t="inlineStr">
        <is>
          <t>TERM</t>
        </is>
      </c>
      <c r="B3" s="27" t="inlineStr">
        <is>
          <t>WHAT IT MEANS / HOW IT IS CALCULATED</t>
        </is>
      </c>
    </row>
    <row r="4" ht="26" customHeight="1">
      <c r="A4" s="103" t="inlineStr">
        <is>
          <t>RPN</t>
        </is>
      </c>
      <c r="B4" s="37" t="inlineStr">
        <is>
          <t>Risk Priority Number = Severity x Occurrence x Detection (1-1000). Higher = more urgent.</t>
        </is>
      </c>
    </row>
    <row r="5" ht="26" customHeight="1">
      <c r="A5" s="104" t="inlineStr">
        <is>
          <t>RPN Band</t>
        </is>
      </c>
      <c r="B5" s="41" t="inlineStr">
        <is>
          <t>Auto: &gt;=200 Critical, 100-199 High, 50-99 Medium, &lt;50 Low.</t>
        </is>
      </c>
    </row>
    <row r="6" ht="26" customHeight="1">
      <c r="A6" s="103" t="inlineStr">
        <is>
          <t>Severity (SEV)</t>
        </is>
      </c>
      <c r="B6" s="37" t="inlineStr">
        <is>
          <t>How bad the impact is if the failure happens (1=minor, 10=catastrophic).</t>
        </is>
      </c>
    </row>
    <row r="7" ht="26" customHeight="1">
      <c r="A7" s="104" t="inlineStr">
        <is>
          <t>Occurrence (OCC)</t>
        </is>
      </c>
      <c r="B7" s="41" t="inlineStr">
        <is>
          <t>How often the cause is likely to occur (1=rare, 10=constant).</t>
        </is>
      </c>
    </row>
    <row r="8" ht="26" customHeight="1">
      <c r="A8" s="103" t="inlineStr">
        <is>
          <t>Detection (DET)</t>
        </is>
      </c>
      <c r="B8" s="37" t="inlineStr">
        <is>
          <t>How hard it is to detect before impact (1=always caught, 10=never caught).</t>
        </is>
      </c>
    </row>
    <row r="9" ht="26" customHeight="1">
      <c r="A9" s="104" t="inlineStr">
        <is>
          <t>Est. Days</t>
        </is>
      </c>
      <c r="B9" s="41" t="inlineStr">
        <is>
          <t>AI estimate: base by priority (Critical 7, High 14, Medium 30, Low 45) stretched by RPN.</t>
        </is>
      </c>
    </row>
    <row r="10" ht="26" customHeight="1">
      <c r="A10" s="103" t="inlineStr">
        <is>
          <t>Health</t>
        </is>
      </c>
      <c r="B10" s="37" t="inlineStr">
        <is>
          <t>Auto status flag from RPN, priority and status.</t>
        </is>
      </c>
    </row>
    <row r="11" ht="26" customHeight="1">
      <c r="A11" s="104" t="inlineStr">
        <is>
          <t>PDCA</t>
        </is>
      </c>
      <c r="B11" s="41" t="inlineStr">
        <is>
          <t>Plan-Do-Check-Act improvement cycle.</t>
        </is>
      </c>
    </row>
    <row r="12" ht="26" customHeight="1">
      <c r="A12" s="103" t="inlineStr">
        <is>
          <t>FMEA</t>
        </is>
      </c>
      <c r="B12" s="37" t="inlineStr">
        <is>
          <t>Failure Mode &amp; Effects Analysis - structured risk scoring.</t>
        </is>
      </c>
    </row>
    <row r="13" ht="26" customHeight="1">
      <c r="A13" s="104" t="inlineStr">
        <is>
          <t>DPMO</t>
        </is>
      </c>
      <c r="B13" s="41" t="inlineStr">
        <is>
          <t>Defects Per Million Opportunities = Defect rate x 1,000,000.</t>
        </is>
      </c>
    </row>
    <row r="14" ht="26" customHeight="1">
      <c r="A14" s="103" t="inlineStr">
        <is>
          <t>Sigma Level</t>
        </is>
      </c>
      <c r="B14" s="37" t="inlineStr">
        <is>
          <t>Process capability derived from DPMO (target typically 4.5+).</t>
        </is>
      </c>
    </row>
    <row r="15" ht="26" customHeight="1">
      <c r="A15" s="104" t="inlineStr">
        <is>
          <t>RACI</t>
        </is>
      </c>
      <c r="B15" s="41" t="inlineStr">
        <is>
          <t>Responsible, Accountable, Consulted, Informed.</t>
        </is>
      </c>
    </row>
    <row r="16" ht="26" customHeight="1">
      <c r="A16" s="103" t="inlineStr">
        <is>
          <t>Power/Interest</t>
        </is>
      </c>
      <c r="B16" s="37" t="inlineStr">
        <is>
          <t>Stakeholder grid: Manage closely / Keep satisfied / Keep informed / Monitor.</t>
        </is>
      </c>
    </row>
    <row r="17" ht="26" customHeight="1">
      <c r="A17" s="104" t="inlineStr">
        <is>
          <t>Budget Variance</t>
        </is>
      </c>
      <c r="B17" s="41" t="inlineStr">
        <is>
          <t>Estimated cost minus actual cost. Negative (red) = over budget.</t>
        </is>
      </c>
    </row>
    <row r="18" ht="26" customHeight="1">
      <c r="A18" s="103" t="inlineStr">
        <is>
          <t>8 Wastes</t>
        </is>
      </c>
      <c r="B18" s="37" t="inlineStr">
        <is>
          <t>Transport, Inventory, Motion, Waiting, Overproduction, Over-processing, Defects, Skills.</t>
        </is>
      </c>
    </row>
    <row r="19" ht="26" customHeight="1">
      <c r="A19" s="104" t="inlineStr">
        <is>
          <t>Lean Method</t>
        </is>
      </c>
      <c r="B19" s="41" t="inlineStr">
        <is>
          <t>The countermeasure approach chosen to tackle the case.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18">
    <mergeCell ref="B10:D10"/>
    <mergeCell ref="A1:D1"/>
    <mergeCell ref="B11:D11"/>
    <mergeCell ref="B5:D5"/>
    <mergeCell ref="B14:D14"/>
    <mergeCell ref="B15:D15"/>
    <mergeCell ref="B19:D19"/>
    <mergeCell ref="B8:D8"/>
    <mergeCell ref="B4:D4"/>
    <mergeCell ref="B17:D17"/>
    <mergeCell ref="B9:D9"/>
    <mergeCell ref="B13:D13"/>
    <mergeCell ref="B18:D18"/>
    <mergeCell ref="A2:D2"/>
    <mergeCell ref="B12:D12"/>
    <mergeCell ref="B7:D7"/>
    <mergeCell ref="B6:D6"/>
    <mergeCell ref="B16:D16"/>
  </mergeCells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A1:C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90" customWidth="1" min="3" max="3"/>
  </cols>
  <sheetData>
    <row r="1" ht="36" customHeight="1">
      <c r="A1" s="20" t="inlineStr">
        <is>
          <t xml:space="preserve">  VERSION HISTORY</t>
        </is>
      </c>
    </row>
    <row r="2" ht="20" customHeight="1">
      <c r="A2" s="2" t="inlineStr">
        <is>
          <t xml:space="preserve">  Reference only.</t>
        </is>
      </c>
    </row>
    <row r="3" ht="30" customHeight="1">
      <c r="A3" s="27" t="inlineStr">
        <is>
          <t>VERSION</t>
        </is>
      </c>
      <c r="B3" s="27" t="inlineStr">
        <is>
          <t>DATE</t>
        </is>
      </c>
      <c r="C3" s="27" t="inlineStr">
        <is>
          <t>WHAT CHANGED</t>
        </is>
      </c>
    </row>
    <row r="4" ht="44" customHeight="1">
      <c r="A4" s="105" t="inlineStr">
        <is>
          <t>v9.1</t>
        </is>
      </c>
      <c r="B4" s="36" t="inlineStr">
        <is>
          <t>2026-06-10</t>
        </is>
      </c>
      <c r="C4" s="37" t="inlineStr">
        <is>
          <t>Added Budget/Cost tracker (estimate vs actual, variance, by-category chart) and a printable one-page Executive Report.</t>
        </is>
      </c>
    </row>
    <row r="5" ht="44" customHeight="1">
      <c r="A5" s="106" t="inlineStr">
        <is>
          <t>v9.0</t>
        </is>
      </c>
      <c r="B5" s="40" t="inlineStr">
        <is>
          <t>2026-06-10</t>
        </is>
      </c>
      <c r="C5" s="41" t="inlineStr">
        <is>
          <t>Professional release: CONFIG roster drives Owner dropdowns; Stakeholder/RACI register; Glossary; tab colours; data bars; health colour-coding; print setup; document properties.</t>
        </is>
      </c>
    </row>
    <row r="6" ht="44" customHeight="1">
      <c r="A6" s="105" t="inlineStr">
        <is>
          <t>v9.0</t>
        </is>
      </c>
      <c r="B6" s="36" t="inlineStr">
        <is>
          <t>2026-06-10</t>
        </is>
      </c>
      <c r="C6" s="37" t="inlineStr">
        <is>
          <t>Choose-only: every input is a dropdown; free typing blocked; all output sheets locked &amp; protected.</t>
        </is>
      </c>
    </row>
    <row r="7" ht="44" customHeight="1">
      <c r="A7" s="106" t="inlineStr">
        <is>
          <t>v9.0</t>
        </is>
      </c>
      <c r="B7" s="40" t="inlineStr">
        <is>
          <t>2026-06-10</t>
        </is>
      </c>
      <c r="C7" s="41" t="inlineStr">
        <is>
          <t>Integrated core: one MASTER_ENTRY row drives PM, Risk, FMEA, PDCA, Action Log, Timeline, Dashboard and AI Assistant.</t>
        </is>
      </c>
    </row>
    <row r="8" ht="44" customHeight="1">
      <c r="A8" s="105" t="inlineStr">
        <is>
          <t>v8 (legacy)</t>
        </is>
      </c>
      <c r="B8" s="36" t="inlineStr">
        <is>
          <t>-</t>
        </is>
      </c>
      <c r="C8" s="37" t="inlineStr">
        <is>
          <t>Original multi-sheet workbook (kept as the .xlsm file).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2">
    <mergeCell ref="A1:C1"/>
    <mergeCell ref="A2:C2"/>
  </mergeCells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73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07" t="inlineStr">
        <is>
          <t>Category</t>
        </is>
      </c>
      <c r="B1" s="107" t="inlineStr">
        <is>
          <t>Priority</t>
        </is>
      </c>
      <c r="C1" s="107" t="inlineStr">
        <is>
          <t>Score</t>
        </is>
      </c>
      <c r="D1" s="107" t="inlineStr">
        <is>
          <t>LeanMethod</t>
        </is>
      </c>
      <c r="E1" s="107" t="inlineStr">
        <is>
          <t>Status</t>
        </is>
      </c>
      <c r="F1" s="107" t="inlineStr">
        <is>
          <t>Problems</t>
        </is>
      </c>
      <c r="G1" s="107" t="inlineStr">
        <is>
          <t>RootCauses</t>
        </is>
      </c>
      <c r="H1" s="107" t="inlineStr">
        <is>
          <t>Targets</t>
        </is>
      </c>
      <c r="I1" s="107" t="inlineStr">
        <is>
          <t>Role</t>
        </is>
      </c>
      <c r="J1" s="107" t="inlineStr">
        <is>
          <t>HML</t>
        </is>
      </c>
      <c r="K1" s="107" t="inlineStr">
        <is>
          <t>RACI</t>
        </is>
      </c>
      <c r="L1" s="107" t="inlineStr">
        <is>
          <t>CostCat</t>
        </is>
      </c>
      <c r="M1" s="107" t="inlineStr">
        <is>
          <t>Percent</t>
        </is>
      </c>
      <c r="N1" s="107" t="inlineStr">
        <is>
          <t>Units</t>
        </is>
      </c>
      <c r="O1" s="107" t="inlineStr">
        <is>
          <t>Defects</t>
        </is>
      </c>
      <c r="P1" s="107" t="inlineStr">
        <is>
          <t>Opps</t>
        </is>
      </c>
      <c r="Q1" s="107" t="inlineStr">
        <is>
          <t>Cost</t>
        </is>
      </c>
      <c r="R1" s="107" t="inlineStr">
        <is>
          <t>Dates</t>
        </is>
      </c>
    </row>
    <row r="2">
      <c r="A2" t="inlineStr">
        <is>
          <t>Quality / Defects</t>
        </is>
      </c>
      <c r="B2" t="inlineStr">
        <is>
          <t>1-CRITICAL</t>
        </is>
      </c>
      <c r="C2" t="n">
        <v>1</v>
      </c>
      <c r="D2" t="inlineStr">
        <is>
          <t>Value Stream Mapping</t>
        </is>
      </c>
      <c r="E2" t="inlineStr">
        <is>
          <t>OPEN</t>
        </is>
      </c>
      <c r="F2" t="inlineStr">
        <is>
          <t>Delivery targets missed 20% consistently</t>
        </is>
      </c>
      <c r="G2" t="inlineStr">
        <is>
          <t>Handoff delays invisible; no WIP limits</t>
        </is>
      </c>
      <c r="H2" t="inlineStr">
        <is>
          <t>On-time delivery &gt;95% in 8 weeks</t>
        </is>
      </c>
      <c r="I2" t="inlineStr">
        <is>
          <t>Project Manager</t>
        </is>
      </c>
      <c r="J2" t="inlineStr">
        <is>
          <t>High</t>
        </is>
      </c>
      <c r="K2" t="inlineStr">
        <is>
          <t>R - Responsible</t>
        </is>
      </c>
      <c r="L2" t="inlineStr">
        <is>
          <t>Labour / Effort</t>
        </is>
      </c>
      <c r="M2" t="n">
        <v>0</v>
      </c>
      <c r="N2" t="n">
        <v>0</v>
      </c>
      <c r="O2" t="n">
        <v>0</v>
      </c>
      <c r="P2" t="n">
        <v>1</v>
      </c>
      <c r="Q2" t="n">
        <v>0</v>
      </c>
      <c r="R2" s="108" t="n">
        <v>46023</v>
      </c>
    </row>
    <row r="3">
      <c r="A3" t="inlineStr">
        <is>
          <t>Delivery / Schedule</t>
        </is>
      </c>
      <c r="B3" t="inlineStr">
        <is>
          <t>2-HIGH</t>
        </is>
      </c>
      <c r="C3" t="n">
        <v>2</v>
      </c>
      <c r="D3" t="inlineStr">
        <is>
          <t>Kanban</t>
        </is>
      </c>
      <c r="E3" t="inlineStr">
        <is>
          <t>IN PROGRESS</t>
        </is>
      </c>
      <c r="F3" t="inlineStr">
        <is>
          <t>Defect rate at 12% - customers complaining</t>
        </is>
      </c>
      <c r="G3" t="inlineStr">
        <is>
          <t>No quality check at source</t>
        </is>
      </c>
      <c r="H3" t="inlineStr">
        <is>
          <t>Zero defect escapes within 4 weeks</t>
        </is>
      </c>
      <c r="I3" t="inlineStr">
        <is>
          <t>Sponsor</t>
        </is>
      </c>
      <c r="J3" t="inlineStr">
        <is>
          <t>Medium</t>
        </is>
      </c>
      <c r="K3" t="inlineStr">
        <is>
          <t>A - Accountable</t>
        </is>
      </c>
      <c r="L3" t="inlineStr">
        <is>
          <t>Tooling / Software</t>
        </is>
      </c>
      <c r="M3" t="n">
        <v>0.1</v>
      </c>
      <c r="N3" t="n">
        <v>10</v>
      </c>
      <c r="O3" t="n">
        <v>1</v>
      </c>
      <c r="P3" t="n">
        <v>2</v>
      </c>
      <c r="Q3" t="n">
        <v>250</v>
      </c>
      <c r="R3" s="108" t="n">
        <v>46024</v>
      </c>
    </row>
    <row r="4">
      <c r="A4" t="inlineStr">
        <is>
          <t>Process / Flow</t>
        </is>
      </c>
      <c r="B4" t="inlineStr">
        <is>
          <t>3-MEDIUM</t>
        </is>
      </c>
      <c r="C4" t="n">
        <v>3</v>
      </c>
      <c r="D4" t="inlineStr">
        <is>
          <t>PDCA</t>
        </is>
      </c>
      <c r="E4" t="inlineStr">
        <is>
          <t>ON HOLD</t>
        </is>
      </c>
      <c r="F4" t="inlineStr">
        <is>
          <t>Team overwhelmed, parallel tasks &gt;8 each</t>
        </is>
      </c>
      <c r="G4" t="inlineStr">
        <is>
          <t>No WIP limits; everything is priority 1</t>
        </is>
      </c>
      <c r="H4" t="inlineStr">
        <is>
          <t>Max 3 active tasks per person</t>
        </is>
      </c>
      <c r="I4" t="inlineStr">
        <is>
          <t>Developer</t>
        </is>
      </c>
      <c r="J4" t="inlineStr">
        <is>
          <t>Low</t>
        </is>
      </c>
      <c r="K4" t="inlineStr">
        <is>
          <t>C - Consulted</t>
        </is>
      </c>
      <c r="L4" t="inlineStr">
        <is>
          <t>Training</t>
        </is>
      </c>
      <c r="M4" t="n">
        <v>0.2</v>
      </c>
      <c r="N4" t="n">
        <v>20</v>
      </c>
      <c r="O4" t="n">
        <v>2</v>
      </c>
      <c r="P4" t="n">
        <v>3</v>
      </c>
      <c r="Q4" t="n">
        <v>500</v>
      </c>
      <c r="R4" s="108" t="n">
        <v>46025</v>
      </c>
    </row>
    <row r="5">
      <c r="A5" t="inlineStr">
        <is>
          <t>People / Training</t>
        </is>
      </c>
      <c r="B5" t="inlineStr">
        <is>
          <t>4-LOW</t>
        </is>
      </c>
      <c r="C5" t="n">
        <v>4</v>
      </c>
      <c r="D5" t="inlineStr">
        <is>
          <t>Standard Work</t>
        </is>
      </c>
      <c r="E5" t="inlineStr">
        <is>
          <t>BLOCKED</t>
        </is>
      </c>
      <c r="F5" t="inlineStr">
        <is>
          <t>Approval bottleneck adds 2.3 days per case</t>
        </is>
      </c>
      <c r="G5" t="inlineStr">
        <is>
          <t>Wrong routing; unclear decision authority</t>
        </is>
      </c>
      <c r="H5" t="inlineStr">
        <is>
          <t>Approval time &lt;4 hours</t>
        </is>
      </c>
      <c r="I5" t="inlineStr">
        <is>
          <t>Dev Lead</t>
        </is>
      </c>
      <c r="K5" t="inlineStr">
        <is>
          <t>I - Informed</t>
        </is>
      </c>
      <c r="L5" t="inlineStr">
        <is>
          <t>Materials</t>
        </is>
      </c>
      <c r="M5" t="n">
        <v>0.3</v>
      </c>
      <c r="N5" t="n">
        <v>30</v>
      </c>
      <c r="O5" t="n">
        <v>3</v>
      </c>
      <c r="P5" t="n">
        <v>4</v>
      </c>
      <c r="Q5" t="n">
        <v>1000</v>
      </c>
      <c r="R5" s="108" t="n">
        <v>46026</v>
      </c>
    </row>
    <row r="6">
      <c r="A6" t="inlineStr">
        <is>
          <t>Cost / Waste</t>
        </is>
      </c>
      <c r="C6" t="n">
        <v>5</v>
      </c>
      <c r="D6" t="inlineStr">
        <is>
          <t>Gemba Walk</t>
        </is>
      </c>
      <c r="E6" t="inlineStr">
        <is>
          <t>RESOLVED</t>
        </is>
      </c>
      <c r="F6" t="inlineStr">
        <is>
          <t>New hire onboarding takes 6 weeks</t>
        </is>
      </c>
      <c r="G6" t="inlineStr">
        <is>
          <t>No documented process; tribal knowledge</t>
        </is>
      </c>
      <c r="H6" t="inlineStr">
        <is>
          <t>Onboard in 2 weeks, consistent quality</t>
        </is>
      </c>
      <c r="I6" t="inlineStr">
        <is>
          <t>QA / Test</t>
        </is>
      </c>
      <c r="L6" t="inlineStr">
        <is>
          <t>External / Consultant</t>
        </is>
      </c>
      <c r="M6" t="n">
        <v>0.4</v>
      </c>
      <c r="N6" t="n">
        <v>40</v>
      </c>
      <c r="O6" t="n">
        <v>4</v>
      </c>
      <c r="P6" t="n">
        <v>5</v>
      </c>
      <c r="Q6" t="n">
        <v>1500</v>
      </c>
      <c r="R6" s="108" t="n">
        <v>46027</v>
      </c>
    </row>
    <row r="7">
      <c r="A7" t="inlineStr">
        <is>
          <t>Safety / Compliance</t>
        </is>
      </c>
      <c r="C7" t="n">
        <v>6</v>
      </c>
      <c r="D7" t="inlineStr">
        <is>
          <t>Mistake-Proofing / Poka-Yoke</t>
        </is>
      </c>
      <c r="E7" t="inlineStr">
        <is>
          <t>CLOSED</t>
        </is>
      </c>
      <c r="F7" t="inlineStr">
        <is>
          <t>Leader not visible to frontline team</t>
        </is>
      </c>
      <c r="G7" t="inlineStr">
        <is>
          <t>No structured Gemba cadence in place</t>
        </is>
      </c>
      <c r="H7" t="inlineStr">
        <is>
          <t>Weekly Gemba walk every leader, every week</t>
        </is>
      </c>
      <c r="I7" t="inlineStr">
        <is>
          <t>QA Lead</t>
        </is>
      </c>
      <c r="L7" t="inlineStr">
        <is>
          <t>Downtime / Lost output</t>
        </is>
      </c>
      <c r="M7" t="n">
        <v>0.5</v>
      </c>
      <c r="N7" t="n">
        <v>50</v>
      </c>
      <c r="O7" t="n">
        <v>5</v>
      </c>
      <c r="P7" t="n">
        <v>6</v>
      </c>
      <c r="Q7" t="n">
        <v>2000</v>
      </c>
      <c r="R7" s="108" t="n">
        <v>46028</v>
      </c>
    </row>
    <row r="8">
      <c r="A8" t="inlineStr">
        <is>
          <t>Technology / Tools</t>
        </is>
      </c>
      <c r="C8" t="n">
        <v>7</v>
      </c>
      <c r="D8" t="inlineStr">
        <is>
          <t>5S</t>
        </is>
      </c>
      <c r="F8" t="inlineStr">
        <is>
          <t>Instrument calibration behind schedule</t>
        </is>
      </c>
      <c r="G8" t="inlineStr">
        <is>
          <t>No pre-commissioning checklist used</t>
        </is>
      </c>
      <c r="H8" t="inlineStr">
        <is>
          <t>Reduce cycle time by 30% in 8 weeks</t>
        </is>
      </c>
      <c r="I8" t="inlineStr">
        <is>
          <t>Operations</t>
        </is>
      </c>
      <c r="L8" t="inlineStr">
        <is>
          <t>Other</t>
        </is>
      </c>
      <c r="M8" t="n">
        <v>0.6</v>
      </c>
      <c r="N8" t="n">
        <v>60</v>
      </c>
      <c r="O8" t="n">
        <v>6</v>
      </c>
      <c r="P8" t="n">
        <v>7</v>
      </c>
      <c r="Q8" t="n">
        <v>3000</v>
      </c>
      <c r="R8" s="108" t="n">
        <v>46029</v>
      </c>
    </row>
    <row r="9">
      <c r="A9" t="inlineStr">
        <is>
          <t>Customer / VOC</t>
        </is>
      </c>
      <c r="C9" t="n">
        <v>8</v>
      </c>
      <c r="D9" t="inlineStr">
        <is>
          <t>A3</t>
        </is>
      </c>
      <c r="F9" t="inlineStr">
        <is>
          <t>Electrical loop tests failing repeatedly</t>
        </is>
      </c>
      <c r="G9" t="inlineStr">
        <is>
          <t>Inadequate technical review conducted</t>
        </is>
      </c>
      <c r="H9" t="inlineStr">
        <is>
          <t>Cut defect rate below 2% in 6 weeks</t>
        </is>
      </c>
      <c r="I9" t="inlineStr">
        <is>
          <t>Ops Lead</t>
        </is>
      </c>
      <c r="M9" t="n">
        <v>0.7</v>
      </c>
      <c r="N9" t="n">
        <v>70</v>
      </c>
      <c r="O9" t="n">
        <v>7</v>
      </c>
      <c r="P9" t="n">
        <v>8</v>
      </c>
      <c r="Q9" t="n">
        <v>5000</v>
      </c>
      <c r="R9" s="108" t="n">
        <v>46030</v>
      </c>
    </row>
    <row r="10">
      <c r="C10" t="n">
        <v>9</v>
      </c>
      <c r="D10" t="inlineStr">
        <is>
          <t>Six Sigma DMAIC</t>
        </is>
      </c>
      <c r="F10" t="inlineStr">
        <is>
          <t>Mechanical punch list not cleared before commissioning</t>
        </is>
      </c>
      <c r="G10" t="inlineStr">
        <is>
          <t>Incomplete P&amp;ID revision control</t>
        </is>
      </c>
      <c r="H10" t="inlineStr">
        <is>
          <t>Reduce WIP to agreed limit within 4 weeks</t>
        </is>
      </c>
      <c r="I10" t="inlineStr">
        <is>
          <t>Architect</t>
        </is>
      </c>
      <c r="M10" t="n">
        <v>0.8</v>
      </c>
      <c r="N10" t="n">
        <v>80</v>
      </c>
      <c r="O10" t="n">
        <v>8</v>
      </c>
      <c r="P10" t="n">
        <v>9</v>
      </c>
      <c r="Q10" t="n">
        <v>7500</v>
      </c>
      <c r="R10" s="108" t="n">
        <v>46031</v>
      </c>
    </row>
    <row r="11">
      <c r="C11" t="n">
        <v>10</v>
      </c>
      <c r="D11" t="inlineStr">
        <is>
          <t>Root Cause / 5 Whys</t>
        </is>
      </c>
      <c r="F11" t="inlineStr">
        <is>
          <t>Control system commissioning delayed</t>
        </is>
      </c>
      <c r="G11" t="inlineStr">
        <is>
          <t>Poor cable management practices</t>
        </is>
      </c>
      <c r="H11" t="inlineStr">
        <is>
          <t>Improve on-time delivery to &gt;95%</t>
        </is>
      </c>
      <c r="I11" t="inlineStr">
        <is>
          <t>Business Analyst</t>
        </is>
      </c>
      <c r="M11" t="n">
        <v>0.9</v>
      </c>
      <c r="N11" t="n">
        <v>90</v>
      </c>
      <c r="O11" t="n">
        <v>9</v>
      </c>
      <c r="P11" t="n">
        <v>10</v>
      </c>
      <c r="Q11" t="n">
        <v>10000</v>
      </c>
      <c r="R11" s="108" t="n">
        <v>46032</v>
      </c>
    </row>
    <row r="12">
      <c r="D12" t="inlineStr">
        <is>
          <t>Kaizen Event</t>
        </is>
      </c>
      <c r="F12" t="inlineStr">
        <is>
          <t>FAT defects not resolved before site mobilisation</t>
        </is>
      </c>
      <c r="G12" t="inlineStr">
        <is>
          <t>Insufficient commissioning training</t>
        </is>
      </c>
      <c r="H12" t="inlineStr">
        <is>
          <t>Reduce cost of poor quality by 25%</t>
        </is>
      </c>
      <c r="I12" t="inlineStr">
        <is>
          <t>Team Lead</t>
        </is>
      </c>
      <c r="M12" t="n">
        <v>1</v>
      </c>
      <c r="N12" t="n">
        <v>100</v>
      </c>
      <c r="O12" t="n">
        <v>10</v>
      </c>
      <c r="P12" t="n">
        <v>11</v>
      </c>
      <c r="Q12" t="n">
        <v>15000</v>
      </c>
      <c r="R12" s="108" t="n">
        <v>46033</v>
      </c>
    </row>
    <row r="13">
      <c r="D13" t="inlineStr">
        <is>
          <t>Visual Management</t>
        </is>
      </c>
      <c r="F13" t="inlineStr">
        <is>
          <t>HAZOP action items not closed</t>
        </is>
      </c>
      <c r="G13" t="inlineStr">
        <is>
          <t>Lack of loop check protocol</t>
        </is>
      </c>
      <c r="H13" t="inlineStr">
        <is>
          <t>Close all critical risks within 2 weeks</t>
        </is>
      </c>
      <c r="I13" t="inlineStr">
        <is>
          <t>Process Owner</t>
        </is>
      </c>
      <c r="N13" t="n">
        <v>110</v>
      </c>
      <c r="O13" t="n">
        <v>11</v>
      </c>
      <c r="P13" t="n">
        <v>12</v>
      </c>
      <c r="Q13" t="n">
        <v>20000</v>
      </c>
      <c r="R13" s="108" t="n">
        <v>46034</v>
      </c>
    </row>
    <row r="14">
      <c r="F14" t="inlineStr">
        <is>
          <t>As-built documentation incomplete or missing</t>
        </is>
      </c>
      <c r="G14" t="inlineStr">
        <is>
          <t>Instrument specification mismatch</t>
        </is>
      </c>
      <c r="H14" t="inlineStr">
        <is>
          <t>Achieve Sigma level &gt;= 4.0</t>
        </is>
      </c>
      <c r="I14" t="inlineStr">
        <is>
          <t>DevOps</t>
        </is>
      </c>
      <c r="N14" t="n">
        <v>120</v>
      </c>
      <c r="O14" t="n">
        <v>12</v>
      </c>
      <c r="P14" t="n">
        <v>13</v>
      </c>
      <c r="Q14" t="n">
        <v>30000</v>
      </c>
      <c r="R14" s="108" t="n">
        <v>46035</v>
      </c>
    </row>
    <row r="15">
      <c r="F15" t="inlineStr">
        <is>
          <t>SIL / functional safety testing not completed</t>
        </is>
      </c>
      <c r="G15" t="inlineStr">
        <is>
          <t>No HAZOP / risk review conducted</t>
        </is>
      </c>
      <c r="H15" t="inlineStr">
        <is>
          <t>Zero safety incidents this quarter</t>
        </is>
      </c>
      <c r="I15" t="inlineStr">
        <is>
          <t>Tech Lead</t>
        </is>
      </c>
      <c r="N15" t="n">
        <v>130</v>
      </c>
      <c r="O15" t="n">
        <v>13</v>
      </c>
      <c r="P15" t="n">
        <v>14</v>
      </c>
      <c r="Q15" t="n">
        <v>50000</v>
      </c>
      <c r="R15" s="108" t="n">
        <v>46036</v>
      </c>
    </row>
    <row r="16">
      <c r="F16" t="inlineStr">
        <is>
          <t>Long lead equipment delivery delayed</t>
        </is>
      </c>
      <c r="G16" t="inlineStr">
        <is>
          <t>Vendor documentation incomplete or missing</t>
        </is>
      </c>
      <c r="H16" t="inlineStr">
        <is>
          <t>Cut approval lead time to &lt; 4 hours</t>
        </is>
      </c>
      <c r="I16" t="inlineStr">
        <is>
          <t>HR</t>
        </is>
      </c>
      <c r="N16" t="n">
        <v>140</v>
      </c>
      <c r="O16" t="n">
        <v>14</v>
      </c>
      <c r="P16" t="n">
        <v>15</v>
      </c>
      <c r="Q16" t="n">
        <v>75000</v>
      </c>
      <c r="R16" s="108" t="n">
        <v>46037</v>
      </c>
    </row>
    <row r="17">
      <c r="F17" t="inlineStr">
        <is>
          <t>Insufficient qualified commissioning personnel</t>
        </is>
      </c>
      <c r="G17" t="inlineStr">
        <is>
          <t>Construction punch list not cleared</t>
        </is>
      </c>
      <c r="H17" t="inlineStr">
        <is>
          <t>Onboard new hires in &lt;= 2 weeks</t>
        </is>
      </c>
      <c r="I17" t="inlineStr">
        <is>
          <t>Engineering Lead</t>
        </is>
      </c>
      <c r="N17" t="n">
        <v>150</v>
      </c>
      <c r="O17" t="n">
        <v>15</v>
      </c>
      <c r="P17" t="n">
        <v>16</v>
      </c>
      <c r="Q17" t="n">
        <v>100000</v>
      </c>
      <c r="R17" s="108" t="n">
        <v>46038</v>
      </c>
    </row>
    <row r="18">
      <c r="F18" t="inlineStr">
        <is>
          <t>Permit-to-work bottlenecks causing delays</t>
        </is>
      </c>
      <c r="G18" t="inlineStr">
        <is>
          <t>Software FAT not completed</t>
        </is>
      </c>
      <c r="H18" t="inlineStr">
        <is>
          <t>100% of cases linked to a countermeasure</t>
        </is>
      </c>
      <c r="I18" t="inlineStr">
        <is>
          <t>Quality Manager</t>
        </is>
      </c>
      <c r="N18" t="n">
        <v>160</v>
      </c>
      <c r="O18" t="n">
        <v>16</v>
      </c>
      <c r="P18" t="n">
        <v>17</v>
      </c>
      <c r="R18" s="108" t="n">
        <v>46039</v>
      </c>
    </row>
    <row r="19">
      <c r="F19" t="inlineStr">
        <is>
          <t>Inter-discipline coordination failures</t>
        </is>
      </c>
      <c r="G19" t="inlineStr">
        <is>
          <t>Inadequate grounding / earthing design</t>
        </is>
      </c>
      <c r="I19" t="inlineStr">
        <is>
          <t>Commissioning Engineer</t>
        </is>
      </c>
      <c r="N19" t="n">
        <v>170</v>
      </c>
      <c r="O19" t="n">
        <v>17</v>
      </c>
      <c r="P19" t="n">
        <v>18</v>
      </c>
      <c r="R19" s="108" t="n">
        <v>46040</v>
      </c>
    </row>
    <row r="20">
      <c r="F20" t="inlineStr">
        <is>
          <t>Vendor technical support unavailable</t>
        </is>
      </c>
      <c r="G20" t="inlineStr">
        <is>
          <t>Incorrect calibration procedure applied</t>
        </is>
      </c>
      <c r="I20" t="inlineStr">
        <is>
          <t>Stakeholder</t>
        </is>
      </c>
      <c r="N20" t="n">
        <v>180</v>
      </c>
      <c r="O20" t="n">
        <v>18</v>
      </c>
      <c r="P20" t="n">
        <v>19</v>
      </c>
      <c r="R20" s="108" t="n">
        <v>46041</v>
      </c>
    </row>
    <row r="21">
      <c r="F21" t="inlineStr">
        <is>
          <t>Safety case not accepted by regulator</t>
        </is>
      </c>
      <c r="G21" t="inlineStr">
        <is>
          <t>Missing ATEX certification verification</t>
        </is>
      </c>
      <c r="N21" t="n">
        <v>190</v>
      </c>
      <c r="O21" t="n">
        <v>19</v>
      </c>
      <c r="P21" t="n">
        <v>20</v>
      </c>
      <c r="R21" s="108" t="n">
        <v>46042</v>
      </c>
    </row>
    <row r="22">
      <c r="F22" t="inlineStr">
        <is>
          <t>Software version control issues</t>
        </is>
      </c>
      <c r="G22" t="inlineStr">
        <is>
          <t>No intake checklist</t>
        </is>
      </c>
      <c r="N22" t="n">
        <v>200</v>
      </c>
      <c r="O22" t="n">
        <v>20</v>
      </c>
      <c r="R22" s="108" t="n">
        <v>46043</v>
      </c>
    </row>
    <row r="23">
      <c r="F23" t="inlineStr">
        <is>
          <t>Commissioning sequence not agreed</t>
        </is>
      </c>
      <c r="G23" t="inlineStr">
        <is>
          <t>No template / tribal knowledge</t>
        </is>
      </c>
      <c r="N23" t="n">
        <v>210</v>
      </c>
      <c r="O23" t="n">
        <v>21</v>
      </c>
      <c r="R23" s="108" t="n">
        <v>46044</v>
      </c>
    </row>
    <row r="24">
      <c r="F24" t="inlineStr">
        <is>
          <t>Electrical isolation procedures missing</t>
        </is>
      </c>
      <c r="G24" t="inlineStr">
        <is>
          <t>No MVP mindset / no WIP limit</t>
        </is>
      </c>
      <c r="N24" t="n">
        <v>220</v>
      </c>
      <c r="O24" t="n">
        <v>22</v>
      </c>
      <c r="R24" s="108" t="n">
        <v>46045</v>
      </c>
    </row>
    <row r="25">
      <c r="F25" t="inlineStr">
        <is>
          <t>Mechanical completion not certified</t>
        </is>
      </c>
      <c r="G25" t="inlineStr">
        <is>
          <t>Developer working off informal notes</t>
        </is>
      </c>
      <c r="N25" t="n">
        <v>230</v>
      </c>
      <c r="O25" t="n">
        <v>23</v>
      </c>
      <c r="R25" s="108" t="n">
        <v>46046</v>
      </c>
    </row>
    <row r="26">
      <c r="F26" t="inlineStr">
        <is>
          <t>Instrument loop folders incomplete</t>
        </is>
      </c>
      <c r="G26" t="inlineStr">
        <is>
          <t>Test plan not linked to acceptance criteria</t>
        </is>
      </c>
      <c r="N26" t="n">
        <v>240</v>
      </c>
      <c r="O26" t="n">
        <v>24</v>
      </c>
      <c r="R26" s="108" t="n">
        <v>46047</v>
      </c>
    </row>
    <row r="27">
      <c r="F27" t="inlineStr">
        <is>
          <t>Control narrative not updated</t>
        </is>
      </c>
      <c r="G27" t="inlineStr">
        <is>
          <t>Manual deploy checklist only</t>
        </is>
      </c>
      <c r="N27" t="n">
        <v>250</v>
      </c>
      <c r="O27" t="n">
        <v>25</v>
      </c>
      <c r="R27" s="108" t="n">
        <v>46048</v>
      </c>
    </row>
    <row r="28">
      <c r="F28" t="inlineStr">
        <is>
          <t>Delivery targets missed consistently</t>
        </is>
      </c>
      <c r="G28" t="inlineStr">
        <is>
          <t>No runbook requirement defined</t>
        </is>
      </c>
      <c r="N28" t="n">
        <v>260</v>
      </c>
      <c r="O28" t="n">
        <v>26</v>
      </c>
      <c r="R28" s="108" t="n">
        <v>46049</v>
      </c>
    </row>
    <row r="29">
      <c r="F29" t="inlineStr">
        <is>
          <t>Defect rate exceeding acceptable threshold</t>
        </is>
      </c>
      <c r="G29" t="inlineStr">
        <is>
          <t>No communications plan template</t>
        </is>
      </c>
      <c r="N29" t="n">
        <v>270</v>
      </c>
      <c r="O29" t="n">
        <v>27</v>
      </c>
      <c r="R29" s="108" t="n">
        <v>46050</v>
      </c>
    </row>
    <row r="30">
      <c r="F30" t="inlineStr">
        <is>
          <t>Team overwhelmed; parallel tasks too high</t>
        </is>
      </c>
      <c r="G30" t="inlineStr">
        <is>
          <t>Routing rule not documented</t>
        </is>
      </c>
      <c r="N30" t="n">
        <v>280</v>
      </c>
      <c r="O30" t="n">
        <v>28</v>
      </c>
      <c r="R30" s="108" t="n">
        <v>46051</v>
      </c>
    </row>
    <row r="31">
      <c r="F31" t="inlineStr">
        <is>
          <t>Approval bottleneck causing schedule delay</t>
        </is>
      </c>
      <c r="G31" t="inlineStr">
        <is>
          <t>No mandatory retrospective process</t>
        </is>
      </c>
      <c r="N31" t="n">
        <v>290</v>
      </c>
      <c r="O31" t="n">
        <v>29</v>
      </c>
      <c r="R31" s="108" t="n">
        <v>46052</v>
      </c>
    </row>
    <row r="32">
      <c r="F32" t="inlineStr">
        <is>
          <t>New hire onboarding too slow</t>
        </is>
      </c>
      <c r="G32" t="inlineStr">
        <is>
          <t>No commissioning sequence plan issued</t>
        </is>
      </c>
      <c r="N32" t="n">
        <v>300</v>
      </c>
      <c r="O32" t="n">
        <v>30</v>
      </c>
      <c r="R32" s="108" t="n">
        <v>46053</v>
      </c>
    </row>
    <row r="33">
      <c r="F33" t="inlineStr">
        <is>
          <t>Change management not followed</t>
        </is>
      </c>
      <c r="G33" t="inlineStr">
        <is>
          <t>HART / fieldbus device not configured</t>
        </is>
      </c>
      <c r="N33" t="n">
        <v>310</v>
      </c>
      <c r="O33" t="n">
        <v>31</v>
      </c>
      <c r="R33" s="108" t="n">
        <v>46054</v>
      </c>
    </row>
    <row r="34">
      <c r="F34" t="inlineStr">
        <is>
          <t>Inter-team dependency not managed</t>
        </is>
      </c>
      <c r="G34" t="inlineStr">
        <is>
          <t>As-built drawings not updated</t>
        </is>
      </c>
      <c r="N34" t="n">
        <v>320</v>
      </c>
      <c r="O34" t="n">
        <v>32</v>
      </c>
      <c r="R34" s="108" t="n">
        <v>46055</v>
      </c>
    </row>
    <row r="35">
      <c r="F35" t="inlineStr">
        <is>
          <t>Cycle time too long vs customer demand</t>
        </is>
      </c>
      <c r="G35" t="inlineStr">
        <is>
          <t>Process not standardised</t>
        </is>
      </c>
      <c r="N35" t="n">
        <v>330</v>
      </c>
      <c r="O35" t="n">
        <v>33</v>
      </c>
      <c r="R35" s="108" t="n">
        <v>46056</v>
      </c>
    </row>
    <row r="36">
      <c r="F36" t="inlineStr">
        <is>
          <t>High work-in-progress / bottleneck forming</t>
        </is>
      </c>
      <c r="G36" t="inlineStr">
        <is>
          <t>No clear ownership / RACI</t>
        </is>
      </c>
      <c r="N36" t="n">
        <v>340</v>
      </c>
      <c r="O36" t="n">
        <v>34</v>
      </c>
      <c r="R36" s="108" t="n">
        <v>46057</v>
      </c>
    </row>
    <row r="37">
      <c r="F37" t="inlineStr">
        <is>
          <t>Rework loop consuming team capacity</t>
        </is>
      </c>
      <c r="G37" t="inlineStr">
        <is>
          <t>Insufficient training or skills</t>
        </is>
      </c>
      <c r="N37" t="n">
        <v>350</v>
      </c>
      <c r="O37" t="n">
        <v>35</v>
      </c>
      <c r="R37" s="108" t="n">
        <v>46058</v>
      </c>
    </row>
    <row r="38">
      <c r="F38" t="inlineStr">
        <is>
          <t>Customer complaints trending up</t>
        </is>
      </c>
      <c r="G38" t="inlineStr">
        <is>
          <t>Tooling / system limitation</t>
        </is>
      </c>
      <c r="N38" t="n">
        <v>360</v>
      </c>
      <c r="O38" t="n">
        <v>36</v>
      </c>
      <c r="R38" s="108" t="n">
        <v>46059</v>
      </c>
    </row>
    <row r="39">
      <c r="F39" t="inlineStr">
        <is>
          <t>Cost overrun against budget</t>
        </is>
      </c>
      <c r="G39" t="inlineStr">
        <is>
          <t>Unclear or changing requirements</t>
        </is>
      </c>
      <c r="N39" t="n">
        <v>370</v>
      </c>
      <c r="O39" t="n">
        <v>37</v>
      </c>
      <c r="R39" s="108" t="n">
        <v>46060</v>
      </c>
    </row>
    <row r="40">
      <c r="F40" t="inlineStr">
        <is>
          <t>Safety near-miss reported</t>
        </is>
      </c>
      <c r="G40" t="inlineStr">
        <is>
          <t>Lack of data to make decisions</t>
        </is>
      </c>
      <c r="N40" t="n">
        <v>380</v>
      </c>
      <c r="O40" t="n">
        <v>38</v>
      </c>
      <c r="R40" s="108" t="n">
        <v>46061</v>
      </c>
    </row>
    <row r="41">
      <c r="F41" t="inlineStr">
        <is>
          <t>Audit / compliance finding raised</t>
        </is>
      </c>
      <c r="N41" t="n">
        <v>390</v>
      </c>
      <c r="O41" t="n">
        <v>39</v>
      </c>
      <c r="R41" s="108" t="n">
        <v>46062</v>
      </c>
    </row>
    <row r="42">
      <c r="F42" t="inlineStr">
        <is>
          <t>Knowledge lost when staff leave</t>
        </is>
      </c>
      <c r="N42" t="n">
        <v>400</v>
      </c>
      <c r="O42" t="n">
        <v>40</v>
      </c>
      <c r="R42" s="108" t="n">
        <v>46063</v>
      </c>
    </row>
    <row r="43">
      <c r="F43" t="inlineStr">
        <is>
          <t>Manual process prone to error</t>
        </is>
      </c>
      <c r="N43" t="n">
        <v>410</v>
      </c>
      <c r="O43" t="n">
        <v>41</v>
      </c>
      <c r="R43" s="108" t="n">
        <v>46064</v>
      </c>
    </row>
    <row r="44">
      <c r="F44" t="inlineStr">
        <is>
          <t>Handoffs between teams causing delay</t>
        </is>
      </c>
      <c r="N44" t="n">
        <v>420</v>
      </c>
      <c r="O44" t="n">
        <v>42</v>
      </c>
      <c r="R44" s="108" t="n">
        <v>46065</v>
      </c>
    </row>
    <row r="45">
      <c r="N45" t="n">
        <v>430</v>
      </c>
      <c r="O45" t="n">
        <v>43</v>
      </c>
      <c r="R45" s="108" t="n">
        <v>46066</v>
      </c>
    </row>
    <row r="46">
      <c r="N46" t="n">
        <v>440</v>
      </c>
      <c r="O46" t="n">
        <v>44</v>
      </c>
      <c r="R46" s="108" t="n">
        <v>46067</v>
      </c>
    </row>
    <row r="47">
      <c r="N47" t="n">
        <v>450</v>
      </c>
      <c r="O47" t="n">
        <v>45</v>
      </c>
      <c r="R47" s="108" t="n">
        <v>46068</v>
      </c>
    </row>
    <row r="48">
      <c r="N48" t="n">
        <v>460</v>
      </c>
      <c r="O48" t="n">
        <v>46</v>
      </c>
      <c r="R48" s="108" t="n">
        <v>46069</v>
      </c>
    </row>
    <row r="49">
      <c r="N49" t="n">
        <v>470</v>
      </c>
      <c r="O49" t="n">
        <v>47</v>
      </c>
      <c r="R49" s="108" t="n">
        <v>46070</v>
      </c>
    </row>
    <row r="50">
      <c r="N50" t="n">
        <v>480</v>
      </c>
      <c r="O50" t="n">
        <v>48</v>
      </c>
      <c r="R50" s="108" t="n">
        <v>46071</v>
      </c>
    </row>
    <row r="51">
      <c r="N51" t="n">
        <v>490</v>
      </c>
      <c r="O51" t="n">
        <v>49</v>
      </c>
      <c r="R51" s="108" t="n">
        <v>46072</v>
      </c>
    </row>
    <row r="52">
      <c r="N52" t="n">
        <v>500</v>
      </c>
      <c r="O52" t="n">
        <v>50</v>
      </c>
      <c r="R52" s="108" t="n">
        <v>46073</v>
      </c>
    </row>
    <row r="53">
      <c r="N53" t="n">
        <v>510</v>
      </c>
      <c r="O53" t="n">
        <v>51</v>
      </c>
      <c r="R53" s="108" t="n">
        <v>46074</v>
      </c>
    </row>
    <row r="54">
      <c r="N54" t="n">
        <v>520</v>
      </c>
      <c r="O54" t="n">
        <v>52</v>
      </c>
      <c r="R54" s="108" t="n">
        <v>46075</v>
      </c>
    </row>
    <row r="55">
      <c r="N55" t="n">
        <v>530</v>
      </c>
      <c r="O55" t="n">
        <v>53</v>
      </c>
      <c r="R55" s="108" t="n">
        <v>46076</v>
      </c>
    </row>
    <row r="56">
      <c r="N56" t="n">
        <v>540</v>
      </c>
      <c r="O56" t="n">
        <v>54</v>
      </c>
      <c r="R56" s="108" t="n">
        <v>46077</v>
      </c>
    </row>
    <row r="57">
      <c r="N57" t="n">
        <v>550</v>
      </c>
      <c r="O57" t="n">
        <v>55</v>
      </c>
      <c r="R57" s="108" t="n">
        <v>46078</v>
      </c>
    </row>
    <row r="58">
      <c r="N58" t="n">
        <v>560</v>
      </c>
      <c r="O58" t="n">
        <v>56</v>
      </c>
      <c r="R58" s="108" t="n">
        <v>46079</v>
      </c>
    </row>
    <row r="59">
      <c r="N59" t="n">
        <v>570</v>
      </c>
      <c r="O59" t="n">
        <v>57</v>
      </c>
      <c r="R59" s="108" t="n">
        <v>46080</v>
      </c>
    </row>
    <row r="60">
      <c r="N60" t="n">
        <v>580</v>
      </c>
      <c r="O60" t="n">
        <v>58</v>
      </c>
      <c r="R60" s="108" t="n">
        <v>46081</v>
      </c>
    </row>
    <row r="61">
      <c r="N61" t="n">
        <v>590</v>
      </c>
      <c r="O61" t="n">
        <v>59</v>
      </c>
      <c r="R61" s="108" t="n">
        <v>46082</v>
      </c>
    </row>
    <row r="62">
      <c r="N62" t="n">
        <v>600</v>
      </c>
      <c r="O62" t="n">
        <v>60</v>
      </c>
      <c r="R62" s="108" t="n">
        <v>46083</v>
      </c>
    </row>
    <row r="63">
      <c r="N63" t="n">
        <v>610</v>
      </c>
      <c r="O63" t="n">
        <v>61</v>
      </c>
      <c r="R63" s="108" t="n">
        <v>46084</v>
      </c>
    </row>
    <row r="64">
      <c r="N64" t="n">
        <v>620</v>
      </c>
      <c r="O64" t="n">
        <v>62</v>
      </c>
      <c r="R64" s="108" t="n">
        <v>46085</v>
      </c>
    </row>
    <row r="65">
      <c r="N65" t="n">
        <v>630</v>
      </c>
      <c r="O65" t="n">
        <v>63</v>
      </c>
      <c r="R65" s="108" t="n">
        <v>46086</v>
      </c>
    </row>
    <row r="66">
      <c r="N66" t="n">
        <v>640</v>
      </c>
      <c r="O66" t="n">
        <v>64</v>
      </c>
      <c r="R66" s="108" t="n">
        <v>46087</v>
      </c>
    </row>
    <row r="67">
      <c r="N67" t="n">
        <v>650</v>
      </c>
      <c r="O67" t="n">
        <v>65</v>
      </c>
      <c r="R67" s="108" t="n">
        <v>46088</v>
      </c>
    </row>
    <row r="68">
      <c r="N68" t="n">
        <v>660</v>
      </c>
      <c r="O68" t="n">
        <v>66</v>
      </c>
      <c r="R68" s="108" t="n">
        <v>46089</v>
      </c>
    </row>
    <row r="69">
      <c r="N69" t="n">
        <v>670</v>
      </c>
      <c r="O69" t="n">
        <v>67</v>
      </c>
      <c r="R69" s="108" t="n">
        <v>46090</v>
      </c>
    </row>
    <row r="70">
      <c r="N70" t="n">
        <v>680</v>
      </c>
      <c r="O70" t="n">
        <v>68</v>
      </c>
      <c r="R70" s="108" t="n">
        <v>46091</v>
      </c>
    </row>
    <row r="71">
      <c r="N71" t="n">
        <v>690</v>
      </c>
      <c r="O71" t="n">
        <v>69</v>
      </c>
      <c r="R71" s="108" t="n">
        <v>46092</v>
      </c>
    </row>
    <row r="72">
      <c r="N72" t="n">
        <v>700</v>
      </c>
      <c r="O72" t="n">
        <v>70</v>
      </c>
      <c r="R72" s="108" t="n">
        <v>46093</v>
      </c>
    </row>
    <row r="73">
      <c r="N73" t="n">
        <v>710</v>
      </c>
      <c r="O73" t="n">
        <v>71</v>
      </c>
      <c r="R73" s="108" t="n">
        <v>46094</v>
      </c>
    </row>
    <row r="74">
      <c r="N74" t="n">
        <v>720</v>
      </c>
      <c r="O74" t="n">
        <v>72</v>
      </c>
      <c r="R74" s="108" t="n">
        <v>46095</v>
      </c>
    </row>
    <row r="75">
      <c r="N75" t="n">
        <v>730</v>
      </c>
      <c r="O75" t="n">
        <v>73</v>
      </c>
      <c r="R75" s="108" t="n">
        <v>46096</v>
      </c>
    </row>
    <row r="76">
      <c r="N76" t="n">
        <v>740</v>
      </c>
      <c r="O76" t="n">
        <v>74</v>
      </c>
      <c r="R76" s="108" t="n">
        <v>46097</v>
      </c>
    </row>
    <row r="77">
      <c r="N77" t="n">
        <v>750</v>
      </c>
      <c r="O77" t="n">
        <v>75</v>
      </c>
      <c r="R77" s="108" t="n">
        <v>46098</v>
      </c>
    </row>
    <row r="78">
      <c r="N78" t="n">
        <v>760</v>
      </c>
      <c r="O78" t="n">
        <v>76</v>
      </c>
      <c r="R78" s="108" t="n">
        <v>46099</v>
      </c>
    </row>
    <row r="79">
      <c r="N79" t="n">
        <v>770</v>
      </c>
      <c r="O79" t="n">
        <v>77</v>
      </c>
      <c r="R79" s="108" t="n">
        <v>46100</v>
      </c>
    </row>
    <row r="80">
      <c r="N80" t="n">
        <v>780</v>
      </c>
      <c r="O80" t="n">
        <v>78</v>
      </c>
      <c r="R80" s="108" t="n">
        <v>46101</v>
      </c>
    </row>
    <row r="81">
      <c r="N81" t="n">
        <v>790</v>
      </c>
      <c r="O81" t="n">
        <v>79</v>
      </c>
      <c r="R81" s="108" t="n">
        <v>46102</v>
      </c>
    </row>
    <row r="82">
      <c r="N82" t="n">
        <v>800</v>
      </c>
      <c r="O82" t="n">
        <v>80</v>
      </c>
      <c r="R82" s="108" t="n">
        <v>46103</v>
      </c>
    </row>
    <row r="83">
      <c r="N83" t="n">
        <v>810</v>
      </c>
      <c r="O83" t="n">
        <v>81</v>
      </c>
      <c r="R83" s="108" t="n">
        <v>46104</v>
      </c>
    </row>
    <row r="84">
      <c r="N84" t="n">
        <v>820</v>
      </c>
      <c r="O84" t="n">
        <v>82</v>
      </c>
      <c r="R84" s="108" t="n">
        <v>46105</v>
      </c>
    </row>
    <row r="85">
      <c r="N85" t="n">
        <v>830</v>
      </c>
      <c r="O85" t="n">
        <v>83</v>
      </c>
      <c r="R85" s="108" t="n">
        <v>46106</v>
      </c>
    </row>
    <row r="86">
      <c r="N86" t="n">
        <v>840</v>
      </c>
      <c r="O86" t="n">
        <v>84</v>
      </c>
      <c r="R86" s="108" t="n">
        <v>46107</v>
      </c>
    </row>
    <row r="87">
      <c r="N87" t="n">
        <v>850</v>
      </c>
      <c r="O87" t="n">
        <v>85</v>
      </c>
      <c r="R87" s="108" t="n">
        <v>46108</v>
      </c>
    </row>
    <row r="88">
      <c r="N88" t="n">
        <v>860</v>
      </c>
      <c r="O88" t="n">
        <v>86</v>
      </c>
      <c r="R88" s="108" t="n">
        <v>46109</v>
      </c>
    </row>
    <row r="89">
      <c r="N89" t="n">
        <v>870</v>
      </c>
      <c r="O89" t="n">
        <v>87</v>
      </c>
      <c r="R89" s="108" t="n">
        <v>46110</v>
      </c>
    </row>
    <row r="90">
      <c r="N90" t="n">
        <v>880</v>
      </c>
      <c r="O90" t="n">
        <v>88</v>
      </c>
      <c r="R90" s="108" t="n">
        <v>46111</v>
      </c>
    </row>
    <row r="91">
      <c r="N91" t="n">
        <v>890</v>
      </c>
      <c r="O91" t="n">
        <v>89</v>
      </c>
      <c r="R91" s="108" t="n">
        <v>46112</v>
      </c>
    </row>
    <row r="92">
      <c r="N92" t="n">
        <v>900</v>
      </c>
      <c r="O92" t="n">
        <v>90</v>
      </c>
      <c r="R92" s="108" t="n">
        <v>46113</v>
      </c>
    </row>
    <row r="93">
      <c r="N93" t="n">
        <v>910</v>
      </c>
      <c r="O93" t="n">
        <v>91</v>
      </c>
      <c r="R93" s="108" t="n">
        <v>46114</v>
      </c>
    </row>
    <row r="94">
      <c r="N94" t="n">
        <v>920</v>
      </c>
      <c r="O94" t="n">
        <v>92</v>
      </c>
      <c r="R94" s="108" t="n">
        <v>46115</v>
      </c>
    </row>
    <row r="95">
      <c r="N95" t="n">
        <v>930</v>
      </c>
      <c r="O95" t="n">
        <v>93</v>
      </c>
      <c r="R95" s="108" t="n">
        <v>46116</v>
      </c>
    </row>
    <row r="96">
      <c r="N96" t="n">
        <v>940</v>
      </c>
      <c r="O96" t="n">
        <v>94</v>
      </c>
      <c r="R96" s="108" t="n">
        <v>46117</v>
      </c>
    </row>
    <row r="97">
      <c r="N97" t="n">
        <v>950</v>
      </c>
      <c r="O97" t="n">
        <v>95</v>
      </c>
      <c r="R97" s="108" t="n">
        <v>46118</v>
      </c>
    </row>
    <row r="98">
      <c r="N98" t="n">
        <v>960</v>
      </c>
      <c r="O98" t="n">
        <v>96</v>
      </c>
      <c r="R98" s="108" t="n">
        <v>46119</v>
      </c>
    </row>
    <row r="99">
      <c r="N99" t="n">
        <v>970</v>
      </c>
      <c r="O99" t="n">
        <v>97</v>
      </c>
      <c r="R99" s="108" t="n">
        <v>46120</v>
      </c>
    </row>
    <row r="100">
      <c r="N100" t="n">
        <v>980</v>
      </c>
      <c r="O100" t="n">
        <v>98</v>
      </c>
      <c r="R100" s="108" t="n">
        <v>46121</v>
      </c>
    </row>
    <row r="101">
      <c r="N101" t="n">
        <v>990</v>
      </c>
      <c r="O101" t="n">
        <v>99</v>
      </c>
      <c r="R101" s="108" t="n">
        <v>46122</v>
      </c>
    </row>
    <row r="102">
      <c r="N102" t="n">
        <v>1000</v>
      </c>
      <c r="O102" t="n">
        <v>100</v>
      </c>
      <c r="R102" s="108" t="n">
        <v>46123</v>
      </c>
    </row>
    <row r="103">
      <c r="N103" t="n">
        <v>1010</v>
      </c>
      <c r="O103" t="n">
        <v>101</v>
      </c>
      <c r="R103" s="108" t="n">
        <v>46124</v>
      </c>
    </row>
    <row r="104">
      <c r="N104" t="n">
        <v>1020</v>
      </c>
      <c r="O104" t="n">
        <v>102</v>
      </c>
      <c r="R104" s="108" t="n">
        <v>46125</v>
      </c>
    </row>
    <row r="105">
      <c r="N105" t="n">
        <v>1030</v>
      </c>
      <c r="O105" t="n">
        <v>103</v>
      </c>
      <c r="R105" s="108" t="n">
        <v>46126</v>
      </c>
    </row>
    <row r="106">
      <c r="N106" t="n">
        <v>1040</v>
      </c>
      <c r="O106" t="n">
        <v>104</v>
      </c>
      <c r="R106" s="108" t="n">
        <v>46127</v>
      </c>
    </row>
    <row r="107">
      <c r="N107" t="n">
        <v>1050</v>
      </c>
      <c r="O107" t="n">
        <v>105</v>
      </c>
      <c r="R107" s="108" t="n">
        <v>46128</v>
      </c>
    </row>
    <row r="108">
      <c r="N108" t="n">
        <v>1060</v>
      </c>
      <c r="O108" t="n">
        <v>106</v>
      </c>
      <c r="R108" s="108" t="n">
        <v>46129</v>
      </c>
    </row>
    <row r="109">
      <c r="N109" t="n">
        <v>1070</v>
      </c>
      <c r="O109" t="n">
        <v>107</v>
      </c>
      <c r="R109" s="108" t="n">
        <v>46130</v>
      </c>
    </row>
    <row r="110">
      <c r="N110" t="n">
        <v>1080</v>
      </c>
      <c r="O110" t="n">
        <v>108</v>
      </c>
      <c r="R110" s="108" t="n">
        <v>46131</v>
      </c>
    </row>
    <row r="111">
      <c r="N111" t="n">
        <v>1090</v>
      </c>
      <c r="O111" t="n">
        <v>109</v>
      </c>
      <c r="R111" s="108" t="n">
        <v>46132</v>
      </c>
    </row>
    <row r="112">
      <c r="N112" t="n">
        <v>1100</v>
      </c>
      <c r="O112" t="n">
        <v>110</v>
      </c>
      <c r="R112" s="108" t="n">
        <v>46133</v>
      </c>
    </row>
    <row r="113">
      <c r="N113" t="n">
        <v>1110</v>
      </c>
      <c r="O113" t="n">
        <v>111</v>
      </c>
      <c r="R113" s="108" t="n">
        <v>46134</v>
      </c>
    </row>
    <row r="114">
      <c r="N114" t="n">
        <v>1120</v>
      </c>
      <c r="O114" t="n">
        <v>112</v>
      </c>
      <c r="R114" s="108" t="n">
        <v>46135</v>
      </c>
    </row>
    <row r="115">
      <c r="N115" t="n">
        <v>1130</v>
      </c>
      <c r="O115" t="n">
        <v>113</v>
      </c>
      <c r="R115" s="108" t="n">
        <v>46136</v>
      </c>
    </row>
    <row r="116">
      <c r="N116" t="n">
        <v>1140</v>
      </c>
      <c r="O116" t="n">
        <v>114</v>
      </c>
      <c r="R116" s="108" t="n">
        <v>46137</v>
      </c>
    </row>
    <row r="117">
      <c r="N117" t="n">
        <v>1150</v>
      </c>
      <c r="O117" t="n">
        <v>115</v>
      </c>
      <c r="R117" s="108" t="n">
        <v>46138</v>
      </c>
    </row>
    <row r="118">
      <c r="N118" t="n">
        <v>1160</v>
      </c>
      <c r="O118" t="n">
        <v>116</v>
      </c>
      <c r="R118" s="108" t="n">
        <v>46139</v>
      </c>
    </row>
    <row r="119">
      <c r="N119" t="n">
        <v>1170</v>
      </c>
      <c r="O119" t="n">
        <v>117</v>
      </c>
      <c r="R119" s="108" t="n">
        <v>46140</v>
      </c>
    </row>
    <row r="120">
      <c r="N120" t="n">
        <v>1180</v>
      </c>
      <c r="O120" t="n">
        <v>118</v>
      </c>
      <c r="R120" s="108" t="n">
        <v>46141</v>
      </c>
    </row>
    <row r="121">
      <c r="N121" t="n">
        <v>1190</v>
      </c>
      <c r="O121" t="n">
        <v>119</v>
      </c>
      <c r="R121" s="108" t="n">
        <v>46142</v>
      </c>
    </row>
    <row r="122">
      <c r="N122" t="n">
        <v>1200</v>
      </c>
      <c r="O122" t="n">
        <v>120</v>
      </c>
      <c r="R122" s="108" t="n">
        <v>46143</v>
      </c>
    </row>
    <row r="123">
      <c r="N123" t="n">
        <v>1210</v>
      </c>
      <c r="O123" t="n">
        <v>121</v>
      </c>
      <c r="R123" s="108" t="n">
        <v>46144</v>
      </c>
    </row>
    <row r="124">
      <c r="N124" t="n">
        <v>1220</v>
      </c>
      <c r="O124" t="n">
        <v>122</v>
      </c>
      <c r="R124" s="108" t="n">
        <v>46145</v>
      </c>
    </row>
    <row r="125">
      <c r="N125" t="n">
        <v>1230</v>
      </c>
      <c r="O125" t="n">
        <v>123</v>
      </c>
      <c r="R125" s="108" t="n">
        <v>46146</v>
      </c>
    </row>
    <row r="126">
      <c r="N126" t="n">
        <v>1240</v>
      </c>
      <c r="O126" t="n">
        <v>124</v>
      </c>
      <c r="R126" s="108" t="n">
        <v>46147</v>
      </c>
    </row>
    <row r="127">
      <c r="N127" t="n">
        <v>1250</v>
      </c>
      <c r="O127" t="n">
        <v>125</v>
      </c>
      <c r="R127" s="108" t="n">
        <v>46148</v>
      </c>
    </row>
    <row r="128">
      <c r="N128" t="n">
        <v>1260</v>
      </c>
      <c r="O128" t="n">
        <v>126</v>
      </c>
      <c r="R128" s="108" t="n">
        <v>46149</v>
      </c>
    </row>
    <row r="129">
      <c r="N129" t="n">
        <v>1270</v>
      </c>
      <c r="O129" t="n">
        <v>127</v>
      </c>
      <c r="R129" s="108" t="n">
        <v>46150</v>
      </c>
    </row>
    <row r="130">
      <c r="N130" t="n">
        <v>1280</v>
      </c>
      <c r="O130" t="n">
        <v>128</v>
      </c>
      <c r="R130" s="108" t="n">
        <v>46151</v>
      </c>
    </row>
    <row r="131">
      <c r="N131" t="n">
        <v>1290</v>
      </c>
      <c r="O131" t="n">
        <v>129</v>
      </c>
      <c r="R131" s="108" t="n">
        <v>46152</v>
      </c>
    </row>
    <row r="132">
      <c r="N132" t="n">
        <v>1300</v>
      </c>
      <c r="O132" t="n">
        <v>130</v>
      </c>
      <c r="R132" s="108" t="n">
        <v>46153</v>
      </c>
    </row>
    <row r="133">
      <c r="N133" t="n">
        <v>1310</v>
      </c>
      <c r="O133" t="n">
        <v>131</v>
      </c>
      <c r="R133" s="108" t="n">
        <v>46154</v>
      </c>
    </row>
    <row r="134">
      <c r="N134" t="n">
        <v>1320</v>
      </c>
      <c r="O134" t="n">
        <v>132</v>
      </c>
      <c r="R134" s="108" t="n">
        <v>46155</v>
      </c>
    </row>
    <row r="135">
      <c r="N135" t="n">
        <v>1330</v>
      </c>
      <c r="O135" t="n">
        <v>133</v>
      </c>
      <c r="R135" s="108" t="n">
        <v>46156</v>
      </c>
    </row>
    <row r="136">
      <c r="N136" t="n">
        <v>1340</v>
      </c>
      <c r="O136" t="n">
        <v>134</v>
      </c>
      <c r="R136" s="108" t="n">
        <v>46157</v>
      </c>
    </row>
    <row r="137">
      <c r="N137" t="n">
        <v>1350</v>
      </c>
      <c r="O137" t="n">
        <v>135</v>
      </c>
      <c r="R137" s="108" t="n">
        <v>46158</v>
      </c>
    </row>
    <row r="138">
      <c r="N138" t="n">
        <v>1360</v>
      </c>
      <c r="O138" t="n">
        <v>136</v>
      </c>
      <c r="R138" s="108" t="n">
        <v>46159</v>
      </c>
    </row>
    <row r="139">
      <c r="N139" t="n">
        <v>1370</v>
      </c>
      <c r="O139" t="n">
        <v>137</v>
      </c>
      <c r="R139" s="108" t="n">
        <v>46160</v>
      </c>
    </row>
    <row r="140">
      <c r="N140" t="n">
        <v>1380</v>
      </c>
      <c r="O140" t="n">
        <v>138</v>
      </c>
      <c r="R140" s="108" t="n">
        <v>46161</v>
      </c>
    </row>
    <row r="141">
      <c r="N141" t="n">
        <v>1390</v>
      </c>
      <c r="O141" t="n">
        <v>139</v>
      </c>
      <c r="R141" s="108" t="n">
        <v>46162</v>
      </c>
    </row>
    <row r="142">
      <c r="N142" t="n">
        <v>1400</v>
      </c>
      <c r="O142" t="n">
        <v>140</v>
      </c>
      <c r="R142" s="108" t="n">
        <v>46163</v>
      </c>
    </row>
    <row r="143">
      <c r="N143" t="n">
        <v>1410</v>
      </c>
      <c r="O143" t="n">
        <v>141</v>
      </c>
      <c r="R143" s="108" t="n">
        <v>46164</v>
      </c>
    </row>
    <row r="144">
      <c r="N144" t="n">
        <v>1420</v>
      </c>
      <c r="O144" t="n">
        <v>142</v>
      </c>
      <c r="R144" s="108" t="n">
        <v>46165</v>
      </c>
    </row>
    <row r="145">
      <c r="N145" t="n">
        <v>1430</v>
      </c>
      <c r="O145" t="n">
        <v>143</v>
      </c>
      <c r="R145" s="108" t="n">
        <v>46166</v>
      </c>
    </row>
    <row r="146">
      <c r="N146" t="n">
        <v>1440</v>
      </c>
      <c r="O146" t="n">
        <v>144</v>
      </c>
      <c r="R146" s="108" t="n">
        <v>46167</v>
      </c>
    </row>
    <row r="147">
      <c r="N147" t="n">
        <v>1450</v>
      </c>
      <c r="O147" t="n">
        <v>145</v>
      </c>
      <c r="R147" s="108" t="n">
        <v>46168</v>
      </c>
    </row>
    <row r="148">
      <c r="N148" t="n">
        <v>1460</v>
      </c>
      <c r="O148" t="n">
        <v>146</v>
      </c>
      <c r="R148" s="108" t="n">
        <v>46169</v>
      </c>
    </row>
    <row r="149">
      <c r="N149" t="n">
        <v>1470</v>
      </c>
      <c r="O149" t="n">
        <v>147</v>
      </c>
      <c r="R149" s="108" t="n">
        <v>46170</v>
      </c>
    </row>
    <row r="150">
      <c r="N150" t="n">
        <v>1480</v>
      </c>
      <c r="O150" t="n">
        <v>148</v>
      </c>
      <c r="R150" s="108" t="n">
        <v>46171</v>
      </c>
    </row>
    <row r="151">
      <c r="N151" t="n">
        <v>1490</v>
      </c>
      <c r="O151" t="n">
        <v>149</v>
      </c>
      <c r="R151" s="108" t="n">
        <v>46172</v>
      </c>
    </row>
    <row r="152">
      <c r="N152" t="n">
        <v>1500</v>
      </c>
      <c r="O152" t="n">
        <v>150</v>
      </c>
      <c r="R152" s="108" t="n">
        <v>46173</v>
      </c>
    </row>
    <row r="153">
      <c r="N153" t="n">
        <v>1510</v>
      </c>
      <c r="O153" t="n">
        <v>151</v>
      </c>
      <c r="R153" s="108" t="n">
        <v>46174</v>
      </c>
    </row>
    <row r="154">
      <c r="N154" t="n">
        <v>1520</v>
      </c>
      <c r="O154" t="n">
        <v>152</v>
      </c>
      <c r="R154" s="108" t="n">
        <v>46175</v>
      </c>
    </row>
    <row r="155">
      <c r="N155" t="n">
        <v>1530</v>
      </c>
      <c r="O155" t="n">
        <v>153</v>
      </c>
      <c r="R155" s="108" t="n">
        <v>46176</v>
      </c>
    </row>
    <row r="156">
      <c r="N156" t="n">
        <v>1540</v>
      </c>
      <c r="O156" t="n">
        <v>154</v>
      </c>
      <c r="R156" s="108" t="n">
        <v>46177</v>
      </c>
    </row>
    <row r="157">
      <c r="N157" t="n">
        <v>1550</v>
      </c>
      <c r="O157" t="n">
        <v>155</v>
      </c>
      <c r="R157" s="108" t="n">
        <v>46178</v>
      </c>
    </row>
    <row r="158">
      <c r="N158" t="n">
        <v>1560</v>
      </c>
      <c r="O158" t="n">
        <v>156</v>
      </c>
      <c r="R158" s="108" t="n">
        <v>46179</v>
      </c>
    </row>
    <row r="159">
      <c r="N159" t="n">
        <v>1570</v>
      </c>
      <c r="O159" t="n">
        <v>157</v>
      </c>
      <c r="R159" s="108" t="n">
        <v>46180</v>
      </c>
    </row>
    <row r="160">
      <c r="N160" t="n">
        <v>1580</v>
      </c>
      <c r="O160" t="n">
        <v>158</v>
      </c>
      <c r="R160" s="108" t="n">
        <v>46181</v>
      </c>
    </row>
    <row r="161">
      <c r="N161" t="n">
        <v>1590</v>
      </c>
      <c r="O161" t="n">
        <v>159</v>
      </c>
      <c r="R161" s="108" t="n">
        <v>46182</v>
      </c>
    </row>
    <row r="162">
      <c r="N162" t="n">
        <v>1600</v>
      </c>
      <c r="O162" t="n">
        <v>160</v>
      </c>
      <c r="R162" s="108" t="n">
        <v>46183</v>
      </c>
    </row>
    <row r="163">
      <c r="N163" t="n">
        <v>1610</v>
      </c>
      <c r="O163" t="n">
        <v>161</v>
      </c>
      <c r="R163" s="108" t="n">
        <v>46184</v>
      </c>
    </row>
    <row r="164">
      <c r="N164" t="n">
        <v>1620</v>
      </c>
      <c r="O164" t="n">
        <v>162</v>
      </c>
      <c r="R164" s="108" t="n">
        <v>46185</v>
      </c>
    </row>
    <row r="165">
      <c r="N165" t="n">
        <v>1630</v>
      </c>
      <c r="O165" t="n">
        <v>163</v>
      </c>
      <c r="R165" s="108" t="n">
        <v>46186</v>
      </c>
    </row>
    <row r="166">
      <c r="N166" t="n">
        <v>1640</v>
      </c>
      <c r="O166" t="n">
        <v>164</v>
      </c>
      <c r="R166" s="108" t="n">
        <v>46187</v>
      </c>
    </row>
    <row r="167">
      <c r="N167" t="n">
        <v>1650</v>
      </c>
      <c r="O167" t="n">
        <v>165</v>
      </c>
      <c r="R167" s="108" t="n">
        <v>46188</v>
      </c>
    </row>
    <row r="168">
      <c r="N168" t="n">
        <v>1660</v>
      </c>
      <c r="O168" t="n">
        <v>166</v>
      </c>
      <c r="R168" s="108" t="n">
        <v>46189</v>
      </c>
    </row>
    <row r="169">
      <c r="N169" t="n">
        <v>1670</v>
      </c>
      <c r="O169" t="n">
        <v>167</v>
      </c>
      <c r="R169" s="108" t="n">
        <v>46190</v>
      </c>
    </row>
    <row r="170">
      <c r="N170" t="n">
        <v>1680</v>
      </c>
      <c r="O170" t="n">
        <v>168</v>
      </c>
      <c r="R170" s="108" t="n">
        <v>46191</v>
      </c>
    </row>
    <row r="171">
      <c r="N171" t="n">
        <v>1690</v>
      </c>
      <c r="O171" t="n">
        <v>169</v>
      </c>
      <c r="R171" s="108" t="n">
        <v>46192</v>
      </c>
    </row>
    <row r="172">
      <c r="N172" t="n">
        <v>1700</v>
      </c>
      <c r="O172" t="n">
        <v>170</v>
      </c>
      <c r="R172" s="108" t="n">
        <v>46193</v>
      </c>
    </row>
    <row r="173">
      <c r="N173" t="n">
        <v>1710</v>
      </c>
      <c r="O173" t="n">
        <v>171</v>
      </c>
      <c r="R173" s="108" t="n">
        <v>46194</v>
      </c>
    </row>
    <row r="174">
      <c r="N174" t="n">
        <v>1720</v>
      </c>
      <c r="O174" t="n">
        <v>172</v>
      </c>
      <c r="R174" s="108" t="n">
        <v>46195</v>
      </c>
    </row>
    <row r="175">
      <c r="N175" t="n">
        <v>1730</v>
      </c>
      <c r="O175" t="n">
        <v>173</v>
      </c>
      <c r="R175" s="108" t="n">
        <v>46196</v>
      </c>
    </row>
    <row r="176">
      <c r="N176" t="n">
        <v>1740</v>
      </c>
      <c r="O176" t="n">
        <v>174</v>
      </c>
      <c r="R176" s="108" t="n">
        <v>46197</v>
      </c>
    </row>
    <row r="177">
      <c r="N177" t="n">
        <v>1750</v>
      </c>
      <c r="O177" t="n">
        <v>175</v>
      </c>
      <c r="R177" s="108" t="n">
        <v>46198</v>
      </c>
    </row>
    <row r="178">
      <c r="N178" t="n">
        <v>1760</v>
      </c>
      <c r="O178" t="n">
        <v>176</v>
      </c>
      <c r="R178" s="108" t="n">
        <v>46199</v>
      </c>
    </row>
    <row r="179">
      <c r="N179" t="n">
        <v>1770</v>
      </c>
      <c r="O179" t="n">
        <v>177</v>
      </c>
      <c r="R179" s="108" t="n">
        <v>46200</v>
      </c>
    </row>
    <row r="180">
      <c r="N180" t="n">
        <v>1780</v>
      </c>
      <c r="O180" t="n">
        <v>178</v>
      </c>
      <c r="R180" s="108" t="n">
        <v>46201</v>
      </c>
    </row>
    <row r="181">
      <c r="N181" t="n">
        <v>1790</v>
      </c>
      <c r="O181" t="n">
        <v>179</v>
      </c>
      <c r="R181" s="108" t="n">
        <v>46202</v>
      </c>
    </row>
    <row r="182">
      <c r="N182" t="n">
        <v>1800</v>
      </c>
      <c r="O182" t="n">
        <v>180</v>
      </c>
      <c r="R182" s="108" t="n">
        <v>46203</v>
      </c>
    </row>
    <row r="183">
      <c r="N183" t="n">
        <v>1810</v>
      </c>
      <c r="O183" t="n">
        <v>181</v>
      </c>
      <c r="R183" s="108" t="n">
        <v>46204</v>
      </c>
    </row>
    <row r="184">
      <c r="N184" t="n">
        <v>1820</v>
      </c>
      <c r="O184" t="n">
        <v>182</v>
      </c>
      <c r="R184" s="108" t="n">
        <v>46205</v>
      </c>
    </row>
    <row r="185">
      <c r="N185" t="n">
        <v>1830</v>
      </c>
      <c r="O185" t="n">
        <v>183</v>
      </c>
      <c r="R185" s="108" t="n">
        <v>46206</v>
      </c>
    </row>
    <row r="186">
      <c r="N186" t="n">
        <v>1840</v>
      </c>
      <c r="O186" t="n">
        <v>184</v>
      </c>
      <c r="R186" s="108" t="n">
        <v>46207</v>
      </c>
    </row>
    <row r="187">
      <c r="N187" t="n">
        <v>1850</v>
      </c>
      <c r="O187" t="n">
        <v>185</v>
      </c>
      <c r="R187" s="108" t="n">
        <v>46208</v>
      </c>
    </row>
    <row r="188">
      <c r="N188" t="n">
        <v>1860</v>
      </c>
      <c r="O188" t="n">
        <v>186</v>
      </c>
      <c r="R188" s="108" t="n">
        <v>46209</v>
      </c>
    </row>
    <row r="189">
      <c r="N189" t="n">
        <v>1870</v>
      </c>
      <c r="O189" t="n">
        <v>187</v>
      </c>
      <c r="R189" s="108" t="n">
        <v>46210</v>
      </c>
    </row>
    <row r="190">
      <c r="N190" t="n">
        <v>1880</v>
      </c>
      <c r="O190" t="n">
        <v>188</v>
      </c>
      <c r="R190" s="108" t="n">
        <v>46211</v>
      </c>
    </row>
    <row r="191">
      <c r="N191" t="n">
        <v>1890</v>
      </c>
      <c r="O191" t="n">
        <v>189</v>
      </c>
      <c r="R191" s="108" t="n">
        <v>46212</v>
      </c>
    </row>
    <row r="192">
      <c r="N192" t="n">
        <v>1900</v>
      </c>
      <c r="O192" t="n">
        <v>190</v>
      </c>
      <c r="R192" s="108" t="n">
        <v>46213</v>
      </c>
    </row>
    <row r="193">
      <c r="N193" t="n">
        <v>1910</v>
      </c>
      <c r="O193" t="n">
        <v>191</v>
      </c>
      <c r="R193" s="108" t="n">
        <v>46214</v>
      </c>
    </row>
    <row r="194">
      <c r="N194" t="n">
        <v>1920</v>
      </c>
      <c r="O194" t="n">
        <v>192</v>
      </c>
      <c r="R194" s="108" t="n">
        <v>46215</v>
      </c>
    </row>
    <row r="195">
      <c r="N195" t="n">
        <v>1930</v>
      </c>
      <c r="O195" t="n">
        <v>193</v>
      </c>
      <c r="R195" s="108" t="n">
        <v>46216</v>
      </c>
    </row>
    <row r="196">
      <c r="N196" t="n">
        <v>1940</v>
      </c>
      <c r="O196" t="n">
        <v>194</v>
      </c>
      <c r="R196" s="108" t="n">
        <v>46217</v>
      </c>
    </row>
    <row r="197">
      <c r="N197" t="n">
        <v>1950</v>
      </c>
      <c r="O197" t="n">
        <v>195</v>
      </c>
      <c r="R197" s="108" t="n">
        <v>46218</v>
      </c>
    </row>
    <row r="198">
      <c r="N198" t="n">
        <v>1960</v>
      </c>
      <c r="O198" t="n">
        <v>196</v>
      </c>
      <c r="R198" s="108" t="n">
        <v>46219</v>
      </c>
    </row>
    <row r="199">
      <c r="N199" t="n">
        <v>1970</v>
      </c>
      <c r="O199" t="n">
        <v>197</v>
      </c>
      <c r="R199" s="108" t="n">
        <v>46220</v>
      </c>
    </row>
    <row r="200">
      <c r="N200" t="n">
        <v>1980</v>
      </c>
      <c r="O200" t="n">
        <v>198</v>
      </c>
      <c r="R200" s="108" t="n">
        <v>46221</v>
      </c>
    </row>
    <row r="201">
      <c r="N201" t="n">
        <v>1990</v>
      </c>
      <c r="O201" t="n">
        <v>199</v>
      </c>
      <c r="R201" s="108" t="n">
        <v>46222</v>
      </c>
    </row>
    <row r="202">
      <c r="N202" t="n">
        <v>2000</v>
      </c>
      <c r="O202" t="n">
        <v>200</v>
      </c>
      <c r="R202" s="108" t="n">
        <v>46223</v>
      </c>
    </row>
    <row r="203">
      <c r="O203" t="n">
        <v>201</v>
      </c>
      <c r="R203" s="108" t="n">
        <v>46224</v>
      </c>
    </row>
    <row r="204">
      <c r="O204" t="n">
        <v>202</v>
      </c>
      <c r="R204" s="108" t="n">
        <v>46225</v>
      </c>
    </row>
    <row r="205">
      <c r="O205" t="n">
        <v>203</v>
      </c>
      <c r="R205" s="108" t="n">
        <v>46226</v>
      </c>
    </row>
    <row r="206">
      <c r="O206" t="n">
        <v>204</v>
      </c>
      <c r="R206" s="108" t="n">
        <v>46227</v>
      </c>
    </row>
    <row r="207">
      <c r="O207" t="n">
        <v>205</v>
      </c>
      <c r="R207" s="108" t="n">
        <v>46228</v>
      </c>
    </row>
    <row r="208">
      <c r="O208" t="n">
        <v>206</v>
      </c>
      <c r="R208" s="108" t="n">
        <v>46229</v>
      </c>
    </row>
    <row r="209">
      <c r="O209" t="n">
        <v>207</v>
      </c>
      <c r="R209" s="108" t="n">
        <v>46230</v>
      </c>
    </row>
    <row r="210">
      <c r="O210" t="n">
        <v>208</v>
      </c>
      <c r="R210" s="108" t="n">
        <v>46231</v>
      </c>
    </row>
    <row r="211">
      <c r="O211" t="n">
        <v>209</v>
      </c>
      <c r="R211" s="108" t="n">
        <v>46232</v>
      </c>
    </row>
    <row r="212">
      <c r="O212" t="n">
        <v>210</v>
      </c>
      <c r="R212" s="108" t="n">
        <v>46233</v>
      </c>
    </row>
    <row r="213">
      <c r="O213" t="n">
        <v>211</v>
      </c>
      <c r="R213" s="108" t="n">
        <v>46234</v>
      </c>
    </row>
    <row r="214">
      <c r="O214" t="n">
        <v>212</v>
      </c>
      <c r="R214" s="108" t="n">
        <v>46235</v>
      </c>
    </row>
    <row r="215">
      <c r="O215" t="n">
        <v>213</v>
      </c>
      <c r="R215" s="108" t="n">
        <v>46236</v>
      </c>
    </row>
    <row r="216">
      <c r="O216" t="n">
        <v>214</v>
      </c>
      <c r="R216" s="108" t="n">
        <v>46237</v>
      </c>
    </row>
    <row r="217">
      <c r="O217" t="n">
        <v>215</v>
      </c>
      <c r="R217" s="108" t="n">
        <v>46238</v>
      </c>
    </row>
    <row r="218">
      <c r="O218" t="n">
        <v>216</v>
      </c>
      <c r="R218" s="108" t="n">
        <v>46239</v>
      </c>
    </row>
    <row r="219">
      <c r="O219" t="n">
        <v>217</v>
      </c>
      <c r="R219" s="108" t="n">
        <v>46240</v>
      </c>
    </row>
    <row r="220">
      <c r="O220" t="n">
        <v>218</v>
      </c>
      <c r="R220" s="108" t="n">
        <v>46241</v>
      </c>
    </row>
    <row r="221">
      <c r="O221" t="n">
        <v>219</v>
      </c>
      <c r="R221" s="108" t="n">
        <v>46242</v>
      </c>
    </row>
    <row r="222">
      <c r="O222" t="n">
        <v>220</v>
      </c>
      <c r="R222" s="108" t="n">
        <v>46243</v>
      </c>
    </row>
    <row r="223">
      <c r="O223" t="n">
        <v>221</v>
      </c>
      <c r="R223" s="108" t="n">
        <v>46244</v>
      </c>
    </row>
    <row r="224">
      <c r="O224" t="n">
        <v>222</v>
      </c>
      <c r="R224" s="108" t="n">
        <v>46245</v>
      </c>
    </row>
    <row r="225">
      <c r="O225" t="n">
        <v>223</v>
      </c>
      <c r="R225" s="108" t="n">
        <v>46246</v>
      </c>
    </row>
    <row r="226">
      <c r="O226" t="n">
        <v>224</v>
      </c>
      <c r="R226" s="108" t="n">
        <v>46247</v>
      </c>
    </row>
    <row r="227">
      <c r="O227" t="n">
        <v>225</v>
      </c>
      <c r="R227" s="108" t="n">
        <v>46248</v>
      </c>
    </row>
    <row r="228">
      <c r="O228" t="n">
        <v>226</v>
      </c>
      <c r="R228" s="108" t="n">
        <v>46249</v>
      </c>
    </row>
    <row r="229">
      <c r="O229" t="n">
        <v>227</v>
      </c>
      <c r="R229" s="108" t="n">
        <v>46250</v>
      </c>
    </row>
    <row r="230">
      <c r="O230" t="n">
        <v>228</v>
      </c>
      <c r="R230" s="108" t="n">
        <v>46251</v>
      </c>
    </row>
    <row r="231">
      <c r="O231" t="n">
        <v>229</v>
      </c>
      <c r="R231" s="108" t="n">
        <v>46252</v>
      </c>
    </row>
    <row r="232">
      <c r="O232" t="n">
        <v>230</v>
      </c>
      <c r="R232" s="108" t="n">
        <v>46253</v>
      </c>
    </row>
    <row r="233">
      <c r="O233" t="n">
        <v>231</v>
      </c>
      <c r="R233" s="108" t="n">
        <v>46254</v>
      </c>
    </row>
    <row r="234">
      <c r="O234" t="n">
        <v>232</v>
      </c>
      <c r="R234" s="108" t="n">
        <v>46255</v>
      </c>
    </row>
    <row r="235">
      <c r="O235" t="n">
        <v>233</v>
      </c>
      <c r="R235" s="108" t="n">
        <v>46256</v>
      </c>
    </row>
    <row r="236">
      <c r="O236" t="n">
        <v>234</v>
      </c>
      <c r="R236" s="108" t="n">
        <v>46257</v>
      </c>
    </row>
    <row r="237">
      <c r="O237" t="n">
        <v>235</v>
      </c>
      <c r="R237" s="108" t="n">
        <v>46258</v>
      </c>
    </row>
    <row r="238">
      <c r="O238" t="n">
        <v>236</v>
      </c>
      <c r="R238" s="108" t="n">
        <v>46259</v>
      </c>
    </row>
    <row r="239">
      <c r="O239" t="n">
        <v>237</v>
      </c>
      <c r="R239" s="108" t="n">
        <v>46260</v>
      </c>
    </row>
    <row r="240">
      <c r="O240" t="n">
        <v>238</v>
      </c>
      <c r="R240" s="108" t="n">
        <v>46261</v>
      </c>
    </row>
    <row r="241">
      <c r="O241" t="n">
        <v>239</v>
      </c>
      <c r="R241" s="108" t="n">
        <v>46262</v>
      </c>
    </row>
    <row r="242">
      <c r="O242" t="n">
        <v>240</v>
      </c>
      <c r="R242" s="108" t="n">
        <v>46263</v>
      </c>
    </row>
    <row r="243">
      <c r="O243" t="n">
        <v>241</v>
      </c>
      <c r="R243" s="108" t="n">
        <v>46264</v>
      </c>
    </row>
    <row r="244">
      <c r="O244" t="n">
        <v>242</v>
      </c>
      <c r="R244" s="108" t="n">
        <v>46265</v>
      </c>
    </row>
    <row r="245">
      <c r="O245" t="n">
        <v>243</v>
      </c>
      <c r="R245" s="108" t="n">
        <v>46266</v>
      </c>
    </row>
    <row r="246">
      <c r="O246" t="n">
        <v>244</v>
      </c>
      <c r="R246" s="108" t="n">
        <v>46267</v>
      </c>
    </row>
    <row r="247">
      <c r="O247" t="n">
        <v>245</v>
      </c>
      <c r="R247" s="108" t="n">
        <v>46268</v>
      </c>
    </row>
    <row r="248">
      <c r="O248" t="n">
        <v>246</v>
      </c>
      <c r="R248" s="108" t="n">
        <v>46269</v>
      </c>
    </row>
    <row r="249">
      <c r="O249" t="n">
        <v>247</v>
      </c>
      <c r="R249" s="108" t="n">
        <v>46270</v>
      </c>
    </row>
    <row r="250">
      <c r="O250" t="n">
        <v>248</v>
      </c>
      <c r="R250" s="108" t="n">
        <v>46271</v>
      </c>
    </row>
    <row r="251">
      <c r="O251" t="n">
        <v>249</v>
      </c>
      <c r="R251" s="108" t="n">
        <v>46272</v>
      </c>
    </row>
    <row r="252">
      <c r="O252" t="n">
        <v>250</v>
      </c>
      <c r="R252" s="108" t="n">
        <v>46273</v>
      </c>
    </row>
    <row r="253">
      <c r="O253" t="n">
        <v>251</v>
      </c>
      <c r="R253" s="108" t="n">
        <v>46274</v>
      </c>
    </row>
    <row r="254">
      <c r="O254" t="n">
        <v>252</v>
      </c>
      <c r="R254" s="108" t="n">
        <v>46275</v>
      </c>
    </row>
    <row r="255">
      <c r="O255" t="n">
        <v>253</v>
      </c>
      <c r="R255" s="108" t="n">
        <v>46276</v>
      </c>
    </row>
    <row r="256">
      <c r="O256" t="n">
        <v>254</v>
      </c>
      <c r="R256" s="108" t="n">
        <v>46277</v>
      </c>
    </row>
    <row r="257">
      <c r="O257" t="n">
        <v>255</v>
      </c>
      <c r="R257" s="108" t="n">
        <v>46278</v>
      </c>
    </row>
    <row r="258">
      <c r="O258" t="n">
        <v>256</v>
      </c>
      <c r="R258" s="108" t="n">
        <v>46279</v>
      </c>
    </row>
    <row r="259">
      <c r="O259" t="n">
        <v>257</v>
      </c>
      <c r="R259" s="108" t="n">
        <v>46280</v>
      </c>
    </row>
    <row r="260">
      <c r="O260" t="n">
        <v>258</v>
      </c>
      <c r="R260" s="108" t="n">
        <v>46281</v>
      </c>
    </row>
    <row r="261">
      <c r="O261" t="n">
        <v>259</v>
      </c>
      <c r="R261" s="108" t="n">
        <v>46282</v>
      </c>
    </row>
    <row r="262">
      <c r="O262" t="n">
        <v>260</v>
      </c>
      <c r="R262" s="108" t="n">
        <v>46283</v>
      </c>
    </row>
    <row r="263">
      <c r="O263" t="n">
        <v>261</v>
      </c>
      <c r="R263" s="108" t="n">
        <v>46284</v>
      </c>
    </row>
    <row r="264">
      <c r="O264" t="n">
        <v>262</v>
      </c>
      <c r="R264" s="108" t="n">
        <v>46285</v>
      </c>
    </row>
    <row r="265">
      <c r="O265" t="n">
        <v>263</v>
      </c>
      <c r="R265" s="108" t="n">
        <v>46286</v>
      </c>
    </row>
    <row r="266">
      <c r="O266" t="n">
        <v>264</v>
      </c>
      <c r="R266" s="108" t="n">
        <v>46287</v>
      </c>
    </row>
    <row r="267">
      <c r="O267" t="n">
        <v>265</v>
      </c>
      <c r="R267" s="108" t="n">
        <v>46288</v>
      </c>
    </row>
    <row r="268">
      <c r="O268" t="n">
        <v>266</v>
      </c>
      <c r="R268" s="108" t="n">
        <v>46289</v>
      </c>
    </row>
    <row r="269">
      <c r="O269" t="n">
        <v>267</v>
      </c>
      <c r="R269" s="108" t="n">
        <v>46290</v>
      </c>
    </row>
    <row r="270">
      <c r="O270" t="n">
        <v>268</v>
      </c>
      <c r="R270" s="108" t="n">
        <v>46291</v>
      </c>
    </row>
    <row r="271">
      <c r="O271" t="n">
        <v>269</v>
      </c>
      <c r="R271" s="108" t="n">
        <v>46292</v>
      </c>
    </row>
    <row r="272">
      <c r="O272" t="n">
        <v>270</v>
      </c>
      <c r="R272" s="108" t="n">
        <v>46293</v>
      </c>
    </row>
    <row r="273">
      <c r="O273" t="n">
        <v>271</v>
      </c>
      <c r="R273" s="108" t="n">
        <v>46294</v>
      </c>
    </row>
    <row r="274">
      <c r="O274" t="n">
        <v>272</v>
      </c>
      <c r="R274" s="108" t="n">
        <v>46295</v>
      </c>
    </row>
    <row r="275">
      <c r="O275" t="n">
        <v>273</v>
      </c>
      <c r="R275" s="108" t="n">
        <v>46296</v>
      </c>
    </row>
    <row r="276">
      <c r="O276" t="n">
        <v>274</v>
      </c>
      <c r="R276" s="108" t="n">
        <v>46297</v>
      </c>
    </row>
    <row r="277">
      <c r="O277" t="n">
        <v>275</v>
      </c>
      <c r="R277" s="108" t="n">
        <v>46298</v>
      </c>
    </row>
    <row r="278">
      <c r="O278" t="n">
        <v>276</v>
      </c>
      <c r="R278" s="108" t="n">
        <v>46299</v>
      </c>
    </row>
    <row r="279">
      <c r="O279" t="n">
        <v>277</v>
      </c>
      <c r="R279" s="108" t="n">
        <v>46300</v>
      </c>
    </row>
    <row r="280">
      <c r="O280" t="n">
        <v>278</v>
      </c>
      <c r="R280" s="108" t="n">
        <v>46301</v>
      </c>
    </row>
    <row r="281">
      <c r="O281" t="n">
        <v>279</v>
      </c>
      <c r="R281" s="108" t="n">
        <v>46302</v>
      </c>
    </row>
    <row r="282">
      <c r="O282" t="n">
        <v>280</v>
      </c>
      <c r="R282" s="108" t="n">
        <v>46303</v>
      </c>
    </row>
    <row r="283">
      <c r="O283" t="n">
        <v>281</v>
      </c>
      <c r="R283" s="108" t="n">
        <v>46304</v>
      </c>
    </row>
    <row r="284">
      <c r="O284" t="n">
        <v>282</v>
      </c>
      <c r="R284" s="108" t="n">
        <v>46305</v>
      </c>
    </row>
    <row r="285">
      <c r="O285" t="n">
        <v>283</v>
      </c>
      <c r="R285" s="108" t="n">
        <v>46306</v>
      </c>
    </row>
    <row r="286">
      <c r="O286" t="n">
        <v>284</v>
      </c>
      <c r="R286" s="108" t="n">
        <v>46307</v>
      </c>
    </row>
    <row r="287">
      <c r="O287" t="n">
        <v>285</v>
      </c>
      <c r="R287" s="108" t="n">
        <v>46308</v>
      </c>
    </row>
    <row r="288">
      <c r="O288" t="n">
        <v>286</v>
      </c>
      <c r="R288" s="108" t="n">
        <v>46309</v>
      </c>
    </row>
    <row r="289">
      <c r="O289" t="n">
        <v>287</v>
      </c>
      <c r="R289" s="108" t="n">
        <v>46310</v>
      </c>
    </row>
    <row r="290">
      <c r="O290" t="n">
        <v>288</v>
      </c>
      <c r="R290" s="108" t="n">
        <v>46311</v>
      </c>
    </row>
    <row r="291">
      <c r="O291" t="n">
        <v>289</v>
      </c>
      <c r="R291" s="108" t="n">
        <v>46312</v>
      </c>
    </row>
    <row r="292">
      <c r="O292" t="n">
        <v>290</v>
      </c>
      <c r="R292" s="108" t="n">
        <v>46313</v>
      </c>
    </row>
    <row r="293">
      <c r="O293" t="n">
        <v>291</v>
      </c>
      <c r="R293" s="108" t="n">
        <v>46314</v>
      </c>
    </row>
    <row r="294">
      <c r="O294" t="n">
        <v>292</v>
      </c>
      <c r="R294" s="108" t="n">
        <v>46315</v>
      </c>
    </row>
    <row r="295">
      <c r="O295" t="n">
        <v>293</v>
      </c>
      <c r="R295" s="108" t="n">
        <v>46316</v>
      </c>
    </row>
    <row r="296">
      <c r="O296" t="n">
        <v>294</v>
      </c>
      <c r="R296" s="108" t="n">
        <v>46317</v>
      </c>
    </row>
    <row r="297">
      <c r="O297" t="n">
        <v>295</v>
      </c>
      <c r="R297" s="108" t="n">
        <v>46318</v>
      </c>
    </row>
    <row r="298">
      <c r="O298" t="n">
        <v>296</v>
      </c>
      <c r="R298" s="108" t="n">
        <v>46319</v>
      </c>
    </row>
    <row r="299">
      <c r="O299" t="n">
        <v>297</v>
      </c>
      <c r="R299" s="108" t="n">
        <v>46320</v>
      </c>
    </row>
    <row r="300">
      <c r="O300" t="n">
        <v>298</v>
      </c>
      <c r="R300" s="108" t="n">
        <v>46321</v>
      </c>
    </row>
    <row r="301">
      <c r="O301" t="n">
        <v>299</v>
      </c>
      <c r="R301" s="108" t="n">
        <v>46322</v>
      </c>
    </row>
    <row r="302">
      <c r="O302" t="n">
        <v>300</v>
      </c>
      <c r="R302" s="108" t="n">
        <v>46323</v>
      </c>
    </row>
    <row r="303">
      <c r="R303" s="108" t="n">
        <v>46324</v>
      </c>
    </row>
    <row r="304">
      <c r="R304" s="108" t="n">
        <v>46325</v>
      </c>
    </row>
    <row r="305">
      <c r="R305" s="108" t="n">
        <v>46326</v>
      </c>
    </row>
    <row r="306">
      <c r="R306" s="108" t="n">
        <v>46327</v>
      </c>
    </row>
    <row r="307">
      <c r="R307" s="108" t="n">
        <v>46328</v>
      </c>
    </row>
    <row r="308">
      <c r="R308" s="108" t="n">
        <v>46329</v>
      </c>
    </row>
    <row r="309">
      <c r="R309" s="108" t="n">
        <v>46330</v>
      </c>
    </row>
    <row r="310">
      <c r="R310" s="108" t="n">
        <v>46331</v>
      </c>
    </row>
    <row r="311">
      <c r="R311" s="108" t="n">
        <v>46332</v>
      </c>
    </row>
    <row r="312">
      <c r="R312" s="108" t="n">
        <v>46333</v>
      </c>
    </row>
    <row r="313">
      <c r="R313" s="108" t="n">
        <v>46334</v>
      </c>
    </row>
    <row r="314">
      <c r="R314" s="108" t="n">
        <v>46335</v>
      </c>
    </row>
    <row r="315">
      <c r="R315" s="108" t="n">
        <v>46336</v>
      </c>
    </row>
    <row r="316">
      <c r="R316" s="108" t="n">
        <v>46337</v>
      </c>
    </row>
    <row r="317">
      <c r="R317" s="108" t="n">
        <v>46338</v>
      </c>
    </row>
    <row r="318">
      <c r="R318" s="108" t="n">
        <v>46339</v>
      </c>
    </row>
    <row r="319">
      <c r="R319" s="108" t="n">
        <v>46340</v>
      </c>
    </row>
    <row r="320">
      <c r="R320" s="108" t="n">
        <v>46341</v>
      </c>
    </row>
    <row r="321">
      <c r="R321" s="108" t="n">
        <v>46342</v>
      </c>
    </row>
    <row r="322">
      <c r="R322" s="108" t="n">
        <v>46343</v>
      </c>
    </row>
    <row r="323">
      <c r="R323" s="108" t="n">
        <v>46344</v>
      </c>
    </row>
    <row r="324">
      <c r="R324" s="108" t="n">
        <v>46345</v>
      </c>
    </row>
    <row r="325">
      <c r="R325" s="108" t="n">
        <v>46346</v>
      </c>
    </row>
    <row r="326">
      <c r="R326" s="108" t="n">
        <v>46347</v>
      </c>
    </row>
    <row r="327">
      <c r="R327" s="108" t="n">
        <v>46348</v>
      </c>
    </row>
    <row r="328">
      <c r="R328" s="108" t="n">
        <v>46349</v>
      </c>
    </row>
    <row r="329">
      <c r="R329" s="108" t="n">
        <v>46350</v>
      </c>
    </row>
    <row r="330">
      <c r="R330" s="108" t="n">
        <v>46351</v>
      </c>
    </row>
    <row r="331">
      <c r="R331" s="108" t="n">
        <v>46352</v>
      </c>
    </row>
    <row r="332">
      <c r="R332" s="108" t="n">
        <v>46353</v>
      </c>
    </row>
    <row r="333">
      <c r="R333" s="108" t="n">
        <v>46354</v>
      </c>
    </row>
    <row r="334">
      <c r="R334" s="108" t="n">
        <v>46355</v>
      </c>
    </row>
    <row r="335">
      <c r="R335" s="108" t="n">
        <v>46356</v>
      </c>
    </row>
    <row r="336">
      <c r="R336" s="108" t="n">
        <v>46357</v>
      </c>
    </row>
    <row r="337">
      <c r="R337" s="108" t="n">
        <v>46358</v>
      </c>
    </row>
    <row r="338">
      <c r="R338" s="108" t="n">
        <v>46359</v>
      </c>
    </row>
    <row r="339">
      <c r="R339" s="108" t="n">
        <v>46360</v>
      </c>
    </row>
    <row r="340">
      <c r="R340" s="108" t="n">
        <v>46361</v>
      </c>
    </row>
    <row r="341">
      <c r="R341" s="108" t="n">
        <v>46362</v>
      </c>
    </row>
    <row r="342">
      <c r="R342" s="108" t="n">
        <v>46363</v>
      </c>
    </row>
    <row r="343">
      <c r="R343" s="108" t="n">
        <v>46364</v>
      </c>
    </row>
    <row r="344">
      <c r="R344" s="108" t="n">
        <v>46365</v>
      </c>
    </row>
    <row r="345">
      <c r="R345" s="108" t="n">
        <v>46366</v>
      </c>
    </row>
    <row r="346">
      <c r="R346" s="108" t="n">
        <v>46367</v>
      </c>
    </row>
    <row r="347">
      <c r="R347" s="108" t="n">
        <v>46368</v>
      </c>
    </row>
    <row r="348">
      <c r="R348" s="108" t="n">
        <v>46369</v>
      </c>
    </row>
    <row r="349">
      <c r="R349" s="108" t="n">
        <v>46370</v>
      </c>
    </row>
    <row r="350">
      <c r="R350" s="108" t="n">
        <v>46371</v>
      </c>
    </row>
    <row r="351">
      <c r="R351" s="108" t="n">
        <v>46372</v>
      </c>
    </row>
    <row r="352">
      <c r="R352" s="108" t="n">
        <v>46373</v>
      </c>
    </row>
    <row r="353">
      <c r="R353" s="108" t="n">
        <v>46374</v>
      </c>
    </row>
    <row r="354">
      <c r="R354" s="108" t="n">
        <v>46375</v>
      </c>
    </row>
    <row r="355">
      <c r="R355" s="108" t="n">
        <v>46376</v>
      </c>
    </row>
    <row r="356">
      <c r="R356" s="108" t="n">
        <v>46377</v>
      </c>
    </row>
    <row r="357">
      <c r="R357" s="108" t="n">
        <v>46378</v>
      </c>
    </row>
    <row r="358">
      <c r="R358" s="108" t="n">
        <v>46379</v>
      </c>
    </row>
    <row r="359">
      <c r="R359" s="108" t="n">
        <v>46380</v>
      </c>
    </row>
    <row r="360">
      <c r="R360" s="108" t="n">
        <v>46381</v>
      </c>
    </row>
    <row r="361">
      <c r="R361" s="108" t="n">
        <v>46382</v>
      </c>
    </row>
    <row r="362">
      <c r="R362" s="108" t="n">
        <v>46383</v>
      </c>
    </row>
    <row r="363">
      <c r="R363" s="108" t="n">
        <v>46384</v>
      </c>
    </row>
    <row r="364">
      <c r="R364" s="108" t="n">
        <v>46385</v>
      </c>
    </row>
    <row r="365">
      <c r="R365" s="108" t="n">
        <v>46386</v>
      </c>
    </row>
    <row r="366">
      <c r="R366" s="108" t="n">
        <v>46387</v>
      </c>
    </row>
    <row r="367">
      <c r="R367" s="108" t="n">
        <v>46388</v>
      </c>
    </row>
    <row r="368">
      <c r="R368" s="108" t="n">
        <v>46389</v>
      </c>
    </row>
    <row r="369">
      <c r="R369" s="108" t="n">
        <v>46390</v>
      </c>
    </row>
    <row r="370">
      <c r="R370" s="108" t="n">
        <v>46391</v>
      </c>
    </row>
    <row r="371">
      <c r="R371" s="108" t="n">
        <v>46392</v>
      </c>
    </row>
    <row r="372">
      <c r="R372" s="108" t="n">
        <v>46393</v>
      </c>
    </row>
    <row r="373">
      <c r="R373" s="108" t="n">
        <v>46394</v>
      </c>
    </row>
    <row r="374">
      <c r="R374" s="108" t="n">
        <v>46395</v>
      </c>
    </row>
    <row r="375">
      <c r="R375" s="108" t="n">
        <v>46396</v>
      </c>
    </row>
    <row r="376">
      <c r="R376" s="108" t="n">
        <v>46397</v>
      </c>
    </row>
    <row r="377">
      <c r="R377" s="108" t="n">
        <v>46398</v>
      </c>
    </row>
    <row r="378">
      <c r="R378" s="108" t="n">
        <v>46399</v>
      </c>
    </row>
    <row r="379">
      <c r="R379" s="108" t="n">
        <v>46400</v>
      </c>
    </row>
    <row r="380">
      <c r="R380" s="108" t="n">
        <v>46401</v>
      </c>
    </row>
    <row r="381">
      <c r="R381" s="108" t="n">
        <v>46402</v>
      </c>
    </row>
    <row r="382">
      <c r="R382" s="108" t="n">
        <v>46403</v>
      </c>
    </row>
    <row r="383">
      <c r="R383" s="108" t="n">
        <v>46404</v>
      </c>
    </row>
    <row r="384">
      <c r="R384" s="108" t="n">
        <v>46405</v>
      </c>
    </row>
    <row r="385">
      <c r="R385" s="108" t="n">
        <v>46406</v>
      </c>
    </row>
    <row r="386">
      <c r="R386" s="108" t="n">
        <v>46407</v>
      </c>
    </row>
    <row r="387">
      <c r="R387" s="108" t="n">
        <v>46408</v>
      </c>
    </row>
    <row r="388">
      <c r="R388" s="108" t="n">
        <v>46409</v>
      </c>
    </row>
    <row r="389">
      <c r="R389" s="108" t="n">
        <v>46410</v>
      </c>
    </row>
    <row r="390">
      <c r="R390" s="108" t="n">
        <v>46411</v>
      </c>
    </row>
    <row r="391">
      <c r="R391" s="108" t="n">
        <v>46412</v>
      </c>
    </row>
    <row r="392">
      <c r="R392" s="108" t="n">
        <v>46413</v>
      </c>
    </row>
    <row r="393">
      <c r="R393" s="108" t="n">
        <v>46414</v>
      </c>
    </row>
    <row r="394">
      <c r="R394" s="108" t="n">
        <v>46415</v>
      </c>
    </row>
    <row r="395">
      <c r="R395" s="108" t="n">
        <v>46416</v>
      </c>
    </row>
    <row r="396">
      <c r="R396" s="108" t="n">
        <v>46417</v>
      </c>
    </row>
    <row r="397">
      <c r="R397" s="108" t="n">
        <v>46418</v>
      </c>
    </row>
    <row r="398">
      <c r="R398" s="108" t="n">
        <v>46419</v>
      </c>
    </row>
    <row r="399">
      <c r="R399" s="108" t="n">
        <v>46420</v>
      </c>
    </row>
    <row r="400">
      <c r="R400" s="108" t="n">
        <v>46421</v>
      </c>
    </row>
    <row r="401">
      <c r="R401" s="108" t="n">
        <v>46422</v>
      </c>
    </row>
    <row r="402">
      <c r="R402" s="108" t="n">
        <v>46423</v>
      </c>
    </row>
    <row r="403">
      <c r="R403" s="108" t="n">
        <v>46424</v>
      </c>
    </row>
    <row r="404">
      <c r="R404" s="108" t="n">
        <v>46425</v>
      </c>
    </row>
    <row r="405">
      <c r="R405" s="108" t="n">
        <v>46426</v>
      </c>
    </row>
    <row r="406">
      <c r="R406" s="108" t="n">
        <v>46427</v>
      </c>
    </row>
    <row r="407">
      <c r="R407" s="108" t="n">
        <v>46428</v>
      </c>
    </row>
    <row r="408">
      <c r="R408" s="108" t="n">
        <v>46429</v>
      </c>
    </row>
    <row r="409">
      <c r="R409" s="108" t="n">
        <v>46430</v>
      </c>
    </row>
    <row r="410">
      <c r="R410" s="108" t="n">
        <v>46431</v>
      </c>
    </row>
    <row r="411">
      <c r="R411" s="108" t="n">
        <v>46432</v>
      </c>
    </row>
    <row r="412">
      <c r="R412" s="108" t="n">
        <v>46433</v>
      </c>
    </row>
    <row r="413">
      <c r="R413" s="108" t="n">
        <v>46434</v>
      </c>
    </row>
    <row r="414">
      <c r="R414" s="108" t="n">
        <v>46435</v>
      </c>
    </row>
    <row r="415">
      <c r="R415" s="108" t="n">
        <v>46436</v>
      </c>
    </row>
    <row r="416">
      <c r="R416" s="108" t="n">
        <v>46437</v>
      </c>
    </row>
    <row r="417">
      <c r="R417" s="108" t="n">
        <v>46438</v>
      </c>
    </row>
    <row r="418">
      <c r="R418" s="108" t="n">
        <v>46439</v>
      </c>
    </row>
    <row r="419">
      <c r="R419" s="108" t="n">
        <v>46440</v>
      </c>
    </row>
    <row r="420">
      <c r="R420" s="108" t="n">
        <v>46441</v>
      </c>
    </row>
    <row r="421">
      <c r="R421" s="108" t="n">
        <v>46442</v>
      </c>
    </row>
    <row r="422">
      <c r="R422" s="108" t="n">
        <v>46443</v>
      </c>
    </row>
    <row r="423">
      <c r="R423" s="108" t="n">
        <v>46444</v>
      </c>
    </row>
    <row r="424">
      <c r="R424" s="108" t="n">
        <v>46445</v>
      </c>
    </row>
    <row r="425">
      <c r="R425" s="108" t="n">
        <v>46446</v>
      </c>
    </row>
    <row r="426">
      <c r="R426" s="108" t="n">
        <v>46447</v>
      </c>
    </row>
    <row r="427">
      <c r="R427" s="108" t="n">
        <v>46448</v>
      </c>
    </row>
    <row r="428">
      <c r="R428" s="108" t="n">
        <v>46449</v>
      </c>
    </row>
    <row r="429">
      <c r="R429" s="108" t="n">
        <v>46450</v>
      </c>
    </row>
    <row r="430">
      <c r="R430" s="108" t="n">
        <v>46451</v>
      </c>
    </row>
    <row r="431">
      <c r="R431" s="108" t="n">
        <v>46452</v>
      </c>
    </row>
    <row r="432">
      <c r="R432" s="108" t="n">
        <v>46453</v>
      </c>
    </row>
    <row r="433">
      <c r="R433" s="108" t="n">
        <v>46454</v>
      </c>
    </row>
    <row r="434">
      <c r="R434" s="108" t="n">
        <v>46455</v>
      </c>
    </row>
    <row r="435">
      <c r="R435" s="108" t="n">
        <v>46456</v>
      </c>
    </row>
    <row r="436">
      <c r="R436" s="108" t="n">
        <v>46457</v>
      </c>
    </row>
    <row r="437">
      <c r="R437" s="108" t="n">
        <v>46458</v>
      </c>
    </row>
    <row r="438">
      <c r="R438" s="108" t="n">
        <v>46459</v>
      </c>
    </row>
    <row r="439">
      <c r="R439" s="108" t="n">
        <v>46460</v>
      </c>
    </row>
    <row r="440">
      <c r="R440" s="108" t="n">
        <v>46461</v>
      </c>
    </row>
    <row r="441">
      <c r="R441" s="108" t="n">
        <v>46462</v>
      </c>
    </row>
    <row r="442">
      <c r="R442" s="108" t="n">
        <v>46463</v>
      </c>
    </row>
    <row r="443">
      <c r="R443" s="108" t="n">
        <v>46464</v>
      </c>
    </row>
    <row r="444">
      <c r="R444" s="108" t="n">
        <v>46465</v>
      </c>
    </row>
    <row r="445">
      <c r="R445" s="108" t="n">
        <v>46466</v>
      </c>
    </row>
    <row r="446">
      <c r="R446" s="108" t="n">
        <v>46467</v>
      </c>
    </row>
    <row r="447">
      <c r="R447" s="108" t="n">
        <v>46468</v>
      </c>
    </row>
    <row r="448">
      <c r="R448" s="108" t="n">
        <v>46469</v>
      </c>
    </row>
    <row r="449">
      <c r="R449" s="108" t="n">
        <v>46470</v>
      </c>
    </row>
    <row r="450">
      <c r="R450" s="108" t="n">
        <v>46471</v>
      </c>
    </row>
    <row r="451">
      <c r="R451" s="108" t="n">
        <v>46472</v>
      </c>
    </row>
    <row r="452">
      <c r="R452" s="108" t="n">
        <v>46473</v>
      </c>
    </row>
    <row r="453">
      <c r="R453" s="108" t="n">
        <v>46474</v>
      </c>
    </row>
    <row r="454">
      <c r="R454" s="108" t="n">
        <v>46475</v>
      </c>
    </row>
    <row r="455">
      <c r="R455" s="108" t="n">
        <v>46476</v>
      </c>
    </row>
    <row r="456">
      <c r="R456" s="108" t="n">
        <v>46477</v>
      </c>
    </row>
    <row r="457">
      <c r="R457" s="108" t="n">
        <v>46478</v>
      </c>
    </row>
    <row r="458">
      <c r="R458" s="108" t="n">
        <v>46479</v>
      </c>
    </row>
    <row r="459">
      <c r="R459" s="108" t="n">
        <v>46480</v>
      </c>
    </row>
    <row r="460">
      <c r="R460" s="108" t="n">
        <v>46481</v>
      </c>
    </row>
    <row r="461">
      <c r="R461" s="108" t="n">
        <v>46482</v>
      </c>
    </row>
    <row r="462">
      <c r="R462" s="108" t="n">
        <v>46483</v>
      </c>
    </row>
    <row r="463">
      <c r="R463" s="108" t="n">
        <v>46484</v>
      </c>
    </row>
    <row r="464">
      <c r="R464" s="108" t="n">
        <v>46485</v>
      </c>
    </row>
    <row r="465">
      <c r="R465" s="108" t="n">
        <v>46486</v>
      </c>
    </row>
    <row r="466">
      <c r="R466" s="108" t="n">
        <v>46487</v>
      </c>
    </row>
    <row r="467">
      <c r="R467" s="108" t="n">
        <v>46488</v>
      </c>
    </row>
    <row r="468">
      <c r="R468" s="108" t="n">
        <v>46489</v>
      </c>
    </row>
    <row r="469">
      <c r="R469" s="108" t="n">
        <v>46490</v>
      </c>
    </row>
    <row r="470">
      <c r="R470" s="108" t="n">
        <v>46491</v>
      </c>
    </row>
    <row r="471">
      <c r="R471" s="108" t="n">
        <v>46492</v>
      </c>
    </row>
    <row r="472">
      <c r="R472" s="108" t="n">
        <v>46493</v>
      </c>
    </row>
    <row r="473">
      <c r="R473" s="108" t="n">
        <v>46494</v>
      </c>
    </row>
    <row r="474">
      <c r="R474" s="108" t="n">
        <v>46495</v>
      </c>
    </row>
    <row r="475">
      <c r="R475" s="108" t="n">
        <v>46496</v>
      </c>
    </row>
    <row r="476">
      <c r="R476" s="108" t="n">
        <v>46497</v>
      </c>
    </row>
    <row r="477">
      <c r="R477" s="108" t="n">
        <v>46498</v>
      </c>
    </row>
    <row r="478">
      <c r="R478" s="108" t="n">
        <v>46499</v>
      </c>
    </row>
    <row r="479">
      <c r="R479" s="108" t="n">
        <v>46500</v>
      </c>
    </row>
    <row r="480">
      <c r="R480" s="108" t="n">
        <v>46501</v>
      </c>
    </row>
    <row r="481">
      <c r="R481" s="108" t="n">
        <v>46502</v>
      </c>
    </row>
    <row r="482">
      <c r="R482" s="108" t="n">
        <v>46503</v>
      </c>
    </row>
    <row r="483">
      <c r="R483" s="108" t="n">
        <v>46504</v>
      </c>
    </row>
    <row r="484">
      <c r="R484" s="108" t="n">
        <v>46505</v>
      </c>
    </row>
    <row r="485">
      <c r="R485" s="108" t="n">
        <v>46506</v>
      </c>
    </row>
    <row r="486">
      <c r="R486" s="108" t="n">
        <v>46507</v>
      </c>
    </row>
    <row r="487">
      <c r="R487" s="108" t="n">
        <v>46508</v>
      </c>
    </row>
    <row r="488">
      <c r="R488" s="108" t="n">
        <v>46509</v>
      </c>
    </row>
    <row r="489">
      <c r="R489" s="108" t="n">
        <v>46510</v>
      </c>
    </row>
    <row r="490">
      <c r="R490" s="108" t="n">
        <v>46511</v>
      </c>
    </row>
    <row r="491">
      <c r="R491" s="108" t="n">
        <v>46512</v>
      </c>
    </row>
    <row r="492">
      <c r="R492" s="108" t="n">
        <v>46513</v>
      </c>
    </row>
    <row r="493">
      <c r="R493" s="108" t="n">
        <v>46514</v>
      </c>
    </row>
    <row r="494">
      <c r="R494" s="108" t="n">
        <v>46515</v>
      </c>
    </row>
    <row r="495">
      <c r="R495" s="108" t="n">
        <v>46516</v>
      </c>
    </row>
    <row r="496">
      <c r="R496" s="108" t="n">
        <v>46517</v>
      </c>
    </row>
    <row r="497">
      <c r="R497" s="108" t="n">
        <v>46518</v>
      </c>
    </row>
    <row r="498">
      <c r="R498" s="108" t="n">
        <v>46519</v>
      </c>
    </row>
    <row r="499">
      <c r="R499" s="108" t="n">
        <v>46520</v>
      </c>
    </row>
    <row r="500">
      <c r="R500" s="108" t="n">
        <v>46521</v>
      </c>
    </row>
    <row r="501">
      <c r="R501" s="108" t="n">
        <v>46522</v>
      </c>
    </row>
    <row r="502">
      <c r="R502" s="108" t="n">
        <v>46523</v>
      </c>
    </row>
    <row r="503">
      <c r="R503" s="108" t="n">
        <v>46524</v>
      </c>
    </row>
    <row r="504">
      <c r="R504" s="108" t="n">
        <v>46525</v>
      </c>
    </row>
    <row r="505">
      <c r="R505" s="108" t="n">
        <v>46526</v>
      </c>
    </row>
    <row r="506">
      <c r="R506" s="108" t="n">
        <v>46527</v>
      </c>
    </row>
    <row r="507">
      <c r="R507" s="108" t="n">
        <v>46528</v>
      </c>
    </row>
    <row r="508">
      <c r="R508" s="108" t="n">
        <v>46529</v>
      </c>
    </row>
    <row r="509">
      <c r="R509" s="108" t="n">
        <v>46530</v>
      </c>
    </row>
    <row r="510">
      <c r="R510" s="108" t="n">
        <v>46531</v>
      </c>
    </row>
    <row r="511">
      <c r="R511" s="108" t="n">
        <v>46532</v>
      </c>
    </row>
    <row r="512">
      <c r="R512" s="108" t="n">
        <v>46533</v>
      </c>
    </row>
    <row r="513">
      <c r="R513" s="108" t="n">
        <v>46534</v>
      </c>
    </row>
    <row r="514">
      <c r="R514" s="108" t="n">
        <v>46535</v>
      </c>
    </row>
    <row r="515">
      <c r="R515" s="108" t="n">
        <v>46536</v>
      </c>
    </row>
    <row r="516">
      <c r="R516" s="108" t="n">
        <v>46537</v>
      </c>
    </row>
    <row r="517">
      <c r="R517" s="108" t="n">
        <v>46538</v>
      </c>
    </row>
    <row r="518">
      <c r="R518" s="108" t="n">
        <v>46539</v>
      </c>
    </row>
    <row r="519">
      <c r="R519" s="108" t="n">
        <v>46540</v>
      </c>
    </row>
    <row r="520">
      <c r="R520" s="108" t="n">
        <v>46541</v>
      </c>
    </row>
    <row r="521">
      <c r="R521" s="108" t="n">
        <v>46542</v>
      </c>
    </row>
    <row r="522">
      <c r="R522" s="108" t="n">
        <v>46543</v>
      </c>
    </row>
    <row r="523">
      <c r="R523" s="108" t="n">
        <v>46544</v>
      </c>
    </row>
    <row r="524">
      <c r="R524" s="108" t="n">
        <v>46545</v>
      </c>
    </row>
    <row r="525">
      <c r="R525" s="108" t="n">
        <v>46546</v>
      </c>
    </row>
    <row r="526">
      <c r="R526" s="108" t="n">
        <v>46547</v>
      </c>
    </row>
    <row r="527">
      <c r="R527" s="108" t="n">
        <v>46548</v>
      </c>
    </row>
    <row r="528">
      <c r="R528" s="108" t="n">
        <v>46549</v>
      </c>
    </row>
    <row r="529">
      <c r="R529" s="108" t="n">
        <v>46550</v>
      </c>
    </row>
    <row r="530">
      <c r="R530" s="108" t="n">
        <v>46551</v>
      </c>
    </row>
    <row r="531">
      <c r="R531" s="108" t="n">
        <v>46552</v>
      </c>
    </row>
    <row r="532">
      <c r="R532" s="108" t="n">
        <v>46553</v>
      </c>
    </row>
    <row r="533">
      <c r="R533" s="108" t="n">
        <v>46554</v>
      </c>
    </row>
    <row r="534">
      <c r="R534" s="108" t="n">
        <v>46555</v>
      </c>
    </row>
    <row r="535">
      <c r="R535" s="108" t="n">
        <v>46556</v>
      </c>
    </row>
    <row r="536">
      <c r="R536" s="108" t="n">
        <v>46557</v>
      </c>
    </row>
    <row r="537">
      <c r="R537" s="108" t="n">
        <v>46558</v>
      </c>
    </row>
    <row r="538">
      <c r="R538" s="108" t="n">
        <v>46559</v>
      </c>
    </row>
    <row r="539">
      <c r="R539" s="108" t="n">
        <v>46560</v>
      </c>
    </row>
    <row r="540">
      <c r="R540" s="108" t="n">
        <v>46561</v>
      </c>
    </row>
    <row r="541">
      <c r="R541" s="108" t="n">
        <v>46562</v>
      </c>
    </row>
    <row r="542">
      <c r="R542" s="108" t="n">
        <v>46563</v>
      </c>
    </row>
    <row r="543">
      <c r="R543" s="108" t="n">
        <v>46564</v>
      </c>
    </row>
    <row r="544">
      <c r="R544" s="108" t="n">
        <v>46565</v>
      </c>
    </row>
    <row r="545">
      <c r="R545" s="108" t="n">
        <v>46566</v>
      </c>
    </row>
    <row r="546">
      <c r="R546" s="108" t="n">
        <v>46567</v>
      </c>
    </row>
    <row r="547">
      <c r="R547" s="108" t="n">
        <v>46568</v>
      </c>
    </row>
    <row r="548">
      <c r="R548" s="108" t="n">
        <v>46569</v>
      </c>
    </row>
    <row r="549">
      <c r="R549" s="108" t="n">
        <v>46570</v>
      </c>
    </row>
    <row r="550">
      <c r="R550" s="108" t="n">
        <v>46571</v>
      </c>
    </row>
    <row r="551">
      <c r="R551" s="108" t="n">
        <v>46572</v>
      </c>
    </row>
    <row r="552">
      <c r="R552" s="108" t="n">
        <v>46573</v>
      </c>
    </row>
    <row r="553">
      <c r="R553" s="108" t="n">
        <v>46574</v>
      </c>
    </row>
    <row r="554">
      <c r="R554" s="108" t="n">
        <v>46575</v>
      </c>
    </row>
    <row r="555">
      <c r="R555" s="108" t="n">
        <v>46576</v>
      </c>
    </row>
    <row r="556">
      <c r="R556" s="108" t="n">
        <v>46577</v>
      </c>
    </row>
    <row r="557">
      <c r="R557" s="108" t="n">
        <v>46578</v>
      </c>
    </row>
    <row r="558">
      <c r="R558" s="108" t="n">
        <v>46579</v>
      </c>
    </row>
    <row r="559">
      <c r="R559" s="108" t="n">
        <v>46580</v>
      </c>
    </row>
    <row r="560">
      <c r="R560" s="108" t="n">
        <v>46581</v>
      </c>
    </row>
    <row r="561">
      <c r="R561" s="108" t="n">
        <v>46582</v>
      </c>
    </row>
    <row r="562">
      <c r="R562" s="108" t="n">
        <v>46583</v>
      </c>
    </row>
    <row r="563">
      <c r="R563" s="108" t="n">
        <v>46584</v>
      </c>
    </row>
    <row r="564">
      <c r="R564" s="108" t="n">
        <v>46585</v>
      </c>
    </row>
    <row r="565">
      <c r="R565" s="108" t="n">
        <v>46586</v>
      </c>
    </row>
    <row r="566">
      <c r="R566" s="108" t="n">
        <v>46587</v>
      </c>
    </row>
    <row r="567">
      <c r="R567" s="108" t="n">
        <v>46588</v>
      </c>
    </row>
    <row r="568">
      <c r="R568" s="108" t="n">
        <v>46589</v>
      </c>
    </row>
    <row r="569">
      <c r="R569" s="108" t="n">
        <v>46590</v>
      </c>
    </row>
    <row r="570">
      <c r="R570" s="108" t="n">
        <v>46591</v>
      </c>
    </row>
    <row r="571">
      <c r="R571" s="108" t="n">
        <v>46592</v>
      </c>
    </row>
    <row r="572">
      <c r="R572" s="108" t="n">
        <v>46593</v>
      </c>
    </row>
    <row r="573">
      <c r="R573" s="108" t="n">
        <v>46594</v>
      </c>
    </row>
    <row r="574">
      <c r="R574" s="108" t="n">
        <v>46595</v>
      </c>
    </row>
    <row r="575">
      <c r="R575" s="108" t="n">
        <v>46596</v>
      </c>
    </row>
    <row r="576">
      <c r="R576" s="108" t="n">
        <v>46597</v>
      </c>
    </row>
    <row r="577">
      <c r="R577" s="108" t="n">
        <v>46598</v>
      </c>
    </row>
    <row r="578">
      <c r="R578" s="108" t="n">
        <v>46599</v>
      </c>
    </row>
    <row r="579">
      <c r="R579" s="108" t="n">
        <v>46600</v>
      </c>
    </row>
    <row r="580">
      <c r="R580" s="108" t="n">
        <v>46601</v>
      </c>
    </row>
    <row r="581">
      <c r="R581" s="108" t="n">
        <v>46602</v>
      </c>
    </row>
    <row r="582">
      <c r="R582" s="108" t="n">
        <v>46603</v>
      </c>
    </row>
    <row r="583">
      <c r="R583" s="108" t="n">
        <v>46604</v>
      </c>
    </row>
    <row r="584">
      <c r="R584" s="108" t="n">
        <v>46605</v>
      </c>
    </row>
    <row r="585">
      <c r="R585" s="108" t="n">
        <v>46606</v>
      </c>
    </row>
    <row r="586">
      <c r="R586" s="108" t="n">
        <v>46607</v>
      </c>
    </row>
    <row r="587">
      <c r="R587" s="108" t="n">
        <v>46608</v>
      </c>
    </row>
    <row r="588">
      <c r="R588" s="108" t="n">
        <v>46609</v>
      </c>
    </row>
    <row r="589">
      <c r="R589" s="108" t="n">
        <v>46610</v>
      </c>
    </row>
    <row r="590">
      <c r="R590" s="108" t="n">
        <v>46611</v>
      </c>
    </row>
    <row r="591">
      <c r="R591" s="108" t="n">
        <v>46612</v>
      </c>
    </row>
    <row r="592">
      <c r="R592" s="108" t="n">
        <v>46613</v>
      </c>
    </row>
    <row r="593">
      <c r="R593" s="108" t="n">
        <v>46614</v>
      </c>
    </row>
    <row r="594">
      <c r="R594" s="108" t="n">
        <v>46615</v>
      </c>
    </row>
    <row r="595">
      <c r="R595" s="108" t="n">
        <v>46616</v>
      </c>
    </row>
    <row r="596">
      <c r="R596" s="108" t="n">
        <v>46617</v>
      </c>
    </row>
    <row r="597">
      <c r="R597" s="108" t="n">
        <v>46618</v>
      </c>
    </row>
    <row r="598">
      <c r="R598" s="108" t="n">
        <v>46619</v>
      </c>
    </row>
    <row r="599">
      <c r="R599" s="108" t="n">
        <v>46620</v>
      </c>
    </row>
    <row r="600">
      <c r="R600" s="108" t="n">
        <v>46621</v>
      </c>
    </row>
    <row r="601">
      <c r="R601" s="108" t="n">
        <v>46622</v>
      </c>
    </row>
    <row r="602">
      <c r="R602" s="108" t="n">
        <v>46623</v>
      </c>
    </row>
    <row r="603">
      <c r="R603" s="108" t="n">
        <v>46624</v>
      </c>
    </row>
    <row r="604">
      <c r="R604" s="108" t="n">
        <v>46625</v>
      </c>
    </row>
    <row r="605">
      <c r="R605" s="108" t="n">
        <v>46626</v>
      </c>
    </row>
    <row r="606">
      <c r="R606" s="108" t="n">
        <v>46627</v>
      </c>
    </row>
    <row r="607">
      <c r="R607" s="108" t="n">
        <v>46628</v>
      </c>
    </row>
    <row r="608">
      <c r="R608" s="108" t="n">
        <v>46629</v>
      </c>
    </row>
    <row r="609">
      <c r="R609" s="108" t="n">
        <v>46630</v>
      </c>
    </row>
    <row r="610">
      <c r="R610" s="108" t="n">
        <v>46631</v>
      </c>
    </row>
    <row r="611">
      <c r="R611" s="108" t="n">
        <v>46632</v>
      </c>
    </row>
    <row r="612">
      <c r="R612" s="108" t="n">
        <v>46633</v>
      </c>
    </row>
    <row r="613">
      <c r="R613" s="108" t="n">
        <v>46634</v>
      </c>
    </row>
    <row r="614">
      <c r="R614" s="108" t="n">
        <v>46635</v>
      </c>
    </row>
    <row r="615">
      <c r="R615" s="108" t="n">
        <v>46636</v>
      </c>
    </row>
    <row r="616">
      <c r="R616" s="108" t="n">
        <v>46637</v>
      </c>
    </row>
    <row r="617">
      <c r="R617" s="108" t="n">
        <v>46638</v>
      </c>
    </row>
    <row r="618">
      <c r="R618" s="108" t="n">
        <v>46639</v>
      </c>
    </row>
    <row r="619">
      <c r="R619" s="108" t="n">
        <v>46640</v>
      </c>
    </row>
    <row r="620">
      <c r="R620" s="108" t="n">
        <v>46641</v>
      </c>
    </row>
    <row r="621">
      <c r="R621" s="108" t="n">
        <v>46642</v>
      </c>
    </row>
    <row r="622">
      <c r="R622" s="108" t="n">
        <v>46643</v>
      </c>
    </row>
    <row r="623">
      <c r="R623" s="108" t="n">
        <v>46644</v>
      </c>
    </row>
    <row r="624">
      <c r="R624" s="108" t="n">
        <v>46645</v>
      </c>
    </row>
    <row r="625">
      <c r="R625" s="108" t="n">
        <v>46646</v>
      </c>
    </row>
    <row r="626">
      <c r="R626" s="108" t="n">
        <v>46647</v>
      </c>
    </row>
    <row r="627">
      <c r="R627" s="108" t="n">
        <v>46648</v>
      </c>
    </row>
    <row r="628">
      <c r="R628" s="108" t="n">
        <v>46649</v>
      </c>
    </row>
    <row r="629">
      <c r="R629" s="108" t="n">
        <v>46650</v>
      </c>
    </row>
    <row r="630">
      <c r="R630" s="108" t="n">
        <v>46651</v>
      </c>
    </row>
    <row r="631">
      <c r="R631" s="108" t="n">
        <v>46652</v>
      </c>
    </row>
    <row r="632">
      <c r="R632" s="108" t="n">
        <v>46653</v>
      </c>
    </row>
    <row r="633">
      <c r="R633" s="108" t="n">
        <v>46654</v>
      </c>
    </row>
    <row r="634">
      <c r="R634" s="108" t="n">
        <v>46655</v>
      </c>
    </row>
    <row r="635">
      <c r="R635" s="108" t="n">
        <v>46656</v>
      </c>
    </row>
    <row r="636">
      <c r="R636" s="108" t="n">
        <v>46657</v>
      </c>
    </row>
    <row r="637">
      <c r="R637" s="108" t="n">
        <v>46658</v>
      </c>
    </row>
    <row r="638">
      <c r="R638" s="108" t="n">
        <v>46659</v>
      </c>
    </row>
    <row r="639">
      <c r="R639" s="108" t="n">
        <v>46660</v>
      </c>
    </row>
    <row r="640">
      <c r="R640" s="108" t="n">
        <v>46661</v>
      </c>
    </row>
    <row r="641">
      <c r="R641" s="108" t="n">
        <v>46662</v>
      </c>
    </row>
    <row r="642">
      <c r="R642" s="108" t="n">
        <v>46663</v>
      </c>
    </row>
    <row r="643">
      <c r="R643" s="108" t="n">
        <v>46664</v>
      </c>
    </row>
    <row r="644">
      <c r="R644" s="108" t="n">
        <v>46665</v>
      </c>
    </row>
    <row r="645">
      <c r="R645" s="108" t="n">
        <v>46666</v>
      </c>
    </row>
    <row r="646">
      <c r="R646" s="108" t="n">
        <v>46667</v>
      </c>
    </row>
    <row r="647">
      <c r="R647" s="108" t="n">
        <v>46668</v>
      </c>
    </row>
    <row r="648">
      <c r="R648" s="108" t="n">
        <v>46669</v>
      </c>
    </row>
    <row r="649">
      <c r="R649" s="108" t="n">
        <v>46670</v>
      </c>
    </row>
    <row r="650">
      <c r="R650" s="108" t="n">
        <v>46671</v>
      </c>
    </row>
    <row r="651">
      <c r="R651" s="108" t="n">
        <v>46672</v>
      </c>
    </row>
    <row r="652">
      <c r="R652" s="108" t="n">
        <v>46673</v>
      </c>
    </row>
    <row r="653">
      <c r="R653" s="108" t="n">
        <v>46674</v>
      </c>
    </row>
    <row r="654">
      <c r="R654" s="108" t="n">
        <v>46675</v>
      </c>
    </row>
    <row r="655">
      <c r="R655" s="108" t="n">
        <v>46676</v>
      </c>
    </row>
    <row r="656">
      <c r="R656" s="108" t="n">
        <v>46677</v>
      </c>
    </row>
    <row r="657">
      <c r="R657" s="108" t="n">
        <v>46678</v>
      </c>
    </row>
    <row r="658">
      <c r="R658" s="108" t="n">
        <v>46679</v>
      </c>
    </row>
    <row r="659">
      <c r="R659" s="108" t="n">
        <v>46680</v>
      </c>
    </row>
    <row r="660">
      <c r="R660" s="108" t="n">
        <v>46681</v>
      </c>
    </row>
    <row r="661">
      <c r="R661" s="108" t="n">
        <v>46682</v>
      </c>
    </row>
    <row r="662">
      <c r="R662" s="108" t="n">
        <v>46683</v>
      </c>
    </row>
    <row r="663">
      <c r="R663" s="108" t="n">
        <v>46684</v>
      </c>
    </row>
    <row r="664">
      <c r="R664" s="108" t="n">
        <v>46685</v>
      </c>
    </row>
    <row r="665">
      <c r="R665" s="108" t="n">
        <v>46686</v>
      </c>
    </row>
    <row r="666">
      <c r="R666" s="108" t="n">
        <v>46687</v>
      </c>
    </row>
    <row r="667">
      <c r="R667" s="108" t="n">
        <v>46688</v>
      </c>
    </row>
    <row r="668">
      <c r="R668" s="108" t="n">
        <v>46689</v>
      </c>
    </row>
    <row r="669">
      <c r="R669" s="108" t="n">
        <v>46690</v>
      </c>
    </row>
    <row r="670">
      <c r="R670" s="108" t="n">
        <v>46691</v>
      </c>
    </row>
    <row r="671">
      <c r="R671" s="108" t="n">
        <v>46692</v>
      </c>
    </row>
    <row r="672">
      <c r="R672" s="108" t="n">
        <v>46693</v>
      </c>
    </row>
    <row r="673">
      <c r="R673" s="108" t="n">
        <v>46694</v>
      </c>
    </row>
    <row r="674">
      <c r="R674" s="108" t="n">
        <v>46695</v>
      </c>
    </row>
    <row r="675">
      <c r="R675" s="108" t="n">
        <v>46696</v>
      </c>
    </row>
    <row r="676">
      <c r="R676" s="108" t="n">
        <v>46697</v>
      </c>
    </row>
    <row r="677">
      <c r="R677" s="108" t="n">
        <v>46698</v>
      </c>
    </row>
    <row r="678">
      <c r="R678" s="108" t="n">
        <v>46699</v>
      </c>
    </row>
    <row r="679">
      <c r="R679" s="108" t="n">
        <v>46700</v>
      </c>
    </row>
    <row r="680">
      <c r="R680" s="108" t="n">
        <v>46701</v>
      </c>
    </row>
    <row r="681">
      <c r="R681" s="108" t="n">
        <v>46702</v>
      </c>
    </row>
    <row r="682">
      <c r="R682" s="108" t="n">
        <v>46703</v>
      </c>
    </row>
    <row r="683">
      <c r="R683" s="108" t="n">
        <v>46704</v>
      </c>
    </row>
    <row r="684">
      <c r="R684" s="108" t="n">
        <v>46705</v>
      </c>
    </row>
    <row r="685">
      <c r="R685" s="108" t="n">
        <v>46706</v>
      </c>
    </row>
    <row r="686">
      <c r="R686" s="108" t="n">
        <v>46707</v>
      </c>
    </row>
    <row r="687">
      <c r="R687" s="108" t="n">
        <v>46708</v>
      </c>
    </row>
    <row r="688">
      <c r="R688" s="108" t="n">
        <v>46709</v>
      </c>
    </row>
    <row r="689">
      <c r="R689" s="108" t="n">
        <v>46710</v>
      </c>
    </row>
    <row r="690">
      <c r="R690" s="108" t="n">
        <v>46711</v>
      </c>
    </row>
    <row r="691">
      <c r="R691" s="108" t="n">
        <v>46712</v>
      </c>
    </row>
    <row r="692">
      <c r="R692" s="108" t="n">
        <v>46713</v>
      </c>
    </row>
    <row r="693">
      <c r="R693" s="108" t="n">
        <v>46714</v>
      </c>
    </row>
    <row r="694">
      <c r="R694" s="108" t="n">
        <v>46715</v>
      </c>
    </row>
    <row r="695">
      <c r="R695" s="108" t="n">
        <v>46716</v>
      </c>
    </row>
    <row r="696">
      <c r="R696" s="108" t="n">
        <v>46717</v>
      </c>
    </row>
    <row r="697">
      <c r="R697" s="108" t="n">
        <v>46718</v>
      </c>
    </row>
    <row r="698">
      <c r="R698" s="108" t="n">
        <v>46719</v>
      </c>
    </row>
    <row r="699">
      <c r="R699" s="108" t="n">
        <v>46720</v>
      </c>
    </row>
    <row r="700">
      <c r="R700" s="108" t="n">
        <v>46721</v>
      </c>
    </row>
    <row r="701">
      <c r="R701" s="108" t="n">
        <v>46722</v>
      </c>
    </row>
    <row r="702">
      <c r="R702" s="108" t="n">
        <v>46723</v>
      </c>
    </row>
    <row r="703">
      <c r="R703" s="108" t="n">
        <v>46724</v>
      </c>
    </row>
    <row r="704">
      <c r="R704" s="108" t="n">
        <v>46725</v>
      </c>
    </row>
    <row r="705">
      <c r="R705" s="108" t="n">
        <v>46726</v>
      </c>
    </row>
    <row r="706">
      <c r="R706" s="108" t="n">
        <v>46727</v>
      </c>
    </row>
    <row r="707">
      <c r="R707" s="108" t="n">
        <v>46728</v>
      </c>
    </row>
    <row r="708">
      <c r="R708" s="108" t="n">
        <v>46729</v>
      </c>
    </row>
    <row r="709">
      <c r="R709" s="108" t="n">
        <v>46730</v>
      </c>
    </row>
    <row r="710">
      <c r="R710" s="108" t="n">
        <v>46731</v>
      </c>
    </row>
    <row r="711">
      <c r="R711" s="108" t="n">
        <v>46732</v>
      </c>
    </row>
    <row r="712">
      <c r="R712" s="108" t="n">
        <v>46733</v>
      </c>
    </row>
    <row r="713">
      <c r="R713" s="108" t="n">
        <v>46734</v>
      </c>
    </row>
    <row r="714">
      <c r="R714" s="108" t="n">
        <v>46735</v>
      </c>
    </row>
    <row r="715">
      <c r="R715" s="108" t="n">
        <v>46736</v>
      </c>
    </row>
    <row r="716">
      <c r="R716" s="108" t="n">
        <v>46737</v>
      </c>
    </row>
    <row r="717">
      <c r="R717" s="108" t="n">
        <v>46738</v>
      </c>
    </row>
    <row r="718">
      <c r="R718" s="108" t="n">
        <v>46739</v>
      </c>
    </row>
    <row r="719">
      <c r="R719" s="108" t="n">
        <v>46740</v>
      </c>
    </row>
    <row r="720">
      <c r="R720" s="108" t="n">
        <v>46741</v>
      </c>
    </row>
    <row r="721">
      <c r="R721" s="108" t="n">
        <v>46742</v>
      </c>
    </row>
    <row r="722">
      <c r="R722" s="108" t="n">
        <v>46743</v>
      </c>
    </row>
    <row r="723">
      <c r="R723" s="108" t="n">
        <v>46744</v>
      </c>
    </row>
    <row r="724">
      <c r="R724" s="108" t="n">
        <v>46745</v>
      </c>
    </row>
    <row r="725">
      <c r="R725" s="108" t="n">
        <v>46746</v>
      </c>
    </row>
    <row r="726">
      <c r="R726" s="108" t="n">
        <v>46747</v>
      </c>
    </row>
    <row r="727">
      <c r="R727" s="108" t="n">
        <v>46748</v>
      </c>
    </row>
    <row r="728">
      <c r="R728" s="108" t="n">
        <v>46749</v>
      </c>
    </row>
    <row r="729">
      <c r="R729" s="108" t="n">
        <v>46750</v>
      </c>
    </row>
    <row r="730">
      <c r="R730" s="108" t="n">
        <v>46751</v>
      </c>
    </row>
    <row r="731">
      <c r="R731" s="108" t="n">
        <v>46752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QI Platform</dc:creator>
  <dc:title>QI Intelligence Platform v9</dc:title>
  <dc:description>Choose-only, fully integrated QI &amp; PM workbook. One case entry drives every sheet.</dc:description>
  <dc:subject>Lean / Six Sigma / FMEA / PM integrated platform</dc:subject>
  <dcterms:created xsi:type="dcterms:W3CDTF">2026-06-10T17:27:33Z</dcterms:created>
  <dcterms:modified xsi:type="dcterms:W3CDTF">2026-06-10T17:27:33Z</dcterms:modified>
  <cp:lastModifiedBy>QI Platform</cp:lastModifiedBy>
  <cp:category>Quality Improvement</cp:category>
  <cp:keywords>QI, Lean, Six Sigma, FMEA, PDCA, RACI, PM, risk, budget, dashboard</cp:keywords>
</cp:coreProperties>
</file>