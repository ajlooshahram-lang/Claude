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kea.sharepoint.com/sites/Team2.semester737/Shared Documents/General/Brædestrup Rideskole/"/>
    </mc:Choice>
  </mc:AlternateContent>
  <xr:revisionPtr revIDLastSave="0" documentId="8_{3DAE0974-AA6D-4118-8240-F5CDCED76896}" xr6:coauthVersionLast="47" xr6:coauthVersionMax="47" xr10:uidLastSave="{00000000-0000-0000-0000-000000000000}"/>
  <bookViews>
    <workbookView xWindow="-108" yWindow="-108" windowWidth="23256" windowHeight="12456" xr2:uid="{B732DBD7-62F3-489F-A4B7-D9FC7A220D0B}"/>
  </bookViews>
  <sheets>
    <sheet name="Dimensionering" sheetId="1" r:id="rId1"/>
    <sheet name="Spændingsfald (UdeLys)" sheetId="3" r:id="rId2"/>
    <sheet name="Spændingsfald(HTwater)" sheetId="4" r:id="rId3"/>
    <sheet name="Spændingsf. Ventilation" sheetId="10" r:id="rId4"/>
    <sheet name="Fællesinstallationer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" i="1" l="1"/>
  <c r="J5" i="3"/>
  <c r="J2" i="3"/>
  <c r="O8" i="1"/>
  <c r="O9" i="1"/>
  <c r="O7" i="1"/>
  <c r="O72" i="1"/>
  <c r="O62" i="1"/>
  <c r="O73" i="1"/>
  <c r="O71" i="1"/>
  <c r="O63" i="1"/>
  <c r="O64" i="1"/>
  <c r="O19" i="1"/>
  <c r="O20" i="1"/>
  <c r="O21" i="1"/>
  <c r="O18" i="1"/>
  <c r="O10" i="1"/>
  <c r="C31" i="7"/>
  <c r="C30" i="7"/>
  <c r="S15" i="10" l="1"/>
  <c r="S14" i="10"/>
  <c r="C14" i="10"/>
  <c r="S11" i="10"/>
  <c r="S10" i="10"/>
  <c r="F10" i="10"/>
  <c r="C10" i="10"/>
  <c r="S7" i="10"/>
  <c r="F6" i="10"/>
  <c r="C6" i="10"/>
  <c r="S3" i="10"/>
  <c r="F3" i="10"/>
  <c r="C3" i="10"/>
  <c r="J14" i="10" l="1"/>
  <c r="K14" i="10" s="1"/>
  <c r="J3" i="10"/>
  <c r="K3" i="10" s="1"/>
  <c r="J10" i="10"/>
  <c r="K10" i="10" s="1"/>
  <c r="J6" i="10"/>
  <c r="K6" i="10" s="1"/>
  <c r="D30" i="7"/>
  <c r="D31" i="7" s="1"/>
  <c r="E30" i="7"/>
  <c r="E31" i="7" s="1"/>
  <c r="F30" i="7"/>
  <c r="B32" i="7"/>
  <c r="K16" i="10" l="1"/>
  <c r="K17" i="10"/>
  <c r="S14" i="4"/>
  <c r="S13" i="4"/>
  <c r="F13" i="4"/>
  <c r="C13" i="4"/>
  <c r="S10" i="4"/>
  <c r="S9" i="4"/>
  <c r="F9" i="4"/>
  <c r="C9" i="4"/>
  <c r="S6" i="4"/>
  <c r="F5" i="4"/>
  <c r="C5" i="4"/>
  <c r="S2" i="4"/>
  <c r="F2" i="4"/>
  <c r="C2" i="4"/>
  <c r="S14" i="3"/>
  <c r="S13" i="3"/>
  <c r="S10" i="3"/>
  <c r="S9" i="3"/>
  <c r="S6" i="3"/>
  <c r="S2" i="3"/>
  <c r="J2" i="4" l="1"/>
  <c r="K2" i="4" s="1"/>
  <c r="J9" i="4"/>
  <c r="K9" i="4" s="1"/>
  <c r="J5" i="4"/>
  <c r="K5" i="4" s="1"/>
  <c r="J13" i="4"/>
  <c r="K13" i="4" s="1"/>
  <c r="F9" i="3"/>
  <c r="C9" i="3"/>
  <c r="C5" i="3"/>
  <c r="F2" i="3"/>
  <c r="C2" i="3"/>
  <c r="K16" i="4" l="1"/>
  <c r="K15" i="4"/>
  <c r="J9" i="3"/>
  <c r="K9" i="3" s="1"/>
  <c r="K5" i="3"/>
  <c r="J13" i="3"/>
  <c r="K13" i="3" s="1"/>
  <c r="K16" i="3" l="1"/>
  <c r="K15" i="3"/>
  <c r="K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tc={E4D4823A-BC20-4170-856B-C1F22836E383}</author>
    <author>tc={1007BB62-0449-44CD-B92B-1097C6AC82C8}</author>
  </authors>
  <commentList>
    <comment ref="B32" authorId="0" shapeId="0" xr:uid="{E4D4823A-BC20-4170-856B-C1F22836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Jf. 61439-3 samtidsfaktor</t>
      </text>
    </comment>
    <comment ref="B33" authorId="1" shapeId="0" xr:uid="{1007BB62-0449-44CD-B92B-1097C6AC82C8}">
      <text>
        <t>[Threaded comment]
Your version of Excel allows you to read this threaded comment; however, any edits to it will get removed if the file is opened in a newer version of Excel. Learn more: https://go.microsoft.com/fwlink/?linkid=870924
Comment:
    Bestem selv en samtidsfaktor som overruler standarden 61439-3.
Værdi = 0 betyder følg std.
Værdi &gt; 0 betyder overrule.</t>
      </text>
    </comment>
  </commentList>
</comments>
</file>

<file path=xl/sharedStrings.xml><?xml version="1.0" encoding="utf-8"?>
<sst xmlns="http://schemas.openxmlformats.org/spreadsheetml/2006/main" count="603" uniqueCount="195">
  <si>
    <t>Stikledning</t>
  </si>
  <si>
    <t>Oplægningsmetode</t>
  </si>
  <si>
    <t>IB</t>
  </si>
  <si>
    <t>IN</t>
  </si>
  <si>
    <t>Grader</t>
  </si>
  <si>
    <t>Antal kabler</t>
  </si>
  <si>
    <t>Anneks A</t>
  </si>
  <si>
    <t>Anneks B</t>
  </si>
  <si>
    <t>Tabel</t>
  </si>
  <si>
    <t>Termisk Modstand</t>
  </si>
  <si>
    <t>KT</t>
  </si>
  <si>
    <t>KS</t>
  </si>
  <si>
    <t>Iz nødvedig</t>
  </si>
  <si>
    <t>Strømværdi kabel CU</t>
  </si>
  <si>
    <t>Strømværdi kabel AL</t>
  </si>
  <si>
    <t>kabelstige (transformer)</t>
  </si>
  <si>
    <t>144 A</t>
  </si>
  <si>
    <t>E</t>
  </si>
  <si>
    <t>B.52.12</t>
  </si>
  <si>
    <t>50mm2   192A</t>
  </si>
  <si>
    <t>70mm2 187A</t>
  </si>
  <si>
    <t>direkte i jord</t>
  </si>
  <si>
    <t>D2</t>
  </si>
  <si>
    <t>B.52.5</t>
  </si>
  <si>
    <t>50mm2   153A</t>
  </si>
  <si>
    <t>Rør i fundament</t>
  </si>
  <si>
    <t>B2</t>
  </si>
  <si>
    <t>35mm2   128A</t>
  </si>
  <si>
    <t>Bygningshulrum (Tavle)</t>
  </si>
  <si>
    <t>B1</t>
  </si>
  <si>
    <t>50mm2   175A</t>
  </si>
  <si>
    <t>Gruppeledning Kværn</t>
  </si>
  <si>
    <t>Kabelfelt</t>
  </si>
  <si>
    <t>B.52.5 kol. 5</t>
  </si>
  <si>
    <t>10 mm2 60</t>
  </si>
  <si>
    <t>Kabelstige</t>
  </si>
  <si>
    <t>E/F</t>
  </si>
  <si>
    <t>6 mm2 54</t>
  </si>
  <si>
    <t>Gitterbakke</t>
  </si>
  <si>
    <t>Rør på væg</t>
  </si>
  <si>
    <t>4 mm2 35</t>
  </si>
  <si>
    <t>Gruppeledning Lys/udendørs</t>
  </si>
  <si>
    <t>7,9A</t>
  </si>
  <si>
    <t>1,5mm^2 26A</t>
  </si>
  <si>
    <t>kabelstige</t>
  </si>
  <si>
    <t>F</t>
  </si>
  <si>
    <t>5,77A</t>
  </si>
  <si>
    <t>kabelfelt</t>
  </si>
  <si>
    <t>10A</t>
  </si>
  <si>
    <t>1,5mm^2 20A</t>
  </si>
  <si>
    <t>B.52.3</t>
  </si>
  <si>
    <t>5,8A</t>
  </si>
  <si>
    <t>1,5mm^2 22A</t>
  </si>
  <si>
    <t>Gruppeledning Horse trainer</t>
  </si>
  <si>
    <t>16,03A</t>
  </si>
  <si>
    <t>2,5mm^2 36A</t>
  </si>
  <si>
    <t>15,4A</t>
  </si>
  <si>
    <t>1,5mm^2 23A</t>
  </si>
  <si>
    <t>26,6A</t>
  </si>
  <si>
    <t>2,5mm^2 28A</t>
  </si>
  <si>
    <t>Tilledning</t>
  </si>
  <si>
    <t>Fri luft</t>
  </si>
  <si>
    <t>Gruppeledning Ventilation</t>
  </si>
  <si>
    <t>16,7A</t>
  </si>
  <si>
    <t>9,6A</t>
  </si>
  <si>
    <t>Byggestrøm Drejebænk</t>
  </si>
  <si>
    <t>4 mm2 37 A</t>
  </si>
  <si>
    <t>2,5 mm2 32 A</t>
  </si>
  <si>
    <t>ophængt på kabelspyd</t>
  </si>
  <si>
    <t>Byggestrøm til tavle 1</t>
  </si>
  <si>
    <t>16 mm2 88 A</t>
  </si>
  <si>
    <t>10 mm2 75 A</t>
  </si>
  <si>
    <t>B.52.4</t>
  </si>
  <si>
    <t>150mm2</t>
  </si>
  <si>
    <t>Spænding</t>
  </si>
  <si>
    <t>b</t>
  </si>
  <si>
    <t xml:space="preserve">Længde </t>
  </si>
  <si>
    <t>kvadrat og ledertype</t>
  </si>
  <si>
    <t>Rtabel</t>
  </si>
  <si>
    <t>ρ-værdi</t>
  </si>
  <si>
    <t>cosȹ</t>
  </si>
  <si>
    <t>delta U</t>
  </si>
  <si>
    <t>delta U%</t>
  </si>
  <si>
    <t>Enhed</t>
  </si>
  <si>
    <t>pris pr meter listepris</t>
  </si>
  <si>
    <t>pris</t>
  </si>
  <si>
    <t>Rulleliste (vælg værdi)</t>
  </si>
  <si>
    <t>Indtast værdi</t>
  </si>
  <si>
    <t>Faste værdier</t>
  </si>
  <si>
    <t>pris 4x95AL</t>
  </si>
  <si>
    <t>OBS SE HER OVER!!!!!!!</t>
  </si>
  <si>
    <t>Hovedledning 1</t>
  </si>
  <si>
    <t>5g16</t>
  </si>
  <si>
    <t>HL 2</t>
  </si>
  <si>
    <t>5g10</t>
  </si>
  <si>
    <t>5g6</t>
  </si>
  <si>
    <t>Gruppekabel</t>
  </si>
  <si>
    <t>3g2,5</t>
  </si>
  <si>
    <t>3g1,5</t>
  </si>
  <si>
    <t>total</t>
  </si>
  <si>
    <t>total %</t>
  </si>
  <si>
    <t>tværsnit</t>
  </si>
  <si>
    <t>kobblerleder ohm/km</t>
  </si>
  <si>
    <t>Kolonne1</t>
  </si>
  <si>
    <t>Kolonne2</t>
  </si>
  <si>
    <t>værdi</t>
  </si>
  <si>
    <t>Alu</t>
  </si>
  <si>
    <t>al16</t>
  </si>
  <si>
    <t>al25</t>
  </si>
  <si>
    <t>al35</t>
  </si>
  <si>
    <t>al50</t>
  </si>
  <si>
    <t>al70</t>
  </si>
  <si>
    <t>al95</t>
  </si>
  <si>
    <t>al120</t>
  </si>
  <si>
    <t>al150</t>
  </si>
  <si>
    <t>al185</t>
  </si>
  <si>
    <t>al240</t>
  </si>
  <si>
    <t>al300</t>
  </si>
  <si>
    <t>tilledninger</t>
  </si>
  <si>
    <t>Til0,5</t>
  </si>
  <si>
    <t>Til0,75</t>
  </si>
  <si>
    <t>Til1</t>
  </si>
  <si>
    <t>Til1,5</t>
  </si>
  <si>
    <t>Til2,5</t>
  </si>
  <si>
    <t>Til4</t>
  </si>
  <si>
    <t>Til6</t>
  </si>
  <si>
    <t>Til10</t>
  </si>
  <si>
    <t>Til16</t>
  </si>
  <si>
    <t>Til25</t>
  </si>
  <si>
    <t>Til35</t>
  </si>
  <si>
    <t>Til50</t>
  </si>
  <si>
    <t>Til70</t>
  </si>
  <si>
    <t>Til95</t>
  </si>
  <si>
    <t>Til120</t>
  </si>
  <si>
    <t>Til150</t>
  </si>
  <si>
    <t>4x95AL</t>
  </si>
  <si>
    <t>Ib</t>
  </si>
  <si>
    <t>Belastningsoversigt</t>
  </si>
  <si>
    <t>Titel</t>
  </si>
  <si>
    <t>L1</t>
  </si>
  <si>
    <t>L2</t>
  </si>
  <si>
    <t>L3</t>
  </si>
  <si>
    <t>Tavlekomponent</t>
  </si>
  <si>
    <t>RCD'er</t>
  </si>
  <si>
    <t>Gr 1</t>
  </si>
  <si>
    <t>VM1</t>
  </si>
  <si>
    <t>d01 10A (1P+N)</t>
  </si>
  <si>
    <t>Gr 2</t>
  </si>
  <si>
    <t>VM2</t>
  </si>
  <si>
    <t>Gr 3</t>
  </si>
  <si>
    <t>TT1</t>
  </si>
  <si>
    <t>Gr 4</t>
  </si>
  <si>
    <t>TT2</t>
  </si>
  <si>
    <t>Gr 5</t>
  </si>
  <si>
    <t>ST.RULLE</t>
  </si>
  <si>
    <t>d01 10A (3P+N)</t>
  </si>
  <si>
    <t>Gr 6</t>
  </si>
  <si>
    <t>VENT1</t>
  </si>
  <si>
    <t>d01 13A (1P+N)</t>
  </si>
  <si>
    <t>Gr 7</t>
  </si>
  <si>
    <t>VENT2</t>
  </si>
  <si>
    <t>Gr 8</t>
  </si>
  <si>
    <t>KLD+LOFT LYS1</t>
  </si>
  <si>
    <t>Gr 9</t>
  </si>
  <si>
    <t>KLD+LOFT LYS2</t>
  </si>
  <si>
    <t>Gr 10</t>
  </si>
  <si>
    <t>KLD STIKK</t>
  </si>
  <si>
    <t>Gr 11</t>
  </si>
  <si>
    <t>UDE LYS</t>
  </si>
  <si>
    <t>Gr 12</t>
  </si>
  <si>
    <t>UDE STIKK</t>
  </si>
  <si>
    <t>RCD 1</t>
  </si>
  <si>
    <t>Gr 13</t>
  </si>
  <si>
    <t>LYS1 OPG 5+7</t>
  </si>
  <si>
    <t>d01 6A (1P+N)</t>
  </si>
  <si>
    <t>Gr 14</t>
  </si>
  <si>
    <t>LYS2 OPG 5+7</t>
  </si>
  <si>
    <t>Gr 15</t>
  </si>
  <si>
    <t>GASFYR</t>
  </si>
  <si>
    <t>Gr 16</t>
  </si>
  <si>
    <t>Gr 17</t>
  </si>
  <si>
    <t>Gr 18</t>
  </si>
  <si>
    <t>Gr 19</t>
  </si>
  <si>
    <t>Gr 20</t>
  </si>
  <si>
    <t>Gr 21</t>
  </si>
  <si>
    <t>Gr 22</t>
  </si>
  <si>
    <t>Gr 23</t>
  </si>
  <si>
    <t>Gr 24</t>
  </si>
  <si>
    <t>Gr 25</t>
  </si>
  <si>
    <t>Belastning</t>
  </si>
  <si>
    <t>Antal RCD: 1</t>
  </si>
  <si>
    <t>Korrigeret belastning</t>
  </si>
  <si>
    <t>IB [A]</t>
  </si>
  <si>
    <t>Samtidsfaktor (61439-3)</t>
  </si>
  <si>
    <t>Samtidsfaktor (bestemt)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</si>
</sst>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CE4D6"/>
        <bgColor rgb="FFFCE4D6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left" vertical="top"/>
    </xf>
    <xf numFmtId="0" fontId="3" fillId="3" borderId="1" xfId="1" applyFill="1" applyBorder="1" applyAlignment="1">
      <alignment horizontal="center" wrapText="1"/>
    </xf>
    <xf numFmtId="0" fontId="3" fillId="0" borderId="0" xfId="1"/>
    <xf numFmtId="0" fontId="3" fillId="0" borderId="2" xfId="1" applyBorder="1"/>
    <xf numFmtId="0" fontId="3" fillId="3" borderId="6" xfId="1" applyFill="1" applyBorder="1"/>
    <xf numFmtId="0" fontId="3" fillId="3" borderId="8" xfId="1" applyFill="1" applyBorder="1" applyAlignment="1">
      <alignment horizontal="center" vertical="center" wrapText="1"/>
    </xf>
    <xf numFmtId="0" fontId="3" fillId="3" borderId="7" xfId="1" applyFill="1" applyBorder="1"/>
    <xf numFmtId="0" fontId="3" fillId="0" borderId="9" xfId="1" applyBorder="1"/>
    <xf numFmtId="0" fontId="3" fillId="5" borderId="10" xfId="1" applyFill="1" applyBorder="1"/>
    <xf numFmtId="0" fontId="3" fillId="0" borderId="4" xfId="1" applyBorder="1"/>
    <xf numFmtId="0" fontId="3" fillId="9" borderId="0" xfId="1" applyFill="1"/>
    <xf numFmtId="0" fontId="3" fillId="9" borderId="0" xfId="1" applyFill="1" applyAlignment="1">
      <alignment horizontal="center" wrapText="1"/>
    </xf>
    <xf numFmtId="0" fontId="3" fillId="9" borderId="0" xfId="1" applyFill="1" applyAlignment="1">
      <alignment horizontal="center" vertical="center"/>
    </xf>
    <xf numFmtId="0" fontId="3" fillId="9" borderId="0" xfId="1" applyFill="1" applyAlignment="1">
      <alignment horizontal="center" vertical="center" wrapText="1"/>
    </xf>
    <xf numFmtId="0" fontId="3" fillId="9" borderId="11" xfId="1" applyFill="1" applyBorder="1" applyAlignment="1">
      <alignment horizontal="center" wrapText="1"/>
    </xf>
    <xf numFmtId="0" fontId="3" fillId="9" borderId="19" xfId="1" applyFill="1" applyBorder="1" applyAlignment="1">
      <alignment horizontal="center" wrapText="1"/>
    </xf>
    <xf numFmtId="0" fontId="3" fillId="9" borderId="20" xfId="1" applyFill="1" applyBorder="1" applyAlignment="1">
      <alignment horizontal="center" wrapText="1"/>
    </xf>
    <xf numFmtId="0" fontId="3" fillId="9" borderId="18" xfId="1" applyFill="1" applyBorder="1" applyAlignment="1">
      <alignment horizontal="center" vertical="center" wrapText="1"/>
    </xf>
    <xf numFmtId="0" fontId="3" fillId="9" borderId="18" xfId="1" applyFill="1" applyBorder="1"/>
    <xf numFmtId="0" fontId="3" fillId="4" borderId="24" xfId="1" applyFill="1" applyBorder="1" applyAlignment="1">
      <alignment horizontal="center" wrapText="1"/>
    </xf>
    <xf numFmtId="0" fontId="0" fillId="7" borderId="25" xfId="0" applyFill="1" applyBorder="1" applyAlignment="1">
      <alignment horizontal="center"/>
    </xf>
    <xf numFmtId="0" fontId="3" fillId="5" borderId="26" xfId="1" applyFill="1" applyBorder="1" applyAlignment="1">
      <alignment horizontal="center"/>
    </xf>
    <xf numFmtId="0" fontId="3" fillId="3" borderId="28" xfId="1" applyFill="1" applyBorder="1"/>
    <xf numFmtId="0" fontId="3" fillId="3" borderId="30" xfId="1" applyFill="1" applyBorder="1" applyAlignment="1">
      <alignment horizontal="center" vertical="center" wrapText="1"/>
    </xf>
    <xf numFmtId="0" fontId="3" fillId="3" borderId="29" xfId="1" applyFill="1" applyBorder="1"/>
    <xf numFmtId="0" fontId="3" fillId="3" borderId="31" xfId="1" applyFill="1" applyBorder="1" applyAlignment="1">
      <alignment horizontal="center" wrapText="1"/>
    </xf>
    <xf numFmtId="0" fontId="3" fillId="0" borderId="21" xfId="1" applyBorder="1"/>
    <xf numFmtId="0" fontId="3" fillId="0" borderId="22" xfId="1" applyBorder="1"/>
    <xf numFmtId="0" fontId="3" fillId="0" borderId="33" xfId="1" applyBorder="1"/>
    <xf numFmtId="0" fontId="3" fillId="3" borderId="36" xfId="1" applyFill="1" applyBorder="1" applyAlignment="1">
      <alignment horizontal="center" wrapText="1"/>
    </xf>
    <xf numFmtId="10" fontId="3" fillId="5" borderId="23" xfId="2" applyNumberFormat="1" applyFill="1" applyBorder="1"/>
    <xf numFmtId="0" fontId="3" fillId="3" borderId="38" xfId="1" applyFill="1" applyBorder="1" applyAlignment="1">
      <alignment horizontal="center" vertical="center" wrapText="1"/>
    </xf>
    <xf numFmtId="0" fontId="3" fillId="5" borderId="39" xfId="1" applyFill="1" applyBorder="1"/>
    <xf numFmtId="0" fontId="3" fillId="3" borderId="40" xfId="1" applyFill="1" applyBorder="1"/>
    <xf numFmtId="0" fontId="3" fillId="5" borderId="41" xfId="1" applyFill="1" applyBorder="1"/>
    <xf numFmtId="0" fontId="3" fillId="6" borderId="37" xfId="1" applyFill="1" applyBorder="1" applyAlignment="1">
      <alignment horizontal="center" vertical="center"/>
    </xf>
    <xf numFmtId="0" fontId="3" fillId="6" borderId="23" xfId="1" applyFill="1" applyBorder="1" applyAlignment="1">
      <alignment horizontal="center" vertical="center"/>
    </xf>
    <xf numFmtId="0" fontId="3" fillId="6" borderId="15" xfId="1" applyFill="1" applyBorder="1"/>
    <xf numFmtId="0" fontId="3" fillId="6" borderId="16" xfId="1" applyFill="1" applyBorder="1"/>
    <xf numFmtId="0" fontId="3" fillId="6" borderId="43" xfId="1" applyFill="1" applyBorder="1"/>
    <xf numFmtId="0" fontId="3" fillId="6" borderId="44" xfId="1" applyFill="1" applyBorder="1" applyAlignment="1">
      <alignment horizontal="center" wrapText="1"/>
    </xf>
    <xf numFmtId="0" fontId="3" fillId="6" borderId="14" xfId="1" applyFill="1" applyBorder="1"/>
    <xf numFmtId="0" fontId="3" fillId="6" borderId="31" xfId="1" applyFill="1" applyBorder="1" applyAlignment="1">
      <alignment horizontal="center" wrapText="1"/>
    </xf>
    <xf numFmtId="0" fontId="3" fillId="7" borderId="47" xfId="1" applyFill="1" applyBorder="1" applyAlignment="1">
      <alignment horizontal="center" vertical="center" wrapText="1"/>
    </xf>
    <xf numFmtId="0" fontId="3" fillId="0" borderId="48" xfId="1" applyBorder="1"/>
    <xf numFmtId="0" fontId="3" fillId="3" borderId="49" xfId="1" applyFill="1" applyBorder="1" applyAlignment="1">
      <alignment horizontal="center" wrapText="1"/>
    </xf>
    <xf numFmtId="0" fontId="3" fillId="3" borderId="51" xfId="1" applyFill="1" applyBorder="1" applyAlignment="1">
      <alignment horizontal="center" wrapText="1"/>
    </xf>
    <xf numFmtId="0" fontId="3" fillId="3" borderId="53" xfId="1" applyFill="1" applyBorder="1"/>
    <xf numFmtId="0" fontId="3" fillId="0" borderId="54" xfId="1" applyBorder="1"/>
    <xf numFmtId="0" fontId="3" fillId="3" borderId="55" xfId="1" applyFill="1" applyBorder="1" applyAlignment="1">
      <alignment horizontal="center" vertical="center" wrapText="1"/>
    </xf>
    <xf numFmtId="0" fontId="3" fillId="5" borderId="56" xfId="1" applyFill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3" borderId="57" xfId="1" applyFill="1" applyBorder="1" applyAlignment="1">
      <alignment horizontal="center" vertical="center"/>
    </xf>
    <xf numFmtId="0" fontId="3" fillId="3" borderId="59" xfId="1" applyFill="1" applyBorder="1" applyAlignment="1">
      <alignment horizontal="center" vertical="center"/>
    </xf>
    <xf numFmtId="0" fontId="3" fillId="4" borderId="47" xfId="1" applyFill="1" applyBorder="1" applyAlignment="1">
      <alignment horizontal="center" vertical="center"/>
    </xf>
    <xf numFmtId="0" fontId="3" fillId="4" borderId="48" xfId="1" applyFill="1" applyBorder="1"/>
    <xf numFmtId="0" fontId="3" fillId="4" borderId="49" xfId="1" applyFill="1" applyBorder="1"/>
    <xf numFmtId="0" fontId="3" fillId="4" borderId="51" xfId="1" applyFill="1" applyBorder="1"/>
    <xf numFmtId="0" fontId="3" fillId="3" borderId="40" xfId="1" applyFill="1" applyBorder="1" applyAlignment="1">
      <alignment horizontal="center"/>
    </xf>
    <xf numFmtId="0" fontId="3" fillId="3" borderId="7" xfId="1" applyFill="1" applyBorder="1" applyAlignment="1">
      <alignment horizontal="center"/>
    </xf>
    <xf numFmtId="0" fontId="3" fillId="5" borderId="12" xfId="1" applyFill="1" applyBorder="1"/>
    <xf numFmtId="0" fontId="3" fillId="0" borderId="3" xfId="1" applyBorder="1"/>
    <xf numFmtId="0" fontId="3" fillId="3" borderId="29" xfId="1" applyFill="1" applyBorder="1" applyAlignment="1">
      <alignment horizontal="center"/>
    </xf>
    <xf numFmtId="0" fontId="3" fillId="0" borderId="42" xfId="1" applyBorder="1"/>
    <xf numFmtId="0" fontId="3" fillId="4" borderId="47" xfId="1" applyFill="1" applyBorder="1" applyAlignment="1">
      <alignment horizontal="center" vertical="center" wrapText="1"/>
    </xf>
    <xf numFmtId="0" fontId="3" fillId="4" borderId="49" xfId="1" applyFill="1" applyBorder="1" applyAlignment="1">
      <alignment horizontal="center" wrapText="1"/>
    </xf>
    <xf numFmtId="0" fontId="3" fillId="4" borderId="51" xfId="1" applyFill="1" applyBorder="1" applyAlignment="1">
      <alignment horizontal="center" wrapText="1"/>
    </xf>
    <xf numFmtId="0" fontId="5" fillId="4" borderId="46" xfId="1" applyFont="1" applyFill="1" applyBorder="1" applyAlignment="1">
      <alignment horizontal="center" wrapText="1"/>
    </xf>
    <xf numFmtId="0" fontId="5" fillId="4" borderId="46" xfId="1" applyFont="1" applyFill="1" applyBorder="1" applyAlignment="1">
      <alignment horizontal="center" vertical="center" wrapText="1"/>
    </xf>
    <xf numFmtId="0" fontId="5" fillId="3" borderId="46" xfId="1" applyFont="1" applyFill="1" applyBorder="1" applyAlignment="1">
      <alignment horizontal="center" wrapText="1"/>
    </xf>
    <xf numFmtId="0" fontId="5" fillId="3" borderId="35" xfId="1" applyFont="1" applyFill="1" applyBorder="1"/>
    <xf numFmtId="0" fontId="5" fillId="3" borderId="36" xfId="1" applyFont="1" applyFill="1" applyBorder="1" applyAlignment="1">
      <alignment horizontal="center" wrapText="1"/>
    </xf>
    <xf numFmtId="0" fontId="3" fillId="10" borderId="41" xfId="1" applyFill="1" applyBorder="1"/>
    <xf numFmtId="0" fontId="0" fillId="0" borderId="35" xfId="0" applyBorder="1"/>
    <xf numFmtId="0" fontId="0" fillId="0" borderId="37" xfId="0" applyBorder="1"/>
    <xf numFmtId="164" fontId="0" fillId="8" borderId="36" xfId="0" applyNumberFormat="1" applyFill="1" applyBorder="1"/>
    <xf numFmtId="165" fontId="0" fillId="11" borderId="23" xfId="2" applyNumberFormat="1" applyFont="1" applyFill="1" applyBorder="1"/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0" fillId="0" borderId="65" xfId="0" applyBorder="1"/>
    <xf numFmtId="0" fontId="0" fillId="12" borderId="0" xfId="0" applyFill="1"/>
    <xf numFmtId="0" fontId="0" fillId="13" borderId="0" xfId="0" applyFill="1"/>
    <xf numFmtId="0" fontId="0" fillId="8" borderId="65" xfId="0" applyFill="1" applyBorder="1"/>
    <xf numFmtId="0" fontId="0" fillId="8" borderId="0" xfId="0" applyFill="1"/>
    <xf numFmtId="0" fontId="0" fillId="2" borderId="68" xfId="0" applyFill="1" applyBorder="1"/>
    <xf numFmtId="0" fontId="0" fillId="15" borderId="70" xfId="0" applyFill="1" applyBorder="1"/>
    <xf numFmtId="0" fontId="0" fillId="14" borderId="71" xfId="0" applyFill="1" applyBorder="1" applyAlignment="1">
      <alignment horizontal="left"/>
    </xf>
    <xf numFmtId="0" fontId="0" fillId="14" borderId="70" xfId="0" applyFill="1" applyBorder="1"/>
    <xf numFmtId="0" fontId="0" fillId="0" borderId="72" xfId="0" applyBorder="1"/>
    <xf numFmtId="0" fontId="0" fillId="2" borderId="68" xfId="0" applyFill="1" applyBorder="1" applyAlignment="1">
      <alignment horizontal="center"/>
    </xf>
    <xf numFmtId="0" fontId="0" fillId="2" borderId="67" xfId="0" applyFill="1" applyBorder="1"/>
    <xf numFmtId="0" fontId="0" fillId="0" borderId="73" xfId="0" applyBorder="1"/>
    <xf numFmtId="0" fontId="0" fillId="8" borderId="0" xfId="0" applyFill="1" applyAlignment="1">
      <alignment horizontal="center"/>
    </xf>
    <xf numFmtId="0" fontId="0" fillId="13" borderId="65" xfId="0" applyFill="1" applyBorder="1"/>
    <xf numFmtId="0" fontId="0" fillId="16" borderId="65" xfId="0" applyFill="1" applyBorder="1"/>
    <xf numFmtId="0" fontId="0" fillId="16" borderId="0" xfId="0" applyFill="1"/>
    <xf numFmtId="0" fontId="0" fillId="16" borderId="0" xfId="0" applyFill="1" applyAlignment="1">
      <alignment horizontal="center"/>
    </xf>
    <xf numFmtId="0" fontId="0" fillId="17" borderId="65" xfId="0" applyFill="1" applyBorder="1"/>
    <xf numFmtId="0" fontId="0" fillId="17" borderId="0" xfId="0" applyFill="1"/>
    <xf numFmtId="0" fontId="0" fillId="17" borderId="0" xfId="0" applyFill="1" applyAlignment="1">
      <alignment horizontal="center"/>
    </xf>
    <xf numFmtId="17" fontId="0" fillId="17" borderId="0" xfId="0" applyNumberFormat="1" applyFill="1"/>
    <xf numFmtId="0" fontId="0" fillId="16" borderId="71" xfId="0" applyFill="1" applyBorder="1" applyAlignment="1">
      <alignment horizontal="left"/>
    </xf>
    <xf numFmtId="0" fontId="0" fillId="16" borderId="0" xfId="0" applyFill="1" applyAlignment="1">
      <alignment horizontal="left"/>
    </xf>
    <xf numFmtId="0" fontId="0" fillId="10" borderId="35" xfId="0" applyFill="1" applyBorder="1"/>
    <xf numFmtId="0" fontId="0" fillId="10" borderId="37" xfId="0" applyFill="1" applyBorder="1"/>
    <xf numFmtId="0" fontId="3" fillId="0" borderId="66" xfId="1" applyBorder="1"/>
    <xf numFmtId="0" fontId="0" fillId="10" borderId="0" xfId="0" applyFill="1"/>
    <xf numFmtId="0" fontId="3" fillId="10" borderId="66" xfId="1" applyFill="1" applyBorder="1"/>
    <xf numFmtId="0" fontId="3" fillId="0" borderId="62" xfId="1" applyBorder="1"/>
    <xf numFmtId="0" fontId="0" fillId="0" borderId="63" xfId="0" applyBorder="1" applyAlignment="1">
      <alignment wrapText="1"/>
    </xf>
    <xf numFmtId="0" fontId="3" fillId="0" borderId="64" xfId="1" applyBorder="1"/>
    <xf numFmtId="0" fontId="0" fillId="0" borderId="65" xfId="0" applyBorder="1" applyAlignment="1">
      <alignment wrapText="1"/>
    </xf>
    <xf numFmtId="0" fontId="0" fillId="0" borderId="67" xfId="0" applyBorder="1" applyAlignment="1">
      <alignment wrapText="1"/>
    </xf>
    <xf numFmtId="0" fontId="0" fillId="10" borderId="68" xfId="0" applyFill="1" applyBorder="1"/>
    <xf numFmtId="0" fontId="3" fillId="10" borderId="69" xfId="1" applyFill="1" applyBorder="1"/>
    <xf numFmtId="0" fontId="3" fillId="0" borderId="67" xfId="1" applyBorder="1" applyAlignment="1">
      <alignment wrapText="1"/>
    </xf>
    <xf numFmtId="0" fontId="3" fillId="10" borderId="68" xfId="1" applyFill="1" applyBorder="1"/>
    <xf numFmtId="0" fontId="0" fillId="10" borderId="69" xfId="0" applyFill="1" applyBorder="1"/>
    <xf numFmtId="2" fontId="3" fillId="6" borderId="23" xfId="1" applyNumberFormat="1" applyFill="1" applyBorder="1" applyAlignment="1">
      <alignment horizontal="center" vertical="center"/>
    </xf>
    <xf numFmtId="0" fontId="0" fillId="16" borderId="73" xfId="0" applyFill="1" applyBorder="1" applyAlignment="1">
      <alignment horizontal="center"/>
    </xf>
    <xf numFmtId="0" fontId="0" fillId="16" borderId="73" xfId="0" applyFill="1" applyBorder="1"/>
    <xf numFmtId="0" fontId="0" fillId="17" borderId="73" xfId="0" applyFill="1" applyBorder="1" applyAlignment="1">
      <alignment horizontal="center"/>
    </xf>
    <xf numFmtId="0" fontId="0" fillId="17" borderId="73" xfId="0" applyFill="1" applyBorder="1"/>
    <xf numFmtId="0" fontId="0" fillId="18" borderId="74" xfId="0" applyFill="1" applyBorder="1"/>
    <xf numFmtId="0" fontId="0" fillId="13" borderId="74" xfId="0" applyFill="1" applyBorder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2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/>
    </xf>
    <xf numFmtId="2" fontId="0" fillId="19" borderId="0" xfId="0" applyNumberFormat="1" applyFill="1" applyAlignment="1">
      <alignment horizontal="left"/>
    </xf>
    <xf numFmtId="0" fontId="4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3" xfId="1" applyFill="1" applyBorder="1" applyAlignment="1">
      <alignment horizontal="center"/>
    </xf>
    <xf numFmtId="10" fontId="3" fillId="5" borderId="5" xfId="2" applyNumberFormat="1" applyFill="1" applyBorder="1" applyAlignment="1">
      <alignment horizontal="center"/>
    </xf>
    <xf numFmtId="0" fontId="3" fillId="4" borderId="50" xfId="1" applyFill="1" applyBorder="1" applyAlignment="1">
      <alignment horizontal="center"/>
    </xf>
    <xf numFmtId="0" fontId="3" fillId="5" borderId="58" xfId="1" applyFill="1" applyBorder="1" applyAlignment="1">
      <alignment horizontal="center" vertical="center"/>
    </xf>
    <xf numFmtId="0" fontId="3" fillId="7" borderId="50" xfId="1" applyFill="1" applyBorder="1" applyAlignment="1">
      <alignment horizontal="center"/>
    </xf>
    <xf numFmtId="0" fontId="3" fillId="4" borderId="50" xfId="1" applyFill="1" applyBorder="1" applyAlignment="1">
      <alignment horizontal="center" vertical="center" wrapText="1"/>
    </xf>
    <xf numFmtId="0" fontId="3" fillId="6" borderId="45" xfId="1" applyFill="1" applyBorder="1" applyAlignment="1">
      <alignment horizontal="center"/>
    </xf>
    <xf numFmtId="0" fontId="3" fillId="6" borderId="32" xfId="1" applyFill="1" applyBorder="1" applyAlignment="1">
      <alignment horizontal="center"/>
    </xf>
    <xf numFmtId="0" fontId="3" fillId="4" borderId="50" xfId="1" applyFill="1" applyBorder="1" applyAlignment="1">
      <alignment horizontal="center" vertical="center"/>
    </xf>
    <xf numFmtId="2" fontId="3" fillId="6" borderId="32" xfId="1" applyNumberFormat="1" applyFill="1" applyBorder="1" applyAlignment="1">
      <alignment horizontal="center"/>
    </xf>
    <xf numFmtId="0" fontId="3" fillId="5" borderId="13" xfId="1" applyFill="1" applyBorder="1" applyAlignment="1">
      <alignment horizontal="center"/>
    </xf>
    <xf numFmtId="10" fontId="3" fillId="5" borderId="32" xfId="2" applyNumberFormat="1" applyFill="1" applyBorder="1" applyAlignment="1">
      <alignment horizontal="center"/>
    </xf>
    <xf numFmtId="10" fontId="3" fillId="5" borderId="61" xfId="2" applyNumberFormat="1" applyFill="1" applyBorder="1" applyAlignment="1">
      <alignment horizontal="center"/>
    </xf>
    <xf numFmtId="0" fontId="3" fillId="4" borderId="52" xfId="1" applyFill="1" applyBorder="1" applyAlignment="1">
      <alignment horizontal="center"/>
    </xf>
    <xf numFmtId="0" fontId="3" fillId="5" borderId="60" xfId="1" applyFill="1" applyBorder="1" applyAlignment="1">
      <alignment horizontal="center" vertical="center"/>
    </xf>
    <xf numFmtId="0" fontId="3" fillId="7" borderId="52" xfId="1" applyFill="1" applyBorder="1" applyAlignment="1">
      <alignment horizontal="center"/>
    </xf>
    <xf numFmtId="0" fontId="3" fillId="4" borderId="52" xfId="1" applyFill="1" applyBorder="1" applyAlignment="1">
      <alignment horizontal="center" vertical="center" wrapText="1"/>
    </xf>
    <xf numFmtId="0" fontId="3" fillId="6" borderId="17" xfId="1" applyFill="1" applyBorder="1" applyAlignment="1">
      <alignment horizontal="center"/>
    </xf>
    <xf numFmtId="0" fontId="3" fillId="6" borderId="34" xfId="1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Normal" xfId="0" builtinId="0"/>
    <cellStyle name="Normal 2" xfId="1" xr:uid="{0E221410-47AA-4E4D-BECA-8307E772A41D}"/>
    <cellStyle name="Procent 2" xfId="2" xr:uid="{563D0400-9F82-48BA-A91D-1E57F9151389}"/>
  </cellStyles>
  <dxfs count="30"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000000"/>
          <bgColor rgb="FFA6A6A6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000000"/>
          <bgColor rgb="FFA6A6A6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000000"/>
          <bgColor rgb="FFA6A6A6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000000"/>
          <bgColor rgb="FFA6A6A6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4</xdr:row>
      <xdr:rowOff>176892</xdr:rowOff>
    </xdr:from>
    <xdr:to>
      <xdr:col>26</xdr:col>
      <xdr:colOff>585107</xdr:colOff>
      <xdr:row>16</xdr:row>
      <xdr:rowOff>68035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D738C2E1-89AE-0FE8-9B42-30A3B37434CC}"/>
            </a:ext>
          </a:extLst>
        </xdr:cNvPr>
        <xdr:cNvSpPr txBox="1"/>
      </xdr:nvSpPr>
      <xdr:spPr>
        <a:xfrm>
          <a:off x="18356036" y="993321"/>
          <a:ext cx="4871357" cy="198664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600"/>
            <a:t>Strømværdier i kabler er mindste nødvendige tværsnit,</a:t>
          </a:r>
          <a:r>
            <a:rPr lang="da-DK" sz="1600" baseline="0"/>
            <a:t> vær opmærksom på at spændingsfaldsberegning ikke nødvendigvis er overholdt.</a:t>
          </a:r>
        </a:p>
        <a:p>
          <a:r>
            <a:rPr lang="da-DK" sz="1600" i="1" baseline="0"/>
            <a:t>DS/EN-60364-5-52 525</a:t>
          </a:r>
          <a:endParaRPr lang="da-DK" sz="16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14292</xdr:colOff>
      <xdr:row>1</xdr:row>
      <xdr:rowOff>114300</xdr:rowOff>
    </xdr:from>
    <xdr:ext cx="1604964" cy="182678"/>
    <xdr:pic>
      <xdr:nvPicPr>
        <xdr:cNvPr id="2" name="Billede 1">
          <a:extLst>
            <a:ext uri="{FF2B5EF4-FFF2-40B4-BE49-F238E27FC236}">
              <a16:creationId xmlns:a16="http://schemas.microsoft.com/office/drawing/2014/main" id="{BBE4C4A4-502B-469D-BE77-1E2E30B1B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323850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19046</xdr:colOff>
      <xdr:row>21</xdr:row>
      <xdr:rowOff>157167</xdr:rowOff>
    </xdr:from>
    <xdr:ext cx="2971800" cy="2234308"/>
    <xdr:pic>
      <xdr:nvPicPr>
        <xdr:cNvPr id="3" name="Billede 2">
          <a:extLst>
            <a:ext uri="{FF2B5EF4-FFF2-40B4-BE49-F238E27FC236}">
              <a16:creationId xmlns:a16="http://schemas.microsoft.com/office/drawing/2014/main" id="{1A5E3460-1489-403D-80F2-356B869D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46" y="5224467"/>
          <a:ext cx="2971800" cy="223430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23810</xdr:colOff>
      <xdr:row>34</xdr:row>
      <xdr:rowOff>170800</xdr:rowOff>
    </xdr:from>
    <xdr:ext cx="3006437" cy="1800874"/>
    <xdr:pic>
      <xdr:nvPicPr>
        <xdr:cNvPr id="4" name="Billede 3">
          <a:extLst>
            <a:ext uri="{FF2B5EF4-FFF2-40B4-BE49-F238E27FC236}">
              <a16:creationId xmlns:a16="http://schemas.microsoft.com/office/drawing/2014/main" id="{8496A93D-2025-485D-A6AB-7980503B4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4610" y="7714600"/>
          <a:ext cx="3006437" cy="180087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4</xdr:row>
      <xdr:rowOff>114300</xdr:rowOff>
    </xdr:from>
    <xdr:ext cx="1604964" cy="182678"/>
    <xdr:pic>
      <xdr:nvPicPr>
        <xdr:cNvPr id="5" name="Billede 4">
          <a:extLst>
            <a:ext uri="{FF2B5EF4-FFF2-40B4-BE49-F238E27FC236}">
              <a16:creationId xmlns:a16="http://schemas.microsoft.com/office/drawing/2014/main" id="{2B6CFA18-BB6B-4F5A-809D-829A69BC5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1276350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8</xdr:row>
      <xdr:rowOff>114300</xdr:rowOff>
    </xdr:from>
    <xdr:ext cx="1604964" cy="182678"/>
    <xdr:pic>
      <xdr:nvPicPr>
        <xdr:cNvPr id="6" name="Billede 5">
          <a:extLst>
            <a:ext uri="{FF2B5EF4-FFF2-40B4-BE49-F238E27FC236}">
              <a16:creationId xmlns:a16="http://schemas.microsoft.com/office/drawing/2014/main" id="{4FB36577-E854-4D19-A79D-4772E90A7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2257425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12</xdr:row>
      <xdr:rowOff>114300</xdr:rowOff>
    </xdr:from>
    <xdr:ext cx="1604964" cy="182678"/>
    <xdr:pic>
      <xdr:nvPicPr>
        <xdr:cNvPr id="7" name="Billede 5">
          <a:extLst>
            <a:ext uri="{FF2B5EF4-FFF2-40B4-BE49-F238E27FC236}">
              <a16:creationId xmlns:a16="http://schemas.microsoft.com/office/drawing/2014/main" id="{E31EA418-ED32-49E0-A434-E2813E161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3238500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14292</xdr:colOff>
      <xdr:row>1</xdr:row>
      <xdr:rowOff>114300</xdr:rowOff>
    </xdr:from>
    <xdr:ext cx="1604964" cy="182678"/>
    <xdr:pic>
      <xdr:nvPicPr>
        <xdr:cNvPr id="2" name="Billede 1">
          <a:extLst>
            <a:ext uri="{FF2B5EF4-FFF2-40B4-BE49-F238E27FC236}">
              <a16:creationId xmlns:a16="http://schemas.microsoft.com/office/drawing/2014/main" id="{E775C836-0019-4C04-ABAD-6B10732A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561975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19046</xdr:colOff>
      <xdr:row>21</xdr:row>
      <xdr:rowOff>157167</xdr:rowOff>
    </xdr:from>
    <xdr:ext cx="2971800" cy="2234308"/>
    <xdr:pic>
      <xdr:nvPicPr>
        <xdr:cNvPr id="3" name="Billede 2">
          <a:extLst>
            <a:ext uri="{FF2B5EF4-FFF2-40B4-BE49-F238E27FC236}">
              <a16:creationId xmlns:a16="http://schemas.microsoft.com/office/drawing/2014/main" id="{800A11BD-F40B-43A3-AC18-3A4530556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46" y="7958142"/>
          <a:ext cx="2971800" cy="223430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23810</xdr:colOff>
      <xdr:row>34</xdr:row>
      <xdr:rowOff>170800</xdr:rowOff>
    </xdr:from>
    <xdr:ext cx="3006437" cy="1800874"/>
    <xdr:pic>
      <xdr:nvPicPr>
        <xdr:cNvPr id="4" name="Billede 3">
          <a:extLst>
            <a:ext uri="{FF2B5EF4-FFF2-40B4-BE49-F238E27FC236}">
              <a16:creationId xmlns:a16="http://schemas.microsoft.com/office/drawing/2014/main" id="{D0B608A9-1326-4E3B-9EDD-71764D25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4610" y="10448275"/>
          <a:ext cx="3006437" cy="180087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4</xdr:row>
      <xdr:rowOff>114300</xdr:rowOff>
    </xdr:from>
    <xdr:ext cx="1604964" cy="182678"/>
    <xdr:pic>
      <xdr:nvPicPr>
        <xdr:cNvPr id="5" name="Billede 4">
          <a:extLst>
            <a:ext uri="{FF2B5EF4-FFF2-40B4-BE49-F238E27FC236}">
              <a16:creationId xmlns:a16="http://schemas.microsoft.com/office/drawing/2014/main" id="{00B1E6FB-5F6F-4FB9-876E-812350C3F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1514475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8</xdr:row>
      <xdr:rowOff>114300</xdr:rowOff>
    </xdr:from>
    <xdr:ext cx="1604964" cy="182678"/>
    <xdr:pic>
      <xdr:nvPicPr>
        <xdr:cNvPr id="6" name="Billede 5">
          <a:extLst>
            <a:ext uri="{FF2B5EF4-FFF2-40B4-BE49-F238E27FC236}">
              <a16:creationId xmlns:a16="http://schemas.microsoft.com/office/drawing/2014/main" id="{0EE113B4-82B9-4E3A-AD40-7B6BF7811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2495550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12</xdr:row>
      <xdr:rowOff>114300</xdr:rowOff>
    </xdr:from>
    <xdr:ext cx="1604964" cy="182678"/>
    <xdr:pic>
      <xdr:nvPicPr>
        <xdr:cNvPr id="7" name="Billede 5">
          <a:extLst>
            <a:ext uri="{FF2B5EF4-FFF2-40B4-BE49-F238E27FC236}">
              <a16:creationId xmlns:a16="http://schemas.microsoft.com/office/drawing/2014/main" id="{BA03CE57-46B1-4A88-86E5-FEE863EA0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3476625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14292</xdr:colOff>
      <xdr:row>2</xdr:row>
      <xdr:rowOff>114300</xdr:rowOff>
    </xdr:from>
    <xdr:ext cx="1604964" cy="182678"/>
    <xdr:pic>
      <xdr:nvPicPr>
        <xdr:cNvPr id="2" name="Billede 1">
          <a:extLst>
            <a:ext uri="{FF2B5EF4-FFF2-40B4-BE49-F238E27FC236}">
              <a16:creationId xmlns:a16="http://schemas.microsoft.com/office/drawing/2014/main" id="{CBF4DC80-A670-4162-B2FE-6CBE9DCED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562874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19046</xdr:colOff>
      <xdr:row>22</xdr:row>
      <xdr:rowOff>157167</xdr:rowOff>
    </xdr:from>
    <xdr:ext cx="2971800" cy="2234308"/>
    <xdr:pic>
      <xdr:nvPicPr>
        <xdr:cNvPr id="3" name="Billede 2">
          <a:extLst>
            <a:ext uri="{FF2B5EF4-FFF2-40B4-BE49-F238E27FC236}">
              <a16:creationId xmlns:a16="http://schemas.microsoft.com/office/drawing/2014/main" id="{E1BC2AD7-C9F9-4AB4-9C64-1BA07F514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1861" y="7748412"/>
          <a:ext cx="2971800" cy="223430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23810</xdr:colOff>
      <xdr:row>35</xdr:row>
      <xdr:rowOff>170800</xdr:rowOff>
    </xdr:from>
    <xdr:ext cx="3006437" cy="1800874"/>
    <xdr:pic>
      <xdr:nvPicPr>
        <xdr:cNvPr id="4" name="Billede 3">
          <a:extLst>
            <a:ext uri="{FF2B5EF4-FFF2-40B4-BE49-F238E27FC236}">
              <a16:creationId xmlns:a16="http://schemas.microsoft.com/office/drawing/2014/main" id="{99D86D5D-8819-4490-916E-8779D584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6625" y="10117057"/>
          <a:ext cx="3006437" cy="180087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5</xdr:row>
      <xdr:rowOff>114300</xdr:rowOff>
    </xdr:from>
    <xdr:ext cx="1604964" cy="182678"/>
    <xdr:pic>
      <xdr:nvPicPr>
        <xdr:cNvPr id="5" name="Billede 4">
          <a:extLst>
            <a:ext uri="{FF2B5EF4-FFF2-40B4-BE49-F238E27FC236}">
              <a16:creationId xmlns:a16="http://schemas.microsoft.com/office/drawing/2014/main" id="{29F2B8E1-360A-4448-8D02-A8612426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1494526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9</xdr:row>
      <xdr:rowOff>114300</xdr:rowOff>
    </xdr:from>
    <xdr:ext cx="1604964" cy="182678"/>
    <xdr:pic>
      <xdr:nvPicPr>
        <xdr:cNvPr id="6" name="Billede 5">
          <a:extLst>
            <a:ext uri="{FF2B5EF4-FFF2-40B4-BE49-F238E27FC236}">
              <a16:creationId xmlns:a16="http://schemas.microsoft.com/office/drawing/2014/main" id="{B5701D32-2A1D-44AA-B9CB-8C63FC6D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2426179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14292</xdr:colOff>
      <xdr:row>13</xdr:row>
      <xdr:rowOff>114300</xdr:rowOff>
    </xdr:from>
    <xdr:ext cx="1604964" cy="182678"/>
    <xdr:pic>
      <xdr:nvPicPr>
        <xdr:cNvPr id="7" name="Billede 5">
          <a:extLst>
            <a:ext uri="{FF2B5EF4-FFF2-40B4-BE49-F238E27FC236}">
              <a16:creationId xmlns:a16="http://schemas.microsoft.com/office/drawing/2014/main" id="{53699EE6-C976-49A9-9DDD-B49D685F0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2" y="3357832"/>
          <a:ext cx="1604964" cy="18267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32AEA-44B7-41CE-A9B4-A5593D18F338}" name="Tabel1" displayName="Tabel1" ref="A18:B66" totalsRowShown="0" headerRowDxfId="29" dataDxfId="28" tableBorderDxfId="27">
  <tableColumns count="2">
    <tableColumn id="1" xr3:uid="{213A396F-7FB7-499F-8F59-3873DF8C9026}" name="tværsnit" dataDxfId="26"/>
    <tableColumn id="2" xr3:uid="{E5882D15-B670-42FC-89AF-5C23771953C2}" name="kobblerleder ohm/km" dataDxfId="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BC27C-06DA-4F3C-A89E-1B00E2A07037}" name="Tabel2" displayName="Tabel2" ref="C18:D21" totalsRowShown="0" headerRowDxfId="24" dataDxfId="23" tableBorderDxfId="22">
  <autoFilter ref="C18:D21" xr:uid="{00000000-0009-0000-0100-000002000000}"/>
  <tableColumns count="2">
    <tableColumn id="1" xr3:uid="{F39BEAB0-B9B6-41C5-A9CE-3DACBFE14D7F}" name="Kolonne1" dataDxfId="21"/>
    <tableColumn id="2" xr3:uid="{A7FE9E45-6184-4F70-88C6-1828D29D9D20}" name="Kolonne2" dataDxfId="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29579C-8072-4A63-94B7-C8971694F12F}" name="Tabel14" displayName="Tabel14" ref="A18:B66" totalsRowShown="0" headerRowDxfId="19" dataDxfId="18" tableBorderDxfId="17">
  <tableColumns count="2">
    <tableColumn id="1" xr3:uid="{F9C687C9-ED2B-4037-A9DB-DEA70CA75678}" name="tværsnit" dataDxfId="16"/>
    <tableColumn id="2" xr3:uid="{397FE4FC-7CE6-409A-8265-CCAAE0427B6E}" name="kobblerleder ohm/km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D2E612-BABE-48D6-855C-C71C770B6E0F}" name="Tabel25" displayName="Tabel25" ref="C18:D21" totalsRowShown="0" headerRowDxfId="14" dataDxfId="13" tableBorderDxfId="12">
  <autoFilter ref="C18:D21" xr:uid="{00000000-0009-0000-0100-000002000000}"/>
  <tableColumns count="2">
    <tableColumn id="1" xr3:uid="{07DC66B5-9005-4DD3-B5C2-AF04D747A10A}" name="Kolonne1" dataDxfId="11"/>
    <tableColumn id="2" xr3:uid="{14C36ABA-CD9C-4EE4-9582-D1B38D8C2AB6}" name="Kolonne2" dataDxfId="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FCDE38-E0D9-476B-9B85-F9385DF502EF}" name="Tabel16" displayName="Tabel16" ref="A19:B67" totalsRowShown="0" headerRowDxfId="9" dataDxfId="8" tableBorderDxfId="7">
  <tableColumns count="2">
    <tableColumn id="1" xr3:uid="{D8653BBD-FA8D-42C0-858B-14AEDD020891}" name="tværsnit" dataDxfId="6"/>
    <tableColumn id="2" xr3:uid="{584B2920-77ED-482E-8F3F-21D9FE5BF68D}" name="kobblerleder ohm/km" dataDxfId="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5C6321-B0AC-48AA-9006-3F2D6431F03F}" name="Tabel27" displayName="Tabel27" ref="C19:D22" totalsRowShown="0" headerRowDxfId="4" dataDxfId="3" tableBorderDxfId="2">
  <autoFilter ref="C19:D22" xr:uid="{00000000-0009-0000-0100-000002000000}"/>
  <tableColumns count="2">
    <tableColumn id="1" xr3:uid="{EF91EBDA-1DDE-434A-ABFF-499910438C21}" name="Kolonne1" dataDxfId="1"/>
    <tableColumn id="2" xr3:uid="{611A2DAC-8230-4DA4-A4A8-4C96D6F18B77}" name="Kolonne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2" dT="2022-04-28T08:46:09.88" personId="{00000000-0000-0000-0000-000000000000}" id="{E4D4823A-BC20-4170-856B-C1F22836E383}">
    <text>Jf. 61439-3 samtidsfaktor</text>
  </threadedComment>
  <threadedComment ref="B33" dT="2022-04-28T10:17:45.00" personId="{00000000-0000-0000-0000-000000000000}" id="{1007BB62-0449-44CD-B92B-1097C6AC82C8}">
    <text>Bestem selv en samtidsfaktor som overruler standarden 61439-3.
Værdi = 0 betyder følg std.
Værdi &gt; 0 betyder overrule.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2220-7293-4023-B29C-468C38562382}">
  <sheetPr>
    <tabColor theme="1"/>
  </sheetPr>
  <dimension ref="D3:R105"/>
  <sheetViews>
    <sheetView tabSelected="1" topLeftCell="A85" zoomScaleNormal="100" workbookViewId="0">
      <selection activeCell="H100" sqref="H100"/>
    </sheetView>
  </sheetViews>
  <sheetFormatPr defaultRowHeight="14.45"/>
  <cols>
    <col min="4" max="4" width="31.28515625" customWidth="1"/>
    <col min="5" max="5" width="15.28515625" customWidth="1"/>
    <col min="6" max="7" width="13.42578125" customWidth="1"/>
    <col min="8" max="8" width="13.85546875" customWidth="1"/>
    <col min="9" max="9" width="15.140625" customWidth="1"/>
    <col min="10" max="10" width="12.85546875" customWidth="1"/>
    <col min="11" max="11" width="12.5703125" customWidth="1"/>
    <col min="12" max="12" width="18.42578125" customWidth="1"/>
    <col min="13" max="13" width="6.28515625" customWidth="1"/>
    <col min="14" max="14" width="6.140625" customWidth="1"/>
    <col min="15" max="15" width="22.7109375" customWidth="1"/>
    <col min="16" max="16" width="24.85546875" customWidth="1"/>
    <col min="17" max="17" width="25" bestFit="1" customWidth="1"/>
  </cols>
  <sheetData>
    <row r="3" spans="4:18"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</row>
    <row r="4" spans="4:18" ht="18">
      <c r="D4" s="128" t="s">
        <v>0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</row>
    <row r="5" spans="4:18"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</row>
    <row r="6" spans="4:18">
      <c r="D6" s="129" t="s">
        <v>1</v>
      </c>
      <c r="E6" s="129" t="s">
        <v>2</v>
      </c>
      <c r="F6" s="129" t="s">
        <v>3</v>
      </c>
      <c r="G6" s="129" t="s">
        <v>4</v>
      </c>
      <c r="H6" s="129" t="s">
        <v>5</v>
      </c>
      <c r="I6" s="129" t="s">
        <v>6</v>
      </c>
      <c r="J6" s="129" t="s">
        <v>7</v>
      </c>
      <c r="K6" s="129" t="s">
        <v>8</v>
      </c>
      <c r="L6" s="129" t="s">
        <v>9</v>
      </c>
      <c r="M6" s="129" t="s">
        <v>10</v>
      </c>
      <c r="N6" s="129" t="s">
        <v>11</v>
      </c>
      <c r="O6" s="129" t="s">
        <v>12</v>
      </c>
      <c r="P6" s="129" t="s">
        <v>13</v>
      </c>
      <c r="Q6" s="129" t="s">
        <v>14</v>
      </c>
      <c r="R6" s="127"/>
    </row>
    <row r="7" spans="4:18">
      <c r="D7" s="127" t="s">
        <v>15</v>
      </c>
      <c r="E7" s="127" t="s">
        <v>16</v>
      </c>
      <c r="F7" s="127">
        <v>144</v>
      </c>
      <c r="G7" s="127">
        <v>20</v>
      </c>
      <c r="H7" s="127">
        <v>2</v>
      </c>
      <c r="I7" s="127">
        <v>34</v>
      </c>
      <c r="J7" s="127" t="s">
        <v>17</v>
      </c>
      <c r="K7" s="127" t="s">
        <v>18</v>
      </c>
      <c r="L7" s="127"/>
      <c r="M7" s="127">
        <v>1.08</v>
      </c>
      <c r="N7" s="127">
        <v>0.87</v>
      </c>
      <c r="O7" s="130">
        <f>$F$7/(N7*M7)</f>
        <v>153.2567049808429</v>
      </c>
      <c r="P7" s="1" t="s">
        <v>19</v>
      </c>
      <c r="Q7" s="127" t="s">
        <v>20</v>
      </c>
      <c r="R7" s="127"/>
    </row>
    <row r="8" spans="4:18">
      <c r="D8" s="127" t="s">
        <v>21</v>
      </c>
      <c r="E8" s="127" t="s">
        <v>16</v>
      </c>
      <c r="F8" s="127">
        <v>144</v>
      </c>
      <c r="G8" s="127">
        <v>20</v>
      </c>
      <c r="H8" s="127">
        <v>1</v>
      </c>
      <c r="I8" s="127">
        <v>72</v>
      </c>
      <c r="J8" s="127" t="s">
        <v>22</v>
      </c>
      <c r="K8" s="127" t="s">
        <v>23</v>
      </c>
      <c r="L8" s="127">
        <v>1.5</v>
      </c>
      <c r="M8" s="127">
        <v>1</v>
      </c>
      <c r="N8" s="127">
        <v>0.8</v>
      </c>
      <c r="O8" s="126">
        <f>$F$7/(N8*M8*L8)</f>
        <v>119.99999999999999</v>
      </c>
      <c r="P8" s="1" t="s">
        <v>24</v>
      </c>
      <c r="Q8" s="127"/>
      <c r="R8" s="127"/>
    </row>
    <row r="9" spans="4:18" ht="13.9" customHeight="1">
      <c r="D9" s="127" t="s">
        <v>25</v>
      </c>
      <c r="E9" s="127" t="s">
        <v>16</v>
      </c>
      <c r="F9" s="127">
        <v>144</v>
      </c>
      <c r="G9" s="127">
        <v>20</v>
      </c>
      <c r="H9" s="127">
        <v>1</v>
      </c>
      <c r="I9" s="127">
        <v>60</v>
      </c>
      <c r="J9" s="127" t="s">
        <v>26</v>
      </c>
      <c r="K9" s="127" t="s">
        <v>23</v>
      </c>
      <c r="L9" s="127">
        <v>1.5</v>
      </c>
      <c r="M9" s="127">
        <v>1</v>
      </c>
      <c r="N9" s="127">
        <v>1</v>
      </c>
      <c r="O9" s="126">
        <f>$F$7/(N9*M9*L9)</f>
        <v>96</v>
      </c>
      <c r="P9" s="1" t="s">
        <v>27</v>
      </c>
      <c r="Q9" s="127"/>
      <c r="R9" s="127"/>
    </row>
    <row r="10" spans="4:18" ht="13.9" customHeight="1">
      <c r="D10" s="127" t="s">
        <v>28</v>
      </c>
      <c r="E10" s="127" t="s">
        <v>16</v>
      </c>
      <c r="F10" s="127">
        <v>144</v>
      </c>
      <c r="G10" s="127">
        <v>30</v>
      </c>
      <c r="H10" s="127">
        <v>1</v>
      </c>
      <c r="I10" s="127">
        <v>40</v>
      </c>
      <c r="J10" s="127" t="s">
        <v>29</v>
      </c>
      <c r="K10" s="127" t="s">
        <v>23</v>
      </c>
      <c r="L10" s="127">
        <v>1</v>
      </c>
      <c r="M10" s="127">
        <v>1.04</v>
      </c>
      <c r="N10" s="127">
        <v>1</v>
      </c>
      <c r="O10" s="126">
        <f>$F$7/(N10*M10*L10)</f>
        <v>138.46153846153845</v>
      </c>
      <c r="P10" s="1" t="s">
        <v>30</v>
      </c>
      <c r="Q10" s="127"/>
      <c r="R10" s="127"/>
    </row>
    <row r="11" spans="4:18"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6"/>
      <c r="P11" s="1"/>
      <c r="Q11" s="127"/>
      <c r="R11" s="127"/>
    </row>
    <row r="12" spans="4:18" ht="12.6" customHeight="1"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6"/>
      <c r="P12" s="1"/>
      <c r="Q12" s="127"/>
      <c r="R12" s="127"/>
    </row>
    <row r="13" spans="4:18"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4:18"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</row>
    <row r="15" spans="4:18" ht="18">
      <c r="D15" s="128" t="s">
        <v>31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</row>
    <row r="16" spans="4:18"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4:18">
      <c r="D17" s="129" t="s">
        <v>1</v>
      </c>
      <c r="E17" s="129" t="s">
        <v>2</v>
      </c>
      <c r="F17" s="129" t="s">
        <v>3</v>
      </c>
      <c r="G17" s="129" t="s">
        <v>4</v>
      </c>
      <c r="H17" s="129" t="s">
        <v>5</v>
      </c>
      <c r="I17" s="129" t="s">
        <v>6</v>
      </c>
      <c r="J17" s="129" t="s">
        <v>7</v>
      </c>
      <c r="K17" s="129" t="s">
        <v>8</v>
      </c>
      <c r="L17" s="129" t="s">
        <v>9</v>
      </c>
      <c r="M17" s="129" t="s">
        <v>10</v>
      </c>
      <c r="N17" s="129" t="s">
        <v>11</v>
      </c>
      <c r="O17" s="129" t="s">
        <v>12</v>
      </c>
      <c r="P17" s="129" t="s">
        <v>13</v>
      </c>
      <c r="Q17" s="129" t="s">
        <v>14</v>
      </c>
      <c r="R17" s="127"/>
    </row>
    <row r="18" spans="4:18">
      <c r="D18" s="127" t="s">
        <v>32</v>
      </c>
      <c r="E18" s="127">
        <v>28</v>
      </c>
      <c r="F18" s="127">
        <v>32</v>
      </c>
      <c r="G18" s="127">
        <v>30</v>
      </c>
      <c r="H18" s="127">
        <v>5</v>
      </c>
      <c r="I18" s="127">
        <v>40</v>
      </c>
      <c r="J18" s="127" t="s">
        <v>26</v>
      </c>
      <c r="K18" s="127" t="s">
        <v>33</v>
      </c>
      <c r="L18" s="127">
        <v>1</v>
      </c>
      <c r="M18" s="127">
        <v>1</v>
      </c>
      <c r="N18" s="127">
        <v>0.6</v>
      </c>
      <c r="O18" s="126">
        <f>$F$18/(N18*M18*L18)</f>
        <v>53.333333333333336</v>
      </c>
      <c r="P18" s="127" t="s">
        <v>34</v>
      </c>
      <c r="Q18" s="127"/>
      <c r="R18" s="127"/>
    </row>
    <row r="19" spans="4:18">
      <c r="D19" s="127" t="s">
        <v>35</v>
      </c>
      <c r="E19" s="127">
        <v>28</v>
      </c>
      <c r="F19" s="127">
        <v>32</v>
      </c>
      <c r="G19" s="127">
        <v>25</v>
      </c>
      <c r="H19" s="127">
        <v>5</v>
      </c>
      <c r="I19" s="127">
        <v>34</v>
      </c>
      <c r="J19" s="127" t="s">
        <v>36</v>
      </c>
      <c r="K19" s="127" t="s">
        <v>18</v>
      </c>
      <c r="L19" s="127">
        <v>1</v>
      </c>
      <c r="M19" s="127">
        <v>1.04</v>
      </c>
      <c r="N19" s="127">
        <v>0.6</v>
      </c>
      <c r="O19" s="126">
        <f>$F$18/(N19*M19*L19)</f>
        <v>51.282051282051285</v>
      </c>
      <c r="P19" s="127" t="s">
        <v>37</v>
      </c>
      <c r="Q19" s="127"/>
      <c r="R19" s="127"/>
    </row>
    <row r="20" spans="4:18">
      <c r="D20" s="127" t="s">
        <v>38</v>
      </c>
      <c r="E20" s="127">
        <v>28</v>
      </c>
      <c r="F20" s="127">
        <v>32</v>
      </c>
      <c r="G20" s="127">
        <v>25</v>
      </c>
      <c r="H20" s="127">
        <v>5</v>
      </c>
      <c r="I20" s="127">
        <v>32</v>
      </c>
      <c r="J20" s="127" t="s">
        <v>36</v>
      </c>
      <c r="K20" s="127" t="s">
        <v>18</v>
      </c>
      <c r="L20" s="127">
        <v>1</v>
      </c>
      <c r="M20" s="127">
        <v>1.04</v>
      </c>
      <c r="N20" s="127">
        <v>0.73</v>
      </c>
      <c r="O20" s="126">
        <f t="shared" ref="O20:O21" si="0">$F$18/(N20*M20*L20)</f>
        <v>42.149631190727085</v>
      </c>
      <c r="P20" s="127" t="s">
        <v>37</v>
      </c>
      <c r="Q20" s="127"/>
      <c r="R20" s="127"/>
    </row>
    <row r="21" spans="4:18">
      <c r="D21" s="127" t="s">
        <v>39</v>
      </c>
      <c r="E21" s="127">
        <v>28</v>
      </c>
      <c r="F21" s="127">
        <v>32</v>
      </c>
      <c r="G21" s="127">
        <v>25</v>
      </c>
      <c r="H21" s="127">
        <v>1</v>
      </c>
      <c r="I21" s="127">
        <v>5</v>
      </c>
      <c r="J21" s="127" t="s">
        <v>26</v>
      </c>
      <c r="K21" s="127" t="s">
        <v>33</v>
      </c>
      <c r="L21" s="127">
        <v>1</v>
      </c>
      <c r="M21" s="127">
        <v>1.04</v>
      </c>
      <c r="N21" s="127">
        <v>1</v>
      </c>
      <c r="O21" s="126">
        <f t="shared" si="0"/>
        <v>30.769230769230766</v>
      </c>
      <c r="P21" s="127" t="s">
        <v>40</v>
      </c>
      <c r="Q21" s="127"/>
      <c r="R21" s="127"/>
    </row>
    <row r="22" spans="4:18"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6"/>
      <c r="P22" s="127"/>
      <c r="Q22" s="127"/>
      <c r="R22" s="127"/>
    </row>
    <row r="23" spans="4:18" ht="18">
      <c r="D23" s="128" t="s">
        <v>41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</row>
    <row r="24" spans="4:18"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</row>
    <row r="25" spans="4:18">
      <c r="D25" s="129" t="s">
        <v>1</v>
      </c>
      <c r="E25" s="129" t="s">
        <v>2</v>
      </c>
      <c r="F25" s="129" t="s">
        <v>3</v>
      </c>
      <c r="G25" s="129" t="s">
        <v>4</v>
      </c>
      <c r="H25" s="129" t="s">
        <v>5</v>
      </c>
      <c r="I25" s="129" t="s">
        <v>6</v>
      </c>
      <c r="J25" s="129" t="s">
        <v>7</v>
      </c>
      <c r="K25" s="129" t="s">
        <v>8</v>
      </c>
      <c r="L25" s="129" t="s">
        <v>9</v>
      </c>
      <c r="M25" s="129" t="s">
        <v>10</v>
      </c>
      <c r="N25" s="129" t="s">
        <v>11</v>
      </c>
      <c r="O25" s="129" t="s">
        <v>12</v>
      </c>
      <c r="P25" s="129" t="s">
        <v>13</v>
      </c>
      <c r="Q25" s="129" t="s">
        <v>14</v>
      </c>
      <c r="R25" s="127"/>
    </row>
    <row r="26" spans="4:18">
      <c r="D26" s="127" t="s">
        <v>38</v>
      </c>
      <c r="E26" s="127">
        <v>1.85</v>
      </c>
      <c r="F26" s="127">
        <v>6</v>
      </c>
      <c r="G26" s="127">
        <v>25</v>
      </c>
      <c r="H26" s="127">
        <v>5</v>
      </c>
      <c r="I26" s="127">
        <v>32</v>
      </c>
      <c r="J26" s="127" t="s">
        <v>36</v>
      </c>
      <c r="K26" s="127" t="s">
        <v>18</v>
      </c>
      <c r="L26" s="127">
        <v>1</v>
      </c>
      <c r="M26" s="127">
        <v>1.04</v>
      </c>
      <c r="N26" s="127">
        <v>0.96</v>
      </c>
      <c r="O26" s="127" t="s">
        <v>42</v>
      </c>
      <c r="P26" s="127" t="s">
        <v>43</v>
      </c>
      <c r="Q26" s="127"/>
      <c r="R26" s="127"/>
    </row>
    <row r="27" spans="4:18">
      <c r="D27" s="127" t="s">
        <v>44</v>
      </c>
      <c r="E27" s="127">
        <v>1.85</v>
      </c>
      <c r="F27" s="127">
        <v>6</v>
      </c>
      <c r="G27" s="127">
        <v>25</v>
      </c>
      <c r="H27" s="127">
        <v>5</v>
      </c>
      <c r="I27" s="127">
        <v>34</v>
      </c>
      <c r="J27" s="127" t="s">
        <v>45</v>
      </c>
      <c r="K27" s="127" t="s">
        <v>18</v>
      </c>
      <c r="L27" s="127">
        <v>1</v>
      </c>
      <c r="M27" s="127">
        <v>1.04</v>
      </c>
      <c r="N27" s="127">
        <v>1</v>
      </c>
      <c r="O27" s="127" t="s">
        <v>46</v>
      </c>
      <c r="P27" s="127" t="s">
        <v>43</v>
      </c>
      <c r="Q27" s="127"/>
      <c r="R27" s="127"/>
    </row>
    <row r="28" spans="4:18">
      <c r="D28" s="127" t="s">
        <v>47</v>
      </c>
      <c r="E28" s="127">
        <v>1.85</v>
      </c>
      <c r="F28" s="127">
        <v>6</v>
      </c>
      <c r="G28" s="127">
        <v>30</v>
      </c>
      <c r="H28" s="127">
        <v>5</v>
      </c>
      <c r="I28" s="127">
        <v>40</v>
      </c>
      <c r="J28" s="127" t="s">
        <v>29</v>
      </c>
      <c r="K28" s="127" t="s">
        <v>23</v>
      </c>
      <c r="L28" s="127">
        <v>1</v>
      </c>
      <c r="M28" s="127">
        <v>1</v>
      </c>
      <c r="N28" s="127">
        <v>0.6</v>
      </c>
      <c r="O28" s="127" t="s">
        <v>48</v>
      </c>
      <c r="P28" s="127" t="s">
        <v>49</v>
      </c>
      <c r="Q28" s="127"/>
      <c r="R28" s="127"/>
    </row>
    <row r="29" spans="4:18">
      <c r="D29" s="127" t="s">
        <v>39</v>
      </c>
      <c r="E29" s="127">
        <v>1.85</v>
      </c>
      <c r="F29" s="127">
        <v>6</v>
      </c>
      <c r="G29" s="127">
        <v>25</v>
      </c>
      <c r="H29" s="127">
        <v>1</v>
      </c>
      <c r="I29" s="127">
        <v>5</v>
      </c>
      <c r="J29" s="127" t="s">
        <v>26</v>
      </c>
      <c r="K29" s="127" t="s">
        <v>50</v>
      </c>
      <c r="L29" s="127">
        <v>1</v>
      </c>
      <c r="M29" s="127">
        <v>1.04</v>
      </c>
      <c r="N29" s="127">
        <v>1</v>
      </c>
      <c r="O29" s="127" t="s">
        <v>51</v>
      </c>
      <c r="P29" s="127" t="s">
        <v>52</v>
      </c>
      <c r="Q29" s="127"/>
      <c r="R29" s="127"/>
    </row>
    <row r="30" spans="4:18" ht="18">
      <c r="D30" s="128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</row>
    <row r="31" spans="4:18"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</row>
    <row r="32" spans="4:18"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</row>
    <row r="33" spans="4:18"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</row>
    <row r="34" spans="4:18" ht="18">
      <c r="D34" s="128" t="s">
        <v>53</v>
      </c>
      <c r="E34" s="128"/>
      <c r="F34" s="128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</row>
    <row r="35" spans="4:18"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</row>
    <row r="36" spans="4:18">
      <c r="D36" s="129" t="s">
        <v>1</v>
      </c>
      <c r="E36" s="129" t="s">
        <v>2</v>
      </c>
      <c r="F36" s="129" t="s">
        <v>3</v>
      </c>
      <c r="G36" s="129" t="s">
        <v>4</v>
      </c>
      <c r="H36" s="129" t="s">
        <v>5</v>
      </c>
      <c r="I36" s="129" t="s">
        <v>6</v>
      </c>
      <c r="J36" s="129" t="s">
        <v>7</v>
      </c>
      <c r="K36" s="129" t="s">
        <v>8</v>
      </c>
      <c r="L36" s="129" t="s">
        <v>9</v>
      </c>
      <c r="M36" s="129" t="s">
        <v>10</v>
      </c>
      <c r="N36" s="129" t="s">
        <v>11</v>
      </c>
      <c r="O36" s="129" t="s">
        <v>12</v>
      </c>
      <c r="P36" s="129" t="s">
        <v>13</v>
      </c>
      <c r="Q36" s="129" t="s">
        <v>14</v>
      </c>
      <c r="R36" s="127"/>
    </row>
    <row r="37" spans="4:18">
      <c r="D37" s="127" t="s">
        <v>38</v>
      </c>
      <c r="E37" s="127">
        <v>16</v>
      </c>
      <c r="F37" s="127">
        <v>16</v>
      </c>
      <c r="G37" s="127">
        <v>25</v>
      </c>
      <c r="H37" s="127">
        <v>5</v>
      </c>
      <c r="I37" s="127">
        <v>32</v>
      </c>
      <c r="J37" s="127" t="s">
        <v>36</v>
      </c>
      <c r="K37" s="127" t="s">
        <v>18</v>
      </c>
      <c r="L37" s="127">
        <v>1</v>
      </c>
      <c r="M37" s="127">
        <v>1.04</v>
      </c>
      <c r="N37" s="127">
        <v>0.96</v>
      </c>
      <c r="O37" s="126" t="s">
        <v>54</v>
      </c>
      <c r="P37" s="127" t="s">
        <v>55</v>
      </c>
      <c r="Q37" s="127"/>
      <c r="R37" s="127"/>
    </row>
    <row r="38" spans="4:18">
      <c r="D38" s="127" t="s">
        <v>35</v>
      </c>
      <c r="E38" s="127">
        <v>16</v>
      </c>
      <c r="F38" s="127">
        <v>16</v>
      </c>
      <c r="G38" s="127">
        <v>25</v>
      </c>
      <c r="H38" s="127">
        <v>5</v>
      </c>
      <c r="I38" s="127">
        <v>34</v>
      </c>
      <c r="J38" s="127" t="s">
        <v>45</v>
      </c>
      <c r="K38" s="127" t="s">
        <v>18</v>
      </c>
      <c r="L38" s="127">
        <v>1</v>
      </c>
      <c r="M38" s="127">
        <v>1.04</v>
      </c>
      <c r="N38" s="127">
        <v>1</v>
      </c>
      <c r="O38" s="126" t="s">
        <v>56</v>
      </c>
      <c r="P38" s="127" t="s">
        <v>57</v>
      </c>
      <c r="Q38" s="127"/>
      <c r="R38" s="127"/>
    </row>
    <row r="39" spans="4:18">
      <c r="D39" s="127" t="s">
        <v>47</v>
      </c>
      <c r="E39" s="127">
        <v>16</v>
      </c>
      <c r="F39" s="127">
        <v>16</v>
      </c>
      <c r="G39" s="127">
        <v>30</v>
      </c>
      <c r="H39" s="127">
        <v>5</v>
      </c>
      <c r="I39" s="127">
        <v>40</v>
      </c>
      <c r="J39" s="127" t="s">
        <v>29</v>
      </c>
      <c r="K39" s="127" t="s">
        <v>23</v>
      </c>
      <c r="L39" s="127">
        <v>1</v>
      </c>
      <c r="M39" s="127">
        <v>1</v>
      </c>
      <c r="N39" s="127">
        <v>0.6</v>
      </c>
      <c r="O39" s="127" t="s">
        <v>58</v>
      </c>
      <c r="P39" s="127" t="s">
        <v>59</v>
      </c>
      <c r="Q39" s="127"/>
      <c r="R39" s="127"/>
    </row>
    <row r="40" spans="4:18"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</row>
    <row r="41" spans="4:18">
      <c r="D41" s="131" t="s">
        <v>60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</row>
    <row r="42" spans="4:18"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</row>
    <row r="43" spans="4:18">
      <c r="D43" s="129" t="s">
        <v>1</v>
      </c>
      <c r="E43" s="129" t="s">
        <v>2</v>
      </c>
      <c r="F43" s="129" t="s">
        <v>3</v>
      </c>
      <c r="G43" s="129" t="s">
        <v>4</v>
      </c>
      <c r="H43" s="129" t="s">
        <v>5</v>
      </c>
      <c r="I43" s="129" t="s">
        <v>6</v>
      </c>
      <c r="J43" s="129" t="s">
        <v>7</v>
      </c>
      <c r="K43" s="129" t="s">
        <v>8</v>
      </c>
      <c r="L43" s="129" t="s">
        <v>9</v>
      </c>
      <c r="M43" s="129" t="s">
        <v>10</v>
      </c>
      <c r="N43" s="129" t="s">
        <v>11</v>
      </c>
      <c r="O43" s="129" t="s">
        <v>12</v>
      </c>
      <c r="P43" s="129" t="s">
        <v>13</v>
      </c>
      <c r="Q43" s="129" t="s">
        <v>14</v>
      </c>
      <c r="R43" s="127"/>
    </row>
    <row r="44" spans="4:18">
      <c r="D44" s="127" t="s">
        <v>61</v>
      </c>
      <c r="E44" s="127">
        <v>16</v>
      </c>
      <c r="F44" s="127">
        <v>16</v>
      </c>
      <c r="G44" s="127">
        <v>25</v>
      </c>
      <c r="H44" s="127">
        <v>1</v>
      </c>
      <c r="I44" s="127">
        <v>22</v>
      </c>
      <c r="J44" s="127" t="s">
        <v>17</v>
      </c>
      <c r="K44" s="127" t="s">
        <v>18</v>
      </c>
      <c r="L44" s="127">
        <v>1</v>
      </c>
      <c r="M44" s="127">
        <v>1.04</v>
      </c>
      <c r="N44" s="127">
        <v>1</v>
      </c>
      <c r="O44" s="126" t="s">
        <v>56</v>
      </c>
      <c r="P44" s="127" t="s">
        <v>57</v>
      </c>
      <c r="Q44" s="127"/>
      <c r="R44" s="127"/>
    </row>
    <row r="45" spans="4:18"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</row>
    <row r="46" spans="4:18"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</row>
    <row r="47" spans="4:18">
      <c r="D47" s="131" t="s">
        <v>62</v>
      </c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</row>
    <row r="48" spans="4:18"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</row>
    <row r="49" spans="4:18">
      <c r="D49" s="129" t="s">
        <v>1</v>
      </c>
      <c r="E49" s="129" t="s">
        <v>2</v>
      </c>
      <c r="F49" s="129" t="s">
        <v>3</v>
      </c>
      <c r="G49" s="129" t="s">
        <v>4</v>
      </c>
      <c r="H49" s="129" t="s">
        <v>5</v>
      </c>
      <c r="I49" s="129" t="s">
        <v>6</v>
      </c>
      <c r="J49" s="129" t="s">
        <v>7</v>
      </c>
      <c r="K49" s="129" t="s">
        <v>8</v>
      </c>
      <c r="L49" s="129" t="s">
        <v>9</v>
      </c>
      <c r="M49" s="129" t="s">
        <v>10</v>
      </c>
      <c r="N49" s="129" t="s">
        <v>11</v>
      </c>
      <c r="O49" s="129" t="s">
        <v>12</v>
      </c>
      <c r="P49" s="129" t="s">
        <v>13</v>
      </c>
      <c r="Q49" s="129" t="s">
        <v>14</v>
      </c>
      <c r="R49" s="127"/>
    </row>
    <row r="50" spans="4:18">
      <c r="D50" s="127" t="s">
        <v>47</v>
      </c>
      <c r="E50" s="127">
        <v>8.24</v>
      </c>
      <c r="F50" s="127">
        <v>10</v>
      </c>
      <c r="G50" s="127">
        <v>30</v>
      </c>
      <c r="H50" s="127">
        <v>5</v>
      </c>
      <c r="I50" s="127">
        <v>40</v>
      </c>
      <c r="J50" s="127" t="s">
        <v>29</v>
      </c>
      <c r="K50" s="127" t="s">
        <v>23</v>
      </c>
      <c r="L50" s="127">
        <v>1</v>
      </c>
      <c r="M50" s="127">
        <v>1</v>
      </c>
      <c r="N50" s="127">
        <v>0.6</v>
      </c>
      <c r="O50" s="127" t="s">
        <v>63</v>
      </c>
      <c r="P50" s="127" t="s">
        <v>49</v>
      </c>
      <c r="Q50" s="127"/>
      <c r="R50" s="127"/>
    </row>
    <row r="51" spans="4:18">
      <c r="D51" s="127" t="s">
        <v>35</v>
      </c>
      <c r="E51" s="127">
        <v>8.24</v>
      </c>
      <c r="F51" s="127">
        <v>10</v>
      </c>
      <c r="G51" s="127">
        <v>25</v>
      </c>
      <c r="H51" s="127">
        <v>5</v>
      </c>
      <c r="I51" s="127">
        <v>34</v>
      </c>
      <c r="J51" s="127" t="s">
        <v>45</v>
      </c>
      <c r="K51" s="127" t="s">
        <v>18</v>
      </c>
      <c r="L51" s="127">
        <v>1</v>
      </c>
      <c r="M51" s="127">
        <v>1.04</v>
      </c>
      <c r="N51" s="127">
        <v>1</v>
      </c>
      <c r="O51" s="126" t="s">
        <v>64</v>
      </c>
      <c r="P51" s="127" t="s">
        <v>57</v>
      </c>
      <c r="Q51" s="127"/>
      <c r="R51" s="127"/>
    </row>
    <row r="52" spans="4:18">
      <c r="D52" s="127" t="s">
        <v>38</v>
      </c>
      <c r="E52" s="127">
        <v>8.24</v>
      </c>
      <c r="F52" s="127">
        <v>10</v>
      </c>
      <c r="G52" s="127">
        <v>25</v>
      </c>
      <c r="H52" s="127">
        <v>5</v>
      </c>
      <c r="I52" s="127">
        <v>32</v>
      </c>
      <c r="J52" s="127" t="s">
        <v>36</v>
      </c>
      <c r="K52" s="127" t="s">
        <v>18</v>
      </c>
      <c r="L52" s="127">
        <v>1</v>
      </c>
      <c r="M52" s="127">
        <v>1.04</v>
      </c>
      <c r="N52" s="127">
        <v>0.96</v>
      </c>
      <c r="O52" s="126" t="s">
        <v>48</v>
      </c>
      <c r="P52" s="127" t="s">
        <v>57</v>
      </c>
      <c r="Q52" s="127"/>
      <c r="R52" s="127"/>
    </row>
    <row r="53" spans="4:18">
      <c r="D53" s="127" t="s">
        <v>39</v>
      </c>
      <c r="E53" s="127">
        <v>8.24</v>
      </c>
      <c r="F53" s="127">
        <v>10</v>
      </c>
      <c r="G53" s="127">
        <v>25</v>
      </c>
      <c r="H53" s="127">
        <v>1</v>
      </c>
      <c r="I53" s="127">
        <v>5</v>
      </c>
      <c r="J53" s="127" t="s">
        <v>26</v>
      </c>
      <c r="K53" s="127" t="s">
        <v>50</v>
      </c>
      <c r="L53" s="127">
        <v>1</v>
      </c>
      <c r="M53" s="127">
        <v>1.04</v>
      </c>
      <c r="N53" s="127">
        <v>1</v>
      </c>
      <c r="O53" s="127" t="s">
        <v>64</v>
      </c>
      <c r="P53" s="127" t="s">
        <v>52</v>
      </c>
      <c r="Q53" s="127"/>
      <c r="R53" s="127"/>
    </row>
    <row r="54" spans="4:18"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</row>
    <row r="55" spans="4:18"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6"/>
      <c r="P55" s="127"/>
      <c r="Q55" s="127"/>
      <c r="R55" s="127"/>
    </row>
    <row r="56" spans="4:18"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6"/>
      <c r="P56" s="127"/>
      <c r="Q56" s="127"/>
      <c r="R56" s="127"/>
    </row>
    <row r="57" spans="4:18"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</row>
    <row r="58" spans="4:18"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</row>
    <row r="59" spans="4:18">
      <c r="D59" s="131" t="s">
        <v>65</v>
      </c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</row>
    <row r="60" spans="4:18"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</row>
    <row r="61" spans="4:18">
      <c r="D61" s="129" t="s">
        <v>1</v>
      </c>
      <c r="E61" s="129" t="s">
        <v>2</v>
      </c>
      <c r="F61" s="129" t="s">
        <v>3</v>
      </c>
      <c r="G61" s="129" t="s">
        <v>4</v>
      </c>
      <c r="H61" s="129" t="s">
        <v>5</v>
      </c>
      <c r="I61" s="129" t="s">
        <v>6</v>
      </c>
      <c r="J61" s="129" t="s">
        <v>7</v>
      </c>
      <c r="K61" s="129" t="s">
        <v>8</v>
      </c>
      <c r="L61" s="129" t="s">
        <v>9</v>
      </c>
      <c r="M61" s="129" t="s">
        <v>10</v>
      </c>
      <c r="N61" s="129" t="s">
        <v>11</v>
      </c>
      <c r="O61" s="129" t="s">
        <v>12</v>
      </c>
      <c r="P61" s="129" t="s">
        <v>13</v>
      </c>
      <c r="Q61" s="129" t="s">
        <v>14</v>
      </c>
      <c r="R61" s="127"/>
    </row>
    <row r="62" spans="4:18">
      <c r="D62" s="127" t="s">
        <v>47</v>
      </c>
      <c r="E62" s="127">
        <v>25</v>
      </c>
      <c r="F62" s="127">
        <v>25</v>
      </c>
      <c r="G62" s="127">
        <v>20</v>
      </c>
      <c r="H62" s="127">
        <v>3</v>
      </c>
      <c r="I62" s="127">
        <v>40</v>
      </c>
      <c r="J62" s="127" t="s">
        <v>29</v>
      </c>
      <c r="K62" s="127" t="s">
        <v>23</v>
      </c>
      <c r="L62" s="127">
        <v>1</v>
      </c>
      <c r="M62" s="127">
        <v>1.08</v>
      </c>
      <c r="N62" s="127">
        <v>0.7</v>
      </c>
      <c r="O62" s="126">
        <f>F62/(N62*M62*L62)</f>
        <v>33.06878306878307</v>
      </c>
      <c r="P62" s="127" t="s">
        <v>66</v>
      </c>
      <c r="Q62" s="127"/>
      <c r="R62" s="127"/>
    </row>
    <row r="63" spans="4:18">
      <c r="D63" s="127" t="s">
        <v>35</v>
      </c>
      <c r="E63" s="127">
        <v>25</v>
      </c>
      <c r="F63" s="127">
        <v>25</v>
      </c>
      <c r="G63" s="127">
        <v>20</v>
      </c>
      <c r="H63" s="127">
        <v>2</v>
      </c>
      <c r="I63" s="127">
        <v>34</v>
      </c>
      <c r="J63" s="127" t="s">
        <v>36</v>
      </c>
      <c r="K63" s="127" t="s">
        <v>18</v>
      </c>
      <c r="L63" s="127">
        <v>1</v>
      </c>
      <c r="M63" s="127">
        <v>1.08</v>
      </c>
      <c r="N63" s="127">
        <v>0.87</v>
      </c>
      <c r="O63" s="126">
        <f>F63/(N63*M63*L63)</f>
        <v>26.607066836951891</v>
      </c>
      <c r="P63" s="127" t="s">
        <v>67</v>
      </c>
      <c r="Q63" s="127"/>
      <c r="R63" s="127"/>
    </row>
    <row r="64" spans="4:18">
      <c r="D64" s="127" t="s">
        <v>68</v>
      </c>
      <c r="E64" s="127">
        <v>25</v>
      </c>
      <c r="F64" s="127">
        <v>25</v>
      </c>
      <c r="G64" s="127">
        <v>20</v>
      </c>
      <c r="H64" s="127">
        <v>2</v>
      </c>
      <c r="I64" s="127">
        <v>35</v>
      </c>
      <c r="J64" s="127" t="s">
        <v>36</v>
      </c>
      <c r="K64" s="127" t="s">
        <v>18</v>
      </c>
      <c r="L64" s="127">
        <v>1</v>
      </c>
      <c r="M64" s="127">
        <v>1.08</v>
      </c>
      <c r="N64" s="127">
        <v>0.87</v>
      </c>
      <c r="O64" s="126">
        <f>F64/(N64*M64*L64)</f>
        <v>26.607066836951891</v>
      </c>
      <c r="P64" s="127" t="s">
        <v>67</v>
      </c>
      <c r="Q64" s="127"/>
      <c r="R64" s="127"/>
    </row>
    <row r="65" spans="4:18"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</row>
    <row r="66" spans="4:18"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</row>
    <row r="67" spans="4:18"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</row>
    <row r="68" spans="4:18">
      <c r="D68" s="131" t="s">
        <v>69</v>
      </c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</row>
    <row r="69" spans="4:18"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</row>
    <row r="70" spans="4:18">
      <c r="D70" s="129" t="s">
        <v>1</v>
      </c>
      <c r="E70" s="129" t="s">
        <v>2</v>
      </c>
      <c r="F70" s="129" t="s">
        <v>3</v>
      </c>
      <c r="G70" s="129" t="s">
        <v>4</v>
      </c>
      <c r="H70" s="129" t="s">
        <v>5</v>
      </c>
      <c r="I70" s="129" t="s">
        <v>6</v>
      </c>
      <c r="J70" s="129" t="s">
        <v>7</v>
      </c>
      <c r="K70" s="129" t="s">
        <v>8</v>
      </c>
      <c r="L70" s="129" t="s">
        <v>9</v>
      </c>
      <c r="M70" s="129" t="s">
        <v>10</v>
      </c>
      <c r="N70" s="129" t="s">
        <v>11</v>
      </c>
      <c r="O70" s="129" t="s">
        <v>12</v>
      </c>
      <c r="P70" s="129" t="s">
        <v>13</v>
      </c>
      <c r="Q70" s="129" t="s">
        <v>14</v>
      </c>
      <c r="R70" s="127"/>
    </row>
    <row r="71" spans="4:18">
      <c r="D71" s="127" t="s">
        <v>47</v>
      </c>
      <c r="E71" s="127">
        <v>57.6</v>
      </c>
      <c r="F71" s="127">
        <v>63</v>
      </c>
      <c r="G71" s="127">
        <v>20</v>
      </c>
      <c r="H71" s="127">
        <v>3</v>
      </c>
      <c r="I71" s="127">
        <v>40</v>
      </c>
      <c r="J71" s="127" t="s">
        <v>29</v>
      </c>
      <c r="K71" s="127" t="s">
        <v>23</v>
      </c>
      <c r="L71" s="127">
        <v>1</v>
      </c>
      <c r="M71" s="127">
        <v>1.08</v>
      </c>
      <c r="N71" s="127">
        <v>0.7</v>
      </c>
      <c r="O71" s="126">
        <f>F71/(N71*M71*L71)</f>
        <v>83.333333333333329</v>
      </c>
      <c r="P71" s="127" t="s">
        <v>70</v>
      </c>
      <c r="Q71" s="127"/>
      <c r="R71" s="127"/>
    </row>
    <row r="72" spans="4:18">
      <c r="D72" s="127" t="s">
        <v>35</v>
      </c>
      <c r="E72" s="127">
        <v>57.6</v>
      </c>
      <c r="F72" s="127">
        <v>63</v>
      </c>
      <c r="G72" s="127">
        <v>20</v>
      </c>
      <c r="H72" s="127">
        <v>2</v>
      </c>
      <c r="I72" s="127">
        <v>34</v>
      </c>
      <c r="J72" s="127" t="s">
        <v>36</v>
      </c>
      <c r="K72" s="127" t="s">
        <v>18</v>
      </c>
      <c r="L72" s="127">
        <v>1</v>
      </c>
      <c r="M72" s="127">
        <v>1.08</v>
      </c>
      <c r="N72" s="127">
        <v>0.87</v>
      </c>
      <c r="O72" s="126">
        <f>F72/(N72*M72*L72)</f>
        <v>67.049808429118769</v>
      </c>
      <c r="P72" s="127" t="s">
        <v>71</v>
      </c>
      <c r="Q72" s="127"/>
      <c r="R72" s="127"/>
    </row>
    <row r="73" spans="4:18">
      <c r="D73" s="127" t="s">
        <v>68</v>
      </c>
      <c r="E73" s="127">
        <v>57.6</v>
      </c>
      <c r="F73" s="127">
        <v>63</v>
      </c>
      <c r="G73" s="127">
        <v>20</v>
      </c>
      <c r="H73" s="127">
        <v>2</v>
      </c>
      <c r="I73" s="127">
        <v>35</v>
      </c>
      <c r="J73" s="127" t="s">
        <v>36</v>
      </c>
      <c r="K73" s="127" t="s">
        <v>18</v>
      </c>
      <c r="L73" s="127">
        <v>1</v>
      </c>
      <c r="M73" s="127">
        <v>1.08</v>
      </c>
      <c r="N73" s="127">
        <v>0.87</v>
      </c>
      <c r="O73" s="126">
        <f>F73/(N73*M73*L73)</f>
        <v>67.049808429118769</v>
      </c>
      <c r="P73" s="127" t="s">
        <v>71</v>
      </c>
      <c r="Q73" s="127"/>
      <c r="R73" s="127"/>
    </row>
    <row r="97" spans="4:17">
      <c r="D97" s="131" t="s">
        <v>69</v>
      </c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</row>
    <row r="98" spans="4:17"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</row>
    <row r="99" spans="4:17">
      <c r="D99" s="129" t="s">
        <v>1</v>
      </c>
      <c r="E99" s="129" t="s">
        <v>2</v>
      </c>
      <c r="F99" s="129" t="s">
        <v>3</v>
      </c>
      <c r="G99" s="129" t="s">
        <v>4</v>
      </c>
      <c r="H99" s="129" t="s">
        <v>5</v>
      </c>
      <c r="I99" s="129" t="s">
        <v>6</v>
      </c>
      <c r="J99" s="129" t="s">
        <v>7</v>
      </c>
      <c r="K99" s="129" t="s">
        <v>8</v>
      </c>
      <c r="L99" s="129" t="s">
        <v>9</v>
      </c>
      <c r="M99" s="129" t="s">
        <v>10</v>
      </c>
      <c r="N99" s="129" t="s">
        <v>11</v>
      </c>
      <c r="O99" s="129" t="s">
        <v>12</v>
      </c>
      <c r="P99" s="129" t="s">
        <v>13</v>
      </c>
      <c r="Q99" s="129" t="s">
        <v>14</v>
      </c>
    </row>
    <row r="100" spans="4:17">
      <c r="D100" s="127" t="s">
        <v>44</v>
      </c>
      <c r="E100" s="127">
        <v>355</v>
      </c>
      <c r="F100" s="127">
        <v>355</v>
      </c>
      <c r="G100" s="127">
        <v>35</v>
      </c>
      <c r="H100" s="127">
        <v>1</v>
      </c>
      <c r="I100" s="127">
        <v>72</v>
      </c>
      <c r="J100" s="127" t="s">
        <v>22</v>
      </c>
      <c r="K100" s="127" t="s">
        <v>72</v>
      </c>
      <c r="L100" s="127">
        <v>1</v>
      </c>
      <c r="M100" s="127">
        <v>1</v>
      </c>
      <c r="N100" s="127">
        <v>1.28</v>
      </c>
      <c r="O100" s="126">
        <f>F100/(N100*M100*L100)</f>
        <v>277.34375</v>
      </c>
      <c r="P100" s="127"/>
      <c r="Q100" s="127"/>
    </row>
    <row r="101" spans="4:17"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6"/>
      <c r="P101" s="127"/>
      <c r="Q101" s="127"/>
    </row>
    <row r="102" spans="4:17"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6"/>
      <c r="P102" s="127"/>
      <c r="Q102" s="127"/>
    </row>
    <row r="104" spans="4:17"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32"/>
      <c r="Q104" t="s">
        <v>73</v>
      </c>
    </row>
    <row r="105" spans="4:17"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32"/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152C-0F36-4D7D-86EF-781EF4BC52E5}">
  <sheetPr>
    <tabColor theme="8"/>
  </sheetPr>
  <dimension ref="A1:S66"/>
  <sheetViews>
    <sheetView zoomScale="130" zoomScaleNormal="130" workbookViewId="0">
      <selection activeCell="E2" sqref="E2"/>
    </sheetView>
  </sheetViews>
  <sheetFormatPr defaultColWidth="9.7109375" defaultRowHeight="14.45"/>
  <cols>
    <col min="1" max="1" width="25.85546875" style="3" customWidth="1"/>
    <col min="2" max="2" width="13" style="3" customWidth="1"/>
    <col min="3" max="3" width="16.28515625" style="3" customWidth="1"/>
    <col min="4" max="4" width="15.42578125" style="3" customWidth="1"/>
    <col min="5" max="5" width="13.7109375" style="3" customWidth="1"/>
    <col min="6" max="6" width="15.42578125" style="3" customWidth="1"/>
    <col min="7" max="7" width="9.7109375" style="3" customWidth="1"/>
    <col min="8" max="8" width="10.42578125" style="3" customWidth="1"/>
    <col min="9" max="9" width="11.7109375" style="3" customWidth="1"/>
    <col min="10" max="10" width="11" style="3" customWidth="1"/>
    <col min="11" max="11" width="9.7109375" style="3" customWidth="1"/>
    <col min="12" max="12" width="9.7109375" style="3"/>
    <col min="13" max="15" width="21.42578125" style="3" customWidth="1"/>
    <col min="16" max="16" width="9.7109375" style="3"/>
    <col min="17" max="17" width="13.140625" style="3" customWidth="1"/>
    <col min="18" max="18" width="19.28515625" style="3" customWidth="1"/>
    <col min="19" max="16384" width="9.7109375" style="3"/>
  </cols>
  <sheetData>
    <row r="1" spans="1:19" ht="35.450000000000003" customHeight="1" thickBot="1">
      <c r="A1" s="48" t="s">
        <v>0</v>
      </c>
      <c r="B1" s="69" t="s">
        <v>74</v>
      </c>
      <c r="C1" s="50" t="s">
        <v>75</v>
      </c>
      <c r="D1" s="70" t="s">
        <v>76</v>
      </c>
      <c r="E1" s="68" t="s">
        <v>77</v>
      </c>
      <c r="F1" s="59" t="s">
        <v>78</v>
      </c>
      <c r="G1" s="32" t="s">
        <v>79</v>
      </c>
      <c r="H1" s="71" t="s">
        <v>80</v>
      </c>
      <c r="I1" s="72" t="s">
        <v>3</v>
      </c>
      <c r="J1" s="34" t="s">
        <v>81</v>
      </c>
      <c r="K1" s="30" t="s">
        <v>82</v>
      </c>
      <c r="M1"/>
      <c r="N1"/>
      <c r="O1"/>
      <c r="P1"/>
      <c r="Q1" s="3" t="s">
        <v>83</v>
      </c>
      <c r="R1" s="78" t="s">
        <v>84</v>
      </c>
      <c r="S1" s="3" t="s">
        <v>85</v>
      </c>
    </row>
    <row r="2" spans="1:19" ht="29.85" customHeight="1" thickBot="1">
      <c r="A2" s="49"/>
      <c r="B2" s="55">
        <v>400</v>
      </c>
      <c r="C2" s="51">
        <f>VLOOKUP(B2,'Spændingsfald (UdeLys)'!$C$18:$D$21,2)</f>
        <v>1</v>
      </c>
      <c r="D2" s="44">
        <v>55</v>
      </c>
      <c r="E2" s="65">
        <v>50</v>
      </c>
      <c r="F2" s="73">
        <f>VLOOKUP(E2,$A$19:$B$66,2,FALSE)</f>
        <v>0.38900000000000001</v>
      </c>
      <c r="G2" s="33">
        <v>1.28</v>
      </c>
      <c r="H2" s="36">
        <v>0.92900000000000005</v>
      </c>
      <c r="I2" s="119">
        <v>144</v>
      </c>
      <c r="J2" s="35">
        <f>C2*D2*(F2*G2*H2)*I2/1000</f>
        <v>3.6635360256000005</v>
      </c>
      <c r="K2" s="31">
        <f>J2*SQRT(3)/400</f>
        <v>1.5863576329245389E-2</v>
      </c>
      <c r="M2" s="20" t="s">
        <v>86</v>
      </c>
      <c r="N2" s="21" t="s">
        <v>87</v>
      </c>
      <c r="O2" s="22" t="s">
        <v>88</v>
      </c>
      <c r="P2"/>
      <c r="Q2" s="79" t="s">
        <v>89</v>
      </c>
      <c r="R2" s="3">
        <v>275</v>
      </c>
      <c r="S2">
        <f>D2*R2</f>
        <v>15125</v>
      </c>
    </row>
    <row r="3" spans="1:19" ht="15" thickBot="1">
      <c r="B3" s="56"/>
      <c r="C3" s="52"/>
      <c r="D3" s="45"/>
      <c r="E3" s="56"/>
      <c r="H3" s="38"/>
      <c r="I3" s="39"/>
      <c r="M3" s="133" t="s">
        <v>90</v>
      </c>
      <c r="N3" s="134"/>
      <c r="O3" s="134"/>
      <c r="P3"/>
      <c r="Q3" s="78"/>
      <c r="R3"/>
    </row>
    <row r="4" spans="1:19" ht="28.9">
      <c r="A4" s="5" t="s">
        <v>91</v>
      </c>
      <c r="B4" s="57"/>
      <c r="C4" s="53" t="s">
        <v>75</v>
      </c>
      <c r="D4" s="46" t="s">
        <v>76</v>
      </c>
      <c r="E4" s="66" t="s">
        <v>77</v>
      </c>
      <c r="F4" s="60" t="s">
        <v>78</v>
      </c>
      <c r="G4" s="6" t="s">
        <v>79</v>
      </c>
      <c r="H4" s="40" t="s">
        <v>80</v>
      </c>
      <c r="I4" s="41" t="s">
        <v>3</v>
      </c>
      <c r="J4" s="7" t="s">
        <v>81</v>
      </c>
      <c r="K4" s="2" t="s">
        <v>82</v>
      </c>
      <c r="M4" s="135"/>
      <c r="N4" s="135"/>
      <c r="O4" s="135"/>
      <c r="P4"/>
      <c r="Q4" s="78"/>
      <c r="R4"/>
    </row>
    <row r="5" spans="1:19" ht="15" thickBot="1">
      <c r="A5" s="8"/>
      <c r="B5" s="144">
        <v>400</v>
      </c>
      <c r="C5" s="139">
        <f>VLOOKUP(B5,'Spændingsfald (UdeLys)'!$C$19:$D$21,2)</f>
        <v>1</v>
      </c>
      <c r="D5" s="140">
        <v>60</v>
      </c>
      <c r="E5" s="141">
        <v>1.5</v>
      </c>
      <c r="F5" s="61">
        <v>7.41</v>
      </c>
      <c r="G5" s="9">
        <v>1.28</v>
      </c>
      <c r="H5" s="142">
        <v>0.8</v>
      </c>
      <c r="I5" s="145">
        <v>1.83</v>
      </c>
      <c r="J5" s="136">
        <f>C5*D5*(F5*G5*H5)*I5/1000</f>
        <v>0.83314483200000011</v>
      </c>
      <c r="K5" s="137">
        <f>J5*SQRT(3)/400</f>
        <v>3.6076229477185915E-3</v>
      </c>
      <c r="M5" s="135"/>
      <c r="N5" s="135"/>
      <c r="O5" s="135"/>
      <c r="P5"/>
      <c r="Q5" s="78"/>
      <c r="R5"/>
    </row>
    <row r="6" spans="1:19" ht="15" thickBot="1">
      <c r="A6" s="4"/>
      <c r="B6" s="144"/>
      <c r="C6" s="139"/>
      <c r="D6" s="140"/>
      <c r="E6" s="141"/>
      <c r="F6" s="62"/>
      <c r="G6" s="10"/>
      <c r="H6" s="142"/>
      <c r="I6" s="145"/>
      <c r="J6" s="136"/>
      <c r="K6" s="137"/>
      <c r="M6" s="135"/>
      <c r="N6" s="135"/>
      <c r="O6" s="135"/>
      <c r="P6"/>
      <c r="Q6" s="78" t="s">
        <v>92</v>
      </c>
      <c r="R6">
        <v>285</v>
      </c>
      <c r="S6" s="3">
        <f>D5*R6</f>
        <v>17100</v>
      </c>
    </row>
    <row r="7" spans="1:19" ht="15" thickBot="1">
      <c r="B7" s="56"/>
      <c r="C7" s="52"/>
      <c r="D7" s="45"/>
      <c r="E7" s="56"/>
      <c r="H7" s="38"/>
      <c r="I7" s="39"/>
      <c r="M7" s="135"/>
      <c r="N7" s="135"/>
      <c r="O7" s="135"/>
      <c r="P7"/>
      <c r="Q7" s="78"/>
      <c r="R7"/>
    </row>
    <row r="8" spans="1:19" ht="28.9">
      <c r="A8" s="5" t="s">
        <v>93</v>
      </c>
      <c r="B8" s="57"/>
      <c r="C8" s="53" t="s">
        <v>75</v>
      </c>
      <c r="D8" s="46" t="s">
        <v>76</v>
      </c>
      <c r="E8" s="66" t="s">
        <v>77</v>
      </c>
      <c r="F8" s="60" t="s">
        <v>78</v>
      </c>
      <c r="G8" s="6" t="s">
        <v>79</v>
      </c>
      <c r="H8" s="40" t="s">
        <v>80</v>
      </c>
      <c r="I8" s="41" t="s">
        <v>3</v>
      </c>
      <c r="J8" s="7" t="s">
        <v>81</v>
      </c>
      <c r="K8" s="2" t="s">
        <v>82</v>
      </c>
      <c r="M8" s="135"/>
      <c r="N8" s="135"/>
      <c r="O8" s="135"/>
      <c r="P8"/>
      <c r="Q8" s="78"/>
      <c r="R8"/>
    </row>
    <row r="9" spans="1:19" ht="15" thickBot="1">
      <c r="A9" s="8"/>
      <c r="B9" s="138">
        <v>400</v>
      </c>
      <c r="C9" s="139">
        <f>VLOOKUP(B9,C20:D21,2)</f>
        <v>1</v>
      </c>
      <c r="D9" s="140">
        <v>0</v>
      </c>
      <c r="E9" s="141">
        <v>35</v>
      </c>
      <c r="F9" s="61">
        <f>VLOOKUP(E9,$A$19:$B$66,2,FALSE)</f>
        <v>0.52500000000000002</v>
      </c>
      <c r="G9" s="9">
        <v>1.28</v>
      </c>
      <c r="H9" s="142">
        <v>0.92</v>
      </c>
      <c r="I9" s="143">
        <v>20</v>
      </c>
      <c r="J9" s="136">
        <f>C9*D9*(F9*G9*H9)*I9/1000</f>
        <v>0</v>
      </c>
      <c r="K9" s="137">
        <f>J9*SQRT(3)/400</f>
        <v>0</v>
      </c>
      <c r="M9" s="135"/>
      <c r="N9" s="135"/>
      <c r="O9" s="135"/>
      <c r="P9"/>
      <c r="Q9" s="78" t="s">
        <v>94</v>
      </c>
      <c r="R9">
        <v>209</v>
      </c>
      <c r="S9" s="3">
        <f>R9*D9</f>
        <v>0</v>
      </c>
    </row>
    <row r="10" spans="1:19" ht="15" thickBot="1">
      <c r="A10" s="4"/>
      <c r="B10" s="138"/>
      <c r="C10" s="139"/>
      <c r="D10" s="140"/>
      <c r="E10" s="141"/>
      <c r="F10" s="62"/>
      <c r="G10" s="10"/>
      <c r="H10" s="142"/>
      <c r="I10" s="143"/>
      <c r="J10" s="136"/>
      <c r="K10" s="137"/>
      <c r="M10" s="135"/>
      <c r="N10" s="135"/>
      <c r="O10" s="135"/>
      <c r="P10"/>
      <c r="Q10" s="78" t="s">
        <v>95</v>
      </c>
      <c r="R10">
        <v>110</v>
      </c>
      <c r="S10" s="3">
        <f>R10*D9</f>
        <v>0</v>
      </c>
    </row>
    <row r="11" spans="1:19" ht="15" thickBot="1">
      <c r="B11" s="56"/>
      <c r="C11" s="52"/>
      <c r="D11" s="45"/>
      <c r="E11" s="56"/>
      <c r="H11" s="38"/>
      <c r="I11" s="39"/>
      <c r="M11" s="135"/>
      <c r="N11" s="135"/>
      <c r="O11" s="135"/>
      <c r="P11"/>
      <c r="Q11" s="78"/>
      <c r="R11"/>
    </row>
    <row r="12" spans="1:19" ht="28.9">
      <c r="A12" s="23" t="s">
        <v>96</v>
      </c>
      <c r="B12" s="58"/>
      <c r="C12" s="54" t="s">
        <v>75</v>
      </c>
      <c r="D12" s="47" t="s">
        <v>76</v>
      </c>
      <c r="E12" s="67" t="s">
        <v>77</v>
      </c>
      <c r="F12" s="63" t="s">
        <v>78</v>
      </c>
      <c r="G12" s="24" t="s">
        <v>79</v>
      </c>
      <c r="H12" s="42" t="s">
        <v>80</v>
      </c>
      <c r="I12" s="43" t="s">
        <v>3</v>
      </c>
      <c r="J12" s="25" t="s">
        <v>81</v>
      </c>
      <c r="K12" s="26" t="s">
        <v>82</v>
      </c>
      <c r="M12" s="135"/>
      <c r="N12" s="135"/>
      <c r="O12" s="135"/>
      <c r="P12"/>
      <c r="Q12" s="78"/>
      <c r="R12"/>
    </row>
    <row r="13" spans="1:19" ht="15" thickBot="1">
      <c r="A13" s="27"/>
      <c r="B13" s="138">
        <v>400</v>
      </c>
      <c r="C13" s="139">
        <v>1</v>
      </c>
      <c r="D13" s="140">
        <v>0</v>
      </c>
      <c r="E13" s="141">
        <v>2.5</v>
      </c>
      <c r="F13" s="61">
        <v>7.41</v>
      </c>
      <c r="G13" s="9">
        <v>1.28</v>
      </c>
      <c r="H13" s="142">
        <v>0.8</v>
      </c>
      <c r="I13" s="143">
        <v>16</v>
      </c>
      <c r="J13" s="136">
        <f>C13*D13*(F13*G13*H13)*I13/1000</f>
        <v>0</v>
      </c>
      <c r="K13" s="147">
        <f>J13*SQRT(3)/400</f>
        <v>0</v>
      </c>
      <c r="M13" s="135"/>
      <c r="N13" s="135"/>
      <c r="O13" s="135"/>
      <c r="P13"/>
      <c r="Q13" s="78" t="s">
        <v>97</v>
      </c>
      <c r="R13">
        <v>28.43</v>
      </c>
      <c r="S13" s="3">
        <f>R13*D13</f>
        <v>0</v>
      </c>
    </row>
    <row r="14" spans="1:19" ht="15" thickBot="1">
      <c r="A14" s="28"/>
      <c r="B14" s="149"/>
      <c r="C14" s="150"/>
      <c r="D14" s="151"/>
      <c r="E14" s="152"/>
      <c r="F14" s="64"/>
      <c r="G14" s="29"/>
      <c r="H14" s="153"/>
      <c r="I14" s="154"/>
      <c r="J14" s="146"/>
      <c r="K14" s="148"/>
      <c r="M14" s="135"/>
      <c r="N14" s="135"/>
      <c r="O14" s="135"/>
      <c r="P14"/>
      <c r="Q14" s="78" t="s">
        <v>98</v>
      </c>
      <c r="R14">
        <v>16.329999999999998</v>
      </c>
      <c r="S14" s="3">
        <f>R14*D13</f>
        <v>0</v>
      </c>
    </row>
    <row r="15" spans="1:19" customFormat="1">
      <c r="J15" s="74" t="s">
        <v>99</v>
      </c>
      <c r="K15" s="76">
        <f>J2+J5+J9+J13</f>
        <v>4.4966808576000004</v>
      </c>
    </row>
    <row r="16" spans="1:19" customFormat="1" ht="15" thickBot="1">
      <c r="J16" s="75" t="s">
        <v>100</v>
      </c>
      <c r="K16" s="77">
        <f>(J2+J5+J9+J13)*SQRT(3)/400</f>
        <v>1.9471199276963981E-2</v>
      </c>
    </row>
    <row r="17" spans="1:18" customFormat="1" ht="212.25" customHeight="1"/>
    <row r="18" spans="1:18" ht="28.9">
      <c r="A18" s="11" t="s">
        <v>101</v>
      </c>
      <c r="B18" s="12" t="s">
        <v>102</v>
      </c>
      <c r="C18" s="15" t="s">
        <v>103</v>
      </c>
      <c r="D18" s="11" t="s">
        <v>104</v>
      </c>
      <c r="M18"/>
      <c r="N18"/>
      <c r="O18"/>
      <c r="P18"/>
      <c r="Q18"/>
      <c r="R18"/>
    </row>
    <row r="19" spans="1:18">
      <c r="A19" s="13">
        <v>0.5</v>
      </c>
      <c r="B19" s="11"/>
      <c r="C19" s="16" t="s">
        <v>74</v>
      </c>
      <c r="D19" s="18" t="s">
        <v>105</v>
      </c>
    </row>
    <row r="20" spans="1:18">
      <c r="A20" s="13">
        <v>0.75</v>
      </c>
      <c r="B20" s="11"/>
      <c r="C20" s="16">
        <v>230</v>
      </c>
      <c r="D20" s="19">
        <v>2</v>
      </c>
    </row>
    <row r="21" spans="1:18">
      <c r="A21" s="13">
        <v>1</v>
      </c>
      <c r="B21" s="11"/>
      <c r="C21" s="17">
        <v>400</v>
      </c>
      <c r="D21" s="19">
        <v>1</v>
      </c>
    </row>
    <row r="22" spans="1:18">
      <c r="A22" s="13">
        <v>1.5</v>
      </c>
      <c r="B22" s="11">
        <v>12.1</v>
      </c>
    </row>
    <row r="23" spans="1:18">
      <c r="A23" s="13">
        <v>2.5</v>
      </c>
      <c r="B23" s="11">
        <v>7.41</v>
      </c>
    </row>
    <row r="24" spans="1:18">
      <c r="A24" s="13">
        <v>4</v>
      </c>
      <c r="B24" s="11">
        <v>4.6100000000000003</v>
      </c>
    </row>
    <row r="25" spans="1:18">
      <c r="A25" s="13">
        <v>6</v>
      </c>
      <c r="B25" s="11">
        <v>3.08</v>
      </c>
    </row>
    <row r="26" spans="1:18">
      <c r="A26" s="13">
        <v>10</v>
      </c>
      <c r="B26" s="11">
        <v>1.83</v>
      </c>
    </row>
    <row r="27" spans="1:18">
      <c r="A27" s="13">
        <v>16</v>
      </c>
      <c r="B27" s="11">
        <v>1.1499999999999999</v>
      </c>
    </row>
    <row r="28" spans="1:18">
      <c r="A28" s="13">
        <v>25</v>
      </c>
      <c r="B28" s="11">
        <v>0.72799999999999998</v>
      </c>
    </row>
    <row r="29" spans="1:18">
      <c r="A29" s="13">
        <v>35</v>
      </c>
      <c r="B29" s="11">
        <v>0.52500000000000002</v>
      </c>
    </row>
    <row r="30" spans="1:18">
      <c r="A30" s="13">
        <v>50</v>
      </c>
      <c r="B30" s="11">
        <v>0.38900000000000001</v>
      </c>
    </row>
    <row r="31" spans="1:18">
      <c r="A31" s="13">
        <v>70</v>
      </c>
      <c r="B31" s="11">
        <v>0.27</v>
      </c>
    </row>
    <row r="32" spans="1:18">
      <c r="A32" s="13">
        <v>95</v>
      </c>
      <c r="B32" s="11">
        <v>0.19500000000000001</v>
      </c>
    </row>
    <row r="33" spans="1:2">
      <c r="A33" s="13">
        <v>120</v>
      </c>
      <c r="B33" s="11">
        <v>0.155</v>
      </c>
    </row>
    <row r="34" spans="1:2">
      <c r="A34" s="13">
        <v>150</v>
      </c>
      <c r="B34" s="11">
        <v>0.126</v>
      </c>
    </row>
    <row r="35" spans="1:2">
      <c r="A35" s="13">
        <v>185</v>
      </c>
      <c r="B35" s="11">
        <v>0.1021</v>
      </c>
    </row>
    <row r="36" spans="1:2">
      <c r="A36" s="13">
        <v>240</v>
      </c>
      <c r="B36" s="11">
        <v>7.9200000000000007E-2</v>
      </c>
    </row>
    <row r="37" spans="1:2">
      <c r="A37" s="13">
        <v>300</v>
      </c>
      <c r="B37" s="11">
        <v>6.4199999999999993E-2</v>
      </c>
    </row>
    <row r="38" spans="1:2">
      <c r="A38" s="12"/>
      <c r="B38" s="12" t="s">
        <v>106</v>
      </c>
    </row>
    <row r="39" spans="1:2">
      <c r="A39" s="14" t="s">
        <v>107</v>
      </c>
      <c r="B39" s="11">
        <v>1.91</v>
      </c>
    </row>
    <row r="40" spans="1:2">
      <c r="A40" s="14" t="s">
        <v>108</v>
      </c>
      <c r="B40" s="11">
        <v>1.2</v>
      </c>
    </row>
    <row r="41" spans="1:2">
      <c r="A41" s="14" t="s">
        <v>109</v>
      </c>
      <c r="B41" s="11">
        <v>0.86799999999999999</v>
      </c>
    </row>
    <row r="42" spans="1:2">
      <c r="A42" s="14" t="s">
        <v>110</v>
      </c>
      <c r="B42" s="11">
        <v>0.84099999999999997</v>
      </c>
    </row>
    <row r="43" spans="1:2">
      <c r="A43" s="14" t="s">
        <v>111</v>
      </c>
      <c r="B43" s="11">
        <v>0.443</v>
      </c>
    </row>
    <row r="44" spans="1:2">
      <c r="A44" s="14" t="s">
        <v>112</v>
      </c>
      <c r="B44" s="11">
        <v>0.32</v>
      </c>
    </row>
    <row r="45" spans="1:2">
      <c r="A45" s="14" t="s">
        <v>113</v>
      </c>
      <c r="B45" s="11">
        <v>0.254</v>
      </c>
    </row>
    <row r="46" spans="1:2">
      <c r="A46" s="14" t="s">
        <v>114</v>
      </c>
      <c r="B46" s="11">
        <v>0.20799999999999999</v>
      </c>
    </row>
    <row r="47" spans="1:2">
      <c r="A47" s="14" t="s">
        <v>115</v>
      </c>
      <c r="B47" s="11">
        <v>0.16600000000000001</v>
      </c>
    </row>
    <row r="48" spans="1:2">
      <c r="A48" s="14" t="s">
        <v>116</v>
      </c>
      <c r="B48" s="11">
        <v>0.128</v>
      </c>
    </row>
    <row r="49" spans="1:2">
      <c r="A49" s="14" t="s">
        <v>117</v>
      </c>
      <c r="B49" s="11">
        <v>0.104</v>
      </c>
    </row>
    <row r="50" spans="1:2">
      <c r="A50" s="11"/>
      <c r="B50" s="11" t="s">
        <v>118</v>
      </c>
    </row>
    <row r="51" spans="1:2">
      <c r="A51" s="13" t="s">
        <v>119</v>
      </c>
      <c r="B51" s="11">
        <v>40.1</v>
      </c>
    </row>
    <row r="52" spans="1:2">
      <c r="A52" s="13" t="s">
        <v>120</v>
      </c>
      <c r="B52" s="11">
        <v>26.7</v>
      </c>
    </row>
    <row r="53" spans="1:2">
      <c r="A53" s="13" t="s">
        <v>121</v>
      </c>
      <c r="B53" s="11">
        <v>20</v>
      </c>
    </row>
    <row r="54" spans="1:2">
      <c r="A54" s="13" t="s">
        <v>122</v>
      </c>
      <c r="B54" s="11">
        <v>13.7</v>
      </c>
    </row>
    <row r="55" spans="1:2">
      <c r="A55" s="13" t="s">
        <v>123</v>
      </c>
      <c r="B55" s="11">
        <v>8.2100000000000009</v>
      </c>
    </row>
    <row r="56" spans="1:2">
      <c r="A56" s="13" t="s">
        <v>124</v>
      </c>
      <c r="B56" s="11">
        <v>5.09</v>
      </c>
    </row>
    <row r="57" spans="1:2">
      <c r="A57" s="13" t="s">
        <v>125</v>
      </c>
      <c r="B57" s="11">
        <v>3.39</v>
      </c>
    </row>
    <row r="58" spans="1:2">
      <c r="A58" s="13" t="s">
        <v>126</v>
      </c>
      <c r="B58" s="11">
        <v>1.95</v>
      </c>
    </row>
    <row r="59" spans="1:2">
      <c r="A59" s="13" t="s">
        <v>127</v>
      </c>
      <c r="B59" s="11">
        <v>1.24</v>
      </c>
    </row>
    <row r="60" spans="1:2">
      <c r="A60" s="13" t="s">
        <v>128</v>
      </c>
      <c r="B60" s="11">
        <v>0.79600000000000004</v>
      </c>
    </row>
    <row r="61" spans="1:2">
      <c r="A61" s="13" t="s">
        <v>129</v>
      </c>
      <c r="B61" s="11">
        <v>0.56599999999999995</v>
      </c>
    </row>
    <row r="62" spans="1:2">
      <c r="A62" s="13" t="s">
        <v>130</v>
      </c>
      <c r="B62" s="11">
        <v>0.39500000000000002</v>
      </c>
    </row>
    <row r="63" spans="1:2">
      <c r="A63" s="13" t="s">
        <v>131</v>
      </c>
      <c r="B63" s="11">
        <v>0.27900000000000003</v>
      </c>
    </row>
    <row r="64" spans="1:2">
      <c r="A64" s="13" t="s">
        <v>132</v>
      </c>
      <c r="B64" s="11">
        <v>0.21199999999999999</v>
      </c>
    </row>
    <row r="65" spans="1:2">
      <c r="A65" s="13" t="s">
        <v>133</v>
      </c>
      <c r="B65" s="11">
        <v>0.16600000000000001</v>
      </c>
    </row>
    <row r="66" spans="1:2">
      <c r="A66" s="13" t="s">
        <v>134</v>
      </c>
      <c r="B66" s="11">
        <v>0.13400000000000001</v>
      </c>
    </row>
  </sheetData>
  <mergeCells count="25">
    <mergeCell ref="I5:I6"/>
    <mergeCell ref="J13:J14"/>
    <mergeCell ref="K13:K14"/>
    <mergeCell ref="B13:B14"/>
    <mergeCell ref="C13:C14"/>
    <mergeCell ref="D13:D14"/>
    <mergeCell ref="E13:E14"/>
    <mergeCell ref="H13:H14"/>
    <mergeCell ref="I13:I14"/>
    <mergeCell ref="M3:O14"/>
    <mergeCell ref="J5:J6"/>
    <mergeCell ref="K5:K6"/>
    <mergeCell ref="B9:B10"/>
    <mergeCell ref="C9:C10"/>
    <mergeCell ref="D9:D10"/>
    <mergeCell ref="E9:E10"/>
    <mergeCell ref="H9:H10"/>
    <mergeCell ref="I9:I10"/>
    <mergeCell ref="J9:J10"/>
    <mergeCell ref="K9:K10"/>
    <mergeCell ref="B5:B6"/>
    <mergeCell ref="C5:C6"/>
    <mergeCell ref="D5:D6"/>
    <mergeCell ref="E5:E6"/>
    <mergeCell ref="H5:H6"/>
  </mergeCells>
  <dataValidations count="2">
    <dataValidation type="list" allowBlank="1" showInputMessage="1" showErrorMessage="1" sqref="B2 B9 B5 B13" xr:uid="{0BFDA87F-15AE-437C-8926-C684E2BDC085}">
      <formula1>$C$20:$C$21</formula1>
    </dataValidation>
    <dataValidation type="list" allowBlank="1" showInputMessage="1" showErrorMessage="1" sqref="E2 E9 E5 E13" xr:uid="{EBCA16DF-5BD2-457C-BB69-C1F117DF33E5}">
      <formula1>$A$18:$A$66</formula1>
    </dataValidation>
  </dataValidations>
  <pageMargins left="0.70000000000000007" right="0.70000000000000007" top="0.75" bottom="0.75" header="0.30000000000000004" footer="0.30000000000000004"/>
  <pageSetup paperSize="9" fitToWidth="0" fitToHeight="0"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0AE2-D394-4860-90AD-79BFDD7C969B}">
  <sheetPr>
    <tabColor theme="8"/>
  </sheetPr>
  <dimension ref="A1:S66"/>
  <sheetViews>
    <sheetView zoomScale="96" zoomScaleNormal="70" workbookViewId="0">
      <selection activeCell="F17" sqref="F17"/>
    </sheetView>
  </sheetViews>
  <sheetFormatPr defaultColWidth="9.7109375" defaultRowHeight="14.45"/>
  <cols>
    <col min="1" max="1" width="25.85546875" style="3" customWidth="1"/>
    <col min="2" max="2" width="13" style="3" customWidth="1"/>
    <col min="3" max="3" width="16.28515625" style="3" customWidth="1"/>
    <col min="4" max="4" width="15.42578125" style="3" customWidth="1"/>
    <col min="5" max="5" width="13.7109375" style="3" customWidth="1"/>
    <col min="6" max="6" width="15.42578125" style="3" customWidth="1"/>
    <col min="7" max="7" width="9.7109375" style="3" customWidth="1"/>
    <col min="8" max="8" width="10.42578125" style="3" customWidth="1"/>
    <col min="9" max="9" width="11.7109375" style="3" customWidth="1"/>
    <col min="10" max="10" width="11" style="3" customWidth="1"/>
    <col min="11" max="11" width="9.7109375" style="3" customWidth="1"/>
    <col min="12" max="12" width="9.7109375" style="3"/>
    <col min="13" max="15" width="21.42578125" style="3" customWidth="1"/>
    <col min="16" max="16" width="9.7109375" style="3"/>
    <col min="17" max="17" width="13.140625" style="3" customWidth="1"/>
    <col min="18" max="18" width="19.28515625" style="3" customWidth="1"/>
    <col min="19" max="16384" width="9.7109375" style="3"/>
  </cols>
  <sheetData>
    <row r="1" spans="1:19" ht="35.450000000000003" customHeight="1" thickBot="1">
      <c r="A1" s="48" t="s">
        <v>0</v>
      </c>
      <c r="B1" s="69" t="s">
        <v>74</v>
      </c>
      <c r="C1" s="50" t="s">
        <v>75</v>
      </c>
      <c r="D1" s="70" t="s">
        <v>76</v>
      </c>
      <c r="E1" s="68" t="s">
        <v>77</v>
      </c>
      <c r="F1" s="59" t="s">
        <v>78</v>
      </c>
      <c r="G1" s="32" t="s">
        <v>79</v>
      </c>
      <c r="H1" s="71" t="s">
        <v>80</v>
      </c>
      <c r="I1" s="72" t="s">
        <v>3</v>
      </c>
      <c r="J1" s="34" t="s">
        <v>81</v>
      </c>
      <c r="K1" s="30" t="s">
        <v>82</v>
      </c>
      <c r="M1"/>
      <c r="N1"/>
      <c r="O1"/>
      <c r="P1"/>
      <c r="Q1" s="109" t="s">
        <v>83</v>
      </c>
      <c r="R1" s="110" t="s">
        <v>84</v>
      </c>
      <c r="S1" s="111" t="s">
        <v>85</v>
      </c>
    </row>
    <row r="2" spans="1:19" ht="29.85" customHeight="1" thickBot="1">
      <c r="A2" s="49"/>
      <c r="B2" s="55">
        <v>400</v>
      </c>
      <c r="C2" s="51">
        <f>VLOOKUP(B2,'Spændingsfald(HTwater)'!$C$18:$D$21,2)</f>
        <v>1</v>
      </c>
      <c r="D2" s="44">
        <v>55</v>
      </c>
      <c r="E2" s="65">
        <v>50</v>
      </c>
      <c r="F2" s="73">
        <f>VLOOKUP(E2,$A$19:$B$66,2,FALSE)</f>
        <v>0.38900000000000001</v>
      </c>
      <c r="G2" s="33">
        <v>1.28</v>
      </c>
      <c r="H2" s="36">
        <v>0.92</v>
      </c>
      <c r="I2" s="37">
        <v>144</v>
      </c>
      <c r="J2" s="35">
        <f>C2*D2*(F2*G2*H2)*I2/1000</f>
        <v>3.6280442880000003</v>
      </c>
      <c r="K2" s="31">
        <f>J2*SQRT(3)/400</f>
        <v>1.5709892597315131E-2</v>
      </c>
      <c r="M2" s="20" t="s">
        <v>86</v>
      </c>
      <c r="N2" s="21" t="s">
        <v>87</v>
      </c>
      <c r="O2" s="22" t="s">
        <v>88</v>
      </c>
      <c r="P2"/>
      <c r="Q2" s="116" t="s">
        <v>135</v>
      </c>
      <c r="R2" s="117">
        <v>275</v>
      </c>
      <c r="S2" s="118">
        <f>D2*R2</f>
        <v>15125</v>
      </c>
    </row>
    <row r="3" spans="1:19" ht="15" thickBot="1">
      <c r="B3" s="56"/>
      <c r="C3" s="52"/>
      <c r="D3" s="45"/>
      <c r="E3" s="56"/>
      <c r="H3" s="38"/>
      <c r="I3" s="39"/>
      <c r="M3" s="133" t="s">
        <v>90</v>
      </c>
      <c r="N3" s="134"/>
      <c r="O3" s="134"/>
      <c r="P3"/>
      <c r="Q3" s="112"/>
      <c r="R3"/>
      <c r="S3" s="106"/>
    </row>
    <row r="4" spans="1:19" ht="28.9">
      <c r="A4" s="5" t="s">
        <v>91</v>
      </c>
      <c r="B4" s="57"/>
      <c r="C4" s="53" t="s">
        <v>75</v>
      </c>
      <c r="D4" s="46" t="s">
        <v>76</v>
      </c>
      <c r="E4" s="66" t="s">
        <v>77</v>
      </c>
      <c r="F4" s="60" t="s">
        <v>78</v>
      </c>
      <c r="G4" s="6" t="s">
        <v>79</v>
      </c>
      <c r="H4" s="40" t="s">
        <v>80</v>
      </c>
      <c r="I4" s="41" t="s">
        <v>3</v>
      </c>
      <c r="J4" s="7" t="s">
        <v>81</v>
      </c>
      <c r="K4" s="2" t="s">
        <v>82</v>
      </c>
      <c r="M4" s="135"/>
      <c r="N4" s="135"/>
      <c r="O4" s="135"/>
      <c r="P4"/>
      <c r="Q4" s="112"/>
      <c r="R4"/>
      <c r="S4" s="106"/>
    </row>
    <row r="5" spans="1:19" ht="15" thickBot="1">
      <c r="A5" s="8"/>
      <c r="B5" s="144">
        <v>400</v>
      </c>
      <c r="C5" s="139">
        <f>VLOOKUP(B5,'Spændingsfald(HTwater)'!$C$19:$D$21,2)</f>
        <v>1</v>
      </c>
      <c r="D5" s="140">
        <v>15</v>
      </c>
      <c r="E5" s="141">
        <v>2.5</v>
      </c>
      <c r="F5" s="61">
        <f>VLOOKUP(E5,$A$19:$B$66,2,FALSE)</f>
        <v>7.41</v>
      </c>
      <c r="G5" s="9">
        <v>1.28</v>
      </c>
      <c r="H5" s="142">
        <v>0.8</v>
      </c>
      <c r="I5" s="143">
        <v>16</v>
      </c>
      <c r="J5" s="136">
        <f>C5*D5*(F5*G5*H5)*I5/1000</f>
        <v>1.8210816000000001</v>
      </c>
      <c r="K5" s="137">
        <f>J5*SQRT(3)/400</f>
        <v>7.8855146398220579E-3</v>
      </c>
      <c r="M5" s="135"/>
      <c r="N5" s="135"/>
      <c r="O5" s="135"/>
      <c r="P5"/>
      <c r="Q5" s="112"/>
      <c r="R5"/>
      <c r="S5" s="106"/>
    </row>
    <row r="6" spans="1:19" ht="15" thickBot="1">
      <c r="A6" s="4"/>
      <c r="B6" s="144"/>
      <c r="C6" s="139"/>
      <c r="D6" s="140"/>
      <c r="E6" s="141"/>
      <c r="F6" s="62"/>
      <c r="G6" s="10"/>
      <c r="H6" s="142"/>
      <c r="I6" s="143"/>
      <c r="J6" s="136"/>
      <c r="K6" s="137"/>
      <c r="M6" s="135"/>
      <c r="N6" s="135"/>
      <c r="O6" s="135"/>
      <c r="P6"/>
      <c r="Q6" s="113" t="s">
        <v>92</v>
      </c>
      <c r="R6" s="114">
        <v>285</v>
      </c>
      <c r="S6" s="115">
        <f>D5*R6</f>
        <v>4275</v>
      </c>
    </row>
    <row r="7" spans="1:19" ht="15" thickBot="1">
      <c r="B7" s="56"/>
      <c r="C7" s="52"/>
      <c r="D7" s="45"/>
      <c r="E7" s="56"/>
      <c r="H7" s="38"/>
      <c r="I7" s="39"/>
      <c r="M7" s="135"/>
      <c r="N7" s="135"/>
      <c r="O7" s="135"/>
      <c r="P7"/>
      <c r="Q7" s="112"/>
      <c r="R7"/>
      <c r="S7" s="106"/>
    </row>
    <row r="8" spans="1:19" ht="28.9">
      <c r="A8" s="5" t="s">
        <v>93</v>
      </c>
      <c r="B8" s="57"/>
      <c r="C8" s="53" t="s">
        <v>75</v>
      </c>
      <c r="D8" s="46" t="s">
        <v>76</v>
      </c>
      <c r="E8" s="66" t="s">
        <v>77</v>
      </c>
      <c r="F8" s="60" t="s">
        <v>78</v>
      </c>
      <c r="G8" s="6" t="s">
        <v>79</v>
      </c>
      <c r="H8" s="40" t="s">
        <v>80</v>
      </c>
      <c r="I8" s="41" t="s">
        <v>3</v>
      </c>
      <c r="J8" s="7" t="s">
        <v>81</v>
      </c>
      <c r="K8" s="2" t="s">
        <v>82</v>
      </c>
      <c r="M8" s="135"/>
      <c r="N8" s="135"/>
      <c r="O8" s="135"/>
      <c r="P8"/>
      <c r="Q8" s="112"/>
      <c r="R8"/>
      <c r="S8" s="106"/>
    </row>
    <row r="9" spans="1:19" ht="15" thickBot="1">
      <c r="A9" s="8"/>
      <c r="B9" s="138">
        <v>400</v>
      </c>
      <c r="C9" s="139">
        <f>VLOOKUP(B9,C20:D21,2)</f>
        <v>1</v>
      </c>
      <c r="D9" s="140"/>
      <c r="E9" s="141">
        <v>6</v>
      </c>
      <c r="F9" s="61">
        <f>VLOOKUP(E9,$A$19:$B$66,2,FALSE)</f>
        <v>3.08</v>
      </c>
      <c r="G9" s="9">
        <v>1.28</v>
      </c>
      <c r="H9" s="142">
        <v>0.92</v>
      </c>
      <c r="I9" s="143">
        <v>0</v>
      </c>
      <c r="J9" s="136">
        <f>C9*D9*(F9*G9*H9)*I9/1000</f>
        <v>0</v>
      </c>
      <c r="K9" s="137">
        <f>J9*SQRT(3)/400</f>
        <v>0</v>
      </c>
      <c r="M9" s="135"/>
      <c r="N9" s="135"/>
      <c r="O9" s="135"/>
      <c r="P9"/>
      <c r="Q9" s="112" t="s">
        <v>94</v>
      </c>
      <c r="R9" s="107">
        <v>209</v>
      </c>
      <c r="S9" s="108">
        <f>R9*D9</f>
        <v>0</v>
      </c>
    </row>
    <row r="10" spans="1:19" ht="15" thickBot="1">
      <c r="A10" s="4"/>
      <c r="B10" s="138"/>
      <c r="C10" s="139"/>
      <c r="D10" s="140"/>
      <c r="E10" s="141"/>
      <c r="F10" s="62"/>
      <c r="G10" s="10"/>
      <c r="H10" s="142"/>
      <c r="I10" s="143"/>
      <c r="J10" s="136"/>
      <c r="K10" s="137"/>
      <c r="M10" s="135"/>
      <c r="N10" s="135"/>
      <c r="O10" s="135"/>
      <c r="P10"/>
      <c r="Q10" s="113" t="s">
        <v>95</v>
      </c>
      <c r="R10" s="114">
        <v>110</v>
      </c>
      <c r="S10" s="115">
        <f>R10*D9</f>
        <v>0</v>
      </c>
    </row>
    <row r="11" spans="1:19" ht="15" thickBot="1">
      <c r="B11" s="56"/>
      <c r="C11" s="52"/>
      <c r="D11" s="45"/>
      <c r="E11" s="56"/>
      <c r="H11" s="38"/>
      <c r="I11" s="39"/>
      <c r="M11" s="135"/>
      <c r="N11" s="135"/>
      <c r="O11" s="135"/>
      <c r="P11"/>
      <c r="Q11" s="112"/>
      <c r="R11"/>
      <c r="S11" s="106"/>
    </row>
    <row r="12" spans="1:19" ht="28.9">
      <c r="A12" s="23" t="s">
        <v>96</v>
      </c>
      <c r="B12" s="58"/>
      <c r="C12" s="54" t="s">
        <v>75</v>
      </c>
      <c r="D12" s="47" t="s">
        <v>76</v>
      </c>
      <c r="E12" s="67" t="s">
        <v>77</v>
      </c>
      <c r="F12" s="63" t="s">
        <v>78</v>
      </c>
      <c r="G12" s="24" t="s">
        <v>79</v>
      </c>
      <c r="H12" s="42" t="s">
        <v>80</v>
      </c>
      <c r="I12" s="43" t="s">
        <v>3</v>
      </c>
      <c r="J12" s="25" t="s">
        <v>81</v>
      </c>
      <c r="K12" s="26" t="s">
        <v>82</v>
      </c>
      <c r="M12" s="135"/>
      <c r="N12" s="135"/>
      <c r="O12" s="135"/>
      <c r="P12"/>
      <c r="Q12" s="112"/>
      <c r="R12"/>
      <c r="S12" s="106"/>
    </row>
    <row r="13" spans="1:19" ht="15" thickBot="1">
      <c r="A13" s="27"/>
      <c r="B13" s="138">
        <v>230</v>
      </c>
      <c r="C13" s="139">
        <f>VLOOKUP(B13,C20:D21,2)</f>
        <v>2</v>
      </c>
      <c r="D13" s="140"/>
      <c r="E13" s="141">
        <v>1.5</v>
      </c>
      <c r="F13" s="61">
        <f>VLOOKUP(E13,$A$19:$B$66,2,FALSE)</f>
        <v>12.1</v>
      </c>
      <c r="G13" s="9">
        <v>1.28</v>
      </c>
      <c r="H13" s="142">
        <v>0.92</v>
      </c>
      <c r="I13" s="143">
        <v>0</v>
      </c>
      <c r="J13" s="136">
        <f>C13*D13*(F13*G13*H13)*I13/1000</f>
        <v>0</v>
      </c>
      <c r="K13" s="147">
        <f>J13*SQRT(3)/400</f>
        <v>0</v>
      </c>
      <c r="M13" s="135"/>
      <c r="N13" s="135"/>
      <c r="O13" s="135"/>
      <c r="P13"/>
      <c r="Q13" s="112" t="s">
        <v>97</v>
      </c>
      <c r="R13" s="107">
        <v>28.43</v>
      </c>
      <c r="S13" s="108">
        <f>R13*D13</f>
        <v>0</v>
      </c>
    </row>
    <row r="14" spans="1:19" ht="15" thickBot="1">
      <c r="A14" s="28"/>
      <c r="B14" s="149"/>
      <c r="C14" s="150"/>
      <c r="D14" s="151"/>
      <c r="E14" s="152"/>
      <c r="F14" s="64"/>
      <c r="G14" s="29"/>
      <c r="H14" s="153"/>
      <c r="I14" s="154"/>
      <c r="J14" s="146"/>
      <c r="K14" s="148"/>
      <c r="M14" s="135"/>
      <c r="N14" s="135"/>
      <c r="O14" s="135"/>
      <c r="P14"/>
      <c r="Q14" s="113" t="s">
        <v>98</v>
      </c>
      <c r="R14" s="114">
        <v>16.329999999999998</v>
      </c>
      <c r="S14" s="115">
        <f>R14*D13</f>
        <v>0</v>
      </c>
    </row>
    <row r="15" spans="1:19" customFormat="1">
      <c r="J15" s="104" t="s">
        <v>99</v>
      </c>
      <c r="K15" s="76">
        <f>J2+J5+J9+J13</f>
        <v>5.4491258880000002</v>
      </c>
    </row>
    <row r="16" spans="1:19" customFormat="1" ht="15" thickBot="1">
      <c r="J16" s="105" t="s">
        <v>100</v>
      </c>
      <c r="K16" s="77">
        <f>(J2+J5+J9+J13)*SQRT(3)/400</f>
        <v>2.3595407237137187E-2</v>
      </c>
    </row>
    <row r="17" spans="1:18" customFormat="1" ht="212.25" customHeight="1"/>
    <row r="18" spans="1:18" ht="28.9">
      <c r="A18" s="11" t="s">
        <v>101</v>
      </c>
      <c r="B18" s="12" t="s">
        <v>102</v>
      </c>
      <c r="C18" s="15" t="s">
        <v>103</v>
      </c>
      <c r="D18" s="11" t="s">
        <v>104</v>
      </c>
      <c r="M18"/>
      <c r="N18"/>
      <c r="O18"/>
      <c r="P18"/>
      <c r="Q18"/>
      <c r="R18"/>
    </row>
    <row r="19" spans="1:18">
      <c r="A19" s="13">
        <v>0.5</v>
      </c>
      <c r="B19" s="11"/>
      <c r="C19" s="16" t="s">
        <v>74</v>
      </c>
      <c r="D19" s="18" t="s">
        <v>105</v>
      </c>
    </row>
    <row r="20" spans="1:18">
      <c r="A20" s="13">
        <v>0.75</v>
      </c>
      <c r="B20" s="11"/>
      <c r="C20" s="16">
        <v>230</v>
      </c>
      <c r="D20" s="19">
        <v>2</v>
      </c>
    </row>
    <row r="21" spans="1:18">
      <c r="A21" s="13">
        <v>1</v>
      </c>
      <c r="B21" s="11"/>
      <c r="C21" s="17">
        <v>400</v>
      </c>
      <c r="D21" s="19">
        <v>1</v>
      </c>
    </row>
    <row r="22" spans="1:18">
      <c r="A22" s="13">
        <v>1.5</v>
      </c>
      <c r="B22" s="11">
        <v>12.1</v>
      </c>
    </row>
    <row r="23" spans="1:18">
      <c r="A23" s="13">
        <v>2.5</v>
      </c>
      <c r="B23" s="11">
        <v>7.41</v>
      </c>
    </row>
    <row r="24" spans="1:18">
      <c r="A24" s="13">
        <v>4</v>
      </c>
      <c r="B24" s="11">
        <v>4.6100000000000003</v>
      </c>
    </row>
    <row r="25" spans="1:18">
      <c r="A25" s="13">
        <v>6</v>
      </c>
      <c r="B25" s="11">
        <v>3.08</v>
      </c>
    </row>
    <row r="26" spans="1:18">
      <c r="A26" s="13">
        <v>10</v>
      </c>
      <c r="B26" s="11">
        <v>1.83</v>
      </c>
    </row>
    <row r="27" spans="1:18">
      <c r="A27" s="13">
        <v>16</v>
      </c>
      <c r="B27" s="11">
        <v>1.1499999999999999</v>
      </c>
    </row>
    <row r="28" spans="1:18">
      <c r="A28" s="13">
        <v>25</v>
      </c>
      <c r="B28" s="11">
        <v>0.72799999999999998</v>
      </c>
    </row>
    <row r="29" spans="1:18">
      <c r="A29" s="13">
        <v>35</v>
      </c>
      <c r="B29" s="11">
        <v>0.52500000000000002</v>
      </c>
    </row>
    <row r="30" spans="1:18">
      <c r="A30" s="13">
        <v>50</v>
      </c>
      <c r="B30" s="11">
        <v>0.38900000000000001</v>
      </c>
    </row>
    <row r="31" spans="1:18">
      <c r="A31" s="13">
        <v>70</v>
      </c>
      <c r="B31" s="11">
        <v>0.27</v>
      </c>
    </row>
    <row r="32" spans="1:18">
      <c r="A32" s="13">
        <v>95</v>
      </c>
      <c r="B32" s="11">
        <v>0.19500000000000001</v>
      </c>
    </row>
    <row r="33" spans="1:2">
      <c r="A33" s="13">
        <v>120</v>
      </c>
      <c r="B33" s="11">
        <v>0.155</v>
      </c>
    </row>
    <row r="34" spans="1:2">
      <c r="A34" s="13">
        <v>150</v>
      </c>
      <c r="B34" s="11">
        <v>0.126</v>
      </c>
    </row>
    <row r="35" spans="1:2">
      <c r="A35" s="13">
        <v>185</v>
      </c>
      <c r="B35" s="11">
        <v>0.1021</v>
      </c>
    </row>
    <row r="36" spans="1:2">
      <c r="A36" s="13">
        <v>240</v>
      </c>
      <c r="B36" s="11">
        <v>7.9200000000000007E-2</v>
      </c>
    </row>
    <row r="37" spans="1:2">
      <c r="A37" s="13">
        <v>300</v>
      </c>
      <c r="B37" s="11">
        <v>6.4199999999999993E-2</v>
      </c>
    </row>
    <row r="38" spans="1:2">
      <c r="A38" s="12"/>
      <c r="B38" s="12" t="s">
        <v>106</v>
      </c>
    </row>
    <row r="39" spans="1:2">
      <c r="A39" s="14" t="s">
        <v>107</v>
      </c>
      <c r="B39" s="11">
        <v>1.91</v>
      </c>
    </row>
    <row r="40" spans="1:2">
      <c r="A40" s="14" t="s">
        <v>108</v>
      </c>
      <c r="B40" s="11">
        <v>1.2</v>
      </c>
    </row>
    <row r="41" spans="1:2">
      <c r="A41" s="14" t="s">
        <v>109</v>
      </c>
      <c r="B41" s="11">
        <v>0.86799999999999999</v>
      </c>
    </row>
    <row r="42" spans="1:2">
      <c r="A42" s="14" t="s">
        <v>110</v>
      </c>
      <c r="B42" s="11">
        <v>0.84099999999999997</v>
      </c>
    </row>
    <row r="43" spans="1:2">
      <c r="A43" s="14" t="s">
        <v>111</v>
      </c>
      <c r="B43" s="11">
        <v>0.443</v>
      </c>
    </row>
    <row r="44" spans="1:2">
      <c r="A44" s="14" t="s">
        <v>112</v>
      </c>
      <c r="B44" s="11">
        <v>0.32</v>
      </c>
    </row>
    <row r="45" spans="1:2">
      <c r="A45" s="14" t="s">
        <v>113</v>
      </c>
      <c r="B45" s="11">
        <v>0.254</v>
      </c>
    </row>
    <row r="46" spans="1:2">
      <c r="A46" s="14" t="s">
        <v>114</v>
      </c>
      <c r="B46" s="11">
        <v>0.20799999999999999</v>
      </c>
    </row>
    <row r="47" spans="1:2">
      <c r="A47" s="14" t="s">
        <v>115</v>
      </c>
      <c r="B47" s="11">
        <v>0.16600000000000001</v>
      </c>
    </row>
    <row r="48" spans="1:2">
      <c r="A48" s="14" t="s">
        <v>116</v>
      </c>
      <c r="B48" s="11">
        <v>0.128</v>
      </c>
    </row>
    <row r="49" spans="1:2">
      <c r="A49" s="14" t="s">
        <v>117</v>
      </c>
      <c r="B49" s="11">
        <v>0.104</v>
      </c>
    </row>
    <row r="50" spans="1:2">
      <c r="A50" s="11"/>
      <c r="B50" s="11" t="s">
        <v>118</v>
      </c>
    </row>
    <row r="51" spans="1:2">
      <c r="A51" s="13" t="s">
        <v>119</v>
      </c>
      <c r="B51" s="11">
        <v>40.1</v>
      </c>
    </row>
    <row r="52" spans="1:2">
      <c r="A52" s="13" t="s">
        <v>120</v>
      </c>
      <c r="B52" s="11">
        <v>26.7</v>
      </c>
    </row>
    <row r="53" spans="1:2">
      <c r="A53" s="13" t="s">
        <v>121</v>
      </c>
      <c r="B53" s="11">
        <v>20</v>
      </c>
    </row>
    <row r="54" spans="1:2">
      <c r="A54" s="13" t="s">
        <v>122</v>
      </c>
      <c r="B54" s="11">
        <v>13.7</v>
      </c>
    </row>
    <row r="55" spans="1:2">
      <c r="A55" s="13" t="s">
        <v>123</v>
      </c>
      <c r="B55" s="11">
        <v>8.2100000000000009</v>
      </c>
    </row>
    <row r="56" spans="1:2">
      <c r="A56" s="13" t="s">
        <v>124</v>
      </c>
      <c r="B56" s="11">
        <v>5.09</v>
      </c>
    </row>
    <row r="57" spans="1:2">
      <c r="A57" s="13" t="s">
        <v>125</v>
      </c>
      <c r="B57" s="11">
        <v>3.39</v>
      </c>
    </row>
    <row r="58" spans="1:2">
      <c r="A58" s="13" t="s">
        <v>126</v>
      </c>
      <c r="B58" s="11">
        <v>1.95</v>
      </c>
    </row>
    <row r="59" spans="1:2">
      <c r="A59" s="13" t="s">
        <v>127</v>
      </c>
      <c r="B59" s="11">
        <v>1.24</v>
      </c>
    </row>
    <row r="60" spans="1:2">
      <c r="A60" s="13" t="s">
        <v>128</v>
      </c>
      <c r="B60" s="11">
        <v>0.79600000000000004</v>
      </c>
    </row>
    <row r="61" spans="1:2">
      <c r="A61" s="13" t="s">
        <v>129</v>
      </c>
      <c r="B61" s="11">
        <v>0.56599999999999995</v>
      </c>
    </row>
    <row r="62" spans="1:2">
      <c r="A62" s="13" t="s">
        <v>130</v>
      </c>
      <c r="B62" s="11">
        <v>0.39500000000000002</v>
      </c>
    </row>
    <row r="63" spans="1:2">
      <c r="A63" s="13" t="s">
        <v>131</v>
      </c>
      <c r="B63" s="11">
        <v>0.27900000000000003</v>
      </c>
    </row>
    <row r="64" spans="1:2">
      <c r="A64" s="13" t="s">
        <v>132</v>
      </c>
      <c r="B64" s="11">
        <v>0.21199999999999999</v>
      </c>
    </row>
    <row r="65" spans="1:2">
      <c r="A65" s="13" t="s">
        <v>133</v>
      </c>
      <c r="B65" s="11">
        <v>0.16600000000000001</v>
      </c>
    </row>
    <row r="66" spans="1:2">
      <c r="A66" s="13" t="s">
        <v>134</v>
      </c>
      <c r="B66" s="11">
        <v>0.13400000000000001</v>
      </c>
    </row>
  </sheetData>
  <mergeCells count="25">
    <mergeCell ref="I13:I14"/>
    <mergeCell ref="J13:J14"/>
    <mergeCell ref="K13:K14"/>
    <mergeCell ref="C9:C10"/>
    <mergeCell ref="D9:D10"/>
    <mergeCell ref="E9:E10"/>
    <mergeCell ref="H9:H10"/>
    <mergeCell ref="I9:I10"/>
    <mergeCell ref="J9:J10"/>
    <mergeCell ref="M3:O14"/>
    <mergeCell ref="B5:B6"/>
    <mergeCell ref="C5:C6"/>
    <mergeCell ref="D5:D6"/>
    <mergeCell ref="E5:E6"/>
    <mergeCell ref="H5:H6"/>
    <mergeCell ref="I5:I6"/>
    <mergeCell ref="J5:J6"/>
    <mergeCell ref="K5:K6"/>
    <mergeCell ref="B9:B10"/>
    <mergeCell ref="K9:K10"/>
    <mergeCell ref="B13:B14"/>
    <mergeCell ref="C13:C14"/>
    <mergeCell ref="D13:D14"/>
    <mergeCell ref="E13:E14"/>
    <mergeCell ref="H13:H14"/>
  </mergeCells>
  <dataValidations count="2">
    <dataValidation type="list" allowBlank="1" showInputMessage="1" showErrorMessage="1" sqref="E2 E9 E5 E13" xr:uid="{54BD2C6D-7218-4E67-8EF0-AC5115B305F5}">
      <formula1>$A$18:$A$66</formula1>
    </dataValidation>
    <dataValidation type="list" allowBlank="1" showInputMessage="1" showErrorMessage="1" sqref="B2 B9 B5 B13" xr:uid="{CF4B94A3-B711-4516-8AF7-343707CCEAEA}">
      <formula1>$C$20:$C$21</formula1>
    </dataValidation>
  </dataValidations>
  <pageMargins left="0.70000000000000007" right="0.70000000000000007" top="0.75" bottom="0.75" header="0.30000000000000004" footer="0.30000000000000004"/>
  <pageSetup paperSize="9" fitToWidth="0" fitToHeight="0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619A-47B3-4A08-A3EA-18A606626990}">
  <sheetPr>
    <tabColor theme="8"/>
  </sheetPr>
  <dimension ref="A1:S67"/>
  <sheetViews>
    <sheetView zoomScale="130" zoomScaleNormal="130" workbookViewId="0">
      <selection activeCell="E18" sqref="E18"/>
    </sheetView>
  </sheetViews>
  <sheetFormatPr defaultColWidth="9.7109375" defaultRowHeight="14.45"/>
  <cols>
    <col min="1" max="1" width="25.85546875" style="3" customWidth="1"/>
    <col min="2" max="2" width="13" style="3" customWidth="1"/>
    <col min="3" max="3" width="16.28515625" style="3" customWidth="1"/>
    <col min="4" max="4" width="15.42578125" style="3" customWidth="1"/>
    <col min="5" max="5" width="13.7109375" style="3" customWidth="1"/>
    <col min="6" max="6" width="15.42578125" style="3" customWidth="1"/>
    <col min="7" max="7" width="9.7109375" style="3" customWidth="1"/>
    <col min="8" max="8" width="10.42578125" style="3" customWidth="1"/>
    <col min="9" max="9" width="11.7109375" style="3" customWidth="1"/>
    <col min="10" max="10" width="11" style="3" customWidth="1"/>
    <col min="11" max="11" width="9.7109375" style="3" customWidth="1"/>
    <col min="12" max="12" width="9.7109375" style="3"/>
    <col min="13" max="15" width="21.42578125" style="3" customWidth="1"/>
    <col min="16" max="16" width="9.7109375" style="3"/>
    <col min="17" max="17" width="13.140625" style="3" customWidth="1"/>
    <col min="18" max="18" width="19.28515625" style="3" customWidth="1"/>
    <col min="19" max="16384" width="9.7109375" style="3"/>
  </cols>
  <sheetData>
    <row r="1" spans="1:19" ht="15" thickBot="1"/>
    <row r="2" spans="1:19" ht="35.450000000000003" customHeight="1" thickBot="1">
      <c r="A2" s="48" t="s">
        <v>0</v>
      </c>
      <c r="B2" s="69" t="s">
        <v>74</v>
      </c>
      <c r="C2" s="50" t="s">
        <v>75</v>
      </c>
      <c r="D2" s="70" t="s">
        <v>76</v>
      </c>
      <c r="E2" s="68" t="s">
        <v>77</v>
      </c>
      <c r="F2" s="59" t="s">
        <v>78</v>
      </c>
      <c r="G2" s="32" t="s">
        <v>79</v>
      </c>
      <c r="H2" s="71" t="s">
        <v>80</v>
      </c>
      <c r="I2" s="72" t="s">
        <v>136</v>
      </c>
      <c r="J2" s="34" t="s">
        <v>81</v>
      </c>
      <c r="K2" s="30" t="s">
        <v>82</v>
      </c>
      <c r="M2"/>
      <c r="N2"/>
      <c r="O2"/>
      <c r="P2"/>
      <c r="Q2" s="3" t="s">
        <v>83</v>
      </c>
      <c r="R2" s="78" t="s">
        <v>84</v>
      </c>
      <c r="S2" s="3" t="s">
        <v>85</v>
      </c>
    </row>
    <row r="3" spans="1:19" ht="29.85" customHeight="1" thickBot="1">
      <c r="A3" s="49"/>
      <c r="B3" s="55">
        <v>400</v>
      </c>
      <c r="C3" s="51">
        <f>VLOOKUP(B3,'Spændingsf. Ventilation'!$C$19:$D$22,2)</f>
        <v>1</v>
      </c>
      <c r="D3" s="44">
        <v>55</v>
      </c>
      <c r="E3" s="65">
        <v>50</v>
      </c>
      <c r="F3" s="73">
        <f>VLOOKUP(E3,$A$20:$B$67,2,FALSE)</f>
        <v>0.38900000000000001</v>
      </c>
      <c r="G3" s="33">
        <v>1.28</v>
      </c>
      <c r="H3" s="36">
        <v>0.97</v>
      </c>
      <c r="I3" s="119">
        <v>116</v>
      </c>
      <c r="J3" s="35">
        <f>C3*D3*(F3*G3*H3)*I3/1000</f>
        <v>3.081427712</v>
      </c>
      <c r="K3" s="31">
        <f>J3*SQRT(3)/400</f>
        <v>1.3342973392586794E-2</v>
      </c>
      <c r="M3" s="20" t="s">
        <v>86</v>
      </c>
      <c r="N3" s="21" t="s">
        <v>87</v>
      </c>
      <c r="O3" s="22" t="s">
        <v>88</v>
      </c>
      <c r="P3"/>
      <c r="Q3" s="79" t="s">
        <v>89</v>
      </c>
      <c r="R3" s="3">
        <v>275</v>
      </c>
      <c r="S3">
        <f>D3*R3</f>
        <v>15125</v>
      </c>
    </row>
    <row r="4" spans="1:19" ht="15" thickBot="1">
      <c r="B4" s="56"/>
      <c r="C4" s="52"/>
      <c r="D4" s="45"/>
      <c r="E4" s="56"/>
      <c r="H4" s="38"/>
      <c r="I4" s="39"/>
      <c r="M4" s="133" t="s">
        <v>90</v>
      </c>
      <c r="N4" s="134"/>
      <c r="O4" s="134"/>
      <c r="P4"/>
      <c r="Q4" s="78"/>
      <c r="R4"/>
    </row>
    <row r="5" spans="1:19" ht="28.9">
      <c r="A5" s="5" t="s">
        <v>96</v>
      </c>
      <c r="B5" s="57"/>
      <c r="C5" s="53" t="s">
        <v>75</v>
      </c>
      <c r="D5" s="46" t="s">
        <v>76</v>
      </c>
      <c r="E5" s="66" t="s">
        <v>77</v>
      </c>
      <c r="F5" s="60" t="s">
        <v>78</v>
      </c>
      <c r="G5" s="6" t="s">
        <v>79</v>
      </c>
      <c r="H5" s="40" t="s">
        <v>80</v>
      </c>
      <c r="I5" s="41" t="s">
        <v>3</v>
      </c>
      <c r="J5" s="7" t="s">
        <v>81</v>
      </c>
      <c r="K5" s="2" t="s">
        <v>82</v>
      </c>
      <c r="M5" s="135"/>
      <c r="N5" s="135"/>
      <c r="O5" s="135"/>
      <c r="P5"/>
      <c r="Q5" s="78"/>
      <c r="R5"/>
    </row>
    <row r="6" spans="1:19" ht="15" thickBot="1">
      <c r="A6" s="8"/>
      <c r="B6" s="144">
        <v>230</v>
      </c>
      <c r="C6" s="139">
        <f>VLOOKUP(B6,'Spændingsf. Ventilation'!$C$20:$D$22,2)</f>
        <v>2</v>
      </c>
      <c r="D6" s="140">
        <v>15</v>
      </c>
      <c r="E6" s="141">
        <v>2.5</v>
      </c>
      <c r="F6" s="61">
        <f>VLOOKUP(E6,$A$20:$B$67,2,FALSE)</f>
        <v>7.41</v>
      </c>
      <c r="G6" s="9">
        <v>1.28</v>
      </c>
      <c r="H6" s="142">
        <v>0.97</v>
      </c>
      <c r="I6" s="145">
        <v>13</v>
      </c>
      <c r="J6" s="136">
        <f>C6*D6*(F6*G6*H6)*I6/1000</f>
        <v>3.5880998399999999</v>
      </c>
      <c r="K6" s="137">
        <f>J6*SQRT(3)/400</f>
        <v>1.5536928063774397E-2</v>
      </c>
      <c r="M6" s="135"/>
      <c r="N6" s="135"/>
      <c r="O6" s="135"/>
      <c r="P6"/>
      <c r="Q6" s="78"/>
      <c r="R6"/>
    </row>
    <row r="7" spans="1:19" ht="15" thickBot="1">
      <c r="A7" s="4"/>
      <c r="B7" s="144"/>
      <c r="C7" s="139"/>
      <c r="D7" s="140"/>
      <c r="E7" s="141"/>
      <c r="F7" s="62"/>
      <c r="G7" s="10"/>
      <c r="H7" s="142"/>
      <c r="I7" s="145"/>
      <c r="J7" s="136"/>
      <c r="K7" s="137"/>
      <c r="M7" s="135"/>
      <c r="N7" s="135"/>
      <c r="O7" s="135"/>
      <c r="P7"/>
      <c r="Q7" s="78" t="s">
        <v>92</v>
      </c>
      <c r="R7">
        <v>285</v>
      </c>
      <c r="S7" s="3">
        <f>D6*R7</f>
        <v>4275</v>
      </c>
    </row>
    <row r="8" spans="1:19" ht="15" thickBot="1">
      <c r="B8" s="56"/>
      <c r="C8" s="52"/>
      <c r="D8" s="45"/>
      <c r="E8" s="56"/>
      <c r="H8" s="38"/>
      <c r="I8" s="39"/>
      <c r="M8" s="135"/>
      <c r="N8" s="135"/>
      <c r="O8" s="135"/>
      <c r="P8"/>
      <c r="Q8" s="78"/>
      <c r="R8"/>
    </row>
    <row r="9" spans="1:19" ht="28.9">
      <c r="A9" s="5" t="s">
        <v>93</v>
      </c>
      <c r="B9" s="57"/>
      <c r="C9" s="53" t="s">
        <v>75</v>
      </c>
      <c r="D9" s="46" t="s">
        <v>76</v>
      </c>
      <c r="E9" s="66" t="s">
        <v>77</v>
      </c>
      <c r="F9" s="60" t="s">
        <v>78</v>
      </c>
      <c r="G9" s="6" t="s">
        <v>79</v>
      </c>
      <c r="H9" s="40" t="s">
        <v>80</v>
      </c>
      <c r="I9" s="41" t="s">
        <v>3</v>
      </c>
      <c r="J9" s="7" t="s">
        <v>81</v>
      </c>
      <c r="K9" s="2" t="s">
        <v>82</v>
      </c>
      <c r="M9" s="135"/>
      <c r="N9" s="135"/>
      <c r="O9" s="135"/>
      <c r="P9"/>
      <c r="Q9" s="78"/>
      <c r="R9"/>
    </row>
    <row r="10" spans="1:19" ht="15" thickBot="1">
      <c r="A10" s="8"/>
      <c r="B10" s="138">
        <v>230</v>
      </c>
      <c r="C10" s="139">
        <f>VLOOKUP(B10,C21:D22,2)</f>
        <v>2</v>
      </c>
      <c r="D10" s="140">
        <v>0</v>
      </c>
      <c r="E10" s="141">
        <v>4</v>
      </c>
      <c r="F10" s="61">
        <f>VLOOKUP(E10,$A$20:$B$67,2,FALSE)</f>
        <v>4.6100000000000003</v>
      </c>
      <c r="G10" s="9">
        <v>1.28</v>
      </c>
      <c r="H10" s="142">
        <v>0.97</v>
      </c>
      <c r="I10" s="143">
        <v>13</v>
      </c>
      <c r="J10" s="136">
        <f>C10*D10*(F10*G10*H10)*I10/1000</f>
        <v>0</v>
      </c>
      <c r="K10" s="137">
        <f>J10*SQRT(3)/400</f>
        <v>0</v>
      </c>
      <c r="M10" s="135"/>
      <c r="N10" s="135"/>
      <c r="O10" s="135"/>
      <c r="P10"/>
      <c r="Q10" s="78" t="s">
        <v>94</v>
      </c>
      <c r="R10">
        <v>209</v>
      </c>
      <c r="S10" s="3">
        <f>R10*D10</f>
        <v>0</v>
      </c>
    </row>
    <row r="11" spans="1:19" ht="15" thickBot="1">
      <c r="A11" s="4"/>
      <c r="B11" s="138"/>
      <c r="C11" s="139"/>
      <c r="D11" s="140"/>
      <c r="E11" s="141"/>
      <c r="F11" s="62"/>
      <c r="G11" s="10"/>
      <c r="H11" s="142"/>
      <c r="I11" s="143"/>
      <c r="J11" s="136"/>
      <c r="K11" s="137"/>
      <c r="M11" s="135"/>
      <c r="N11" s="135"/>
      <c r="O11" s="135"/>
      <c r="P11"/>
      <c r="Q11" s="78" t="s">
        <v>95</v>
      </c>
      <c r="R11">
        <v>110</v>
      </c>
      <c r="S11" s="3">
        <f>R11*D10</f>
        <v>0</v>
      </c>
    </row>
    <row r="12" spans="1:19" ht="15" thickBot="1">
      <c r="B12" s="56"/>
      <c r="C12" s="52"/>
      <c r="D12" s="45"/>
      <c r="E12" s="56"/>
      <c r="H12" s="38"/>
      <c r="I12" s="39"/>
      <c r="M12" s="135"/>
      <c r="N12" s="135"/>
      <c r="O12" s="135"/>
      <c r="P12"/>
      <c r="Q12" s="78"/>
      <c r="R12"/>
    </row>
    <row r="13" spans="1:19" ht="28.9">
      <c r="A13" s="23" t="s">
        <v>96</v>
      </c>
      <c r="B13" s="58"/>
      <c r="C13" s="54" t="s">
        <v>75</v>
      </c>
      <c r="D13" s="47" t="s">
        <v>76</v>
      </c>
      <c r="E13" s="67" t="s">
        <v>77</v>
      </c>
      <c r="F13" s="63" t="s">
        <v>78</v>
      </c>
      <c r="G13" s="24" t="s">
        <v>79</v>
      </c>
      <c r="H13" s="42" t="s">
        <v>80</v>
      </c>
      <c r="I13" s="43" t="s">
        <v>3</v>
      </c>
      <c r="J13" s="25" t="s">
        <v>81</v>
      </c>
      <c r="K13" s="26" t="s">
        <v>82</v>
      </c>
      <c r="M13" s="135"/>
      <c r="N13" s="135"/>
      <c r="O13" s="135"/>
      <c r="P13"/>
      <c r="Q13" s="78"/>
      <c r="R13"/>
    </row>
    <row r="14" spans="1:19" ht="15" thickBot="1">
      <c r="A14" s="27"/>
      <c r="B14" s="138">
        <v>230</v>
      </c>
      <c r="C14" s="139">
        <f>VLOOKUP(B14,C21:D22,2)</f>
        <v>2</v>
      </c>
      <c r="D14" s="140">
        <v>60</v>
      </c>
      <c r="E14" s="141">
        <v>2.5</v>
      </c>
      <c r="F14" s="61">
        <v>7.41</v>
      </c>
      <c r="G14" s="9">
        <v>1.28</v>
      </c>
      <c r="H14" s="142">
        <v>0.8</v>
      </c>
      <c r="I14" s="143">
        <v>6</v>
      </c>
      <c r="J14" s="136">
        <f>C14*D14*(F14*G14*H14)*I14/1000</f>
        <v>5.4632448</v>
      </c>
      <c r="K14" s="147">
        <f>J14*SQRT(3)/400</f>
        <v>2.3656543919466172E-2</v>
      </c>
      <c r="M14" s="135"/>
      <c r="N14" s="135"/>
      <c r="O14" s="135"/>
      <c r="P14"/>
      <c r="Q14" s="78" t="s">
        <v>97</v>
      </c>
      <c r="R14">
        <v>28.43</v>
      </c>
      <c r="S14" s="3">
        <f>R14*D14</f>
        <v>1705.8</v>
      </c>
    </row>
    <row r="15" spans="1:19" ht="15" thickBot="1">
      <c r="A15" s="28"/>
      <c r="B15" s="149"/>
      <c r="C15" s="150"/>
      <c r="D15" s="151"/>
      <c r="E15" s="152"/>
      <c r="F15" s="64"/>
      <c r="G15" s="29"/>
      <c r="H15" s="153"/>
      <c r="I15" s="154"/>
      <c r="J15" s="146"/>
      <c r="K15" s="148"/>
      <c r="M15" s="135"/>
      <c r="N15" s="135"/>
      <c r="O15" s="135"/>
      <c r="P15"/>
      <c r="Q15" s="78" t="s">
        <v>98</v>
      </c>
      <c r="R15">
        <v>16.329999999999998</v>
      </c>
      <c r="S15" s="3">
        <f>R15*D14</f>
        <v>979.8</v>
      </c>
    </row>
    <row r="16" spans="1:19" customFormat="1">
      <c r="J16" s="74" t="s">
        <v>99</v>
      </c>
      <c r="K16" s="76">
        <f>J3+J6+J10+J14</f>
        <v>12.132772352</v>
      </c>
    </row>
    <row r="17" spans="1:18" customFormat="1" ht="15" thickBot="1">
      <c r="J17" s="75" t="s">
        <v>100</v>
      </c>
      <c r="K17" s="77">
        <f>(J3+J6+J10+J14)*SQRT(3)/400</f>
        <v>5.2536445375827363E-2</v>
      </c>
    </row>
    <row r="18" spans="1:18" customFormat="1" ht="212.25" customHeight="1"/>
    <row r="19" spans="1:18" ht="28.9">
      <c r="A19" s="11" t="s">
        <v>101</v>
      </c>
      <c r="B19" s="12" t="s">
        <v>102</v>
      </c>
      <c r="C19" s="15" t="s">
        <v>103</v>
      </c>
      <c r="D19" s="11" t="s">
        <v>104</v>
      </c>
      <c r="M19"/>
      <c r="N19"/>
      <c r="O19"/>
      <c r="P19"/>
      <c r="Q19"/>
      <c r="R19"/>
    </row>
    <row r="20" spans="1:18">
      <c r="A20" s="13">
        <v>0.5</v>
      </c>
      <c r="B20" s="11"/>
      <c r="C20" s="16" t="s">
        <v>74</v>
      </c>
      <c r="D20" s="18" t="s">
        <v>105</v>
      </c>
    </row>
    <row r="21" spans="1:18">
      <c r="A21" s="13">
        <v>0.75</v>
      </c>
      <c r="B21" s="11"/>
      <c r="C21" s="16">
        <v>230</v>
      </c>
      <c r="D21" s="19">
        <v>2</v>
      </c>
    </row>
    <row r="22" spans="1:18">
      <c r="A22" s="13">
        <v>1</v>
      </c>
      <c r="B22" s="11"/>
      <c r="C22" s="17">
        <v>400</v>
      </c>
      <c r="D22" s="19">
        <v>1</v>
      </c>
    </row>
    <row r="23" spans="1:18">
      <c r="A23" s="13">
        <v>1.5</v>
      </c>
      <c r="B23" s="11">
        <v>12.1</v>
      </c>
    </row>
    <row r="24" spans="1:18">
      <c r="A24" s="13">
        <v>2.5</v>
      </c>
      <c r="B24" s="11">
        <v>7.41</v>
      </c>
    </row>
    <row r="25" spans="1:18">
      <c r="A25" s="13">
        <v>4</v>
      </c>
      <c r="B25" s="11">
        <v>4.6100000000000003</v>
      </c>
    </row>
    <row r="26" spans="1:18">
      <c r="A26" s="13">
        <v>6</v>
      </c>
      <c r="B26" s="11">
        <v>3.08</v>
      </c>
    </row>
    <row r="27" spans="1:18">
      <c r="A27" s="13">
        <v>10</v>
      </c>
      <c r="B27" s="11">
        <v>1.83</v>
      </c>
    </row>
    <row r="28" spans="1:18">
      <c r="A28" s="13">
        <v>16</v>
      </c>
      <c r="B28" s="11">
        <v>1.1499999999999999</v>
      </c>
    </row>
    <row r="29" spans="1:18">
      <c r="A29" s="13">
        <v>25</v>
      </c>
      <c r="B29" s="11">
        <v>0.72799999999999998</v>
      </c>
    </row>
    <row r="30" spans="1:18">
      <c r="A30" s="13">
        <v>35</v>
      </c>
      <c r="B30" s="11">
        <v>0.52500000000000002</v>
      </c>
    </row>
    <row r="31" spans="1:18">
      <c r="A31" s="13">
        <v>50</v>
      </c>
      <c r="B31" s="11">
        <v>0.38900000000000001</v>
      </c>
    </row>
    <row r="32" spans="1:18">
      <c r="A32" s="13">
        <v>70</v>
      </c>
      <c r="B32" s="11">
        <v>0.27</v>
      </c>
    </row>
    <row r="33" spans="1:2">
      <c r="A33" s="13">
        <v>95</v>
      </c>
      <c r="B33" s="11">
        <v>0.19500000000000001</v>
      </c>
    </row>
    <row r="34" spans="1:2">
      <c r="A34" s="13">
        <v>120</v>
      </c>
      <c r="B34" s="11">
        <v>0.155</v>
      </c>
    </row>
    <row r="35" spans="1:2">
      <c r="A35" s="13">
        <v>150</v>
      </c>
      <c r="B35" s="11">
        <v>0.126</v>
      </c>
    </row>
    <row r="36" spans="1:2">
      <c r="A36" s="13">
        <v>185</v>
      </c>
      <c r="B36" s="11">
        <v>0.1021</v>
      </c>
    </row>
    <row r="37" spans="1:2">
      <c r="A37" s="13">
        <v>240</v>
      </c>
      <c r="B37" s="11">
        <v>7.9200000000000007E-2</v>
      </c>
    </row>
    <row r="38" spans="1:2">
      <c r="A38" s="13">
        <v>300</v>
      </c>
      <c r="B38" s="11">
        <v>6.4199999999999993E-2</v>
      </c>
    </row>
    <row r="39" spans="1:2">
      <c r="A39" s="12"/>
      <c r="B39" s="12" t="s">
        <v>106</v>
      </c>
    </row>
    <row r="40" spans="1:2">
      <c r="A40" s="14" t="s">
        <v>107</v>
      </c>
      <c r="B40" s="11">
        <v>1.91</v>
      </c>
    </row>
    <row r="41" spans="1:2">
      <c r="A41" s="14" t="s">
        <v>108</v>
      </c>
      <c r="B41" s="11">
        <v>1.2</v>
      </c>
    </row>
    <row r="42" spans="1:2">
      <c r="A42" s="14" t="s">
        <v>109</v>
      </c>
      <c r="B42" s="11">
        <v>0.86799999999999999</v>
      </c>
    </row>
    <row r="43" spans="1:2">
      <c r="A43" s="14" t="s">
        <v>110</v>
      </c>
      <c r="B43" s="11">
        <v>0.84099999999999997</v>
      </c>
    </row>
    <row r="44" spans="1:2">
      <c r="A44" s="14" t="s">
        <v>111</v>
      </c>
      <c r="B44" s="11">
        <v>0.443</v>
      </c>
    </row>
    <row r="45" spans="1:2">
      <c r="A45" s="14" t="s">
        <v>112</v>
      </c>
      <c r="B45" s="11">
        <v>0.32</v>
      </c>
    </row>
    <row r="46" spans="1:2">
      <c r="A46" s="14" t="s">
        <v>113</v>
      </c>
      <c r="B46" s="11">
        <v>0.254</v>
      </c>
    </row>
    <row r="47" spans="1:2">
      <c r="A47" s="14" t="s">
        <v>114</v>
      </c>
      <c r="B47" s="11">
        <v>0.20799999999999999</v>
      </c>
    </row>
    <row r="48" spans="1:2">
      <c r="A48" s="14" t="s">
        <v>115</v>
      </c>
      <c r="B48" s="11">
        <v>0.16600000000000001</v>
      </c>
    </row>
    <row r="49" spans="1:2">
      <c r="A49" s="14" t="s">
        <v>116</v>
      </c>
      <c r="B49" s="11">
        <v>0.128</v>
      </c>
    </row>
    <row r="50" spans="1:2">
      <c r="A50" s="14" t="s">
        <v>117</v>
      </c>
      <c r="B50" s="11">
        <v>0.104</v>
      </c>
    </row>
    <row r="51" spans="1:2">
      <c r="A51" s="11"/>
      <c r="B51" s="11" t="s">
        <v>118</v>
      </c>
    </row>
    <row r="52" spans="1:2">
      <c r="A52" s="13" t="s">
        <v>119</v>
      </c>
      <c r="B52" s="11">
        <v>40.1</v>
      </c>
    </row>
    <row r="53" spans="1:2">
      <c r="A53" s="13" t="s">
        <v>120</v>
      </c>
      <c r="B53" s="11">
        <v>26.7</v>
      </c>
    </row>
    <row r="54" spans="1:2">
      <c r="A54" s="13" t="s">
        <v>121</v>
      </c>
      <c r="B54" s="11">
        <v>20</v>
      </c>
    </row>
    <row r="55" spans="1:2">
      <c r="A55" s="13" t="s">
        <v>122</v>
      </c>
      <c r="B55" s="11">
        <v>13.7</v>
      </c>
    </row>
    <row r="56" spans="1:2">
      <c r="A56" s="13" t="s">
        <v>123</v>
      </c>
      <c r="B56" s="11">
        <v>8.2100000000000009</v>
      </c>
    </row>
    <row r="57" spans="1:2">
      <c r="A57" s="13" t="s">
        <v>124</v>
      </c>
      <c r="B57" s="11">
        <v>5.09</v>
      </c>
    </row>
    <row r="58" spans="1:2">
      <c r="A58" s="13" t="s">
        <v>125</v>
      </c>
      <c r="B58" s="11">
        <v>3.39</v>
      </c>
    </row>
    <row r="59" spans="1:2">
      <c r="A59" s="13" t="s">
        <v>126</v>
      </c>
      <c r="B59" s="11">
        <v>1.95</v>
      </c>
    </row>
    <row r="60" spans="1:2">
      <c r="A60" s="13" t="s">
        <v>127</v>
      </c>
      <c r="B60" s="11">
        <v>1.24</v>
      </c>
    </row>
    <row r="61" spans="1:2">
      <c r="A61" s="13" t="s">
        <v>128</v>
      </c>
      <c r="B61" s="11">
        <v>0.79600000000000004</v>
      </c>
    </row>
    <row r="62" spans="1:2">
      <c r="A62" s="13" t="s">
        <v>129</v>
      </c>
      <c r="B62" s="11">
        <v>0.56599999999999995</v>
      </c>
    </row>
    <row r="63" spans="1:2">
      <c r="A63" s="13" t="s">
        <v>130</v>
      </c>
      <c r="B63" s="11">
        <v>0.39500000000000002</v>
      </c>
    </row>
    <row r="64" spans="1:2">
      <c r="A64" s="13" t="s">
        <v>131</v>
      </c>
      <c r="B64" s="11">
        <v>0.27900000000000003</v>
      </c>
    </row>
    <row r="65" spans="1:2">
      <c r="A65" s="13" t="s">
        <v>132</v>
      </c>
      <c r="B65" s="11">
        <v>0.21199999999999999</v>
      </c>
    </row>
    <row r="66" spans="1:2">
      <c r="A66" s="13" t="s">
        <v>133</v>
      </c>
      <c r="B66" s="11">
        <v>0.16600000000000001</v>
      </c>
    </row>
    <row r="67" spans="1:2">
      <c r="A67" s="13" t="s">
        <v>134</v>
      </c>
      <c r="B67" s="11">
        <v>0.13400000000000001</v>
      </c>
    </row>
  </sheetData>
  <mergeCells count="25">
    <mergeCell ref="M4:O15"/>
    <mergeCell ref="B6:B7"/>
    <mergeCell ref="C6:C7"/>
    <mergeCell ref="D6:D7"/>
    <mergeCell ref="E6:E7"/>
    <mergeCell ref="H6:H7"/>
    <mergeCell ref="I6:I7"/>
    <mergeCell ref="J6:J7"/>
    <mergeCell ref="K6:K7"/>
    <mergeCell ref="B10:B11"/>
    <mergeCell ref="K10:K11"/>
    <mergeCell ref="B14:B15"/>
    <mergeCell ref="C14:C15"/>
    <mergeCell ref="D14:D15"/>
    <mergeCell ref="E14:E15"/>
    <mergeCell ref="H14:H15"/>
    <mergeCell ref="I14:I15"/>
    <mergeCell ref="J14:J15"/>
    <mergeCell ref="K14:K15"/>
    <mergeCell ref="C10:C11"/>
    <mergeCell ref="D10:D11"/>
    <mergeCell ref="E10:E11"/>
    <mergeCell ref="H10:H11"/>
    <mergeCell ref="I10:I11"/>
    <mergeCell ref="J10:J11"/>
  </mergeCells>
  <dataValidations count="2">
    <dataValidation type="list" allowBlank="1" showInputMessage="1" showErrorMessage="1" sqref="E3 E14 E6 E10" xr:uid="{0F118829-07B1-4E60-8CB6-E0EFE020FCEB}">
      <formula1>$A$19:$A$67</formula1>
    </dataValidation>
    <dataValidation type="list" allowBlank="1" showInputMessage="1" showErrorMessage="1" sqref="B3 B14 B6 B10" xr:uid="{1B70384F-3746-4957-BDE5-846F0DA6E574}">
      <formula1>$C$21:$C$22</formula1>
    </dataValidation>
  </dataValidations>
  <pageMargins left="0.70000000000000007" right="0.70000000000000007" top="0.75" bottom="0.75" header="0.30000000000000004" footer="0.30000000000000004"/>
  <pageSetup paperSize="9" fitToWidth="0" fitToHeight="0"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11E1-7EC4-4407-BDD4-CDF92DB76EC6}">
  <sheetPr>
    <tabColor theme="9"/>
  </sheetPr>
  <dimension ref="A1:G33"/>
  <sheetViews>
    <sheetView zoomScale="85" zoomScaleNormal="85" workbookViewId="0">
      <selection activeCell="K13" sqref="K13"/>
    </sheetView>
  </sheetViews>
  <sheetFormatPr defaultRowHeight="14.45"/>
  <cols>
    <col min="1" max="1" width="24.28515625" customWidth="1"/>
    <col min="2" max="2" width="14.42578125" customWidth="1"/>
    <col min="6" max="6" width="17.42578125" bestFit="1" customWidth="1"/>
    <col min="7" max="7" width="16.7109375" customWidth="1"/>
  </cols>
  <sheetData>
    <row r="1" spans="1:7">
      <c r="A1" s="155"/>
      <c r="B1" s="156"/>
      <c r="C1" s="156"/>
      <c r="D1" s="156"/>
      <c r="E1" s="156"/>
    </row>
    <row r="2" spans="1:7" ht="23.45">
      <c r="A2" s="157" t="s">
        <v>137</v>
      </c>
      <c r="B2" s="158"/>
      <c r="C2" s="158"/>
      <c r="D2" s="158"/>
      <c r="E2" s="158"/>
    </row>
    <row r="3" spans="1:7">
      <c r="A3" s="80"/>
    </row>
    <row r="4" spans="1:7">
      <c r="A4" s="94"/>
      <c r="B4" s="82" t="s">
        <v>138</v>
      </c>
      <c r="C4" s="81" t="s">
        <v>139</v>
      </c>
      <c r="D4" s="82" t="s">
        <v>140</v>
      </c>
      <c r="E4" s="81" t="s">
        <v>141</v>
      </c>
      <c r="F4" s="125" t="s">
        <v>142</v>
      </c>
      <c r="G4" s="124" t="s">
        <v>143</v>
      </c>
    </row>
    <row r="5" spans="1:7">
      <c r="A5" s="98" t="s">
        <v>144</v>
      </c>
      <c r="B5" s="99" t="s">
        <v>145</v>
      </c>
      <c r="C5" s="100">
        <v>9.1</v>
      </c>
      <c r="D5" s="100"/>
      <c r="E5" s="100"/>
      <c r="F5" s="122" t="s">
        <v>146</v>
      </c>
      <c r="G5" s="123"/>
    </row>
    <row r="6" spans="1:7">
      <c r="A6" s="95" t="s">
        <v>147</v>
      </c>
      <c r="B6" s="96" t="s">
        <v>148</v>
      </c>
      <c r="C6" s="97"/>
      <c r="D6" s="97">
        <v>9.1</v>
      </c>
      <c r="E6" s="97"/>
      <c r="F6" s="120" t="s">
        <v>146</v>
      </c>
      <c r="G6" s="121"/>
    </row>
    <row r="7" spans="1:7">
      <c r="A7" s="98" t="s">
        <v>149</v>
      </c>
      <c r="B7" s="99" t="s">
        <v>150</v>
      </c>
      <c r="C7" s="100"/>
      <c r="D7" s="100"/>
      <c r="E7" s="100">
        <v>5.4</v>
      </c>
      <c r="F7" s="122" t="s">
        <v>146</v>
      </c>
      <c r="G7" s="123"/>
    </row>
    <row r="8" spans="1:7">
      <c r="A8" s="95" t="s">
        <v>151</v>
      </c>
      <c r="B8" s="96" t="s">
        <v>152</v>
      </c>
      <c r="C8" s="97"/>
      <c r="D8" s="97"/>
      <c r="E8" s="97">
        <v>5.4</v>
      </c>
      <c r="F8" s="120" t="s">
        <v>146</v>
      </c>
      <c r="G8" s="121"/>
    </row>
    <row r="9" spans="1:7">
      <c r="A9" s="98" t="s">
        <v>153</v>
      </c>
      <c r="B9" s="99" t="s">
        <v>154</v>
      </c>
      <c r="C9" s="100">
        <v>4.3</v>
      </c>
      <c r="D9" s="100">
        <v>4.3</v>
      </c>
      <c r="E9" s="100">
        <v>4.3</v>
      </c>
      <c r="F9" s="122" t="s">
        <v>155</v>
      </c>
      <c r="G9" s="123"/>
    </row>
    <row r="10" spans="1:7">
      <c r="A10" s="95" t="s">
        <v>156</v>
      </c>
      <c r="B10" s="96" t="s">
        <v>157</v>
      </c>
      <c r="C10" s="97">
        <v>13</v>
      </c>
      <c r="D10" s="97"/>
      <c r="E10" s="97"/>
      <c r="F10" s="120" t="s">
        <v>158</v>
      </c>
      <c r="G10" s="121"/>
    </row>
    <row r="11" spans="1:7">
      <c r="A11" s="98" t="s">
        <v>159</v>
      </c>
      <c r="B11" s="99" t="s">
        <v>160</v>
      </c>
      <c r="C11" s="100"/>
      <c r="D11" s="100">
        <v>13</v>
      </c>
      <c r="E11" s="100"/>
      <c r="F11" s="122" t="s">
        <v>158</v>
      </c>
      <c r="G11" s="123"/>
    </row>
    <row r="12" spans="1:7">
      <c r="A12" s="95" t="s">
        <v>161</v>
      </c>
      <c r="B12" s="96" t="s">
        <v>162</v>
      </c>
      <c r="C12" s="97">
        <v>3.5</v>
      </c>
      <c r="D12" s="97"/>
      <c r="E12" s="97"/>
      <c r="F12" s="120" t="s">
        <v>146</v>
      </c>
      <c r="G12" s="121"/>
    </row>
    <row r="13" spans="1:7">
      <c r="A13" s="98" t="s">
        <v>163</v>
      </c>
      <c r="B13" s="99" t="s">
        <v>164</v>
      </c>
      <c r="C13" s="100"/>
      <c r="D13" s="100">
        <v>3.5</v>
      </c>
      <c r="E13" s="99"/>
      <c r="F13" s="122" t="s">
        <v>146</v>
      </c>
      <c r="G13" s="123"/>
    </row>
    <row r="14" spans="1:7">
      <c r="A14" s="95" t="s">
        <v>165</v>
      </c>
      <c r="B14" s="96" t="s">
        <v>166</v>
      </c>
      <c r="C14" s="97"/>
      <c r="D14" s="97"/>
      <c r="E14" s="97">
        <v>10</v>
      </c>
      <c r="F14" s="120" t="s">
        <v>146</v>
      </c>
      <c r="G14" s="121"/>
    </row>
    <row r="15" spans="1:7">
      <c r="A15" s="98" t="s">
        <v>167</v>
      </c>
      <c r="B15" s="99" t="s">
        <v>168</v>
      </c>
      <c r="C15" s="100"/>
      <c r="D15" s="99">
        <v>10</v>
      </c>
      <c r="E15" s="99"/>
      <c r="F15" s="122" t="s">
        <v>146</v>
      </c>
      <c r="G15" s="123"/>
    </row>
    <row r="16" spans="1:7">
      <c r="A16" s="95" t="s">
        <v>169</v>
      </c>
      <c r="B16" s="96" t="s">
        <v>170</v>
      </c>
      <c r="C16" s="97"/>
      <c r="D16" s="97"/>
      <c r="E16" s="97">
        <v>10</v>
      </c>
      <c r="F16" s="120" t="s">
        <v>146</v>
      </c>
      <c r="G16" s="121" t="s">
        <v>171</v>
      </c>
    </row>
    <row r="17" spans="1:7">
      <c r="A17" s="98" t="s">
        <v>172</v>
      </c>
      <c r="B17" s="99" t="s">
        <v>173</v>
      </c>
      <c r="C17" s="100">
        <v>1.04</v>
      </c>
      <c r="D17" s="100"/>
      <c r="E17" s="100"/>
      <c r="F17" s="122" t="s">
        <v>174</v>
      </c>
      <c r="G17" s="123"/>
    </row>
    <row r="18" spans="1:7">
      <c r="A18" s="95" t="s">
        <v>175</v>
      </c>
      <c r="B18" s="96" t="s">
        <v>176</v>
      </c>
      <c r="C18" s="97"/>
      <c r="D18" s="97">
        <v>1.04</v>
      </c>
      <c r="E18" s="97"/>
      <c r="F18" s="120" t="s">
        <v>174</v>
      </c>
      <c r="G18" s="121"/>
    </row>
    <row r="19" spans="1:7">
      <c r="A19" s="98" t="s">
        <v>177</v>
      </c>
      <c r="B19" s="99" t="s">
        <v>178</v>
      </c>
      <c r="C19" s="100">
        <v>4.5</v>
      </c>
      <c r="D19" s="100"/>
      <c r="E19" s="100"/>
      <c r="F19" s="122" t="s">
        <v>146</v>
      </c>
      <c r="G19" s="123"/>
    </row>
    <row r="20" spans="1:7">
      <c r="A20" s="95" t="s">
        <v>179</v>
      </c>
      <c r="B20" s="96"/>
      <c r="C20" s="97"/>
      <c r="D20" s="97"/>
      <c r="E20" s="97"/>
      <c r="F20" s="120"/>
      <c r="G20" s="121"/>
    </row>
    <row r="21" spans="1:7">
      <c r="A21" s="98" t="s">
        <v>180</v>
      </c>
      <c r="B21" s="100"/>
      <c r="C21" s="100"/>
      <c r="D21" s="100"/>
      <c r="E21" s="100"/>
      <c r="F21" s="123"/>
      <c r="G21" s="123"/>
    </row>
    <row r="22" spans="1:7">
      <c r="A22" s="95" t="s">
        <v>181</v>
      </c>
      <c r="B22" s="103"/>
      <c r="C22" s="97"/>
      <c r="D22" s="97"/>
      <c r="E22" s="97"/>
      <c r="F22" s="121"/>
      <c r="G22" s="121"/>
    </row>
    <row r="23" spans="1:7">
      <c r="A23" s="98" t="s">
        <v>182</v>
      </c>
      <c r="B23" s="101"/>
      <c r="C23" s="100"/>
      <c r="D23" s="100"/>
      <c r="E23" s="100"/>
      <c r="F23" s="123"/>
      <c r="G23" s="123"/>
    </row>
    <row r="24" spans="1:7">
      <c r="A24" s="95" t="s">
        <v>183</v>
      </c>
      <c r="B24" s="97"/>
      <c r="C24" s="97"/>
      <c r="D24" s="97"/>
      <c r="E24" s="97"/>
      <c r="F24" s="121"/>
      <c r="G24" s="121"/>
    </row>
    <row r="25" spans="1:7">
      <c r="A25" s="98" t="s">
        <v>184</v>
      </c>
      <c r="B25" s="99"/>
      <c r="C25" s="99"/>
      <c r="D25" s="100"/>
      <c r="E25" s="99"/>
      <c r="F25" s="123"/>
      <c r="G25" s="123"/>
    </row>
    <row r="26" spans="1:7">
      <c r="A26" s="95" t="s">
        <v>185</v>
      </c>
      <c r="B26" s="97"/>
      <c r="C26" s="97"/>
      <c r="D26" s="97"/>
      <c r="E26" s="97"/>
      <c r="F26" s="121"/>
      <c r="G26" s="121"/>
    </row>
    <row r="27" spans="1:7">
      <c r="A27" s="98" t="s">
        <v>186</v>
      </c>
      <c r="B27" s="99"/>
      <c r="C27" s="99"/>
      <c r="D27" s="100"/>
      <c r="E27" s="99"/>
      <c r="F27" s="123"/>
      <c r="G27" s="123"/>
    </row>
    <row r="28" spans="1:7">
      <c r="A28" s="95" t="s">
        <v>187</v>
      </c>
      <c r="B28" s="97"/>
      <c r="C28" s="97"/>
      <c r="D28" s="97"/>
      <c r="E28" s="97"/>
      <c r="F28" s="121"/>
      <c r="G28" s="121"/>
    </row>
    <row r="29" spans="1:7">
      <c r="A29" s="98" t="s">
        <v>188</v>
      </c>
      <c r="B29" s="99"/>
      <c r="C29" s="99"/>
      <c r="D29" s="100"/>
      <c r="E29" s="99"/>
      <c r="F29" s="123"/>
      <c r="G29" s="123"/>
    </row>
    <row r="30" spans="1:7">
      <c r="A30" s="83" t="s">
        <v>189</v>
      </c>
      <c r="B30" s="84" t="s">
        <v>2</v>
      </c>
      <c r="C30" s="93">
        <f>SUM(C5:C29)</f>
        <v>35.44</v>
      </c>
      <c r="D30" s="93">
        <f>SUM(D5:D29)</f>
        <v>40.94</v>
      </c>
      <c r="E30" s="93">
        <f>SUM(E5:E29)</f>
        <v>35.1</v>
      </c>
      <c r="F30" s="92" t="str">
        <f>"Antal grupper "&amp;COUNTA(F5:F29)</f>
        <v>Antal grupper 15</v>
      </c>
      <c r="G30" s="92" t="s">
        <v>190</v>
      </c>
    </row>
    <row r="31" spans="1:7">
      <c r="A31" s="91" t="s">
        <v>191</v>
      </c>
      <c r="B31" s="85" t="s">
        <v>192</v>
      </c>
      <c r="C31" s="90">
        <f>C30*IF(VALUE($B$33)&gt;0,$B$33,$B$32)</f>
        <v>28.352</v>
      </c>
      <c r="D31" s="90">
        <f>D30*IF(VALUE($B$33)&gt;0,$B$33,$B$32)</f>
        <v>32.752000000000002</v>
      </c>
      <c r="E31" s="90">
        <f>E30*IF(VALUE($B$33)&gt;0,$B$33,$B$32)</f>
        <v>28.080000000000002</v>
      </c>
      <c r="F31" s="89"/>
      <c r="G31" s="89"/>
    </row>
    <row r="32" spans="1:7">
      <c r="A32" s="88" t="s">
        <v>193</v>
      </c>
      <c r="B32" s="87">
        <f>IF(COUNTA(B5:B20)&gt;4,0.6,0.7)</f>
        <v>0.6</v>
      </c>
    </row>
    <row r="33" spans="1:2">
      <c r="A33" s="86" t="s">
        <v>194</v>
      </c>
      <c r="B33" s="102">
        <v>0.8</v>
      </c>
    </row>
  </sheetData>
  <mergeCells count="2">
    <mergeCell ref="A1:E1"/>
    <mergeCell ref="A2:E2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00ccc1-8a1b-43e4-933c-5575d1376b2a" xsi:nil="true"/>
    <lcf76f155ced4ddcb4097134ff3c332f xmlns="a0b3d690-8e3b-4d43-8810-3d5d5c4b0e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604CAFC48D74B877E7E500FB3B544" ma:contentTypeVersion="7" ma:contentTypeDescription="Create a new document." ma:contentTypeScope="" ma:versionID="0fa827d0689021179291d733c73c8070">
  <xsd:schema xmlns:xsd="http://www.w3.org/2001/XMLSchema" xmlns:xs="http://www.w3.org/2001/XMLSchema" xmlns:p="http://schemas.microsoft.com/office/2006/metadata/properties" xmlns:ns2="a0b3d690-8e3b-4d43-8810-3d5d5c4b0ebd" xmlns:ns3="bc00ccc1-8a1b-43e4-933c-5575d1376b2a" targetNamespace="http://schemas.microsoft.com/office/2006/metadata/properties" ma:root="true" ma:fieldsID="68d4b17c3c064a26d22816ab3fb8230e" ns2:_="" ns3:_="">
    <xsd:import namespace="a0b3d690-8e3b-4d43-8810-3d5d5c4b0ebd"/>
    <xsd:import namespace="bc00ccc1-8a1b-43e4-933c-5575d1376b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3d690-8e3b-4d43-8810-3d5d5c4b0e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be3206f-6594-423d-94d7-634ea0bc88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0ccc1-8a1b-43e4-933c-5575d1376b2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0ee6c8e-ef97-43f6-b40c-fe603bc81f10}" ma:internalName="TaxCatchAll" ma:showField="CatchAllData" ma:web="bc00ccc1-8a1b-43e4-933c-5575d1376b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D025A6-F4A2-4F84-A547-87A2D81AF08A}"/>
</file>

<file path=customXml/itemProps2.xml><?xml version="1.0" encoding="utf-8"?>
<ds:datastoreItem xmlns:ds="http://schemas.openxmlformats.org/officeDocument/2006/customXml" ds:itemID="{0D554D87-DE2E-4BF7-82D3-863DB27C4421}"/>
</file>

<file path=customXml/itemProps3.xml><?xml version="1.0" encoding="utf-8"?>
<ds:datastoreItem xmlns:ds="http://schemas.openxmlformats.org/officeDocument/2006/customXml" ds:itemID="{D4C6D9FF-B56A-43BC-84BA-795BC94E0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Nikolai</dc:creator>
  <cp:keywords/>
  <dc:description/>
  <cp:lastModifiedBy/>
  <cp:revision/>
  <dcterms:created xsi:type="dcterms:W3CDTF">2022-04-29T07:10:29Z</dcterms:created>
  <dcterms:modified xsi:type="dcterms:W3CDTF">2022-11-15T08:00:40Z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0x010100DDC604CAFC48D74B877E7E500FB3B544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