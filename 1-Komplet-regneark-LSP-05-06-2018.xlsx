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b0bb3d0c4ae2db/Regneark/"/>
    </mc:Choice>
  </mc:AlternateContent>
  <xr:revisionPtr revIDLastSave="216" documentId="6_{78867D26-3D3A-4DF3-AAA9-38914CB61D84}" xr6:coauthVersionLast="47" xr6:coauthVersionMax="47" xr10:uidLastSave="{1E52A170-E6E6-4AE3-9753-654E613E43D8}"/>
  <bookViews>
    <workbookView minimized="1" xWindow="3375" yWindow="3375" windowWidth="21600" windowHeight="11295" activeTab="4" xr2:uid="{39B58D22-3D56-4C22-A1DC-178247D065B2}"/>
  </bookViews>
  <sheets>
    <sheet name="Transformer" sheetId="1" r:id="rId1"/>
    <sheet name="Kabeludskrift" sheetId="6" r:id="rId2"/>
    <sheet name="Kabeldata" sheetId="2" r:id="rId3"/>
    <sheet name="IKmax IKmin" sheetId="5" r:id="rId4"/>
    <sheet name="Spændingsfald" sheetId="8" r:id="rId5"/>
  </sheets>
  <externalReferences>
    <externalReference r:id="rId6"/>
  </externalReferences>
  <definedNames>
    <definedName name="Kabeltype">[1]Kabelmodstand!$AF$4:$AF$8</definedName>
    <definedName name="kvadrat">[1]Kabelmodstand!$AR$66:$AR$83</definedName>
    <definedName name="Lederantal">[1]Kabelmodstand!$AE$4:$AE$8</definedName>
    <definedName name="Parallelleleder">[1]Kabelmodstand!$AC$4:$AC$13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8" i="6" l="1"/>
  <c r="I67" i="6"/>
  <c r="B65" i="6"/>
  <c r="I64" i="6"/>
  <c r="B62" i="6"/>
  <c r="J32" i="2"/>
  <c r="AA26" i="6"/>
  <c r="AA61" i="6"/>
  <c r="J33" i="2"/>
  <c r="AB26" i="6"/>
  <c r="AB61" i="6"/>
  <c r="AG61" i="6"/>
  <c r="AI61" i="6"/>
  <c r="I61" i="6"/>
  <c r="B59" i="6"/>
  <c r="F32" i="2"/>
  <c r="AA23" i="6"/>
  <c r="AA58" i="6"/>
  <c r="F33" i="2"/>
  <c r="AB23" i="6"/>
  <c r="AB58" i="6"/>
  <c r="AI58" i="6"/>
  <c r="AG58" i="6"/>
  <c r="I58" i="6"/>
  <c r="B56" i="6"/>
  <c r="B32" i="2"/>
  <c r="AA20" i="6"/>
  <c r="AA55" i="6"/>
  <c r="B33" i="2"/>
  <c r="AB20" i="6"/>
  <c r="AB55" i="6"/>
  <c r="AG55" i="6"/>
  <c r="AI55" i="6"/>
  <c r="I55" i="6"/>
  <c r="B53" i="6"/>
  <c r="R14" i="2"/>
  <c r="AA17" i="6"/>
  <c r="AA52" i="6"/>
  <c r="R15" i="2"/>
  <c r="AB17" i="6"/>
  <c r="AB52" i="6"/>
  <c r="AG52" i="6"/>
  <c r="AI52" i="6"/>
  <c r="I52" i="6"/>
  <c r="B50" i="6"/>
  <c r="N14" i="2"/>
  <c r="AA14" i="6"/>
  <c r="AA49" i="6"/>
  <c r="N15" i="2"/>
  <c r="AB14" i="6"/>
  <c r="AB49" i="6"/>
  <c r="AG49" i="6"/>
  <c r="AI49" i="6"/>
  <c r="I49" i="6"/>
  <c r="B47" i="6"/>
  <c r="J14" i="2"/>
  <c r="AA11" i="6"/>
  <c r="AA46" i="6"/>
  <c r="J15" i="2"/>
  <c r="AB11" i="6"/>
  <c r="AB46" i="6"/>
  <c r="AG46" i="6"/>
  <c r="AI46" i="6"/>
  <c r="I46" i="6"/>
  <c r="B44" i="6"/>
  <c r="AG43" i="6"/>
  <c r="AI43" i="6"/>
  <c r="F14" i="2"/>
  <c r="AA8" i="6"/>
  <c r="AA43" i="6"/>
  <c r="F15" i="2"/>
  <c r="AB8" i="6"/>
  <c r="AB43" i="6"/>
  <c r="B41" i="6"/>
  <c r="AG40" i="6"/>
  <c r="AI40" i="6"/>
  <c r="B14" i="2"/>
  <c r="AA5" i="6"/>
  <c r="AA40" i="6"/>
  <c r="B15" i="2"/>
  <c r="AB5" i="6"/>
  <c r="AB40" i="6"/>
  <c r="Z14" i="1"/>
  <c r="X2" i="1"/>
  <c r="AB2" i="1"/>
  <c r="X31" i="1"/>
  <c r="X39" i="1"/>
  <c r="Z27" i="1"/>
  <c r="Y35" i="1"/>
  <c r="Y39" i="1"/>
  <c r="B33" i="6"/>
  <c r="B30" i="6"/>
  <c r="B27" i="6"/>
  <c r="B24" i="6"/>
  <c r="B21" i="6"/>
  <c r="B18" i="6"/>
  <c r="B15" i="6"/>
  <c r="B12" i="6"/>
  <c r="B9" i="6"/>
  <c r="B6" i="6"/>
  <c r="AG30" i="5"/>
  <c r="AG29" i="5"/>
  <c r="AG28" i="5"/>
  <c r="AG27" i="5"/>
  <c r="AG26" i="5"/>
  <c r="AG25" i="5"/>
  <c r="AG24" i="5"/>
  <c r="AG23" i="5"/>
  <c r="AG22" i="5"/>
  <c r="AG21" i="5"/>
  <c r="E9" i="5"/>
  <c r="J35" i="1"/>
  <c r="AC33" i="1"/>
  <c r="AB33" i="1"/>
  <c r="R34" i="1"/>
  <c r="J34" i="1"/>
  <c r="AG10" i="5"/>
  <c r="X15" i="8"/>
  <c r="B91" i="6"/>
  <c r="AI67" i="6"/>
  <c r="E67" i="6"/>
  <c r="AI64" i="6"/>
  <c r="E64" i="6"/>
  <c r="E61" i="6"/>
  <c r="E58" i="6"/>
  <c r="E55" i="6"/>
  <c r="E52" i="6"/>
  <c r="E49" i="6"/>
  <c r="E46" i="6"/>
  <c r="E40" i="6"/>
  <c r="R32" i="2"/>
  <c r="R33" i="2"/>
  <c r="N32" i="2"/>
  <c r="N33" i="2"/>
  <c r="E43" i="6"/>
  <c r="E37" i="5"/>
  <c r="E34" i="5"/>
  <c r="B79" i="6"/>
  <c r="C79" i="6"/>
  <c r="X10" i="8"/>
  <c r="X11" i="8"/>
  <c r="X12" i="8"/>
  <c r="AP11" i="8"/>
  <c r="Y12" i="8"/>
  <c r="AH11" i="8"/>
  <c r="AN11" i="8"/>
  <c r="AO11" i="8"/>
  <c r="AB12" i="8"/>
  <c r="AQ11" i="8"/>
  <c r="AT11" i="8"/>
  <c r="Z12" i="8"/>
  <c r="AP5" i="8"/>
  <c r="Y10" i="8"/>
  <c r="AQ5" i="8"/>
  <c r="AT5" i="8"/>
  <c r="Z10" i="8"/>
  <c r="AU5" i="8"/>
  <c r="AA10" i="8"/>
  <c r="AH5" i="8"/>
  <c r="AN5" i="8"/>
  <c r="AO5" i="8"/>
  <c r="AB10" i="8"/>
  <c r="AI5" i="8"/>
  <c r="AC10" i="8"/>
  <c r="AD10" i="8"/>
  <c r="AP8" i="8"/>
  <c r="Y11" i="8"/>
  <c r="AQ8" i="8"/>
  <c r="AT8" i="8"/>
  <c r="Z11" i="8"/>
  <c r="AU8" i="8"/>
  <c r="AA11" i="8"/>
  <c r="AH8" i="8"/>
  <c r="AN8" i="8"/>
  <c r="AO8" i="8"/>
  <c r="AB11" i="8"/>
  <c r="AI8" i="8"/>
  <c r="AC11" i="8"/>
  <c r="AD11" i="8"/>
  <c r="AU11" i="8"/>
  <c r="AA12" i="8"/>
  <c r="AI11" i="8"/>
  <c r="AC12" i="8"/>
  <c r="AD12" i="8"/>
  <c r="X13" i="8"/>
  <c r="AP14" i="8"/>
  <c r="Y13" i="8"/>
  <c r="AQ14" i="8"/>
  <c r="AT14" i="8"/>
  <c r="Z13" i="8"/>
  <c r="AU14" i="8"/>
  <c r="AA13" i="8"/>
  <c r="AH14" i="8"/>
  <c r="AN14" i="8"/>
  <c r="AO14" i="8"/>
  <c r="AB13" i="8"/>
  <c r="AI14" i="8"/>
  <c r="AC13" i="8"/>
  <c r="AD13" i="8"/>
  <c r="X14" i="8"/>
  <c r="AP17" i="8"/>
  <c r="Y14" i="8"/>
  <c r="AQ17" i="8"/>
  <c r="AT17" i="8"/>
  <c r="Z14" i="8"/>
  <c r="AU17" i="8"/>
  <c r="AA14" i="8"/>
  <c r="AH17" i="8"/>
  <c r="AN17" i="8"/>
  <c r="AO17" i="8"/>
  <c r="AB14" i="8"/>
  <c r="AI17" i="8"/>
  <c r="AC14" i="8"/>
  <c r="AD14" i="8"/>
  <c r="AP20" i="8"/>
  <c r="Y15" i="8"/>
  <c r="AQ20" i="8"/>
  <c r="AT20" i="8"/>
  <c r="Z15" i="8"/>
  <c r="AU20" i="8"/>
  <c r="AA15" i="8"/>
  <c r="AH20" i="8"/>
  <c r="AN20" i="8"/>
  <c r="AO20" i="8"/>
  <c r="AB15" i="8"/>
  <c r="AI20" i="8"/>
  <c r="AC15" i="8"/>
  <c r="AD15" i="8"/>
  <c r="X16" i="8"/>
  <c r="AP23" i="8"/>
  <c r="Y16" i="8"/>
  <c r="AQ23" i="8"/>
  <c r="AT23" i="8"/>
  <c r="Z16" i="8"/>
  <c r="AU23" i="8"/>
  <c r="AA16" i="8"/>
  <c r="AH23" i="8"/>
  <c r="AN23" i="8"/>
  <c r="AO23" i="8"/>
  <c r="AB16" i="8"/>
  <c r="AI23" i="8"/>
  <c r="AC16" i="8"/>
  <c r="AD16" i="8"/>
  <c r="X17" i="8"/>
  <c r="AP26" i="8"/>
  <c r="Y17" i="8"/>
  <c r="AQ26" i="8"/>
  <c r="AT26" i="8"/>
  <c r="Z17" i="8"/>
  <c r="AU26" i="8"/>
  <c r="AA17" i="8"/>
  <c r="AH26" i="8"/>
  <c r="AN26" i="8"/>
  <c r="AO26" i="8"/>
  <c r="AB17" i="8"/>
  <c r="AI26" i="8"/>
  <c r="AC17" i="8"/>
  <c r="AD17" i="8"/>
  <c r="X18" i="8"/>
  <c r="AP29" i="8"/>
  <c r="Y18" i="8"/>
  <c r="AQ29" i="8"/>
  <c r="AT29" i="8"/>
  <c r="Z18" i="8"/>
  <c r="AU29" i="8"/>
  <c r="AA18" i="8"/>
  <c r="AH29" i="8"/>
  <c r="AN29" i="8"/>
  <c r="AO29" i="8"/>
  <c r="AB18" i="8"/>
  <c r="AI29" i="8"/>
  <c r="AC18" i="8"/>
  <c r="AD18" i="8"/>
  <c r="X19" i="8"/>
  <c r="AP32" i="8"/>
  <c r="Y19" i="8"/>
  <c r="AQ32" i="8"/>
  <c r="AT32" i="8"/>
  <c r="Z19" i="8"/>
  <c r="AU32" i="8"/>
  <c r="AA19" i="8"/>
  <c r="AH32" i="8"/>
  <c r="AN32" i="8"/>
  <c r="AO32" i="8"/>
  <c r="AB19" i="8"/>
  <c r="AI32" i="8"/>
  <c r="AC19" i="8"/>
  <c r="AD19" i="8"/>
  <c r="F6" i="8"/>
  <c r="F7" i="8"/>
  <c r="F8" i="8"/>
  <c r="F9" i="8"/>
  <c r="F10" i="8"/>
  <c r="F11" i="8"/>
  <c r="F12" i="8"/>
  <c r="F13" i="8"/>
  <c r="F14" i="8"/>
  <c r="F15" i="8"/>
  <c r="Q6" i="8"/>
  <c r="Q7" i="8"/>
  <c r="Q8" i="8"/>
  <c r="Q9" i="8"/>
  <c r="Q10" i="8"/>
  <c r="Q11" i="8"/>
  <c r="Q12" i="8"/>
  <c r="Q13" i="8"/>
  <c r="Q14" i="8"/>
  <c r="Q15" i="8"/>
  <c r="V6" i="8"/>
  <c r="V7" i="8"/>
  <c r="V8" i="8"/>
  <c r="V9" i="8"/>
  <c r="V10" i="8"/>
  <c r="V11" i="8"/>
  <c r="V12" i="8"/>
  <c r="V13" i="8"/>
  <c r="V14" i="8"/>
  <c r="V15" i="8"/>
  <c r="AI1045" i="8"/>
  <c r="AH1045" i="8"/>
  <c r="AI1044" i="8"/>
  <c r="AH1044" i="8"/>
  <c r="AI1043" i="8"/>
  <c r="AH1043" i="8"/>
  <c r="AI1042" i="8"/>
  <c r="AH1042" i="8"/>
  <c r="AI1041" i="8"/>
  <c r="AH1041" i="8"/>
  <c r="AI1040" i="8"/>
  <c r="AH1040" i="8"/>
  <c r="AI1039" i="8"/>
  <c r="AH1039" i="8"/>
  <c r="AI1038" i="8"/>
  <c r="AH1038" i="8"/>
  <c r="AI1037" i="8"/>
  <c r="AH1037" i="8"/>
  <c r="AI1036" i="8"/>
  <c r="AH1036" i="8"/>
  <c r="AI1035" i="8"/>
  <c r="AH1035" i="8"/>
  <c r="AI1034" i="8"/>
  <c r="AH1034" i="8"/>
  <c r="AI1033" i="8"/>
  <c r="AH1033" i="8"/>
  <c r="AI1032" i="8"/>
  <c r="AH1032" i="8"/>
  <c r="AI1031" i="8"/>
  <c r="AH1031" i="8"/>
  <c r="AI1030" i="8"/>
  <c r="AH1030" i="8"/>
  <c r="AI1029" i="8"/>
  <c r="AH1029" i="8"/>
  <c r="AI1028" i="8"/>
  <c r="AH1028" i="8"/>
  <c r="AI1027" i="8"/>
  <c r="AH1027" i="8"/>
  <c r="AI1026" i="8"/>
  <c r="AH1026" i="8"/>
  <c r="AI1025" i="8"/>
  <c r="AH1025" i="8"/>
  <c r="AI1024" i="8"/>
  <c r="AH1024" i="8"/>
  <c r="AI1023" i="8"/>
  <c r="AH1023" i="8"/>
  <c r="AI1022" i="8"/>
  <c r="AH1022" i="8"/>
  <c r="AI1021" i="8"/>
  <c r="AH1021" i="8"/>
  <c r="AI1020" i="8"/>
  <c r="AH1020" i="8"/>
  <c r="AI1019" i="8"/>
  <c r="AH1019" i="8"/>
  <c r="AI1018" i="8"/>
  <c r="AH1018" i="8"/>
  <c r="AI1017" i="8"/>
  <c r="AH1017" i="8"/>
  <c r="AI1016" i="8"/>
  <c r="AH1016" i="8"/>
  <c r="AI1015" i="8"/>
  <c r="AH1015" i="8"/>
  <c r="AI1014" i="8"/>
  <c r="AH1014" i="8"/>
  <c r="AI1013" i="8"/>
  <c r="AH1013" i="8"/>
  <c r="AI1012" i="8"/>
  <c r="AH1012" i="8"/>
  <c r="AI1011" i="8"/>
  <c r="AH1011" i="8"/>
  <c r="AI1010" i="8"/>
  <c r="AH1010" i="8"/>
  <c r="AI1009" i="8"/>
  <c r="AH1009" i="8"/>
  <c r="AI1008" i="8"/>
  <c r="AH1008" i="8"/>
  <c r="AI1007" i="8"/>
  <c r="AH1007" i="8"/>
  <c r="AI1006" i="8"/>
  <c r="AH1006" i="8"/>
  <c r="AI1005" i="8"/>
  <c r="AH1005" i="8"/>
  <c r="AI1004" i="8"/>
  <c r="AH1004" i="8"/>
  <c r="AI1003" i="8"/>
  <c r="AH1003" i="8"/>
  <c r="AI1002" i="8"/>
  <c r="AH1002" i="8"/>
  <c r="AI1001" i="8"/>
  <c r="AH1001" i="8"/>
  <c r="AI1000" i="8"/>
  <c r="AH1000" i="8"/>
  <c r="AI999" i="8"/>
  <c r="AH999" i="8"/>
  <c r="AI998" i="8"/>
  <c r="AH998" i="8"/>
  <c r="AI997" i="8"/>
  <c r="AH997" i="8"/>
  <c r="AI996" i="8"/>
  <c r="AH996" i="8"/>
  <c r="AI995" i="8"/>
  <c r="AH995" i="8"/>
  <c r="AI994" i="8"/>
  <c r="AH994" i="8"/>
  <c r="AI993" i="8"/>
  <c r="AH993" i="8"/>
  <c r="AI992" i="8"/>
  <c r="AH992" i="8"/>
  <c r="AI991" i="8"/>
  <c r="AH991" i="8"/>
  <c r="AI990" i="8"/>
  <c r="AH990" i="8"/>
  <c r="AI989" i="8"/>
  <c r="AH989" i="8"/>
  <c r="AI988" i="8"/>
  <c r="AH988" i="8"/>
  <c r="AI987" i="8"/>
  <c r="AH987" i="8"/>
  <c r="AI986" i="8"/>
  <c r="AH986" i="8"/>
  <c r="AI985" i="8"/>
  <c r="AH985" i="8"/>
  <c r="AI984" i="8"/>
  <c r="AH984" i="8"/>
  <c r="AI983" i="8"/>
  <c r="AH983" i="8"/>
  <c r="AI982" i="8"/>
  <c r="AH982" i="8"/>
  <c r="AI981" i="8"/>
  <c r="AH981" i="8"/>
  <c r="AI980" i="8"/>
  <c r="AH980" i="8"/>
  <c r="AI979" i="8"/>
  <c r="AH979" i="8"/>
  <c r="AI978" i="8"/>
  <c r="AH978" i="8"/>
  <c r="AI977" i="8"/>
  <c r="AH977" i="8"/>
  <c r="AI976" i="8"/>
  <c r="AH976" i="8"/>
  <c r="AI975" i="8"/>
  <c r="AH975" i="8"/>
  <c r="AI974" i="8"/>
  <c r="AH974" i="8"/>
  <c r="AI973" i="8"/>
  <c r="AH973" i="8"/>
  <c r="AI972" i="8"/>
  <c r="AH972" i="8"/>
  <c r="AI971" i="8"/>
  <c r="AH971" i="8"/>
  <c r="AI970" i="8"/>
  <c r="AH970" i="8"/>
  <c r="AI969" i="8"/>
  <c r="AH969" i="8"/>
  <c r="AI968" i="8"/>
  <c r="AH968" i="8"/>
  <c r="AI967" i="8"/>
  <c r="AH967" i="8"/>
  <c r="AI966" i="8"/>
  <c r="AH966" i="8"/>
  <c r="AI965" i="8"/>
  <c r="AH965" i="8"/>
  <c r="AI964" i="8"/>
  <c r="AH964" i="8"/>
  <c r="AI963" i="8"/>
  <c r="AH963" i="8"/>
  <c r="AI962" i="8"/>
  <c r="AH962" i="8"/>
  <c r="AI961" i="8"/>
  <c r="AH961" i="8"/>
  <c r="AI960" i="8"/>
  <c r="AH960" i="8"/>
  <c r="AI959" i="8"/>
  <c r="AH959" i="8"/>
  <c r="AI958" i="8"/>
  <c r="AH958" i="8"/>
  <c r="AI957" i="8"/>
  <c r="AH957" i="8"/>
  <c r="AI956" i="8"/>
  <c r="AH956" i="8"/>
  <c r="AI955" i="8"/>
  <c r="AH955" i="8"/>
  <c r="AI954" i="8"/>
  <c r="AH954" i="8"/>
  <c r="AI953" i="8"/>
  <c r="AH953" i="8"/>
  <c r="AI952" i="8"/>
  <c r="AH952" i="8"/>
  <c r="AI951" i="8"/>
  <c r="AH951" i="8"/>
  <c r="AI950" i="8"/>
  <c r="AH950" i="8"/>
  <c r="AI949" i="8"/>
  <c r="AH949" i="8"/>
  <c r="AI948" i="8"/>
  <c r="AH948" i="8"/>
  <c r="AI947" i="8"/>
  <c r="AH947" i="8"/>
  <c r="AI946" i="8"/>
  <c r="AH946" i="8"/>
  <c r="AI945" i="8"/>
  <c r="AH945" i="8"/>
  <c r="AI944" i="8"/>
  <c r="AH944" i="8"/>
  <c r="AI943" i="8"/>
  <c r="AH943" i="8"/>
  <c r="AI942" i="8"/>
  <c r="AH942" i="8"/>
  <c r="AI941" i="8"/>
  <c r="AH941" i="8"/>
  <c r="AI940" i="8"/>
  <c r="AH940" i="8"/>
  <c r="AI939" i="8"/>
  <c r="AH939" i="8"/>
  <c r="AI938" i="8"/>
  <c r="AH938" i="8"/>
  <c r="AI937" i="8"/>
  <c r="AH937" i="8"/>
  <c r="AI936" i="8"/>
  <c r="AH936" i="8"/>
  <c r="AI935" i="8"/>
  <c r="AH935" i="8"/>
  <c r="AI934" i="8"/>
  <c r="AH934" i="8"/>
  <c r="AI933" i="8"/>
  <c r="AH933" i="8"/>
  <c r="AI932" i="8"/>
  <c r="AH932" i="8"/>
  <c r="AI931" i="8"/>
  <c r="AH931" i="8"/>
  <c r="AI930" i="8"/>
  <c r="AH930" i="8"/>
  <c r="AI929" i="8"/>
  <c r="AH929" i="8"/>
  <c r="AI928" i="8"/>
  <c r="AH928" i="8"/>
  <c r="AI927" i="8"/>
  <c r="AH927" i="8"/>
  <c r="AI926" i="8"/>
  <c r="AH926" i="8"/>
  <c r="AI925" i="8"/>
  <c r="AH925" i="8"/>
  <c r="AI924" i="8"/>
  <c r="AH924" i="8"/>
  <c r="AI923" i="8"/>
  <c r="AH923" i="8"/>
  <c r="AI922" i="8"/>
  <c r="AH922" i="8"/>
  <c r="AI921" i="8"/>
  <c r="AH921" i="8"/>
  <c r="AI920" i="8"/>
  <c r="AH920" i="8"/>
  <c r="AI919" i="8"/>
  <c r="AH919" i="8"/>
  <c r="AI918" i="8"/>
  <c r="AH918" i="8"/>
  <c r="AI917" i="8"/>
  <c r="AH917" i="8"/>
  <c r="AI916" i="8"/>
  <c r="AH916" i="8"/>
  <c r="AI915" i="8"/>
  <c r="AH915" i="8"/>
  <c r="AI914" i="8"/>
  <c r="AH914" i="8"/>
  <c r="AI913" i="8"/>
  <c r="AH913" i="8"/>
  <c r="AI912" i="8"/>
  <c r="AH912" i="8"/>
  <c r="AI911" i="8"/>
  <c r="AH911" i="8"/>
  <c r="AI910" i="8"/>
  <c r="AH910" i="8"/>
  <c r="AI909" i="8"/>
  <c r="AH909" i="8"/>
  <c r="AI908" i="8"/>
  <c r="AH908" i="8"/>
  <c r="AI907" i="8"/>
  <c r="AH907" i="8"/>
  <c r="AI906" i="8"/>
  <c r="AH906" i="8"/>
  <c r="AI905" i="8"/>
  <c r="AH905" i="8"/>
  <c r="AI904" i="8"/>
  <c r="AH904" i="8"/>
  <c r="AI903" i="8"/>
  <c r="AH903" i="8"/>
  <c r="AI902" i="8"/>
  <c r="AH902" i="8"/>
  <c r="AI901" i="8"/>
  <c r="AH901" i="8"/>
  <c r="AI900" i="8"/>
  <c r="AH900" i="8"/>
  <c r="AI899" i="8"/>
  <c r="AH899" i="8"/>
  <c r="AI898" i="8"/>
  <c r="AH898" i="8"/>
  <c r="AI897" i="8"/>
  <c r="AH897" i="8"/>
  <c r="AI896" i="8"/>
  <c r="AH896" i="8"/>
  <c r="AI895" i="8"/>
  <c r="AH895" i="8"/>
  <c r="AI894" i="8"/>
  <c r="AH894" i="8"/>
  <c r="AI893" i="8"/>
  <c r="AH893" i="8"/>
  <c r="AI892" i="8"/>
  <c r="AH892" i="8"/>
  <c r="AI891" i="8"/>
  <c r="AH891" i="8"/>
  <c r="AI890" i="8"/>
  <c r="AH890" i="8"/>
  <c r="AI889" i="8"/>
  <c r="AH889" i="8"/>
  <c r="AI888" i="8"/>
  <c r="AH888" i="8"/>
  <c r="AI887" i="8"/>
  <c r="AH887" i="8"/>
  <c r="AI886" i="8"/>
  <c r="AH886" i="8"/>
  <c r="AI885" i="8"/>
  <c r="AH885" i="8"/>
  <c r="AI884" i="8"/>
  <c r="AH884" i="8"/>
  <c r="AI883" i="8"/>
  <c r="AH883" i="8"/>
  <c r="AI882" i="8"/>
  <c r="AH882" i="8"/>
  <c r="AI881" i="8"/>
  <c r="AH881" i="8"/>
  <c r="AI880" i="8"/>
  <c r="AH880" i="8"/>
  <c r="AI879" i="8"/>
  <c r="AH879" i="8"/>
  <c r="AI878" i="8"/>
  <c r="AH878" i="8"/>
  <c r="AI877" i="8"/>
  <c r="AH877" i="8"/>
  <c r="AI876" i="8"/>
  <c r="AH876" i="8"/>
  <c r="AI875" i="8"/>
  <c r="AH875" i="8"/>
  <c r="AI874" i="8"/>
  <c r="AH874" i="8"/>
  <c r="AI873" i="8"/>
  <c r="AH873" i="8"/>
  <c r="AI872" i="8"/>
  <c r="AH872" i="8"/>
  <c r="AI871" i="8"/>
  <c r="AH871" i="8"/>
  <c r="AI870" i="8"/>
  <c r="AH870" i="8"/>
  <c r="AI869" i="8"/>
  <c r="AH869" i="8"/>
  <c r="AI868" i="8"/>
  <c r="AH868" i="8"/>
  <c r="AI867" i="8"/>
  <c r="AH867" i="8"/>
  <c r="AI866" i="8"/>
  <c r="AH866" i="8"/>
  <c r="AI865" i="8"/>
  <c r="AH865" i="8"/>
  <c r="AI864" i="8"/>
  <c r="AH864" i="8"/>
  <c r="AI863" i="8"/>
  <c r="AH863" i="8"/>
  <c r="AI862" i="8"/>
  <c r="AH862" i="8"/>
  <c r="AI861" i="8"/>
  <c r="AH861" i="8"/>
  <c r="AI860" i="8"/>
  <c r="AH860" i="8"/>
  <c r="AI859" i="8"/>
  <c r="AH859" i="8"/>
  <c r="AI858" i="8"/>
  <c r="AH858" i="8"/>
  <c r="AI857" i="8"/>
  <c r="AH857" i="8"/>
  <c r="AI856" i="8"/>
  <c r="AH856" i="8"/>
  <c r="AI855" i="8"/>
  <c r="AH855" i="8"/>
  <c r="AI854" i="8"/>
  <c r="AH854" i="8"/>
  <c r="AI853" i="8"/>
  <c r="AH853" i="8"/>
  <c r="AI852" i="8"/>
  <c r="AH852" i="8"/>
  <c r="AI851" i="8"/>
  <c r="AH851" i="8"/>
  <c r="AI850" i="8"/>
  <c r="AH850" i="8"/>
  <c r="AI849" i="8"/>
  <c r="AH849" i="8"/>
  <c r="AI848" i="8"/>
  <c r="AH848" i="8"/>
  <c r="AI847" i="8"/>
  <c r="AH847" i="8"/>
  <c r="AI846" i="8"/>
  <c r="AH846" i="8"/>
  <c r="AI845" i="8"/>
  <c r="AH845" i="8"/>
  <c r="AI844" i="8"/>
  <c r="AH844" i="8"/>
  <c r="AI843" i="8"/>
  <c r="AH843" i="8"/>
  <c r="AI842" i="8"/>
  <c r="AH842" i="8"/>
  <c r="AI841" i="8"/>
  <c r="AH841" i="8"/>
  <c r="AI840" i="8"/>
  <c r="AH840" i="8"/>
  <c r="AI839" i="8"/>
  <c r="AH839" i="8"/>
  <c r="AI838" i="8"/>
  <c r="AH838" i="8"/>
  <c r="AI837" i="8"/>
  <c r="AH837" i="8"/>
  <c r="AI836" i="8"/>
  <c r="AH836" i="8"/>
  <c r="AI835" i="8"/>
  <c r="AH835" i="8"/>
  <c r="AI834" i="8"/>
  <c r="AH834" i="8"/>
  <c r="AI833" i="8"/>
  <c r="AH833" i="8"/>
  <c r="AI832" i="8"/>
  <c r="AH832" i="8"/>
  <c r="AI831" i="8"/>
  <c r="AH831" i="8"/>
  <c r="AI830" i="8"/>
  <c r="AH830" i="8"/>
  <c r="AI829" i="8"/>
  <c r="AH829" i="8"/>
  <c r="AI828" i="8"/>
  <c r="AH828" i="8"/>
  <c r="AI827" i="8"/>
  <c r="AH827" i="8"/>
  <c r="AI826" i="8"/>
  <c r="AH826" i="8"/>
  <c r="AI825" i="8"/>
  <c r="AH825" i="8"/>
  <c r="AI824" i="8"/>
  <c r="AH824" i="8"/>
  <c r="AI823" i="8"/>
  <c r="AH823" i="8"/>
  <c r="AI822" i="8"/>
  <c r="AH822" i="8"/>
  <c r="AI821" i="8"/>
  <c r="AH821" i="8"/>
  <c r="AI820" i="8"/>
  <c r="AH820" i="8"/>
  <c r="AI819" i="8"/>
  <c r="AH819" i="8"/>
  <c r="AI818" i="8"/>
  <c r="AH818" i="8"/>
  <c r="AI817" i="8"/>
  <c r="AH817" i="8"/>
  <c r="AI816" i="8"/>
  <c r="AH816" i="8"/>
  <c r="AI815" i="8"/>
  <c r="AH815" i="8"/>
  <c r="AI814" i="8"/>
  <c r="AH814" i="8"/>
  <c r="AI813" i="8"/>
  <c r="AH813" i="8"/>
  <c r="AI812" i="8"/>
  <c r="AH812" i="8"/>
  <c r="AI811" i="8"/>
  <c r="AH811" i="8"/>
  <c r="AI810" i="8"/>
  <c r="AH810" i="8"/>
  <c r="AI809" i="8"/>
  <c r="AH809" i="8"/>
  <c r="AI808" i="8"/>
  <c r="AH808" i="8"/>
  <c r="AI807" i="8"/>
  <c r="AH807" i="8"/>
  <c r="AI806" i="8"/>
  <c r="AH806" i="8"/>
  <c r="AI805" i="8"/>
  <c r="AH805" i="8"/>
  <c r="AI804" i="8"/>
  <c r="AH804" i="8"/>
  <c r="AI803" i="8"/>
  <c r="AH803" i="8"/>
  <c r="AI802" i="8"/>
  <c r="AH802" i="8"/>
  <c r="AI801" i="8"/>
  <c r="AH801" i="8"/>
  <c r="AI800" i="8"/>
  <c r="AH800" i="8"/>
  <c r="AI799" i="8"/>
  <c r="AH799" i="8"/>
  <c r="AI798" i="8"/>
  <c r="AH798" i="8"/>
  <c r="AI797" i="8"/>
  <c r="AH797" i="8"/>
  <c r="AI796" i="8"/>
  <c r="AH796" i="8"/>
  <c r="AI795" i="8"/>
  <c r="AH795" i="8"/>
  <c r="AI794" i="8"/>
  <c r="AH794" i="8"/>
  <c r="AI793" i="8"/>
  <c r="AH793" i="8"/>
  <c r="AI792" i="8"/>
  <c r="AH792" i="8"/>
  <c r="AI791" i="8"/>
  <c r="AH791" i="8"/>
  <c r="AI790" i="8"/>
  <c r="AH790" i="8"/>
  <c r="AI789" i="8"/>
  <c r="AH789" i="8"/>
  <c r="AI788" i="8"/>
  <c r="AH788" i="8"/>
  <c r="AI787" i="8"/>
  <c r="AH787" i="8"/>
  <c r="AI786" i="8"/>
  <c r="AH786" i="8"/>
  <c r="AI785" i="8"/>
  <c r="AH785" i="8"/>
  <c r="AI784" i="8"/>
  <c r="AH784" i="8"/>
  <c r="AI783" i="8"/>
  <c r="AH783" i="8"/>
  <c r="AI782" i="8"/>
  <c r="AH782" i="8"/>
  <c r="AI781" i="8"/>
  <c r="AH781" i="8"/>
  <c r="AI780" i="8"/>
  <c r="AH780" i="8"/>
  <c r="AI779" i="8"/>
  <c r="AH779" i="8"/>
  <c r="AI778" i="8"/>
  <c r="AH778" i="8"/>
  <c r="AI777" i="8"/>
  <c r="AH777" i="8"/>
  <c r="AI776" i="8"/>
  <c r="AH776" i="8"/>
  <c r="AI775" i="8"/>
  <c r="AH775" i="8"/>
  <c r="AI774" i="8"/>
  <c r="AH774" i="8"/>
  <c r="AI773" i="8"/>
  <c r="AH773" i="8"/>
  <c r="AI772" i="8"/>
  <c r="AH772" i="8"/>
  <c r="AI771" i="8"/>
  <c r="AH771" i="8"/>
  <c r="AI770" i="8"/>
  <c r="AH770" i="8"/>
  <c r="AI769" i="8"/>
  <c r="AH769" i="8"/>
  <c r="AI768" i="8"/>
  <c r="AH768" i="8"/>
  <c r="AI767" i="8"/>
  <c r="AH767" i="8"/>
  <c r="AI766" i="8"/>
  <c r="AH766" i="8"/>
  <c r="AI765" i="8"/>
  <c r="AH765" i="8"/>
  <c r="AI764" i="8"/>
  <c r="AH764" i="8"/>
  <c r="AI763" i="8"/>
  <c r="AH763" i="8"/>
  <c r="AI762" i="8"/>
  <c r="AH762" i="8"/>
  <c r="AI761" i="8"/>
  <c r="AH761" i="8"/>
  <c r="AI760" i="8"/>
  <c r="AH760" i="8"/>
  <c r="AI759" i="8"/>
  <c r="AH759" i="8"/>
  <c r="AI758" i="8"/>
  <c r="AH758" i="8"/>
  <c r="AI757" i="8"/>
  <c r="AH757" i="8"/>
  <c r="AI756" i="8"/>
  <c r="AH756" i="8"/>
  <c r="AI755" i="8"/>
  <c r="AH755" i="8"/>
  <c r="AI754" i="8"/>
  <c r="AH754" i="8"/>
  <c r="AI753" i="8"/>
  <c r="AH753" i="8"/>
  <c r="AI752" i="8"/>
  <c r="AH752" i="8"/>
  <c r="AI751" i="8"/>
  <c r="AH751" i="8"/>
  <c r="AI750" i="8"/>
  <c r="AH750" i="8"/>
  <c r="AI749" i="8"/>
  <c r="AH749" i="8"/>
  <c r="AI748" i="8"/>
  <c r="AH748" i="8"/>
  <c r="AI747" i="8"/>
  <c r="AH747" i="8"/>
  <c r="AI746" i="8"/>
  <c r="AH746" i="8"/>
  <c r="AI745" i="8"/>
  <c r="AH745" i="8"/>
  <c r="AI744" i="8"/>
  <c r="AH744" i="8"/>
  <c r="AI743" i="8"/>
  <c r="AH743" i="8"/>
  <c r="AI742" i="8"/>
  <c r="AH742" i="8"/>
  <c r="AI741" i="8"/>
  <c r="AH741" i="8"/>
  <c r="AI740" i="8"/>
  <c r="AH740" i="8"/>
  <c r="AI739" i="8"/>
  <c r="AH739" i="8"/>
  <c r="AI738" i="8"/>
  <c r="AH738" i="8"/>
  <c r="AI737" i="8"/>
  <c r="AH737" i="8"/>
  <c r="AI736" i="8"/>
  <c r="AH736" i="8"/>
  <c r="AI735" i="8"/>
  <c r="AH735" i="8"/>
  <c r="AI734" i="8"/>
  <c r="AH734" i="8"/>
  <c r="AI733" i="8"/>
  <c r="AH733" i="8"/>
  <c r="AI732" i="8"/>
  <c r="AH732" i="8"/>
  <c r="AI731" i="8"/>
  <c r="AH731" i="8"/>
  <c r="AI730" i="8"/>
  <c r="AH730" i="8"/>
  <c r="AI729" i="8"/>
  <c r="AH729" i="8"/>
  <c r="AI728" i="8"/>
  <c r="AH728" i="8"/>
  <c r="AI727" i="8"/>
  <c r="AH727" i="8"/>
  <c r="AI726" i="8"/>
  <c r="AH726" i="8"/>
  <c r="AI725" i="8"/>
  <c r="AH725" i="8"/>
  <c r="AI724" i="8"/>
  <c r="AH724" i="8"/>
  <c r="AI723" i="8"/>
  <c r="AH723" i="8"/>
  <c r="AI722" i="8"/>
  <c r="AH722" i="8"/>
  <c r="AI721" i="8"/>
  <c r="AH721" i="8"/>
  <c r="AI720" i="8"/>
  <c r="AH720" i="8"/>
  <c r="AI719" i="8"/>
  <c r="AH719" i="8"/>
  <c r="AI718" i="8"/>
  <c r="AH718" i="8"/>
  <c r="AI717" i="8"/>
  <c r="AH717" i="8"/>
  <c r="AI716" i="8"/>
  <c r="AH716" i="8"/>
  <c r="AI715" i="8"/>
  <c r="AH715" i="8"/>
  <c r="AI714" i="8"/>
  <c r="AH714" i="8"/>
  <c r="AI713" i="8"/>
  <c r="AH713" i="8"/>
  <c r="AI712" i="8"/>
  <c r="AH712" i="8"/>
  <c r="AI711" i="8"/>
  <c r="AH711" i="8"/>
  <c r="AI710" i="8"/>
  <c r="AH710" i="8"/>
  <c r="AI709" i="8"/>
  <c r="AH709" i="8"/>
  <c r="AI708" i="8"/>
  <c r="AH708" i="8"/>
  <c r="AI707" i="8"/>
  <c r="AH707" i="8"/>
  <c r="AI706" i="8"/>
  <c r="AH706" i="8"/>
  <c r="AI705" i="8"/>
  <c r="AH705" i="8"/>
  <c r="AI704" i="8"/>
  <c r="AH704" i="8"/>
  <c r="AI703" i="8"/>
  <c r="AH703" i="8"/>
  <c r="AI702" i="8"/>
  <c r="AH702" i="8"/>
  <c r="AI701" i="8"/>
  <c r="AH701" i="8"/>
  <c r="AI700" i="8"/>
  <c r="AH700" i="8"/>
  <c r="AI699" i="8"/>
  <c r="AH699" i="8"/>
  <c r="AI698" i="8"/>
  <c r="AH698" i="8"/>
  <c r="AI697" i="8"/>
  <c r="AH697" i="8"/>
  <c r="AI696" i="8"/>
  <c r="AH696" i="8"/>
  <c r="AI695" i="8"/>
  <c r="AH695" i="8"/>
  <c r="AI694" i="8"/>
  <c r="AH694" i="8"/>
  <c r="AI693" i="8"/>
  <c r="AH693" i="8"/>
  <c r="AI692" i="8"/>
  <c r="AH692" i="8"/>
  <c r="AI691" i="8"/>
  <c r="AH691" i="8"/>
  <c r="AI690" i="8"/>
  <c r="AH690" i="8"/>
  <c r="AI689" i="8"/>
  <c r="AH689" i="8"/>
  <c r="AI688" i="8"/>
  <c r="AH688" i="8"/>
  <c r="AI687" i="8"/>
  <c r="AH687" i="8"/>
  <c r="AI686" i="8"/>
  <c r="AH686" i="8"/>
  <c r="AI685" i="8"/>
  <c r="AH685" i="8"/>
  <c r="AI684" i="8"/>
  <c r="AH684" i="8"/>
  <c r="AI683" i="8"/>
  <c r="AH683" i="8"/>
  <c r="AI682" i="8"/>
  <c r="AH682" i="8"/>
  <c r="AI681" i="8"/>
  <c r="AH681" i="8"/>
  <c r="AI680" i="8"/>
  <c r="AH680" i="8"/>
  <c r="AI679" i="8"/>
  <c r="AH679" i="8"/>
  <c r="AI678" i="8"/>
  <c r="AH678" i="8"/>
  <c r="AI677" i="8"/>
  <c r="AH677" i="8"/>
  <c r="AI676" i="8"/>
  <c r="AH676" i="8"/>
  <c r="AI675" i="8"/>
  <c r="AH675" i="8"/>
  <c r="AI674" i="8"/>
  <c r="AH674" i="8"/>
  <c r="AI673" i="8"/>
  <c r="AH673" i="8"/>
  <c r="AI672" i="8"/>
  <c r="AH672" i="8"/>
  <c r="AI671" i="8"/>
  <c r="AH671" i="8"/>
  <c r="AI670" i="8"/>
  <c r="AH670" i="8"/>
  <c r="AI669" i="8"/>
  <c r="AH669" i="8"/>
  <c r="AI668" i="8"/>
  <c r="AH668" i="8"/>
  <c r="AI667" i="8"/>
  <c r="AH667" i="8"/>
  <c r="AI666" i="8"/>
  <c r="AH666" i="8"/>
  <c r="AI665" i="8"/>
  <c r="AH665" i="8"/>
  <c r="AI664" i="8"/>
  <c r="AH664" i="8"/>
  <c r="AI663" i="8"/>
  <c r="AH663" i="8"/>
  <c r="AI662" i="8"/>
  <c r="AH662" i="8"/>
  <c r="AI661" i="8"/>
  <c r="AH661" i="8"/>
  <c r="AI660" i="8"/>
  <c r="AH660" i="8"/>
  <c r="AI659" i="8"/>
  <c r="AH659" i="8"/>
  <c r="AI658" i="8"/>
  <c r="AH658" i="8"/>
  <c r="AI657" i="8"/>
  <c r="AH657" i="8"/>
  <c r="AI656" i="8"/>
  <c r="AH656" i="8"/>
  <c r="AI655" i="8"/>
  <c r="AH655" i="8"/>
  <c r="AI654" i="8"/>
  <c r="AH654" i="8"/>
  <c r="AI653" i="8"/>
  <c r="AH653" i="8"/>
  <c r="AI652" i="8"/>
  <c r="AH652" i="8"/>
  <c r="AI651" i="8"/>
  <c r="AH651" i="8"/>
  <c r="AI650" i="8"/>
  <c r="AH650" i="8"/>
  <c r="AI649" i="8"/>
  <c r="AH649" i="8"/>
  <c r="AI648" i="8"/>
  <c r="AH648" i="8"/>
  <c r="AI647" i="8"/>
  <c r="AH647" i="8"/>
  <c r="AI646" i="8"/>
  <c r="AH646" i="8"/>
  <c r="AI645" i="8"/>
  <c r="AH645" i="8"/>
  <c r="AI644" i="8"/>
  <c r="AH644" i="8"/>
  <c r="AI643" i="8"/>
  <c r="AH643" i="8"/>
  <c r="AI642" i="8"/>
  <c r="AH642" i="8"/>
  <c r="AI641" i="8"/>
  <c r="AH641" i="8"/>
  <c r="AI640" i="8"/>
  <c r="AH640" i="8"/>
  <c r="AI639" i="8"/>
  <c r="AH639" i="8"/>
  <c r="AI638" i="8"/>
  <c r="AH638" i="8"/>
  <c r="AI637" i="8"/>
  <c r="AH637" i="8"/>
  <c r="AI636" i="8"/>
  <c r="AH636" i="8"/>
  <c r="AI635" i="8"/>
  <c r="AH635" i="8"/>
  <c r="AI634" i="8"/>
  <c r="AH634" i="8"/>
  <c r="AI633" i="8"/>
  <c r="AH633" i="8"/>
  <c r="AI632" i="8"/>
  <c r="AH632" i="8"/>
  <c r="AI631" i="8"/>
  <c r="AH631" i="8"/>
  <c r="AI630" i="8"/>
  <c r="AH630" i="8"/>
  <c r="AI629" i="8"/>
  <c r="AH629" i="8"/>
  <c r="AI628" i="8"/>
  <c r="AH628" i="8"/>
  <c r="AI627" i="8"/>
  <c r="AH627" i="8"/>
  <c r="AI626" i="8"/>
  <c r="AH626" i="8"/>
  <c r="AI625" i="8"/>
  <c r="AH625" i="8"/>
  <c r="AI624" i="8"/>
  <c r="AH624" i="8"/>
  <c r="AI623" i="8"/>
  <c r="AH623" i="8"/>
  <c r="AI622" i="8"/>
  <c r="AH622" i="8"/>
  <c r="AI621" i="8"/>
  <c r="AH621" i="8"/>
  <c r="AI620" i="8"/>
  <c r="AH620" i="8"/>
  <c r="AI619" i="8"/>
  <c r="AH619" i="8"/>
  <c r="AI618" i="8"/>
  <c r="AH618" i="8"/>
  <c r="AI617" i="8"/>
  <c r="AH617" i="8"/>
  <c r="AI616" i="8"/>
  <c r="AH616" i="8"/>
  <c r="AI615" i="8"/>
  <c r="AH615" i="8"/>
  <c r="AI614" i="8"/>
  <c r="AH614" i="8"/>
  <c r="AI613" i="8"/>
  <c r="AH613" i="8"/>
  <c r="AI612" i="8"/>
  <c r="AH612" i="8"/>
  <c r="AI611" i="8"/>
  <c r="AH611" i="8"/>
  <c r="AI610" i="8"/>
  <c r="AH610" i="8"/>
  <c r="AI609" i="8"/>
  <c r="AH609" i="8"/>
  <c r="AI608" i="8"/>
  <c r="AH608" i="8"/>
  <c r="AI607" i="8"/>
  <c r="AH607" i="8"/>
  <c r="AI606" i="8"/>
  <c r="AH606" i="8"/>
  <c r="AI605" i="8"/>
  <c r="AH605" i="8"/>
  <c r="AI604" i="8"/>
  <c r="AH604" i="8"/>
  <c r="AI603" i="8"/>
  <c r="AH603" i="8"/>
  <c r="AI602" i="8"/>
  <c r="AH602" i="8"/>
  <c r="AI601" i="8"/>
  <c r="AH601" i="8"/>
  <c r="AI600" i="8"/>
  <c r="AH600" i="8"/>
  <c r="AI599" i="8"/>
  <c r="AH599" i="8"/>
  <c r="AI598" i="8"/>
  <c r="AH598" i="8"/>
  <c r="AI597" i="8"/>
  <c r="AH597" i="8"/>
  <c r="AI596" i="8"/>
  <c r="AH596" i="8"/>
  <c r="AI595" i="8"/>
  <c r="AH595" i="8"/>
  <c r="AI594" i="8"/>
  <c r="AH594" i="8"/>
  <c r="AI593" i="8"/>
  <c r="AH593" i="8"/>
  <c r="AI592" i="8"/>
  <c r="AH592" i="8"/>
  <c r="AI591" i="8"/>
  <c r="AH591" i="8"/>
  <c r="AI590" i="8"/>
  <c r="AH590" i="8"/>
  <c r="AI589" i="8"/>
  <c r="AH589" i="8"/>
  <c r="AI588" i="8"/>
  <c r="AH588" i="8"/>
  <c r="AI587" i="8"/>
  <c r="AH587" i="8"/>
  <c r="AI586" i="8"/>
  <c r="AH586" i="8"/>
  <c r="AI585" i="8"/>
  <c r="AH585" i="8"/>
  <c r="AI584" i="8"/>
  <c r="AH584" i="8"/>
  <c r="AI583" i="8"/>
  <c r="AH583" i="8"/>
  <c r="AI582" i="8"/>
  <c r="AH582" i="8"/>
  <c r="AI581" i="8"/>
  <c r="AH581" i="8"/>
  <c r="AI580" i="8"/>
  <c r="AH580" i="8"/>
  <c r="AI579" i="8"/>
  <c r="AH579" i="8"/>
  <c r="AI578" i="8"/>
  <c r="AH578" i="8"/>
  <c r="AI577" i="8"/>
  <c r="AH577" i="8"/>
  <c r="AI576" i="8"/>
  <c r="AH576" i="8"/>
  <c r="AI575" i="8"/>
  <c r="AH575" i="8"/>
  <c r="AI574" i="8"/>
  <c r="AH574" i="8"/>
  <c r="AI573" i="8"/>
  <c r="AH573" i="8"/>
  <c r="AI572" i="8"/>
  <c r="AH572" i="8"/>
  <c r="AI571" i="8"/>
  <c r="AH571" i="8"/>
  <c r="AI570" i="8"/>
  <c r="AH570" i="8"/>
  <c r="AI569" i="8"/>
  <c r="AH569" i="8"/>
  <c r="AI568" i="8"/>
  <c r="AH568" i="8"/>
  <c r="AI567" i="8"/>
  <c r="AH567" i="8"/>
  <c r="AI566" i="8"/>
  <c r="AH566" i="8"/>
  <c r="AI565" i="8"/>
  <c r="AH565" i="8"/>
  <c r="AI564" i="8"/>
  <c r="AH564" i="8"/>
  <c r="AI563" i="8"/>
  <c r="AH563" i="8"/>
  <c r="AI562" i="8"/>
  <c r="AH562" i="8"/>
  <c r="AI561" i="8"/>
  <c r="AH561" i="8"/>
  <c r="AI560" i="8"/>
  <c r="AH560" i="8"/>
  <c r="AI559" i="8"/>
  <c r="AH559" i="8"/>
  <c r="AI558" i="8"/>
  <c r="AH558" i="8"/>
  <c r="AI557" i="8"/>
  <c r="AH557" i="8"/>
  <c r="AI556" i="8"/>
  <c r="AH556" i="8"/>
  <c r="AI555" i="8"/>
  <c r="AH555" i="8"/>
  <c r="AI554" i="8"/>
  <c r="AH554" i="8"/>
  <c r="AI553" i="8"/>
  <c r="AH553" i="8"/>
  <c r="AI552" i="8"/>
  <c r="AH552" i="8"/>
  <c r="AI551" i="8"/>
  <c r="AH551" i="8"/>
  <c r="AI550" i="8"/>
  <c r="AH550" i="8"/>
  <c r="AI549" i="8"/>
  <c r="AH549" i="8"/>
  <c r="AI548" i="8"/>
  <c r="AH548" i="8"/>
  <c r="AI547" i="8"/>
  <c r="AH547" i="8"/>
  <c r="AI546" i="8"/>
  <c r="AH546" i="8"/>
  <c r="AI545" i="8"/>
  <c r="AH545" i="8"/>
  <c r="AA29" i="8"/>
  <c r="AI544" i="8"/>
  <c r="AH544" i="8"/>
  <c r="AI543" i="8"/>
  <c r="AH543" i="8"/>
  <c r="AI542" i="8"/>
  <c r="AH542" i="8"/>
  <c r="AI541" i="8"/>
  <c r="AH541" i="8"/>
  <c r="AI540" i="8"/>
  <c r="AH540" i="8"/>
  <c r="AI539" i="8"/>
  <c r="AH539" i="8"/>
  <c r="AI538" i="8"/>
  <c r="AH538" i="8"/>
  <c r="AI537" i="8"/>
  <c r="AH537" i="8"/>
  <c r="AI536" i="8"/>
  <c r="AH536" i="8"/>
  <c r="AI535" i="8"/>
  <c r="AH535" i="8"/>
  <c r="AI534" i="8"/>
  <c r="AH534" i="8"/>
  <c r="AI533" i="8"/>
  <c r="AH533" i="8"/>
  <c r="AI532" i="8"/>
  <c r="AH532" i="8"/>
  <c r="AI531" i="8"/>
  <c r="AH531" i="8"/>
  <c r="AI530" i="8"/>
  <c r="AH530" i="8"/>
  <c r="AI529" i="8"/>
  <c r="AH529" i="8"/>
  <c r="AI528" i="8"/>
  <c r="AH528" i="8"/>
  <c r="AI527" i="8"/>
  <c r="AH527" i="8"/>
  <c r="AI526" i="8"/>
  <c r="AH526" i="8"/>
  <c r="AI525" i="8"/>
  <c r="AH525" i="8"/>
  <c r="AI524" i="8"/>
  <c r="AH524" i="8"/>
  <c r="AI523" i="8"/>
  <c r="AH523" i="8"/>
  <c r="AI522" i="8"/>
  <c r="AH522" i="8"/>
  <c r="AI521" i="8"/>
  <c r="AH521" i="8"/>
  <c r="AI520" i="8"/>
  <c r="AH520" i="8"/>
  <c r="AI519" i="8"/>
  <c r="AH519" i="8"/>
  <c r="AI518" i="8"/>
  <c r="AH518" i="8"/>
  <c r="AI517" i="8"/>
  <c r="AH517" i="8"/>
  <c r="AI516" i="8"/>
  <c r="AH516" i="8"/>
  <c r="AI515" i="8"/>
  <c r="AH515" i="8"/>
  <c r="AI514" i="8"/>
  <c r="AH514" i="8"/>
  <c r="AI513" i="8"/>
  <c r="AH513" i="8"/>
  <c r="AI512" i="8"/>
  <c r="AH512" i="8"/>
  <c r="AI511" i="8"/>
  <c r="AH511" i="8"/>
  <c r="AI510" i="8"/>
  <c r="AH510" i="8"/>
  <c r="AI509" i="8"/>
  <c r="AH509" i="8"/>
  <c r="AI508" i="8"/>
  <c r="AH508" i="8"/>
  <c r="AI507" i="8"/>
  <c r="AH507" i="8"/>
  <c r="AI506" i="8"/>
  <c r="AH506" i="8"/>
  <c r="AI505" i="8"/>
  <c r="AH505" i="8"/>
  <c r="AI504" i="8"/>
  <c r="AH504" i="8"/>
  <c r="AI503" i="8"/>
  <c r="AH503" i="8"/>
  <c r="AI502" i="8"/>
  <c r="AH502" i="8"/>
  <c r="AI501" i="8"/>
  <c r="AH501" i="8"/>
  <c r="AI500" i="8"/>
  <c r="AH500" i="8"/>
  <c r="AI499" i="8"/>
  <c r="AH499" i="8"/>
  <c r="AI498" i="8"/>
  <c r="AH498" i="8"/>
  <c r="AI497" i="8"/>
  <c r="AH497" i="8"/>
  <c r="AI496" i="8"/>
  <c r="AH496" i="8"/>
  <c r="AI495" i="8"/>
  <c r="AH495" i="8"/>
  <c r="AI494" i="8"/>
  <c r="AH494" i="8"/>
  <c r="AI493" i="8"/>
  <c r="AH493" i="8"/>
  <c r="AI492" i="8"/>
  <c r="AH492" i="8"/>
  <c r="AI491" i="8"/>
  <c r="AH491" i="8"/>
  <c r="AI490" i="8"/>
  <c r="AH490" i="8"/>
  <c r="AI489" i="8"/>
  <c r="AH489" i="8"/>
  <c r="AI488" i="8"/>
  <c r="AH488" i="8"/>
  <c r="AI487" i="8"/>
  <c r="AH487" i="8"/>
  <c r="AI486" i="8"/>
  <c r="AH486" i="8"/>
  <c r="AI485" i="8"/>
  <c r="AH485" i="8"/>
  <c r="AI484" i="8"/>
  <c r="AH484" i="8"/>
  <c r="AI483" i="8"/>
  <c r="AH483" i="8"/>
  <c r="AI482" i="8"/>
  <c r="AH482" i="8"/>
  <c r="AI481" i="8"/>
  <c r="AH481" i="8"/>
  <c r="AI480" i="8"/>
  <c r="AH480" i="8"/>
  <c r="AI479" i="8"/>
  <c r="AH479" i="8"/>
  <c r="AI478" i="8"/>
  <c r="AH478" i="8"/>
  <c r="AI477" i="8"/>
  <c r="AH477" i="8"/>
  <c r="AI476" i="8"/>
  <c r="AH476" i="8"/>
  <c r="AI475" i="8"/>
  <c r="AH475" i="8"/>
  <c r="AI474" i="8"/>
  <c r="AH474" i="8"/>
  <c r="AI473" i="8"/>
  <c r="AH473" i="8"/>
  <c r="AI472" i="8"/>
  <c r="AH472" i="8"/>
  <c r="AI471" i="8"/>
  <c r="AH471" i="8"/>
  <c r="AI470" i="8"/>
  <c r="AH470" i="8"/>
  <c r="AI469" i="8"/>
  <c r="AH469" i="8"/>
  <c r="AI468" i="8"/>
  <c r="AH468" i="8"/>
  <c r="AI467" i="8"/>
  <c r="AH467" i="8"/>
  <c r="AI466" i="8"/>
  <c r="AH466" i="8"/>
  <c r="AI465" i="8"/>
  <c r="AH465" i="8"/>
  <c r="AI464" i="8"/>
  <c r="AH464" i="8"/>
  <c r="AI463" i="8"/>
  <c r="AH463" i="8"/>
  <c r="AI462" i="8"/>
  <c r="AH462" i="8"/>
  <c r="AI461" i="8"/>
  <c r="AH461" i="8"/>
  <c r="AI460" i="8"/>
  <c r="AH460" i="8"/>
  <c r="AI459" i="8"/>
  <c r="AH459" i="8"/>
  <c r="AI458" i="8"/>
  <c r="AH458" i="8"/>
  <c r="AI457" i="8"/>
  <c r="AH457" i="8"/>
  <c r="AI456" i="8"/>
  <c r="AH456" i="8"/>
  <c r="AI455" i="8"/>
  <c r="AH455" i="8"/>
  <c r="AI454" i="8"/>
  <c r="AH454" i="8"/>
  <c r="AI453" i="8"/>
  <c r="AH453" i="8"/>
  <c r="AI452" i="8"/>
  <c r="AH452" i="8"/>
  <c r="AI451" i="8"/>
  <c r="AH451" i="8"/>
  <c r="AI450" i="8"/>
  <c r="AH450" i="8"/>
  <c r="AI449" i="8"/>
  <c r="AH449" i="8"/>
  <c r="AI448" i="8"/>
  <c r="AH448" i="8"/>
  <c r="AI447" i="8"/>
  <c r="AH447" i="8"/>
  <c r="AI446" i="8"/>
  <c r="AH446" i="8"/>
  <c r="AI445" i="8"/>
  <c r="AH445" i="8"/>
  <c r="AI444" i="8"/>
  <c r="AH444" i="8"/>
  <c r="AI443" i="8"/>
  <c r="AH443" i="8"/>
  <c r="AI442" i="8"/>
  <c r="AH442" i="8"/>
  <c r="AI441" i="8"/>
  <c r="AH441" i="8"/>
  <c r="AI440" i="8"/>
  <c r="AH440" i="8"/>
  <c r="AI439" i="8"/>
  <c r="AH439" i="8"/>
  <c r="AI438" i="8"/>
  <c r="AH438" i="8"/>
  <c r="AI437" i="8"/>
  <c r="AH437" i="8"/>
  <c r="AI436" i="8"/>
  <c r="AH436" i="8"/>
  <c r="AI435" i="8"/>
  <c r="AH435" i="8"/>
  <c r="AI434" i="8"/>
  <c r="AH434" i="8"/>
  <c r="AI433" i="8"/>
  <c r="AH433" i="8"/>
  <c r="AI432" i="8"/>
  <c r="AH432" i="8"/>
  <c r="AI431" i="8"/>
  <c r="AH431" i="8"/>
  <c r="AI430" i="8"/>
  <c r="AH430" i="8"/>
  <c r="AI429" i="8"/>
  <c r="AH429" i="8"/>
  <c r="AI428" i="8"/>
  <c r="AH428" i="8"/>
  <c r="AI427" i="8"/>
  <c r="AH427" i="8"/>
  <c r="AI426" i="8"/>
  <c r="AH426" i="8"/>
  <c r="AI425" i="8"/>
  <c r="AH425" i="8"/>
  <c r="AI424" i="8"/>
  <c r="AH424" i="8"/>
  <c r="AI423" i="8"/>
  <c r="AH423" i="8"/>
  <c r="AI422" i="8"/>
  <c r="AH422" i="8"/>
  <c r="AI421" i="8"/>
  <c r="AH421" i="8"/>
  <c r="AI420" i="8"/>
  <c r="AH420" i="8"/>
  <c r="AI419" i="8"/>
  <c r="AH419" i="8"/>
  <c r="AI418" i="8"/>
  <c r="AH418" i="8"/>
  <c r="AI417" i="8"/>
  <c r="AH417" i="8"/>
  <c r="AI416" i="8"/>
  <c r="AH416" i="8"/>
  <c r="AI415" i="8"/>
  <c r="AH415" i="8"/>
  <c r="AI414" i="8"/>
  <c r="AH414" i="8"/>
  <c r="AI413" i="8"/>
  <c r="AH413" i="8"/>
  <c r="AI412" i="8"/>
  <c r="AH412" i="8"/>
  <c r="AI411" i="8"/>
  <c r="AH411" i="8"/>
  <c r="AI410" i="8"/>
  <c r="AH410" i="8"/>
  <c r="AI409" i="8"/>
  <c r="AH409" i="8"/>
  <c r="AI408" i="8"/>
  <c r="AH408" i="8"/>
  <c r="AI407" i="8"/>
  <c r="AH407" i="8"/>
  <c r="AI406" i="8"/>
  <c r="AH406" i="8"/>
  <c r="AI405" i="8"/>
  <c r="AH405" i="8"/>
  <c r="AI404" i="8"/>
  <c r="AH404" i="8"/>
  <c r="AI403" i="8"/>
  <c r="AH403" i="8"/>
  <c r="AI402" i="8"/>
  <c r="AH402" i="8"/>
  <c r="AI401" i="8"/>
  <c r="AH401" i="8"/>
  <c r="AI400" i="8"/>
  <c r="AH400" i="8"/>
  <c r="AI399" i="8"/>
  <c r="AH399" i="8"/>
  <c r="AI398" i="8"/>
  <c r="AH398" i="8"/>
  <c r="AI397" i="8"/>
  <c r="AH397" i="8"/>
  <c r="AI396" i="8"/>
  <c r="AH396" i="8"/>
  <c r="AI395" i="8"/>
  <c r="AH395" i="8"/>
  <c r="AI394" i="8"/>
  <c r="AH394" i="8"/>
  <c r="AI393" i="8"/>
  <c r="AH393" i="8"/>
  <c r="AI392" i="8"/>
  <c r="AH392" i="8"/>
  <c r="AI391" i="8"/>
  <c r="AH391" i="8"/>
  <c r="AI390" i="8"/>
  <c r="AH390" i="8"/>
  <c r="AI389" i="8"/>
  <c r="AH389" i="8"/>
  <c r="AI388" i="8"/>
  <c r="AH388" i="8"/>
  <c r="AI387" i="8"/>
  <c r="AH387" i="8"/>
  <c r="AI386" i="8"/>
  <c r="AH386" i="8"/>
  <c r="AI385" i="8"/>
  <c r="AH385" i="8"/>
  <c r="AI384" i="8"/>
  <c r="AH384" i="8"/>
  <c r="AI383" i="8"/>
  <c r="AH383" i="8"/>
  <c r="AI382" i="8"/>
  <c r="AH382" i="8"/>
  <c r="AI381" i="8"/>
  <c r="AH381" i="8"/>
  <c r="AI380" i="8"/>
  <c r="AH380" i="8"/>
  <c r="AI379" i="8"/>
  <c r="AH379" i="8"/>
  <c r="AI378" i="8"/>
  <c r="AH378" i="8"/>
  <c r="AI377" i="8"/>
  <c r="AH377" i="8"/>
  <c r="AI376" i="8"/>
  <c r="AH376" i="8"/>
  <c r="AI375" i="8"/>
  <c r="AH375" i="8"/>
  <c r="AI374" i="8"/>
  <c r="AH374" i="8"/>
  <c r="AI373" i="8"/>
  <c r="AH373" i="8"/>
  <c r="AI372" i="8"/>
  <c r="AH372" i="8"/>
  <c r="AI371" i="8"/>
  <c r="AH371" i="8"/>
  <c r="AI370" i="8"/>
  <c r="AH370" i="8"/>
  <c r="AI369" i="8"/>
  <c r="AH369" i="8"/>
  <c r="AI368" i="8"/>
  <c r="AH368" i="8"/>
  <c r="AI367" i="8"/>
  <c r="AH367" i="8"/>
  <c r="AI366" i="8"/>
  <c r="AH366" i="8"/>
  <c r="AI365" i="8"/>
  <c r="AH365" i="8"/>
  <c r="AI364" i="8"/>
  <c r="AH364" i="8"/>
  <c r="AI363" i="8"/>
  <c r="AH363" i="8"/>
  <c r="AI362" i="8"/>
  <c r="AH362" i="8"/>
  <c r="AI361" i="8"/>
  <c r="AH361" i="8"/>
  <c r="AI360" i="8"/>
  <c r="AH360" i="8"/>
  <c r="AI359" i="8"/>
  <c r="AH359" i="8"/>
  <c r="AI358" i="8"/>
  <c r="AH358" i="8"/>
  <c r="AI357" i="8"/>
  <c r="AH357" i="8"/>
  <c r="AI356" i="8"/>
  <c r="AH356" i="8"/>
  <c r="AI355" i="8"/>
  <c r="AH355" i="8"/>
  <c r="AI354" i="8"/>
  <c r="AH354" i="8"/>
  <c r="AI353" i="8"/>
  <c r="AH353" i="8"/>
  <c r="AI352" i="8"/>
  <c r="AH352" i="8"/>
  <c r="AI351" i="8"/>
  <c r="AH351" i="8"/>
  <c r="AI350" i="8"/>
  <c r="AH350" i="8"/>
  <c r="AI349" i="8"/>
  <c r="AH349" i="8"/>
  <c r="AI348" i="8"/>
  <c r="AH348" i="8"/>
  <c r="AI347" i="8"/>
  <c r="AH347" i="8"/>
  <c r="AI346" i="8"/>
  <c r="AH346" i="8"/>
  <c r="AI345" i="8"/>
  <c r="AH345" i="8"/>
  <c r="AI344" i="8"/>
  <c r="AH344" i="8"/>
  <c r="AI343" i="8"/>
  <c r="AH343" i="8"/>
  <c r="AI342" i="8"/>
  <c r="AH342" i="8"/>
  <c r="AI341" i="8"/>
  <c r="AH341" i="8"/>
  <c r="AI340" i="8"/>
  <c r="AH340" i="8"/>
  <c r="AI339" i="8"/>
  <c r="AH339" i="8"/>
  <c r="AI338" i="8"/>
  <c r="AH338" i="8"/>
  <c r="AI337" i="8"/>
  <c r="AH337" i="8"/>
  <c r="AI336" i="8"/>
  <c r="AH336" i="8"/>
  <c r="AI335" i="8"/>
  <c r="AH335" i="8"/>
  <c r="AI334" i="8"/>
  <c r="AH334" i="8"/>
  <c r="AI333" i="8"/>
  <c r="AH333" i="8"/>
  <c r="AI332" i="8"/>
  <c r="AH332" i="8"/>
  <c r="AI331" i="8"/>
  <c r="AH331" i="8"/>
  <c r="AI330" i="8"/>
  <c r="AH330" i="8"/>
  <c r="AI329" i="8"/>
  <c r="AH329" i="8"/>
  <c r="AI328" i="8"/>
  <c r="AH328" i="8"/>
  <c r="AI327" i="8"/>
  <c r="AH327" i="8"/>
  <c r="AI326" i="8"/>
  <c r="AH326" i="8"/>
  <c r="AI325" i="8"/>
  <c r="AH325" i="8"/>
  <c r="AI324" i="8"/>
  <c r="AH324" i="8"/>
  <c r="AI323" i="8"/>
  <c r="AH323" i="8"/>
  <c r="AI322" i="8"/>
  <c r="AH322" i="8"/>
  <c r="AI321" i="8"/>
  <c r="AH321" i="8"/>
  <c r="AI320" i="8"/>
  <c r="AH320" i="8"/>
  <c r="AI319" i="8"/>
  <c r="AH319" i="8"/>
  <c r="AI318" i="8"/>
  <c r="AH318" i="8"/>
  <c r="AI317" i="8"/>
  <c r="AH317" i="8"/>
  <c r="AI316" i="8"/>
  <c r="AH316" i="8"/>
  <c r="AI315" i="8"/>
  <c r="AH315" i="8"/>
  <c r="AI314" i="8"/>
  <c r="AH314" i="8"/>
  <c r="AI313" i="8"/>
  <c r="AH313" i="8"/>
  <c r="AI312" i="8"/>
  <c r="AH312" i="8"/>
  <c r="AI311" i="8"/>
  <c r="AH311" i="8"/>
  <c r="AI310" i="8"/>
  <c r="AH310" i="8"/>
  <c r="AI309" i="8"/>
  <c r="AH309" i="8"/>
  <c r="AI308" i="8"/>
  <c r="AH308" i="8"/>
  <c r="AI307" i="8"/>
  <c r="AH307" i="8"/>
  <c r="AI306" i="8"/>
  <c r="AH306" i="8"/>
  <c r="AI305" i="8"/>
  <c r="AH305" i="8"/>
  <c r="AI304" i="8"/>
  <c r="AH304" i="8"/>
  <c r="AI303" i="8"/>
  <c r="AH303" i="8"/>
  <c r="AI302" i="8"/>
  <c r="AH302" i="8"/>
  <c r="AI301" i="8"/>
  <c r="AH301" i="8"/>
  <c r="AI300" i="8"/>
  <c r="AH300" i="8"/>
  <c r="AI299" i="8"/>
  <c r="AH299" i="8"/>
  <c r="AI298" i="8"/>
  <c r="AH298" i="8"/>
  <c r="AI297" i="8"/>
  <c r="AH297" i="8"/>
  <c r="AI296" i="8"/>
  <c r="AH296" i="8"/>
  <c r="AI295" i="8"/>
  <c r="AH295" i="8"/>
  <c r="AI294" i="8"/>
  <c r="AH294" i="8"/>
  <c r="AI293" i="8"/>
  <c r="AH293" i="8"/>
  <c r="AI292" i="8"/>
  <c r="AH292" i="8"/>
  <c r="AI291" i="8"/>
  <c r="AH291" i="8"/>
  <c r="AI290" i="8"/>
  <c r="AH290" i="8"/>
  <c r="AI289" i="8"/>
  <c r="AH289" i="8"/>
  <c r="AI288" i="8"/>
  <c r="AH288" i="8"/>
  <c r="AI287" i="8"/>
  <c r="AH287" i="8"/>
  <c r="AI286" i="8"/>
  <c r="AH286" i="8"/>
  <c r="AI285" i="8"/>
  <c r="AH285" i="8"/>
  <c r="AI284" i="8"/>
  <c r="AH284" i="8"/>
  <c r="AI283" i="8"/>
  <c r="AH283" i="8"/>
  <c r="AI282" i="8"/>
  <c r="AH282" i="8"/>
  <c r="AI281" i="8"/>
  <c r="AH281" i="8"/>
  <c r="AI280" i="8"/>
  <c r="AH280" i="8"/>
  <c r="AI279" i="8"/>
  <c r="AH279" i="8"/>
  <c r="AI278" i="8"/>
  <c r="AH278" i="8"/>
  <c r="AI277" i="8"/>
  <c r="AH277" i="8"/>
  <c r="AI276" i="8"/>
  <c r="AH276" i="8"/>
  <c r="AI275" i="8"/>
  <c r="AH275" i="8"/>
  <c r="AI274" i="8"/>
  <c r="AH274" i="8"/>
  <c r="AI273" i="8"/>
  <c r="AH273" i="8"/>
  <c r="AI272" i="8"/>
  <c r="AH272" i="8"/>
  <c r="AI271" i="8"/>
  <c r="AH271" i="8"/>
  <c r="AI270" i="8"/>
  <c r="AH270" i="8"/>
  <c r="AI269" i="8"/>
  <c r="AH269" i="8"/>
  <c r="AI268" i="8"/>
  <c r="AH268" i="8"/>
  <c r="AI267" i="8"/>
  <c r="AH267" i="8"/>
  <c r="AI266" i="8"/>
  <c r="AH266" i="8"/>
  <c r="AI265" i="8"/>
  <c r="AH265" i="8"/>
  <c r="AI264" i="8"/>
  <c r="AH264" i="8"/>
  <c r="AI263" i="8"/>
  <c r="AH263" i="8"/>
  <c r="AI262" i="8"/>
  <c r="AH262" i="8"/>
  <c r="AI261" i="8"/>
  <c r="AH261" i="8"/>
  <c r="AI260" i="8"/>
  <c r="AH260" i="8"/>
  <c r="AI259" i="8"/>
  <c r="AH259" i="8"/>
  <c r="AI258" i="8"/>
  <c r="AH258" i="8"/>
  <c r="AI257" i="8"/>
  <c r="AH257" i="8"/>
  <c r="AI256" i="8"/>
  <c r="AH256" i="8"/>
  <c r="AI255" i="8"/>
  <c r="AH255" i="8"/>
  <c r="AI254" i="8"/>
  <c r="AH254" i="8"/>
  <c r="AI253" i="8"/>
  <c r="AH253" i="8"/>
  <c r="AI252" i="8"/>
  <c r="AH252" i="8"/>
  <c r="AI251" i="8"/>
  <c r="AH251" i="8"/>
  <c r="AI250" i="8"/>
  <c r="AH250" i="8"/>
  <c r="AI249" i="8"/>
  <c r="AH249" i="8"/>
  <c r="AI248" i="8"/>
  <c r="AH248" i="8"/>
  <c r="AI247" i="8"/>
  <c r="AH247" i="8"/>
  <c r="AI246" i="8"/>
  <c r="AH246" i="8"/>
  <c r="AI245" i="8"/>
  <c r="AH245" i="8"/>
  <c r="AI244" i="8"/>
  <c r="AH244" i="8"/>
  <c r="AI243" i="8"/>
  <c r="AH243" i="8"/>
  <c r="AI242" i="8"/>
  <c r="AH242" i="8"/>
  <c r="AI241" i="8"/>
  <c r="AH241" i="8"/>
  <c r="AI240" i="8"/>
  <c r="AH240" i="8"/>
  <c r="AI239" i="8"/>
  <c r="AH239" i="8"/>
  <c r="AI238" i="8"/>
  <c r="AH238" i="8"/>
  <c r="AI237" i="8"/>
  <c r="AH237" i="8"/>
  <c r="AI236" i="8"/>
  <c r="AH236" i="8"/>
  <c r="AI235" i="8"/>
  <c r="AH235" i="8"/>
  <c r="AI234" i="8"/>
  <c r="AH234" i="8"/>
  <c r="AI233" i="8"/>
  <c r="AH233" i="8"/>
  <c r="AI232" i="8"/>
  <c r="AH232" i="8"/>
  <c r="AI231" i="8"/>
  <c r="AH231" i="8"/>
  <c r="AI230" i="8"/>
  <c r="AH230" i="8"/>
  <c r="AI229" i="8"/>
  <c r="AH229" i="8"/>
  <c r="AI228" i="8"/>
  <c r="AH228" i="8"/>
  <c r="AI227" i="8"/>
  <c r="AH227" i="8"/>
  <c r="AI226" i="8"/>
  <c r="AH226" i="8"/>
  <c r="AI225" i="8"/>
  <c r="AH225" i="8"/>
  <c r="AI224" i="8"/>
  <c r="AH224" i="8"/>
  <c r="AI223" i="8"/>
  <c r="AH223" i="8"/>
  <c r="AI222" i="8"/>
  <c r="AH222" i="8"/>
  <c r="AI221" i="8"/>
  <c r="AH221" i="8"/>
  <c r="AI220" i="8"/>
  <c r="AH220" i="8"/>
  <c r="AI219" i="8"/>
  <c r="AH219" i="8"/>
  <c r="AI218" i="8"/>
  <c r="AH218" i="8"/>
  <c r="AI217" i="8"/>
  <c r="AH217" i="8"/>
  <c r="AI216" i="8"/>
  <c r="AH216" i="8"/>
  <c r="AI215" i="8"/>
  <c r="AH215" i="8"/>
  <c r="AI214" i="8"/>
  <c r="AH214" i="8"/>
  <c r="AI213" i="8"/>
  <c r="AH213" i="8"/>
  <c r="AI212" i="8"/>
  <c r="AH212" i="8"/>
  <c r="AI211" i="8"/>
  <c r="AH211" i="8"/>
  <c r="AI210" i="8"/>
  <c r="AH210" i="8"/>
  <c r="AI209" i="8"/>
  <c r="AH209" i="8"/>
  <c r="AI208" i="8"/>
  <c r="AH208" i="8"/>
  <c r="AI207" i="8"/>
  <c r="AH207" i="8"/>
  <c r="AI206" i="8"/>
  <c r="AH206" i="8"/>
  <c r="AI205" i="8"/>
  <c r="AH205" i="8"/>
  <c r="AI204" i="8"/>
  <c r="AH204" i="8"/>
  <c r="AI203" i="8"/>
  <c r="AH203" i="8"/>
  <c r="AI202" i="8"/>
  <c r="AH202" i="8"/>
  <c r="AI201" i="8"/>
  <c r="AH201" i="8"/>
  <c r="AI200" i="8"/>
  <c r="AH200" i="8"/>
  <c r="AI199" i="8"/>
  <c r="AH199" i="8"/>
  <c r="AI198" i="8"/>
  <c r="AH198" i="8"/>
  <c r="AI197" i="8"/>
  <c r="AH197" i="8"/>
  <c r="AI196" i="8"/>
  <c r="AH196" i="8"/>
  <c r="AI195" i="8"/>
  <c r="AH195" i="8"/>
  <c r="AI194" i="8"/>
  <c r="AH194" i="8"/>
  <c r="AI193" i="8"/>
  <c r="AH193" i="8"/>
  <c r="AI192" i="8"/>
  <c r="AH192" i="8"/>
  <c r="AI191" i="8"/>
  <c r="AH191" i="8"/>
  <c r="AI190" i="8"/>
  <c r="AH190" i="8"/>
  <c r="AI189" i="8"/>
  <c r="AH189" i="8"/>
  <c r="AI188" i="8"/>
  <c r="AH188" i="8"/>
  <c r="AI187" i="8"/>
  <c r="AH187" i="8"/>
  <c r="AI186" i="8"/>
  <c r="AH186" i="8"/>
  <c r="AI185" i="8"/>
  <c r="AH185" i="8"/>
  <c r="AI184" i="8"/>
  <c r="AH184" i="8"/>
  <c r="AI183" i="8"/>
  <c r="AH183" i="8"/>
  <c r="AI182" i="8"/>
  <c r="AH182" i="8"/>
  <c r="AI181" i="8"/>
  <c r="AH181" i="8"/>
  <c r="AI180" i="8"/>
  <c r="AH180" i="8"/>
  <c r="AI179" i="8"/>
  <c r="AH179" i="8"/>
  <c r="AI178" i="8"/>
  <c r="AH178" i="8"/>
  <c r="AI177" i="8"/>
  <c r="AH177" i="8"/>
  <c r="AI176" i="8"/>
  <c r="AH176" i="8"/>
  <c r="AI175" i="8"/>
  <c r="AH175" i="8"/>
  <c r="AI174" i="8"/>
  <c r="AH174" i="8"/>
  <c r="AI173" i="8"/>
  <c r="AH173" i="8"/>
  <c r="AI172" i="8"/>
  <c r="AH172" i="8"/>
  <c r="AI171" i="8"/>
  <c r="AH171" i="8"/>
  <c r="AI170" i="8"/>
  <c r="AH170" i="8"/>
  <c r="AI169" i="8"/>
  <c r="AH169" i="8"/>
  <c r="AI168" i="8"/>
  <c r="AH168" i="8"/>
  <c r="AI167" i="8"/>
  <c r="AH167" i="8"/>
  <c r="AI166" i="8"/>
  <c r="AH166" i="8"/>
  <c r="AI165" i="8"/>
  <c r="AH165" i="8"/>
  <c r="AI164" i="8"/>
  <c r="AH164" i="8"/>
  <c r="AI163" i="8"/>
  <c r="AH163" i="8"/>
  <c r="AI162" i="8"/>
  <c r="AH162" i="8"/>
  <c r="AI161" i="8"/>
  <c r="AH161" i="8"/>
  <c r="AI160" i="8"/>
  <c r="AH160" i="8"/>
  <c r="AI159" i="8"/>
  <c r="AH159" i="8"/>
  <c r="AI158" i="8"/>
  <c r="AH158" i="8"/>
  <c r="AI157" i="8"/>
  <c r="AH157" i="8"/>
  <c r="AI156" i="8"/>
  <c r="AH156" i="8"/>
  <c r="AI155" i="8"/>
  <c r="AH155" i="8"/>
  <c r="AI154" i="8"/>
  <c r="AH154" i="8"/>
  <c r="AI153" i="8"/>
  <c r="AH153" i="8"/>
  <c r="AI152" i="8"/>
  <c r="AH152" i="8"/>
  <c r="AI151" i="8"/>
  <c r="AH151" i="8"/>
  <c r="AI150" i="8"/>
  <c r="AH150" i="8"/>
  <c r="AI149" i="8"/>
  <c r="AH149" i="8"/>
  <c r="AI148" i="8"/>
  <c r="AH148" i="8"/>
  <c r="AI147" i="8"/>
  <c r="AH147" i="8"/>
  <c r="AI146" i="8"/>
  <c r="AH146" i="8"/>
  <c r="AI145" i="8"/>
  <c r="AH145" i="8"/>
  <c r="AI144" i="8"/>
  <c r="AH144" i="8"/>
  <c r="AI143" i="8"/>
  <c r="AH143" i="8"/>
  <c r="AI142" i="8"/>
  <c r="AH142" i="8"/>
  <c r="AI141" i="8"/>
  <c r="AH141" i="8"/>
  <c r="AI140" i="8"/>
  <c r="AH140" i="8"/>
  <c r="AI139" i="8"/>
  <c r="AH139" i="8"/>
  <c r="AI138" i="8"/>
  <c r="AH138" i="8"/>
  <c r="AI137" i="8"/>
  <c r="AH137" i="8"/>
  <c r="AI136" i="8"/>
  <c r="AH136" i="8"/>
  <c r="AI135" i="8"/>
  <c r="AH135" i="8"/>
  <c r="AI134" i="8"/>
  <c r="AH134" i="8"/>
  <c r="AI133" i="8"/>
  <c r="AH133" i="8"/>
  <c r="AI132" i="8"/>
  <c r="AH132" i="8"/>
  <c r="AI131" i="8"/>
  <c r="AH131" i="8"/>
  <c r="AI130" i="8"/>
  <c r="AH130" i="8"/>
  <c r="AI129" i="8"/>
  <c r="AH129" i="8"/>
  <c r="AI128" i="8"/>
  <c r="AH128" i="8"/>
  <c r="AI127" i="8"/>
  <c r="AH127" i="8"/>
  <c r="AI126" i="8"/>
  <c r="AH126" i="8"/>
  <c r="AI125" i="8"/>
  <c r="AH125" i="8"/>
  <c r="AI124" i="8"/>
  <c r="AH124" i="8"/>
  <c r="AI123" i="8"/>
  <c r="AH123" i="8"/>
  <c r="AI122" i="8"/>
  <c r="AH122" i="8"/>
  <c r="AI121" i="8"/>
  <c r="AH121" i="8"/>
  <c r="AI120" i="8"/>
  <c r="AH120" i="8"/>
  <c r="AI119" i="8"/>
  <c r="AH119" i="8"/>
  <c r="AI118" i="8"/>
  <c r="AH118" i="8"/>
  <c r="AI117" i="8"/>
  <c r="AH117" i="8"/>
  <c r="AI116" i="8"/>
  <c r="AH116" i="8"/>
  <c r="AI115" i="8"/>
  <c r="AH115" i="8"/>
  <c r="AI114" i="8"/>
  <c r="AH114" i="8"/>
  <c r="AI113" i="8"/>
  <c r="AH113" i="8"/>
  <c r="AI112" i="8"/>
  <c r="AH112" i="8"/>
  <c r="AI111" i="8"/>
  <c r="AH111" i="8"/>
  <c r="AI110" i="8"/>
  <c r="AH110" i="8"/>
  <c r="AI109" i="8"/>
  <c r="AH109" i="8"/>
  <c r="AI108" i="8"/>
  <c r="AH108" i="8"/>
  <c r="AI107" i="8"/>
  <c r="AH107" i="8"/>
  <c r="AI106" i="8"/>
  <c r="AH106" i="8"/>
  <c r="AI105" i="8"/>
  <c r="AH105" i="8"/>
  <c r="AI104" i="8"/>
  <c r="AH104" i="8"/>
  <c r="AI103" i="8"/>
  <c r="AH103" i="8"/>
  <c r="AI102" i="8"/>
  <c r="AH102" i="8"/>
  <c r="AI101" i="8"/>
  <c r="AH101" i="8"/>
  <c r="AI100" i="8"/>
  <c r="AH100" i="8"/>
  <c r="AI99" i="8"/>
  <c r="AH99" i="8"/>
  <c r="AI98" i="8"/>
  <c r="AH98" i="8"/>
  <c r="AI97" i="8"/>
  <c r="AH97" i="8"/>
  <c r="AI96" i="8"/>
  <c r="AH96" i="8"/>
  <c r="AI95" i="8"/>
  <c r="AH95" i="8"/>
  <c r="AI94" i="8"/>
  <c r="AH94" i="8"/>
  <c r="AI93" i="8"/>
  <c r="AH93" i="8"/>
  <c r="AI92" i="8"/>
  <c r="AH92" i="8"/>
  <c r="AI91" i="8"/>
  <c r="AH91" i="8"/>
  <c r="AI90" i="8"/>
  <c r="AH90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I83" i="8"/>
  <c r="AH83" i="8"/>
  <c r="AI82" i="8"/>
  <c r="AH82" i="8"/>
  <c r="AI81" i="8"/>
  <c r="AH81" i="8"/>
  <c r="AI80" i="8"/>
  <c r="AH80" i="8"/>
  <c r="AI79" i="8"/>
  <c r="AH79" i="8"/>
  <c r="AI78" i="8"/>
  <c r="AH78" i="8"/>
  <c r="AI77" i="8"/>
  <c r="AH77" i="8"/>
  <c r="AI76" i="8"/>
  <c r="AH76" i="8"/>
  <c r="AI75" i="8"/>
  <c r="AH75" i="8"/>
  <c r="AI74" i="8"/>
  <c r="AH74" i="8"/>
  <c r="AI73" i="8"/>
  <c r="AH73" i="8"/>
  <c r="AI72" i="8"/>
  <c r="AH72" i="8"/>
  <c r="AI71" i="8"/>
  <c r="AH71" i="8"/>
  <c r="AI70" i="8"/>
  <c r="AH70" i="8"/>
  <c r="AI69" i="8"/>
  <c r="AH69" i="8"/>
  <c r="AI68" i="8"/>
  <c r="AH68" i="8"/>
  <c r="AI67" i="8"/>
  <c r="AH67" i="8"/>
  <c r="AI66" i="8"/>
  <c r="AH66" i="8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I56" i="8"/>
  <c r="AH56" i="8"/>
  <c r="V56" i="8"/>
  <c r="AI55" i="8"/>
  <c r="AH55" i="8"/>
  <c r="V55" i="8"/>
  <c r="AI54" i="8"/>
  <c r="AH54" i="8"/>
  <c r="V54" i="8"/>
  <c r="AI53" i="8"/>
  <c r="AH53" i="8"/>
  <c r="V53" i="8"/>
  <c r="AI52" i="8"/>
  <c r="AH52" i="8"/>
  <c r="V52" i="8"/>
  <c r="AI51" i="8"/>
  <c r="AH51" i="8"/>
  <c r="V51" i="8"/>
  <c r="AI50" i="8"/>
  <c r="AH50" i="8"/>
  <c r="V50" i="8"/>
  <c r="AI49" i="8"/>
  <c r="AH49" i="8"/>
  <c r="V49" i="8"/>
  <c r="AI48" i="8"/>
  <c r="AH48" i="8"/>
  <c r="V48" i="8"/>
  <c r="AI47" i="8"/>
  <c r="AH47" i="8"/>
  <c r="V47" i="8"/>
  <c r="W30" i="8"/>
  <c r="AI46" i="8"/>
  <c r="AH46" i="8"/>
  <c r="BW45" i="8"/>
  <c r="BS45" i="8"/>
  <c r="BO45" i="8"/>
  <c r="BK45" i="8"/>
  <c r="BG45" i="8"/>
  <c r="BC45" i="8"/>
  <c r="AY45" i="8"/>
  <c r="AU45" i="8"/>
  <c r="AQ45" i="8"/>
  <c r="AM45" i="8"/>
  <c r="AI45" i="8"/>
  <c r="V41" i="8"/>
  <c r="Q41" i="8"/>
  <c r="Q40" i="8"/>
  <c r="Z39" i="8"/>
  <c r="Y39" i="8"/>
  <c r="X39" i="8"/>
  <c r="W39" i="8"/>
  <c r="V39" i="8"/>
  <c r="Q39" i="8"/>
  <c r="F39" i="8"/>
  <c r="Z38" i="8"/>
  <c r="Y38" i="8"/>
  <c r="X38" i="8"/>
  <c r="W38" i="8"/>
  <c r="V38" i="8"/>
  <c r="Q38" i="8"/>
  <c r="F38" i="8"/>
  <c r="Z37" i="8"/>
  <c r="Y37" i="8"/>
  <c r="X37" i="8"/>
  <c r="W37" i="8"/>
  <c r="V37" i="8"/>
  <c r="Q37" i="8"/>
  <c r="F37" i="8"/>
  <c r="Z36" i="8"/>
  <c r="Y36" i="8"/>
  <c r="X36" i="8"/>
  <c r="W36" i="8"/>
  <c r="V36" i="8"/>
  <c r="Q36" i="8"/>
  <c r="F36" i="8"/>
  <c r="Z35" i="8"/>
  <c r="Y35" i="8"/>
  <c r="X35" i="8"/>
  <c r="W35" i="8"/>
  <c r="V35" i="8"/>
  <c r="Q35" i="8"/>
  <c r="F35" i="8"/>
  <c r="Z34" i="8"/>
  <c r="Y34" i="8"/>
  <c r="X34" i="8"/>
  <c r="W34" i="8"/>
  <c r="V34" i="8"/>
  <c r="Q34" i="8"/>
  <c r="F34" i="8"/>
  <c r="Z33" i="8"/>
  <c r="Y33" i="8"/>
  <c r="X33" i="8"/>
  <c r="W33" i="8"/>
  <c r="V33" i="8"/>
  <c r="Q33" i="8"/>
  <c r="F33" i="8"/>
  <c r="AO33" i="8"/>
  <c r="AG32" i="8"/>
  <c r="Z32" i="8"/>
  <c r="Y32" i="8"/>
  <c r="X32" i="8"/>
  <c r="W32" i="8"/>
  <c r="V32" i="8"/>
  <c r="Q32" i="8"/>
  <c r="F32" i="8"/>
  <c r="AP30" i="8"/>
  <c r="AQ30" i="8"/>
  <c r="AR30" i="8"/>
  <c r="W55" i="8"/>
  <c r="AB55" i="8"/>
  <c r="AO30" i="8"/>
  <c r="AG29" i="8"/>
  <c r="X54" i="8"/>
  <c r="AO27" i="8"/>
  <c r="AG26" i="8"/>
  <c r="AO24" i="8"/>
  <c r="AG23" i="8"/>
  <c r="AO21" i="8"/>
  <c r="AG20" i="8"/>
  <c r="AO18" i="8"/>
  <c r="AG17" i="8"/>
  <c r="AO15" i="8"/>
  <c r="AI15" i="8"/>
  <c r="AG14" i="8"/>
  <c r="AP12" i="8"/>
  <c r="AO12" i="8"/>
  <c r="AG11" i="8"/>
  <c r="F29" i="8"/>
  <c r="AO9" i="8"/>
  <c r="AG8" i="8"/>
  <c r="AQ6" i="8"/>
  <c r="AP6" i="8"/>
  <c r="AR6" i="8"/>
  <c r="W47" i="8"/>
  <c r="AB47" i="8"/>
  <c r="AO6" i="8"/>
  <c r="AI6" i="8"/>
  <c r="AA47" i="8"/>
  <c r="AG5" i="8"/>
  <c r="X56" i="8"/>
  <c r="W29" i="8"/>
  <c r="Y50" i="8"/>
  <c r="AQ33" i="8"/>
  <c r="X50" i="8"/>
  <c r="AQ27" i="8"/>
  <c r="AQ15" i="8"/>
  <c r="AP27" i="8"/>
  <c r="AR27" i="8"/>
  <c r="X31" i="8"/>
  <c r="F31" i="8"/>
  <c r="F30" i="8"/>
  <c r="AQ18" i="8"/>
  <c r="AP18" i="8"/>
  <c r="AP33" i="8"/>
  <c r="Y53" i="8"/>
  <c r="AR33" i="8"/>
  <c r="W56" i="8"/>
  <c r="AB56" i="8"/>
  <c r="X53" i="8"/>
  <c r="Y54" i="8"/>
  <c r="AR18" i="8"/>
  <c r="W51" i="8"/>
  <c r="AB51" i="8"/>
  <c r="Q29" i="8"/>
  <c r="X3" i="1"/>
  <c r="J52" i="1"/>
  <c r="AK63" i="1"/>
  <c r="AJ63" i="1"/>
  <c r="B103" i="6"/>
  <c r="P102" i="6"/>
  <c r="AG75" i="6"/>
  <c r="AH40" i="6"/>
  <c r="AH41" i="6"/>
  <c r="AG78" i="6"/>
  <c r="AH43" i="6"/>
  <c r="AH44" i="6"/>
  <c r="AH46" i="6"/>
  <c r="E47" i="6"/>
  <c r="AG84" i="6"/>
  <c r="AH49" i="6"/>
  <c r="AH50" i="6"/>
  <c r="AG87" i="6"/>
  <c r="AH52" i="6"/>
  <c r="AH53" i="6"/>
  <c r="AG90" i="6"/>
  <c r="AH55" i="6"/>
  <c r="AH56" i="6"/>
  <c r="AH58" i="6"/>
  <c r="E59" i="6"/>
  <c r="AG96" i="6"/>
  <c r="AH61" i="6"/>
  <c r="AH96" i="6"/>
  <c r="AG64" i="6"/>
  <c r="AG99" i="6"/>
  <c r="AH64" i="6"/>
  <c r="AH65" i="6"/>
  <c r="AG67" i="6"/>
  <c r="AG102" i="6"/>
  <c r="AH67" i="6"/>
  <c r="AH68" i="6"/>
  <c r="B100" i="6"/>
  <c r="U99" i="6"/>
  <c r="B97" i="6"/>
  <c r="AA96" i="6"/>
  <c r="AH97" i="6"/>
  <c r="AA97" i="6"/>
  <c r="AB96" i="6"/>
  <c r="AB97" i="6"/>
  <c r="AE97" i="6"/>
  <c r="P96" i="6"/>
  <c r="B94" i="6"/>
  <c r="AA93" i="6"/>
  <c r="AG93" i="6"/>
  <c r="AH93" i="6"/>
  <c r="AH94" i="6"/>
  <c r="AA94" i="6"/>
  <c r="AB93" i="6"/>
  <c r="AB94" i="6"/>
  <c r="AE94" i="6"/>
  <c r="P93" i="6"/>
  <c r="AD94" i="6"/>
  <c r="U93" i="6"/>
  <c r="B88" i="6"/>
  <c r="B85" i="6"/>
  <c r="B82" i="6"/>
  <c r="AH81" i="6"/>
  <c r="I82" i="6"/>
  <c r="C76" i="6"/>
  <c r="B76" i="6"/>
  <c r="U67" i="6"/>
  <c r="U32" i="6"/>
  <c r="U64" i="6"/>
  <c r="AH62" i="6"/>
  <c r="AA62" i="6"/>
  <c r="AB62" i="6"/>
  <c r="AD62" i="6"/>
  <c r="U61" i="6"/>
  <c r="AH59" i="6"/>
  <c r="AA59" i="6"/>
  <c r="AB59" i="6"/>
  <c r="AD59" i="6"/>
  <c r="U58" i="6"/>
  <c r="AA53" i="6"/>
  <c r="AB53" i="6"/>
  <c r="AD53" i="6"/>
  <c r="U52" i="6"/>
  <c r="AA50" i="6"/>
  <c r="AB50" i="6"/>
  <c r="AD50" i="6"/>
  <c r="U49" i="6"/>
  <c r="AH47" i="6"/>
  <c r="AA47" i="6"/>
  <c r="AB47" i="6"/>
  <c r="AD47" i="6"/>
  <c r="U46" i="6"/>
  <c r="C41" i="6"/>
  <c r="U29" i="6"/>
  <c r="AG26" i="6"/>
  <c r="AH26" i="6"/>
  <c r="AH27" i="6"/>
  <c r="AA27" i="6"/>
  <c r="AB27" i="6"/>
  <c r="AD27" i="6"/>
  <c r="U26" i="6"/>
  <c r="AG23" i="6"/>
  <c r="AH23" i="6"/>
  <c r="AH24" i="6"/>
  <c r="AA24" i="6"/>
  <c r="AB24" i="6"/>
  <c r="AD24" i="6"/>
  <c r="U23" i="6"/>
  <c r="AG17" i="6"/>
  <c r="AH17" i="6"/>
  <c r="AH18" i="6"/>
  <c r="AA18" i="6"/>
  <c r="AB18" i="6"/>
  <c r="AD18" i="6"/>
  <c r="U17" i="6"/>
  <c r="AG14" i="6"/>
  <c r="AH14" i="6"/>
  <c r="AH15" i="6"/>
  <c r="AA15" i="6"/>
  <c r="AB15" i="6"/>
  <c r="AD15" i="6"/>
  <c r="U14" i="6"/>
  <c r="AG11" i="6"/>
  <c r="AH11" i="6"/>
  <c r="AH12" i="6"/>
  <c r="AA12" i="6"/>
  <c r="AB12" i="6"/>
  <c r="AD12" i="6"/>
  <c r="U11" i="6"/>
  <c r="I102" i="6"/>
  <c r="AH84" i="6"/>
  <c r="I85" i="6"/>
  <c r="AA84" i="6"/>
  <c r="AH85" i="6"/>
  <c r="AA85" i="6"/>
  <c r="AB84" i="6"/>
  <c r="AB85" i="6"/>
  <c r="AD85" i="6"/>
  <c r="U84" i="6"/>
  <c r="AH87" i="6"/>
  <c r="I88" i="6"/>
  <c r="AA87" i="6"/>
  <c r="AH88" i="6"/>
  <c r="AA88" i="6"/>
  <c r="AB87" i="6"/>
  <c r="AB88" i="6"/>
  <c r="AD88" i="6"/>
  <c r="U87" i="6"/>
  <c r="I100" i="6"/>
  <c r="AH90" i="6"/>
  <c r="I91" i="6"/>
  <c r="I103" i="6"/>
  <c r="I93" i="6"/>
  <c r="AH78" i="6"/>
  <c r="AH79" i="6"/>
  <c r="I79" i="6"/>
  <c r="AH91" i="6"/>
  <c r="AH99" i="6"/>
  <c r="AG81" i="6"/>
  <c r="AH75" i="6"/>
  <c r="AH76" i="6"/>
  <c r="AH102" i="6"/>
  <c r="AH103" i="6"/>
  <c r="E85" i="6"/>
  <c r="E88" i="6"/>
  <c r="E103" i="6"/>
  <c r="AH100" i="6"/>
  <c r="E100" i="6"/>
  <c r="E91" i="6"/>
  <c r="E76" i="6"/>
  <c r="E79" i="6"/>
  <c r="K36" i="5"/>
  <c r="K33" i="5"/>
  <c r="M20" i="5"/>
  <c r="M21" i="5"/>
  <c r="M22" i="5"/>
  <c r="M23" i="5"/>
  <c r="M24" i="5"/>
  <c r="M25" i="5"/>
  <c r="M26" i="5"/>
  <c r="M27" i="5"/>
  <c r="M28" i="5"/>
  <c r="M29" i="5"/>
  <c r="M19" i="5"/>
  <c r="K20" i="5"/>
  <c r="K21" i="5"/>
  <c r="K22" i="5"/>
  <c r="K23" i="5"/>
  <c r="K24" i="5"/>
  <c r="K25" i="5"/>
  <c r="K26" i="5"/>
  <c r="K27" i="5"/>
  <c r="K28" i="5"/>
  <c r="K29" i="5"/>
  <c r="K19" i="5"/>
  <c r="F23" i="5"/>
  <c r="F24" i="5"/>
  <c r="F25" i="5"/>
  <c r="F26" i="5"/>
  <c r="F27" i="5"/>
  <c r="F28" i="5"/>
  <c r="F29" i="5"/>
  <c r="W23" i="5"/>
  <c r="Y23" i="5"/>
  <c r="AA23" i="5"/>
  <c r="N23" i="5"/>
  <c r="W24" i="5"/>
  <c r="Y24" i="5"/>
  <c r="AA24" i="5"/>
  <c r="N24" i="5"/>
  <c r="W25" i="5"/>
  <c r="Y25" i="5"/>
  <c r="AA25" i="5"/>
  <c r="N25" i="5"/>
  <c r="W26" i="5"/>
  <c r="Y26" i="5"/>
  <c r="AA26" i="5"/>
  <c r="N26" i="5"/>
  <c r="W27" i="5"/>
  <c r="Y27" i="5"/>
  <c r="AA27" i="5"/>
  <c r="N27" i="5"/>
  <c r="W28" i="5"/>
  <c r="Y28" i="5"/>
  <c r="AA28" i="5"/>
  <c r="N28" i="5"/>
  <c r="W29" i="5"/>
  <c r="Y29" i="5"/>
  <c r="AA29" i="5"/>
  <c r="N29" i="5"/>
  <c r="AJ7" i="5"/>
  <c r="AG5" i="5"/>
  <c r="AG6" i="5"/>
  <c r="AG7" i="5"/>
  <c r="AG8" i="5"/>
  <c r="Z10" i="5"/>
  <c r="AJ8" i="5"/>
  <c r="AA10" i="5"/>
  <c r="AB10" i="5"/>
  <c r="AC10" i="5"/>
  <c r="AG14" i="5"/>
  <c r="AG13" i="5"/>
  <c r="AG12" i="5"/>
  <c r="AG11" i="5"/>
  <c r="AG9" i="5"/>
  <c r="E65" i="6"/>
  <c r="E53" i="6"/>
  <c r="AK32" i="8"/>
  <c r="AK29" i="8"/>
  <c r="AH32" i="6"/>
  <c r="AH29" i="6"/>
  <c r="AH30" i="6"/>
  <c r="AG29" i="6"/>
  <c r="AA29" i="6"/>
  <c r="AA30" i="6"/>
  <c r="AG32" i="6"/>
  <c r="E27" i="6"/>
  <c r="AH20" i="6"/>
  <c r="AG20" i="6"/>
  <c r="E12" i="6"/>
  <c r="AH8" i="6"/>
  <c r="AG8" i="6"/>
  <c r="AG5" i="6"/>
  <c r="AH5" i="6"/>
  <c r="R34" i="2"/>
  <c r="R35" i="2"/>
  <c r="R30" i="2"/>
  <c r="R31" i="2"/>
  <c r="N34" i="2"/>
  <c r="N35" i="2"/>
  <c r="N30" i="2"/>
  <c r="N31" i="2"/>
  <c r="J34" i="2"/>
  <c r="F36" i="2"/>
  <c r="AI21" i="8"/>
  <c r="AA52" i="8"/>
  <c r="B36" i="2"/>
  <c r="N17" i="2"/>
  <c r="AH9" i="8"/>
  <c r="F18" i="2"/>
  <c r="AJ14" i="8"/>
  <c r="N18" i="2"/>
  <c r="J18" i="2"/>
  <c r="R18" i="2"/>
  <c r="AL26" i="8"/>
  <c r="J36" i="2"/>
  <c r="AH33" i="8"/>
  <c r="AJ32" i="8"/>
  <c r="AH30" i="8"/>
  <c r="AL14" i="8"/>
  <c r="AL8" i="8"/>
  <c r="AI9" i="8"/>
  <c r="AA48" i="8"/>
  <c r="AA32" i="6"/>
  <c r="AA67" i="6"/>
  <c r="AB32" i="6"/>
  <c r="AB29" i="6"/>
  <c r="AB30" i="6"/>
  <c r="AA64" i="6"/>
  <c r="AB81" i="6"/>
  <c r="I15" i="6"/>
  <c r="E18" i="6"/>
  <c r="I18" i="6"/>
  <c r="I27" i="6"/>
  <c r="I23" i="6"/>
  <c r="I12" i="6"/>
  <c r="E21" i="6"/>
  <c r="I21" i="6"/>
  <c r="I26" i="6"/>
  <c r="I30" i="6"/>
  <c r="I32" i="6"/>
  <c r="AH9" i="6"/>
  <c r="I9" i="6"/>
  <c r="AH6" i="6"/>
  <c r="I6" i="6"/>
  <c r="I24" i="6"/>
  <c r="AH33" i="6"/>
  <c r="I33" i="6"/>
  <c r="I68" i="6"/>
  <c r="I65" i="6"/>
  <c r="I62" i="6"/>
  <c r="I59" i="6"/>
  <c r="I56" i="6"/>
  <c r="I53" i="6"/>
  <c r="I50" i="6"/>
  <c r="I47" i="6"/>
  <c r="I44" i="6"/>
  <c r="I41" i="6"/>
  <c r="E41" i="6"/>
  <c r="E44" i="6"/>
  <c r="E50" i="6"/>
  <c r="E56" i="6"/>
  <c r="E62" i="6"/>
  <c r="E68" i="6"/>
  <c r="AH21" i="6"/>
  <c r="E6" i="6"/>
  <c r="E24" i="6"/>
  <c r="E15" i="6"/>
  <c r="E9" i="6"/>
  <c r="E33" i="6"/>
  <c r="E30" i="6"/>
  <c r="F17" i="2"/>
  <c r="F30" i="2"/>
  <c r="F31" i="2"/>
  <c r="J30" i="2"/>
  <c r="J31" i="2"/>
  <c r="B34" i="2"/>
  <c r="J17" i="2"/>
  <c r="R17" i="2"/>
  <c r="R12" i="2"/>
  <c r="R16" i="2"/>
  <c r="R13" i="2"/>
  <c r="N12" i="2"/>
  <c r="N16" i="2"/>
  <c r="J12" i="2"/>
  <c r="J16" i="2"/>
  <c r="F12" i="2"/>
  <c r="F16" i="2"/>
  <c r="F13" i="2"/>
  <c r="AO138" i="2"/>
  <c r="AT106" i="2"/>
  <c r="AD137" i="2"/>
  <c r="X140" i="2"/>
  <c r="AG106" i="2"/>
  <c r="AO107" i="2"/>
  <c r="AD138" i="2"/>
  <c r="AL106" i="2"/>
  <c r="AD107" i="2"/>
  <c r="AT107" i="2"/>
  <c r="AL137" i="2"/>
  <c r="AL138" i="2"/>
  <c r="AD106" i="2"/>
  <c r="AL107" i="2"/>
  <c r="AT138" i="2"/>
  <c r="X109" i="2"/>
  <c r="AG137" i="2"/>
  <c r="X108" i="2"/>
  <c r="AO106" i="2"/>
  <c r="AG107" i="2"/>
  <c r="X139" i="2"/>
  <c r="AT137" i="2"/>
  <c r="AG138" i="2"/>
  <c r="AO137" i="2"/>
  <c r="AS138" i="2"/>
  <c r="Y108" i="2"/>
  <c r="AH106" i="2"/>
  <c r="AP106" i="2"/>
  <c r="Y109" i="2"/>
  <c r="AH107" i="2"/>
  <c r="AP107" i="2"/>
  <c r="Y139" i="2"/>
  <c r="AH137" i="2"/>
  <c r="AP137" i="2"/>
  <c r="Y140" i="2"/>
  <c r="AH138" i="2"/>
  <c r="AP138" i="2"/>
  <c r="AC106" i="2"/>
  <c r="AK106" i="2"/>
  <c r="AS106" i="2"/>
  <c r="AC107" i="2"/>
  <c r="AK107" i="2"/>
  <c r="AS107" i="2"/>
  <c r="AC137" i="2"/>
  <c r="AK137" i="2"/>
  <c r="AS137" i="2"/>
  <c r="AC138" i="2"/>
  <c r="AK138" i="2"/>
  <c r="AJ8" i="8"/>
  <c r="AJ17" i="8"/>
  <c r="AH15" i="8"/>
  <c r="AJ15" i="8"/>
  <c r="AL17" i="8"/>
  <c r="AA65" i="6"/>
  <c r="AK17" i="8"/>
  <c r="AA78" i="6"/>
  <c r="AA79" i="6"/>
  <c r="AA44" i="6"/>
  <c r="AA41" i="6"/>
  <c r="AB41" i="6"/>
  <c r="AD41" i="6"/>
  <c r="AJ21" i="5"/>
  <c r="AA56" i="6"/>
  <c r="AB56" i="6"/>
  <c r="AD56" i="6"/>
  <c r="AJ26" i="5"/>
  <c r="AB44" i="6"/>
  <c r="AD44" i="6"/>
  <c r="AJ22" i="5"/>
  <c r="AJ23" i="5"/>
  <c r="W21" i="5"/>
  <c r="Y21" i="5"/>
  <c r="AA21" i="5"/>
  <c r="N21" i="5"/>
  <c r="AH27" i="8"/>
  <c r="AK23" i="8"/>
  <c r="AK14" i="8"/>
  <c r="B18" i="2"/>
  <c r="AJ24" i="5"/>
  <c r="W22" i="5"/>
  <c r="Y22" i="5"/>
  <c r="AA22" i="5"/>
  <c r="N22" i="5"/>
  <c r="AK26" i="8"/>
  <c r="AD17" i="6"/>
  <c r="AK33" i="8"/>
  <c r="AS33" i="8"/>
  <c r="AL33" i="8"/>
  <c r="Z56" i="8"/>
  <c r="Z55" i="8"/>
  <c r="Z54" i="8"/>
  <c r="AI27" i="8"/>
  <c r="AL27" i="8"/>
  <c r="AK27" i="8"/>
  <c r="AK15" i="8"/>
  <c r="AA33" i="6"/>
  <c r="AE33" i="6"/>
  <c r="I99" i="6"/>
  <c r="AL9" i="8"/>
  <c r="AJ9" i="8"/>
  <c r="Z29" i="8"/>
  <c r="Z40" i="8"/>
  <c r="AK5" i="8"/>
  <c r="AL5" i="8"/>
  <c r="AH6" i="8"/>
  <c r="AL6" i="8"/>
  <c r="AJ5" i="8"/>
  <c r="AA9" i="6"/>
  <c r="AB9" i="6"/>
  <c r="AE9" i="6"/>
  <c r="I29" i="6"/>
  <c r="I17" i="6"/>
  <c r="AE29" i="6"/>
  <c r="AC29" i="6"/>
  <c r="AA81" i="6"/>
  <c r="I81" i="6"/>
  <c r="AE17" i="6"/>
  <c r="I87" i="6"/>
  <c r="AE14" i="6"/>
  <c r="AD14" i="6"/>
  <c r="I14" i="6"/>
  <c r="AE49" i="6"/>
  <c r="AE12" i="6"/>
  <c r="P11" i="6"/>
  <c r="I11" i="6"/>
  <c r="AE43" i="6"/>
  <c r="I8" i="6"/>
  <c r="AD43" i="6"/>
  <c r="AC8" i="6"/>
  <c r="AD8" i="6"/>
  <c r="AB78" i="6"/>
  <c r="AE78" i="6"/>
  <c r="AE8" i="6"/>
  <c r="AC43" i="6"/>
  <c r="AB75" i="6"/>
  <c r="AB76" i="6"/>
  <c r="I84" i="6"/>
  <c r="AE50" i="6"/>
  <c r="P49" i="6"/>
  <c r="P32" i="6"/>
  <c r="I20" i="6"/>
  <c r="AE62" i="6"/>
  <c r="P61" i="6"/>
  <c r="P67" i="6"/>
  <c r="AD26" i="6"/>
  <c r="AE26" i="6"/>
  <c r="AE23" i="6"/>
  <c r="AD23" i="6"/>
  <c r="AB21" i="6"/>
  <c r="B17" i="2"/>
  <c r="B13" i="2"/>
  <c r="B16" i="2"/>
  <c r="B12" i="2"/>
  <c r="AA90" i="6"/>
  <c r="AB90" i="6"/>
  <c r="I90" i="6"/>
  <c r="AE53" i="6"/>
  <c r="P52" i="6"/>
  <c r="AE30" i="6"/>
  <c r="P29" i="6"/>
  <c r="AA75" i="6"/>
  <c r="AC75" i="6"/>
  <c r="AA76" i="6"/>
  <c r="AD76" i="6"/>
  <c r="I5" i="6"/>
  <c r="AA6" i="6"/>
  <c r="AB6" i="6"/>
  <c r="AD6" i="6"/>
  <c r="AJ5" i="5"/>
  <c r="AD9" i="6"/>
  <c r="AJ6" i="5"/>
  <c r="Y10" i="5"/>
  <c r="AE47" i="6"/>
  <c r="P46" i="6"/>
  <c r="AE15" i="6"/>
  <c r="P14" i="6"/>
  <c r="AE40" i="6"/>
  <c r="AD5" i="6"/>
  <c r="AC5" i="6"/>
  <c r="AC40" i="6"/>
  <c r="AE41" i="6"/>
  <c r="AH21" i="5"/>
  <c r="AE5" i="6"/>
  <c r="AD40" i="6"/>
  <c r="AE88" i="6"/>
  <c r="P87" i="6"/>
  <c r="AD33" i="6"/>
  <c r="AJ14" i="5"/>
  <c r="AE18" i="6"/>
  <c r="P17" i="6"/>
  <c r="P99" i="6"/>
  <c r="AH82" i="6"/>
  <c r="AA82" i="6"/>
  <c r="AB82" i="6"/>
  <c r="AE82" i="6"/>
  <c r="P81" i="6"/>
  <c r="AE56" i="6"/>
  <c r="P55" i="6"/>
  <c r="AE59" i="6"/>
  <c r="P58" i="6"/>
  <c r="AH14" i="5"/>
  <c r="AH24" i="5"/>
  <c r="F22" i="5"/>
  <c r="P64" i="6"/>
  <c r="AE24" i="6"/>
  <c r="P23" i="6"/>
  <c r="AE27" i="6"/>
  <c r="P26" i="6"/>
  <c r="AA21" i="6"/>
  <c r="AE21" i="6"/>
  <c r="P20" i="6"/>
  <c r="AE85" i="6"/>
  <c r="P84" i="6"/>
  <c r="U55" i="6"/>
  <c r="AD21" i="6"/>
  <c r="U20" i="6"/>
  <c r="U5" i="6"/>
  <c r="AH13" i="5"/>
  <c r="Y29" i="8"/>
  <c r="Y40" i="8"/>
  <c r="AH26" i="5"/>
  <c r="AE44" i="6"/>
  <c r="AH22" i="5"/>
  <c r="AH23" i="5"/>
  <c r="F21" i="5"/>
  <c r="AD75" i="6"/>
  <c r="I75" i="6"/>
  <c r="AE6" i="6"/>
  <c r="AH5" i="5"/>
  <c r="AC6" i="6"/>
  <c r="AC41" i="6"/>
  <c r="U75" i="6"/>
  <c r="AA91" i="6"/>
  <c r="AB91" i="6"/>
  <c r="AE91" i="6"/>
  <c r="P90" i="6"/>
  <c r="AD91" i="6"/>
  <c r="U90" i="6"/>
  <c r="AH27" i="5"/>
  <c r="AH28" i="5"/>
  <c r="F19" i="5"/>
  <c r="J83" i="1"/>
  <c r="Z84" i="1"/>
  <c r="Z72" i="1"/>
  <c r="Y72" i="1"/>
  <c r="X72" i="1"/>
  <c r="AB72" i="1"/>
  <c r="J72" i="1"/>
  <c r="J71" i="1"/>
  <c r="AM21" i="5"/>
  <c r="AJ27" i="5"/>
  <c r="AJ28" i="5"/>
  <c r="W19" i="5"/>
  <c r="U40" i="6"/>
  <c r="Y84" i="1"/>
  <c r="X84" i="1"/>
  <c r="AB84" i="1"/>
  <c r="J84" i="1"/>
  <c r="Y19" i="5"/>
  <c r="AA19" i="5"/>
  <c r="N19" i="5"/>
  <c r="W20" i="5"/>
  <c r="W30" i="5"/>
  <c r="X30" i="5"/>
  <c r="AD43" i="1"/>
  <c r="J22" i="1"/>
  <c r="J23" i="1"/>
  <c r="J26" i="1"/>
  <c r="J27" i="1"/>
  <c r="J31" i="1"/>
  <c r="J30" i="1"/>
  <c r="Z39" i="1"/>
  <c r="Z23" i="1"/>
  <c r="AB3" i="1"/>
  <c r="Y3" i="1"/>
  <c r="X23" i="1"/>
  <c r="F14" i="1"/>
  <c r="AA3" i="1"/>
  <c r="F19" i="1"/>
  <c r="J14" i="1"/>
  <c r="J13" i="1"/>
  <c r="R30" i="1"/>
  <c r="R26" i="1"/>
  <c r="Z3" i="1"/>
  <c r="Y23" i="1"/>
  <c r="AA2" i="1"/>
  <c r="R22" i="1"/>
  <c r="AA39" i="1"/>
  <c r="AB39" i="1"/>
  <c r="R38" i="1"/>
  <c r="AH4" i="5"/>
  <c r="R71" i="1"/>
  <c r="AL22" i="5"/>
  <c r="Y20" i="5"/>
  <c r="AA20" i="5"/>
  <c r="N20" i="5"/>
  <c r="AM22" i="5"/>
  <c r="R83" i="1"/>
  <c r="AH20" i="5"/>
  <c r="AB23" i="1"/>
  <c r="AA23" i="1"/>
  <c r="AL21" i="5"/>
  <c r="AC76" i="6"/>
  <c r="AB79" i="6"/>
  <c r="AD79" i="6"/>
  <c r="U78" i="6"/>
  <c r="AA102" i="6"/>
  <c r="AA68" i="6"/>
  <c r="AH24" i="8"/>
  <c r="AL23" i="8"/>
  <c r="X47" i="8"/>
  <c r="AA50" i="8"/>
  <c r="AL15" i="8"/>
  <c r="AH18" i="8"/>
  <c r="AK11" i="8"/>
  <c r="AL11" i="8"/>
  <c r="AH12" i="8"/>
  <c r="AJ11" i="8"/>
  <c r="AE76" i="6"/>
  <c r="P75" i="6"/>
  <c r="AC15" i="6"/>
  <c r="E97" i="6"/>
  <c r="X49" i="8"/>
  <c r="J38" i="1"/>
  <c r="U43" i="6"/>
  <c r="AD78" i="6"/>
  <c r="AE87" i="6"/>
  <c r="AD87" i="6"/>
  <c r="AA84" i="1"/>
  <c r="AJ20" i="5"/>
  <c r="AE75" i="6"/>
  <c r="P40" i="6"/>
  <c r="AD49" i="6"/>
  <c r="AE61" i="6"/>
  <c r="AD61" i="6"/>
  <c r="AD30" i="6"/>
  <c r="AJ13" i="5"/>
  <c r="AC30" i="6"/>
  <c r="AS27" i="8"/>
  <c r="W54" i="8"/>
  <c r="AB54" i="8"/>
  <c r="AE58" i="6"/>
  <c r="AD58" i="6"/>
  <c r="AA99" i="6"/>
  <c r="AB64" i="6"/>
  <c r="AE64" i="6"/>
  <c r="Y52" i="8"/>
  <c r="Y56" i="8"/>
  <c r="AJ11" i="5"/>
  <c r="AH11" i="5"/>
  <c r="Y30" i="5"/>
  <c r="P8" i="6"/>
  <c r="AH6" i="5"/>
  <c r="AA103" i="6"/>
  <c r="AA72" i="1"/>
  <c r="AJ4" i="5"/>
  <c r="X48" i="8"/>
  <c r="P5" i="6"/>
  <c r="I78" i="6"/>
  <c r="AC44" i="6"/>
  <c r="AE52" i="6"/>
  <c r="AD52" i="6"/>
  <c r="AH8" i="5"/>
  <c r="AC14" i="6"/>
  <c r="AE79" i="6"/>
  <c r="P78" i="6"/>
  <c r="AC9" i="6"/>
  <c r="AJ6" i="8"/>
  <c r="AK6" i="8"/>
  <c r="AS6" i="8"/>
  <c r="Z47" i="8"/>
  <c r="AC17" i="6"/>
  <c r="AC18" i="6"/>
  <c r="AB33" i="6"/>
  <c r="AC33" i="6"/>
  <c r="AC32" i="6"/>
  <c r="AB67" i="6"/>
  <c r="AE67" i="6"/>
  <c r="AE32" i="6"/>
  <c r="AD32" i="6"/>
  <c r="Z48" i="8"/>
  <c r="AK9" i="8"/>
  <c r="N13" i="2"/>
  <c r="B31" i="2"/>
  <c r="AI33" i="8"/>
  <c r="I76" i="6"/>
  <c r="U102" i="6"/>
  <c r="AD97" i="6"/>
  <c r="U96" i="6"/>
  <c r="X51" i="8"/>
  <c r="Y51" i="8"/>
  <c r="Y30" i="8"/>
  <c r="AQ12" i="8"/>
  <c r="AR12" i="8"/>
  <c r="Y48" i="8"/>
  <c r="B30" i="2"/>
  <c r="J35" i="2"/>
  <c r="B35" i="2"/>
  <c r="AI18" i="8"/>
  <c r="AA51" i="8"/>
  <c r="AL29" i="8"/>
  <c r="AI30" i="8"/>
  <c r="Q30" i="8"/>
  <c r="AP21" i="8"/>
  <c r="Z50" i="8"/>
  <c r="F35" i="2"/>
  <c r="AJ29" i="8"/>
  <c r="I96" i="6"/>
  <c r="Y31" i="8"/>
  <c r="AC78" i="6"/>
  <c r="AD29" i="6"/>
  <c r="AI12" i="8"/>
  <c r="AA49" i="8"/>
  <c r="AL32" i="8"/>
  <c r="I94" i="6"/>
  <c r="X29" i="8"/>
  <c r="W31" i="8"/>
  <c r="Q31" i="8"/>
  <c r="V31" i="8"/>
  <c r="AP15" i="8"/>
  <c r="AR15" i="8"/>
  <c r="Z31" i="8"/>
  <c r="J13" i="2"/>
  <c r="F34" i="2"/>
  <c r="AD64" i="6"/>
  <c r="AK8" i="8"/>
  <c r="Z30" i="8"/>
  <c r="X30" i="8"/>
  <c r="AP9" i="8"/>
  <c r="AQ9" i="8"/>
  <c r="AR9" i="8"/>
  <c r="AQ21" i="8"/>
  <c r="I97" i="6"/>
  <c r="AD82" i="6"/>
  <c r="U81" i="6"/>
  <c r="V30" i="8"/>
  <c r="AP24" i="8"/>
  <c r="AQ24" i="8"/>
  <c r="AR24" i="8"/>
  <c r="V29" i="8"/>
  <c r="V40" i="8"/>
  <c r="N36" i="2"/>
  <c r="I40" i="6"/>
  <c r="R36" i="2"/>
  <c r="I43" i="6"/>
  <c r="Y2" i="1"/>
  <c r="X14" i="1"/>
  <c r="Z2" i="1"/>
  <c r="Y14" i="1"/>
  <c r="Y44" i="1"/>
  <c r="W49" i="8"/>
  <c r="AB49" i="8"/>
  <c r="W45" i="8"/>
  <c r="AB45" i="8"/>
  <c r="W40" i="8"/>
  <c r="AR21" i="8"/>
  <c r="Y47" i="8"/>
  <c r="AT45" i="8"/>
  <c r="AA56" i="8"/>
  <c r="AJ33" i="8"/>
  <c r="E94" i="6"/>
  <c r="AC52" i="6"/>
  <c r="AB99" i="6"/>
  <c r="AC99" i="6"/>
  <c r="AA100" i="6"/>
  <c r="Z53" i="8"/>
  <c r="AI24" i="8"/>
  <c r="AK24" i="8"/>
  <c r="AL24" i="8"/>
  <c r="U8" i="6"/>
  <c r="AK18" i="8"/>
  <c r="AS18" i="8"/>
  <c r="Z51" i="8"/>
  <c r="AJ18" i="8"/>
  <c r="AL18" i="8"/>
  <c r="AJ26" i="8"/>
  <c r="AC26" i="6"/>
  <c r="AC79" i="6"/>
  <c r="AD68" i="6"/>
  <c r="AJ30" i="5"/>
  <c r="AE68" i="6"/>
  <c r="AH30" i="5"/>
  <c r="W48" i="8"/>
  <c r="AB48" i="8"/>
  <c r="AS9" i="8"/>
  <c r="AA45" i="8"/>
  <c r="AM18" i="5"/>
  <c r="Y46" i="1"/>
  <c r="AM19" i="5"/>
  <c r="X55" i="8"/>
  <c r="AC23" i="6"/>
  <c r="AC24" i="6"/>
  <c r="BV45" i="8"/>
  <c r="AH45" i="8"/>
  <c r="BF45" i="8"/>
  <c r="BR45" i="8"/>
  <c r="AL45" i="8"/>
  <c r="AP45" i="8"/>
  <c r="BB45" i="8"/>
  <c r="AH9" i="5"/>
  <c r="AE96" i="6"/>
  <c r="AD96" i="6"/>
  <c r="AJ9" i="5"/>
  <c r="AS24" i="8"/>
  <c r="W53" i="8"/>
  <c r="AB53" i="8"/>
  <c r="AB100" i="6"/>
  <c r="AB65" i="6"/>
  <c r="AA30" i="5"/>
  <c r="X44" i="1"/>
  <c r="AB44" i="1"/>
  <c r="AH18" i="5"/>
  <c r="K37" i="5"/>
  <c r="N30" i="5"/>
  <c r="K34" i="5"/>
  <c r="AB102" i="6"/>
  <c r="AD102" i="6"/>
  <c r="AE102" i="6"/>
  <c r="F5" i="8"/>
  <c r="W50" i="8"/>
  <c r="AB50" i="8"/>
  <c r="AS15" i="8"/>
  <c r="Y49" i="8"/>
  <c r="AA14" i="1"/>
  <c r="AB14" i="1"/>
  <c r="X52" i="8"/>
  <c r="AA53" i="8"/>
  <c r="AJ23" i="8"/>
  <c r="AE11" i="6"/>
  <c r="AD11" i="6"/>
  <c r="AC11" i="6"/>
  <c r="BJ45" i="8"/>
  <c r="AB68" i="6"/>
  <c r="AC68" i="6"/>
  <c r="AB103" i="6"/>
  <c r="AC67" i="6"/>
  <c r="E82" i="6"/>
  <c r="AJ20" i="8"/>
  <c r="AK20" i="8"/>
  <c r="AL20" i="8"/>
  <c r="AH21" i="8"/>
  <c r="AE20" i="6"/>
  <c r="AC20" i="6"/>
  <c r="AD20" i="6"/>
  <c r="BN45" i="8"/>
  <c r="AC49" i="6"/>
  <c r="AE103" i="6"/>
  <c r="AD103" i="6"/>
  <c r="AC103" i="6"/>
  <c r="AC50" i="6"/>
  <c r="Z49" i="8"/>
  <c r="AL12" i="8"/>
  <c r="AK12" i="8"/>
  <c r="AS12" i="8"/>
  <c r="AJ12" i="8"/>
  <c r="AD67" i="6"/>
  <c r="AK30" i="8"/>
  <c r="AS30" i="8"/>
  <c r="AJ30" i="8"/>
  <c r="AL30" i="8"/>
  <c r="AA55" i="8"/>
  <c r="Y55" i="8"/>
  <c r="AC27" i="6"/>
  <c r="AH12" i="5"/>
  <c r="AJ12" i="5"/>
  <c r="AX45" i="8"/>
  <c r="F20" i="5"/>
  <c r="P43" i="6"/>
  <c r="AC64" i="6"/>
  <c r="AE93" i="6"/>
  <c r="AD93" i="6"/>
  <c r="AD84" i="6"/>
  <c r="AE84" i="6"/>
  <c r="AC84" i="6"/>
  <c r="V5" i="8"/>
  <c r="V16" i="8"/>
  <c r="Q5" i="8"/>
  <c r="AH10" i="5"/>
  <c r="AJ10" i="5"/>
  <c r="AC21" i="6"/>
  <c r="AC62" i="6"/>
  <c r="AC61" i="6"/>
  <c r="AC100" i="6"/>
  <c r="AE100" i="6"/>
  <c r="AD100" i="6"/>
  <c r="W52" i="8"/>
  <c r="AB52" i="8"/>
  <c r="AC59" i="6"/>
  <c r="AC58" i="6"/>
  <c r="AJ24" i="8"/>
  <c r="AE99" i="6"/>
  <c r="AC53" i="6"/>
  <c r="AJ25" i="5"/>
  <c r="AH25" i="5"/>
  <c r="AC85" i="6"/>
  <c r="AH7" i="5"/>
  <c r="AC12" i="6"/>
  <c r="X10" i="5"/>
  <c r="AD55" i="6"/>
  <c r="AC55" i="6"/>
  <c r="AE55" i="6"/>
  <c r="AE46" i="6"/>
  <c r="AC46" i="6"/>
  <c r="AD46" i="6"/>
  <c r="AA44" i="1"/>
  <c r="AL18" i="5"/>
  <c r="Z44" i="1"/>
  <c r="X46" i="1"/>
  <c r="Z45" i="8"/>
  <c r="AC102" i="6"/>
  <c r="AA54" i="8"/>
  <c r="AJ27" i="8"/>
  <c r="AC87" i="6"/>
  <c r="X40" i="8"/>
  <c r="Y45" i="8"/>
  <c r="X45" i="8"/>
  <c r="AL21" i="8"/>
  <c r="AJ21" i="8"/>
  <c r="Z52" i="8"/>
  <c r="AK21" i="8"/>
  <c r="AS21" i="8"/>
  <c r="AM30" i="5"/>
  <c r="AL30" i="5"/>
  <c r="AM28" i="5"/>
  <c r="AL28" i="5"/>
  <c r="AM24" i="5"/>
  <c r="AL24" i="5"/>
  <c r="J46" i="1"/>
  <c r="R13" i="1"/>
  <c r="J43" i="1"/>
  <c r="AC46" i="8"/>
  <c r="AB29" i="8"/>
  <c r="AC29" i="8"/>
  <c r="AC65" i="6"/>
  <c r="AE65" i="6"/>
  <c r="AH29" i="5"/>
  <c r="AD65" i="6"/>
  <c r="AJ29" i="5"/>
  <c r="AD99" i="6"/>
  <c r="AM27" i="5"/>
  <c r="AL27" i="5"/>
  <c r="AH3" i="5"/>
  <c r="C12" i="5"/>
  <c r="R43" i="1"/>
  <c r="J53" i="1"/>
  <c r="AJ18" i="5"/>
  <c r="AB53" i="1"/>
  <c r="AJ3" i="5"/>
  <c r="W10" i="5"/>
  <c r="AD10" i="5"/>
  <c r="AC56" i="6"/>
  <c r="AC81" i="6"/>
  <c r="AD81" i="6"/>
  <c r="AE81" i="6"/>
  <c r="V17" i="8"/>
  <c r="Q17" i="8"/>
  <c r="J17" i="8"/>
  <c r="Q16" i="8"/>
  <c r="AC47" i="6"/>
  <c r="Z46" i="1"/>
  <c r="AB46" i="1"/>
  <c r="AL19" i="5"/>
  <c r="AA46" i="1"/>
  <c r="AJ19" i="5"/>
  <c r="AL25" i="5"/>
  <c r="AM25" i="5"/>
  <c r="AM29" i="5"/>
  <c r="AL29" i="5"/>
  <c r="AC88" i="6"/>
  <c r="AC94" i="6"/>
  <c r="AC93" i="6"/>
  <c r="AC97" i="6"/>
  <c r="AC96" i="6"/>
  <c r="AE90" i="6"/>
  <c r="AC90" i="6"/>
  <c r="AD90" i="6"/>
  <c r="AL26" i="5"/>
  <c r="AM26" i="5"/>
  <c r="AH19" i="5"/>
  <c r="R46" i="1"/>
  <c r="AB57" i="1"/>
  <c r="R56" i="1"/>
  <c r="R60" i="1"/>
  <c r="J56" i="1"/>
  <c r="J60" i="1"/>
  <c r="R52" i="1"/>
  <c r="Y36" i="5"/>
  <c r="Y37" i="5"/>
  <c r="Y38" i="5"/>
  <c r="AA38" i="5"/>
  <c r="U36" i="5"/>
  <c r="Y33" i="5"/>
  <c r="AA33" i="5"/>
  <c r="U33" i="5"/>
  <c r="AD12" i="5"/>
  <c r="AC12" i="5"/>
  <c r="AB12" i="5"/>
  <c r="U11" i="5"/>
  <c r="AC82" i="6"/>
  <c r="AC91" i="6"/>
  <c r="AM23" i="5"/>
  <c r="AL23" i="5"/>
</calcChain>
</file>

<file path=xl/sharedStrings.xml><?xml version="1.0" encoding="utf-8"?>
<sst xmlns="http://schemas.openxmlformats.org/spreadsheetml/2006/main" count="850" uniqueCount="200">
  <si>
    <t>grader</t>
  </si>
  <si>
    <t>cos</t>
  </si>
  <si>
    <t>sin</t>
  </si>
  <si>
    <t>tan</t>
  </si>
  <si>
    <t>radianer</t>
  </si>
  <si>
    <r>
      <t>e</t>
    </r>
    <r>
      <rPr>
        <vertAlign val="subscript"/>
        <sz val="11"/>
        <color theme="1"/>
        <rFont val="Calibri"/>
        <family val="2"/>
        <scheme val="minor"/>
      </rPr>
      <t>r</t>
    </r>
  </si>
  <si>
    <t>R/X</t>
  </si>
  <si>
    <r>
      <t>P</t>
    </r>
    <r>
      <rPr>
        <vertAlign val="subscript"/>
        <sz val="11"/>
        <color theme="1"/>
        <rFont val="Calibri"/>
        <family val="2"/>
        <scheme val="minor"/>
      </rPr>
      <t>CU</t>
    </r>
  </si>
  <si>
    <t>cosϕ</t>
  </si>
  <si>
    <r>
      <t>Beregning af Z̅</t>
    </r>
    <r>
      <rPr>
        <vertAlign val="subscript"/>
        <sz val="11"/>
        <color theme="1"/>
        <rFont val="Calibri"/>
        <family val="2"/>
        <scheme val="minor"/>
      </rPr>
      <t>N</t>
    </r>
  </si>
  <si>
    <r>
      <t>S</t>
    </r>
    <r>
      <rPr>
        <vertAlign val="subscript"/>
        <sz val="11"/>
        <color theme="1"/>
        <rFont val="Calibri"/>
        <family val="2"/>
        <scheme val="minor"/>
      </rPr>
      <t>KN</t>
    </r>
  </si>
  <si>
    <t>MVA</t>
  </si>
  <si>
    <r>
      <t>U</t>
    </r>
    <r>
      <rPr>
        <vertAlign val="subscript"/>
        <sz val="11"/>
        <color theme="1"/>
        <rFont val="Calibri"/>
        <family val="2"/>
        <scheme val="minor"/>
      </rPr>
      <t>N</t>
    </r>
  </si>
  <si>
    <t>V</t>
  </si>
  <si>
    <r>
      <t>Z</t>
    </r>
    <r>
      <rPr>
        <sz val="11"/>
        <color theme="1"/>
        <rFont val="Calibri"/>
        <family val="2"/>
      </rPr>
      <t>̅̅</t>
    </r>
    <r>
      <rPr>
        <vertAlign val="subscript"/>
        <sz val="11"/>
        <color theme="1"/>
        <rFont val="Calibri"/>
        <family val="2"/>
      </rPr>
      <t xml:space="preserve">N </t>
    </r>
    <r>
      <rPr>
        <sz val="11"/>
        <color theme="1"/>
        <rFont val="Calibri"/>
        <family val="2"/>
      </rPr>
      <t>=</t>
    </r>
  </si>
  <si>
    <r>
      <t>U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²</t>
    </r>
  </si>
  <si>
    <t>⇒</t>
  </si>
  <si>
    <t>=</t>
  </si>
  <si>
    <t>R</t>
  </si>
  <si>
    <t>X</t>
  </si>
  <si>
    <t>Z</t>
  </si>
  <si>
    <t>Zn</t>
  </si>
  <si>
    <t>polar</t>
  </si>
  <si>
    <r>
      <t>(S</t>
    </r>
    <r>
      <rPr>
        <vertAlign val="subscript"/>
        <sz val="11"/>
        <color theme="1"/>
        <rFont val="Calibri"/>
        <family val="2"/>
        <scheme val="minor"/>
      </rPr>
      <t>KN</t>
    </r>
  </si>
  <si>
    <r>
      <t>Beregning af transformer Z̅</t>
    </r>
    <r>
      <rPr>
        <vertAlign val="subscript"/>
        <sz val="11"/>
        <color theme="1"/>
        <rFont val="Calibri"/>
        <family val="2"/>
        <scheme val="minor"/>
      </rPr>
      <t>T</t>
    </r>
  </si>
  <si>
    <r>
      <t>S</t>
    </r>
    <r>
      <rPr>
        <vertAlign val="subscript"/>
        <sz val="11"/>
        <color theme="1"/>
        <rFont val="Calibri"/>
        <family val="2"/>
        <scheme val="minor"/>
      </rPr>
      <t>1/1</t>
    </r>
  </si>
  <si>
    <t>kVA</t>
  </si>
  <si>
    <t>ek</t>
  </si>
  <si>
    <t>%</t>
  </si>
  <si>
    <t>PCU</t>
  </si>
  <si>
    <r>
      <t>U</t>
    </r>
    <r>
      <rPr>
        <vertAlign val="subscript"/>
        <sz val="11"/>
        <color theme="1"/>
        <rFont val="Calibri"/>
        <family val="2"/>
        <scheme val="minor"/>
      </rPr>
      <t>T</t>
    </r>
  </si>
  <si>
    <r>
      <t>Z</t>
    </r>
    <r>
      <rPr>
        <sz val="11"/>
        <color theme="1"/>
        <rFont val="Calibri"/>
        <family val="2"/>
      </rPr>
      <t>̅̅</t>
    </r>
    <r>
      <rPr>
        <vertAlign val="subscript"/>
        <sz val="11"/>
        <color theme="1"/>
        <rFont val="Calibri"/>
        <family val="2"/>
      </rPr>
      <t xml:space="preserve">T </t>
    </r>
    <r>
      <rPr>
        <sz val="11"/>
        <color theme="1"/>
        <rFont val="Calibri"/>
        <family val="2"/>
      </rPr>
      <t>=</t>
    </r>
  </si>
  <si>
    <r>
      <t>e</t>
    </r>
    <r>
      <rPr>
        <vertAlign val="sub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 · U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²</t>
    </r>
  </si>
  <si>
    <t>Zt</t>
  </si>
  <si>
    <r>
      <t>100 · (S</t>
    </r>
    <r>
      <rPr>
        <vertAlign val="subscript"/>
        <sz val="11"/>
        <color theme="1"/>
        <rFont val="Calibri"/>
        <family val="2"/>
        <scheme val="minor"/>
      </rPr>
      <t xml:space="preserve">1/1 </t>
    </r>
    <r>
      <rPr>
        <sz val="11"/>
        <color theme="1"/>
        <rFont val="Calibri"/>
        <family val="2"/>
        <scheme val="minor"/>
      </rPr>
      <t>∠-cos¯¹(e</t>
    </r>
    <r>
      <rPr>
        <vertAlign val="subscript"/>
        <sz val="11"/>
        <color theme="1"/>
        <rFont val="Calibri"/>
        <family val="2"/>
        <scheme val="minor"/>
      </rPr>
      <t xml:space="preserve">r </t>
    </r>
    <r>
      <rPr>
        <sz val="11"/>
        <color theme="1"/>
        <rFont val="Calibri"/>
        <family val="2"/>
        <scheme val="minor"/>
      </rPr>
      <t>/e</t>
    </r>
    <r>
      <rPr>
        <vertAlign val="sub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))</t>
    </r>
  </si>
  <si>
    <r>
      <t>Z</t>
    </r>
    <r>
      <rPr>
        <vertAlign val="subscript"/>
        <sz val="11"/>
        <color theme="1"/>
        <rFont val="Calibri"/>
        <family val="2"/>
      </rPr>
      <t xml:space="preserve">T </t>
    </r>
    <r>
      <rPr>
        <sz val="11"/>
        <color theme="1"/>
        <rFont val="Calibri"/>
        <family val="2"/>
      </rPr>
      <t>=</t>
    </r>
  </si>
  <si>
    <t>ek · UT²</t>
  </si>
  <si>
    <r>
      <t>100 · S</t>
    </r>
    <r>
      <rPr>
        <vertAlign val="subscript"/>
        <sz val="11"/>
        <color theme="1"/>
        <rFont val="Calibri"/>
        <family val="2"/>
        <scheme val="minor"/>
      </rPr>
      <t>1/1</t>
    </r>
  </si>
  <si>
    <r>
      <t>R</t>
    </r>
    <r>
      <rPr>
        <vertAlign val="subscript"/>
        <sz val="11"/>
        <color theme="1"/>
        <rFont val="Calibri"/>
        <family val="2"/>
        <scheme val="minor"/>
      </rPr>
      <t xml:space="preserve">T </t>
    </r>
    <r>
      <rPr>
        <sz val="11"/>
        <color theme="1"/>
        <rFont val="Calibri"/>
        <family val="2"/>
        <scheme val="minor"/>
      </rPr>
      <t>=</t>
    </r>
  </si>
  <si>
    <r>
      <t>P</t>
    </r>
    <r>
      <rPr>
        <vertAlign val="subscript"/>
        <sz val="11"/>
        <color theme="1"/>
        <rFont val="Calibri"/>
        <family val="2"/>
        <scheme val="minor"/>
      </rPr>
      <t>cu</t>
    </r>
    <r>
      <rPr>
        <sz val="11"/>
        <color theme="1"/>
        <rFont val="Calibri"/>
        <family val="2"/>
        <scheme val="minor"/>
      </rPr>
      <t xml:space="preserve"> · U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²</t>
    </r>
  </si>
  <si>
    <r>
      <t>S</t>
    </r>
    <r>
      <rPr>
        <vertAlign val="subscript"/>
        <sz val="11"/>
        <color theme="1"/>
        <rFont val="Calibri"/>
        <family val="2"/>
        <scheme val="minor"/>
      </rPr>
      <t>1/1</t>
    </r>
    <r>
      <rPr>
        <sz val="11"/>
        <color theme="1"/>
        <rFont val="Calibri"/>
        <family val="2"/>
        <scheme val="minor"/>
      </rPr>
      <t>²</t>
    </r>
  </si>
  <si>
    <t>Vinkel</t>
  </si>
  <si>
    <t>Pcu</t>
  </si>
  <si>
    <r>
      <t>∠</t>
    </r>
    <r>
      <rPr>
        <sz val="11"/>
        <color theme="1"/>
        <rFont val="Calibri"/>
        <family val="2"/>
      </rPr>
      <t>ϕ</t>
    </r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=</t>
    </r>
  </si>
  <si>
    <r>
      <t>P</t>
    </r>
    <r>
      <rPr>
        <vertAlign val="subscript"/>
        <sz val="11"/>
        <color theme="1"/>
        <rFont val="Calibri"/>
        <family val="2"/>
        <scheme val="minor"/>
      </rPr>
      <t>cu</t>
    </r>
    <r>
      <rPr>
        <sz val="11"/>
        <color theme="1"/>
        <rFont val="Calibri"/>
        <family val="2"/>
        <scheme val="minor"/>
      </rPr>
      <t xml:space="preserve"> · 100</t>
    </r>
  </si>
  <si>
    <r>
      <t>er · S</t>
    </r>
    <r>
      <rPr>
        <vertAlign val="subscript"/>
        <sz val="11"/>
        <color theme="1"/>
        <rFont val="Calibri"/>
        <family val="2"/>
        <scheme val="minor"/>
      </rPr>
      <t>1/1</t>
    </r>
    <r>
      <rPr>
        <sz val="11"/>
        <color theme="1"/>
        <rFont val="Calibri"/>
        <family val="2"/>
        <scheme val="minor"/>
      </rPr>
      <t>²</t>
    </r>
  </si>
  <si>
    <r>
      <t>(Z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∠ϕ)</t>
    </r>
  </si>
  <si>
    <t>ZT</t>
  </si>
  <si>
    <r>
      <t>ΣZ̅</t>
    </r>
    <r>
      <rPr>
        <vertAlign val="subscript"/>
        <sz val="11"/>
        <color theme="1"/>
        <rFont val="Calibri"/>
        <family val="2"/>
      </rPr>
      <t>N3f</t>
    </r>
    <r>
      <rPr>
        <sz val="11"/>
        <color theme="1"/>
        <rFont val="Calibri"/>
        <family val="2"/>
      </rPr>
      <t xml:space="preserve"> =</t>
    </r>
  </si>
  <si>
    <r>
      <t>Z̅</t>
    </r>
    <r>
      <rPr>
        <vertAlign val="subscript"/>
        <sz val="11"/>
        <color theme="1"/>
        <rFont val="Calibri"/>
        <family val="2"/>
      </rPr>
      <t>N</t>
    </r>
    <r>
      <rPr>
        <sz val="11"/>
        <color theme="1"/>
        <rFont val="Calibri"/>
        <family val="2"/>
      </rPr>
      <t xml:space="preserve"> + Z̅</t>
    </r>
    <r>
      <rPr>
        <vertAlign val="subscript"/>
        <sz val="11"/>
        <color theme="1"/>
        <rFont val="Calibri"/>
        <family val="2"/>
      </rPr>
      <t>T</t>
    </r>
  </si>
  <si>
    <t>ZN+ZT</t>
  </si>
  <si>
    <r>
      <t>ΣZ̅</t>
    </r>
    <r>
      <rPr>
        <vertAlign val="subscript"/>
        <sz val="11"/>
        <color theme="1"/>
        <rFont val="Calibri"/>
        <family val="2"/>
      </rPr>
      <t>N2f</t>
    </r>
    <r>
      <rPr>
        <sz val="11"/>
        <color theme="1"/>
        <rFont val="Calibri"/>
        <family val="2"/>
      </rPr>
      <t xml:space="preserve"> =</t>
    </r>
  </si>
  <si>
    <r>
      <t>Z̅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+ Z̅</t>
    </r>
    <r>
      <rPr>
        <vertAlign val="subscript"/>
        <sz val="11"/>
        <color theme="1"/>
        <rFont val="Calibri"/>
        <family val="2"/>
        <scheme val="minor"/>
      </rPr>
      <t>T</t>
    </r>
  </si>
  <si>
    <t>√3 / 2</t>
  </si>
  <si>
    <t>(</t>
  </si>
  <si>
    <t>√3</t>
  </si>
  <si>
    <t>)</t>
  </si>
  <si>
    <t>Kortslutningsniveau på transformers sekundær klemmer</t>
  </si>
  <si>
    <r>
      <t>I</t>
    </r>
    <r>
      <rPr>
        <vertAlign val="subscript"/>
        <sz val="11"/>
        <rFont val="Calibri"/>
        <family val="2"/>
      </rPr>
      <t xml:space="preserve">kmax3f </t>
    </r>
    <r>
      <rPr>
        <sz val="11"/>
        <rFont val="Calibri"/>
        <family val="2"/>
      </rPr>
      <t>=</t>
    </r>
  </si>
  <si>
    <r>
      <t>U</t>
    </r>
    <r>
      <rPr>
        <vertAlign val="subscript"/>
        <sz val="11"/>
        <rFont val="Calibri"/>
        <family val="2"/>
        <scheme val="minor"/>
      </rPr>
      <t>N</t>
    </r>
  </si>
  <si>
    <r>
      <t xml:space="preserve">√3 · </t>
    </r>
    <r>
      <rPr>
        <sz val="11"/>
        <rFont val="Calibri"/>
        <family val="2"/>
      </rPr>
      <t>Σ</t>
    </r>
    <r>
      <rPr>
        <sz val="11"/>
        <rFont val="Calibri"/>
        <family val="2"/>
        <scheme val="minor"/>
      </rPr>
      <t>Z̅</t>
    </r>
    <r>
      <rPr>
        <vertAlign val="subscript"/>
        <sz val="11"/>
        <rFont val="Calibri"/>
        <family val="2"/>
      </rPr>
      <t>N3f</t>
    </r>
    <r>
      <rPr>
        <sz val="11"/>
        <rFont val="Calibri"/>
        <family val="2"/>
      </rPr>
      <t xml:space="preserve"> </t>
    </r>
  </si>
  <si>
    <r>
      <t>I</t>
    </r>
    <r>
      <rPr>
        <vertAlign val="subscript"/>
        <sz val="11"/>
        <rFont val="Calibri"/>
        <family val="2"/>
      </rPr>
      <t xml:space="preserve">kmax2f </t>
    </r>
    <r>
      <rPr>
        <sz val="11"/>
        <rFont val="Calibri"/>
        <family val="2"/>
      </rPr>
      <t>=</t>
    </r>
  </si>
  <si>
    <r>
      <t>I</t>
    </r>
    <r>
      <rPr>
        <vertAlign val="subscript"/>
        <sz val="11"/>
        <rFont val="Calibri"/>
        <family val="2"/>
        <scheme val="minor"/>
      </rPr>
      <t>kmax3f</t>
    </r>
    <r>
      <rPr>
        <sz val="11"/>
        <rFont val="Calibri"/>
        <family val="2"/>
        <scheme val="minor"/>
      </rPr>
      <t xml:space="preserve"> ·</t>
    </r>
  </si>
  <si>
    <r>
      <t>I</t>
    </r>
    <r>
      <rPr>
        <vertAlign val="subscript"/>
        <sz val="11"/>
        <rFont val="Calibri"/>
        <family val="2"/>
      </rPr>
      <t xml:space="preserve">kmax1f </t>
    </r>
    <r>
      <rPr>
        <sz val="11"/>
        <rFont val="Calibri"/>
        <family val="2"/>
      </rPr>
      <t>=</t>
    </r>
  </si>
  <si>
    <r>
      <t>I</t>
    </r>
    <r>
      <rPr>
        <vertAlign val="subscript"/>
        <sz val="11"/>
        <rFont val="Calibri"/>
        <family val="2"/>
        <scheme val="minor"/>
      </rPr>
      <t>kmax3f</t>
    </r>
    <r>
      <rPr>
        <sz val="11"/>
        <rFont val="Calibri"/>
        <family val="2"/>
        <scheme val="minor"/>
      </rPr>
      <t xml:space="preserve"> </t>
    </r>
  </si>
  <si>
    <t>fra</t>
  </si>
  <si>
    <t>til</t>
  </si>
  <si>
    <t>maks</t>
  </si>
  <si>
    <t>min</t>
  </si>
  <si>
    <r>
      <t>Beregning af Z̅</t>
    </r>
    <r>
      <rPr>
        <vertAlign val="subscript"/>
        <sz val="11"/>
        <color theme="1"/>
        <rFont val="Calibri"/>
        <family val="2"/>
        <scheme val="minor"/>
      </rPr>
      <t>Nmax</t>
    </r>
    <r>
      <rPr>
        <sz val="11"/>
        <color theme="1"/>
        <rFont val="Calibri"/>
        <family val="2"/>
        <scheme val="minor"/>
      </rPr>
      <t xml:space="preserve"> ved oplyst I</t>
    </r>
    <r>
      <rPr>
        <vertAlign val="subscript"/>
        <sz val="11"/>
        <color theme="1"/>
        <rFont val="Calibri"/>
        <family val="2"/>
        <scheme val="minor"/>
      </rPr>
      <t>Kmax</t>
    </r>
  </si>
  <si>
    <t xml:space="preserve">FR2017 skriver: </t>
  </si>
  <si>
    <t>Ikmax = 16kA cos 0,3</t>
  </si>
  <si>
    <r>
      <t>I</t>
    </r>
    <r>
      <rPr>
        <vertAlign val="subscript"/>
        <sz val="11"/>
        <color theme="1"/>
        <rFont val="Calibri"/>
        <family val="2"/>
        <scheme val="minor"/>
      </rPr>
      <t>Kmax</t>
    </r>
  </si>
  <si>
    <t>kA</t>
  </si>
  <si>
    <t>Ikmin= 5 · In cos 1</t>
  </si>
  <si>
    <r>
      <t>Z</t>
    </r>
    <r>
      <rPr>
        <sz val="11"/>
        <color theme="1"/>
        <rFont val="Calibri"/>
        <family val="2"/>
      </rPr>
      <t>̅̅</t>
    </r>
    <r>
      <rPr>
        <vertAlign val="subscript"/>
        <sz val="11"/>
        <color theme="1"/>
        <rFont val="Calibri"/>
        <family val="2"/>
      </rPr>
      <t xml:space="preserve">Nmax </t>
    </r>
    <r>
      <rPr>
        <sz val="11"/>
        <color theme="1"/>
        <rFont val="Calibri"/>
        <family val="2"/>
      </rPr>
      <t>=</t>
    </r>
  </si>
  <si>
    <r>
      <t>√3 · (I</t>
    </r>
    <r>
      <rPr>
        <vertAlign val="subscript"/>
        <sz val="11"/>
        <color theme="1"/>
        <rFont val="Calibri"/>
        <family val="2"/>
      </rPr>
      <t xml:space="preserve">Kmax </t>
    </r>
    <r>
      <rPr>
        <sz val="11"/>
        <color theme="1"/>
        <rFont val="Calibri"/>
        <family val="2"/>
      </rPr>
      <t>∠-cos¯¹(ϕ))</t>
    </r>
  </si>
  <si>
    <r>
      <t>Beregning af Z̅</t>
    </r>
    <r>
      <rPr>
        <vertAlign val="subscript"/>
        <sz val="11"/>
        <color theme="1"/>
        <rFont val="Calibri"/>
        <family val="2"/>
        <scheme val="minor"/>
      </rPr>
      <t>Nmin</t>
    </r>
    <r>
      <rPr>
        <sz val="11"/>
        <color theme="1"/>
        <rFont val="Calibri"/>
        <family val="2"/>
        <scheme val="minor"/>
      </rPr>
      <t xml:space="preserve"> ved oplyst I</t>
    </r>
    <r>
      <rPr>
        <vertAlign val="subscript"/>
        <sz val="11"/>
        <color theme="1"/>
        <rFont val="Calibri"/>
        <family val="2"/>
        <scheme val="minor"/>
      </rPr>
      <t>Kmin</t>
    </r>
  </si>
  <si>
    <t>Sikring</t>
  </si>
  <si>
    <t>A</t>
  </si>
  <si>
    <r>
      <t>I</t>
    </r>
    <r>
      <rPr>
        <vertAlign val="subscript"/>
        <sz val="11"/>
        <color theme="1"/>
        <rFont val="Calibri"/>
        <family val="2"/>
        <scheme val="minor"/>
      </rPr>
      <t>Kmin</t>
    </r>
  </si>
  <si>
    <r>
      <t>Z</t>
    </r>
    <r>
      <rPr>
        <sz val="11"/>
        <color theme="1"/>
        <rFont val="Calibri"/>
        <family val="2"/>
      </rPr>
      <t>̅̅</t>
    </r>
    <r>
      <rPr>
        <vertAlign val="subscript"/>
        <sz val="11"/>
        <color theme="1"/>
        <rFont val="Calibri"/>
        <family val="2"/>
      </rPr>
      <t xml:space="preserve">Nmin </t>
    </r>
    <r>
      <rPr>
        <sz val="11"/>
        <color theme="1"/>
        <rFont val="Calibri"/>
        <family val="2"/>
      </rPr>
      <t>=</t>
    </r>
  </si>
  <si>
    <r>
      <t>√3 · (I</t>
    </r>
    <r>
      <rPr>
        <vertAlign val="subscript"/>
        <sz val="11"/>
        <color theme="1"/>
        <rFont val="Calibri"/>
        <family val="2"/>
      </rPr>
      <t xml:space="preserve">Kmin </t>
    </r>
    <r>
      <rPr>
        <sz val="11"/>
        <color theme="1"/>
        <rFont val="Calibri"/>
        <family val="2"/>
      </rPr>
      <t>∠-cos¯¹(ϕ))</t>
    </r>
  </si>
  <si>
    <r>
      <t>Impedansværdier beregning af I</t>
    </r>
    <r>
      <rPr>
        <vertAlign val="subscript"/>
        <sz val="14"/>
        <color theme="1"/>
        <rFont val="Calibri"/>
        <family val="2"/>
        <scheme val="minor"/>
      </rPr>
      <t xml:space="preserve">kmax </t>
    </r>
    <r>
      <rPr>
        <sz val="14"/>
        <color theme="1"/>
        <rFont val="Calibri"/>
        <family val="2"/>
        <scheme val="minor"/>
      </rPr>
      <t>og spændingsfald</t>
    </r>
  </si>
  <si>
    <t>( Z ∠ ° )</t>
  </si>
  <si>
    <t>( R + Xi )</t>
  </si>
  <si>
    <t>Z̅̅</t>
  </si>
  <si>
    <t>Længde</t>
  </si>
  <si>
    <t>parallelle</t>
  </si>
  <si>
    <t xml:space="preserve"> Z̅</t>
  </si>
  <si>
    <t>L · (R+jX)</t>
  </si>
  <si>
    <t>------------------------------------------------------------------------------------------------------------------------------------------------------------------------------------------------</t>
  </si>
  <si>
    <r>
      <t>Impedansværdier beregning af I</t>
    </r>
    <r>
      <rPr>
        <vertAlign val="subscript"/>
        <sz val="14"/>
        <color theme="1"/>
        <rFont val="Calibri"/>
        <family val="2"/>
        <scheme val="minor"/>
      </rPr>
      <t>kmin</t>
    </r>
  </si>
  <si>
    <t>Separat PE leder</t>
  </si>
  <si>
    <t>Impedansværdier beregning af spændingsfald</t>
  </si>
  <si>
    <t>L · (1,25 · R+jX)</t>
  </si>
  <si>
    <t>Kabel 1</t>
  </si>
  <si>
    <t>Kabel 2</t>
  </si>
  <si>
    <t>Kabel 3</t>
  </si>
  <si>
    <t>Kabel 4</t>
  </si>
  <si>
    <t>Kabel 5</t>
  </si>
  <si>
    <t>Ja</t>
  </si>
  <si>
    <t>Nej</t>
  </si>
  <si>
    <t>Navn</t>
  </si>
  <si>
    <t>Kabeltype</t>
  </si>
  <si>
    <t>NOIKLX</t>
  </si>
  <si>
    <t>NOIK</t>
  </si>
  <si>
    <t>Gummi - og plast</t>
  </si>
  <si>
    <t>NOIKLX reduceret PE</t>
  </si>
  <si>
    <t>Armeret kabler</t>
  </si>
  <si>
    <t>Materiale</t>
  </si>
  <si>
    <t>AL</t>
  </si>
  <si>
    <t>NOIK, PVIK, NOIKL, NOIBH-CU-S</t>
  </si>
  <si>
    <t>NOIKLX, PVIKX, NOIKX,         NOIKX FLEX</t>
  </si>
  <si>
    <t>NOPKA, H05VV-F, H05RR-F, H05RN-F, H07RN-F</t>
  </si>
  <si>
    <t>NOAKLX, NOAKX, PAPLX</t>
  </si>
  <si>
    <t>CU</t>
  </si>
  <si>
    <t>1x</t>
  </si>
  <si>
    <t>Antal ledere</t>
  </si>
  <si>
    <t>4x</t>
  </si>
  <si>
    <t>2x</t>
  </si>
  <si>
    <t>Kvadrat (mm²)</t>
  </si>
  <si>
    <t>Kobber</t>
  </si>
  <si>
    <t>3x</t>
  </si>
  <si>
    <t>Gummi- og plast</t>
  </si>
  <si>
    <t>Længde (m)</t>
  </si>
  <si>
    <t>m</t>
  </si>
  <si>
    <t>Paralle (n)</t>
  </si>
  <si>
    <t>n</t>
  </si>
  <si>
    <t>5x</t>
  </si>
  <si>
    <t>Armeret</t>
  </si>
  <si>
    <r>
      <t xml:space="preserve"> I̅ </t>
    </r>
    <r>
      <rPr>
        <vertAlign val="subscript"/>
        <sz val="11"/>
        <color theme="1"/>
        <rFont val="Calibri"/>
        <family val="2"/>
        <scheme val="minor"/>
      </rPr>
      <t>B</t>
    </r>
  </si>
  <si>
    <t>Ð-</t>
  </si>
  <si>
    <r>
      <t>Z</t>
    </r>
    <r>
      <rPr>
        <vertAlign val="subscript"/>
        <sz val="11"/>
        <color theme="1"/>
        <rFont val="Calibri"/>
        <family val="2"/>
        <scheme val="minor"/>
      </rPr>
      <t>20°</t>
    </r>
  </si>
  <si>
    <r>
      <rPr>
        <sz val="11"/>
        <color theme="1"/>
        <rFont val="Symbol"/>
        <family val="1"/>
        <charset val="2"/>
      </rPr>
      <t>Ð</t>
    </r>
    <r>
      <rPr>
        <sz val="11"/>
        <color theme="1"/>
        <rFont val="Calibri"/>
        <family val="2"/>
        <scheme val="minor"/>
      </rPr>
      <t xml:space="preserve"> 20°</t>
    </r>
  </si>
  <si>
    <r>
      <t>Z</t>
    </r>
    <r>
      <rPr>
        <vertAlign val="subscript"/>
        <sz val="11"/>
        <color theme="1"/>
        <rFont val="Calibri"/>
        <family val="2"/>
        <scheme val="minor"/>
      </rPr>
      <t>70°</t>
    </r>
  </si>
  <si>
    <r>
      <rPr>
        <sz val="11"/>
        <color theme="1"/>
        <rFont val="Symbol"/>
        <family val="1"/>
        <charset val="2"/>
      </rPr>
      <t>Ð</t>
    </r>
    <r>
      <rPr>
        <sz val="11"/>
        <color theme="1"/>
        <rFont val="Calibri"/>
        <family val="2"/>
        <scheme val="minor"/>
      </rPr>
      <t xml:space="preserve"> 70°</t>
    </r>
  </si>
  <si>
    <t>Indtastning</t>
  </si>
  <si>
    <t>Kabel 6</t>
  </si>
  <si>
    <t>Kabel 7</t>
  </si>
  <si>
    <t>Kabel 8</t>
  </si>
  <si>
    <t xml:space="preserve">Hvis man får R og X værdi </t>
  </si>
  <si>
    <r>
      <t>R 20</t>
    </r>
    <r>
      <rPr>
        <sz val="11"/>
        <color theme="1"/>
        <rFont val="Calibri"/>
        <family val="2"/>
      </rPr>
      <t>˚</t>
    </r>
  </si>
  <si>
    <t>CU 1</t>
  </si>
  <si>
    <t xml:space="preserve">NOIK  AL-M,NOIK AL-S,        NOBH AL-S </t>
  </si>
  <si>
    <t xml:space="preserve">NOIK  AL-M,NOIK AL-S,              NOBH AL-S </t>
  </si>
  <si>
    <t xml:space="preserve">NOIK  AL-M,NOIK AL-S,          NOBH AL-S </t>
  </si>
  <si>
    <t xml:space="preserve">NOIK  AL-M,NOIK AL-S, NOBH AL-S </t>
  </si>
  <si>
    <t>Aluminium</t>
  </si>
  <si>
    <r>
      <t>Beregning af I</t>
    </r>
    <r>
      <rPr>
        <vertAlign val="subscript"/>
        <sz val="18"/>
        <color theme="1"/>
        <rFont val="Calibri"/>
        <family val="2"/>
        <scheme val="minor"/>
      </rPr>
      <t>Kmax</t>
    </r>
  </si>
  <si>
    <t>Transformer</t>
  </si>
  <si>
    <t>Oplyst kortslutning</t>
  </si>
  <si>
    <r>
      <t>I</t>
    </r>
    <r>
      <rPr>
        <vertAlign val="subscript"/>
        <sz val="14"/>
        <color theme="1"/>
        <rFont val="Calibri"/>
        <family val="2"/>
        <scheme val="minor"/>
      </rPr>
      <t>Kmax3f</t>
    </r>
  </si>
  <si>
    <t>N</t>
  </si>
  <si>
    <t>Sum</t>
  </si>
  <si>
    <t>Ikmax</t>
  </si>
  <si>
    <r>
      <t>Beregning af I</t>
    </r>
    <r>
      <rPr>
        <vertAlign val="subscript"/>
        <sz val="18"/>
        <color theme="1"/>
        <rFont val="Calibri"/>
        <family val="2"/>
        <scheme val="minor"/>
      </rPr>
      <t>kmin</t>
    </r>
  </si>
  <si>
    <t>Z̅</t>
  </si>
  <si>
    <t>η</t>
  </si>
  <si>
    <r>
      <t>Z̅*</t>
    </r>
    <r>
      <rPr>
        <sz val="11"/>
        <color theme="1"/>
        <rFont val="Calibri"/>
        <family val="2"/>
      </rPr>
      <t>η</t>
    </r>
  </si>
  <si>
    <t>Z̅N+T3f</t>
  </si>
  <si>
    <t>Z̅N+T2f</t>
  </si>
  <si>
    <t>Transformer 2f</t>
  </si>
  <si>
    <r>
      <t>ΣZ̅</t>
    </r>
    <r>
      <rPr>
        <vertAlign val="subscript"/>
        <sz val="11"/>
        <color theme="1"/>
        <rFont val="Calibri"/>
        <family val="2"/>
      </rPr>
      <t xml:space="preserve">IKmin </t>
    </r>
    <r>
      <rPr>
        <sz val="11"/>
        <color theme="1"/>
        <rFont val="Calibri"/>
        <family val="2"/>
      </rPr>
      <t>=</t>
    </r>
  </si>
  <si>
    <r>
      <t>I</t>
    </r>
    <r>
      <rPr>
        <vertAlign val="subscript"/>
        <sz val="11"/>
        <rFont val="Calibri"/>
        <family val="2"/>
      </rPr>
      <t xml:space="preserve">kmin1f </t>
    </r>
    <r>
      <rPr>
        <sz val="11"/>
        <rFont val="Calibri"/>
        <family val="2"/>
      </rPr>
      <t>=</t>
    </r>
  </si>
  <si>
    <r>
      <t>I</t>
    </r>
    <r>
      <rPr>
        <vertAlign val="subscript"/>
        <sz val="11"/>
        <rFont val="Calibri"/>
        <family val="2"/>
      </rPr>
      <t xml:space="preserve">kmin2f </t>
    </r>
    <r>
      <rPr>
        <sz val="11"/>
        <rFont val="Calibri"/>
        <family val="2"/>
      </rPr>
      <t>=</t>
    </r>
  </si>
  <si>
    <t>Spændingsfald</t>
  </si>
  <si>
    <t>IB</t>
  </si>
  <si>
    <t>vinkel</t>
  </si>
  <si>
    <t>Ibvinkel</t>
  </si>
  <si>
    <t>Resultat</t>
  </si>
  <si>
    <t>Kabelnavn</t>
  </si>
  <si>
    <r>
      <t>IB · (1,25 · R</t>
    </r>
    <r>
      <rPr>
        <vertAlign val="subscript"/>
        <sz val="16"/>
        <color theme="1"/>
        <rFont val="Calibri"/>
        <family val="2"/>
        <scheme val="minor"/>
      </rPr>
      <t>kabel</t>
    </r>
    <r>
      <rPr>
        <sz val="16"/>
        <color theme="1"/>
        <rFont val="Calibri"/>
        <family val="2"/>
        <scheme val="minor"/>
      </rPr>
      <t xml:space="preserve"> · cos</t>
    </r>
    <r>
      <rPr>
        <vertAlign val="subscript"/>
        <sz val="16"/>
        <color theme="1"/>
        <rFont val="Calibri"/>
        <family val="2"/>
      </rPr>
      <t>ϕIB</t>
    </r>
    <r>
      <rPr>
        <sz val="16"/>
        <color theme="1"/>
        <rFont val="Calibri"/>
        <family val="2"/>
      </rPr>
      <t xml:space="preserve"> + X</t>
    </r>
    <r>
      <rPr>
        <vertAlign val="subscript"/>
        <sz val="16"/>
        <color theme="1"/>
        <rFont val="Calibri"/>
        <family val="2"/>
      </rPr>
      <t xml:space="preserve">kabel </t>
    </r>
    <r>
      <rPr>
        <sz val="16"/>
        <color theme="1"/>
        <rFont val="Calibri"/>
        <family val="2"/>
      </rPr>
      <t>· sin</t>
    </r>
    <r>
      <rPr>
        <vertAlign val="subscript"/>
        <sz val="16"/>
        <color theme="1"/>
        <rFont val="Calibri"/>
        <family val="2"/>
      </rPr>
      <t>ϕIB</t>
    </r>
    <r>
      <rPr>
        <sz val="16"/>
        <color theme="1"/>
        <rFont val="Calibri"/>
        <family val="2"/>
      </rPr>
      <t>)</t>
    </r>
  </si>
  <si>
    <t>ΔUf</t>
  </si>
  <si>
    <r>
      <rPr>
        <sz val="11"/>
        <color theme="1"/>
        <rFont val="Calibri"/>
        <family val="2"/>
      </rPr>
      <t>ΔU</t>
    </r>
    <r>
      <rPr>
        <vertAlign val="subscript"/>
        <sz val="11"/>
        <color theme="1"/>
        <rFont val="Calibri"/>
        <family val="2"/>
      </rPr>
      <t>f</t>
    </r>
  </si>
  <si>
    <t>Cos</t>
  </si>
  <si>
    <t>Sin</t>
  </si>
  <si>
    <t>DeltaU</t>
  </si>
  <si>
    <r>
      <t>ΣΔU</t>
    </r>
    <r>
      <rPr>
        <vertAlign val="subscript"/>
        <sz val="11"/>
        <color theme="1"/>
        <rFont val="Calibri"/>
        <family val="2"/>
      </rPr>
      <t>f</t>
    </r>
  </si>
  <si>
    <t>ΣΔU%</t>
  </si>
  <si>
    <t>ΣΔUf · 100</t>
  </si>
  <si>
    <r>
      <t>U</t>
    </r>
    <r>
      <rPr>
        <vertAlign val="subscript"/>
        <sz val="11"/>
        <color theme="1"/>
        <rFont val="Calibri"/>
        <family val="2"/>
      </rPr>
      <t>f</t>
    </r>
  </si>
  <si>
    <t xml:space="preserve"> </t>
  </si>
  <si>
    <r>
      <t>U</t>
    </r>
    <r>
      <rPr>
        <vertAlign val="subscript"/>
        <sz val="16"/>
        <color theme="1"/>
        <rFont val="Calibri"/>
        <family val="2"/>
        <scheme val="minor"/>
      </rPr>
      <t>f</t>
    </r>
    <r>
      <rPr>
        <sz val="16"/>
        <color theme="1"/>
        <rFont val="Calibri"/>
        <family val="2"/>
        <scheme val="minor"/>
      </rPr>
      <t xml:space="preserve"> -| U̅</t>
    </r>
    <r>
      <rPr>
        <vertAlign val="subscript"/>
        <sz val="16"/>
        <color theme="1"/>
        <rFont val="Calibri"/>
        <family val="2"/>
        <scheme val="minor"/>
      </rPr>
      <t>f</t>
    </r>
    <r>
      <rPr>
        <sz val="16"/>
        <color theme="1"/>
        <rFont val="Calibri"/>
        <family val="2"/>
        <scheme val="minor"/>
      </rPr>
      <t xml:space="preserve"> - ( I̅</t>
    </r>
    <r>
      <rPr>
        <vertAlign val="subscript"/>
        <sz val="16"/>
        <color theme="1"/>
        <rFont val="Calibri"/>
        <family val="2"/>
        <scheme val="minor"/>
      </rPr>
      <t>B</t>
    </r>
    <r>
      <rPr>
        <sz val="16"/>
        <color theme="1"/>
        <rFont val="Calibri"/>
        <family val="2"/>
        <scheme val="minor"/>
      </rPr>
      <t xml:space="preserve"> * Z̅ ) |</t>
    </r>
  </si>
  <si>
    <t>DeltaU1</t>
  </si>
  <si>
    <t>DeltaU2</t>
  </si>
  <si>
    <t>Delta U</t>
  </si>
  <si>
    <t>-TW1</t>
  </si>
  <si>
    <t>-W3_W1</t>
  </si>
  <si>
    <t>-W3_W2</t>
  </si>
  <si>
    <t>U</t>
  </si>
  <si>
    <t>U1</t>
  </si>
  <si>
    <t>U2</t>
  </si>
  <si>
    <t>Net+Transformer</t>
  </si>
  <si>
    <t>W3</t>
  </si>
  <si>
    <t>W1min</t>
  </si>
  <si>
    <t>W2min</t>
  </si>
  <si>
    <t>W1</t>
  </si>
  <si>
    <t>W2</t>
  </si>
  <si>
    <t>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</si>
</sst>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u val="double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name val="Calibri"/>
      <family val="2"/>
    </font>
    <font>
      <sz val="11"/>
      <name val="Calibri"/>
      <family val="2"/>
    </font>
    <font>
      <vertAlign val="subscript"/>
      <sz val="11"/>
      <name val="Calibri"/>
      <family val="2"/>
      <scheme val="minor"/>
    </font>
    <font>
      <u val="double"/>
      <sz val="11"/>
      <name val="Calibri"/>
      <family val="2"/>
      <scheme val="minor"/>
    </font>
    <font>
      <sz val="11"/>
      <color theme="1"/>
      <name val="Symbol"/>
      <family val="1"/>
      <charset val="2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vertAlign val="subscript"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6"/>
      <color theme="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vertAlign val="subscript"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0" fillId="2" borderId="0" xfId="0" applyFill="1"/>
    <xf numFmtId="0" fontId="7" fillId="2" borderId="0" xfId="0" applyFont="1" applyFill="1" applyAlignment="1">
      <alignment vertical="top"/>
    </xf>
    <xf numFmtId="164" fontId="0" fillId="2" borderId="0" xfId="0" applyNumberFormat="1" applyFill="1"/>
    <xf numFmtId="0" fontId="0" fillId="0" borderId="9" xfId="0" applyBorder="1"/>
    <xf numFmtId="0" fontId="14" fillId="2" borderId="3" xfId="0" applyFont="1" applyFill="1" applyBorder="1" applyAlignment="1">
      <alignment horizontal="center"/>
    </xf>
    <xf numFmtId="0" fontId="0" fillId="2" borderId="8" xfId="0" applyFill="1" applyBorder="1"/>
    <xf numFmtId="0" fontId="0" fillId="2" borderId="46" xfId="0" applyFill="1" applyBorder="1"/>
    <xf numFmtId="0" fontId="0" fillId="2" borderId="47" xfId="0" applyFill="1" applyBorder="1"/>
    <xf numFmtId="0" fontId="0" fillId="2" borderId="45" xfId="0" applyFill="1" applyBorder="1"/>
    <xf numFmtId="0" fontId="0" fillId="2" borderId="7" xfId="0" applyFill="1" applyBorder="1"/>
    <xf numFmtId="0" fontId="9" fillId="2" borderId="1" xfId="0" applyFont="1" applyFill="1" applyBorder="1" applyAlignment="1">
      <alignment horizontal="center" vertical="center"/>
    </xf>
    <xf numFmtId="0" fontId="3" fillId="2" borderId="10" xfId="0" applyFont="1" applyFill="1" applyBorder="1"/>
    <xf numFmtId="0" fontId="3" fillId="2" borderId="40" xfId="0" applyFont="1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48" xfId="0" applyFill="1" applyBorder="1"/>
    <xf numFmtId="0" fontId="3" fillId="2" borderId="3" xfId="0" applyFont="1" applyFill="1" applyBorder="1"/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0" fillId="2" borderId="2" xfId="0" applyFill="1" applyBorder="1"/>
    <xf numFmtId="0" fontId="0" fillId="2" borderId="3" xfId="0" applyFill="1" applyBorder="1"/>
    <xf numFmtId="49" fontId="0" fillId="2" borderId="3" xfId="0" applyNumberFormat="1" applyFill="1" applyBorder="1" applyAlignment="1">
      <alignment horizontal="center" vertical="center"/>
    </xf>
    <xf numFmtId="0" fontId="0" fillId="2" borderId="0" xfId="0" applyFill="1" applyAlignment="1">
      <alignment horizontal="right"/>
    </xf>
    <xf numFmtId="0" fontId="0" fillId="2" borderId="3" xfId="0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49" fontId="0" fillId="2" borderId="3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2" xfId="0" applyFon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11" xfId="0" applyFont="1" applyFill="1" applyBorder="1" applyAlignment="1">
      <alignment vertical="center"/>
    </xf>
    <xf numFmtId="0" fontId="0" fillId="2" borderId="12" xfId="0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48" xfId="0" applyFont="1" applyFill="1" applyBorder="1"/>
    <xf numFmtId="0" fontId="1" fillId="2" borderId="7" xfId="0" applyFont="1" applyFill="1" applyBorder="1"/>
    <xf numFmtId="0" fontId="1" fillId="2" borderId="0" xfId="0" applyFont="1" applyFill="1"/>
    <xf numFmtId="0" fontId="1" fillId="2" borderId="8" xfId="0" applyFont="1" applyFill="1" applyBorder="1"/>
    <xf numFmtId="0" fontId="3" fillId="2" borderId="0" xfId="0" applyFont="1" applyFill="1"/>
    <xf numFmtId="0" fontId="9" fillId="2" borderId="7" xfId="0" applyFont="1" applyFill="1" applyBorder="1"/>
    <xf numFmtId="0" fontId="9" fillId="2" borderId="0" xfId="0" applyFont="1" applyFill="1"/>
    <xf numFmtId="0" fontId="9" fillId="2" borderId="8" xfId="0" applyFont="1" applyFill="1" applyBorder="1"/>
    <xf numFmtId="0" fontId="0" fillId="2" borderId="11" xfId="0" applyFill="1" applyBorder="1"/>
    <xf numFmtId="0" fontId="0" fillId="2" borderId="51" xfId="0" applyFill="1" applyBorder="1"/>
    <xf numFmtId="0" fontId="0" fillId="2" borderId="52" xfId="0" applyFill="1" applyBorder="1"/>
    <xf numFmtId="49" fontId="0" fillId="2" borderId="0" xfId="0" applyNumberFormat="1" applyFill="1"/>
    <xf numFmtId="0" fontId="8" fillId="2" borderId="18" xfId="0" applyFont="1" applyFill="1" applyBorder="1"/>
    <xf numFmtId="0" fontId="8" fillId="2" borderId="19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15" fillId="2" borderId="22" xfId="0" applyFont="1" applyFill="1" applyBorder="1"/>
    <xf numFmtId="0" fontId="15" fillId="2" borderId="23" xfId="0" applyFont="1" applyFill="1" applyBorder="1"/>
    <xf numFmtId="0" fontId="0" fillId="2" borderId="24" xfId="0" applyFill="1" applyBorder="1"/>
    <xf numFmtId="0" fontId="0" fillId="2" borderId="9" xfId="0" applyFill="1" applyBorder="1"/>
    <xf numFmtId="0" fontId="0" fillId="2" borderId="25" xfId="0" applyFill="1" applyBorder="1"/>
    <xf numFmtId="0" fontId="15" fillId="2" borderId="9" xfId="0" applyFont="1" applyFill="1" applyBorder="1"/>
    <xf numFmtId="0" fontId="15" fillId="2" borderId="25" xfId="0" applyFont="1" applyFill="1" applyBorder="1"/>
    <xf numFmtId="0" fontId="15" fillId="2" borderId="24" xfId="0" applyFont="1" applyFill="1" applyBorder="1"/>
    <xf numFmtId="0" fontId="0" fillId="2" borderId="0" xfId="0" applyFill="1" applyProtection="1">
      <protection locked="0"/>
    </xf>
    <xf numFmtId="0" fontId="15" fillId="2" borderId="26" xfId="0" applyFont="1" applyFill="1" applyBorder="1"/>
    <xf numFmtId="0" fontId="0" fillId="2" borderId="27" xfId="0" applyFill="1" applyBorder="1"/>
    <xf numFmtId="0" fontId="0" fillId="2" borderId="28" xfId="0" applyFill="1" applyBorder="1"/>
    <xf numFmtId="0" fontId="8" fillId="2" borderId="29" xfId="0" applyFont="1" applyFill="1" applyBorder="1"/>
    <xf numFmtId="0" fontId="8" fillId="2" borderId="30" xfId="0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8" fillId="2" borderId="32" xfId="0" applyFont="1" applyFill="1" applyBorder="1"/>
    <xf numFmtId="0" fontId="8" fillId="2" borderId="33" xfId="0" applyFont="1" applyFill="1" applyBorder="1" applyAlignment="1">
      <alignment horizontal="center"/>
    </xf>
    <xf numFmtId="0" fontId="8" fillId="2" borderId="34" xfId="0" applyFont="1" applyFill="1" applyBorder="1" applyAlignment="1">
      <alignment horizontal="center"/>
    </xf>
    <xf numFmtId="0" fontId="15" fillId="2" borderId="35" xfId="0" applyFont="1" applyFill="1" applyBorder="1"/>
    <xf numFmtId="0" fontId="0" fillId="2" borderId="36" xfId="0" applyFill="1" applyBorder="1"/>
    <xf numFmtId="0" fontId="0" fillId="2" borderId="37" xfId="0" applyFill="1" applyBorder="1"/>
    <xf numFmtId="0" fontId="15" fillId="2" borderId="36" xfId="0" applyFont="1" applyFill="1" applyBorder="1"/>
    <xf numFmtId="0" fontId="15" fillId="2" borderId="37" xfId="0" applyFont="1" applyFill="1" applyBorder="1"/>
    <xf numFmtId="0" fontId="15" fillId="2" borderId="13" xfId="0" applyFont="1" applyFill="1" applyBorder="1"/>
    <xf numFmtId="0" fontId="15" fillId="2" borderId="38" xfId="0" applyFont="1" applyFill="1" applyBorder="1"/>
    <xf numFmtId="0" fontId="15" fillId="2" borderId="27" xfId="0" applyFont="1" applyFill="1" applyBorder="1"/>
    <xf numFmtId="0" fontId="15" fillId="2" borderId="28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8" fillId="2" borderId="42" xfId="0" applyFont="1" applyFill="1" applyBorder="1"/>
    <xf numFmtId="0" fontId="8" fillId="2" borderId="43" xfId="0" applyFont="1" applyFill="1" applyBorder="1" applyAlignment="1">
      <alignment horizontal="center"/>
    </xf>
    <xf numFmtId="0" fontId="8" fillId="2" borderId="44" xfId="0" applyFont="1" applyFill="1" applyBorder="1" applyAlignment="1">
      <alignment horizontal="center"/>
    </xf>
    <xf numFmtId="0" fontId="15" fillId="2" borderId="42" xfId="0" applyFont="1" applyFill="1" applyBorder="1"/>
    <xf numFmtId="0" fontId="15" fillId="2" borderId="43" xfId="0" applyFont="1" applyFill="1" applyBorder="1"/>
    <xf numFmtId="0" fontId="15" fillId="2" borderId="44" xfId="0" applyFont="1" applyFill="1" applyBorder="1"/>
    <xf numFmtId="0" fontId="0" fillId="2" borderId="42" xfId="0" applyFill="1" applyBorder="1"/>
    <xf numFmtId="0" fontId="16" fillId="2" borderId="18" xfId="0" applyFont="1" applyFill="1" applyBorder="1"/>
    <xf numFmtId="0" fontId="0" fillId="2" borderId="9" xfId="0" applyFill="1" applyBorder="1" applyProtection="1">
      <protection hidden="1"/>
    </xf>
    <xf numFmtId="0" fontId="0" fillId="2" borderId="4" xfId="0" applyFill="1" applyBorder="1" applyProtection="1">
      <protection hidden="1"/>
    </xf>
    <xf numFmtId="49" fontId="0" fillId="2" borderId="0" xfId="0" applyNumberFormat="1" applyFill="1" applyAlignment="1">
      <alignment horizontal="center"/>
    </xf>
    <xf numFmtId="49" fontId="0" fillId="2" borderId="9" xfId="0" applyNumberFormat="1" applyFill="1" applyBorder="1" applyAlignment="1">
      <alignment horizontal="left"/>
    </xf>
    <xf numFmtId="0" fontId="13" fillId="2" borderId="0" xfId="0" applyFont="1" applyFill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left"/>
    </xf>
    <xf numFmtId="0" fontId="7" fillId="2" borderId="47" xfId="0" applyFont="1" applyFill="1" applyBorder="1" applyAlignment="1">
      <alignment horizontal="right" vertical="center"/>
    </xf>
    <xf numFmtId="0" fontId="0" fillId="2" borderId="47" xfId="0" applyFill="1" applyBorder="1" applyAlignment="1">
      <alignment horizontal="center"/>
    </xf>
    <xf numFmtId="0" fontId="7" fillId="2" borderId="47" xfId="0" applyFont="1" applyFill="1" applyBorder="1" applyAlignment="1">
      <alignment horizontal="left" vertical="center"/>
    </xf>
    <xf numFmtId="0" fontId="0" fillId="3" borderId="0" xfId="0" applyFill="1"/>
    <xf numFmtId="0" fontId="0" fillId="3" borderId="2" xfId="0" applyFill="1" applyBorder="1" applyProtection="1">
      <protection locked="0"/>
    </xf>
    <xf numFmtId="0" fontId="0" fillId="3" borderId="4" xfId="0" applyFill="1" applyBorder="1" applyAlignment="1" applyProtection="1">
      <alignment horizontal="left"/>
      <protection locked="0"/>
    </xf>
    <xf numFmtId="0" fontId="0" fillId="3" borderId="3" xfId="0" applyFill="1" applyBorder="1" applyProtection="1">
      <protection locked="0"/>
    </xf>
    <xf numFmtId="0" fontId="0" fillId="3" borderId="3" xfId="0" applyFill="1" applyBorder="1" applyAlignment="1" applyProtection="1">
      <alignment horizontal="left" vertical="center"/>
      <protection locked="0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 applyProtection="1">
      <alignment horizontal="right"/>
      <protection locked="0"/>
    </xf>
    <xf numFmtId="0" fontId="6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/>
    </xf>
    <xf numFmtId="0" fontId="9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12" xfId="0" applyFill="1" applyBorder="1" applyAlignment="1" applyProtection="1">
      <alignment horizontal="right"/>
      <protection locked="0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0" xfId="0" applyFont="1" applyFill="1" applyAlignment="1">
      <alignment horizontal="right" vertical="center"/>
    </xf>
    <xf numFmtId="0" fontId="23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right" vertical="center"/>
    </xf>
    <xf numFmtId="0" fontId="7" fillId="2" borderId="10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0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46" xfId="0" applyFont="1" applyFill="1" applyBorder="1" applyAlignment="1">
      <alignment horizontal="center" vertical="center"/>
    </xf>
    <xf numFmtId="0" fontId="17" fillId="2" borderId="4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right" vertical="center"/>
    </xf>
    <xf numFmtId="0" fontId="19" fillId="2" borderId="0" xfId="0" applyFont="1" applyFill="1" applyAlignment="1">
      <alignment horizontal="left" vertical="top"/>
    </xf>
    <xf numFmtId="0" fontId="0" fillId="2" borderId="7" xfId="0" quotePrefix="1" applyFill="1" applyBorder="1" applyAlignment="1">
      <alignment horizontal="center"/>
    </xf>
    <xf numFmtId="0" fontId="0" fillId="2" borderId="0" xfId="0" quotePrefix="1" applyFill="1" applyAlignment="1">
      <alignment horizontal="center"/>
    </xf>
    <xf numFmtId="0" fontId="0" fillId="2" borderId="8" xfId="0" quotePrefix="1" applyFill="1" applyBorder="1" applyAlignment="1">
      <alignment horizontal="center"/>
    </xf>
    <xf numFmtId="0" fontId="17" fillId="2" borderId="48" xfId="0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49" fontId="0" fillId="3" borderId="4" xfId="0" applyNumberFormat="1" applyFill="1" applyBorder="1" applyAlignment="1" applyProtection="1">
      <alignment horizontal="center"/>
      <protection locked="0"/>
    </xf>
    <xf numFmtId="49" fontId="0" fillId="3" borderId="9" xfId="0" applyNumberFormat="1" applyFill="1" applyBorder="1" applyAlignment="1" applyProtection="1">
      <alignment horizontal="center"/>
      <protection locked="0"/>
    </xf>
    <xf numFmtId="49" fontId="0" fillId="3" borderId="3" xfId="0" applyNumberFormat="1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49" fontId="0" fillId="3" borderId="2" xfId="0" applyNumberFormat="1" applyFill="1" applyBorder="1" applyAlignment="1" applyProtection="1">
      <alignment horizontal="center"/>
      <protection locked="0"/>
    </xf>
    <xf numFmtId="0" fontId="0" fillId="2" borderId="48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8" fillId="3" borderId="3" xfId="0" applyFont="1" applyFill="1" applyBorder="1" applyAlignment="1" applyProtection="1">
      <alignment horizontal="left"/>
      <protection locked="0"/>
    </xf>
    <xf numFmtId="0" fontId="18" fillId="3" borderId="4" xfId="0" applyFont="1" applyFill="1" applyBorder="1" applyAlignment="1" applyProtection="1">
      <alignment horizontal="left"/>
      <protection locked="0"/>
    </xf>
    <xf numFmtId="0" fontId="21" fillId="2" borderId="11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6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5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8" fillId="2" borderId="5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49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3" fillId="2" borderId="1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19" fillId="2" borderId="3" xfId="0" applyFont="1" applyFill="1" applyBorder="1" applyAlignment="1">
      <alignment horizontal="left"/>
    </xf>
    <xf numFmtId="0" fontId="24" fillId="2" borderId="3" xfId="0" applyFont="1" applyFill="1" applyBorder="1" applyAlignment="1">
      <alignment horizontal="center"/>
    </xf>
    <xf numFmtId="0" fontId="19" fillId="3" borderId="3" xfId="0" applyFont="1" applyFill="1" applyBorder="1" applyAlignment="1" applyProtection="1">
      <alignment horizontal="center"/>
      <protection locked="0"/>
    </xf>
    <xf numFmtId="0" fontId="19" fillId="3" borderId="12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46" xfId="0" applyFill="1" applyBorder="1" applyAlignment="1">
      <alignment horizontal="left" vertical="center"/>
    </xf>
    <xf numFmtId="0" fontId="0" fillId="2" borderId="47" xfId="0" applyFill="1" applyBorder="1" applyAlignment="1">
      <alignment horizontal="left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47" xfId="0" applyNumberForma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19" fillId="3" borderId="3" xfId="0" applyFont="1" applyFill="1" applyBorder="1" applyAlignment="1" applyProtection="1">
      <alignment horizontal="left"/>
      <protection locked="0"/>
    </xf>
    <xf numFmtId="0" fontId="5" fillId="2" borderId="12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</cellXfs>
  <cellStyles count="1">
    <cellStyle name="Normal" xfId="0" builtinId="0"/>
  </cellStyles>
  <dxfs count="30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175260</xdr:rowOff>
    </xdr:from>
    <xdr:to>
      <xdr:col>9</xdr:col>
      <xdr:colOff>160020</xdr:colOff>
      <xdr:row>6</xdr:row>
      <xdr:rowOff>7620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29D9C692-FFE1-4C0B-996E-E95EA9EDCCFC}"/>
            </a:ext>
          </a:extLst>
        </xdr:cNvPr>
        <xdr:cNvSpPr/>
      </xdr:nvSpPr>
      <xdr:spPr>
        <a:xfrm>
          <a:off x="1539240" y="175260"/>
          <a:ext cx="998220" cy="96012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/>
  </xdr:twoCellAnchor>
  <xdr:twoCellAnchor>
    <xdr:from>
      <xdr:col>8</xdr:col>
      <xdr:colOff>251460</xdr:colOff>
      <xdr:row>0</xdr:row>
      <xdr:rowOff>190500</xdr:rowOff>
    </xdr:from>
    <xdr:to>
      <xdr:col>12</xdr:col>
      <xdr:colOff>60960</xdr:colOff>
      <xdr:row>6</xdr:row>
      <xdr:rowOff>22860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FD6603F5-B957-45BF-9BC3-CB3E34334FC7}"/>
            </a:ext>
          </a:extLst>
        </xdr:cNvPr>
        <xdr:cNvSpPr/>
      </xdr:nvSpPr>
      <xdr:spPr>
        <a:xfrm>
          <a:off x="2331720" y="190500"/>
          <a:ext cx="998220" cy="96012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/>
  </xdr:twoCellAnchor>
  <xdr:twoCellAnchor>
    <xdr:from>
      <xdr:col>6</xdr:col>
      <xdr:colOff>190500</xdr:colOff>
      <xdr:row>1</xdr:row>
      <xdr:rowOff>99060</xdr:rowOff>
    </xdr:from>
    <xdr:to>
      <xdr:col>8</xdr:col>
      <xdr:colOff>274320</xdr:colOff>
      <xdr:row>4</xdr:row>
      <xdr:rowOff>114300</xdr:rowOff>
    </xdr:to>
    <xdr:sp macro="" textlink="">
      <xdr:nvSpPr>
        <xdr:cNvPr id="3" name="Ligebenet trekant 2">
          <a:extLst>
            <a:ext uri="{FF2B5EF4-FFF2-40B4-BE49-F238E27FC236}">
              <a16:creationId xmlns:a16="http://schemas.microsoft.com/office/drawing/2014/main" id="{17DE5E83-78B6-41C3-BD69-8768FC359D1A}"/>
            </a:ext>
          </a:extLst>
        </xdr:cNvPr>
        <xdr:cNvSpPr/>
      </xdr:nvSpPr>
      <xdr:spPr>
        <a:xfrm>
          <a:off x="1676400" y="297180"/>
          <a:ext cx="678180" cy="57912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/>
  </xdr:twoCellAnchor>
  <xdr:twoCellAnchor>
    <xdr:from>
      <xdr:col>10</xdr:col>
      <xdr:colOff>170278</xdr:colOff>
      <xdr:row>1</xdr:row>
      <xdr:rowOff>31066</xdr:rowOff>
    </xdr:from>
    <xdr:to>
      <xdr:col>10</xdr:col>
      <xdr:colOff>174088</xdr:colOff>
      <xdr:row>3</xdr:row>
      <xdr:rowOff>47478</xdr:rowOff>
    </xdr:to>
    <xdr:cxnSp macro="">
      <xdr:nvCxnSpPr>
        <xdr:cNvPr id="8" name="Lige forbindelse 7">
          <a:extLst>
            <a:ext uri="{FF2B5EF4-FFF2-40B4-BE49-F238E27FC236}">
              <a16:creationId xmlns:a16="http://schemas.microsoft.com/office/drawing/2014/main" id="{53F92008-0ABF-402B-AA52-795597C94E03}"/>
            </a:ext>
          </a:extLst>
        </xdr:cNvPr>
        <xdr:cNvCxnSpPr/>
      </xdr:nvCxnSpPr>
      <xdr:spPr>
        <a:xfrm>
          <a:off x="2850173" y="230358"/>
          <a:ext cx="3810" cy="3985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159434</xdr:colOff>
      <xdr:row>3</xdr:row>
      <xdr:rowOff>42790</xdr:rowOff>
    </xdr:from>
    <xdr:to>
      <xdr:col>10</xdr:col>
      <xdr:colOff>177018</xdr:colOff>
      <xdr:row>4</xdr:row>
      <xdr:rowOff>174569</xdr:rowOff>
    </xdr:to>
    <xdr:cxnSp macro="">
      <xdr:nvCxnSpPr>
        <xdr:cNvPr id="10" name="Lige forbindelse 9">
          <a:extLst>
            <a:ext uri="{FF2B5EF4-FFF2-40B4-BE49-F238E27FC236}">
              <a16:creationId xmlns:a16="http://schemas.microsoft.com/office/drawing/2014/main" id="{756882AB-FA43-411B-8A62-9293356D061C}"/>
            </a:ext>
          </a:extLst>
        </xdr:cNvPr>
        <xdr:cNvCxnSpPr/>
      </xdr:nvCxnSpPr>
      <xdr:spPr>
        <a:xfrm flipH="1">
          <a:off x="2541563" y="624255"/>
          <a:ext cx="315350" cy="31465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173502</xdr:colOff>
      <xdr:row>3</xdr:row>
      <xdr:rowOff>45133</xdr:rowOff>
    </xdr:from>
    <xdr:to>
      <xdr:col>11</xdr:col>
      <xdr:colOff>199509</xdr:colOff>
      <xdr:row>5</xdr:row>
      <xdr:rowOff>2344</xdr:rowOff>
    </xdr:to>
    <xdr:cxnSp macro="">
      <xdr:nvCxnSpPr>
        <xdr:cNvPr id="12" name="Lige forbindelse 11">
          <a:extLst>
            <a:ext uri="{FF2B5EF4-FFF2-40B4-BE49-F238E27FC236}">
              <a16:creationId xmlns:a16="http://schemas.microsoft.com/office/drawing/2014/main" id="{0571D17E-EC60-4D4C-A90A-BC6ABE159A96}"/>
            </a:ext>
          </a:extLst>
        </xdr:cNvPr>
        <xdr:cNvCxnSpPr/>
      </xdr:nvCxnSpPr>
      <xdr:spPr>
        <a:xfrm>
          <a:off x="2853397" y="626598"/>
          <a:ext cx="323774" cy="32297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</xdr:colOff>
      <xdr:row>3</xdr:row>
      <xdr:rowOff>91440</xdr:rowOff>
    </xdr:from>
    <xdr:to>
      <xdr:col>18</xdr:col>
      <xdr:colOff>106680</xdr:colOff>
      <xdr:row>3</xdr:row>
      <xdr:rowOff>91440</xdr:rowOff>
    </xdr:to>
    <xdr:cxnSp macro="">
      <xdr:nvCxnSpPr>
        <xdr:cNvPr id="16" name="Lige forbindelse 15">
          <a:extLst>
            <a:ext uri="{FF2B5EF4-FFF2-40B4-BE49-F238E27FC236}">
              <a16:creationId xmlns:a16="http://schemas.microsoft.com/office/drawing/2014/main" id="{77A0B5C5-77AE-480C-9393-81AAE99E0B87}"/>
            </a:ext>
          </a:extLst>
        </xdr:cNvPr>
        <xdr:cNvCxnSpPr>
          <a:endCxn id="7" idx="6"/>
        </xdr:cNvCxnSpPr>
      </xdr:nvCxnSpPr>
      <xdr:spPr>
        <a:xfrm flipH="1">
          <a:off x="3329940" y="670560"/>
          <a:ext cx="18288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160020</xdr:colOff>
      <xdr:row>3</xdr:row>
      <xdr:rowOff>76200</xdr:rowOff>
    </xdr:from>
    <xdr:to>
      <xdr:col>6</xdr:col>
      <xdr:colOff>53340</xdr:colOff>
      <xdr:row>3</xdr:row>
      <xdr:rowOff>76200</xdr:rowOff>
    </xdr:to>
    <xdr:cxnSp macro="">
      <xdr:nvCxnSpPr>
        <xdr:cNvPr id="20" name="Lige forbindelse 19">
          <a:extLst>
            <a:ext uri="{FF2B5EF4-FFF2-40B4-BE49-F238E27FC236}">
              <a16:creationId xmlns:a16="http://schemas.microsoft.com/office/drawing/2014/main" id="{A41D4865-F25A-4D12-B890-2C568549D221}"/>
            </a:ext>
          </a:extLst>
        </xdr:cNvPr>
        <xdr:cNvCxnSpPr>
          <a:stCxn id="2" idx="2"/>
        </xdr:cNvCxnSpPr>
      </xdr:nvCxnSpPr>
      <xdr:spPr>
        <a:xfrm flipH="1">
          <a:off x="160020" y="655320"/>
          <a:ext cx="137922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114593</xdr:colOff>
      <xdr:row>1</xdr:row>
      <xdr:rowOff>169398</xdr:rowOff>
    </xdr:from>
    <xdr:to>
      <xdr:col>18</xdr:col>
      <xdr:colOff>121920</xdr:colOff>
      <xdr:row>4</xdr:row>
      <xdr:rowOff>167640</xdr:rowOff>
    </xdr:to>
    <xdr:cxnSp macro="">
      <xdr:nvCxnSpPr>
        <xdr:cNvPr id="26" name="Lige forbindelse 25">
          <a:extLst>
            <a:ext uri="{FF2B5EF4-FFF2-40B4-BE49-F238E27FC236}">
              <a16:creationId xmlns:a16="http://schemas.microsoft.com/office/drawing/2014/main" id="{905D86B2-4490-45FD-A0BC-239261E9E43E}"/>
            </a:ext>
          </a:extLst>
        </xdr:cNvPr>
        <xdr:cNvCxnSpPr/>
      </xdr:nvCxnSpPr>
      <xdr:spPr>
        <a:xfrm>
          <a:off x="5166653" y="367518"/>
          <a:ext cx="7327" cy="56212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85510d3cb9ba4273/Dokumenter/Mikkel%20skole/Excel%20hj&#230;pev&#230;rkt&#248;jer/Kabelimpedanser%20udregn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belmodstand"/>
      <sheetName val="Ark1"/>
      <sheetName val="Ikmin og Ikmax"/>
    </sheetNames>
    <sheetDataSet>
      <sheetData sheetId="0">
        <row r="4">
          <cell r="AC4">
            <v>1</v>
          </cell>
          <cell r="AE4" t="str">
            <v>1x</v>
          </cell>
          <cell r="AF4" t="str">
            <v>NOIK</v>
          </cell>
        </row>
        <row r="5">
          <cell r="AC5">
            <v>2</v>
          </cell>
          <cell r="AE5" t="str">
            <v>2x</v>
          </cell>
          <cell r="AF5" t="str">
            <v>NOIKLX</v>
          </cell>
        </row>
        <row r="6">
          <cell r="AC6">
            <v>3</v>
          </cell>
          <cell r="AE6" t="str">
            <v>3x</v>
          </cell>
          <cell r="AF6" t="str">
            <v>Gummi- og plast</v>
          </cell>
        </row>
        <row r="7">
          <cell r="AC7">
            <v>4</v>
          </cell>
          <cell r="AE7" t="str">
            <v>4x</v>
          </cell>
          <cell r="AF7" t="str">
            <v>NOIKLX reduceret PE</v>
          </cell>
        </row>
        <row r="8">
          <cell r="AC8">
            <v>5</v>
          </cell>
          <cell r="AE8" t="str">
            <v>5x</v>
          </cell>
          <cell r="AF8" t="str">
            <v>Armeret</v>
          </cell>
        </row>
        <row r="9">
          <cell r="AC9">
            <v>6</v>
          </cell>
        </row>
        <row r="10">
          <cell r="AC10">
            <v>7</v>
          </cell>
        </row>
        <row r="11">
          <cell r="AC11">
            <v>8</v>
          </cell>
        </row>
        <row r="12">
          <cell r="AC12">
            <v>9</v>
          </cell>
        </row>
        <row r="13">
          <cell r="AC13">
            <v>10</v>
          </cell>
        </row>
        <row r="66">
          <cell r="AR66">
            <v>0.75</v>
          </cell>
        </row>
        <row r="67">
          <cell r="AR67">
            <v>1</v>
          </cell>
        </row>
        <row r="68">
          <cell r="AR68">
            <v>1.5</v>
          </cell>
        </row>
        <row r="69">
          <cell r="AR69">
            <v>2.5</v>
          </cell>
        </row>
        <row r="70">
          <cell r="AR70">
            <v>4</v>
          </cell>
        </row>
        <row r="71">
          <cell r="AR71">
            <v>6</v>
          </cell>
        </row>
        <row r="72">
          <cell r="AR72">
            <v>10</v>
          </cell>
        </row>
        <row r="73">
          <cell r="AR73">
            <v>16</v>
          </cell>
        </row>
        <row r="74">
          <cell r="AR74">
            <v>25</v>
          </cell>
        </row>
        <row r="75">
          <cell r="AR75">
            <v>35</v>
          </cell>
        </row>
        <row r="76">
          <cell r="AR76">
            <v>50</v>
          </cell>
        </row>
        <row r="77">
          <cell r="AR77">
            <v>70</v>
          </cell>
        </row>
        <row r="78">
          <cell r="AR78">
            <v>95</v>
          </cell>
        </row>
        <row r="79">
          <cell r="AR79">
            <v>120</v>
          </cell>
        </row>
        <row r="80">
          <cell r="AR80">
            <v>150</v>
          </cell>
        </row>
        <row r="81">
          <cell r="AR81">
            <v>185</v>
          </cell>
        </row>
        <row r="82">
          <cell r="AR82">
            <v>240</v>
          </cell>
        </row>
        <row r="83">
          <cell r="AR83">
            <v>300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C117-DAAB-4C38-A00D-461ECB2F5C0A}">
  <dimension ref="A1:AW85"/>
  <sheetViews>
    <sheetView zoomScale="70" zoomScaleNormal="70" workbookViewId="0">
      <selection activeCell="D11" sqref="D11:E11"/>
    </sheetView>
  </sheetViews>
  <sheetFormatPr defaultColWidth="4.140625" defaultRowHeight="15" x14ac:dyDescent="0.25"/>
  <cols>
    <col min="1" max="21" width="4.140625" style="1"/>
    <col min="22" max="23" width="4.140625" style="1" customWidth="1"/>
    <col min="24" max="24" width="9.140625" style="1" hidden="1" customWidth="1"/>
    <col min="25" max="25" width="10.42578125" style="1" hidden="1" customWidth="1"/>
    <col min="26" max="26" width="8.85546875" style="1" hidden="1" customWidth="1"/>
    <col min="27" max="27" width="31.42578125" style="1" hidden="1" customWidth="1"/>
    <col min="28" max="29" width="8.85546875" style="1" hidden="1" customWidth="1"/>
    <col min="30" max="31" width="4.140625" style="1" hidden="1" customWidth="1"/>
    <col min="32" max="32" width="6.85546875" style="1" hidden="1" customWidth="1"/>
    <col min="33" max="33" width="7.85546875" style="1" hidden="1" customWidth="1"/>
    <col min="34" max="34" width="7" style="1" hidden="1" customWidth="1"/>
    <col min="35" max="36" width="6.85546875" style="1" hidden="1" customWidth="1"/>
    <col min="37" max="45" width="4.140625" style="1" hidden="1" customWidth="1"/>
    <col min="46" max="16384" width="4.140625" style="1"/>
  </cols>
  <sheetData>
    <row r="1" spans="2:35" ht="18" x14ac:dyDescent="0.35"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8"/>
      <c r="X1" s="1" t="s">
        <v>0</v>
      </c>
      <c r="Y1" s="1" t="s">
        <v>1</v>
      </c>
      <c r="Z1" s="1" t="s">
        <v>2</v>
      </c>
      <c r="AA1" s="1" t="s">
        <v>3</v>
      </c>
      <c r="AB1" s="1" t="s">
        <v>4</v>
      </c>
      <c r="AH1" s="1" t="s">
        <v>5</v>
      </c>
      <c r="AI1" s="1" t="s">
        <v>6</v>
      </c>
    </row>
    <row r="2" spans="2:35" ht="18" x14ac:dyDescent="0.35"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1"/>
      <c r="X2" s="1">
        <f>IF(B10="R/X",DEGREES(ATAN(1/D10)),DEGREES(ACOS(D10)))</f>
        <v>14.069867747572125</v>
      </c>
      <c r="Y2" s="1">
        <f>COS(AB2)</f>
        <v>0.97</v>
      </c>
      <c r="Z2" s="1">
        <f>SIN(AB2)</f>
        <v>0.24310491562286435</v>
      </c>
      <c r="AA2" s="1">
        <f>TAN(AB2)</f>
        <v>0.25062362435346841</v>
      </c>
      <c r="AB2" s="1">
        <f>RADIANS(X2)</f>
        <v>0.24556551751529199</v>
      </c>
      <c r="AH2" s="1" t="s">
        <v>7</v>
      </c>
      <c r="AI2" s="1" t="s">
        <v>8</v>
      </c>
    </row>
    <row r="3" spans="2:35" x14ac:dyDescent="0.25"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1"/>
      <c r="X3" s="1" t="e">
        <f>DEGREES(ACOS(D19/D18))</f>
        <v>#NUM!</v>
      </c>
      <c r="Y3" s="1" t="e">
        <f>COS(AB3)</f>
        <v>#NUM!</v>
      </c>
      <c r="Z3" s="1" t="e">
        <f>SIN(AB3)</f>
        <v>#NUM!</v>
      </c>
      <c r="AA3" s="1" t="e">
        <f>TAN(AB3)</f>
        <v>#NUM!</v>
      </c>
      <c r="AB3" s="1" t="e">
        <f>RADIANS(X3)</f>
        <v>#NUM!</v>
      </c>
    </row>
    <row r="4" spans="2:35" x14ac:dyDescent="0.25">
      <c r="B4" s="39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1"/>
    </row>
    <row r="5" spans="2:35" x14ac:dyDescent="0.25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1"/>
    </row>
    <row r="6" spans="2:35" x14ac:dyDescent="0.25">
      <c r="B6" s="39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1"/>
    </row>
    <row r="7" spans="2:35" x14ac:dyDescent="0.25">
      <c r="B7" s="10"/>
      <c r="U7" s="6"/>
    </row>
    <row r="8" spans="2:35" ht="18" x14ac:dyDescent="0.35">
      <c r="B8" s="110" t="s">
        <v>9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2"/>
    </row>
    <row r="9" spans="2:35" ht="18" x14ac:dyDescent="0.35">
      <c r="B9" s="113" t="s">
        <v>10</v>
      </c>
      <c r="C9" s="114"/>
      <c r="D9" s="119">
        <v>100</v>
      </c>
      <c r="E9" s="119"/>
      <c r="F9" s="1" t="s">
        <v>11</v>
      </c>
      <c r="U9" s="6"/>
    </row>
    <row r="10" spans="2:35" x14ac:dyDescent="0.25">
      <c r="B10" s="115" t="s">
        <v>8</v>
      </c>
      <c r="C10" s="116"/>
      <c r="D10" s="119">
        <v>0.97</v>
      </c>
      <c r="E10" s="119"/>
      <c r="U10" s="6"/>
    </row>
    <row r="11" spans="2:35" ht="18" x14ac:dyDescent="0.35">
      <c r="B11" s="113" t="s">
        <v>12</v>
      </c>
      <c r="C11" s="114"/>
      <c r="D11" s="119">
        <v>400</v>
      </c>
      <c r="E11" s="119"/>
      <c r="F11" s="1" t="s">
        <v>13</v>
      </c>
      <c r="U11" s="6"/>
    </row>
    <row r="12" spans="2:35" x14ac:dyDescent="0.25">
      <c r="B12" s="10"/>
      <c r="U12" s="6"/>
    </row>
    <row r="13" spans="2:35" ht="18.75" thickBot="1" x14ac:dyDescent="0.4">
      <c r="B13" s="117" t="s">
        <v>14</v>
      </c>
      <c r="C13" s="118"/>
      <c r="D13" s="122" t="s">
        <v>15</v>
      </c>
      <c r="E13" s="122"/>
      <c r="F13" s="122"/>
      <c r="G13" s="122"/>
      <c r="H13" s="122"/>
      <c r="I13" s="118" t="s">
        <v>16</v>
      </c>
      <c r="J13" s="122" t="str">
        <f>D11&amp;"²"</f>
        <v>400²</v>
      </c>
      <c r="K13" s="122"/>
      <c r="L13" s="122"/>
      <c r="M13" s="122"/>
      <c r="N13" s="122"/>
      <c r="O13" s="122"/>
      <c r="P13" s="122"/>
      <c r="Q13" s="118" t="s">
        <v>17</v>
      </c>
      <c r="R13" s="123" t="str">
        <f>"("&amp;AB14&amp;"°) Ω"</f>
        <v>(0,0016 ∠14,07°) Ω</v>
      </c>
      <c r="S13" s="123"/>
      <c r="T13" s="123"/>
      <c r="U13" s="124"/>
      <c r="X13" s="1" t="s">
        <v>18</v>
      </c>
      <c r="Y13" s="1" t="s">
        <v>19</v>
      </c>
      <c r="Z13" s="1" t="s">
        <v>20</v>
      </c>
      <c r="AA13" s="1" t="s">
        <v>21</v>
      </c>
      <c r="AB13" s="1" t="s">
        <v>22</v>
      </c>
    </row>
    <row r="14" spans="2:35" ht="18" x14ac:dyDescent="0.35">
      <c r="B14" s="117"/>
      <c r="C14" s="118"/>
      <c r="D14" s="126" t="s">
        <v>23</v>
      </c>
      <c r="E14" s="126"/>
      <c r="F14" s="125" t="str">
        <f>IF(B10="R/X","∠-tan¯¹(1/RX))","∠-cos¯¹(ϕ))")</f>
        <v>∠-cos¯¹(ϕ))</v>
      </c>
      <c r="G14" s="125"/>
      <c r="H14" s="125"/>
      <c r="I14" s="118"/>
      <c r="J14" s="114" t="str">
        <f>"(("&amp;D9&amp;"·10⁶)"&amp;IF(B10="R/X","∠-tan¯¹(1/"&amp;D10&amp;"))","∠-cos¯¹("&amp;D10&amp;"))")</f>
        <v>((100·10⁶)∠-cos¯¹(0,97))</v>
      </c>
      <c r="K14" s="114"/>
      <c r="L14" s="114"/>
      <c r="M14" s="114"/>
      <c r="N14" s="114"/>
      <c r="O14" s="114"/>
      <c r="P14" s="114"/>
      <c r="Q14" s="118"/>
      <c r="R14" s="123"/>
      <c r="S14" s="123"/>
      <c r="T14" s="123"/>
      <c r="U14" s="124"/>
      <c r="X14" s="1">
        <f>Z14*Y2</f>
        <v>1.552E-3</v>
      </c>
      <c r="Y14" s="1">
        <f>Z14*Z2</f>
        <v>3.8896786499658298E-4</v>
      </c>
      <c r="Z14" s="1">
        <f>D11^2/(D9*10^6)</f>
        <v>1.6000000000000001E-3</v>
      </c>
      <c r="AA14" s="1" t="str">
        <f>COMPLEX(X14,Y14,)</f>
        <v>0,001552+0,000388967864996583i</v>
      </c>
      <c r="AB14" s="1" t="str">
        <f>ROUND(IMABS(COMPLEX(X14,Y14,"j")),4)&amp;" ∠"&amp;ROUND(DEGREES(IMARGUMENT(COMPLEX(X14,Y14,"j"))),2)</f>
        <v>0,0016 ∠14,07</v>
      </c>
    </row>
    <row r="15" spans="2:35" x14ac:dyDescent="0.25">
      <c r="B15" s="10"/>
      <c r="U15" s="6"/>
    </row>
    <row r="16" spans="2:35" ht="18" x14ac:dyDescent="0.35">
      <c r="B16" s="110" t="s">
        <v>24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2"/>
    </row>
    <row r="17" spans="2:29" ht="18" x14ac:dyDescent="0.35">
      <c r="B17" s="141" t="s">
        <v>25</v>
      </c>
      <c r="C17" s="142"/>
      <c r="D17" s="140">
        <v>500</v>
      </c>
      <c r="E17" s="140"/>
      <c r="F17" s="19" t="s">
        <v>26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5"/>
    </row>
    <row r="18" spans="2:29" x14ac:dyDescent="0.25">
      <c r="B18" s="113" t="s">
        <v>27</v>
      </c>
      <c r="C18" s="114"/>
      <c r="D18" s="119">
        <v>4</v>
      </c>
      <c r="E18" s="119"/>
      <c r="F18" s="1" t="s">
        <v>28</v>
      </c>
      <c r="U18" s="6"/>
    </row>
    <row r="19" spans="2:29" x14ac:dyDescent="0.25">
      <c r="B19" s="115" t="s">
        <v>29</v>
      </c>
      <c r="C19" s="116"/>
      <c r="D19" s="119">
        <v>5300</v>
      </c>
      <c r="E19" s="119"/>
      <c r="F19" s="1" t="str">
        <f>IF(B19="er","%","W")</f>
        <v>W</v>
      </c>
      <c r="U19" s="6"/>
    </row>
    <row r="20" spans="2:29" ht="18" x14ac:dyDescent="0.35">
      <c r="B20" s="113" t="s">
        <v>30</v>
      </c>
      <c r="C20" s="114"/>
      <c r="D20" s="119">
        <v>400</v>
      </c>
      <c r="E20" s="119"/>
      <c r="F20" s="1" t="s">
        <v>13</v>
      </c>
      <c r="U20" s="6"/>
    </row>
    <row r="21" spans="2:29" x14ac:dyDescent="0.25">
      <c r="B21" s="10"/>
      <c r="U21" s="6"/>
    </row>
    <row r="22" spans="2:29" ht="14.45" customHeight="1" thickBot="1" x14ac:dyDescent="0.4">
      <c r="B22" s="117" t="s">
        <v>31</v>
      </c>
      <c r="C22" s="118"/>
      <c r="D22" s="122" t="s">
        <v>32</v>
      </c>
      <c r="E22" s="122"/>
      <c r="F22" s="122"/>
      <c r="G22" s="122"/>
      <c r="H22" s="122"/>
      <c r="I22" s="118" t="s">
        <v>16</v>
      </c>
      <c r="J22" s="122" t="str">
        <f>IF(B19="er",D18&amp;" · "&amp;D20&amp;"²","")</f>
        <v/>
      </c>
      <c r="K22" s="122"/>
      <c r="L22" s="122"/>
      <c r="M22" s="122"/>
      <c r="N22" s="122"/>
      <c r="O22" s="122"/>
      <c r="P22" s="122"/>
      <c r="Q22" s="118" t="s">
        <v>17</v>
      </c>
      <c r="R22" s="123" t="str">
        <f>IF(B19="er","("&amp;AB23&amp;"°) Ω","")</f>
        <v/>
      </c>
      <c r="S22" s="123"/>
      <c r="T22" s="123"/>
      <c r="U22" s="124"/>
      <c r="X22" s="1" t="s">
        <v>18</v>
      </c>
      <c r="Y22" s="1" t="s">
        <v>19</v>
      </c>
      <c r="Z22" s="1" t="s">
        <v>20</v>
      </c>
      <c r="AA22" s="1" t="s">
        <v>33</v>
      </c>
      <c r="AB22" s="1" t="s">
        <v>22</v>
      </c>
    </row>
    <row r="23" spans="2:29" ht="18" x14ac:dyDescent="0.35">
      <c r="B23" s="117"/>
      <c r="C23" s="118"/>
      <c r="D23" s="114" t="s">
        <v>34</v>
      </c>
      <c r="E23" s="114"/>
      <c r="F23" s="114"/>
      <c r="G23" s="114"/>
      <c r="H23" s="114"/>
      <c r="I23" s="118"/>
      <c r="J23" s="114" t="str">
        <f>IF(B19="er","100 · (("&amp;D17&amp;" · 10³) ∠-cos¯¹("&amp;D19&amp;" /"&amp;D18&amp;"))","")</f>
        <v/>
      </c>
      <c r="K23" s="114"/>
      <c r="L23" s="114"/>
      <c r="M23" s="114"/>
      <c r="N23" s="114"/>
      <c r="O23" s="114"/>
      <c r="P23" s="114"/>
      <c r="Q23" s="118"/>
      <c r="R23" s="123"/>
      <c r="S23" s="123"/>
      <c r="T23" s="123"/>
      <c r="U23" s="124"/>
      <c r="X23" s="1" t="e">
        <f>IF(D19="","",Z23*Y3)</f>
        <v>#NUM!</v>
      </c>
      <c r="Y23" s="1" t="e">
        <f>IF(D19="","",Z23*Z3)</f>
        <v>#NUM!</v>
      </c>
      <c r="Z23" s="1">
        <f>IF(B19="","",D18*D20^2/(100*D17*10^3))</f>
        <v>1.2800000000000001E-2</v>
      </c>
      <c r="AA23" s="1" t="e">
        <f>IF(B19="","",COMPLEX(X23,Y23,))</f>
        <v>#NUM!</v>
      </c>
      <c r="AB23" s="1" t="e">
        <f>IF(B19="","",ROUND(IMABS(COMPLEX(X23,Y23,"j")),4)&amp;" ∠"&amp;ROUND(DEGREES(IMARGUMENT(COMPLEX(X23,Y23,"j"))),2))</f>
        <v>#NUM!</v>
      </c>
    </row>
    <row r="24" spans="2:29" x14ac:dyDescent="0.25">
      <c r="B24" s="10"/>
      <c r="U24" s="6"/>
    </row>
    <row r="25" spans="2:29" x14ac:dyDescent="0.25">
      <c r="B25" s="10"/>
      <c r="U25" s="6"/>
    </row>
    <row r="26" spans="2:29" ht="15.75" thickBot="1" x14ac:dyDescent="0.3">
      <c r="B26" s="138" t="s">
        <v>35</v>
      </c>
      <c r="C26" s="139"/>
      <c r="D26" s="122" t="s">
        <v>36</v>
      </c>
      <c r="E26" s="122"/>
      <c r="F26" s="122"/>
      <c r="G26" s="122"/>
      <c r="H26" s="122"/>
      <c r="I26" s="118" t="s">
        <v>16</v>
      </c>
      <c r="J26" s="122" t="str">
        <f>IF(B19="er","",D18&amp;" · "&amp;D20&amp;"²")</f>
        <v>4 · 400²</v>
      </c>
      <c r="K26" s="122"/>
      <c r="L26" s="122"/>
      <c r="M26" s="122"/>
      <c r="N26" s="122"/>
      <c r="O26" s="122"/>
      <c r="P26" s="122"/>
      <c r="Q26" s="118" t="s">
        <v>17</v>
      </c>
      <c r="R26" s="120" t="str">
        <f>IF(B19="er","",Z27&amp;" Ω")</f>
        <v>0,0128 Ω</v>
      </c>
      <c r="S26" s="120"/>
      <c r="T26" s="120"/>
      <c r="U26" s="121"/>
      <c r="Z26" s="1" t="s">
        <v>20</v>
      </c>
    </row>
    <row r="27" spans="2:29" ht="18" x14ac:dyDescent="0.35">
      <c r="B27" s="138"/>
      <c r="C27" s="139"/>
      <c r="D27" s="114" t="s">
        <v>37</v>
      </c>
      <c r="E27" s="114"/>
      <c r="F27" s="114"/>
      <c r="G27" s="114"/>
      <c r="H27" s="114"/>
      <c r="I27" s="118"/>
      <c r="J27" s="114" t="str">
        <f>IF(B19="er","","100 · ("&amp;D17&amp;" · 10³)")</f>
        <v>100 · (500 · 10³)</v>
      </c>
      <c r="K27" s="114"/>
      <c r="L27" s="114"/>
      <c r="M27" s="114"/>
      <c r="N27" s="114"/>
      <c r="O27" s="114"/>
      <c r="P27" s="114"/>
      <c r="Q27" s="118"/>
      <c r="R27" s="120"/>
      <c r="S27" s="120"/>
      <c r="T27" s="120"/>
      <c r="U27" s="121"/>
      <c r="Z27" s="1">
        <f>IF(B19="er","",ROUND((D18*D20^2)/(100*(D17*10^3)),6))</f>
        <v>1.2800000000000001E-2</v>
      </c>
    </row>
    <row r="28" spans="2:29" x14ac:dyDescent="0.25">
      <c r="B28" s="10"/>
      <c r="U28" s="6"/>
    </row>
    <row r="29" spans="2:29" x14ac:dyDescent="0.25">
      <c r="B29" s="10"/>
      <c r="U29" s="6"/>
    </row>
    <row r="30" spans="2:29" ht="14.45" customHeight="1" thickBot="1" x14ac:dyDescent="0.4">
      <c r="B30" s="117" t="s">
        <v>38</v>
      </c>
      <c r="C30" s="118"/>
      <c r="D30" s="122" t="s">
        <v>39</v>
      </c>
      <c r="E30" s="122"/>
      <c r="F30" s="122"/>
      <c r="G30" s="122"/>
      <c r="H30" s="122"/>
      <c r="I30" s="118" t="s">
        <v>16</v>
      </c>
      <c r="J30" s="122" t="str">
        <f>IF(B19="er","",D19&amp;" · "&amp;D20&amp;"²")</f>
        <v>5300 · 400²</v>
      </c>
      <c r="K30" s="122"/>
      <c r="L30" s="122"/>
      <c r="M30" s="122"/>
      <c r="N30" s="122"/>
      <c r="O30" s="122"/>
      <c r="P30" s="122"/>
      <c r="Q30" s="118" t="s">
        <v>17</v>
      </c>
      <c r="R30" s="120" t="str">
        <f>IF(B19="er","","("&amp;X31&amp;") Ω")</f>
        <v>(0,003392) Ω</v>
      </c>
      <c r="S30" s="120"/>
      <c r="T30" s="120"/>
      <c r="U30" s="121"/>
      <c r="X30" s="1" t="s">
        <v>18</v>
      </c>
    </row>
    <row r="31" spans="2:29" ht="18" x14ac:dyDescent="0.35">
      <c r="B31" s="117"/>
      <c r="C31" s="118"/>
      <c r="D31" s="114" t="s">
        <v>40</v>
      </c>
      <c r="E31" s="114"/>
      <c r="F31" s="114"/>
      <c r="G31" s="114"/>
      <c r="H31" s="114"/>
      <c r="I31" s="118"/>
      <c r="J31" s="114" t="str">
        <f>IF(B19="er","","("&amp;D17&amp;" · 10³)²")</f>
        <v>(500 · 10³)²</v>
      </c>
      <c r="K31" s="114"/>
      <c r="L31" s="114"/>
      <c r="M31" s="114"/>
      <c r="N31" s="114"/>
      <c r="O31" s="114"/>
      <c r="P31" s="114"/>
      <c r="Q31" s="118"/>
      <c r="R31" s="120"/>
      <c r="S31" s="120"/>
      <c r="T31" s="120"/>
      <c r="U31" s="121"/>
      <c r="X31" s="3">
        <f>ROUND((D19*D20^2)/((D17*10^3)^2),6)</f>
        <v>3.392E-3</v>
      </c>
    </row>
    <row r="32" spans="2:29" x14ac:dyDescent="0.25">
      <c r="B32" s="100"/>
      <c r="U32" s="6"/>
      <c r="AB32" s="1" t="s">
        <v>41</v>
      </c>
      <c r="AC32" t="s">
        <v>42</v>
      </c>
    </row>
    <row r="33" spans="2:30" x14ac:dyDescent="0.25">
      <c r="B33" s="100"/>
      <c r="U33" s="6"/>
      <c r="AB33" s="1">
        <f>DEGREES(ACOS(AC33))</f>
        <v>74.633047202222286</v>
      </c>
      <c r="AC33">
        <f>(D19*100)/(D18*(D17*10^3))</f>
        <v>0.26500000000000001</v>
      </c>
    </row>
    <row r="34" spans="2:30" ht="14.45" customHeight="1" thickBot="1" x14ac:dyDescent="0.4">
      <c r="B34" s="117" t="s">
        <v>43</v>
      </c>
      <c r="C34" s="118"/>
      <c r="D34" s="122" t="s">
        <v>44</v>
      </c>
      <c r="E34" s="122"/>
      <c r="F34" s="122"/>
      <c r="G34" s="122"/>
      <c r="H34" s="122"/>
      <c r="I34" s="118" t="s">
        <v>16</v>
      </c>
      <c r="J34" s="122" t="str">
        <f>IF(B19="er","",D19&amp;" · 100")</f>
        <v>5300 · 100</v>
      </c>
      <c r="K34" s="122"/>
      <c r="L34" s="122"/>
      <c r="M34" s="122"/>
      <c r="N34" s="122"/>
      <c r="O34" s="122"/>
      <c r="P34" s="122"/>
      <c r="Q34" s="118" t="s">
        <v>17</v>
      </c>
      <c r="R34" s="120" t="str">
        <f>IF(B19="er","","("&amp;ROUND(AB33,2)&amp;"°) ")</f>
        <v xml:space="preserve">(74,63°) </v>
      </c>
      <c r="S34" s="120"/>
      <c r="T34" s="120"/>
      <c r="U34" s="121"/>
      <c r="Y34" s="1" t="s">
        <v>19</v>
      </c>
    </row>
    <row r="35" spans="2:30" ht="14.45" customHeight="1" x14ac:dyDescent="0.35">
      <c r="B35" s="117"/>
      <c r="C35" s="118"/>
      <c r="D35" s="114" t="s">
        <v>45</v>
      </c>
      <c r="E35" s="114"/>
      <c r="F35" s="114"/>
      <c r="G35" s="114"/>
      <c r="H35" s="114"/>
      <c r="I35" s="118"/>
      <c r="J35" s="114" t="str">
        <f>IF(B19="er","",D18&amp;" · ("&amp;D17&amp;" ·10³)")</f>
        <v>4 · (500 ·10³)</v>
      </c>
      <c r="K35" s="114"/>
      <c r="L35" s="114"/>
      <c r="M35" s="114"/>
      <c r="N35" s="114"/>
      <c r="O35" s="114"/>
      <c r="P35" s="114"/>
      <c r="Q35" s="118"/>
      <c r="R35" s="120"/>
      <c r="S35" s="120"/>
      <c r="T35" s="120"/>
      <c r="U35" s="121"/>
      <c r="Y35" s="1">
        <f>ROUND(SQRT(Z27^2-X31^2),6)</f>
        <v>1.2342000000000001E-2</v>
      </c>
    </row>
    <row r="36" spans="2:30" ht="14.1" customHeight="1" x14ac:dyDescent="0.25">
      <c r="B36" s="100"/>
      <c r="D36" s="2"/>
      <c r="E36" s="2"/>
      <c r="U36" s="6"/>
    </row>
    <row r="37" spans="2:30" x14ac:dyDescent="0.25">
      <c r="B37" s="100"/>
      <c r="U37" s="6"/>
    </row>
    <row r="38" spans="2:30" ht="14.45" customHeight="1" x14ac:dyDescent="0.25">
      <c r="B38" s="117" t="s">
        <v>31</v>
      </c>
      <c r="C38" s="118"/>
      <c r="D38" s="118" t="s">
        <v>46</v>
      </c>
      <c r="E38" s="118"/>
      <c r="F38" s="118"/>
      <c r="G38" s="118"/>
      <c r="H38" s="118"/>
      <c r="I38" s="118" t="s">
        <v>16</v>
      </c>
      <c r="J38" s="118" t="str">
        <f>IF(B19="er","","("&amp;AB39&amp;"°)")</f>
        <v>(0,0128 ∠74,63°)</v>
      </c>
      <c r="K38" s="118"/>
      <c r="L38" s="118"/>
      <c r="M38" s="118"/>
      <c r="N38" s="118"/>
      <c r="O38" s="118"/>
      <c r="P38" s="118"/>
      <c r="Q38" s="118" t="s">
        <v>17</v>
      </c>
      <c r="R38" s="123" t="str">
        <f>IF(B19="er","","("&amp;AB39&amp;"°) Ω")</f>
        <v>(0,0128 ∠74,63°) Ω</v>
      </c>
      <c r="S38" s="123"/>
      <c r="T38" s="123"/>
      <c r="U38" s="124"/>
      <c r="X38" s="1" t="s">
        <v>18</v>
      </c>
      <c r="Y38" s="1" t="s">
        <v>19</v>
      </c>
      <c r="Z38" s="1" t="s">
        <v>20</v>
      </c>
      <c r="AA38" s="1" t="s">
        <v>47</v>
      </c>
      <c r="AB38" s="1" t="s">
        <v>22</v>
      </c>
    </row>
    <row r="39" spans="2:30" x14ac:dyDescent="0.25">
      <c r="B39" s="117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23"/>
      <c r="S39" s="123"/>
      <c r="T39" s="123"/>
      <c r="U39" s="124"/>
      <c r="X39" s="3">
        <f>X31</f>
        <v>3.392E-3</v>
      </c>
      <c r="Y39" s="1">
        <f>Y35</f>
        <v>1.2342000000000001E-2</v>
      </c>
      <c r="Z39" s="1">
        <f>Z27</f>
        <v>1.2800000000000001E-2</v>
      </c>
      <c r="AA39" s="1" t="str">
        <f>COMPLEX(X39,Y39,)</f>
        <v>0,003392+0,012342i</v>
      </c>
      <c r="AB39" s="1" t="str">
        <f>ROUND(IMABS(COMPLEX(X39,Y39,"j")),4)&amp;" ∠"&amp;ROUND(DEGREES(IMARGUMENT(COMPLEX(X39,Y39,"j"))),2)</f>
        <v>0,0128 ∠74,63</v>
      </c>
    </row>
    <row r="40" spans="2:30" x14ac:dyDescent="0.25">
      <c r="B40" s="10"/>
      <c r="U40" s="6"/>
    </row>
    <row r="41" spans="2:30" x14ac:dyDescent="0.25">
      <c r="B41" s="10"/>
      <c r="U41" s="6"/>
    </row>
    <row r="42" spans="2:30" x14ac:dyDescent="0.25">
      <c r="B42" s="10"/>
      <c r="U42" s="6"/>
    </row>
    <row r="43" spans="2:30" ht="14.45" customHeight="1" x14ac:dyDescent="0.25">
      <c r="B43" s="138" t="s">
        <v>48</v>
      </c>
      <c r="C43" s="139"/>
      <c r="D43" s="118" t="s">
        <v>49</v>
      </c>
      <c r="E43" s="118"/>
      <c r="F43" s="118"/>
      <c r="G43" s="118"/>
      <c r="H43" s="118"/>
      <c r="I43" s="118" t="s">
        <v>16</v>
      </c>
      <c r="J43" s="118" t="str">
        <f>IF(B19="er","("&amp;AB14&amp;") + ("&amp;AB23&amp;")","("&amp;AB14&amp;") + ("&amp;AB39&amp;")")</f>
        <v>(0,0016 ∠14,07) + (0,0128 ∠74,63)</v>
      </c>
      <c r="K43" s="118"/>
      <c r="L43" s="118"/>
      <c r="M43" s="118"/>
      <c r="N43" s="118"/>
      <c r="O43" s="118"/>
      <c r="P43" s="118"/>
      <c r="Q43" s="118" t="s">
        <v>17</v>
      </c>
      <c r="R43" s="120" t="str">
        <f>"("&amp;AB44&amp;"°) Ω"</f>
        <v>(0,0137 ∠68,78°) Ω</v>
      </c>
      <c r="S43" s="120"/>
      <c r="T43" s="120"/>
      <c r="U43" s="121"/>
      <c r="AA43" s="1" t="s">
        <v>50</v>
      </c>
      <c r="AB43" s="1" t="s">
        <v>22</v>
      </c>
      <c r="AD43" s="1">
        <f>SQRT(3)</f>
        <v>1.7320508075688772</v>
      </c>
    </row>
    <row r="44" spans="2:30" x14ac:dyDescent="0.25">
      <c r="B44" s="138"/>
      <c r="C44" s="139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20"/>
      <c r="S44" s="120"/>
      <c r="T44" s="120"/>
      <c r="U44" s="121"/>
      <c r="X44" s="1">
        <f>IF(B19="er",X14+X23,X14+X39)</f>
        <v>4.9440000000000005E-3</v>
      </c>
      <c r="Y44" s="1">
        <f>IF(B19="er",Y14+Y23,Y14+Y39)</f>
        <v>1.2730967864996584E-2</v>
      </c>
      <c r="Z44" s="1">
        <f>SQRT(X44^2+Y44^2)</f>
        <v>1.3657257366674162E-2</v>
      </c>
      <c r="AA44" s="1" t="str">
        <f>COMPLEX(X44,Y44)</f>
        <v>0,004944+0,0127309678649966i</v>
      </c>
      <c r="AB44" s="1" t="str">
        <f>ROUND(IMABS(COMPLEX(X44,Y44,"j")),4)&amp;" ∠"&amp;ROUND(DEGREES(IMARGUMENT(COMPLEX(X44,Y44,"j"))),2)</f>
        <v>0,0137 ∠68,78</v>
      </c>
    </row>
    <row r="45" spans="2:30" x14ac:dyDescent="0.25">
      <c r="B45" s="10"/>
      <c r="U45" s="6"/>
    </row>
    <row r="46" spans="2:30" ht="18.75" thickBot="1" x14ac:dyDescent="0.4">
      <c r="B46" s="138" t="s">
        <v>51</v>
      </c>
      <c r="C46" s="139"/>
      <c r="D46" s="122" t="s">
        <v>52</v>
      </c>
      <c r="E46" s="122"/>
      <c r="F46" s="122"/>
      <c r="I46" s="118" t="s">
        <v>16</v>
      </c>
      <c r="J46" s="122" t="str">
        <f>IF(B19="er","("&amp;AB14&amp;") + ("&amp;AB23&amp;")","("&amp;AB14&amp;") + ("&amp;AB39&amp;")")</f>
        <v>(0,0016 ∠14,07) + (0,0128 ∠74,63)</v>
      </c>
      <c r="K46" s="122"/>
      <c r="L46" s="122"/>
      <c r="M46" s="122"/>
      <c r="N46" s="122"/>
      <c r="O46" s="122"/>
      <c r="P46" s="122"/>
      <c r="Q46" s="118" t="s">
        <v>17</v>
      </c>
      <c r="R46" s="120" t="str">
        <f>"("&amp;AB46&amp;"°) Ω"</f>
        <v>(0,0158 ∠68,78°) Ω</v>
      </c>
      <c r="S46" s="120"/>
      <c r="T46" s="120"/>
      <c r="U46" s="121"/>
      <c r="X46" s="1">
        <f>X44/(SQRT(3)/2)</f>
        <v>5.7088394617470202E-3</v>
      </c>
      <c r="Y46" s="1">
        <f>Y44/(SQRT(3)/2)</f>
        <v>1.4700455447800506E-2</v>
      </c>
      <c r="Z46" s="1">
        <f>SQRT(X46^2+Y46^2)</f>
        <v>1.5770042434082653E-2</v>
      </c>
      <c r="AA46" s="1" t="str">
        <f>COMPLEX(X46,Y46)</f>
        <v>0,00570883946174702+0,0147004554478005i</v>
      </c>
      <c r="AB46" s="1" t="str">
        <f>ROUND(IMABS(COMPLEX(X46,Y46,"j")),4)&amp;" ∠"&amp;ROUND(DEGREES(IMARGUMENT(COMPLEX(X46,Y46,"j"))),2)</f>
        <v>0,0158 ∠68,78</v>
      </c>
    </row>
    <row r="47" spans="2:30" ht="15.75" thickBot="1" x14ac:dyDescent="0.3">
      <c r="B47" s="138"/>
      <c r="C47" s="139"/>
      <c r="D47" s="152" t="s">
        <v>53</v>
      </c>
      <c r="E47" s="152"/>
      <c r="F47" s="152"/>
      <c r="G47" s="42"/>
      <c r="H47" s="42"/>
      <c r="I47" s="118"/>
      <c r="K47" s="12"/>
      <c r="L47" s="150" t="s">
        <v>54</v>
      </c>
      <c r="M47" s="13" t="s">
        <v>55</v>
      </c>
      <c r="N47" s="148" t="s">
        <v>56</v>
      </c>
      <c r="O47" s="12"/>
      <c r="P47" s="12"/>
      <c r="Q47" s="118"/>
      <c r="R47" s="120"/>
      <c r="S47" s="120"/>
      <c r="T47" s="120"/>
      <c r="U47" s="121"/>
    </row>
    <row r="48" spans="2:30" x14ac:dyDescent="0.25">
      <c r="B48" s="10"/>
      <c r="L48" s="151"/>
      <c r="M48" s="99">
        <v>2</v>
      </c>
      <c r="N48" s="149"/>
      <c r="U48" s="6"/>
    </row>
    <row r="49" spans="1:43" ht="23.25" x14ac:dyDescent="0.25">
      <c r="B49" s="7"/>
      <c r="C49" s="8"/>
      <c r="D49" s="8"/>
      <c r="E49" s="8"/>
      <c r="F49" s="8"/>
      <c r="G49" s="8"/>
      <c r="H49" s="8"/>
      <c r="I49" s="8"/>
      <c r="J49" s="8"/>
      <c r="K49" s="8"/>
      <c r="L49" s="102"/>
      <c r="M49" s="103"/>
      <c r="N49" s="104"/>
      <c r="O49" s="8"/>
      <c r="P49" s="8"/>
      <c r="Q49" s="8"/>
      <c r="R49" s="8"/>
      <c r="S49" s="8"/>
      <c r="T49" s="8"/>
      <c r="U49" s="9"/>
    </row>
    <row r="50" spans="1:43" x14ac:dyDescent="0.25">
      <c r="B50" s="110" t="s">
        <v>57</v>
      </c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2"/>
    </row>
    <row r="51" spans="1:43" x14ac:dyDescent="0.25"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5"/>
    </row>
    <row r="52" spans="1:43" ht="14.45" customHeight="1" thickBot="1" x14ac:dyDescent="0.4">
      <c r="B52" s="136" t="s">
        <v>58</v>
      </c>
      <c r="C52" s="127"/>
      <c r="D52" s="130" t="s">
        <v>59</v>
      </c>
      <c r="E52" s="131"/>
      <c r="F52" s="131"/>
      <c r="G52" s="131"/>
      <c r="H52" s="132"/>
      <c r="I52" s="127" t="s">
        <v>16</v>
      </c>
      <c r="J52" s="130">
        <f>D11</f>
        <v>400</v>
      </c>
      <c r="K52" s="131"/>
      <c r="L52" s="131"/>
      <c r="M52" s="131"/>
      <c r="N52" s="131"/>
      <c r="O52" s="131"/>
      <c r="P52" s="132"/>
      <c r="Q52" s="127" t="s">
        <v>17</v>
      </c>
      <c r="R52" s="128" t="str">
        <f>ROUND(AB53/1000,2)&amp;"kA"</f>
        <v>16,91kA</v>
      </c>
      <c r="S52" s="128"/>
      <c r="T52" s="128"/>
      <c r="U52" s="129"/>
    </row>
    <row r="53" spans="1:43" ht="18" x14ac:dyDescent="0.25">
      <c r="B53" s="136"/>
      <c r="C53" s="127"/>
      <c r="D53" s="136" t="s">
        <v>60</v>
      </c>
      <c r="E53" s="127"/>
      <c r="F53" s="127"/>
      <c r="G53" s="127"/>
      <c r="H53" s="137"/>
      <c r="I53" s="127"/>
      <c r="J53" s="133" t="str">
        <f>"√3 · ("&amp;AB44&amp;")"</f>
        <v>√3 · (0,0137 ∠68,78)</v>
      </c>
      <c r="K53" s="134"/>
      <c r="L53" s="134"/>
      <c r="M53" s="134"/>
      <c r="N53" s="134"/>
      <c r="O53" s="134"/>
      <c r="P53" s="135"/>
      <c r="Q53" s="127"/>
      <c r="R53" s="128"/>
      <c r="S53" s="128"/>
      <c r="T53" s="128"/>
      <c r="U53" s="129"/>
      <c r="AB53" s="1">
        <f>J52/(SQRT(3)*IMABS(AA44))</f>
        <v>16909.698739322288</v>
      </c>
    </row>
    <row r="54" spans="1:43" x14ac:dyDescent="0.25"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5"/>
    </row>
    <row r="55" spans="1:43" x14ac:dyDescent="0.25"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5"/>
    </row>
    <row r="56" spans="1:43" ht="14.45" customHeight="1" thickBot="1" x14ac:dyDescent="0.3">
      <c r="B56" s="136" t="s">
        <v>61</v>
      </c>
      <c r="C56" s="127"/>
      <c r="D56" s="145" t="s">
        <v>62</v>
      </c>
      <c r="E56" s="145"/>
      <c r="F56" s="147" t="s">
        <v>54</v>
      </c>
      <c r="G56" s="11" t="s">
        <v>55</v>
      </c>
      <c r="H56" s="146" t="s">
        <v>56</v>
      </c>
      <c r="I56" s="127" t="s">
        <v>16</v>
      </c>
      <c r="J56" s="127" t="str">
        <f>ROUND(AB53,2)&amp;" · (√3/2)"</f>
        <v>16909,7 · (√3/2)</v>
      </c>
      <c r="K56" s="127"/>
      <c r="L56" s="127"/>
      <c r="M56" s="127"/>
      <c r="N56" s="127"/>
      <c r="O56" s="127"/>
      <c r="P56" s="127"/>
      <c r="Q56" s="127" t="s">
        <v>17</v>
      </c>
      <c r="R56" s="128" t="str">
        <f>ROUND(AB57/1000,2)&amp;"kA"</f>
        <v>14,64kA</v>
      </c>
      <c r="S56" s="128"/>
      <c r="T56" s="128"/>
      <c r="U56" s="129"/>
    </row>
    <row r="57" spans="1:43" x14ac:dyDescent="0.25">
      <c r="B57" s="136"/>
      <c r="C57" s="127"/>
      <c r="D57" s="145"/>
      <c r="E57" s="145"/>
      <c r="F57" s="147"/>
      <c r="G57" s="25">
        <v>2</v>
      </c>
      <c r="H57" s="146"/>
      <c r="I57" s="127"/>
      <c r="J57" s="127"/>
      <c r="K57" s="127"/>
      <c r="L57" s="127"/>
      <c r="M57" s="127"/>
      <c r="N57" s="127"/>
      <c r="O57" s="127"/>
      <c r="P57" s="127"/>
      <c r="Q57" s="127"/>
      <c r="R57" s="128"/>
      <c r="S57" s="128"/>
      <c r="T57" s="128"/>
      <c r="U57" s="129"/>
      <c r="AB57" s="1">
        <f>AB53*(SQRT(3)/2)</f>
        <v>14644.228678594796</v>
      </c>
    </row>
    <row r="58" spans="1:43" x14ac:dyDescent="0.25">
      <c r="B58" s="43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5"/>
    </row>
    <row r="59" spans="1:43" x14ac:dyDescent="0.25"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5"/>
    </row>
    <row r="60" spans="1:43" ht="14.45" customHeight="1" x14ac:dyDescent="0.25">
      <c r="B60" s="136" t="s">
        <v>63</v>
      </c>
      <c r="C60" s="127"/>
      <c r="D60" s="127" t="s">
        <v>64</v>
      </c>
      <c r="E60" s="127"/>
      <c r="F60" s="127"/>
      <c r="G60" s="127"/>
      <c r="H60" s="127"/>
      <c r="I60" s="127" t="s">
        <v>16</v>
      </c>
      <c r="J60" s="127">
        <f>ROUND(AB53,2)</f>
        <v>16909.7</v>
      </c>
      <c r="K60" s="127"/>
      <c r="L60" s="127"/>
      <c r="M60" s="127"/>
      <c r="N60" s="127"/>
      <c r="O60" s="127"/>
      <c r="P60" s="127"/>
      <c r="Q60" s="127" t="s">
        <v>17</v>
      </c>
      <c r="R60" s="128" t="str">
        <f>ROUND(AB53/1000,2)&amp;"kA"</f>
        <v>16,91kA</v>
      </c>
      <c r="S60" s="128"/>
      <c r="T60" s="128"/>
      <c r="U60" s="129"/>
    </row>
    <row r="61" spans="1:43" x14ac:dyDescent="0.25">
      <c r="B61" s="136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8"/>
      <c r="S61" s="128"/>
      <c r="T61" s="128"/>
      <c r="U61" s="129"/>
    </row>
    <row r="62" spans="1:43" x14ac:dyDescent="0.25">
      <c r="B62" s="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9"/>
      <c r="AF62" s="1" t="s">
        <v>65</v>
      </c>
      <c r="AG62" s="1" t="s">
        <v>66</v>
      </c>
      <c r="AH62" s="1" t="s">
        <v>67</v>
      </c>
      <c r="AI62" s="1" t="s">
        <v>68</v>
      </c>
    </row>
    <row r="63" spans="1:43" ht="15.75" thickBot="1" x14ac:dyDescent="0.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>
        <v>35000</v>
      </c>
      <c r="AD63" s="47"/>
      <c r="AE63" s="47"/>
      <c r="AF63" s="47">
        <v>100</v>
      </c>
      <c r="AG63" s="47">
        <v>400</v>
      </c>
      <c r="AH63" s="47">
        <v>1</v>
      </c>
      <c r="AI63" s="47">
        <v>0.95</v>
      </c>
      <c r="AJ63" s="47">
        <f>IF(AC63&lt;AG63,AH63,IF(AND(AC63&gt;=AF64,AC63&lt;AG64),AH64,IF(AND(AC63&gt;=AF65,AC63&lt;AG65),AH65,IF(AC63&gt;=AF66,AH66,))))</f>
        <v>1.1000000000000001</v>
      </c>
      <c r="AK63" s="47">
        <f>IF(AC63&lt;AG63,AI63,IF(AND(AC63&gt;=AF64,AC63&lt;AG64),AI64,IF(AND(AC63&gt;=AF65,AC63&lt;AG65),AI65,IF(AC63&gt;=AF66,AI66,))))</f>
        <v>1</v>
      </c>
      <c r="AL63" s="47"/>
      <c r="AM63" s="47"/>
      <c r="AN63" s="47"/>
      <c r="AO63" s="47"/>
      <c r="AP63" s="47"/>
      <c r="AQ63" s="47"/>
    </row>
    <row r="64" spans="1:43" x14ac:dyDescent="0.2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>
        <v>400</v>
      </c>
      <c r="AG64" s="48">
        <v>1000</v>
      </c>
      <c r="AH64" s="48">
        <v>1.05</v>
      </c>
      <c r="AI64" s="48">
        <v>1</v>
      </c>
      <c r="AJ64" s="48"/>
      <c r="AK64" s="48"/>
      <c r="AL64" s="48"/>
      <c r="AM64" s="48"/>
      <c r="AN64" s="48"/>
      <c r="AO64" s="48"/>
      <c r="AP64" s="48"/>
      <c r="AQ64" s="48"/>
    </row>
    <row r="65" spans="2:49" ht="18" x14ac:dyDescent="0.35">
      <c r="B65" s="110" t="s">
        <v>69</v>
      </c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2"/>
      <c r="W65" s="105" t="s">
        <v>70</v>
      </c>
      <c r="X65" s="105"/>
      <c r="Y65" s="105"/>
      <c r="Z65" s="105"/>
      <c r="AA65" s="105"/>
      <c r="AB65" s="105"/>
      <c r="AC65" s="105"/>
      <c r="AD65" s="105"/>
      <c r="AE65" s="105"/>
      <c r="AF65" s="105">
        <v>1000</v>
      </c>
      <c r="AG65" s="105">
        <v>35000</v>
      </c>
      <c r="AH65" s="105">
        <v>1.1000000000000001</v>
      </c>
      <c r="AI65" s="105">
        <v>1</v>
      </c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</row>
    <row r="66" spans="2:49" x14ac:dyDescent="0.25">
      <c r="B66" s="46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5"/>
      <c r="W66" s="105" t="s">
        <v>71</v>
      </c>
      <c r="X66" s="105"/>
      <c r="Y66" s="105"/>
      <c r="Z66" s="105"/>
      <c r="AA66" s="105"/>
      <c r="AB66" s="105"/>
      <c r="AC66" s="105"/>
      <c r="AD66" s="105"/>
      <c r="AE66" s="105"/>
      <c r="AF66" s="105">
        <v>35000</v>
      </c>
      <c r="AG66" s="105">
        <v>230000</v>
      </c>
      <c r="AH66" s="105">
        <v>1.1000000000000001</v>
      </c>
      <c r="AI66" s="105">
        <v>1</v>
      </c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</row>
    <row r="67" spans="2:49" ht="18" x14ac:dyDescent="0.35">
      <c r="B67" s="113" t="s">
        <v>72</v>
      </c>
      <c r="C67" s="114"/>
      <c r="D67" s="119"/>
      <c r="E67" s="119"/>
      <c r="F67" s="1" t="s">
        <v>73</v>
      </c>
      <c r="U67" s="6"/>
      <c r="W67" s="105" t="s">
        <v>74</v>
      </c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</row>
    <row r="68" spans="2:49" ht="18" x14ac:dyDescent="0.35">
      <c r="B68" s="113" t="s">
        <v>12</v>
      </c>
      <c r="C68" s="114"/>
      <c r="D68" s="119"/>
      <c r="E68" s="119"/>
      <c r="F68" s="1" t="s">
        <v>13</v>
      </c>
      <c r="U68" s="6"/>
    </row>
    <row r="69" spans="2:49" x14ac:dyDescent="0.25">
      <c r="B69" s="113" t="s">
        <v>8</v>
      </c>
      <c r="C69" s="114"/>
      <c r="D69" s="119"/>
      <c r="E69" s="119"/>
      <c r="U69" s="6"/>
    </row>
    <row r="70" spans="2:49" x14ac:dyDescent="0.25">
      <c r="B70" s="10"/>
      <c r="U70" s="6"/>
    </row>
    <row r="71" spans="2:49" ht="18.75" thickBot="1" x14ac:dyDescent="0.4">
      <c r="B71" s="117" t="s">
        <v>75</v>
      </c>
      <c r="C71" s="118"/>
      <c r="D71" s="122" t="s">
        <v>12</v>
      </c>
      <c r="E71" s="122"/>
      <c r="F71" s="122"/>
      <c r="G71" s="122"/>
      <c r="H71" s="122"/>
      <c r="I71" s="118" t="s">
        <v>16</v>
      </c>
      <c r="J71" s="122">
        <f>D68</f>
        <v>0</v>
      </c>
      <c r="K71" s="122"/>
      <c r="L71" s="122"/>
      <c r="M71" s="122"/>
      <c r="N71" s="122"/>
      <c r="O71" s="122"/>
      <c r="P71" s="122"/>
      <c r="Q71" s="118" t="s">
        <v>17</v>
      </c>
      <c r="R71" s="123" t="e">
        <f>"("&amp;AB72&amp;"°) Ω"</f>
        <v>#DIV/0!</v>
      </c>
      <c r="S71" s="123"/>
      <c r="T71" s="123"/>
      <c r="U71" s="124"/>
      <c r="X71" s="1" t="s">
        <v>18</v>
      </c>
      <c r="Y71" s="1" t="s">
        <v>19</v>
      </c>
      <c r="Z71" s="1" t="s">
        <v>20</v>
      </c>
      <c r="AA71" s="1" t="s">
        <v>21</v>
      </c>
      <c r="AB71" s="1" t="s">
        <v>22</v>
      </c>
    </row>
    <row r="72" spans="2:49" ht="18" x14ac:dyDescent="0.35">
      <c r="B72" s="117"/>
      <c r="C72" s="118"/>
      <c r="D72" s="143" t="s">
        <v>76</v>
      </c>
      <c r="E72" s="144"/>
      <c r="F72" s="144"/>
      <c r="G72" s="144"/>
      <c r="H72" s="144"/>
      <c r="I72" s="118"/>
      <c r="J72" s="114" t="str">
        <f>"√3 · "&amp;"(("&amp;D67&amp;" · 10³) ∠-cos¯¹("&amp;D69&amp;"))"</f>
        <v>√3 · (( · 10³) ∠-cos¯¹())</v>
      </c>
      <c r="K72" s="114"/>
      <c r="L72" s="114"/>
      <c r="M72" s="114"/>
      <c r="N72" s="114"/>
      <c r="O72" s="114"/>
      <c r="P72" s="114"/>
      <c r="Q72" s="118"/>
      <c r="R72" s="123"/>
      <c r="S72" s="123"/>
      <c r="T72" s="123"/>
      <c r="U72" s="124"/>
      <c r="X72" s="1" t="e">
        <f>Z72*D69</f>
        <v>#DIV/0!</v>
      </c>
      <c r="Y72" s="1" t="e">
        <f>Z72*SIN(ACOS(D69))</f>
        <v>#DIV/0!</v>
      </c>
      <c r="Z72" s="1" t="e">
        <f>D68/(SQRT(3)*D67*10^3)</f>
        <v>#DIV/0!</v>
      </c>
      <c r="AA72" s="1" t="e">
        <f>COMPLEX(X72,Y72,)</f>
        <v>#DIV/0!</v>
      </c>
      <c r="AB72" s="1" t="e">
        <f>ROUND(IMABS(COMPLEX(X72,Y72,"j")),4)&amp;" ∠"&amp;ROUND(DEGREES(IMARGUMENT(COMPLEX(X72,Y72,"j"))),2)</f>
        <v>#DIV/0!</v>
      </c>
    </row>
    <row r="73" spans="2:49" x14ac:dyDescent="0.25">
      <c r="B73" s="10"/>
      <c r="U73" s="6"/>
    </row>
    <row r="74" spans="2:49" x14ac:dyDescent="0.25">
      <c r="B74" s="10"/>
      <c r="U74" s="6"/>
    </row>
    <row r="75" spans="2:49" x14ac:dyDescent="0.25">
      <c r="B75" s="10"/>
      <c r="U75" s="6"/>
    </row>
    <row r="76" spans="2:49" ht="18" x14ac:dyDescent="0.35">
      <c r="B76" s="110" t="s">
        <v>77</v>
      </c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2"/>
    </row>
    <row r="77" spans="2:49" x14ac:dyDescent="0.25">
      <c r="B77" s="10"/>
      <c r="U77" s="6"/>
    </row>
    <row r="78" spans="2:49" x14ac:dyDescent="0.25">
      <c r="B78" s="113" t="s">
        <v>78</v>
      </c>
      <c r="C78" s="114"/>
      <c r="D78" s="119"/>
      <c r="E78" s="119"/>
      <c r="F78" s="1" t="s">
        <v>79</v>
      </c>
      <c r="U78" s="6"/>
    </row>
    <row r="79" spans="2:49" ht="18" x14ac:dyDescent="0.35">
      <c r="B79" s="113" t="s">
        <v>80</v>
      </c>
      <c r="C79" s="114"/>
      <c r="D79" s="119"/>
      <c r="E79" s="119"/>
      <c r="F79" s="1" t="s">
        <v>73</v>
      </c>
      <c r="U79" s="6"/>
    </row>
    <row r="80" spans="2:49" ht="18" x14ac:dyDescent="0.35">
      <c r="B80" s="113" t="s">
        <v>12</v>
      </c>
      <c r="C80" s="114"/>
      <c r="D80" s="119"/>
      <c r="E80" s="119"/>
      <c r="F80" s="1" t="s">
        <v>13</v>
      </c>
      <c r="U80" s="6"/>
    </row>
    <row r="81" spans="2:28" x14ac:dyDescent="0.25">
      <c r="B81" s="113" t="s">
        <v>8</v>
      </c>
      <c r="C81" s="114"/>
      <c r="D81" s="119">
        <v>1</v>
      </c>
      <c r="E81" s="119"/>
      <c r="U81" s="6"/>
    </row>
    <row r="82" spans="2:28" x14ac:dyDescent="0.25">
      <c r="B82" s="10"/>
      <c r="U82" s="6"/>
    </row>
    <row r="83" spans="2:28" ht="18.75" thickBot="1" x14ac:dyDescent="0.4">
      <c r="B83" s="117" t="s">
        <v>81</v>
      </c>
      <c r="C83" s="118"/>
      <c r="D83" s="122" t="s">
        <v>12</v>
      </c>
      <c r="E83" s="122"/>
      <c r="F83" s="122"/>
      <c r="G83" s="122"/>
      <c r="H83" s="122"/>
      <c r="I83" s="118" t="s">
        <v>16</v>
      </c>
      <c r="J83" s="122">
        <f>D80</f>
        <v>0</v>
      </c>
      <c r="K83" s="122"/>
      <c r="L83" s="122"/>
      <c r="M83" s="122"/>
      <c r="N83" s="122"/>
      <c r="O83" s="122"/>
      <c r="P83" s="122"/>
      <c r="Q83" s="118" t="s">
        <v>17</v>
      </c>
      <c r="R83" s="123" t="e">
        <f>"("&amp;AB84&amp;"°) Ω"</f>
        <v>#DIV/0!</v>
      </c>
      <c r="S83" s="123"/>
      <c r="T83" s="123"/>
      <c r="U83" s="124"/>
      <c r="X83" s="1" t="s">
        <v>18</v>
      </c>
      <c r="Y83" s="1" t="s">
        <v>19</v>
      </c>
      <c r="Z83" s="1" t="s">
        <v>20</v>
      </c>
      <c r="AA83" s="1" t="s">
        <v>21</v>
      </c>
      <c r="AB83" s="1" t="s">
        <v>22</v>
      </c>
    </row>
    <row r="84" spans="2:28" ht="18" x14ac:dyDescent="0.35">
      <c r="B84" s="117"/>
      <c r="C84" s="118"/>
      <c r="D84" s="143" t="s">
        <v>82</v>
      </c>
      <c r="E84" s="144"/>
      <c r="F84" s="144"/>
      <c r="G84" s="144"/>
      <c r="H84" s="144"/>
      <c r="I84" s="118"/>
      <c r="J84" s="114" t="str">
        <f>"√3 · "&amp;"(("&amp;D79&amp;" · 10³) ∠-cos¯¹("&amp;D81&amp;"))"</f>
        <v>√3 · (( · 10³) ∠-cos¯¹(1))</v>
      </c>
      <c r="K84" s="114"/>
      <c r="L84" s="114"/>
      <c r="M84" s="114"/>
      <c r="N84" s="114"/>
      <c r="O84" s="114"/>
      <c r="P84" s="114"/>
      <c r="Q84" s="118"/>
      <c r="R84" s="123"/>
      <c r="S84" s="123"/>
      <c r="T84" s="123"/>
      <c r="U84" s="124"/>
      <c r="X84" s="1" t="e">
        <f>Z84*D81</f>
        <v>#DIV/0!</v>
      </c>
      <c r="Y84" s="1" t="e">
        <f>Z84*SIN(ACOS(D81))</f>
        <v>#DIV/0!</v>
      </c>
      <c r="Z84" s="1" t="e">
        <f>D80/(SQRT(3)*D79*10^3)</f>
        <v>#DIV/0!</v>
      </c>
      <c r="AA84" s="1" t="e">
        <f>COMPLEX(X84,Y84,)</f>
        <v>#DIV/0!</v>
      </c>
      <c r="AB84" s="1" t="e">
        <f>ROUND(IMABS(COMPLEX(X84,Y84,"j")),4)&amp;" ∠"&amp;ROUND(DEGREES(IMARGUMENT(COMPLEX(X84,Y84,"j"))),2)</f>
        <v>#DIV/0!</v>
      </c>
    </row>
    <row r="85" spans="2:28" x14ac:dyDescent="0.25"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9"/>
    </row>
  </sheetData>
  <sheetProtection sheet="1" objects="1" scenarios="1" selectLockedCells="1"/>
  <mergeCells count="133">
    <mergeCell ref="J46:P46"/>
    <mergeCell ref="D56:E57"/>
    <mergeCell ref="H56:H57"/>
    <mergeCell ref="F56:F57"/>
    <mergeCell ref="N47:N48"/>
    <mergeCell ref="L47:L48"/>
    <mergeCell ref="B46:C47"/>
    <mergeCell ref="D47:F47"/>
    <mergeCell ref="D46:F46"/>
    <mergeCell ref="I46:I47"/>
    <mergeCell ref="J83:P83"/>
    <mergeCell ref="Q83:Q84"/>
    <mergeCell ref="R83:U84"/>
    <mergeCell ref="D84:H84"/>
    <mergeCell ref="J84:P84"/>
    <mergeCell ref="B81:C81"/>
    <mergeCell ref="D81:E81"/>
    <mergeCell ref="D79:E79"/>
    <mergeCell ref="D78:E78"/>
    <mergeCell ref="B83:C84"/>
    <mergeCell ref="D83:H83"/>
    <mergeCell ref="I83:I84"/>
    <mergeCell ref="B65:U65"/>
    <mergeCell ref="B76:U76"/>
    <mergeCell ref="B78:C78"/>
    <mergeCell ref="B79:C79"/>
    <mergeCell ref="B80:C80"/>
    <mergeCell ref="D80:E80"/>
    <mergeCell ref="R71:U72"/>
    <mergeCell ref="J72:P72"/>
    <mergeCell ref="D72:H72"/>
    <mergeCell ref="R46:U47"/>
    <mergeCell ref="Q46:Q47"/>
    <mergeCell ref="B71:C72"/>
    <mergeCell ref="D71:H71"/>
    <mergeCell ref="I71:I72"/>
    <mergeCell ref="J71:P71"/>
    <mergeCell ref="Q71:Q72"/>
    <mergeCell ref="B67:C67"/>
    <mergeCell ref="B68:C68"/>
    <mergeCell ref="B69:C69"/>
    <mergeCell ref="D69:E69"/>
    <mergeCell ref="D68:E68"/>
    <mergeCell ref="D67:E67"/>
    <mergeCell ref="J60:P61"/>
    <mergeCell ref="Q60:Q61"/>
    <mergeCell ref="R60:U61"/>
    <mergeCell ref="B60:C61"/>
    <mergeCell ref="D60:H61"/>
    <mergeCell ref="I60:I61"/>
    <mergeCell ref="R52:U53"/>
    <mergeCell ref="Q52:Q53"/>
    <mergeCell ref="B56:C57"/>
    <mergeCell ref="I56:I57"/>
    <mergeCell ref="J56:P57"/>
    <mergeCell ref="B38:C39"/>
    <mergeCell ref="B34:C35"/>
    <mergeCell ref="B30:C31"/>
    <mergeCell ref="R43:U44"/>
    <mergeCell ref="R30:U31"/>
    <mergeCell ref="R38:U39"/>
    <mergeCell ref="R34:U35"/>
    <mergeCell ref="J30:P30"/>
    <mergeCell ref="J31:P31"/>
    <mergeCell ref="J38:P39"/>
    <mergeCell ref="J43:P44"/>
    <mergeCell ref="Q30:Q31"/>
    <mergeCell ref="Q34:Q35"/>
    <mergeCell ref="Q38:Q39"/>
    <mergeCell ref="D34:H34"/>
    <mergeCell ref="J34:P34"/>
    <mergeCell ref="D35:H35"/>
    <mergeCell ref="J35:P35"/>
    <mergeCell ref="D13:H13"/>
    <mergeCell ref="D23:H23"/>
    <mergeCell ref="D22:H22"/>
    <mergeCell ref="D19:E19"/>
    <mergeCell ref="D18:E18"/>
    <mergeCell ref="D17:E17"/>
    <mergeCell ref="B16:U16"/>
    <mergeCell ref="B19:C19"/>
    <mergeCell ref="B17:C17"/>
    <mergeCell ref="B18:C18"/>
    <mergeCell ref="J14:P14"/>
    <mergeCell ref="J13:P13"/>
    <mergeCell ref="Q56:Q57"/>
    <mergeCell ref="R56:U57"/>
    <mergeCell ref="I52:I53"/>
    <mergeCell ref="J52:P52"/>
    <mergeCell ref="J53:P53"/>
    <mergeCell ref="B52:C53"/>
    <mergeCell ref="D52:H52"/>
    <mergeCell ref="D53:H53"/>
    <mergeCell ref="B26:C27"/>
    <mergeCell ref="I26:I27"/>
    <mergeCell ref="D27:H27"/>
    <mergeCell ref="D26:H26"/>
    <mergeCell ref="J27:P27"/>
    <mergeCell ref="J26:P26"/>
    <mergeCell ref="B43:C44"/>
    <mergeCell ref="I43:I44"/>
    <mergeCell ref="D31:H31"/>
    <mergeCell ref="D30:H30"/>
    <mergeCell ref="D43:H44"/>
    <mergeCell ref="D38:H39"/>
    <mergeCell ref="Q43:Q44"/>
    <mergeCell ref="I30:I31"/>
    <mergeCell ref="I34:I35"/>
    <mergeCell ref="I38:I39"/>
    <mergeCell ref="B8:U8"/>
    <mergeCell ref="B9:C9"/>
    <mergeCell ref="B10:C10"/>
    <mergeCell ref="B11:C11"/>
    <mergeCell ref="B50:U50"/>
    <mergeCell ref="B13:C14"/>
    <mergeCell ref="D11:E11"/>
    <mergeCell ref="D10:E10"/>
    <mergeCell ref="D9:E9"/>
    <mergeCell ref="I13:I14"/>
    <mergeCell ref="Q26:Q27"/>
    <mergeCell ref="R26:U27"/>
    <mergeCell ref="B22:C23"/>
    <mergeCell ref="I22:I23"/>
    <mergeCell ref="B20:C20"/>
    <mergeCell ref="D20:E20"/>
    <mergeCell ref="J23:P23"/>
    <mergeCell ref="J22:P22"/>
    <mergeCell ref="Q22:Q23"/>
    <mergeCell ref="R22:U23"/>
    <mergeCell ref="F14:H14"/>
    <mergeCell ref="D14:E14"/>
    <mergeCell ref="Q13:Q14"/>
    <mergeCell ref="R13:U14"/>
  </mergeCells>
  <dataValidations count="2">
    <dataValidation type="list" allowBlank="1" showInputMessage="1" showErrorMessage="1" sqref="B10:C10" xr:uid="{713B3790-723E-44FF-97D4-97FDFA767479}">
      <formula1>$AI$1:$AI$2</formula1>
    </dataValidation>
    <dataValidation type="list" allowBlank="1" showInputMessage="1" showErrorMessage="1" sqref="B19:C19" xr:uid="{300A87A6-0AE1-4791-8D82-4CF70221A6E6}">
      <formula1>$AH$1:$AH$2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2964-8033-4EF4-B255-53CDF6C2953D}">
  <dimension ref="A2:AK106"/>
  <sheetViews>
    <sheetView zoomScale="85" zoomScaleNormal="85" workbookViewId="0">
      <selection activeCell="AL10" sqref="AL10"/>
    </sheetView>
  </sheetViews>
  <sheetFormatPr defaultColWidth="4.140625" defaultRowHeight="15" x14ac:dyDescent="0.25"/>
  <cols>
    <col min="1" max="25" width="4.140625" style="1"/>
    <col min="26" max="37" width="8.85546875" style="1" hidden="1" customWidth="1"/>
    <col min="38" max="38" width="8.85546875" style="1" customWidth="1"/>
    <col min="39" max="16384" width="4.140625" style="1"/>
  </cols>
  <sheetData>
    <row r="2" spans="1:34" ht="18" customHeight="1" x14ac:dyDescent="0.25">
      <c r="A2" s="153" t="s">
        <v>83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 t="s">
        <v>84</v>
      </c>
      <c r="Q2" s="154"/>
      <c r="R2" s="154"/>
      <c r="S2" s="154"/>
      <c r="T2" s="154"/>
      <c r="U2" s="154" t="s">
        <v>85</v>
      </c>
      <c r="V2" s="154"/>
      <c r="W2" s="154"/>
      <c r="X2" s="154"/>
      <c r="Y2" s="162"/>
    </row>
    <row r="3" spans="1:34" ht="18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63"/>
      <c r="AA3" s="1" t="s">
        <v>18</v>
      </c>
      <c r="AB3" s="1" t="s">
        <v>19</v>
      </c>
      <c r="AC3" s="1" t="s">
        <v>20</v>
      </c>
      <c r="AD3" s="1" t="s">
        <v>86</v>
      </c>
      <c r="AE3" s="1" t="s">
        <v>22</v>
      </c>
      <c r="AG3" s="1" t="s">
        <v>87</v>
      </c>
      <c r="AH3" s="1" t="s">
        <v>88</v>
      </c>
    </row>
    <row r="4" spans="1:34" x14ac:dyDescent="0.25">
      <c r="A4" s="17"/>
      <c r="B4" s="18"/>
      <c r="C4" s="18"/>
      <c r="D4" s="19"/>
      <c r="E4" s="18"/>
      <c r="F4" s="18"/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5"/>
    </row>
    <row r="5" spans="1:34" ht="15.75" thickBot="1" x14ac:dyDescent="0.3">
      <c r="A5" s="157" t="s">
        <v>89</v>
      </c>
      <c r="D5" s="118" t="s">
        <v>17</v>
      </c>
      <c r="E5" s="122" t="s">
        <v>90</v>
      </c>
      <c r="F5" s="122"/>
      <c r="G5" s="122"/>
      <c r="H5" s="118" t="s">
        <v>16</v>
      </c>
      <c r="I5" s="122" t="str">
        <f>IF(B6="","",AG5&amp;" · ("&amp;AA5&amp;"+j"&amp;AB5&amp;")")</f>
        <v>75 · (0,0787+j0,077)</v>
      </c>
      <c r="J5" s="122"/>
      <c r="K5" s="122"/>
      <c r="L5" s="122"/>
      <c r="M5" s="122"/>
      <c r="N5" s="122"/>
      <c r="O5" s="118" t="s">
        <v>17</v>
      </c>
      <c r="P5" s="123" t="str">
        <f>IF(B6="","","("&amp;AE6&amp;"°) Ω")</f>
        <v>(0,002753 ∠44,37°) Ω</v>
      </c>
      <c r="Q5" s="123"/>
      <c r="R5" s="123"/>
      <c r="S5" s="123"/>
      <c r="T5" s="123"/>
      <c r="U5" s="123" t="str">
        <f>IF(B6="","","("&amp;AD6&amp;") Ω")</f>
        <v>(0,0019675+0,001925i) Ω</v>
      </c>
      <c r="V5" s="123"/>
      <c r="W5" s="123"/>
      <c r="X5" s="123"/>
      <c r="Y5" s="124"/>
      <c r="AA5" s="46">
        <f>Kabeldata!B14</f>
        <v>7.8700000000000006E-2</v>
      </c>
      <c r="AB5" s="19">
        <f>Kabeldata!B15</f>
        <v>7.6999999999999999E-2</v>
      </c>
      <c r="AC5" s="19">
        <f>SQRT(AA5^2+AB5^2)</f>
        <v>0.11010308805841915</v>
      </c>
      <c r="AD5" s="19" t="str">
        <f>COMPLEX(AA5,AB5,)</f>
        <v>0,0787+0,077i</v>
      </c>
      <c r="AE5" s="19" t="str">
        <f>ROUND(IMABS(COMPLEX(AA5,AB5,"j")),6)&amp;" ∠"&amp;ROUND(DEGREES(IMARGUMENT(COMPLEX(AA5,AB5,"j"))),2)</f>
        <v>0,110103 ∠44,37</v>
      </c>
      <c r="AF5" s="19"/>
      <c r="AG5" s="19">
        <f>Kabeldata!B9</f>
        <v>75</v>
      </c>
      <c r="AH5" s="15">
        <f>Kabeldata!B10</f>
        <v>3</v>
      </c>
    </row>
    <row r="6" spans="1:34" x14ac:dyDescent="0.25">
      <c r="A6" s="157"/>
      <c r="B6" s="158" t="str">
        <f>IF(Kabeldata!$B$4="","",Kabeldata!$B$4)</f>
        <v>W1</v>
      </c>
      <c r="C6" s="158"/>
      <c r="D6" s="118"/>
      <c r="E6" s="144" t="str">
        <f>1000&amp;IF(AH5=1,""," · η")</f>
        <v>1000 · η</v>
      </c>
      <c r="F6" s="144"/>
      <c r="G6" s="144"/>
      <c r="H6" s="118"/>
      <c r="I6" s="118" t="str">
        <f>IF(B6="","",1000&amp;IF(AH5=1,""," · "&amp;AH5))</f>
        <v>1000 · 3</v>
      </c>
      <c r="J6" s="118"/>
      <c r="K6" s="118"/>
      <c r="L6" s="118"/>
      <c r="M6" s="118"/>
      <c r="N6" s="118"/>
      <c r="O6" s="118"/>
      <c r="P6" s="123"/>
      <c r="Q6" s="123"/>
      <c r="R6" s="123"/>
      <c r="S6" s="123"/>
      <c r="T6" s="123"/>
      <c r="U6" s="123"/>
      <c r="V6" s="123"/>
      <c r="W6" s="123"/>
      <c r="X6" s="123"/>
      <c r="Y6" s="124"/>
      <c r="AA6" s="7">
        <f>(AG5*AA5)/AH6</f>
        <v>1.9675000000000001E-3</v>
      </c>
      <c r="AB6" s="8">
        <f>(AG5*AB5)/AH6</f>
        <v>1.9250000000000001E-3</v>
      </c>
      <c r="AC6" s="8">
        <f>SQRT(AA6^2+AB6^2)</f>
        <v>2.7525772014604785E-3</v>
      </c>
      <c r="AD6" s="8" t="str">
        <f>COMPLEX(AA6,AB6,)</f>
        <v>0,0019675+0,001925i</v>
      </c>
      <c r="AE6" s="8" t="str">
        <f>ROUND(IMABS(COMPLEX(AA6,AB6,"j")),6)&amp;" ∠"&amp;ROUND(DEGREES(IMARGUMENT(COMPLEX(AA6,AB6,"j"))),2)</f>
        <v>0,002753 ∠44,37</v>
      </c>
      <c r="AF6" s="8"/>
      <c r="AG6" s="8"/>
      <c r="AH6" s="9">
        <f>1000*AH5</f>
        <v>3000</v>
      </c>
    </row>
    <row r="7" spans="1:34" x14ac:dyDescent="0.25">
      <c r="A7" s="159" t="s">
        <v>91</v>
      </c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1"/>
    </row>
    <row r="8" spans="1:34" ht="15.75" thickBot="1" x14ac:dyDescent="0.3">
      <c r="A8" s="157" t="s">
        <v>89</v>
      </c>
      <c r="D8" s="118" t="s">
        <v>17</v>
      </c>
      <c r="E8" s="122" t="s">
        <v>90</v>
      </c>
      <c r="F8" s="122"/>
      <c r="G8" s="122"/>
      <c r="H8" s="118" t="s">
        <v>16</v>
      </c>
      <c r="I8" s="122" t="str">
        <f>IF(B9="","",AG8&amp;" · ("&amp;AA8&amp;"+j"&amp;AB8&amp;")")</f>
        <v>20 · (0,641+j0,081)</v>
      </c>
      <c r="J8" s="122"/>
      <c r="K8" s="122"/>
      <c r="L8" s="122"/>
      <c r="M8" s="122"/>
      <c r="N8" s="122"/>
      <c r="O8" s="118" t="s">
        <v>17</v>
      </c>
      <c r="P8" s="123" t="str">
        <f>IF(B9="","","("&amp;AE9&amp;"°) Ω")</f>
        <v>(0,012922 ∠7,2°) Ω</v>
      </c>
      <c r="Q8" s="123"/>
      <c r="R8" s="123"/>
      <c r="S8" s="123"/>
      <c r="T8" s="123"/>
      <c r="U8" s="123" t="str">
        <f>IF(B9="","","("&amp;AD9&amp;") Ω")</f>
        <v>(0,01282+0,00162i) Ω</v>
      </c>
      <c r="V8" s="123"/>
      <c r="W8" s="123"/>
      <c r="X8" s="123"/>
      <c r="Y8" s="124"/>
      <c r="AA8" s="46">
        <f>Kabeldata!F14</f>
        <v>0.64100000000000001</v>
      </c>
      <c r="AB8" s="19">
        <f>Kabeldata!F15</f>
        <v>8.1000000000000003E-2</v>
      </c>
      <c r="AC8" s="19">
        <f>SQRT(AA8^2+AB8^2)</f>
        <v>0.6460975158596417</v>
      </c>
      <c r="AD8" s="19" t="str">
        <f>COMPLEX(AA8,AB8,)</f>
        <v>0,641+0,081i</v>
      </c>
      <c r="AE8" s="19" t="str">
        <f>ROUND(IMABS(COMPLEX(AA8,AB8,"j")),6)&amp;" ∠"&amp;ROUND(DEGREES(IMARGUMENT(COMPLEX(AA8,AB8,"j"))),2)</f>
        <v>0,646098 ∠7,2</v>
      </c>
      <c r="AF8" s="19"/>
      <c r="AG8" s="19">
        <f>Kabeldata!F9</f>
        <v>20</v>
      </c>
      <c r="AH8" s="15">
        <f>Kabeldata!F10</f>
        <v>1</v>
      </c>
    </row>
    <row r="9" spans="1:34" x14ac:dyDescent="0.25">
      <c r="A9" s="157"/>
      <c r="B9" s="158" t="str">
        <f>IF(Kabeldata!$F$4="","",Kabeldata!$F$4)</f>
        <v>W2</v>
      </c>
      <c r="C9" s="158"/>
      <c r="D9" s="118"/>
      <c r="E9" s="144" t="str">
        <f>1000&amp;IF(AH8=1,""," · η")</f>
        <v>1000</v>
      </c>
      <c r="F9" s="144"/>
      <c r="G9" s="144"/>
      <c r="H9" s="118"/>
      <c r="I9" s="118" t="str">
        <f>IF(B9="","",1000&amp;IF(AH8=1,""," · "&amp;AH8))</f>
        <v>1000</v>
      </c>
      <c r="J9" s="118"/>
      <c r="K9" s="118"/>
      <c r="L9" s="118"/>
      <c r="M9" s="118"/>
      <c r="N9" s="118"/>
      <c r="O9" s="118"/>
      <c r="P9" s="123"/>
      <c r="Q9" s="123"/>
      <c r="R9" s="123"/>
      <c r="S9" s="123"/>
      <c r="T9" s="123"/>
      <c r="U9" s="123"/>
      <c r="V9" s="123"/>
      <c r="W9" s="123"/>
      <c r="X9" s="123"/>
      <c r="Y9" s="124"/>
      <c r="AA9" s="7">
        <f>(AG8*AA8)/AH9</f>
        <v>1.282E-2</v>
      </c>
      <c r="AB9" s="8">
        <f>(AG8*AB8)/AH9</f>
        <v>1.6200000000000001E-3</v>
      </c>
      <c r="AC9" s="8">
        <f>SQRT(AA9^2+AB9^2)</f>
        <v>1.2921950317192834E-2</v>
      </c>
      <c r="AD9" s="8" t="str">
        <f>COMPLEX(AA9,AB9,)</f>
        <v>0,01282+0,00162i</v>
      </c>
      <c r="AE9" s="8" t="str">
        <f>ROUND(IMABS(COMPLEX(AA9,AB9,"j")),6)&amp;" ∠"&amp;ROUND(DEGREES(IMARGUMENT(COMPLEX(AA9,AB9,"j"))),2)</f>
        <v>0,012922 ∠7,2</v>
      </c>
      <c r="AF9" s="8"/>
      <c r="AG9" s="8"/>
      <c r="AH9" s="9">
        <f>1000*AH8</f>
        <v>1000</v>
      </c>
    </row>
    <row r="10" spans="1:34" x14ac:dyDescent="0.25">
      <c r="A10" s="159" t="s">
        <v>91</v>
      </c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1"/>
    </row>
    <row r="11" spans="1:34" ht="15.75" thickBot="1" x14ac:dyDescent="0.3">
      <c r="A11" s="157" t="s">
        <v>89</v>
      </c>
      <c r="D11" s="118" t="s">
        <v>17</v>
      </c>
      <c r="E11" s="122" t="s">
        <v>90</v>
      </c>
      <c r="F11" s="122"/>
      <c r="G11" s="122"/>
      <c r="H11" s="118" t="s">
        <v>16</v>
      </c>
      <c r="I11" s="122" t="str">
        <f>IF(B12="","",AG11&amp;" · ("&amp;AA11&amp;"+j"&amp;AB11&amp;")")</f>
        <v>30 · (0,444+j0,08)</v>
      </c>
      <c r="J11" s="122"/>
      <c r="K11" s="122"/>
      <c r="L11" s="122"/>
      <c r="M11" s="122"/>
      <c r="N11" s="122"/>
      <c r="O11" s="118" t="s">
        <v>17</v>
      </c>
      <c r="P11" s="123" t="str">
        <f>IF(B12="","","("&amp;AE12&amp;"°) Ω")</f>
        <v>(0,013534 ∠10,21°) Ω</v>
      </c>
      <c r="Q11" s="123"/>
      <c r="R11" s="123"/>
      <c r="S11" s="123"/>
      <c r="T11" s="123"/>
      <c r="U11" s="123" t="str">
        <f>IF(B12="","","("&amp;AD12&amp;") Ω")</f>
        <v>(0,01332+0,0024i) Ω</v>
      </c>
      <c r="V11" s="123"/>
      <c r="W11" s="123"/>
      <c r="X11" s="123"/>
      <c r="Y11" s="124"/>
      <c r="AA11" s="46">
        <f>Kabeldata!J14</f>
        <v>0.44400000000000001</v>
      </c>
      <c r="AB11" s="19">
        <f>Kabeldata!J15</f>
        <v>0.08</v>
      </c>
      <c r="AC11" s="19">
        <f>SQRT(AA11^2+AB11^2)</f>
        <v>0.45114964257993156</v>
      </c>
      <c r="AD11" s="19" t="str">
        <f>COMPLEX(AA11,AB11,)</f>
        <v>0,444+0,08i</v>
      </c>
      <c r="AE11" s="19" t="str">
        <f>ROUND(IMABS(COMPLEX(AA11,AB11,"j")),6)&amp;" ∠"&amp;ROUND(DEGREES(IMARGUMENT(COMPLEX(AA11,AB11,"j"))),2)</f>
        <v>0,45115 ∠10,21</v>
      </c>
      <c r="AF11" s="19"/>
      <c r="AG11" s="19">
        <f>Kabeldata!J9</f>
        <v>30</v>
      </c>
      <c r="AH11" s="15">
        <f>Kabeldata!J10</f>
        <v>1</v>
      </c>
    </row>
    <row r="12" spans="1:34" x14ac:dyDescent="0.25">
      <c r="A12" s="157"/>
      <c r="B12" s="158" t="str">
        <f>IF(Kabeldata!$J$4="","",Kabeldata!$J$4)</f>
        <v>W3</v>
      </c>
      <c r="C12" s="158"/>
      <c r="D12" s="118"/>
      <c r="E12" s="144" t="str">
        <f>1000&amp;IF(AH11=1,""," · η")</f>
        <v>1000</v>
      </c>
      <c r="F12" s="144"/>
      <c r="G12" s="144"/>
      <c r="H12" s="118"/>
      <c r="I12" s="118" t="str">
        <f>IF(B12="","",1000&amp;IF(AH11=1,""," · "&amp;AH11))</f>
        <v>1000</v>
      </c>
      <c r="J12" s="118"/>
      <c r="K12" s="118"/>
      <c r="L12" s="118"/>
      <c r="M12" s="118"/>
      <c r="N12" s="118"/>
      <c r="O12" s="118"/>
      <c r="P12" s="123"/>
      <c r="Q12" s="123"/>
      <c r="R12" s="123"/>
      <c r="S12" s="123"/>
      <c r="T12" s="123"/>
      <c r="U12" s="123"/>
      <c r="V12" s="123"/>
      <c r="W12" s="123"/>
      <c r="X12" s="123"/>
      <c r="Y12" s="124"/>
      <c r="AA12" s="7">
        <f>(AG11*AA11)/AH12</f>
        <v>1.332E-2</v>
      </c>
      <c r="AB12" s="8">
        <f>(AG11*AB11)/AH12</f>
        <v>2.3999999999999998E-3</v>
      </c>
      <c r="AC12" s="8">
        <f>SQRT(AA12^2+AB12^2)</f>
        <v>1.3534489277397947E-2</v>
      </c>
      <c r="AD12" s="8" t="str">
        <f>COMPLEX(AA12,AB12,)</f>
        <v>0,01332+0,0024i</v>
      </c>
      <c r="AE12" s="8" t="str">
        <f>ROUND(IMABS(COMPLEX(AA12,AB12,"j")),6)&amp;" ∠"&amp;ROUND(DEGREES(IMARGUMENT(COMPLEX(AA12,AB12,"j"))),2)</f>
        <v>0,013534 ∠10,21</v>
      </c>
      <c r="AF12" s="8"/>
      <c r="AG12" s="8"/>
      <c r="AH12" s="9">
        <f>1000*AH11</f>
        <v>1000</v>
      </c>
    </row>
    <row r="13" spans="1:34" x14ac:dyDescent="0.25">
      <c r="A13" s="159" t="s">
        <v>91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1"/>
    </row>
    <row r="14" spans="1:34" ht="15.75" thickBot="1" x14ac:dyDescent="0.3">
      <c r="A14" s="157" t="s">
        <v>89</v>
      </c>
      <c r="D14" s="118" t="s">
        <v>17</v>
      </c>
      <c r="E14" s="122" t="s">
        <v>90</v>
      </c>
      <c r="F14" s="122"/>
      <c r="G14" s="122"/>
      <c r="H14" s="118" t="s">
        <v>16</v>
      </c>
      <c r="I14" s="122" t="str">
        <f>IF(B15="","",AG14&amp;" · ("&amp;AA14&amp;"+j"&amp;AB14&amp;")")</f>
        <v>8 · (1,2+j0,087)</v>
      </c>
      <c r="J14" s="122"/>
      <c r="K14" s="122"/>
      <c r="L14" s="122"/>
      <c r="M14" s="122"/>
      <c r="N14" s="122"/>
      <c r="O14" s="118" t="s">
        <v>17</v>
      </c>
      <c r="P14" s="123" t="str">
        <f>IF(B15="","","("&amp;AE15&amp;"°) Ω")</f>
        <v>(0,009625 ∠4,15°) Ω</v>
      </c>
      <c r="Q14" s="123"/>
      <c r="R14" s="123"/>
      <c r="S14" s="123"/>
      <c r="T14" s="123"/>
      <c r="U14" s="123" t="str">
        <f>IF(B15="","","("&amp;AD15&amp;") Ω")</f>
        <v>(0,0096+0,000696i) Ω</v>
      </c>
      <c r="V14" s="123"/>
      <c r="W14" s="123"/>
      <c r="X14" s="123"/>
      <c r="Y14" s="124"/>
      <c r="AA14" s="46">
        <f>Kabeldata!N14</f>
        <v>1.2</v>
      </c>
      <c r="AB14" s="19">
        <f>Kabeldata!N15</f>
        <v>8.6999999999999994E-2</v>
      </c>
      <c r="AC14" s="19">
        <f>SQRT(AA14^2+AB14^2)</f>
        <v>1.2031496166312816</v>
      </c>
      <c r="AD14" s="19" t="str">
        <f>COMPLEX(AA14,AB14,)</f>
        <v>1,2+0,087i</v>
      </c>
      <c r="AE14" s="19" t="str">
        <f>ROUND(IMABS(COMPLEX(AA14,AB14,"j")),6)&amp;" ∠"&amp;ROUND(DEGREES(IMARGUMENT(COMPLEX(AA14,AB14,"j"))),2)</f>
        <v>1,20315 ∠4,15</v>
      </c>
      <c r="AF14" s="19"/>
      <c r="AG14" s="19">
        <f>Kabeldata!N9</f>
        <v>8</v>
      </c>
      <c r="AH14" s="15">
        <f>Kabeldata!N10</f>
        <v>1</v>
      </c>
    </row>
    <row r="15" spans="1:34" x14ac:dyDescent="0.25">
      <c r="A15" s="157"/>
      <c r="B15" s="158" t="str">
        <f>IF(Kabeldata!$N$4="","",Kabeldata!$N$4)</f>
        <v>W4</v>
      </c>
      <c r="C15" s="158"/>
      <c r="D15" s="118"/>
      <c r="E15" s="144" t="str">
        <f>1000&amp;IF(AH14=1,""," · η")</f>
        <v>1000</v>
      </c>
      <c r="F15" s="144"/>
      <c r="G15" s="144"/>
      <c r="H15" s="118"/>
      <c r="I15" s="118" t="str">
        <f>IF(B15="","",1000&amp;IF(AH14=1,""," · "&amp;AH14))</f>
        <v>1000</v>
      </c>
      <c r="J15" s="118"/>
      <c r="K15" s="118"/>
      <c r="L15" s="118"/>
      <c r="M15" s="118"/>
      <c r="N15" s="118"/>
      <c r="O15" s="118"/>
      <c r="P15" s="123"/>
      <c r="Q15" s="123"/>
      <c r="R15" s="123"/>
      <c r="S15" s="123"/>
      <c r="T15" s="123"/>
      <c r="U15" s="123"/>
      <c r="V15" s="123"/>
      <c r="W15" s="123"/>
      <c r="X15" s="123"/>
      <c r="Y15" s="124"/>
      <c r="AA15" s="7">
        <f>(AG14*AA14)/AH15</f>
        <v>9.5999999999999992E-3</v>
      </c>
      <c r="AB15" s="8">
        <f>(AG14*AB14)/AH15</f>
        <v>6.96E-4</v>
      </c>
      <c r="AC15" s="8">
        <f>SQRT(AA15^2+AB15^2)</f>
        <v>9.6251969330502524E-3</v>
      </c>
      <c r="AD15" s="8" t="str">
        <f>COMPLEX(AA15,AB15,)</f>
        <v>0,0096+0,000696i</v>
      </c>
      <c r="AE15" s="8" t="str">
        <f>ROUND(IMABS(COMPLEX(AA15,AB15,"j")),6)&amp;" ∠"&amp;ROUND(DEGREES(IMARGUMENT(COMPLEX(AA15,AB15,"j"))),2)</f>
        <v>0,009625 ∠4,15</v>
      </c>
      <c r="AF15" s="8"/>
      <c r="AG15" s="8"/>
      <c r="AH15" s="9">
        <f>1000*AH14</f>
        <v>1000</v>
      </c>
    </row>
    <row r="16" spans="1:34" x14ac:dyDescent="0.25">
      <c r="A16" s="159" t="s">
        <v>91</v>
      </c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1"/>
    </row>
    <row r="17" spans="1:34" ht="15.75" thickBot="1" x14ac:dyDescent="0.3">
      <c r="A17" s="157" t="s">
        <v>89</v>
      </c>
      <c r="D17" s="118" t="s">
        <v>17</v>
      </c>
      <c r="E17" s="122" t="s">
        <v>90</v>
      </c>
      <c r="F17" s="122"/>
      <c r="G17" s="122"/>
      <c r="H17" s="118" t="s">
        <v>16</v>
      </c>
      <c r="I17" s="122" t="str">
        <f>IF(B18="","",AG17&amp;" · ("&amp;AA17&amp;"+j"&amp;AB17&amp;")")</f>
        <v/>
      </c>
      <c r="J17" s="122"/>
      <c r="K17" s="122"/>
      <c r="L17" s="122"/>
      <c r="M17" s="122"/>
      <c r="N17" s="122"/>
      <c r="O17" s="118" t="s">
        <v>17</v>
      </c>
      <c r="P17" s="123" t="str">
        <f>IF(B18="","","("&amp;AE18&amp;"°) Ω")</f>
        <v/>
      </c>
      <c r="Q17" s="123"/>
      <c r="R17" s="123"/>
      <c r="S17" s="123"/>
      <c r="T17" s="123"/>
      <c r="U17" s="123" t="str">
        <f>IF(B18="","","("&amp;AD18&amp;") Ω")</f>
        <v/>
      </c>
      <c r="V17" s="123"/>
      <c r="W17" s="123"/>
      <c r="X17" s="123"/>
      <c r="Y17" s="124"/>
      <c r="AA17" s="46">
        <f>Kabeldata!R14</f>
        <v>0.72699999999999998</v>
      </c>
      <c r="AB17" s="19">
        <f>Kabeldata!R15</f>
        <v>7.9000000000000001E-2</v>
      </c>
      <c r="AC17" s="19">
        <f>SQRT(AA17^2+AB17^2)</f>
        <v>0.7312797002515522</v>
      </c>
      <c r="AD17" s="19" t="str">
        <f>COMPLEX(AA17,AB17,)</f>
        <v>0,727+0,079i</v>
      </c>
      <c r="AE17" s="19" t="str">
        <f>ROUND(IMABS(COMPLEX(AA17,AB17,"j")),6)&amp;" ∠"&amp;ROUND(DEGREES(IMARGUMENT(COMPLEX(AA17,AB17,"j"))),2)</f>
        <v>0,73128 ∠6,2</v>
      </c>
      <c r="AF17" s="19"/>
      <c r="AG17" s="19">
        <f>Kabeldata!R9</f>
        <v>100</v>
      </c>
      <c r="AH17" s="15">
        <f>Kabeldata!R10</f>
        <v>1</v>
      </c>
    </row>
    <row r="18" spans="1:34" x14ac:dyDescent="0.25">
      <c r="A18" s="157"/>
      <c r="B18" s="158" t="str">
        <f>IF(Kabeldata!$R$4="","",Kabeldata!$R$4)</f>
        <v/>
      </c>
      <c r="C18" s="158"/>
      <c r="D18" s="118"/>
      <c r="E18" s="144" t="str">
        <f>1000&amp;IF(AH17=1,""," · η")</f>
        <v>1000</v>
      </c>
      <c r="F18" s="144"/>
      <c r="G18" s="144"/>
      <c r="H18" s="118"/>
      <c r="I18" s="118" t="str">
        <f>IF(B18="","",1000&amp;IF(AH17=1,""," · "&amp;AH17))</f>
        <v/>
      </c>
      <c r="J18" s="118"/>
      <c r="K18" s="118"/>
      <c r="L18" s="118"/>
      <c r="M18" s="118"/>
      <c r="N18" s="118"/>
      <c r="O18" s="118"/>
      <c r="P18" s="123"/>
      <c r="Q18" s="123"/>
      <c r="R18" s="123"/>
      <c r="S18" s="123"/>
      <c r="T18" s="123"/>
      <c r="U18" s="123"/>
      <c r="V18" s="123"/>
      <c r="W18" s="123"/>
      <c r="X18" s="123"/>
      <c r="Y18" s="124"/>
      <c r="AA18" s="7">
        <f>(AG17*AA17)/AH18</f>
        <v>7.2700000000000001E-2</v>
      </c>
      <c r="AB18" s="8">
        <f>(AG17*AB17)/AH18</f>
        <v>7.9000000000000008E-3</v>
      </c>
      <c r="AC18" s="8">
        <f>SQRT(AA18^2+AB18^2)</f>
        <v>7.3127970025155212E-2</v>
      </c>
      <c r="AD18" s="8" t="str">
        <f>COMPLEX(AA18,AB18,)</f>
        <v>0,0727+0,0079i</v>
      </c>
      <c r="AE18" s="8" t="str">
        <f>ROUND(IMABS(COMPLEX(AA18,AB18,"j")),6)&amp;" ∠"&amp;ROUND(DEGREES(IMARGUMENT(COMPLEX(AA18,AB18,"j"))),2)</f>
        <v>0,073128 ∠6,2</v>
      </c>
      <c r="AF18" s="8"/>
      <c r="AG18" s="8"/>
      <c r="AH18" s="9">
        <f>1000*AH17</f>
        <v>1000</v>
      </c>
    </row>
    <row r="19" spans="1:34" x14ac:dyDescent="0.25">
      <c r="A19" s="159" t="s">
        <v>91</v>
      </c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1"/>
    </row>
    <row r="20" spans="1:34" ht="15.75" thickBot="1" x14ac:dyDescent="0.3">
      <c r="A20" s="157" t="s">
        <v>89</v>
      </c>
      <c r="D20" s="118" t="s">
        <v>17</v>
      </c>
      <c r="E20" s="122" t="s">
        <v>90</v>
      </c>
      <c r="F20" s="122"/>
      <c r="G20" s="122"/>
      <c r="H20" s="118" t="s">
        <v>16</v>
      </c>
      <c r="I20" s="122" t="str">
        <f>IF(B21="","",AG20&amp;" · ("&amp;AA20&amp;"+j"&amp;AB20&amp;")")</f>
        <v/>
      </c>
      <c r="J20" s="122"/>
      <c r="K20" s="122"/>
      <c r="L20" s="122"/>
      <c r="M20" s="122"/>
      <c r="N20" s="122"/>
      <c r="O20" s="118" t="s">
        <v>17</v>
      </c>
      <c r="P20" s="123" t="str">
        <f>IF(B21="","","("&amp;AE21&amp;"°) Ω")</f>
        <v/>
      </c>
      <c r="Q20" s="123"/>
      <c r="R20" s="123"/>
      <c r="S20" s="123"/>
      <c r="T20" s="123"/>
      <c r="U20" s="123" t="str">
        <f>IF(B21="","","("&amp;AD21&amp;") Ω")</f>
        <v/>
      </c>
      <c r="V20" s="123"/>
      <c r="W20" s="123"/>
      <c r="X20" s="123"/>
      <c r="Y20" s="124"/>
      <c r="AA20" s="46">
        <f>Kabeldata!B32</f>
        <v>7.41</v>
      </c>
      <c r="AB20" s="19">
        <f>Kabeldata!B33</f>
        <v>9.5000000000000001E-2</v>
      </c>
      <c r="AC20" s="19">
        <f>SQRT(AA20^2+AB20^2)</f>
        <v>7.4106089493374299</v>
      </c>
      <c r="AD20" s="19" t="str">
        <f>COMPLEX(AA20,AB20,)</f>
        <v>7,41+0,095i</v>
      </c>
      <c r="AE20" s="19" t="str">
        <f>ROUND(IMABS(COMPLEX(AA20,AB20,"j")),6)&amp;" ∠"&amp;ROUND(DEGREES(IMARGUMENT(COMPLEX(AA20,AB20,"j"))),2)</f>
        <v>7,410609 ∠0,73</v>
      </c>
      <c r="AF20" s="19"/>
      <c r="AG20" s="19">
        <f>Kabeldata!B27</f>
        <v>10.7</v>
      </c>
      <c r="AH20" s="15">
        <f>Kabeldata!B28</f>
        <v>1</v>
      </c>
    </row>
    <row r="21" spans="1:34" x14ac:dyDescent="0.25">
      <c r="A21" s="157"/>
      <c r="B21" s="158" t="str">
        <f>IF(Kabeldata!$B$22="","",Kabeldata!$B$22)</f>
        <v/>
      </c>
      <c r="C21" s="158"/>
      <c r="D21" s="118"/>
      <c r="E21" s="144" t="str">
        <f>1000&amp;IF(AH20=1,""," · η")</f>
        <v>1000</v>
      </c>
      <c r="F21" s="144"/>
      <c r="G21" s="144"/>
      <c r="H21" s="118"/>
      <c r="I21" s="118" t="str">
        <f>IF(B21="","",1000&amp;IF(AH20=1,""," · "&amp;AH20))</f>
        <v/>
      </c>
      <c r="J21" s="118"/>
      <c r="K21" s="118"/>
      <c r="L21" s="118"/>
      <c r="M21" s="118"/>
      <c r="N21" s="118"/>
      <c r="O21" s="118"/>
      <c r="P21" s="123"/>
      <c r="Q21" s="123"/>
      <c r="R21" s="123"/>
      <c r="S21" s="123"/>
      <c r="T21" s="123"/>
      <c r="U21" s="123"/>
      <c r="V21" s="123"/>
      <c r="W21" s="123"/>
      <c r="X21" s="123"/>
      <c r="Y21" s="124"/>
      <c r="AA21" s="7">
        <f>(AG20*AA20)/AH21</f>
        <v>7.9286999999999996E-2</v>
      </c>
      <c r="AB21" s="8">
        <f>(AG20*AB20)/AH21</f>
        <v>1.0165E-3</v>
      </c>
      <c r="AC21" s="8">
        <f>SQRT(AA21^2+AB21^2)</f>
        <v>7.9293515757910493E-2</v>
      </c>
      <c r="AD21" s="8" t="str">
        <f>COMPLEX(AA21,AB21,)</f>
        <v>0,079287+0,0010165i</v>
      </c>
      <c r="AE21" s="8" t="str">
        <f>ROUND(IMABS(COMPLEX(AA21,AB21,"j")),6)&amp;" ∠"&amp;ROUND(DEGREES(IMARGUMENT(COMPLEX(AA21,AB21,"j"))),2)</f>
        <v>0,079294 ∠0,73</v>
      </c>
      <c r="AF21" s="8"/>
      <c r="AG21" s="8"/>
      <c r="AH21" s="9">
        <f>1000*AH20</f>
        <v>1000</v>
      </c>
    </row>
    <row r="22" spans="1:34" x14ac:dyDescent="0.25">
      <c r="A22" s="159" t="s">
        <v>91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1"/>
    </row>
    <row r="23" spans="1:34" ht="15.75" thickBot="1" x14ac:dyDescent="0.3">
      <c r="A23" s="157" t="s">
        <v>89</v>
      </c>
      <c r="D23" s="118" t="s">
        <v>17</v>
      </c>
      <c r="E23" s="122" t="s">
        <v>90</v>
      </c>
      <c r="F23" s="122"/>
      <c r="G23" s="122"/>
      <c r="H23" s="118" t="s">
        <v>16</v>
      </c>
      <c r="I23" s="122" t="str">
        <f>IF(B24="","",AG23&amp;" · ("&amp;AA23&amp;"+j"&amp;AB23&amp;")")</f>
        <v/>
      </c>
      <c r="J23" s="122"/>
      <c r="K23" s="122"/>
      <c r="L23" s="122"/>
      <c r="M23" s="122"/>
      <c r="N23" s="122"/>
      <c r="O23" s="118" t="s">
        <v>17</v>
      </c>
      <c r="P23" s="123" t="str">
        <f>IF(B24="","","("&amp;AE24&amp;"°) Ω")</f>
        <v/>
      </c>
      <c r="Q23" s="123"/>
      <c r="R23" s="123"/>
      <c r="S23" s="123"/>
      <c r="T23" s="123"/>
      <c r="U23" s="123" t="str">
        <f>IF(B24="","","("&amp;AD24&amp;") Ω")</f>
        <v/>
      </c>
      <c r="V23" s="123"/>
      <c r="W23" s="123"/>
      <c r="X23" s="123"/>
      <c r="Y23" s="124"/>
      <c r="AA23" s="46">
        <f>Kabeldata!F32</f>
        <v>1.1499999999999999</v>
      </c>
      <c r="AB23" s="19">
        <f>Kabeldata!F33</f>
        <v>8.5000000000000006E-2</v>
      </c>
      <c r="AC23" s="19">
        <f>SQRT(AA23^2+AB23^2)</f>
        <v>1.1531370256825508</v>
      </c>
      <c r="AD23" s="19" t="str">
        <f>COMPLEX(AA23,AB23,)</f>
        <v>1,15+0,085i</v>
      </c>
      <c r="AE23" s="19" t="str">
        <f>ROUND(IMABS(COMPLEX(AA23,AB23,"j")),6)&amp;" ∠"&amp;ROUND(DEGREES(IMARGUMENT(COMPLEX(AA23,AB23,"j"))),2)</f>
        <v>1,153137 ∠4,23</v>
      </c>
      <c r="AF23" s="19"/>
      <c r="AG23" s="19">
        <f>Kabeldata!F27</f>
        <v>2</v>
      </c>
      <c r="AH23" s="15">
        <f>Kabeldata!F28</f>
        <v>1</v>
      </c>
    </row>
    <row r="24" spans="1:34" x14ac:dyDescent="0.25">
      <c r="A24" s="157"/>
      <c r="B24" s="158" t="str">
        <f>IF(Kabeldata!$F$22="","",Kabeldata!$F$22)</f>
        <v/>
      </c>
      <c r="C24" s="158"/>
      <c r="D24" s="118"/>
      <c r="E24" s="144" t="str">
        <f>1000&amp;IF(AH23=1,""," · η")</f>
        <v>1000</v>
      </c>
      <c r="F24" s="144"/>
      <c r="G24" s="144"/>
      <c r="H24" s="118"/>
      <c r="I24" s="118" t="str">
        <f>IF(B24="","",1000&amp;IF(AH23=1,""," · "&amp;AH23))</f>
        <v/>
      </c>
      <c r="J24" s="118"/>
      <c r="K24" s="118"/>
      <c r="L24" s="118"/>
      <c r="M24" s="118"/>
      <c r="N24" s="118"/>
      <c r="O24" s="118"/>
      <c r="P24" s="123"/>
      <c r="Q24" s="123"/>
      <c r="R24" s="123"/>
      <c r="S24" s="123"/>
      <c r="T24" s="123"/>
      <c r="U24" s="123"/>
      <c r="V24" s="123"/>
      <c r="W24" s="123"/>
      <c r="X24" s="123"/>
      <c r="Y24" s="124"/>
      <c r="AA24" s="7">
        <f>(AG23*AA23)/AH24</f>
        <v>2.3E-3</v>
      </c>
      <c r="AB24" s="8">
        <f>(AG23*AB23)/AH24</f>
        <v>1.7000000000000001E-4</v>
      </c>
      <c r="AC24" s="8">
        <f>SQRT(AA24^2+AB24^2)</f>
        <v>2.3062740513651019E-3</v>
      </c>
      <c r="AD24" s="8" t="str">
        <f>COMPLEX(AA24,AB24,)</f>
        <v>0,0023+0,00017i</v>
      </c>
      <c r="AE24" s="8" t="str">
        <f>ROUND(IMABS(COMPLEX(AA24,AB24,"j")),6)&amp;" ∠"&amp;ROUND(DEGREES(IMARGUMENT(COMPLEX(AA24,AB24,"j"))),2)</f>
        <v>0,002306 ∠4,23</v>
      </c>
      <c r="AF24" s="8"/>
      <c r="AG24" s="8"/>
      <c r="AH24" s="9">
        <f>1000*AH23</f>
        <v>1000</v>
      </c>
    </row>
    <row r="25" spans="1:34" x14ac:dyDescent="0.25">
      <c r="A25" s="159" t="s">
        <v>91</v>
      </c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1"/>
    </row>
    <row r="26" spans="1:34" ht="15.75" thickBot="1" x14ac:dyDescent="0.3">
      <c r="A26" s="157" t="s">
        <v>89</v>
      </c>
      <c r="D26" s="118" t="s">
        <v>17</v>
      </c>
      <c r="E26" s="122" t="s">
        <v>90</v>
      </c>
      <c r="F26" s="122"/>
      <c r="G26" s="122"/>
      <c r="H26" s="118" t="s">
        <v>16</v>
      </c>
      <c r="I26" s="122" t="str">
        <f>IF(B27="","",AG26&amp;" · ("&amp;AA26&amp;"+j"&amp;AB26&amp;")")</f>
        <v/>
      </c>
      <c r="J26" s="122"/>
      <c r="K26" s="122"/>
      <c r="L26" s="122"/>
      <c r="M26" s="122"/>
      <c r="N26" s="122"/>
      <c r="O26" s="118" t="s">
        <v>17</v>
      </c>
      <c r="P26" s="123" t="str">
        <f>IF(B27="","","("&amp;AE27&amp;"°) Ω")</f>
        <v/>
      </c>
      <c r="Q26" s="123"/>
      <c r="R26" s="123"/>
      <c r="S26" s="123"/>
      <c r="T26" s="123"/>
      <c r="U26" s="123" t="str">
        <f>IF(B27="","","("&amp;AD27&amp;") Ω")</f>
        <v/>
      </c>
      <c r="V26" s="123"/>
      <c r="W26" s="123"/>
      <c r="X26" s="123"/>
      <c r="Y26" s="124"/>
      <c r="AA26" s="46">
        <f>Kabeldata!J32</f>
        <v>7.41</v>
      </c>
      <c r="AB26" s="19">
        <f>Kabeldata!J33</f>
        <v>9.5000000000000001E-2</v>
      </c>
      <c r="AC26" s="19">
        <f>SQRT(AA26^2+AB26^2)</f>
        <v>7.4106089493374299</v>
      </c>
      <c r="AD26" s="19" t="str">
        <f>COMPLEX(AA26,AB26,)</f>
        <v>7,41+0,095i</v>
      </c>
      <c r="AE26" s="19" t="str">
        <f>ROUND(IMABS(COMPLEX(AA26,AB26,"j")),6)&amp;" ∠"&amp;ROUND(DEGREES(IMARGUMENT(COMPLEX(AA26,AB26,"j"))),2)</f>
        <v>7,410609 ∠0,73</v>
      </c>
      <c r="AF26" s="19"/>
      <c r="AG26" s="19">
        <f>Kabeldata!J27</f>
        <v>38.35</v>
      </c>
      <c r="AH26" s="15">
        <f>Kabeldata!J28</f>
        <v>1</v>
      </c>
    </row>
    <row r="27" spans="1:34" x14ac:dyDescent="0.25">
      <c r="A27" s="157"/>
      <c r="B27" s="158" t="str">
        <f>IF(Kabeldata!$J$22="","",Kabeldata!$J$22)</f>
        <v/>
      </c>
      <c r="C27" s="158"/>
      <c r="D27" s="118"/>
      <c r="E27" s="144" t="str">
        <f>1000&amp;IF(AH26=1,""," · η")</f>
        <v>1000</v>
      </c>
      <c r="F27" s="144"/>
      <c r="G27" s="144"/>
      <c r="H27" s="118"/>
      <c r="I27" s="118" t="str">
        <f>IF(B27="","",1000&amp;IF(AH26=1,""," · "&amp;AH26))</f>
        <v/>
      </c>
      <c r="J27" s="118"/>
      <c r="K27" s="118"/>
      <c r="L27" s="118"/>
      <c r="M27" s="118"/>
      <c r="N27" s="118"/>
      <c r="O27" s="118"/>
      <c r="P27" s="123"/>
      <c r="Q27" s="123"/>
      <c r="R27" s="123"/>
      <c r="S27" s="123"/>
      <c r="T27" s="123"/>
      <c r="U27" s="123"/>
      <c r="V27" s="123"/>
      <c r="W27" s="123"/>
      <c r="X27" s="123"/>
      <c r="Y27" s="124"/>
      <c r="AA27" s="7">
        <f>(AG26*AA26)/AH27</f>
        <v>0.28417349999999997</v>
      </c>
      <c r="AB27" s="8">
        <f>(AG26*AB26)/AH27</f>
        <v>3.6432500000000002E-3</v>
      </c>
      <c r="AC27" s="8">
        <f>SQRT(AA27^2+AB27^2)</f>
        <v>0.28419685320709037</v>
      </c>
      <c r="AD27" s="8" t="str">
        <f>COMPLEX(AA27,AB27,)</f>
        <v>0,2841735+0,00364325i</v>
      </c>
      <c r="AE27" s="8" t="str">
        <f>ROUND(IMABS(COMPLEX(AA27,AB27,"j")),6)&amp;" ∠"&amp;ROUND(DEGREES(IMARGUMENT(COMPLEX(AA27,AB27,"j"))),2)</f>
        <v>0,284197 ∠0,73</v>
      </c>
      <c r="AF27" s="8"/>
      <c r="AG27" s="8"/>
      <c r="AH27" s="9">
        <f>1000*AH26</f>
        <v>1000</v>
      </c>
    </row>
    <row r="28" spans="1:34" x14ac:dyDescent="0.25">
      <c r="A28" s="159" t="s">
        <v>91</v>
      </c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1"/>
    </row>
    <row r="29" spans="1:34" ht="15.75" thickBot="1" x14ac:dyDescent="0.3">
      <c r="A29" s="157" t="s">
        <v>89</v>
      </c>
      <c r="D29" s="118" t="s">
        <v>17</v>
      </c>
      <c r="E29" s="122" t="s">
        <v>90</v>
      </c>
      <c r="F29" s="122"/>
      <c r="G29" s="122"/>
      <c r="H29" s="118" t="s">
        <v>16</v>
      </c>
      <c r="I29" s="122" t="str">
        <f>IF(B30="","",AG29&amp;" · ("&amp;AA29&amp;"+j"&amp;AB29&amp;")")</f>
        <v/>
      </c>
      <c r="J29" s="122"/>
      <c r="K29" s="122"/>
      <c r="L29" s="122"/>
      <c r="M29" s="122"/>
      <c r="N29" s="122"/>
      <c r="O29" s="118" t="s">
        <v>17</v>
      </c>
      <c r="P29" s="123" t="str">
        <f>IF(B30="","","("&amp;AE30&amp;"°) Ω")</f>
        <v/>
      </c>
      <c r="Q29" s="123"/>
      <c r="R29" s="123"/>
      <c r="S29" s="123"/>
      <c r="T29" s="123"/>
      <c r="U29" s="123" t="str">
        <f>IF(B30="","","("&amp;AD30&amp;") Ω")</f>
        <v/>
      </c>
      <c r="V29" s="123"/>
      <c r="W29" s="123"/>
      <c r="X29" s="123"/>
      <c r="Y29" s="124"/>
      <c r="AA29" s="46">
        <f>Kabeldata!N32</f>
        <v>0</v>
      </c>
      <c r="AB29" s="19">
        <f>Kabeldata!N33</f>
        <v>0</v>
      </c>
      <c r="AC29" s="19">
        <f>SQRT(AA29^2+AB29^2)</f>
        <v>0</v>
      </c>
      <c r="AD29" s="19" t="str">
        <f>COMPLEX(AA29,AB29,)</f>
        <v>0</v>
      </c>
      <c r="AE29" s="19" t="e">
        <f>ROUND(IMABS(COMPLEX(AA29,AB29,"j")),6)&amp;" ∠"&amp;ROUND(DEGREES(IMARGUMENT(COMPLEX(AA29,AB29,"j"))),2)</f>
        <v>#DIV/0!</v>
      </c>
      <c r="AF29" s="19"/>
      <c r="AG29" s="19">
        <f>Kabeldata!N27</f>
        <v>0</v>
      </c>
      <c r="AH29" s="15">
        <f>Kabeldata!N28</f>
        <v>1</v>
      </c>
    </row>
    <row r="30" spans="1:34" x14ac:dyDescent="0.25">
      <c r="A30" s="157"/>
      <c r="B30" s="158" t="str">
        <f>IF(Kabeldata!$N$22="","",Kabeldata!$N$22)</f>
        <v/>
      </c>
      <c r="C30" s="158"/>
      <c r="D30" s="118"/>
      <c r="E30" s="144" t="str">
        <f>1000&amp;IF(AH29=1,""," · η")</f>
        <v>1000</v>
      </c>
      <c r="F30" s="144"/>
      <c r="G30" s="144"/>
      <c r="H30" s="118"/>
      <c r="I30" s="118" t="str">
        <f>IF(B30="","",1000&amp;IF(AH29=1,""," · "&amp;AH29))</f>
        <v/>
      </c>
      <c r="J30" s="118"/>
      <c r="K30" s="118"/>
      <c r="L30" s="118"/>
      <c r="M30" s="118"/>
      <c r="N30" s="118"/>
      <c r="O30" s="118"/>
      <c r="P30" s="123"/>
      <c r="Q30" s="123"/>
      <c r="R30" s="123"/>
      <c r="S30" s="123"/>
      <c r="T30" s="123"/>
      <c r="U30" s="123"/>
      <c r="V30" s="123"/>
      <c r="W30" s="123"/>
      <c r="X30" s="123"/>
      <c r="Y30" s="124"/>
      <c r="AA30" s="7">
        <f>(AG29*AA29)/AH30</f>
        <v>0</v>
      </c>
      <c r="AB30" s="8">
        <f>(AG29*AB29)/AH30</f>
        <v>0</v>
      </c>
      <c r="AC30" s="8">
        <f>SQRT(AA30^2+AB30^2)</f>
        <v>0</v>
      </c>
      <c r="AD30" s="8" t="str">
        <f>COMPLEX(AA30,AB30,)</f>
        <v>0</v>
      </c>
      <c r="AE30" s="8" t="e">
        <f>ROUND(IMABS(COMPLEX(AA30,AB30,"j")),6)&amp;" ∠"&amp;ROUND(DEGREES(IMARGUMENT(COMPLEX(AA30,AB30,"j"))),2)</f>
        <v>#DIV/0!</v>
      </c>
      <c r="AF30" s="8"/>
      <c r="AG30" s="8"/>
      <c r="AH30" s="9">
        <f>1000*AH29</f>
        <v>1000</v>
      </c>
    </row>
    <row r="31" spans="1:34" x14ac:dyDescent="0.25">
      <c r="A31" s="159" t="s">
        <v>91</v>
      </c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1"/>
    </row>
    <row r="32" spans="1:34" ht="15.75" thickBot="1" x14ac:dyDescent="0.3">
      <c r="A32" s="157" t="s">
        <v>89</v>
      </c>
      <c r="D32" s="118" t="s">
        <v>17</v>
      </c>
      <c r="E32" s="122" t="s">
        <v>90</v>
      </c>
      <c r="F32" s="122"/>
      <c r="G32" s="122"/>
      <c r="H32" s="118" t="s">
        <v>16</v>
      </c>
      <c r="I32" s="122" t="str">
        <f>IF(B33="","",AG32&amp;" · ("&amp;AA32&amp;"+j"&amp;AB32&amp;")")</f>
        <v/>
      </c>
      <c r="J32" s="122"/>
      <c r="K32" s="122"/>
      <c r="L32" s="122"/>
      <c r="M32" s="122"/>
      <c r="N32" s="122"/>
      <c r="O32" s="118" t="s">
        <v>17</v>
      </c>
      <c r="P32" s="123" t="str">
        <f>IF(B33="","","("&amp;AE33&amp;"°) Ω")</f>
        <v/>
      </c>
      <c r="Q32" s="123"/>
      <c r="R32" s="123"/>
      <c r="S32" s="123"/>
      <c r="T32" s="123"/>
      <c r="U32" s="123" t="str">
        <f>IF(B33="","","("&amp;AD33&amp;") Ω")</f>
        <v/>
      </c>
      <c r="V32" s="123"/>
      <c r="W32" s="123"/>
      <c r="X32" s="123"/>
      <c r="Y32" s="124"/>
      <c r="AA32" s="46">
        <f>Kabeldata!R32</f>
        <v>0</v>
      </c>
      <c r="AB32" s="19">
        <f>Kabeldata!R33</f>
        <v>0</v>
      </c>
      <c r="AC32" s="19">
        <f>SQRT(AA32^2+AB32^2)</f>
        <v>0</v>
      </c>
      <c r="AD32" s="19" t="str">
        <f>COMPLEX(AA32,AB32,)</f>
        <v>0</v>
      </c>
      <c r="AE32" s="19" t="e">
        <f>ROUND(IMABS(COMPLEX(AA32,AB32,"j")),6)&amp;" ∠"&amp;ROUND(DEGREES(IMARGUMENT(COMPLEX(AA32,AB32,"j"))),2)</f>
        <v>#DIV/0!</v>
      </c>
      <c r="AF32" s="19"/>
      <c r="AG32" s="19">
        <f>Kabeldata!R27</f>
        <v>0</v>
      </c>
      <c r="AH32" s="15">
        <f>Kabeldata!R28</f>
        <v>0</v>
      </c>
    </row>
    <row r="33" spans="1:35" x14ac:dyDescent="0.25">
      <c r="A33" s="157"/>
      <c r="B33" s="158" t="str">
        <f>IF(Kabeldata!$R$22="","",Kabeldata!$R$22)</f>
        <v/>
      </c>
      <c r="C33" s="158"/>
      <c r="D33" s="118"/>
      <c r="E33" s="144" t="str">
        <f>1000&amp;IF(AH32=1,""," · η")</f>
        <v>1000 · η</v>
      </c>
      <c r="F33" s="144"/>
      <c r="G33" s="144"/>
      <c r="H33" s="118"/>
      <c r="I33" s="118" t="str">
        <f>IF(B33="","",1000&amp;IF(AH32=1,""," · "&amp;AH32))</f>
        <v/>
      </c>
      <c r="J33" s="118"/>
      <c r="K33" s="118"/>
      <c r="L33" s="118"/>
      <c r="M33" s="118"/>
      <c r="N33" s="118"/>
      <c r="O33" s="118"/>
      <c r="P33" s="123"/>
      <c r="Q33" s="123"/>
      <c r="R33" s="123"/>
      <c r="S33" s="123"/>
      <c r="T33" s="123"/>
      <c r="U33" s="123"/>
      <c r="V33" s="123"/>
      <c r="W33" s="123"/>
      <c r="X33" s="123"/>
      <c r="Y33" s="124"/>
      <c r="AA33" s="7" t="e">
        <f>(AG32*AA32)/AH33</f>
        <v>#DIV/0!</v>
      </c>
      <c r="AB33" s="8" t="e">
        <f>(AG32*AB32)/AH33</f>
        <v>#DIV/0!</v>
      </c>
      <c r="AC33" s="8" t="e">
        <f>SQRT(AA33^2+AB33^2)</f>
        <v>#DIV/0!</v>
      </c>
      <c r="AD33" s="8" t="e">
        <f>COMPLEX(AA33,AB33,)</f>
        <v>#DIV/0!</v>
      </c>
      <c r="AE33" s="8" t="e">
        <f>ROUND(IMABS(COMPLEX(AA33,AB33,"j")),6)&amp;" ∠"&amp;ROUND(DEGREES(IMARGUMENT(COMPLEX(AA33,AB33,"j"))),2)</f>
        <v>#DIV/0!</v>
      </c>
      <c r="AF33" s="8"/>
      <c r="AG33" s="8"/>
      <c r="AH33" s="9">
        <f>1000*AH32</f>
        <v>0</v>
      </c>
    </row>
    <row r="34" spans="1:35" x14ac:dyDescent="0.2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9"/>
    </row>
    <row r="37" spans="1:35" ht="18" customHeight="1" x14ac:dyDescent="0.25">
      <c r="A37" s="153" t="s">
        <v>92</v>
      </c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 t="s">
        <v>84</v>
      </c>
      <c r="Q37" s="154"/>
      <c r="R37" s="154"/>
      <c r="S37" s="154"/>
      <c r="T37" s="154"/>
      <c r="U37" s="154" t="s">
        <v>85</v>
      </c>
      <c r="V37" s="154"/>
      <c r="W37" s="154"/>
      <c r="X37" s="154"/>
      <c r="Y37" s="162"/>
    </row>
    <row r="38" spans="1:35" ht="18" customHeight="1" x14ac:dyDescent="0.25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63"/>
      <c r="AA38" s="1" t="s">
        <v>18</v>
      </c>
      <c r="AB38" s="1" t="s">
        <v>19</v>
      </c>
      <c r="AC38" s="1" t="s">
        <v>20</v>
      </c>
      <c r="AD38" s="1" t="s">
        <v>86</v>
      </c>
      <c r="AE38" s="1" t="s">
        <v>22</v>
      </c>
      <c r="AG38" s="1" t="s">
        <v>87</v>
      </c>
      <c r="AH38" s="1" t="s">
        <v>88</v>
      </c>
      <c r="AI38" s="1" t="s">
        <v>93</v>
      </c>
    </row>
    <row r="39" spans="1:35" x14ac:dyDescent="0.25">
      <c r="A39" s="17"/>
      <c r="B39" s="18"/>
      <c r="C39" s="18"/>
      <c r="D39" s="19"/>
      <c r="E39" s="18"/>
      <c r="F39" s="18"/>
      <c r="G39" s="18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5"/>
    </row>
    <row r="40" spans="1:35" ht="15.75" thickBot="1" x14ac:dyDescent="0.3">
      <c r="A40" s="157" t="s">
        <v>89</v>
      </c>
      <c r="D40" s="118" t="s">
        <v>17</v>
      </c>
      <c r="E40" s="122" t="str">
        <f>"L · ("&amp;IF(AI40="Ja",1.25,1.5)&amp;" · R+jX)"</f>
        <v>L · (1,5 · R+jX)</v>
      </c>
      <c r="F40" s="122"/>
      <c r="G40" s="122"/>
      <c r="H40" s="118" t="s">
        <v>16</v>
      </c>
      <c r="I40" s="122" t="str">
        <f>IF(B41="","",AG40&amp;" · ("&amp;(IF(AI40="Ja",1.25,1.5)&amp;" · "&amp;AA40&amp;"+j"&amp;AB40&amp;")"))</f>
        <v>75 · (1,5 · 0,0787+j0,077)</v>
      </c>
      <c r="J40" s="122"/>
      <c r="K40" s="122"/>
      <c r="L40" s="122"/>
      <c r="M40" s="122"/>
      <c r="N40" s="122"/>
      <c r="O40" s="118" t="s">
        <v>17</v>
      </c>
      <c r="P40" s="123" t="str">
        <f>IF(B41="","","("&amp;AE41&amp;"°) Ω")</f>
        <v>(0,003524 ∠33,12°) Ω</v>
      </c>
      <c r="Q40" s="123"/>
      <c r="R40" s="123"/>
      <c r="S40" s="123"/>
      <c r="T40" s="123"/>
      <c r="U40" s="123" t="str">
        <f>IF(B41="","","("&amp;AD41&amp;") Ω")</f>
        <v>(0,00295125+0,001925i) Ω</v>
      </c>
      <c r="V40" s="123"/>
      <c r="W40" s="123"/>
      <c r="X40" s="123"/>
      <c r="Y40" s="124"/>
      <c r="AA40" s="46">
        <f>AA5</f>
        <v>7.8700000000000006E-2</v>
      </c>
      <c r="AB40" s="19">
        <f>AB5</f>
        <v>7.6999999999999999E-2</v>
      </c>
      <c r="AC40" s="19">
        <f>SQRT(AA40^2+AB40^2)</f>
        <v>0.11010308805841915</v>
      </c>
      <c r="AD40" s="19" t="str">
        <f>COMPLEX(AA40,AB40,)</f>
        <v>0,0787+0,077i</v>
      </c>
      <c r="AE40" s="19" t="str">
        <f>ROUND(IMABS(COMPLEX(AA40,AB40,"j")),6)&amp;" ∠"&amp;ROUND(DEGREES(IMARGUMENT(COMPLEX(AA40,AB40,"j"))),2)</f>
        <v>0,110103 ∠44,37</v>
      </c>
      <c r="AF40" s="19"/>
      <c r="AG40" s="19">
        <f>Kabeldata!B9</f>
        <v>75</v>
      </c>
      <c r="AH40" s="15">
        <f>Kabeldata!B10</f>
        <v>3</v>
      </c>
      <c r="AI40" s="49" t="str">
        <f>Kabeldata!B3</f>
        <v>Nej</v>
      </c>
    </row>
    <row r="41" spans="1:35" x14ac:dyDescent="0.25">
      <c r="A41" s="157"/>
      <c r="B41" s="158" t="str">
        <f>IF(Kabeldata!$B$4="","",Kabeldata!$B$4)</f>
        <v>W1</v>
      </c>
      <c r="C41" s="158" t="str">
        <f>IF(Kabeldata!$B$4="","",Kabeldata!$B$4)</f>
        <v>W1</v>
      </c>
      <c r="D41" s="118"/>
      <c r="E41" s="144" t="str">
        <f>1000&amp;IF(AH40=1,""," · η")</f>
        <v>1000 · η</v>
      </c>
      <c r="F41" s="144"/>
      <c r="G41" s="144"/>
      <c r="H41" s="118"/>
      <c r="I41" s="118" t="str">
        <f>IF(B41="","",1000&amp;IF(AH40=1,""," · "&amp;AH40))</f>
        <v>1000 · 3</v>
      </c>
      <c r="J41" s="118"/>
      <c r="K41" s="118"/>
      <c r="L41" s="118"/>
      <c r="M41" s="118"/>
      <c r="N41" s="118"/>
      <c r="O41" s="118"/>
      <c r="P41" s="123"/>
      <c r="Q41" s="123"/>
      <c r="R41" s="123"/>
      <c r="S41" s="123"/>
      <c r="T41" s="123"/>
      <c r="U41" s="123"/>
      <c r="V41" s="123"/>
      <c r="W41" s="123"/>
      <c r="X41" s="123"/>
      <c r="Y41" s="124"/>
      <c r="AA41" s="7">
        <f>(AG40*(IF(AI40="Ja",1.25,1.5)*AA40))/AH41</f>
        <v>2.9512500000000003E-3</v>
      </c>
      <c r="AB41" s="8">
        <f>(AG40*AB40)/AH41</f>
        <v>1.9250000000000001E-3</v>
      </c>
      <c r="AC41" s="8">
        <f>SQRT(AA41^2+AB41^2)</f>
        <v>3.5235637588242959E-3</v>
      </c>
      <c r="AD41" s="8" t="str">
        <f>COMPLEX(AA41,AB41,)</f>
        <v>0,00295125+0,001925i</v>
      </c>
      <c r="AE41" s="8" t="str">
        <f>ROUND(IMABS(COMPLEX(AA41,AB41,"j")),6)&amp;" ∠"&amp;ROUND(DEGREES(IMARGUMENT(COMPLEX(AA41,AB41,"j"))),2)</f>
        <v>0,003524 ∠33,12</v>
      </c>
      <c r="AF41" s="8"/>
      <c r="AG41" s="8"/>
      <c r="AH41" s="9">
        <f>1000*AH40</f>
        <v>3000</v>
      </c>
    </row>
    <row r="42" spans="1:35" x14ac:dyDescent="0.25">
      <c r="A42" s="159" t="s">
        <v>91</v>
      </c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1"/>
    </row>
    <row r="43" spans="1:35" ht="15.75" thickBot="1" x14ac:dyDescent="0.3">
      <c r="A43" s="157" t="s">
        <v>89</v>
      </c>
      <c r="D43" s="118" t="s">
        <v>17</v>
      </c>
      <c r="E43" s="122" t="str">
        <f>"L · ("&amp;IF(AI43="Ja",1.25,1.5)&amp;" · R+jX)"</f>
        <v>L · (1,5 · R+jX)</v>
      </c>
      <c r="F43" s="122"/>
      <c r="G43" s="122"/>
      <c r="H43" s="118" t="s">
        <v>16</v>
      </c>
      <c r="I43" s="122" t="str">
        <f>IF(B44="","",AG43&amp;" · ("&amp;(IF(AI43="Ja",1.25,1.5)&amp;" · "&amp;AA43&amp;"+j"&amp;AB43&amp;")"))</f>
        <v>20 · (1,5 · 0,641+j0,081)</v>
      </c>
      <c r="J43" s="122"/>
      <c r="K43" s="122"/>
      <c r="L43" s="122"/>
      <c r="M43" s="122"/>
      <c r="N43" s="122"/>
      <c r="O43" s="118" t="s">
        <v>17</v>
      </c>
      <c r="P43" s="123" t="str">
        <f>IF(B44="","","("&amp;AE44&amp;"°) Ω")</f>
        <v>(0,019298 ∠4,82°) Ω</v>
      </c>
      <c r="Q43" s="123"/>
      <c r="R43" s="123"/>
      <c r="S43" s="123"/>
      <c r="T43" s="123"/>
      <c r="U43" s="123" t="str">
        <f>IF(B44="","","("&amp;AD44&amp;") Ω")</f>
        <v>(0,01923+0,00162i) Ω</v>
      </c>
      <c r="V43" s="123"/>
      <c r="W43" s="123"/>
      <c r="X43" s="123"/>
      <c r="Y43" s="124"/>
      <c r="AA43" s="46">
        <f>AA8</f>
        <v>0.64100000000000001</v>
      </c>
      <c r="AB43" s="19">
        <f>AB8</f>
        <v>8.1000000000000003E-2</v>
      </c>
      <c r="AC43" s="19">
        <f>SQRT(AA43^2+AB43^2)</f>
        <v>0.6460975158596417</v>
      </c>
      <c r="AD43" s="19" t="str">
        <f>COMPLEX(AA43,AB43,)</f>
        <v>0,641+0,081i</v>
      </c>
      <c r="AE43" s="19" t="str">
        <f>ROUND(IMABS(COMPLEX(AA43,AB43,"j")),6)&amp;" ∠"&amp;ROUND(DEGREES(IMARGUMENT(COMPLEX(AA43,AB43,"j"))),2)</f>
        <v>0,646098 ∠7,2</v>
      </c>
      <c r="AF43" s="19"/>
      <c r="AG43" s="19">
        <f>Kabeldata!F9</f>
        <v>20</v>
      </c>
      <c r="AH43" s="15">
        <f>Kabeldata!F10</f>
        <v>1</v>
      </c>
      <c r="AI43" s="49" t="str">
        <f>Kabeldata!F3</f>
        <v>Nej</v>
      </c>
    </row>
    <row r="44" spans="1:35" x14ac:dyDescent="0.25">
      <c r="A44" s="157"/>
      <c r="B44" s="158" t="str">
        <f>IF(Kabeldata!$F$4="","",Kabeldata!$F$4)</f>
        <v>W2</v>
      </c>
      <c r="C44" s="158"/>
      <c r="D44" s="118"/>
      <c r="E44" s="144" t="str">
        <f>1000&amp;IF(AH43=1,""," · η")</f>
        <v>1000</v>
      </c>
      <c r="F44" s="144"/>
      <c r="G44" s="144"/>
      <c r="H44" s="118"/>
      <c r="I44" s="118" t="str">
        <f>IF(B44="","",1000&amp;IF(AH43=1,""," · "&amp;AH43))</f>
        <v>1000</v>
      </c>
      <c r="J44" s="118"/>
      <c r="K44" s="118"/>
      <c r="L44" s="118"/>
      <c r="M44" s="118"/>
      <c r="N44" s="118"/>
      <c r="O44" s="118"/>
      <c r="P44" s="123"/>
      <c r="Q44" s="123"/>
      <c r="R44" s="123"/>
      <c r="S44" s="123"/>
      <c r="T44" s="123"/>
      <c r="U44" s="123"/>
      <c r="V44" s="123"/>
      <c r="W44" s="123"/>
      <c r="X44" s="123"/>
      <c r="Y44" s="124"/>
      <c r="AA44" s="7">
        <f>(AG43*(IF(AI43="Ja",1.25,1.5)*AA43))/AH44</f>
        <v>1.9230000000000001E-2</v>
      </c>
      <c r="AB44" s="8">
        <f>(AG43*AB43)/AH44</f>
        <v>1.6200000000000001E-3</v>
      </c>
      <c r="AC44" s="8">
        <f>SQRT(AA44^2+AB44^2)</f>
        <v>1.9298116488403731E-2</v>
      </c>
      <c r="AD44" s="8" t="str">
        <f>COMPLEX(AA44,AB44,)</f>
        <v>0,01923+0,00162i</v>
      </c>
      <c r="AE44" s="8" t="str">
        <f>ROUND(IMABS(COMPLEX(AA44,AB44,"j")),6)&amp;" ∠"&amp;ROUND(DEGREES(IMARGUMENT(COMPLEX(AA44,AB44,"j"))),2)</f>
        <v>0,019298 ∠4,82</v>
      </c>
      <c r="AF44" s="8"/>
      <c r="AG44" s="8"/>
      <c r="AH44" s="9">
        <f>1000*AH43</f>
        <v>1000</v>
      </c>
    </row>
    <row r="45" spans="1:35" x14ac:dyDescent="0.25">
      <c r="A45" s="159" t="s">
        <v>91</v>
      </c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1"/>
    </row>
    <row r="46" spans="1:35" ht="15.75" thickBot="1" x14ac:dyDescent="0.3">
      <c r="A46" s="157" t="s">
        <v>89</v>
      </c>
      <c r="D46" s="118" t="s">
        <v>17</v>
      </c>
      <c r="E46" s="122" t="str">
        <f>"L · ("&amp;IF(AI46="Ja",1.25,1.5)&amp;" · R+jX)"</f>
        <v>L · (1,25 · R+jX)</v>
      </c>
      <c r="F46" s="122"/>
      <c r="G46" s="122"/>
      <c r="H46" s="118" t="s">
        <v>16</v>
      </c>
      <c r="I46" s="122" t="str">
        <f>IF(B47="","",AG46&amp;" · ("&amp;(IF(AI46="Ja",1.25,1.5)&amp;" · "&amp;AA46&amp;"+j"&amp;AB46&amp;")"))</f>
        <v>30 · (1,25 · 0,444+j0,08)</v>
      </c>
      <c r="J46" s="122"/>
      <c r="K46" s="122"/>
      <c r="L46" s="122"/>
      <c r="M46" s="122"/>
      <c r="N46" s="122"/>
      <c r="O46" s="118" t="s">
        <v>17</v>
      </c>
      <c r="P46" s="123" t="str">
        <f>IF(B47="","","("&amp;AE47&amp;"°) Ω")</f>
        <v>(0,016822 ∠8,2°) Ω</v>
      </c>
      <c r="Q46" s="123"/>
      <c r="R46" s="123"/>
      <c r="S46" s="123"/>
      <c r="T46" s="123"/>
      <c r="U46" s="123" t="str">
        <f>IF(B47="","","("&amp;AD47&amp;") Ω")</f>
        <v>(0,01665+0,0024i) Ω</v>
      </c>
      <c r="V46" s="123"/>
      <c r="W46" s="123"/>
      <c r="X46" s="123"/>
      <c r="Y46" s="124"/>
      <c r="AA46" s="46">
        <f>AA11</f>
        <v>0.44400000000000001</v>
      </c>
      <c r="AB46" s="19">
        <f>AB11</f>
        <v>0.08</v>
      </c>
      <c r="AC46" s="19">
        <f>SQRT(AA46^2+AB46^2)</f>
        <v>0.45114964257993156</v>
      </c>
      <c r="AD46" s="19" t="str">
        <f>COMPLEX(AA46,AB46,)</f>
        <v>0,444+0,08i</v>
      </c>
      <c r="AE46" s="19" t="str">
        <f>ROUND(IMABS(COMPLEX(AA46,AB46,"j")),6)&amp;" ∠"&amp;ROUND(DEGREES(IMARGUMENT(COMPLEX(AA46,AB46,"j"))),2)</f>
        <v>0,45115 ∠10,21</v>
      </c>
      <c r="AF46" s="19"/>
      <c r="AG46" s="19">
        <f>Kabeldata!J9</f>
        <v>30</v>
      </c>
      <c r="AH46" s="15">
        <f>Kabeldata!J10</f>
        <v>1</v>
      </c>
      <c r="AI46" s="49" t="str">
        <f>Kabeldata!J3</f>
        <v>Ja</v>
      </c>
    </row>
    <row r="47" spans="1:35" x14ac:dyDescent="0.25">
      <c r="A47" s="157"/>
      <c r="B47" s="158" t="str">
        <f>IF(Kabeldata!$J$4="","",Kabeldata!$J$4)</f>
        <v>W3</v>
      </c>
      <c r="C47" s="158"/>
      <c r="D47" s="118"/>
      <c r="E47" s="144" t="str">
        <f>1000&amp;IF(AH46=1,""," · η")</f>
        <v>1000</v>
      </c>
      <c r="F47" s="144"/>
      <c r="G47" s="144"/>
      <c r="H47" s="118"/>
      <c r="I47" s="118" t="str">
        <f>IF(B47="","",1000&amp;IF(AH46=1,""," · "&amp;AH46))</f>
        <v>1000</v>
      </c>
      <c r="J47" s="118"/>
      <c r="K47" s="118"/>
      <c r="L47" s="118"/>
      <c r="M47" s="118"/>
      <c r="N47" s="118"/>
      <c r="O47" s="118"/>
      <c r="P47" s="123"/>
      <c r="Q47" s="123"/>
      <c r="R47" s="123"/>
      <c r="S47" s="123"/>
      <c r="T47" s="123"/>
      <c r="U47" s="123"/>
      <c r="V47" s="123"/>
      <c r="W47" s="123"/>
      <c r="X47" s="123"/>
      <c r="Y47" s="124"/>
      <c r="AA47" s="7">
        <f>(AG46*(IF(AI46="Ja",1.25,1.5)*AA46))/AH47</f>
        <v>1.6650000000000002E-2</v>
      </c>
      <c r="AB47" s="8">
        <f>(AG46*AB46)/AH47</f>
        <v>2.3999999999999998E-3</v>
      </c>
      <c r="AC47" s="8">
        <f>SQRT(AA47^2+AB47^2)</f>
        <v>1.682208369970855E-2</v>
      </c>
      <c r="AD47" s="8" t="str">
        <f>COMPLEX(AA47,AB47,)</f>
        <v>0,01665+0,0024i</v>
      </c>
      <c r="AE47" s="8" t="str">
        <f>ROUND(IMABS(COMPLEX(AA47,AB47,"j")),6)&amp;" ∠"&amp;ROUND(DEGREES(IMARGUMENT(COMPLEX(AA47,AB47,"j"))),2)</f>
        <v>0,016822 ∠8,2</v>
      </c>
      <c r="AF47" s="8"/>
      <c r="AG47" s="8"/>
      <c r="AH47" s="9">
        <f>1000*AH46</f>
        <v>1000</v>
      </c>
    </row>
    <row r="48" spans="1:35" x14ac:dyDescent="0.25">
      <c r="A48" s="159" t="s">
        <v>91</v>
      </c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1"/>
    </row>
    <row r="49" spans="1:35" ht="15.75" thickBot="1" x14ac:dyDescent="0.3">
      <c r="A49" s="157" t="s">
        <v>89</v>
      </c>
      <c r="D49" s="118" t="s">
        <v>17</v>
      </c>
      <c r="E49" s="122" t="str">
        <f>"L · ("&amp;IF(AI49="Ja",1.25,1.5)&amp;" · R+jX)"</f>
        <v>L · (1,5 · R+jX)</v>
      </c>
      <c r="F49" s="122"/>
      <c r="G49" s="122"/>
      <c r="H49" s="118" t="s">
        <v>16</v>
      </c>
      <c r="I49" s="122" t="str">
        <f>IF(B50="","",AG49&amp;" · ("&amp;(IF(AI49="Ja",1.25,1.5)&amp;" · "&amp;AA49&amp;"+j"&amp;AB49&amp;")"))</f>
        <v>8 · (1,5 · 1,2+j0,087)</v>
      </c>
      <c r="J49" s="122"/>
      <c r="K49" s="122"/>
      <c r="L49" s="122"/>
      <c r="M49" s="122"/>
      <c r="N49" s="122"/>
      <c r="O49" s="118" t="s">
        <v>17</v>
      </c>
      <c r="P49" s="123" t="str">
        <f>IF(B50="","","("&amp;AE50&amp;"°) Ω")</f>
        <v>(0,014417 ∠2,77°) Ω</v>
      </c>
      <c r="Q49" s="123"/>
      <c r="R49" s="123"/>
      <c r="S49" s="123"/>
      <c r="T49" s="123"/>
      <c r="U49" s="123" t="str">
        <f>IF(B50="","","("&amp;AD50&amp;") Ω")</f>
        <v>(0,0144+0,000696i) Ω</v>
      </c>
      <c r="V49" s="123"/>
      <c r="W49" s="123"/>
      <c r="X49" s="123"/>
      <c r="Y49" s="124"/>
      <c r="AA49" s="46">
        <f>AA14</f>
        <v>1.2</v>
      </c>
      <c r="AB49" s="19">
        <f>AB14</f>
        <v>8.6999999999999994E-2</v>
      </c>
      <c r="AC49" s="19">
        <f>SQRT(AA49^2+AB49^2)</f>
        <v>1.2031496166312816</v>
      </c>
      <c r="AD49" s="19" t="str">
        <f>COMPLEX(AA49,AB49,)</f>
        <v>1,2+0,087i</v>
      </c>
      <c r="AE49" s="19" t="str">
        <f>ROUND(IMABS(COMPLEX(AA49,AB49,"j")),6)&amp;" ∠"&amp;ROUND(DEGREES(IMARGUMENT(COMPLEX(AA49,AB49,"j"))),2)</f>
        <v>1,20315 ∠4,15</v>
      </c>
      <c r="AF49" s="19"/>
      <c r="AG49" s="19">
        <f>Kabeldata!N9</f>
        <v>8</v>
      </c>
      <c r="AH49" s="15">
        <f>Kabeldata!N10</f>
        <v>1</v>
      </c>
      <c r="AI49" s="49" t="str">
        <f>Kabeldata!N3</f>
        <v>Nej</v>
      </c>
    </row>
    <row r="50" spans="1:35" x14ac:dyDescent="0.25">
      <c r="A50" s="157"/>
      <c r="B50" s="158" t="str">
        <f>IF(Kabeldata!$N$4="","",Kabeldata!$N$4)</f>
        <v>W4</v>
      </c>
      <c r="C50" s="158"/>
      <c r="D50" s="118"/>
      <c r="E50" s="144" t="str">
        <f>1000&amp;IF(AH49=1,""," · η")</f>
        <v>1000</v>
      </c>
      <c r="F50" s="144"/>
      <c r="G50" s="144"/>
      <c r="H50" s="118"/>
      <c r="I50" s="118" t="str">
        <f>IF(B50="","",1000&amp;IF(AH49=1,""," · "&amp;AH49))</f>
        <v>1000</v>
      </c>
      <c r="J50" s="118"/>
      <c r="K50" s="118"/>
      <c r="L50" s="118"/>
      <c r="M50" s="118"/>
      <c r="N50" s="118"/>
      <c r="O50" s="118"/>
      <c r="P50" s="123"/>
      <c r="Q50" s="123"/>
      <c r="R50" s="123"/>
      <c r="S50" s="123"/>
      <c r="T50" s="123"/>
      <c r="U50" s="123"/>
      <c r="V50" s="123"/>
      <c r="W50" s="123"/>
      <c r="X50" s="123"/>
      <c r="Y50" s="124"/>
      <c r="AA50" s="7">
        <f>(AG49*(IF(AI49="Ja",1.25,1.5)*AA49))/AH50</f>
        <v>1.4399999999999998E-2</v>
      </c>
      <c r="AB50" s="8">
        <f>(AG49*AB49)/AH50</f>
        <v>6.96E-4</v>
      </c>
      <c r="AC50" s="8">
        <f>SQRT(AA50^2+AB50^2)</f>
        <v>1.4416810188110266E-2</v>
      </c>
      <c r="AD50" s="8" t="str">
        <f>COMPLEX(AA50,AB50,)</f>
        <v>0,0144+0,000696i</v>
      </c>
      <c r="AE50" s="8" t="str">
        <f>ROUND(IMABS(COMPLEX(AA50,AB50,"j")),6)&amp;" ∠"&amp;ROUND(DEGREES(IMARGUMENT(COMPLEX(AA50,AB50,"j"))),2)</f>
        <v>0,014417 ∠2,77</v>
      </c>
      <c r="AF50" s="8"/>
      <c r="AG50" s="8"/>
      <c r="AH50" s="9">
        <f>1000*AH49</f>
        <v>1000</v>
      </c>
    </row>
    <row r="51" spans="1:35" x14ac:dyDescent="0.25">
      <c r="A51" s="159" t="s">
        <v>91</v>
      </c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1"/>
    </row>
    <row r="52" spans="1:35" ht="15.75" thickBot="1" x14ac:dyDescent="0.3">
      <c r="A52" s="157" t="s">
        <v>89</v>
      </c>
      <c r="D52" s="118" t="s">
        <v>17</v>
      </c>
      <c r="E52" s="122" t="str">
        <f>"L · ("&amp;IF(AI52="Ja",1.25,1.5)&amp;" · R+jX)"</f>
        <v>L · (1,5 · R+jX)</v>
      </c>
      <c r="F52" s="122"/>
      <c r="G52" s="122"/>
      <c r="H52" s="118" t="s">
        <v>16</v>
      </c>
      <c r="I52" s="122" t="str">
        <f>IF(B53="","",AG52&amp;" · ("&amp;(IF(AI52="Ja",1.25,1.5)&amp;" · "&amp;AA52&amp;"+j"&amp;AB52&amp;")"))</f>
        <v/>
      </c>
      <c r="J52" s="122"/>
      <c r="K52" s="122"/>
      <c r="L52" s="122"/>
      <c r="M52" s="122"/>
      <c r="N52" s="122"/>
      <c r="O52" s="118" t="s">
        <v>17</v>
      </c>
      <c r="P52" s="123" t="str">
        <f>IF(B53="","","("&amp;AE53&amp;"°) Ω")</f>
        <v/>
      </c>
      <c r="Q52" s="123"/>
      <c r="R52" s="123"/>
      <c r="S52" s="123"/>
      <c r="T52" s="123"/>
      <c r="U52" s="123" t="str">
        <f>IF(B53="","","("&amp;AD53&amp;") Ω")</f>
        <v/>
      </c>
      <c r="V52" s="123"/>
      <c r="W52" s="123"/>
      <c r="X52" s="123"/>
      <c r="Y52" s="124"/>
      <c r="AA52" s="46">
        <f>AA17</f>
        <v>0.72699999999999998</v>
      </c>
      <c r="AB52" s="19">
        <f>AB17</f>
        <v>7.9000000000000001E-2</v>
      </c>
      <c r="AC52" s="19">
        <f>SQRT(AA52^2+AB52^2)</f>
        <v>0.7312797002515522</v>
      </c>
      <c r="AD52" s="19" t="str">
        <f>COMPLEX(AA52,AB52,)</f>
        <v>0,727+0,079i</v>
      </c>
      <c r="AE52" s="19" t="str">
        <f>ROUND(IMABS(COMPLEX(AA52,AB52,"j")),6)&amp;" ∠"&amp;ROUND(DEGREES(IMARGUMENT(COMPLEX(AA52,AB52,"j"))),2)</f>
        <v>0,73128 ∠6,2</v>
      </c>
      <c r="AF52" s="19"/>
      <c r="AG52" s="19">
        <f>Kabeldata!R9</f>
        <v>100</v>
      </c>
      <c r="AH52" s="15">
        <f>Kabeldata!R10</f>
        <v>1</v>
      </c>
      <c r="AI52" s="49" t="str">
        <f>Kabeldata!R3</f>
        <v>Nej</v>
      </c>
    </row>
    <row r="53" spans="1:35" x14ac:dyDescent="0.25">
      <c r="A53" s="157"/>
      <c r="B53" s="158" t="str">
        <f>IF(Kabeldata!$R$4="","",Kabeldata!$R$4)</f>
        <v/>
      </c>
      <c r="C53" s="158"/>
      <c r="D53" s="118"/>
      <c r="E53" s="144" t="str">
        <f>1000&amp;IF(AH52=1,""," · η")</f>
        <v>1000</v>
      </c>
      <c r="F53" s="144"/>
      <c r="G53" s="144"/>
      <c r="H53" s="118"/>
      <c r="I53" s="118" t="str">
        <f>IF(B53="","",1000&amp;IF(AH52=1,""," · "&amp;AH52))</f>
        <v/>
      </c>
      <c r="J53" s="118"/>
      <c r="K53" s="118"/>
      <c r="L53" s="118"/>
      <c r="M53" s="118"/>
      <c r="N53" s="118"/>
      <c r="O53" s="118"/>
      <c r="P53" s="123"/>
      <c r="Q53" s="123"/>
      <c r="R53" s="123"/>
      <c r="S53" s="123"/>
      <c r="T53" s="123"/>
      <c r="U53" s="123"/>
      <c r="V53" s="123"/>
      <c r="W53" s="123"/>
      <c r="X53" s="123"/>
      <c r="Y53" s="124"/>
      <c r="AA53" s="7">
        <f>(AG52*(IF(AI52="Ja",1.25,1.5)*AA52))/AH53</f>
        <v>0.10904999999999999</v>
      </c>
      <c r="AB53" s="8">
        <f>(AG52*AB52)/AH53</f>
        <v>7.9000000000000008E-3</v>
      </c>
      <c r="AC53" s="8">
        <f>SQRT(AA53^2+AB53^2)</f>
        <v>0.10933577868200327</v>
      </c>
      <c r="AD53" s="8" t="str">
        <f>COMPLEX(AA53,AB53,)</f>
        <v>0,10905+0,0079i</v>
      </c>
      <c r="AE53" s="8" t="str">
        <f>ROUND(IMABS(COMPLEX(AA53,AB53,"j")),6)&amp;" ∠"&amp;ROUND(DEGREES(IMARGUMENT(COMPLEX(AA53,AB53,"j"))),2)</f>
        <v>0,109336 ∠4,14</v>
      </c>
      <c r="AF53" s="8"/>
      <c r="AG53" s="8"/>
      <c r="AH53" s="9">
        <f>1000*AH52</f>
        <v>1000</v>
      </c>
    </row>
    <row r="54" spans="1:35" x14ac:dyDescent="0.25">
      <c r="A54" s="159" t="s">
        <v>91</v>
      </c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1"/>
    </row>
    <row r="55" spans="1:35" ht="15.75" thickBot="1" x14ac:dyDescent="0.3">
      <c r="A55" s="157" t="s">
        <v>89</v>
      </c>
      <c r="D55" s="118" t="s">
        <v>17</v>
      </c>
      <c r="E55" s="122" t="str">
        <f>"L · ("&amp;IF(AI55="Ja",1.25,1.5)&amp;" · R+jX)"</f>
        <v>L · (1,5 · R+jX)</v>
      </c>
      <c r="F55" s="122"/>
      <c r="G55" s="122"/>
      <c r="H55" s="118" t="s">
        <v>16</v>
      </c>
      <c r="I55" s="122" t="str">
        <f>IF(B56="","",AG55&amp;" · ("&amp;(IF(AI55="Ja",1.25,1.5)&amp;" · "&amp;AA55&amp;"+j"&amp;AB55&amp;")"))</f>
        <v/>
      </c>
      <c r="J55" s="122"/>
      <c r="K55" s="122"/>
      <c r="L55" s="122"/>
      <c r="M55" s="122"/>
      <c r="N55" s="122"/>
      <c r="O55" s="118" t="s">
        <v>17</v>
      </c>
      <c r="P55" s="123" t="str">
        <f>IF(B56="","","("&amp;AE56&amp;"°) Ω")</f>
        <v/>
      </c>
      <c r="Q55" s="123"/>
      <c r="R55" s="123"/>
      <c r="S55" s="123"/>
      <c r="T55" s="123"/>
      <c r="U55" s="123" t="str">
        <f>IF(B56="","","("&amp;AD56&amp;") Ω")</f>
        <v/>
      </c>
      <c r="V55" s="123"/>
      <c r="W55" s="123"/>
      <c r="X55" s="123"/>
      <c r="Y55" s="124"/>
      <c r="AA55" s="46">
        <f>AA20</f>
        <v>7.41</v>
      </c>
      <c r="AB55" s="19">
        <f>AB20</f>
        <v>9.5000000000000001E-2</v>
      </c>
      <c r="AC55" s="19">
        <f>SQRT(AA55^2+AB55^2)</f>
        <v>7.4106089493374299</v>
      </c>
      <c r="AD55" s="19" t="str">
        <f>COMPLEX(AA55,AB55,)</f>
        <v>7,41+0,095i</v>
      </c>
      <c r="AE55" s="19" t="str">
        <f>ROUND(IMABS(COMPLEX(AA55,AB55,"j")),6)&amp;" ∠"&amp;ROUND(DEGREES(IMARGUMENT(COMPLEX(AA55,AB55,"j"))),2)</f>
        <v>7,410609 ∠0,73</v>
      </c>
      <c r="AF55" s="19"/>
      <c r="AG55" s="19">
        <f>Kabeldata!B27</f>
        <v>10.7</v>
      </c>
      <c r="AH55" s="15">
        <f>Kabeldata!B28</f>
        <v>1</v>
      </c>
      <c r="AI55" s="49" t="str">
        <f>Kabeldata!B21</f>
        <v>Nej</v>
      </c>
    </row>
    <row r="56" spans="1:35" x14ac:dyDescent="0.25">
      <c r="A56" s="157"/>
      <c r="B56" s="158" t="str">
        <f>IF(Kabeldata!$B$22="","",Kabeldata!$B$22)</f>
        <v/>
      </c>
      <c r="C56" s="158"/>
      <c r="D56" s="118"/>
      <c r="E56" s="144" t="str">
        <f>1000&amp;IF(AH55=1,""," · η")</f>
        <v>1000</v>
      </c>
      <c r="F56" s="144"/>
      <c r="G56" s="144"/>
      <c r="H56" s="118"/>
      <c r="I56" s="118" t="str">
        <f>IF(B56="","",1000&amp;IF(AH55=1,""," · "&amp;AH55))</f>
        <v/>
      </c>
      <c r="J56" s="118"/>
      <c r="K56" s="118"/>
      <c r="L56" s="118"/>
      <c r="M56" s="118"/>
      <c r="N56" s="118"/>
      <c r="O56" s="118"/>
      <c r="P56" s="123"/>
      <c r="Q56" s="123"/>
      <c r="R56" s="123"/>
      <c r="S56" s="123"/>
      <c r="T56" s="123"/>
      <c r="U56" s="123"/>
      <c r="V56" s="123"/>
      <c r="W56" s="123"/>
      <c r="X56" s="123"/>
      <c r="Y56" s="124"/>
      <c r="AA56" s="7">
        <f>(AG55*(IF(AI55="Ja",1.25,1.5)*AA55))/AH56</f>
        <v>0.11893049999999999</v>
      </c>
      <c r="AB56" s="8">
        <f>(AG55*AB55)/AH56</f>
        <v>1.0165E-3</v>
      </c>
      <c r="AC56" s="8">
        <f>SQRT(AA56^2+AB56^2)</f>
        <v>0.11893484393776282</v>
      </c>
      <c r="AD56" s="8" t="str">
        <f>COMPLEX(AA56,AB56,)</f>
        <v>0,1189305+0,0010165i</v>
      </c>
      <c r="AE56" s="8" t="str">
        <f>ROUND(IMABS(COMPLEX(AA56,AB56,"j")),6)&amp;" ∠"&amp;ROUND(DEGREES(IMARGUMENT(COMPLEX(AA56,AB56,"j"))),2)</f>
        <v>0,118935 ∠0,49</v>
      </c>
      <c r="AF56" s="8"/>
      <c r="AG56" s="8"/>
      <c r="AH56" s="9">
        <f>1000*AH55</f>
        <v>1000</v>
      </c>
    </row>
    <row r="57" spans="1:35" x14ac:dyDescent="0.25">
      <c r="A57" s="159" t="s">
        <v>91</v>
      </c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1"/>
    </row>
    <row r="58" spans="1:35" ht="15.75" thickBot="1" x14ac:dyDescent="0.3">
      <c r="A58" s="157" t="s">
        <v>89</v>
      </c>
      <c r="D58" s="118" t="s">
        <v>17</v>
      </c>
      <c r="E58" s="122" t="str">
        <f>"L · ("&amp;IF(AI58="Ja",1.25,1.5)&amp;" · R+jX)"</f>
        <v>L · (1,25 · R+jX)</v>
      </c>
      <c r="F58" s="122"/>
      <c r="G58" s="122"/>
      <c r="H58" s="118" t="s">
        <v>16</v>
      </c>
      <c r="I58" s="122" t="str">
        <f>IF(B59="","",AG58&amp;" · ("&amp;(IF(AI58="Ja",1.25,1.5)&amp;" · "&amp;AA58&amp;"+j"&amp;AB58&amp;")"))</f>
        <v/>
      </c>
      <c r="J58" s="122"/>
      <c r="K58" s="122"/>
      <c r="L58" s="122"/>
      <c r="M58" s="122"/>
      <c r="N58" s="122"/>
      <c r="O58" s="118" t="s">
        <v>17</v>
      </c>
      <c r="P58" s="123" t="str">
        <f>IF(B59="","","("&amp;AE59&amp;"°) Ω")</f>
        <v/>
      </c>
      <c r="Q58" s="123"/>
      <c r="R58" s="123"/>
      <c r="S58" s="123"/>
      <c r="T58" s="123"/>
      <c r="U58" s="123" t="str">
        <f>IF(B59="","","("&amp;AD59&amp;") Ω")</f>
        <v/>
      </c>
      <c r="V58" s="123"/>
      <c r="W58" s="123"/>
      <c r="X58" s="123"/>
      <c r="Y58" s="124"/>
      <c r="AA58" s="46">
        <f>AA23</f>
        <v>1.1499999999999999</v>
      </c>
      <c r="AB58" s="19">
        <f>AB23</f>
        <v>8.5000000000000006E-2</v>
      </c>
      <c r="AC58" s="19">
        <f>SQRT(AA58^2+AB58^2)</f>
        <v>1.1531370256825508</v>
      </c>
      <c r="AD58" s="19" t="str">
        <f>COMPLEX(AA58,AB58,)</f>
        <v>1,15+0,085i</v>
      </c>
      <c r="AE58" s="19" t="str">
        <f>ROUND(IMABS(COMPLEX(AA58,AB58,"j")),6)&amp;" ∠"&amp;ROUND(DEGREES(IMARGUMENT(COMPLEX(AA58,AB58,"j"))),2)</f>
        <v>1,153137 ∠4,23</v>
      </c>
      <c r="AF58" s="19"/>
      <c r="AG58" s="19">
        <f>Kabeldata!F27</f>
        <v>2</v>
      </c>
      <c r="AH58" s="15">
        <f>Kabeldata!F28</f>
        <v>1</v>
      </c>
      <c r="AI58" s="49" t="str">
        <f>Kabeldata!F21</f>
        <v>Ja</v>
      </c>
    </row>
    <row r="59" spans="1:35" x14ac:dyDescent="0.25">
      <c r="A59" s="157"/>
      <c r="B59" s="158" t="str">
        <f>IF(Kabeldata!$F$22="","",Kabeldata!$F$22)</f>
        <v/>
      </c>
      <c r="C59" s="158"/>
      <c r="D59" s="118"/>
      <c r="E59" s="144" t="str">
        <f>1000&amp;IF(AH58=1,""," · η")</f>
        <v>1000</v>
      </c>
      <c r="F59" s="144"/>
      <c r="G59" s="144"/>
      <c r="H59" s="118"/>
      <c r="I59" s="118" t="str">
        <f>IF(B59="","",1000&amp;IF(AH58=1,""," · "&amp;AH58))</f>
        <v/>
      </c>
      <c r="J59" s="118"/>
      <c r="K59" s="118"/>
      <c r="L59" s="118"/>
      <c r="M59" s="118"/>
      <c r="N59" s="118"/>
      <c r="O59" s="118"/>
      <c r="P59" s="123"/>
      <c r="Q59" s="123"/>
      <c r="R59" s="123"/>
      <c r="S59" s="123"/>
      <c r="T59" s="123"/>
      <c r="U59" s="123"/>
      <c r="V59" s="123"/>
      <c r="W59" s="123"/>
      <c r="X59" s="123"/>
      <c r="Y59" s="124"/>
      <c r="AA59" s="7">
        <f>(AG58*(IF(AI58="Ja",1.25,1.5)*AA58))/AH59</f>
        <v>2.875E-3</v>
      </c>
      <c r="AB59" s="8">
        <f>(AG58*AB58)/AH59</f>
        <v>1.7000000000000001E-4</v>
      </c>
      <c r="AC59" s="8">
        <f>SQRT(AA59^2+AB59^2)</f>
        <v>2.8800217013071274E-3</v>
      </c>
      <c r="AD59" s="8" t="str">
        <f>COMPLEX(AA59,AB59,)</f>
        <v>0,002875+0,00017i</v>
      </c>
      <c r="AE59" s="8" t="str">
        <f>ROUND(IMABS(COMPLEX(AA59,AB59,"j")),6)&amp;" ∠"&amp;ROUND(DEGREES(IMARGUMENT(COMPLEX(AA59,AB59,"j"))),2)</f>
        <v>0,00288 ∠3,38</v>
      </c>
      <c r="AF59" s="8"/>
      <c r="AG59" s="8"/>
      <c r="AH59" s="9">
        <f>1000*AH58</f>
        <v>1000</v>
      </c>
    </row>
    <row r="60" spans="1:35" x14ac:dyDescent="0.25">
      <c r="A60" s="159" t="s">
        <v>91</v>
      </c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1"/>
    </row>
    <row r="61" spans="1:35" ht="15.75" thickBot="1" x14ac:dyDescent="0.3">
      <c r="A61" s="157" t="s">
        <v>89</v>
      </c>
      <c r="D61" s="118" t="s">
        <v>17</v>
      </c>
      <c r="E61" s="122" t="str">
        <f>"L · ("&amp;IF(AI61="Ja",1.25,1.5)&amp;" · R+jX)"</f>
        <v>L · (1,5 · R+jX)</v>
      </c>
      <c r="F61" s="122"/>
      <c r="G61" s="122"/>
      <c r="H61" s="118" t="s">
        <v>16</v>
      </c>
      <c r="I61" s="122" t="str">
        <f>IF(B62="","",AG61&amp;" · ("&amp;(IF(AI61="Ja",1.25,1.5)&amp;" · "&amp;AA61&amp;"+j"&amp;AB61&amp;")"))</f>
        <v/>
      </c>
      <c r="J61" s="122"/>
      <c r="K61" s="122"/>
      <c r="L61" s="122"/>
      <c r="M61" s="122"/>
      <c r="N61" s="122"/>
      <c r="O61" s="118" t="s">
        <v>17</v>
      </c>
      <c r="P61" s="123" t="str">
        <f>IF(B62="","","("&amp;AE62&amp;"°) Ω")</f>
        <v/>
      </c>
      <c r="Q61" s="123"/>
      <c r="R61" s="123"/>
      <c r="S61" s="123"/>
      <c r="T61" s="123"/>
      <c r="U61" s="123" t="str">
        <f>IF(B62="","","("&amp;AD62&amp;") Ω")</f>
        <v/>
      </c>
      <c r="V61" s="123"/>
      <c r="W61" s="123"/>
      <c r="X61" s="123"/>
      <c r="Y61" s="124"/>
      <c r="AA61" s="46">
        <f>AA26</f>
        <v>7.41</v>
      </c>
      <c r="AB61" s="19">
        <f>AB26</f>
        <v>9.5000000000000001E-2</v>
      </c>
      <c r="AC61" s="19">
        <f>SQRT(AA61^2+AB61^2)</f>
        <v>7.4106089493374299</v>
      </c>
      <c r="AD61" s="19" t="str">
        <f>COMPLEX(AA61,AB61,)</f>
        <v>7,41+0,095i</v>
      </c>
      <c r="AE61" s="19" t="str">
        <f>ROUND(IMABS(COMPLEX(AA61,AB61,"j")),6)&amp;" ∠"&amp;ROUND(DEGREES(IMARGUMENT(COMPLEX(AA61,AB61,"j"))),2)</f>
        <v>7,410609 ∠0,73</v>
      </c>
      <c r="AF61" s="19"/>
      <c r="AG61" s="19">
        <f>Kabeldata!J27</f>
        <v>38.35</v>
      </c>
      <c r="AH61" s="15">
        <f>Kabeldata!J28</f>
        <v>1</v>
      </c>
      <c r="AI61" s="49" t="str">
        <f>Kabeldata!J21</f>
        <v>Nej</v>
      </c>
    </row>
    <row r="62" spans="1:35" x14ac:dyDescent="0.25">
      <c r="A62" s="157"/>
      <c r="B62" s="158" t="str">
        <f>IF(Kabeldata!$J$22="","",Kabeldata!$J$22)</f>
        <v/>
      </c>
      <c r="C62" s="158"/>
      <c r="D62" s="118"/>
      <c r="E62" s="144" t="str">
        <f>1000&amp;IF(AH61=1,""," · η")</f>
        <v>1000</v>
      </c>
      <c r="F62" s="144"/>
      <c r="G62" s="144"/>
      <c r="H62" s="118"/>
      <c r="I62" s="118" t="str">
        <f>IF(B62="","",1000&amp;IF(AH61=1,""," · "&amp;AH61))</f>
        <v/>
      </c>
      <c r="J62" s="118"/>
      <c r="K62" s="118"/>
      <c r="L62" s="118"/>
      <c r="M62" s="118"/>
      <c r="N62" s="118"/>
      <c r="O62" s="118"/>
      <c r="P62" s="123"/>
      <c r="Q62" s="123"/>
      <c r="R62" s="123"/>
      <c r="S62" s="123"/>
      <c r="T62" s="123"/>
      <c r="U62" s="123"/>
      <c r="V62" s="123"/>
      <c r="W62" s="123"/>
      <c r="X62" s="123"/>
      <c r="Y62" s="124"/>
      <c r="AA62" s="7">
        <f>(AG61*(IF(AI61="Ja",1.25,1.5)*AA61))/AH62</f>
        <v>0.42626025000000006</v>
      </c>
      <c r="AB62" s="8">
        <f>(AG61*AB61)/AH62</f>
        <v>3.6432500000000002E-3</v>
      </c>
      <c r="AC62" s="8">
        <f>SQRT(AA62^2+AB62^2)</f>
        <v>0.42627581916011265</v>
      </c>
      <c r="AD62" s="8" t="str">
        <f>COMPLEX(AA62,AB62,)</f>
        <v>0,42626025+0,00364325i</v>
      </c>
      <c r="AE62" s="8" t="str">
        <f>ROUND(IMABS(COMPLEX(AA62,AB62,"j")),6)&amp;" ∠"&amp;ROUND(DEGREES(IMARGUMENT(COMPLEX(AA62,AB62,"j"))),2)</f>
        <v>0,426276 ∠0,49</v>
      </c>
      <c r="AF62" s="8"/>
      <c r="AG62" s="8"/>
      <c r="AH62" s="9">
        <f>1000*AH61</f>
        <v>1000</v>
      </c>
    </row>
    <row r="63" spans="1:35" x14ac:dyDescent="0.25">
      <c r="A63" s="159" t="s">
        <v>91</v>
      </c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1"/>
    </row>
    <row r="64" spans="1:35" ht="15.75" thickBot="1" x14ac:dyDescent="0.3">
      <c r="A64" s="157" t="s">
        <v>89</v>
      </c>
      <c r="D64" s="118" t="s">
        <v>17</v>
      </c>
      <c r="E64" s="122" t="str">
        <f>"L · ("&amp;IF(AI64="Ja",1.25,1.5)&amp;" · R+jX)"</f>
        <v>L · (1,5 · R+jX)</v>
      </c>
      <c r="F64" s="122"/>
      <c r="G64" s="122"/>
      <c r="H64" s="118" t="s">
        <v>16</v>
      </c>
      <c r="I64" s="122" t="str">
        <f>IF(B65="","",AG64&amp;" · ("&amp;(IF(AI64="Ja",1.25,1.5)&amp;" · "&amp;AA64&amp;"+j"&amp;AB64&amp;")"))</f>
        <v/>
      </c>
      <c r="J64" s="122"/>
      <c r="K64" s="122"/>
      <c r="L64" s="122"/>
      <c r="M64" s="122"/>
      <c r="N64" s="122"/>
      <c r="O64" s="118" t="s">
        <v>17</v>
      </c>
      <c r="P64" s="123" t="str">
        <f>IF(B65="","","("&amp;AE65&amp;"°) Ω")</f>
        <v/>
      </c>
      <c r="Q64" s="123"/>
      <c r="R64" s="123"/>
      <c r="S64" s="123"/>
      <c r="T64" s="123"/>
      <c r="U64" s="123" t="str">
        <f>IF(B65="","","("&amp;AD65&amp;") Ω")</f>
        <v/>
      </c>
      <c r="V64" s="123"/>
      <c r="W64" s="123"/>
      <c r="X64" s="123"/>
      <c r="Y64" s="124"/>
      <c r="AA64" s="46">
        <f>AA29</f>
        <v>0</v>
      </c>
      <c r="AB64" s="19">
        <f>AB29</f>
        <v>0</v>
      </c>
      <c r="AC64" s="19">
        <f>SQRT(AA64^2+AB64^2)</f>
        <v>0</v>
      </c>
      <c r="AD64" s="19" t="str">
        <f>COMPLEX(AA64,AB64,)</f>
        <v>0</v>
      </c>
      <c r="AE64" s="19" t="e">
        <f>ROUND(IMABS(COMPLEX(AA64,AB64,"j")),6)&amp;" ∠"&amp;ROUND(DEGREES(IMARGUMENT(COMPLEX(AA64,AB64,"j"))),2)</f>
        <v>#DIV/0!</v>
      </c>
      <c r="AF64" s="19"/>
      <c r="AG64" s="19">
        <f>Kabeldata!N27</f>
        <v>0</v>
      </c>
      <c r="AH64" s="15">
        <f>Kabeldata!N28</f>
        <v>1</v>
      </c>
      <c r="AI64" s="49" t="str">
        <f>Kabeldata!N21</f>
        <v>Nej</v>
      </c>
    </row>
    <row r="65" spans="1:35" x14ac:dyDescent="0.25">
      <c r="A65" s="157"/>
      <c r="B65" s="158" t="str">
        <f>IF(Kabeldata!$N$22="","",Kabeldata!$N$22)</f>
        <v/>
      </c>
      <c r="C65" s="158"/>
      <c r="D65" s="118"/>
      <c r="E65" s="144" t="str">
        <f>1000&amp;IF(AH64=1,""," · η")</f>
        <v>1000</v>
      </c>
      <c r="F65" s="144"/>
      <c r="G65" s="144"/>
      <c r="H65" s="118"/>
      <c r="I65" s="118" t="str">
        <f>IF(B65="","",1000&amp;IF(AH64=1,""," · "&amp;AH64))</f>
        <v/>
      </c>
      <c r="J65" s="118"/>
      <c r="K65" s="118"/>
      <c r="L65" s="118"/>
      <c r="M65" s="118"/>
      <c r="N65" s="118"/>
      <c r="O65" s="118"/>
      <c r="P65" s="123"/>
      <c r="Q65" s="123"/>
      <c r="R65" s="123"/>
      <c r="S65" s="123"/>
      <c r="T65" s="123"/>
      <c r="U65" s="123"/>
      <c r="V65" s="123"/>
      <c r="W65" s="123"/>
      <c r="X65" s="123"/>
      <c r="Y65" s="124"/>
      <c r="AA65" s="7">
        <f>(AG64*(IF(AI64="Ja",1.25,1.5)*AA64))/AH65</f>
        <v>0</v>
      </c>
      <c r="AB65" s="8">
        <f>(AG64*AB64)/AH65</f>
        <v>0</v>
      </c>
      <c r="AC65" s="8">
        <f>SQRT(AA65^2+AB65^2)</f>
        <v>0</v>
      </c>
      <c r="AD65" s="8" t="str">
        <f>COMPLEX(AA65,AB65,)</f>
        <v>0</v>
      </c>
      <c r="AE65" s="8" t="e">
        <f>ROUND(IMABS(COMPLEX(AA65,AB65,"j")),6)&amp;" ∠"&amp;ROUND(DEGREES(IMARGUMENT(COMPLEX(AA65,AB65,"j"))),2)</f>
        <v>#DIV/0!</v>
      </c>
      <c r="AF65" s="8"/>
      <c r="AG65" s="8"/>
      <c r="AH65" s="9">
        <f>1000*AH64</f>
        <v>1000</v>
      </c>
    </row>
    <row r="66" spans="1:35" x14ac:dyDescent="0.25">
      <c r="A66" s="159" t="s">
        <v>91</v>
      </c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1"/>
    </row>
    <row r="67" spans="1:35" ht="15.75" thickBot="1" x14ac:dyDescent="0.3">
      <c r="A67" s="157" t="s">
        <v>89</v>
      </c>
      <c r="D67" s="118" t="s">
        <v>17</v>
      </c>
      <c r="E67" s="122" t="str">
        <f>"L · ("&amp;IF(AI67="Ja",1.25,1.5)&amp;" · R+jX)"</f>
        <v>L · (1,5 · R+jX)</v>
      </c>
      <c r="F67" s="122"/>
      <c r="G67" s="122"/>
      <c r="H67" s="118" t="s">
        <v>16</v>
      </c>
      <c r="I67" s="122" t="str">
        <f>IF(B68="","",AG67&amp;" · ("&amp;(IF(AI67="Ja",1.25,1.5)&amp;" · "&amp;AA67&amp;"+j"&amp;AB67&amp;")"))</f>
        <v/>
      </c>
      <c r="J67" s="122"/>
      <c r="K67" s="122"/>
      <c r="L67" s="122"/>
      <c r="M67" s="122"/>
      <c r="N67" s="122"/>
      <c r="O67" s="118" t="s">
        <v>17</v>
      </c>
      <c r="P67" s="123" t="str">
        <f>IF(B68="","","("&amp;AE68&amp;"°) Ω")</f>
        <v/>
      </c>
      <c r="Q67" s="123"/>
      <c r="R67" s="123"/>
      <c r="S67" s="123"/>
      <c r="T67" s="123"/>
      <c r="U67" s="123" t="str">
        <f>IF(B68="","","("&amp;AD68&amp;") Ω")</f>
        <v/>
      </c>
      <c r="V67" s="123"/>
      <c r="W67" s="123"/>
      <c r="X67" s="123"/>
      <c r="Y67" s="124"/>
      <c r="AA67" s="46">
        <f>AA32</f>
        <v>0</v>
      </c>
      <c r="AB67" s="19">
        <f>AB32</f>
        <v>0</v>
      </c>
      <c r="AC67" s="19">
        <f>SQRT(AA67^2+AB67^2)</f>
        <v>0</v>
      </c>
      <c r="AD67" s="19" t="str">
        <f>COMPLEX(AA67,AB67,)</f>
        <v>0</v>
      </c>
      <c r="AE67" s="19" t="e">
        <f>ROUND(IMABS(COMPLEX(AA67,AB67,"j")),6)&amp;" ∠"&amp;ROUND(DEGREES(IMARGUMENT(COMPLEX(AA67,AB67,"j"))),2)</f>
        <v>#DIV/0!</v>
      </c>
      <c r="AF67" s="19"/>
      <c r="AG67" s="19">
        <f>Kabeldata!R27</f>
        <v>0</v>
      </c>
      <c r="AH67" s="15">
        <f>Kabeldata!R28</f>
        <v>0</v>
      </c>
      <c r="AI67" s="49" t="str">
        <f>Kabeldata!R21</f>
        <v>Nej</v>
      </c>
    </row>
    <row r="68" spans="1:35" x14ac:dyDescent="0.25">
      <c r="A68" s="157"/>
      <c r="B68" s="158" t="str">
        <f>IF(Kabeldata!$R$22="","",Kabeldata!$R$22)</f>
        <v/>
      </c>
      <c r="C68" s="158"/>
      <c r="D68" s="118"/>
      <c r="E68" s="144" t="str">
        <f>1000&amp;IF(AH67=1,""," · η")</f>
        <v>1000 · η</v>
      </c>
      <c r="F68" s="144"/>
      <c r="G68" s="144"/>
      <c r="H68" s="118"/>
      <c r="I68" s="118" t="str">
        <f>IF(B68="","",1000&amp;IF(AH67=1,""," · "&amp;AH67))</f>
        <v/>
      </c>
      <c r="J68" s="118"/>
      <c r="K68" s="118"/>
      <c r="L68" s="118"/>
      <c r="M68" s="118"/>
      <c r="N68" s="118"/>
      <c r="O68" s="118"/>
      <c r="P68" s="123"/>
      <c r="Q68" s="123"/>
      <c r="R68" s="123"/>
      <c r="S68" s="123"/>
      <c r="T68" s="123"/>
      <c r="U68" s="123"/>
      <c r="V68" s="123"/>
      <c r="W68" s="123"/>
      <c r="X68" s="123"/>
      <c r="Y68" s="124"/>
      <c r="AA68" s="7" t="e">
        <f>(AG67*(IF(AI67="Ja",1.25,1.5)*AA67))/AH68</f>
        <v>#DIV/0!</v>
      </c>
      <c r="AB68" s="8" t="e">
        <f>(AG67*AB67)/AH68</f>
        <v>#DIV/0!</v>
      </c>
      <c r="AC68" s="8" t="e">
        <f>SQRT(AA68^2+AB68^2)</f>
        <v>#DIV/0!</v>
      </c>
      <c r="AD68" s="8" t="e">
        <f>COMPLEX(AA68,AB68,)</f>
        <v>#DIV/0!</v>
      </c>
      <c r="AE68" s="8" t="e">
        <f>ROUND(IMABS(COMPLEX(AA68,AB68,"j")),6)&amp;" ∠"&amp;ROUND(DEGREES(IMARGUMENT(COMPLEX(AA68,AB68,"j"))),2)</f>
        <v>#DIV/0!</v>
      </c>
      <c r="AF68" s="8"/>
      <c r="AG68" s="8"/>
      <c r="AH68" s="9">
        <f>1000*AH67</f>
        <v>0</v>
      </c>
    </row>
    <row r="69" spans="1:35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</row>
    <row r="71" spans="1:35" hidden="1" x14ac:dyDescent="0.25"/>
    <row r="72" spans="1:35" ht="18" hidden="1" customHeight="1" x14ac:dyDescent="0.25">
      <c r="A72" s="153" t="s">
        <v>94</v>
      </c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 t="s">
        <v>84</v>
      </c>
      <c r="Q72" s="154"/>
      <c r="R72" s="154"/>
      <c r="S72" s="154"/>
      <c r="T72" s="154"/>
      <c r="U72" s="154" t="s">
        <v>85</v>
      </c>
      <c r="V72" s="154"/>
      <c r="W72" s="154"/>
      <c r="X72" s="154"/>
      <c r="Y72" s="162"/>
    </row>
    <row r="73" spans="1:35" ht="18" hidden="1" customHeight="1" x14ac:dyDescent="0.25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63"/>
      <c r="AA73" s="1" t="s">
        <v>18</v>
      </c>
      <c r="AB73" s="1" t="s">
        <v>19</v>
      </c>
      <c r="AC73" s="1" t="s">
        <v>20</v>
      </c>
      <c r="AD73" s="1" t="s">
        <v>86</v>
      </c>
      <c r="AE73" s="1" t="s">
        <v>22</v>
      </c>
      <c r="AG73" s="1" t="s">
        <v>87</v>
      </c>
      <c r="AH73" s="1" t="s">
        <v>88</v>
      </c>
    </row>
    <row r="74" spans="1:35" hidden="1" x14ac:dyDescent="0.25">
      <c r="A74" s="17"/>
      <c r="B74" s="18"/>
      <c r="C74" s="18"/>
      <c r="D74" s="19"/>
      <c r="E74" s="18"/>
      <c r="F74" s="18"/>
      <c r="G74" s="18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5"/>
    </row>
    <row r="75" spans="1:35" ht="15.75" hidden="1" thickBot="1" x14ac:dyDescent="0.3">
      <c r="A75" s="157" t="s">
        <v>89</v>
      </c>
      <c r="D75" s="118" t="s">
        <v>17</v>
      </c>
      <c r="E75" s="122" t="s">
        <v>95</v>
      </c>
      <c r="F75" s="122"/>
      <c r="G75" s="122"/>
      <c r="H75" s="118" t="s">
        <v>16</v>
      </c>
      <c r="I75" s="122" t="str">
        <f>IF(B76="","",AG75&amp;" · (1,25 · "&amp;AA75&amp;"+j"&amp;AB75&amp;")")</f>
        <v>75 · (1,25 · 0,0787+j0,077)</v>
      </c>
      <c r="J75" s="122"/>
      <c r="K75" s="122"/>
      <c r="L75" s="122"/>
      <c r="M75" s="122"/>
      <c r="N75" s="122"/>
      <c r="O75" s="118" t="s">
        <v>17</v>
      </c>
      <c r="P75" s="123" t="str">
        <f>IF(B76="","","("&amp;AE76&amp;"°) Ω")</f>
        <v>(0,003123 ∠38,05°) Ω</v>
      </c>
      <c r="Q75" s="123"/>
      <c r="R75" s="123"/>
      <c r="S75" s="123"/>
      <c r="T75" s="123"/>
      <c r="U75" s="123" t="str">
        <f>IF(B76="","","("&amp;AD76&amp;") Ω")</f>
        <v>(0,002459375+0,001925i) Ω</v>
      </c>
      <c r="V75" s="123"/>
      <c r="W75" s="123"/>
      <c r="X75" s="123"/>
      <c r="Y75" s="124"/>
      <c r="AA75" s="46">
        <f>AA40</f>
        <v>7.8700000000000006E-2</v>
      </c>
      <c r="AB75" s="19">
        <f>AB40</f>
        <v>7.6999999999999999E-2</v>
      </c>
      <c r="AC75" s="19">
        <f>SQRT(AA75^2+AB75^2)</f>
        <v>0.11010308805841915</v>
      </c>
      <c r="AD75" s="19" t="str">
        <f>COMPLEX(AA75,AB75,)</f>
        <v>0,0787+0,077i</v>
      </c>
      <c r="AE75" s="19" t="str">
        <f>ROUND(IMABS(COMPLEX(AA75,AB75,"j")),6)&amp;" ∠"&amp;ROUND(DEGREES(IMARGUMENT(COMPLEX(AA75,AB75,"j"))),2)</f>
        <v>0,110103 ∠44,37</v>
      </c>
      <c r="AF75" s="19"/>
      <c r="AG75" s="46">
        <f>AG40</f>
        <v>75</v>
      </c>
      <c r="AH75" s="46">
        <f>AH40</f>
        <v>3</v>
      </c>
    </row>
    <row r="76" spans="1:35" hidden="1" x14ac:dyDescent="0.25">
      <c r="A76" s="157"/>
      <c r="B76" s="158" t="str">
        <f>IF(Kabeldata!$B$4="","",Kabeldata!$B$4)</f>
        <v>W1</v>
      </c>
      <c r="C76" s="158" t="str">
        <f>IF(Kabeldata!$B$4="","",Kabeldata!$B$4)</f>
        <v>W1</v>
      </c>
      <c r="D76" s="118"/>
      <c r="E76" s="144" t="str">
        <f>1000&amp;IF(AH75=1,""," · η")</f>
        <v>1000 · η</v>
      </c>
      <c r="F76" s="144"/>
      <c r="G76" s="144"/>
      <c r="H76" s="118"/>
      <c r="I76" s="118" t="str">
        <f>IF(B76="","",1000&amp;IF(AH75=1,""," · "&amp;AH75))</f>
        <v>1000 · 3</v>
      </c>
      <c r="J76" s="118"/>
      <c r="K76" s="118"/>
      <c r="L76" s="118"/>
      <c r="M76" s="118"/>
      <c r="N76" s="118"/>
      <c r="O76" s="118"/>
      <c r="P76" s="123"/>
      <c r="Q76" s="123"/>
      <c r="R76" s="123"/>
      <c r="S76" s="123"/>
      <c r="T76" s="123"/>
      <c r="U76" s="123"/>
      <c r="V76" s="123"/>
      <c r="W76" s="123"/>
      <c r="X76" s="123"/>
      <c r="Y76" s="124"/>
      <c r="AA76" s="7">
        <f>(AG75*(1.25*AA75))/AH76</f>
        <v>2.4593750000000002E-3</v>
      </c>
      <c r="AB76" s="8">
        <f>(AG75*AB75)/AH76</f>
        <v>1.9250000000000001E-3</v>
      </c>
      <c r="AC76" s="8">
        <f>SQRT(AA76^2+AB76^2)</f>
        <v>3.1231635228762839E-3</v>
      </c>
      <c r="AD76" s="8" t="str">
        <f>COMPLEX(AA76,AB76,)</f>
        <v>0,002459375+0,001925i</v>
      </c>
      <c r="AE76" s="8" t="str">
        <f>ROUND(IMABS(COMPLEX(AA76,AB76,"j")),6)&amp;" ∠"&amp;ROUND(DEGREES(IMARGUMENT(COMPLEX(AA76,AB76,"j"))),2)</f>
        <v>0,003123 ∠38,05</v>
      </c>
      <c r="AF76" s="8"/>
      <c r="AG76" s="7"/>
      <c r="AH76" s="9">
        <f>1000*AH75</f>
        <v>3000</v>
      </c>
    </row>
    <row r="77" spans="1:35" hidden="1" x14ac:dyDescent="0.25">
      <c r="A77" s="159" t="s">
        <v>91</v>
      </c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1"/>
    </row>
    <row r="78" spans="1:35" ht="15.75" hidden="1" thickBot="1" x14ac:dyDescent="0.3">
      <c r="A78" s="157" t="s">
        <v>89</v>
      </c>
      <c r="D78" s="118" t="s">
        <v>17</v>
      </c>
      <c r="E78" s="122" t="s">
        <v>95</v>
      </c>
      <c r="F78" s="122"/>
      <c r="G78" s="122"/>
      <c r="H78" s="118" t="s">
        <v>16</v>
      </c>
      <c r="I78" s="122" t="str">
        <f>IF(B79="","",AG78&amp;" · (1,25 · "&amp;AA78&amp;"+j"&amp;AB78&amp;")")</f>
        <v>20 · (1,25 · 0,641+j0,081)</v>
      </c>
      <c r="J78" s="122"/>
      <c r="K78" s="122"/>
      <c r="L78" s="122"/>
      <c r="M78" s="122"/>
      <c r="N78" s="122"/>
      <c r="O78" s="118" t="s">
        <v>17</v>
      </c>
      <c r="P78" s="123" t="str">
        <f>IF(B79="","","("&amp;AE79&amp;"°) Ω")</f>
        <v>(0,016107 ∠5,77°) Ω</v>
      </c>
      <c r="Q78" s="123"/>
      <c r="R78" s="123"/>
      <c r="S78" s="123"/>
      <c r="T78" s="123"/>
      <c r="U78" s="123" t="str">
        <f>IF(B79="","","("&amp;AD79&amp;") Ω")</f>
        <v>(0,016025+0,00162i) Ω</v>
      </c>
      <c r="V78" s="123"/>
      <c r="W78" s="123"/>
      <c r="X78" s="123"/>
      <c r="Y78" s="124"/>
      <c r="AA78" s="46">
        <f>AA43</f>
        <v>0.64100000000000001</v>
      </c>
      <c r="AB78" s="19">
        <f>AB43</f>
        <v>8.1000000000000003E-2</v>
      </c>
      <c r="AC78" s="19">
        <f>SQRT(AA78^2+AB78^2)</f>
        <v>0.6460975158596417</v>
      </c>
      <c r="AD78" s="19" t="str">
        <f>COMPLEX(AA78,AB78,)</f>
        <v>0,641+0,081i</v>
      </c>
      <c r="AE78" s="19" t="str">
        <f>ROUND(IMABS(COMPLEX(AA78,AB78,"j")),6)&amp;" ∠"&amp;ROUND(DEGREES(IMARGUMENT(COMPLEX(AA78,AB78,"j"))),2)</f>
        <v>0,646098 ∠7,2</v>
      </c>
      <c r="AF78" s="19"/>
      <c r="AG78" s="46">
        <f>AG43</f>
        <v>20</v>
      </c>
      <c r="AH78" s="46">
        <f>AH43</f>
        <v>1</v>
      </c>
    </row>
    <row r="79" spans="1:35" hidden="1" x14ac:dyDescent="0.25">
      <c r="A79" s="157"/>
      <c r="B79" s="158" t="str">
        <f>IF(Kabeldata!$F$4="","",Kabeldata!$F$4)</f>
        <v>W2</v>
      </c>
      <c r="C79" s="158" t="str">
        <f>IF(Kabeldata!$B$4="","",Kabeldata!$B$4)</f>
        <v>W1</v>
      </c>
      <c r="D79" s="118"/>
      <c r="E79" s="144" t="str">
        <f>1000&amp;IF(AH78=1,""," · η")</f>
        <v>1000</v>
      </c>
      <c r="F79" s="144"/>
      <c r="G79" s="144"/>
      <c r="H79" s="118"/>
      <c r="I79" s="118" t="str">
        <f>IF(B79="","",1000&amp;IF(AH78=1,""," · "&amp;AH78))</f>
        <v>1000</v>
      </c>
      <c r="J79" s="118"/>
      <c r="K79" s="118"/>
      <c r="L79" s="118"/>
      <c r="M79" s="118"/>
      <c r="N79" s="118"/>
      <c r="O79" s="118"/>
      <c r="P79" s="123"/>
      <c r="Q79" s="123"/>
      <c r="R79" s="123"/>
      <c r="S79" s="123"/>
      <c r="T79" s="123"/>
      <c r="U79" s="123"/>
      <c r="V79" s="123"/>
      <c r="W79" s="123"/>
      <c r="X79" s="123"/>
      <c r="Y79" s="124"/>
      <c r="AA79" s="7">
        <f>(AG78*(1.25*AA78))/AH79</f>
        <v>1.6024999999999998E-2</v>
      </c>
      <c r="AB79" s="8">
        <f>(AG78*AB78)/AH79</f>
        <v>1.6200000000000001E-3</v>
      </c>
      <c r="AC79" s="8">
        <f>SQRT(AA79^2+AB79^2)</f>
        <v>1.6106676410731043E-2</v>
      </c>
      <c r="AD79" s="8" t="str">
        <f>COMPLEX(AA79,AB79,)</f>
        <v>0,016025+0,00162i</v>
      </c>
      <c r="AE79" s="8" t="str">
        <f>ROUND(IMABS(COMPLEX(AA79,AB79,"j")),6)&amp;" ∠"&amp;ROUND(DEGREES(IMARGUMENT(COMPLEX(AA79,AB79,"j"))),2)</f>
        <v>0,016107 ∠5,77</v>
      </c>
      <c r="AF79" s="8"/>
      <c r="AG79" s="7"/>
      <c r="AH79" s="9">
        <f>1000*AH78</f>
        <v>1000</v>
      </c>
    </row>
    <row r="80" spans="1:35" hidden="1" x14ac:dyDescent="0.25">
      <c r="A80" s="159" t="s">
        <v>91</v>
      </c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1"/>
    </row>
    <row r="81" spans="1:34" ht="15.75" hidden="1" thickBot="1" x14ac:dyDescent="0.3">
      <c r="A81" s="157" t="s">
        <v>89</v>
      </c>
      <c r="D81" s="118" t="s">
        <v>17</v>
      </c>
      <c r="E81" s="122" t="s">
        <v>95</v>
      </c>
      <c r="F81" s="122"/>
      <c r="G81" s="122"/>
      <c r="H81" s="118" t="s">
        <v>16</v>
      </c>
      <c r="I81" s="122" t="str">
        <f>IF(B82="","",AG81&amp;" · (1,25 · "&amp;AA81&amp;"+j"&amp;AB81&amp;")")</f>
        <v>30 · (1,25 · 0,444+j0,08)</v>
      </c>
      <c r="J81" s="122"/>
      <c r="K81" s="122"/>
      <c r="L81" s="122"/>
      <c r="M81" s="122"/>
      <c r="N81" s="122"/>
      <c r="O81" s="118" t="s">
        <v>17</v>
      </c>
      <c r="P81" s="123" t="str">
        <f>IF(B82="","","("&amp;AE82&amp;"°) Ω")</f>
        <v>(0,016822 ∠8,2°) Ω</v>
      </c>
      <c r="Q81" s="123"/>
      <c r="R81" s="123"/>
      <c r="S81" s="123"/>
      <c r="T81" s="123"/>
      <c r="U81" s="123" t="str">
        <f>IF(B82="","","("&amp;AD82&amp;") Ω")</f>
        <v>(0,01665+0,0024i) Ω</v>
      </c>
      <c r="V81" s="123"/>
      <c r="W81" s="123"/>
      <c r="X81" s="123"/>
      <c r="Y81" s="124"/>
      <c r="AA81" s="46">
        <f>AA46</f>
        <v>0.44400000000000001</v>
      </c>
      <c r="AB81" s="19">
        <f>AB46</f>
        <v>0.08</v>
      </c>
      <c r="AC81" s="19">
        <f>SQRT(AA81^2+AB81^2)</f>
        <v>0.45114964257993156</v>
      </c>
      <c r="AD81" s="19" t="str">
        <f>COMPLEX(AA81,AB81,)</f>
        <v>0,444+0,08i</v>
      </c>
      <c r="AE81" s="19" t="str">
        <f>ROUND(IMABS(COMPLEX(AA81,AB81,"j")),6)&amp;" ∠"&amp;ROUND(DEGREES(IMARGUMENT(COMPLEX(AA81,AB81,"j"))),2)</f>
        <v>0,45115 ∠10,21</v>
      </c>
      <c r="AF81" s="19"/>
      <c r="AG81" s="46">
        <f>AG46</f>
        <v>30</v>
      </c>
      <c r="AH81" s="46">
        <f>AH46</f>
        <v>1</v>
      </c>
    </row>
    <row r="82" spans="1:34" hidden="1" x14ac:dyDescent="0.25">
      <c r="A82" s="157"/>
      <c r="B82" s="158" t="str">
        <f>IF(Kabeldata!$J$4="","",Kabeldata!$J$4)</f>
        <v>W3</v>
      </c>
      <c r="C82" s="158"/>
      <c r="D82" s="118"/>
      <c r="E82" s="144" t="str">
        <f>1000&amp;IF(AH81=1,""," · η")</f>
        <v>1000</v>
      </c>
      <c r="F82" s="144"/>
      <c r="G82" s="144"/>
      <c r="H82" s="118"/>
      <c r="I82" s="118" t="str">
        <f>IF(B82="","",1000&amp;IF(AH81=1,""," · "&amp;AH81))</f>
        <v>1000</v>
      </c>
      <c r="J82" s="118"/>
      <c r="K82" s="118"/>
      <c r="L82" s="118"/>
      <c r="M82" s="118"/>
      <c r="N82" s="118"/>
      <c r="O82" s="118"/>
      <c r="P82" s="123"/>
      <c r="Q82" s="123"/>
      <c r="R82" s="123"/>
      <c r="S82" s="123"/>
      <c r="T82" s="123"/>
      <c r="U82" s="123"/>
      <c r="V82" s="123"/>
      <c r="W82" s="123"/>
      <c r="X82" s="123"/>
      <c r="Y82" s="124"/>
      <c r="AA82" s="7">
        <f>(AG81*(1.25*AA81))/AH82</f>
        <v>1.6650000000000002E-2</v>
      </c>
      <c r="AB82" s="8">
        <f>(AG81*AB81)/AH82</f>
        <v>2.3999999999999998E-3</v>
      </c>
      <c r="AC82" s="8">
        <f>SQRT(AA82^2+AB82^2)</f>
        <v>1.682208369970855E-2</v>
      </c>
      <c r="AD82" s="8" t="str">
        <f>COMPLEX(AA82,AB82,)</f>
        <v>0,01665+0,0024i</v>
      </c>
      <c r="AE82" s="8" t="str">
        <f>ROUND(IMABS(COMPLEX(AA82,AB82,"j")),6)&amp;" ∠"&amp;ROUND(DEGREES(IMARGUMENT(COMPLEX(AA82,AB82,"j"))),2)</f>
        <v>0,016822 ∠8,2</v>
      </c>
      <c r="AF82" s="8"/>
      <c r="AG82" s="7"/>
      <c r="AH82" s="9">
        <f>1000*AH81</f>
        <v>1000</v>
      </c>
    </row>
    <row r="83" spans="1:34" hidden="1" x14ac:dyDescent="0.25">
      <c r="A83" s="159" t="s">
        <v>91</v>
      </c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1"/>
    </row>
    <row r="84" spans="1:34" ht="15.75" hidden="1" thickBot="1" x14ac:dyDescent="0.3">
      <c r="A84" s="157" t="s">
        <v>89</v>
      </c>
      <c r="D84" s="118" t="s">
        <v>17</v>
      </c>
      <c r="E84" s="122" t="s">
        <v>95</v>
      </c>
      <c r="F84" s="122"/>
      <c r="G84" s="122"/>
      <c r="H84" s="118" t="s">
        <v>16</v>
      </c>
      <c r="I84" s="122" t="str">
        <f>IF(B85="","",AG84&amp;" · (1,25 · "&amp;AA84&amp;"+j"&amp;AB84&amp;")")</f>
        <v>8 · (1,25 · 1,2+j0,087)</v>
      </c>
      <c r="J84" s="122"/>
      <c r="K84" s="122"/>
      <c r="L84" s="122"/>
      <c r="M84" s="122"/>
      <c r="N84" s="122"/>
      <c r="O84" s="118" t="s">
        <v>17</v>
      </c>
      <c r="P84" s="123" t="str">
        <f>IF(B85="","","("&amp;AE85&amp;"°) Ω")</f>
        <v>(0,01202 ∠3,32°) Ω</v>
      </c>
      <c r="Q84" s="123"/>
      <c r="R84" s="123"/>
      <c r="S84" s="123"/>
      <c r="T84" s="123"/>
      <c r="U84" s="123" t="str">
        <f>IF(B85="","","("&amp;AD85&amp;") Ω")</f>
        <v>(0,012+0,000696i) Ω</v>
      </c>
      <c r="V84" s="123"/>
      <c r="W84" s="123"/>
      <c r="X84" s="123"/>
      <c r="Y84" s="124"/>
      <c r="AA84" s="46">
        <f>AA49</f>
        <v>1.2</v>
      </c>
      <c r="AB84" s="19">
        <f>AB49</f>
        <v>8.6999999999999994E-2</v>
      </c>
      <c r="AC84" s="19">
        <f>SQRT(AA84^2+AB84^2)</f>
        <v>1.2031496166312816</v>
      </c>
      <c r="AD84" s="19" t="str">
        <f>COMPLEX(AA84,AB84,)</f>
        <v>1,2+0,087i</v>
      </c>
      <c r="AE84" s="19" t="str">
        <f>ROUND(IMABS(COMPLEX(AA84,AB84,"j")),6)&amp;" ∠"&amp;ROUND(DEGREES(IMARGUMENT(COMPLEX(AA84,AB84,"j"))),2)</f>
        <v>1,20315 ∠4,15</v>
      </c>
      <c r="AF84" s="19"/>
      <c r="AG84" s="46">
        <f>AG49</f>
        <v>8</v>
      </c>
      <c r="AH84" s="46">
        <f>AH49</f>
        <v>1</v>
      </c>
    </row>
    <row r="85" spans="1:34" hidden="1" x14ac:dyDescent="0.25">
      <c r="A85" s="157"/>
      <c r="B85" s="158" t="str">
        <f>IF(Kabeldata!$N$4="","",Kabeldata!$N$4)</f>
        <v>W4</v>
      </c>
      <c r="C85" s="158"/>
      <c r="D85" s="118"/>
      <c r="E85" s="144" t="str">
        <f>1000&amp;IF(AH84=1,""," · η")</f>
        <v>1000</v>
      </c>
      <c r="F85" s="144"/>
      <c r="G85" s="144"/>
      <c r="H85" s="118"/>
      <c r="I85" s="118" t="str">
        <f>IF(B85="","",1000&amp;IF(AH84=1,""," · "&amp;AH84))</f>
        <v>1000</v>
      </c>
      <c r="J85" s="118"/>
      <c r="K85" s="118"/>
      <c r="L85" s="118"/>
      <c r="M85" s="118"/>
      <c r="N85" s="118"/>
      <c r="O85" s="118"/>
      <c r="P85" s="123"/>
      <c r="Q85" s="123"/>
      <c r="R85" s="123"/>
      <c r="S85" s="123"/>
      <c r="T85" s="123"/>
      <c r="U85" s="123"/>
      <c r="V85" s="123"/>
      <c r="W85" s="123"/>
      <c r="X85" s="123"/>
      <c r="Y85" s="124"/>
      <c r="AA85" s="7">
        <f>(AG84*(1.25*AA84))/AH85</f>
        <v>1.2E-2</v>
      </c>
      <c r="AB85" s="8">
        <f>(AG84*AB84)/AH85</f>
        <v>6.96E-4</v>
      </c>
      <c r="AC85" s="8">
        <f>SQRT(AA85^2+AB85^2)</f>
        <v>1.2020167053747631E-2</v>
      </c>
      <c r="AD85" s="8" t="str">
        <f>COMPLEX(AA85,AB85,)</f>
        <v>0,012+0,000696i</v>
      </c>
      <c r="AE85" s="8" t="str">
        <f>ROUND(IMABS(COMPLEX(AA85,AB85,"j")),6)&amp;" ∠"&amp;ROUND(DEGREES(IMARGUMENT(COMPLEX(AA85,AB85,"j"))),2)</f>
        <v>0,01202 ∠3,32</v>
      </c>
      <c r="AF85" s="8"/>
      <c r="AG85" s="7"/>
      <c r="AH85" s="9">
        <f>1000*AH84</f>
        <v>1000</v>
      </c>
    </row>
    <row r="86" spans="1:34" hidden="1" x14ac:dyDescent="0.25">
      <c r="A86" s="159" t="s">
        <v>91</v>
      </c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1"/>
    </row>
    <row r="87" spans="1:34" ht="15.75" hidden="1" thickBot="1" x14ac:dyDescent="0.3">
      <c r="A87" s="157" t="s">
        <v>89</v>
      </c>
      <c r="D87" s="118" t="s">
        <v>17</v>
      </c>
      <c r="E87" s="122" t="s">
        <v>95</v>
      </c>
      <c r="F87" s="122"/>
      <c r="G87" s="122"/>
      <c r="H87" s="118" t="s">
        <v>16</v>
      </c>
      <c r="I87" s="122" t="str">
        <f>IF(B88="","",AG87&amp;" · (1,25 · "&amp;AA87&amp;"+j"&amp;AB87&amp;")")</f>
        <v/>
      </c>
      <c r="J87" s="122"/>
      <c r="K87" s="122"/>
      <c r="L87" s="122"/>
      <c r="M87" s="122"/>
      <c r="N87" s="122"/>
      <c r="O87" s="118" t="s">
        <v>17</v>
      </c>
      <c r="P87" s="123" t="str">
        <f>IF(B88="","","("&amp;AE88&amp;"°) Ω")</f>
        <v/>
      </c>
      <c r="Q87" s="123"/>
      <c r="R87" s="123"/>
      <c r="S87" s="123"/>
      <c r="T87" s="123"/>
      <c r="U87" s="123" t="str">
        <f>IF(B88="","","("&amp;AD88&amp;") Ω")</f>
        <v/>
      </c>
      <c r="V87" s="123"/>
      <c r="W87" s="123"/>
      <c r="X87" s="123"/>
      <c r="Y87" s="124"/>
      <c r="AA87" s="46">
        <f>AA52</f>
        <v>0.72699999999999998</v>
      </c>
      <c r="AB87" s="19">
        <f>AB52</f>
        <v>7.9000000000000001E-2</v>
      </c>
      <c r="AC87" s="19">
        <f>SQRT(AA87^2+AB87^2)</f>
        <v>0.7312797002515522</v>
      </c>
      <c r="AD87" s="19" t="str">
        <f>COMPLEX(AA87,AB87,)</f>
        <v>0,727+0,079i</v>
      </c>
      <c r="AE87" s="19" t="str">
        <f>ROUND(IMABS(COMPLEX(AA87,AB87,"j")),6)&amp;" ∠"&amp;ROUND(DEGREES(IMARGUMENT(COMPLEX(AA87,AB87,"j"))),2)</f>
        <v>0,73128 ∠6,2</v>
      </c>
      <c r="AF87" s="19"/>
      <c r="AG87" s="46">
        <f>AG52</f>
        <v>100</v>
      </c>
      <c r="AH87" s="46">
        <f>AH52</f>
        <v>1</v>
      </c>
    </row>
    <row r="88" spans="1:34" hidden="1" x14ac:dyDescent="0.25">
      <c r="A88" s="157"/>
      <c r="B88" s="158" t="str">
        <f>IF(Kabeldata!$R$4="","",Kabeldata!$R$4)</f>
        <v/>
      </c>
      <c r="C88" s="158"/>
      <c r="D88" s="118"/>
      <c r="E88" s="144" t="str">
        <f>1000&amp;IF(AH87=1,""," · η")</f>
        <v>1000</v>
      </c>
      <c r="F88" s="144"/>
      <c r="G88" s="144"/>
      <c r="H88" s="118"/>
      <c r="I88" s="118" t="str">
        <f>IF(B88="","",1000&amp;IF(AH87=1,""," · "&amp;AH87))</f>
        <v/>
      </c>
      <c r="J88" s="118"/>
      <c r="K88" s="118"/>
      <c r="L88" s="118"/>
      <c r="M88" s="118"/>
      <c r="N88" s="118"/>
      <c r="O88" s="118"/>
      <c r="P88" s="123"/>
      <c r="Q88" s="123"/>
      <c r="R88" s="123"/>
      <c r="S88" s="123"/>
      <c r="T88" s="123"/>
      <c r="U88" s="123"/>
      <c r="V88" s="123"/>
      <c r="W88" s="123"/>
      <c r="X88" s="123"/>
      <c r="Y88" s="124"/>
      <c r="AA88" s="7">
        <f>(AG87*(1.25*AA87))/AH88</f>
        <v>9.0874999999999997E-2</v>
      </c>
      <c r="AB88" s="8">
        <f>(AG87*AB87)/AH88</f>
        <v>7.9000000000000008E-3</v>
      </c>
      <c r="AC88" s="8">
        <f>SQRT(AA88^2+AB88^2)</f>
        <v>9.1217737447275016E-2</v>
      </c>
      <c r="AD88" s="8" t="str">
        <f>COMPLEX(AA88,AB88,)</f>
        <v>0,090875+0,0079i</v>
      </c>
      <c r="AE88" s="8" t="str">
        <f>ROUND(IMABS(COMPLEX(AA88,AB88,"j")),6)&amp;" ∠"&amp;ROUND(DEGREES(IMARGUMENT(COMPLEX(AA88,AB88,"j"))),2)</f>
        <v>0,091218 ∠4,97</v>
      </c>
      <c r="AF88" s="8"/>
      <c r="AG88" s="7"/>
      <c r="AH88" s="9">
        <f>1000*AH87</f>
        <v>1000</v>
      </c>
    </row>
    <row r="89" spans="1:34" hidden="1" x14ac:dyDescent="0.25">
      <c r="A89" s="159" t="s">
        <v>91</v>
      </c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1"/>
    </row>
    <row r="90" spans="1:34" ht="15.75" hidden="1" thickBot="1" x14ac:dyDescent="0.3">
      <c r="A90" s="157" t="s">
        <v>89</v>
      </c>
      <c r="D90" s="118" t="s">
        <v>17</v>
      </c>
      <c r="E90" s="122" t="s">
        <v>95</v>
      </c>
      <c r="F90" s="122"/>
      <c r="G90" s="122"/>
      <c r="H90" s="118" t="s">
        <v>16</v>
      </c>
      <c r="I90" s="122" t="str">
        <f>IF(B91="","",AG90&amp;" · (1,25 · "&amp;AA90&amp;"+j"&amp;AB90&amp;")")</f>
        <v/>
      </c>
      <c r="J90" s="122"/>
      <c r="K90" s="122"/>
      <c r="L90" s="122"/>
      <c r="M90" s="122"/>
      <c r="N90" s="122"/>
      <c r="O90" s="118" t="s">
        <v>17</v>
      </c>
      <c r="P90" s="123" t="str">
        <f>IF(B91="","","("&amp;AE91&amp;"°) Ω")</f>
        <v/>
      </c>
      <c r="Q90" s="123"/>
      <c r="R90" s="123"/>
      <c r="S90" s="123"/>
      <c r="T90" s="123"/>
      <c r="U90" s="123" t="str">
        <f>IF(B91="","","("&amp;AD91&amp;") Ω")</f>
        <v/>
      </c>
      <c r="V90" s="123"/>
      <c r="W90" s="123"/>
      <c r="X90" s="123"/>
      <c r="Y90" s="124"/>
      <c r="AA90" s="46">
        <f>AA55</f>
        <v>7.41</v>
      </c>
      <c r="AB90" s="19">
        <f>AB55</f>
        <v>9.5000000000000001E-2</v>
      </c>
      <c r="AC90" s="19">
        <f>SQRT(AA90^2+AB90^2)</f>
        <v>7.4106089493374299</v>
      </c>
      <c r="AD90" s="19" t="str">
        <f>COMPLEX(AA90,AB90,)</f>
        <v>7,41+0,095i</v>
      </c>
      <c r="AE90" s="19" t="str">
        <f>ROUND(IMABS(COMPLEX(AA90,AB90,"j")),6)&amp;" ∠"&amp;ROUND(DEGREES(IMARGUMENT(COMPLEX(AA90,AB90,"j"))),2)</f>
        <v>7,410609 ∠0,73</v>
      </c>
      <c r="AF90" s="19"/>
      <c r="AG90" s="46">
        <f>AG55</f>
        <v>10.7</v>
      </c>
      <c r="AH90" s="46">
        <f>AH55</f>
        <v>1</v>
      </c>
    </row>
    <row r="91" spans="1:34" hidden="1" x14ac:dyDescent="0.25">
      <c r="A91" s="157"/>
      <c r="B91" s="158" t="str">
        <f>IF(Kabeldata!$B$22="","",Kabeldata!$B$22)</f>
        <v/>
      </c>
      <c r="C91" s="158"/>
      <c r="D91" s="118"/>
      <c r="E91" s="144" t="str">
        <f>1000&amp;IF(AH90=1,""," · η")</f>
        <v>1000</v>
      </c>
      <c r="F91" s="144"/>
      <c r="G91" s="144"/>
      <c r="H91" s="118"/>
      <c r="I91" s="118" t="str">
        <f>IF(B91="","",1000&amp;IF(AH90=1,""," · "&amp;AH90))</f>
        <v/>
      </c>
      <c r="J91" s="118"/>
      <c r="K91" s="118"/>
      <c r="L91" s="118"/>
      <c r="M91" s="118"/>
      <c r="N91" s="118"/>
      <c r="O91" s="118"/>
      <c r="P91" s="123"/>
      <c r="Q91" s="123"/>
      <c r="R91" s="123"/>
      <c r="S91" s="123"/>
      <c r="T91" s="123"/>
      <c r="U91" s="123"/>
      <c r="V91" s="123"/>
      <c r="W91" s="123"/>
      <c r="X91" s="123"/>
      <c r="Y91" s="124"/>
      <c r="AA91" s="7">
        <f>(AG90*(1.25*AA90))/AH91</f>
        <v>9.9108749999999982E-2</v>
      </c>
      <c r="AB91" s="8">
        <f>(AG90*AB90)/AH91</f>
        <v>1.0165E-3</v>
      </c>
      <c r="AC91" s="8">
        <f>SQRT(AA91^2+AB91^2)</f>
        <v>9.9113962683430715E-2</v>
      </c>
      <c r="AD91" s="8" t="str">
        <f>COMPLEX(AA91,AB91,)</f>
        <v>0,09910875+0,0010165i</v>
      </c>
      <c r="AE91" s="8" t="str">
        <f>ROUND(IMABS(COMPLEX(AA91,AB91,"j")),6)&amp;" ∠"&amp;ROUND(DEGREES(IMARGUMENT(COMPLEX(AA91,AB91,"j"))),2)</f>
        <v>0,099114 ∠0,59</v>
      </c>
      <c r="AF91" s="8"/>
      <c r="AG91" s="7"/>
      <c r="AH91" s="9">
        <f>1000*AH90</f>
        <v>1000</v>
      </c>
    </row>
    <row r="92" spans="1:34" hidden="1" x14ac:dyDescent="0.25">
      <c r="A92" s="159" t="s">
        <v>91</v>
      </c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1"/>
    </row>
    <row r="93" spans="1:34" ht="15.75" hidden="1" thickBot="1" x14ac:dyDescent="0.3">
      <c r="A93" s="157" t="s">
        <v>89</v>
      </c>
      <c r="D93" s="118" t="s">
        <v>17</v>
      </c>
      <c r="E93" s="122" t="s">
        <v>95</v>
      </c>
      <c r="F93" s="122"/>
      <c r="G93" s="122"/>
      <c r="H93" s="118" t="s">
        <v>16</v>
      </c>
      <c r="I93" s="122" t="str">
        <f>IF(B94="","",AG93&amp;" · (1,25 · "&amp;AA93&amp;"+j"&amp;AB93&amp;")")</f>
        <v/>
      </c>
      <c r="J93" s="122"/>
      <c r="K93" s="122"/>
      <c r="L93" s="122"/>
      <c r="M93" s="122"/>
      <c r="N93" s="122"/>
      <c r="O93" s="118" t="s">
        <v>17</v>
      </c>
      <c r="P93" s="123" t="str">
        <f>IF(B94="","","("&amp;AE94&amp;"°) Ω")</f>
        <v/>
      </c>
      <c r="Q93" s="123"/>
      <c r="R93" s="123"/>
      <c r="S93" s="123"/>
      <c r="T93" s="123"/>
      <c r="U93" s="123" t="str">
        <f>IF(B94="","","("&amp;AD94&amp;") Ω")</f>
        <v/>
      </c>
      <c r="V93" s="123"/>
      <c r="W93" s="123"/>
      <c r="X93" s="123"/>
      <c r="Y93" s="124"/>
      <c r="AA93" s="46">
        <f>AA58</f>
        <v>1.1499999999999999</v>
      </c>
      <c r="AB93" s="19">
        <f>AB58</f>
        <v>8.5000000000000006E-2</v>
      </c>
      <c r="AC93" s="19">
        <f>SQRT(AA93^2+AB93^2)</f>
        <v>1.1531370256825508</v>
      </c>
      <c r="AD93" s="19" t="str">
        <f>COMPLEX(AA93,AB93,)</f>
        <v>1,15+0,085i</v>
      </c>
      <c r="AE93" s="19" t="str">
        <f>ROUND(IMABS(COMPLEX(AA93,AB93,"j")),6)&amp;" ∠"&amp;ROUND(DEGREES(IMARGUMENT(COMPLEX(AA93,AB93,"j"))),2)</f>
        <v>1,153137 ∠4,23</v>
      </c>
      <c r="AF93" s="19"/>
      <c r="AG93" s="46">
        <f>AG58</f>
        <v>2</v>
      </c>
      <c r="AH93" s="46">
        <f>AH58</f>
        <v>1</v>
      </c>
    </row>
    <row r="94" spans="1:34" hidden="1" x14ac:dyDescent="0.25">
      <c r="A94" s="157"/>
      <c r="B94" s="158" t="str">
        <f>IF(Kabeldata!$F$22="","",Kabeldata!$F$22)</f>
        <v/>
      </c>
      <c r="C94" s="158"/>
      <c r="D94" s="118"/>
      <c r="E94" s="144" t="str">
        <f>1000&amp;IF(AH93=1,""," · η")</f>
        <v>1000</v>
      </c>
      <c r="F94" s="144"/>
      <c r="G94" s="144"/>
      <c r="H94" s="118"/>
      <c r="I94" s="118" t="str">
        <f>IF(B94="","",1000&amp;IF(AH93=1,""," · "&amp;AH93))</f>
        <v/>
      </c>
      <c r="J94" s="118"/>
      <c r="K94" s="118"/>
      <c r="L94" s="118"/>
      <c r="M94" s="118"/>
      <c r="N94" s="118"/>
      <c r="O94" s="118"/>
      <c r="P94" s="123"/>
      <c r="Q94" s="123"/>
      <c r="R94" s="123"/>
      <c r="S94" s="123"/>
      <c r="T94" s="123"/>
      <c r="U94" s="123"/>
      <c r="V94" s="123"/>
      <c r="W94" s="123"/>
      <c r="X94" s="123"/>
      <c r="Y94" s="124"/>
      <c r="AA94" s="7">
        <f>(AG93*(1.25*AA93))/AH94</f>
        <v>2.875E-3</v>
      </c>
      <c r="AB94" s="8">
        <f>(AG93*AB93)/AH94</f>
        <v>1.7000000000000001E-4</v>
      </c>
      <c r="AC94" s="8">
        <f>SQRT(AA94^2+AB94^2)</f>
        <v>2.8800217013071274E-3</v>
      </c>
      <c r="AD94" s="8" t="str">
        <f>COMPLEX(AA94,AB94,)</f>
        <v>0,002875+0,00017i</v>
      </c>
      <c r="AE94" s="8" t="str">
        <f>ROUND(IMABS(COMPLEX(AA94,AB94,"j")),6)&amp;" ∠"&amp;ROUND(DEGREES(IMARGUMENT(COMPLEX(AA94,AB94,"j"))),2)</f>
        <v>0,00288 ∠3,38</v>
      </c>
      <c r="AF94" s="8"/>
      <c r="AG94" s="7"/>
      <c r="AH94" s="9">
        <f>1000*AH93</f>
        <v>1000</v>
      </c>
    </row>
    <row r="95" spans="1:34" hidden="1" x14ac:dyDescent="0.25">
      <c r="A95" s="159" t="s">
        <v>91</v>
      </c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1"/>
    </row>
    <row r="96" spans="1:34" ht="15.75" hidden="1" thickBot="1" x14ac:dyDescent="0.3">
      <c r="A96" s="157" t="s">
        <v>89</v>
      </c>
      <c r="D96" s="118" t="s">
        <v>17</v>
      </c>
      <c r="E96" s="122" t="s">
        <v>95</v>
      </c>
      <c r="F96" s="122"/>
      <c r="G96" s="122"/>
      <c r="H96" s="118" t="s">
        <v>16</v>
      </c>
      <c r="I96" s="122" t="str">
        <f>IF(B97="","",AG96&amp;" · (1,25 · "&amp;AA96&amp;"+j"&amp;AB96&amp;")")</f>
        <v/>
      </c>
      <c r="J96" s="122"/>
      <c r="K96" s="122"/>
      <c r="L96" s="122"/>
      <c r="M96" s="122"/>
      <c r="N96" s="122"/>
      <c r="O96" s="118" t="s">
        <v>17</v>
      </c>
      <c r="P96" s="123" t="str">
        <f>IF(B97="","","("&amp;AE97&amp;"°) Ω")</f>
        <v/>
      </c>
      <c r="Q96" s="123"/>
      <c r="R96" s="123"/>
      <c r="S96" s="123"/>
      <c r="T96" s="123"/>
      <c r="U96" s="123" t="str">
        <f>IF(B97="","","("&amp;AD97&amp;") Ω")</f>
        <v/>
      </c>
      <c r="V96" s="123"/>
      <c r="W96" s="123"/>
      <c r="X96" s="123"/>
      <c r="Y96" s="124"/>
      <c r="AA96" s="46">
        <f>AA61</f>
        <v>7.41</v>
      </c>
      <c r="AB96" s="19">
        <f>AB61</f>
        <v>9.5000000000000001E-2</v>
      </c>
      <c r="AC96" s="19">
        <f>SQRT(AA96^2+AB96^2)</f>
        <v>7.4106089493374299</v>
      </c>
      <c r="AD96" s="19" t="str">
        <f>COMPLEX(AA96,AB96,)</f>
        <v>7,41+0,095i</v>
      </c>
      <c r="AE96" s="19" t="str">
        <f>ROUND(IMABS(COMPLEX(AA96,AB96,"j")),6)&amp;" ∠"&amp;ROUND(DEGREES(IMARGUMENT(COMPLEX(AA96,AB96,"j"))),2)</f>
        <v>7,410609 ∠0,73</v>
      </c>
      <c r="AF96" s="19"/>
      <c r="AG96" s="46">
        <f>AG61</f>
        <v>38.35</v>
      </c>
      <c r="AH96" s="46">
        <f>AH61</f>
        <v>1</v>
      </c>
    </row>
    <row r="97" spans="1:34" hidden="1" x14ac:dyDescent="0.25">
      <c r="A97" s="157"/>
      <c r="B97" s="158" t="str">
        <f>IF(Kabeldata!$J$22="","",Kabeldata!$J$22)</f>
        <v/>
      </c>
      <c r="C97" s="158"/>
      <c r="D97" s="118"/>
      <c r="E97" s="144" t="str">
        <f>1000&amp;IF(AH96=1,""," · η")</f>
        <v>1000</v>
      </c>
      <c r="F97" s="144"/>
      <c r="G97" s="144"/>
      <c r="H97" s="118"/>
      <c r="I97" s="118" t="str">
        <f>IF(B97="","",1000&amp;IF(AH96=1,""," · "&amp;AH96))</f>
        <v/>
      </c>
      <c r="J97" s="118"/>
      <c r="K97" s="118"/>
      <c r="L97" s="118"/>
      <c r="M97" s="118"/>
      <c r="N97" s="118"/>
      <c r="O97" s="118"/>
      <c r="P97" s="123"/>
      <c r="Q97" s="123"/>
      <c r="R97" s="123"/>
      <c r="S97" s="123"/>
      <c r="T97" s="123"/>
      <c r="U97" s="123"/>
      <c r="V97" s="123"/>
      <c r="W97" s="123"/>
      <c r="X97" s="123"/>
      <c r="Y97" s="124"/>
      <c r="AA97" s="7">
        <f>(AG96*(1.25*AA96))/AH97</f>
        <v>0.35521687499999993</v>
      </c>
      <c r="AB97" s="8">
        <f>(AG96*AB96)/AH97</f>
        <v>3.6432500000000002E-3</v>
      </c>
      <c r="AC97" s="8">
        <f>SQRT(AA97^2+AB97^2)</f>
        <v>0.35523555784201566</v>
      </c>
      <c r="AD97" s="8" t="str">
        <f>COMPLEX(AA97,AB97,)</f>
        <v>0,355216875+0,00364325i</v>
      </c>
      <c r="AE97" s="8" t="str">
        <f>ROUND(IMABS(COMPLEX(AA97,AB97,"j")),6)&amp;" ∠"&amp;ROUND(DEGREES(IMARGUMENT(COMPLEX(AA97,AB97,"j"))),2)</f>
        <v>0,355236 ∠0,59</v>
      </c>
      <c r="AF97" s="8"/>
      <c r="AG97" s="7"/>
      <c r="AH97" s="9">
        <f>1000*AH96</f>
        <v>1000</v>
      </c>
    </row>
    <row r="98" spans="1:34" hidden="1" x14ac:dyDescent="0.25">
      <c r="A98" s="159" t="s">
        <v>91</v>
      </c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1"/>
    </row>
    <row r="99" spans="1:34" ht="15.75" hidden="1" thickBot="1" x14ac:dyDescent="0.3">
      <c r="A99" s="157" t="s">
        <v>89</v>
      </c>
      <c r="D99" s="118" t="s">
        <v>17</v>
      </c>
      <c r="E99" s="122" t="s">
        <v>95</v>
      </c>
      <c r="F99" s="122"/>
      <c r="G99" s="122"/>
      <c r="H99" s="118" t="s">
        <v>16</v>
      </c>
      <c r="I99" s="122" t="str">
        <f>IF(B100="","",AG99&amp;" · (1,25 · "&amp;AA99&amp;"+j"&amp;AB99&amp;")")</f>
        <v/>
      </c>
      <c r="J99" s="122"/>
      <c r="K99" s="122"/>
      <c r="L99" s="122"/>
      <c r="M99" s="122"/>
      <c r="N99" s="122"/>
      <c r="O99" s="118" t="s">
        <v>17</v>
      </c>
      <c r="P99" s="123" t="str">
        <f>IF(B100="","","("&amp;AE100&amp;"°) Ω")</f>
        <v/>
      </c>
      <c r="Q99" s="123"/>
      <c r="R99" s="123"/>
      <c r="S99" s="123"/>
      <c r="T99" s="123"/>
      <c r="U99" s="123" t="str">
        <f>IF(B100="","","("&amp;AD100&amp;") Ω")</f>
        <v/>
      </c>
      <c r="V99" s="123"/>
      <c r="W99" s="123"/>
      <c r="X99" s="123"/>
      <c r="Y99" s="124"/>
      <c r="AA99" s="46">
        <f>AA64</f>
        <v>0</v>
      </c>
      <c r="AB99" s="19">
        <f>AB64</f>
        <v>0</v>
      </c>
      <c r="AC99" s="19">
        <f>SQRT(AA99^2+AB99^2)</f>
        <v>0</v>
      </c>
      <c r="AD99" s="19" t="str">
        <f>COMPLEX(AA99,AB99,)</f>
        <v>0</v>
      </c>
      <c r="AE99" s="19" t="e">
        <f>ROUND(IMABS(COMPLEX(AA99,AB99,"j")),6)&amp;" ∠"&amp;ROUND(DEGREES(IMARGUMENT(COMPLEX(AA99,AB99,"j"))),2)</f>
        <v>#DIV/0!</v>
      </c>
      <c r="AF99" s="19"/>
      <c r="AG99" s="46">
        <f>AG64</f>
        <v>0</v>
      </c>
      <c r="AH99" s="46">
        <f>AH64</f>
        <v>1</v>
      </c>
    </row>
    <row r="100" spans="1:34" hidden="1" x14ac:dyDescent="0.25">
      <c r="A100" s="157"/>
      <c r="B100" s="158" t="str">
        <f>IF(Kabeldata!$N$22="","",Kabeldata!$N$22)</f>
        <v/>
      </c>
      <c r="C100" s="158"/>
      <c r="D100" s="118"/>
      <c r="E100" s="144" t="str">
        <f>1000&amp;IF(AH99=1,""," · η")</f>
        <v>1000</v>
      </c>
      <c r="F100" s="144"/>
      <c r="G100" s="144"/>
      <c r="H100" s="118"/>
      <c r="I100" s="118" t="str">
        <f>IF(B100="","",1000&amp;IF(AH99=1,""," · "&amp;AH99))</f>
        <v/>
      </c>
      <c r="J100" s="118"/>
      <c r="K100" s="118"/>
      <c r="L100" s="118"/>
      <c r="M100" s="118"/>
      <c r="N100" s="118"/>
      <c r="O100" s="118"/>
      <c r="P100" s="123"/>
      <c r="Q100" s="123"/>
      <c r="R100" s="123"/>
      <c r="S100" s="123"/>
      <c r="T100" s="123"/>
      <c r="U100" s="123"/>
      <c r="V100" s="123"/>
      <c r="W100" s="123"/>
      <c r="X100" s="123"/>
      <c r="Y100" s="124"/>
      <c r="AA100" s="7">
        <f>(AG99*(1.25*AA99))/AH100</f>
        <v>0</v>
      </c>
      <c r="AB100" s="8">
        <f>(AG99*AB99)/AH100</f>
        <v>0</v>
      </c>
      <c r="AC100" s="8">
        <f>SQRT(AA100^2+AB100^2)</f>
        <v>0</v>
      </c>
      <c r="AD100" s="8" t="str">
        <f>COMPLEX(AA100,AB100,)</f>
        <v>0</v>
      </c>
      <c r="AE100" s="8" t="e">
        <f>ROUND(IMABS(COMPLEX(AA100,AB100,"j")),6)&amp;" ∠"&amp;ROUND(DEGREES(IMARGUMENT(COMPLEX(AA100,AB100,"j"))),2)</f>
        <v>#DIV/0!</v>
      </c>
      <c r="AF100" s="8"/>
      <c r="AG100" s="7"/>
      <c r="AH100" s="9">
        <f>1000*AH99</f>
        <v>1000</v>
      </c>
    </row>
    <row r="101" spans="1:34" hidden="1" x14ac:dyDescent="0.25">
      <c r="A101" s="159" t="s">
        <v>91</v>
      </c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1"/>
    </row>
    <row r="102" spans="1:34" ht="15.75" hidden="1" thickBot="1" x14ac:dyDescent="0.3">
      <c r="A102" s="157" t="s">
        <v>89</v>
      </c>
      <c r="D102" s="118" t="s">
        <v>17</v>
      </c>
      <c r="E102" s="122" t="s">
        <v>95</v>
      </c>
      <c r="F102" s="122"/>
      <c r="G102" s="122"/>
      <c r="H102" s="118" t="s">
        <v>16</v>
      </c>
      <c r="I102" s="122" t="str">
        <f>IF(B103="","",AG102&amp;" · (1,25 · "&amp;AA102&amp;"+j"&amp;AB102&amp;")")</f>
        <v/>
      </c>
      <c r="J102" s="122"/>
      <c r="K102" s="122"/>
      <c r="L102" s="122"/>
      <c r="M102" s="122"/>
      <c r="N102" s="122"/>
      <c r="O102" s="118" t="s">
        <v>17</v>
      </c>
      <c r="P102" s="123" t="str">
        <f>IF(B103="","","("&amp;AE103&amp;"°) Ω")</f>
        <v/>
      </c>
      <c r="Q102" s="123"/>
      <c r="R102" s="123"/>
      <c r="S102" s="123"/>
      <c r="T102" s="123"/>
      <c r="U102" s="123" t="str">
        <f>IF(B103="","","("&amp;AD103&amp;") Ω")</f>
        <v/>
      </c>
      <c r="V102" s="123"/>
      <c r="W102" s="123"/>
      <c r="X102" s="123"/>
      <c r="Y102" s="124"/>
      <c r="AA102" s="46">
        <f>AA67</f>
        <v>0</v>
      </c>
      <c r="AB102" s="19">
        <f>AB67</f>
        <v>0</v>
      </c>
      <c r="AC102" s="19">
        <f>SQRT(AA102^2+AB102^2)</f>
        <v>0</v>
      </c>
      <c r="AD102" s="19" t="str">
        <f>COMPLEX(AA102,AB102,)</f>
        <v>0</v>
      </c>
      <c r="AE102" s="19" t="e">
        <f>ROUND(IMABS(COMPLEX(AA102,AB102,"j")),6)&amp;" ∠"&amp;ROUND(DEGREES(IMARGUMENT(COMPLEX(AA102,AB102,"j"))),2)</f>
        <v>#DIV/0!</v>
      </c>
      <c r="AF102" s="19"/>
      <c r="AG102" s="46">
        <f>AG67</f>
        <v>0</v>
      </c>
      <c r="AH102" s="46">
        <f>AH67</f>
        <v>0</v>
      </c>
    </row>
    <row r="103" spans="1:34" hidden="1" x14ac:dyDescent="0.25">
      <c r="A103" s="157"/>
      <c r="B103" s="158" t="str">
        <f>IF(Kabeldata!$R$22="","",Kabeldata!$R$22)</f>
        <v/>
      </c>
      <c r="C103" s="158"/>
      <c r="D103" s="118"/>
      <c r="E103" s="144" t="str">
        <f>1000&amp;IF(AH102=1,""," · η")</f>
        <v>1000 · η</v>
      </c>
      <c r="F103" s="144"/>
      <c r="G103" s="144"/>
      <c r="H103" s="118"/>
      <c r="I103" s="118" t="str">
        <f>IF(B103="","",1000&amp;IF(AH102=1,""," · "&amp;AH102))</f>
        <v/>
      </c>
      <c r="J103" s="118"/>
      <c r="K103" s="118"/>
      <c r="L103" s="118"/>
      <c r="M103" s="118"/>
      <c r="N103" s="118"/>
      <c r="O103" s="118"/>
      <c r="P103" s="123"/>
      <c r="Q103" s="123"/>
      <c r="R103" s="123"/>
      <c r="S103" s="123"/>
      <c r="T103" s="123"/>
      <c r="U103" s="123"/>
      <c r="V103" s="123"/>
      <c r="W103" s="123"/>
      <c r="X103" s="123"/>
      <c r="Y103" s="124"/>
      <c r="AA103" s="7" t="e">
        <f>(AG102*(1.25*AA102))/AH103</f>
        <v>#DIV/0!</v>
      </c>
      <c r="AB103" s="8" t="e">
        <f>(AG102*AB102)/AH103</f>
        <v>#DIV/0!</v>
      </c>
      <c r="AC103" s="8" t="e">
        <f>SQRT(AA103^2+AB103^2)</f>
        <v>#DIV/0!</v>
      </c>
      <c r="AD103" s="8" t="e">
        <f>COMPLEX(AA103,AB103,)</f>
        <v>#DIV/0!</v>
      </c>
      <c r="AE103" s="8" t="e">
        <f>ROUND(IMABS(COMPLEX(AA103,AB103,"j")),6)&amp;" ∠"&amp;ROUND(DEGREES(IMARGUMENT(COMPLEX(AA103,AB103,"j"))),2)</f>
        <v>#DIV/0!</v>
      </c>
      <c r="AF103" s="8"/>
      <c r="AG103" s="7"/>
      <c r="AH103" s="9">
        <f>1000*AH102</f>
        <v>0</v>
      </c>
    </row>
    <row r="104" spans="1:34" hidden="1" x14ac:dyDescent="0.2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AA104" s="7"/>
      <c r="AB104" s="8"/>
      <c r="AC104" s="8"/>
      <c r="AD104" s="8"/>
      <c r="AE104" s="8"/>
      <c r="AF104" s="8"/>
      <c r="AG104" s="7"/>
      <c r="AH104" s="9"/>
    </row>
    <row r="105" spans="1:34" hidden="1" x14ac:dyDescent="0.25"/>
    <row r="106" spans="1:34" hidden="1" x14ac:dyDescent="0.25"/>
  </sheetData>
  <sheetProtection sheet="1" objects="1" scenarios="1" selectLockedCells="1"/>
  <mergeCells count="366">
    <mergeCell ref="U2:Y3"/>
    <mergeCell ref="A37:O38"/>
    <mergeCell ref="A72:O73"/>
    <mergeCell ref="P37:T38"/>
    <mergeCell ref="U37:Y38"/>
    <mergeCell ref="P72:T73"/>
    <mergeCell ref="U72:Y73"/>
    <mergeCell ref="A31:Y31"/>
    <mergeCell ref="A28:Y28"/>
    <mergeCell ref="A25:Y25"/>
    <mergeCell ref="A22:Y22"/>
    <mergeCell ref="A19:Y19"/>
    <mergeCell ref="A16:Y16"/>
    <mergeCell ref="A13:Y13"/>
    <mergeCell ref="A10:Y10"/>
    <mergeCell ref="A7:Y7"/>
    <mergeCell ref="U64:Y65"/>
    <mergeCell ref="U67:Y68"/>
    <mergeCell ref="U5:Y6"/>
    <mergeCell ref="U8:Y9"/>
    <mergeCell ref="U11:Y12"/>
    <mergeCell ref="U14:Y15"/>
    <mergeCell ref="U17:Y18"/>
    <mergeCell ref="U20:Y21"/>
    <mergeCell ref="U96:Y97"/>
    <mergeCell ref="U99:Y100"/>
    <mergeCell ref="U102:Y103"/>
    <mergeCell ref="A77:Y77"/>
    <mergeCell ref="A80:Y80"/>
    <mergeCell ref="A83:Y83"/>
    <mergeCell ref="A86:Y86"/>
    <mergeCell ref="A89:Y89"/>
    <mergeCell ref="A92:Y92"/>
    <mergeCell ref="A95:Y95"/>
    <mergeCell ref="A98:Y98"/>
    <mergeCell ref="A101:Y101"/>
    <mergeCell ref="A96:A97"/>
    <mergeCell ref="D96:D97"/>
    <mergeCell ref="E96:G96"/>
    <mergeCell ref="H96:H97"/>
    <mergeCell ref="I96:N96"/>
    <mergeCell ref="O96:O97"/>
    <mergeCell ref="P96:T97"/>
    <mergeCell ref="B97:C97"/>
    <mergeCell ref="E97:G97"/>
    <mergeCell ref="I97:N97"/>
    <mergeCell ref="A93:A94"/>
    <mergeCell ref="D93:D94"/>
    <mergeCell ref="U75:Y76"/>
    <mergeCell ref="U78:Y79"/>
    <mergeCell ref="U81:Y82"/>
    <mergeCell ref="U84:Y85"/>
    <mergeCell ref="U87:Y88"/>
    <mergeCell ref="U90:Y91"/>
    <mergeCell ref="U93:Y94"/>
    <mergeCell ref="A66:Y66"/>
    <mergeCell ref="U32:Y33"/>
    <mergeCell ref="U40:Y41"/>
    <mergeCell ref="U43:Y44"/>
    <mergeCell ref="U46:Y47"/>
    <mergeCell ref="U49:Y50"/>
    <mergeCell ref="U52:Y53"/>
    <mergeCell ref="U55:Y56"/>
    <mergeCell ref="U58:Y59"/>
    <mergeCell ref="U61:Y62"/>
    <mergeCell ref="A45:Y45"/>
    <mergeCell ref="A48:Y48"/>
    <mergeCell ref="A51:Y51"/>
    <mergeCell ref="A54:Y54"/>
    <mergeCell ref="A57:Y57"/>
    <mergeCell ref="A60:Y60"/>
    <mergeCell ref="A42:Y42"/>
    <mergeCell ref="U23:Y24"/>
    <mergeCell ref="U26:Y27"/>
    <mergeCell ref="U29:Y30"/>
    <mergeCell ref="A102:A103"/>
    <mergeCell ref="D102:D103"/>
    <mergeCell ref="E102:G102"/>
    <mergeCell ref="H102:H103"/>
    <mergeCell ref="I102:N102"/>
    <mergeCell ref="O102:O103"/>
    <mergeCell ref="P102:T103"/>
    <mergeCell ref="B103:C103"/>
    <mergeCell ref="E103:G103"/>
    <mergeCell ref="I103:N103"/>
    <mergeCell ref="A99:A100"/>
    <mergeCell ref="D99:D100"/>
    <mergeCell ref="E99:G99"/>
    <mergeCell ref="H99:H100"/>
    <mergeCell ref="I99:N99"/>
    <mergeCell ref="O99:O100"/>
    <mergeCell ref="P99:T100"/>
    <mergeCell ref="B100:C100"/>
    <mergeCell ref="E100:G100"/>
    <mergeCell ref="I100:N100"/>
    <mergeCell ref="E93:G93"/>
    <mergeCell ref="H93:H94"/>
    <mergeCell ref="I93:N93"/>
    <mergeCell ref="O93:O94"/>
    <mergeCell ref="P93:T94"/>
    <mergeCell ref="B94:C94"/>
    <mergeCell ref="E94:G94"/>
    <mergeCell ref="I94:N94"/>
    <mergeCell ref="A90:A91"/>
    <mergeCell ref="D90:D91"/>
    <mergeCell ref="E90:G90"/>
    <mergeCell ref="H90:H91"/>
    <mergeCell ref="I90:N90"/>
    <mergeCell ref="O90:O91"/>
    <mergeCell ref="P90:T91"/>
    <mergeCell ref="B91:C91"/>
    <mergeCell ref="E91:G91"/>
    <mergeCell ref="I91:N91"/>
    <mergeCell ref="A87:A88"/>
    <mergeCell ref="D87:D88"/>
    <mergeCell ref="E87:G87"/>
    <mergeCell ref="H87:H88"/>
    <mergeCell ref="I87:N87"/>
    <mergeCell ref="O87:O88"/>
    <mergeCell ref="P87:T88"/>
    <mergeCell ref="B88:C88"/>
    <mergeCell ref="E88:G88"/>
    <mergeCell ref="I88:N88"/>
    <mergeCell ref="A84:A85"/>
    <mergeCell ref="D84:D85"/>
    <mergeCell ref="E84:G84"/>
    <mergeCell ref="H84:H85"/>
    <mergeCell ref="I84:N84"/>
    <mergeCell ref="O84:O85"/>
    <mergeCell ref="P84:T85"/>
    <mergeCell ref="B85:C85"/>
    <mergeCell ref="E85:G85"/>
    <mergeCell ref="I85:N85"/>
    <mergeCell ref="A81:A82"/>
    <mergeCell ref="D81:D82"/>
    <mergeCell ref="E81:G81"/>
    <mergeCell ref="H81:H82"/>
    <mergeCell ref="I81:N81"/>
    <mergeCell ref="O81:O82"/>
    <mergeCell ref="P81:T82"/>
    <mergeCell ref="B82:C82"/>
    <mergeCell ref="E82:G82"/>
    <mergeCell ref="I82:N82"/>
    <mergeCell ref="A78:A79"/>
    <mergeCell ref="D78:D79"/>
    <mergeCell ref="E78:G78"/>
    <mergeCell ref="H78:H79"/>
    <mergeCell ref="I78:N78"/>
    <mergeCell ref="O78:O79"/>
    <mergeCell ref="P78:T79"/>
    <mergeCell ref="B79:C79"/>
    <mergeCell ref="E79:G79"/>
    <mergeCell ref="I79:N79"/>
    <mergeCell ref="A75:A76"/>
    <mergeCell ref="D75:D76"/>
    <mergeCell ref="E75:G75"/>
    <mergeCell ref="H75:H76"/>
    <mergeCell ref="I75:N75"/>
    <mergeCell ref="O75:O76"/>
    <mergeCell ref="P75:T76"/>
    <mergeCell ref="B76:C76"/>
    <mergeCell ref="E76:G76"/>
    <mergeCell ref="I76:N76"/>
    <mergeCell ref="O67:O68"/>
    <mergeCell ref="P67:T68"/>
    <mergeCell ref="B68:C68"/>
    <mergeCell ref="E68:G68"/>
    <mergeCell ref="I68:N68"/>
    <mergeCell ref="P64:T65"/>
    <mergeCell ref="B65:C65"/>
    <mergeCell ref="E65:G65"/>
    <mergeCell ref="I65:N65"/>
    <mergeCell ref="O64:O65"/>
    <mergeCell ref="A67:A68"/>
    <mergeCell ref="D67:D68"/>
    <mergeCell ref="E67:G67"/>
    <mergeCell ref="H67:H68"/>
    <mergeCell ref="I67:N67"/>
    <mergeCell ref="A64:A65"/>
    <mergeCell ref="D64:D65"/>
    <mergeCell ref="E64:G64"/>
    <mergeCell ref="H64:H65"/>
    <mergeCell ref="I64:N64"/>
    <mergeCell ref="H61:H62"/>
    <mergeCell ref="I61:N61"/>
    <mergeCell ref="A58:A59"/>
    <mergeCell ref="D58:D59"/>
    <mergeCell ref="E58:G58"/>
    <mergeCell ref="H58:H59"/>
    <mergeCell ref="I58:N58"/>
    <mergeCell ref="O61:O62"/>
    <mergeCell ref="P61:T62"/>
    <mergeCell ref="B62:C62"/>
    <mergeCell ref="E62:G62"/>
    <mergeCell ref="I62:N62"/>
    <mergeCell ref="P58:T59"/>
    <mergeCell ref="B59:C59"/>
    <mergeCell ref="E59:G59"/>
    <mergeCell ref="I59:N59"/>
    <mergeCell ref="O58:O59"/>
    <mergeCell ref="A63:Y63"/>
    <mergeCell ref="O55:O56"/>
    <mergeCell ref="P55:T56"/>
    <mergeCell ref="B56:C56"/>
    <mergeCell ref="E56:G56"/>
    <mergeCell ref="I56:N56"/>
    <mergeCell ref="P52:T53"/>
    <mergeCell ref="B53:C53"/>
    <mergeCell ref="E53:G53"/>
    <mergeCell ref="I53:N53"/>
    <mergeCell ref="A55:A56"/>
    <mergeCell ref="D55:D56"/>
    <mergeCell ref="E55:G55"/>
    <mergeCell ref="H55:H56"/>
    <mergeCell ref="I55:N55"/>
    <mergeCell ref="A52:A53"/>
    <mergeCell ref="D52:D53"/>
    <mergeCell ref="E52:G52"/>
    <mergeCell ref="H52:H53"/>
    <mergeCell ref="I52:N52"/>
    <mergeCell ref="O52:O53"/>
    <mergeCell ref="A61:A62"/>
    <mergeCell ref="D61:D62"/>
    <mergeCell ref="E61:G61"/>
    <mergeCell ref="P46:T47"/>
    <mergeCell ref="B47:C47"/>
    <mergeCell ref="E47:G47"/>
    <mergeCell ref="I47:N47"/>
    <mergeCell ref="A49:A50"/>
    <mergeCell ref="D49:D50"/>
    <mergeCell ref="E49:G49"/>
    <mergeCell ref="H49:H50"/>
    <mergeCell ref="I49:N49"/>
    <mergeCell ref="A46:A47"/>
    <mergeCell ref="D46:D47"/>
    <mergeCell ref="E46:G46"/>
    <mergeCell ref="H46:H47"/>
    <mergeCell ref="I46:N46"/>
    <mergeCell ref="O46:O47"/>
    <mergeCell ref="O49:O50"/>
    <mergeCell ref="P49:T50"/>
    <mergeCell ref="B50:C50"/>
    <mergeCell ref="E50:G50"/>
    <mergeCell ref="I50:N50"/>
    <mergeCell ref="A32:A33"/>
    <mergeCell ref="E41:G41"/>
    <mergeCell ref="I41:N41"/>
    <mergeCell ref="A43:A44"/>
    <mergeCell ref="D43:D44"/>
    <mergeCell ref="E43:G43"/>
    <mergeCell ref="H43:H44"/>
    <mergeCell ref="I43:N43"/>
    <mergeCell ref="O43:O44"/>
    <mergeCell ref="P43:T44"/>
    <mergeCell ref="B44:C44"/>
    <mergeCell ref="E44:G44"/>
    <mergeCell ref="I44:N44"/>
    <mergeCell ref="A40:A41"/>
    <mergeCell ref="D40:D41"/>
    <mergeCell ref="E40:G40"/>
    <mergeCell ref="H40:H41"/>
    <mergeCell ref="I40:N40"/>
    <mergeCell ref="O40:O41"/>
    <mergeCell ref="P40:T41"/>
    <mergeCell ref="B41:C41"/>
    <mergeCell ref="P32:T33"/>
    <mergeCell ref="B33:C33"/>
    <mergeCell ref="E33:G33"/>
    <mergeCell ref="I33:N33"/>
    <mergeCell ref="O32:O33"/>
    <mergeCell ref="I32:N32"/>
    <mergeCell ref="H32:H33"/>
    <mergeCell ref="E32:G32"/>
    <mergeCell ref="D32:D33"/>
    <mergeCell ref="I27:N27"/>
    <mergeCell ref="P29:T30"/>
    <mergeCell ref="B30:C30"/>
    <mergeCell ref="E30:G30"/>
    <mergeCell ref="I30:N30"/>
    <mergeCell ref="P26:T27"/>
    <mergeCell ref="B27:C27"/>
    <mergeCell ref="E27:G27"/>
    <mergeCell ref="P23:T24"/>
    <mergeCell ref="B24:C24"/>
    <mergeCell ref="E24:G24"/>
    <mergeCell ref="I24:N24"/>
    <mergeCell ref="A29:A30"/>
    <mergeCell ref="D29:D30"/>
    <mergeCell ref="E29:G29"/>
    <mergeCell ref="H29:H30"/>
    <mergeCell ref="I29:N29"/>
    <mergeCell ref="O29:O30"/>
    <mergeCell ref="A20:A21"/>
    <mergeCell ref="D20:D21"/>
    <mergeCell ref="E20:G20"/>
    <mergeCell ref="H20:H21"/>
    <mergeCell ref="I20:N20"/>
    <mergeCell ref="O20:O21"/>
    <mergeCell ref="A26:A27"/>
    <mergeCell ref="D26:D27"/>
    <mergeCell ref="E26:G26"/>
    <mergeCell ref="H26:H27"/>
    <mergeCell ref="I26:N26"/>
    <mergeCell ref="O26:O27"/>
    <mergeCell ref="A23:A24"/>
    <mergeCell ref="D23:D24"/>
    <mergeCell ref="E23:G23"/>
    <mergeCell ref="H23:H24"/>
    <mergeCell ref="I23:N23"/>
    <mergeCell ref="O23:O24"/>
    <mergeCell ref="P20:T21"/>
    <mergeCell ref="B21:C21"/>
    <mergeCell ref="E21:G21"/>
    <mergeCell ref="I21:N21"/>
    <mergeCell ref="A17:A18"/>
    <mergeCell ref="D17:D18"/>
    <mergeCell ref="E17:G17"/>
    <mergeCell ref="H17:H18"/>
    <mergeCell ref="I17:N17"/>
    <mergeCell ref="O17:O18"/>
    <mergeCell ref="P17:T18"/>
    <mergeCell ref="B18:C18"/>
    <mergeCell ref="E18:G18"/>
    <mergeCell ref="I18:N18"/>
    <mergeCell ref="P11:T12"/>
    <mergeCell ref="B12:C12"/>
    <mergeCell ref="E12:G12"/>
    <mergeCell ref="I12:N12"/>
    <mergeCell ref="A14:A15"/>
    <mergeCell ref="D14:D15"/>
    <mergeCell ref="E14:G14"/>
    <mergeCell ref="H14:H15"/>
    <mergeCell ref="I14:N14"/>
    <mergeCell ref="O14:O15"/>
    <mergeCell ref="A11:A12"/>
    <mergeCell ref="D11:D12"/>
    <mergeCell ref="E11:G11"/>
    <mergeCell ref="H11:H12"/>
    <mergeCell ref="I11:N11"/>
    <mergeCell ref="O11:O12"/>
    <mergeCell ref="P14:T15"/>
    <mergeCell ref="B15:C15"/>
    <mergeCell ref="E15:G15"/>
    <mergeCell ref="I15:N15"/>
    <mergeCell ref="A2:O3"/>
    <mergeCell ref="A8:A9"/>
    <mergeCell ref="D8:D9"/>
    <mergeCell ref="E8:G8"/>
    <mergeCell ref="P5:T6"/>
    <mergeCell ref="I5:N5"/>
    <mergeCell ref="I6:N6"/>
    <mergeCell ref="H5:H6"/>
    <mergeCell ref="A5:A6"/>
    <mergeCell ref="O5:O6"/>
    <mergeCell ref="D5:D6"/>
    <mergeCell ref="H8:H9"/>
    <mergeCell ref="I8:N8"/>
    <mergeCell ref="O8:O9"/>
    <mergeCell ref="P8:T9"/>
    <mergeCell ref="B9:C9"/>
    <mergeCell ref="E9:G9"/>
    <mergeCell ref="I9:N9"/>
    <mergeCell ref="E5:G5"/>
    <mergeCell ref="E6:G6"/>
    <mergeCell ref="B6:C6"/>
    <mergeCell ref="P2:T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4BB1-2055-44EE-BF9A-2875E7985FEA}">
  <dimension ref="A1:CT140"/>
  <sheetViews>
    <sheetView zoomScale="85" zoomScaleNormal="85" workbookViewId="0">
      <selection activeCell="B10" sqref="B10:D10"/>
    </sheetView>
  </sheetViews>
  <sheetFormatPr defaultRowHeight="15" x14ac:dyDescent="0.25"/>
  <cols>
    <col min="1" max="1" width="14.85546875" customWidth="1"/>
    <col min="2" max="2" width="4.85546875" customWidth="1"/>
    <col min="3" max="3" width="2.85546875" customWidth="1"/>
    <col min="4" max="5" width="8.42578125" customWidth="1"/>
    <col min="6" max="6" width="4.85546875" customWidth="1"/>
    <col min="7" max="7" width="2.85546875" customWidth="1"/>
    <col min="8" max="9" width="8.42578125" customWidth="1"/>
    <col min="10" max="10" width="4.85546875" customWidth="1"/>
    <col min="11" max="11" width="2.85546875" customWidth="1"/>
    <col min="12" max="13" width="8.42578125" customWidth="1"/>
    <col min="14" max="14" width="4.85546875" customWidth="1"/>
    <col min="15" max="15" width="2.85546875" customWidth="1"/>
    <col min="16" max="17" width="8.42578125" customWidth="1"/>
    <col min="18" max="18" width="4.85546875" customWidth="1"/>
    <col min="19" max="19" width="2.85546875" customWidth="1"/>
    <col min="20" max="20" width="8.42578125" customWidth="1"/>
    <col min="21" max="21" width="11.5703125" style="1" customWidth="1"/>
    <col min="22" max="22" width="4.85546875" style="1" customWidth="1"/>
    <col min="23" max="23" width="8.85546875" style="1" customWidth="1"/>
    <col min="24" max="24" width="11.5703125" style="1" customWidth="1"/>
    <col min="25" max="25" width="4.85546875" style="1" customWidth="1"/>
    <col min="26" max="26" width="8.85546875" style="1"/>
    <col min="27" max="27" width="11.5703125" style="1" hidden="1" customWidth="1"/>
    <col min="28" max="28" width="6.140625" style="1" hidden="1" customWidth="1"/>
    <col min="29" max="29" width="0" style="1" hidden="1" customWidth="1"/>
    <col min="30" max="30" width="11.5703125" style="1" hidden="1" customWidth="1"/>
    <col min="31" max="31" width="4.85546875" style="1" hidden="1" customWidth="1"/>
    <col min="32" max="44" width="0" style="1" hidden="1" customWidth="1"/>
    <col min="45" max="45" width="12.28515625" style="1" hidden="1" customWidth="1"/>
    <col min="46" max="47" width="0" style="1" hidden="1" customWidth="1"/>
    <col min="48" max="51" width="8.85546875" style="1"/>
    <col min="52" max="57" width="0" style="1" hidden="1" customWidth="1"/>
    <col min="58" max="98" width="8.85546875" style="1"/>
  </cols>
  <sheetData>
    <row r="1" spans="1:5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55" x14ac:dyDescent="0.25">
      <c r="A2" s="114" t="s">
        <v>96</v>
      </c>
      <c r="B2" s="114"/>
      <c r="C2" s="114"/>
      <c r="D2" s="114"/>
      <c r="E2" s="114" t="s">
        <v>97</v>
      </c>
      <c r="F2" s="114"/>
      <c r="G2" s="114"/>
      <c r="H2" s="114"/>
      <c r="I2" s="114" t="s">
        <v>98</v>
      </c>
      <c r="J2" s="114"/>
      <c r="K2" s="114"/>
      <c r="L2" s="114"/>
      <c r="M2" s="114" t="s">
        <v>99</v>
      </c>
      <c r="N2" s="114"/>
      <c r="O2" s="114"/>
      <c r="P2" s="114"/>
      <c r="Q2" s="114" t="s">
        <v>100</v>
      </c>
      <c r="R2" s="114"/>
      <c r="S2" s="114"/>
      <c r="T2" s="114"/>
    </row>
    <row r="3" spans="1:55" x14ac:dyDescent="0.25">
      <c r="A3" s="59" t="s">
        <v>93</v>
      </c>
      <c r="B3" s="164" t="s">
        <v>102</v>
      </c>
      <c r="C3" s="165"/>
      <c r="D3" s="165"/>
      <c r="E3" s="1"/>
      <c r="F3" s="165" t="s">
        <v>102</v>
      </c>
      <c r="G3" s="165"/>
      <c r="H3" s="165"/>
      <c r="I3" s="1"/>
      <c r="J3" s="165" t="s">
        <v>101</v>
      </c>
      <c r="K3" s="165"/>
      <c r="L3" s="165"/>
      <c r="M3" s="1"/>
      <c r="N3" s="165" t="s">
        <v>102</v>
      </c>
      <c r="O3" s="165"/>
      <c r="P3" s="165"/>
      <c r="Q3" s="1"/>
      <c r="R3" s="165" t="s">
        <v>102</v>
      </c>
      <c r="S3" s="165"/>
      <c r="T3" s="165"/>
    </row>
    <row r="4" spans="1:55" x14ac:dyDescent="0.25">
      <c r="A4" s="59" t="s">
        <v>103</v>
      </c>
      <c r="B4" s="164" t="s">
        <v>197</v>
      </c>
      <c r="C4" s="165"/>
      <c r="D4" s="165"/>
      <c r="E4" s="1"/>
      <c r="F4" s="165" t="s">
        <v>198</v>
      </c>
      <c r="G4" s="166"/>
      <c r="H4" s="164"/>
      <c r="I4" s="1"/>
      <c r="J4" s="165" t="s">
        <v>194</v>
      </c>
      <c r="K4" s="165"/>
      <c r="L4" s="165"/>
      <c r="M4" s="1"/>
      <c r="N4" s="165" t="s">
        <v>199</v>
      </c>
      <c r="O4" s="165"/>
      <c r="P4" s="165"/>
      <c r="Q4" s="1"/>
      <c r="R4" s="165"/>
      <c r="S4" s="165"/>
      <c r="T4" s="165"/>
    </row>
    <row r="5" spans="1:55" ht="14.45" customHeight="1" thickBot="1" x14ac:dyDescent="0.3">
      <c r="A5" s="59" t="s">
        <v>104</v>
      </c>
      <c r="B5" s="164" t="s">
        <v>106</v>
      </c>
      <c r="C5" s="165"/>
      <c r="D5" s="165"/>
      <c r="E5" s="1"/>
      <c r="F5" s="195" t="s">
        <v>106</v>
      </c>
      <c r="G5" s="166"/>
      <c r="H5" s="164"/>
      <c r="I5" s="1"/>
      <c r="J5" s="165" t="s">
        <v>106</v>
      </c>
      <c r="K5" s="165"/>
      <c r="L5" s="165"/>
      <c r="M5" s="1"/>
      <c r="N5" s="165" t="s">
        <v>105</v>
      </c>
      <c r="O5" s="165"/>
      <c r="P5" s="165"/>
      <c r="Q5" s="1"/>
      <c r="R5" s="165" t="s">
        <v>105</v>
      </c>
      <c r="S5" s="165"/>
      <c r="T5" s="165"/>
      <c r="AB5" s="122" t="s">
        <v>106</v>
      </c>
      <c r="AC5" s="122"/>
      <c r="AD5" s="122"/>
      <c r="AF5" s="122" t="s">
        <v>105</v>
      </c>
      <c r="AG5" s="122"/>
      <c r="AH5" s="122"/>
      <c r="AJ5" s="122" t="s">
        <v>107</v>
      </c>
      <c r="AK5" s="122"/>
      <c r="AL5" s="122"/>
      <c r="AN5" s="122" t="s">
        <v>108</v>
      </c>
      <c r="AO5" s="122"/>
      <c r="AP5" s="122"/>
      <c r="AR5" s="122" t="s">
        <v>109</v>
      </c>
      <c r="AS5" s="122"/>
      <c r="AT5" s="122"/>
    </row>
    <row r="6" spans="1:55" x14ac:dyDescent="0.25">
      <c r="A6" s="59" t="s">
        <v>110</v>
      </c>
      <c r="B6" s="167" t="s">
        <v>116</v>
      </c>
      <c r="C6" s="168"/>
      <c r="D6" s="168"/>
      <c r="E6" s="1"/>
      <c r="F6" s="169" t="s">
        <v>111</v>
      </c>
      <c r="G6" s="170"/>
      <c r="H6" s="167"/>
      <c r="I6" s="95"/>
      <c r="J6" s="168" t="s">
        <v>111</v>
      </c>
      <c r="K6" s="168"/>
      <c r="L6" s="168"/>
      <c r="M6" s="95"/>
      <c r="N6" s="168" t="s">
        <v>111</v>
      </c>
      <c r="O6" s="168"/>
      <c r="P6" s="168"/>
      <c r="Q6" s="95"/>
      <c r="R6" s="168" t="s">
        <v>116</v>
      </c>
      <c r="S6" s="168"/>
      <c r="T6" s="168"/>
      <c r="AB6" s="177" t="s">
        <v>112</v>
      </c>
      <c r="AC6" s="178"/>
      <c r="AD6" s="179"/>
      <c r="AF6" s="177" t="s">
        <v>113</v>
      </c>
      <c r="AG6" s="178"/>
      <c r="AH6" s="179"/>
      <c r="AJ6" s="177" t="s">
        <v>114</v>
      </c>
      <c r="AK6" s="178"/>
      <c r="AL6" s="179"/>
      <c r="AN6" s="177" t="s">
        <v>113</v>
      </c>
      <c r="AO6" s="178"/>
      <c r="AP6" s="179"/>
      <c r="AR6" s="177" t="s">
        <v>115</v>
      </c>
      <c r="AS6" s="178"/>
      <c r="AT6" s="179"/>
      <c r="AX6" s="49"/>
      <c r="AZ6" s="1">
        <v>1</v>
      </c>
      <c r="BA6" s="1" t="s">
        <v>116</v>
      </c>
      <c r="BB6" s="1" t="s">
        <v>117</v>
      </c>
      <c r="BC6" s="1" t="s">
        <v>106</v>
      </c>
    </row>
    <row r="7" spans="1:55" ht="14.45" customHeight="1" thickBot="1" x14ac:dyDescent="0.3">
      <c r="A7" s="96" t="s">
        <v>118</v>
      </c>
      <c r="B7" s="167" t="s">
        <v>119</v>
      </c>
      <c r="C7" s="168"/>
      <c r="D7" s="168"/>
      <c r="E7" s="1"/>
      <c r="F7" s="169" t="s">
        <v>119</v>
      </c>
      <c r="G7" s="170"/>
      <c r="H7" s="167"/>
      <c r="I7" s="95"/>
      <c r="J7" s="168" t="s">
        <v>119</v>
      </c>
      <c r="K7" s="168"/>
      <c r="L7" s="168"/>
      <c r="M7" s="95"/>
      <c r="N7" s="168" t="s">
        <v>129</v>
      </c>
      <c r="O7" s="168"/>
      <c r="P7" s="168"/>
      <c r="Q7" s="95"/>
      <c r="R7" s="168" t="s">
        <v>117</v>
      </c>
      <c r="S7" s="168"/>
      <c r="T7" s="168"/>
      <c r="AB7" s="180"/>
      <c r="AC7" s="181"/>
      <c r="AD7" s="182"/>
      <c r="AF7" s="180"/>
      <c r="AG7" s="181"/>
      <c r="AH7" s="182"/>
      <c r="AJ7" s="180"/>
      <c r="AK7" s="181"/>
      <c r="AL7" s="182"/>
      <c r="AN7" s="180"/>
      <c r="AO7" s="181"/>
      <c r="AP7" s="182"/>
      <c r="AR7" s="180"/>
      <c r="AS7" s="181"/>
      <c r="AT7" s="182"/>
      <c r="AX7" s="49"/>
      <c r="AZ7" s="1">
        <v>2</v>
      </c>
      <c r="BA7" s="1" t="s">
        <v>111</v>
      </c>
      <c r="BB7" s="1" t="s">
        <v>120</v>
      </c>
      <c r="BC7" s="1" t="s">
        <v>105</v>
      </c>
    </row>
    <row r="8" spans="1:55" ht="15.75" thickBot="1" x14ac:dyDescent="0.3">
      <c r="A8" s="59" t="s">
        <v>121</v>
      </c>
      <c r="B8" s="167">
        <v>240</v>
      </c>
      <c r="C8" s="168"/>
      <c r="D8" s="168"/>
      <c r="E8" s="1"/>
      <c r="F8" s="169">
        <v>50</v>
      </c>
      <c r="G8" s="170"/>
      <c r="H8" s="167"/>
      <c r="I8" s="1"/>
      <c r="J8" s="168">
        <v>70</v>
      </c>
      <c r="K8" s="168"/>
      <c r="L8" s="168"/>
      <c r="M8" s="1"/>
      <c r="N8" s="168">
        <v>25</v>
      </c>
      <c r="O8" s="168"/>
      <c r="P8" s="168"/>
      <c r="Q8" s="1"/>
      <c r="R8" s="168">
        <v>25</v>
      </c>
      <c r="S8" s="168"/>
      <c r="T8" s="168"/>
      <c r="AB8" s="175" t="s">
        <v>122</v>
      </c>
      <c r="AC8" s="144"/>
      <c r="AD8" s="176"/>
      <c r="AF8" s="175" t="s">
        <v>122</v>
      </c>
      <c r="AG8" s="144"/>
      <c r="AH8" s="176"/>
      <c r="AJ8" s="175" t="s">
        <v>122</v>
      </c>
      <c r="AK8" s="144"/>
      <c r="AL8" s="176"/>
      <c r="AN8" s="175" t="s">
        <v>122</v>
      </c>
      <c r="AO8" s="144"/>
      <c r="AP8" s="176"/>
      <c r="AR8" s="175" t="s">
        <v>122</v>
      </c>
      <c r="AS8" s="144"/>
      <c r="AT8" s="176"/>
      <c r="AX8" s="49"/>
      <c r="AZ8" s="1">
        <v>3</v>
      </c>
      <c r="BB8" s="1" t="s">
        <v>123</v>
      </c>
      <c r="BC8" s="1" t="s">
        <v>124</v>
      </c>
    </row>
    <row r="9" spans="1:55" ht="15.75" thickBot="1" x14ac:dyDescent="0.3">
      <c r="A9" s="59" t="s">
        <v>125</v>
      </c>
      <c r="B9" s="167">
        <v>75</v>
      </c>
      <c r="C9" s="168"/>
      <c r="D9" s="168"/>
      <c r="E9" s="23" t="s">
        <v>126</v>
      </c>
      <c r="F9" s="169">
        <v>20</v>
      </c>
      <c r="G9" s="170"/>
      <c r="H9" s="167"/>
      <c r="I9" s="23" t="s">
        <v>126</v>
      </c>
      <c r="J9" s="168">
        <v>30</v>
      </c>
      <c r="K9" s="168"/>
      <c r="L9" s="168"/>
      <c r="M9" s="23" t="s">
        <v>126</v>
      </c>
      <c r="N9" s="168">
        <v>8</v>
      </c>
      <c r="O9" s="168"/>
      <c r="P9" s="168"/>
      <c r="Q9" s="23" t="s">
        <v>126</v>
      </c>
      <c r="R9" s="168">
        <v>100</v>
      </c>
      <c r="S9" s="168"/>
      <c r="T9" s="168"/>
      <c r="AB9" s="50" t="s">
        <v>117</v>
      </c>
      <c r="AC9" s="51" t="s">
        <v>18</v>
      </c>
      <c r="AD9" s="52" t="s">
        <v>19</v>
      </c>
      <c r="AF9" s="50" t="s">
        <v>117</v>
      </c>
      <c r="AG9" s="51" t="s">
        <v>18</v>
      </c>
      <c r="AH9" s="52" t="s">
        <v>19</v>
      </c>
      <c r="AJ9" s="50" t="s">
        <v>117</v>
      </c>
      <c r="AK9" s="51" t="s">
        <v>18</v>
      </c>
      <c r="AL9" s="52" t="s">
        <v>19</v>
      </c>
      <c r="AN9" s="50" t="s">
        <v>117</v>
      </c>
      <c r="AO9" s="51" t="s">
        <v>18</v>
      </c>
      <c r="AP9" s="52" t="s">
        <v>19</v>
      </c>
      <c r="AR9" s="50" t="s">
        <v>117</v>
      </c>
      <c r="AS9" s="51" t="s">
        <v>18</v>
      </c>
      <c r="AT9" s="52" t="s">
        <v>19</v>
      </c>
      <c r="AX9" s="49"/>
      <c r="AZ9" s="1">
        <v>4</v>
      </c>
      <c r="BB9" s="1" t="s">
        <v>119</v>
      </c>
      <c r="BC9" s="1" t="s">
        <v>108</v>
      </c>
    </row>
    <row r="10" spans="1:55" ht="15" customHeight="1" x14ac:dyDescent="0.25">
      <c r="A10" s="59" t="s">
        <v>127</v>
      </c>
      <c r="B10" s="167">
        <v>3</v>
      </c>
      <c r="C10" s="168"/>
      <c r="D10" s="168"/>
      <c r="E10" s="23" t="s">
        <v>128</v>
      </c>
      <c r="F10" s="168">
        <v>1</v>
      </c>
      <c r="G10" s="170"/>
      <c r="H10" s="167"/>
      <c r="I10" s="23" t="s">
        <v>128</v>
      </c>
      <c r="J10" s="168">
        <v>1</v>
      </c>
      <c r="K10" s="168"/>
      <c r="L10" s="168"/>
      <c r="M10" s="23" t="s">
        <v>128</v>
      </c>
      <c r="N10" s="168">
        <v>1</v>
      </c>
      <c r="O10" s="168"/>
      <c r="P10" s="168"/>
      <c r="Q10" s="23" t="s">
        <v>128</v>
      </c>
      <c r="R10" s="168">
        <v>1</v>
      </c>
      <c r="S10" s="168"/>
      <c r="T10" s="168"/>
      <c r="AB10" s="53">
        <v>0.75</v>
      </c>
      <c r="AC10" s="54"/>
      <c r="AD10" s="55"/>
      <c r="AF10" s="53">
        <v>0.75</v>
      </c>
      <c r="AG10" s="54"/>
      <c r="AH10" s="55"/>
      <c r="AJ10" s="53">
        <v>0.75</v>
      </c>
      <c r="AK10" s="56">
        <v>26</v>
      </c>
      <c r="AL10" s="57">
        <v>0.111</v>
      </c>
      <c r="AN10" s="53">
        <v>0.75</v>
      </c>
      <c r="AO10" s="54"/>
      <c r="AP10" s="55"/>
      <c r="AR10" s="53">
        <v>0.75</v>
      </c>
      <c r="AS10" s="54"/>
      <c r="AT10" s="55"/>
      <c r="AZ10" s="1">
        <v>5</v>
      </c>
      <c r="BB10" s="1" t="s">
        <v>129</v>
      </c>
      <c r="BC10" s="1" t="s">
        <v>130</v>
      </c>
    </row>
    <row r="11" spans="1:55" ht="16.350000000000001" customHeight="1" x14ac:dyDescent="0.35">
      <c r="A11" s="59" t="s">
        <v>131</v>
      </c>
      <c r="B11" s="108">
        <v>483.15</v>
      </c>
      <c r="C11" s="5" t="s">
        <v>132</v>
      </c>
      <c r="D11" s="107">
        <v>9.7899999999999991</v>
      </c>
      <c r="E11" s="23"/>
      <c r="F11" s="106">
        <v>143.1</v>
      </c>
      <c r="G11" s="5" t="s">
        <v>132</v>
      </c>
      <c r="H11" s="107">
        <v>25.19</v>
      </c>
      <c r="I11" s="23"/>
      <c r="J11" s="106">
        <v>215.81</v>
      </c>
      <c r="K11" s="5" t="s">
        <v>132</v>
      </c>
      <c r="L11" s="107">
        <v>16.420000000000002</v>
      </c>
      <c r="M11" s="23"/>
      <c r="N11" s="106">
        <v>80</v>
      </c>
      <c r="O11" s="5" t="s">
        <v>132</v>
      </c>
      <c r="P11" s="107">
        <v>11.48</v>
      </c>
      <c r="Q11" s="23"/>
      <c r="R11" s="106">
        <v>10</v>
      </c>
      <c r="S11" s="5" t="s">
        <v>132</v>
      </c>
      <c r="T11" s="107">
        <v>0</v>
      </c>
      <c r="AB11" s="58">
        <v>1</v>
      </c>
      <c r="AC11" s="59"/>
      <c r="AD11" s="60"/>
      <c r="AF11" s="58">
        <v>1</v>
      </c>
      <c r="AG11" s="59"/>
      <c r="AH11" s="60"/>
      <c r="AJ11" s="58">
        <v>1</v>
      </c>
      <c r="AK11" s="61">
        <v>19.5</v>
      </c>
      <c r="AL11" s="62">
        <v>0.105</v>
      </c>
      <c r="AN11" s="58">
        <v>1</v>
      </c>
      <c r="AO11" s="59"/>
      <c r="AP11" s="60"/>
      <c r="AR11" s="58">
        <v>1</v>
      </c>
      <c r="AS11" s="59"/>
      <c r="AT11" s="60"/>
      <c r="AZ11" s="1">
        <v>6</v>
      </c>
    </row>
    <row r="12" spans="1:55" ht="18" hidden="1" x14ac:dyDescent="0.35">
      <c r="A12" s="4" t="s">
        <v>133</v>
      </c>
      <c r="B12" s="171">
        <f>SQRT(B14^2+B15^2)</f>
        <v>0.11010308805841915</v>
      </c>
      <c r="C12" s="171"/>
      <c r="D12" s="171"/>
      <c r="E12" t="s">
        <v>133</v>
      </c>
      <c r="F12" s="171">
        <f>SQRT(F14^2+F15^2)</f>
        <v>0.6460975158596417</v>
      </c>
      <c r="G12" s="171"/>
      <c r="H12" s="171"/>
      <c r="I12" t="s">
        <v>133</v>
      </c>
      <c r="J12" s="171">
        <f>SQRT(J14^2+J15^2)</f>
        <v>0.45114964257993156</v>
      </c>
      <c r="K12" s="171"/>
      <c r="L12" s="171"/>
      <c r="M12" t="s">
        <v>133</v>
      </c>
      <c r="N12" s="171">
        <f>SQRT(N14^2+N15^2)</f>
        <v>1.2031496166312816</v>
      </c>
      <c r="O12" s="171"/>
      <c r="P12" s="171"/>
      <c r="Q12" t="s">
        <v>133</v>
      </c>
      <c r="R12" s="171">
        <f>SQRT(R14^2+R15^2)</f>
        <v>0.7312797002515522</v>
      </c>
      <c r="S12" s="171"/>
      <c r="T12" s="171"/>
      <c r="AB12" s="63">
        <v>1.5</v>
      </c>
      <c r="AC12" s="61">
        <v>12.1</v>
      </c>
      <c r="AD12" s="62">
        <v>0.108</v>
      </c>
      <c r="AF12" s="63">
        <v>1.5</v>
      </c>
      <c r="AG12" s="61">
        <v>12.1</v>
      </c>
      <c r="AH12" s="62">
        <v>0.10299999999999999</v>
      </c>
      <c r="AJ12" s="63">
        <v>1.5</v>
      </c>
      <c r="AK12" s="61">
        <v>13.3</v>
      </c>
      <c r="AL12" s="62">
        <v>0.107</v>
      </c>
      <c r="AN12" s="63">
        <v>1.5</v>
      </c>
      <c r="AO12" s="59"/>
      <c r="AP12" s="60"/>
      <c r="AR12" s="63">
        <v>1.5</v>
      </c>
      <c r="AS12" s="59"/>
      <c r="AT12" s="60"/>
      <c r="AZ12" s="1">
        <v>7</v>
      </c>
    </row>
    <row r="13" spans="1:55" ht="15" hidden="1" customHeight="1" x14ac:dyDescent="0.25">
      <c r="A13" s="4" t="s">
        <v>134</v>
      </c>
      <c r="B13" s="172">
        <f>DEGREES(IMARGUMENT(COMPLEX(B14,B15,"j")))</f>
        <v>44.374444734008996</v>
      </c>
      <c r="C13" s="172"/>
      <c r="D13" s="172"/>
      <c r="E13" t="s">
        <v>134</v>
      </c>
      <c r="F13" s="172">
        <f>DEGREES(IMARGUMENT(COMPLEX(F14,F15,"j")))</f>
        <v>7.2020119747732352</v>
      </c>
      <c r="G13" s="172"/>
      <c r="H13" s="172"/>
      <c r="I13" t="s">
        <v>134</v>
      </c>
      <c r="J13" s="172">
        <f>DEGREES(IMARGUMENT(COMPLEX(J14,J15,"j")))</f>
        <v>10.213972985070495</v>
      </c>
      <c r="K13" s="172"/>
      <c r="L13" s="172"/>
      <c r="M13" t="s">
        <v>134</v>
      </c>
      <c r="N13" s="172">
        <f>DEGREES(IMARGUMENT(COMPLEX(N14,N15,"j")))</f>
        <v>4.1466888259660086</v>
      </c>
      <c r="O13" s="172"/>
      <c r="P13" s="172"/>
      <c r="Q13" t="s">
        <v>134</v>
      </c>
      <c r="R13" s="172">
        <f>DEGREES(IMARGUMENT(COMPLEX(R14,R15,"j")))</f>
        <v>6.2017546138856945</v>
      </c>
      <c r="S13" s="172"/>
      <c r="T13" s="172"/>
      <c r="AB13" s="63">
        <v>2.5</v>
      </c>
      <c r="AC13" s="61">
        <v>7.41</v>
      </c>
      <c r="AD13" s="62">
        <v>9.9000000000000005E-2</v>
      </c>
      <c r="AF13" s="63">
        <v>2.5</v>
      </c>
      <c r="AG13" s="61">
        <v>7.41</v>
      </c>
      <c r="AH13" s="62">
        <v>9.5000000000000001E-2</v>
      </c>
      <c r="AJ13" s="63">
        <v>2.5</v>
      </c>
      <c r="AK13" s="61">
        <v>7.98</v>
      </c>
      <c r="AL13" s="62">
        <v>0.10299999999999999</v>
      </c>
      <c r="AN13" s="63">
        <v>2.5</v>
      </c>
      <c r="AO13" s="59"/>
      <c r="AP13" s="60"/>
      <c r="AR13" s="63">
        <v>2.5</v>
      </c>
      <c r="AS13" s="59"/>
      <c r="AT13" s="60"/>
      <c r="AZ13" s="1">
        <v>8</v>
      </c>
    </row>
    <row r="14" spans="1:55" hidden="1" x14ac:dyDescent="0.25">
      <c r="A14" s="4" t="s">
        <v>18</v>
      </c>
      <c r="B14" s="172">
        <f>IF(AND(B6="CU",B5=$AB$5,B7="1x"),VLOOKUP(B8,$AB$10:$AD$27,2,FALSE),IF(AND(B6="CU",B5=$AB$5,B7="2x"),VLOOKUP(B8,$AB$29:$AD$46,2,FALSE),IF(AND(B6="CU",B5=$AB$5,B7="3x"),VLOOKUP(B8,$AB$48:$AD$65,2,FALSE),IF(AND(B6="CU",B5=$AB$5,B7="4x"),VLOOKUP(B8,$AB$67:$AD$84,2,FALSE),IF(AND(B6="CU",B5=$AB$5,B7="5x"),VLOOKUP(B8,$AB$86:$AD$103,2,FALSE),IF(AND(B6="CU",B5=$AF$5,B7="1x"),VLOOKUP(B8,$AF$10:$AH$27,2,FALSE),IF(AND(B6="CU",B5=$AF$5,B7="2x"),VLOOKUP(B8,$AF$29:$AH$46,2,FALSE),IF(AND(B6="CU",B5=$AF$5,B7="3x"),VLOOKUP(B8,$AF$48:$AH$65,2,FALSE),IF(AND(B6="CU",B5=$AF$5,B7="4x"),VLOOKUP(B8,$AF$67:$AH$84,2,FALSE),IF(AND(B6="CU",B5=$AF$5,B7="5x"),VLOOKUP(B8,$AF$86:$AH$103,2,FALSE),IF(AND(B6="CU",B5=$AJ$5,B7="1x"),VLOOKUP(B8,$AJ$10:$AL$27,2,FALSE),IF(AND(B6="CU",B5=$AJ$5,B7="2x"),VLOOKUP(B8,$AJ$29:$AL$46,2,FALSE),IF(AND(B6="CU",B5=$AJ$5,B7="3x"),VLOOKUP(B8,$AJ$48:$AL$65,2,FALSE),IF(AND(B6="CU",B5=$AJ$5,B7="4x"),VLOOKUP(B8,$AJ$67:$AL$84,2,FALSE),IF(AND(B6="CU",B5=$AJ$5,B7="5x"),VLOOKUP(B8,$AJ$86:$AL$103,2,FALSE),IF(AND(B6="CU",B5=$AN$5,B7="1x"),VLOOKUP(B8,$AN$10:$AP$27,2,FALSE),IF(AND(B6="CU",B5=$AN$5,B7="2x"),VLOOKUP(B8,$AN$29:$AP$46,2,FALSE),IF(AND(B6="CU",B5=$AN$5,B7="3x"),VLOOKUP(B8,$AN$48:$AP$65,2,FALSE),IF(AND(B6="CU",B5=$AN$5,B7="4x"),VLOOKUP(B8,$AN$67:$AP$84,2,FALSE),IF(AND(B6="CU",B5=$AN$5,B7="5x"),VLOOKUP(B8,$AN$86:$AP$103,2,FALSE),IF(AND(B6="CU",B5=$AR$5,B7="1x"),VLOOKUP(B8,$AR$10:$AT$27,2,FALSE),IF(AND(B6="CU",B5=$AR$5,B7="2x"),VLOOKUP(B8,$AR$29:$AT$46,2,FALSE),IF(AND(B6="CU",B5=$AR$5,B7="3x"),VLOOKUP(B8,$AR$48:$AT$65,2,FALSE),IF(AND(B6="CU",B5=$AR$5,B7="4x"),VLOOKUP(B8,$AR$67:$AT$84,2,FALSE),IF(AND(B6="CU",B5=$AR$5,B7="5x"),VLOOKUP(B8,$AR$86:$AT$103,2,FALSE),IF(AND(B6="AL",B5=$AB$5,B7="4x"),VLOOKUP(B8,$AB$113:$AD$123,2,FALSE),IF(AND(B6="AL",B5=$AB$5,B7="5x"),VLOOKUP(B8,$AB$125:$AD$135,2,FALSE),IF(AND(B6="AL",B5=$AF$5,B7="4x"),VLOOKUP(B8,$AF$113:$AH$123,2,FALSE),IF(AND(B6="AL",B5=$AF$5,B7="5x"),VLOOKUP(B8,$AF$125:$AH$135,2,FALSE),IF(AND(B6="AL",B5=$AJ$5,B7="4x"),VLOOKUP(B8,$AJ$113:$AL$123,2,FALSE),IF(AND(B6="AL",B5=$AJ$5,B7="5x"),VLOOKUP(B8,$AJ$125:$AL$135,2,FALSE),IF(AND(B6="AL",B5=$AN$5,B7="4x"),VLOOKUP(B8,$AN$113:$AP$123,2,FALSE),IF(AND(B6="AL",B5=$AN$5,B7="5x"),VLOOKUP(B8,$AN$125:$AP$135,2,FALSE),IF(AND(B6="AL",B5=$AR$5,B7="4x"),VLOOKUP(B8,$AR$113:$AT$123,2,FALSE),IF(AND(B6="AL",B5=$AR$5,B7="5x"),VLOOKUP(B8,$AR$125:$AT$135,2,FALSE))))))))))))))))))))))))))))))))))))</f>
        <v>7.8700000000000006E-2</v>
      </c>
      <c r="C14" s="172"/>
      <c r="D14" s="172"/>
      <c r="E14" t="s">
        <v>18</v>
      </c>
      <c r="F14" s="172">
        <f>IF(AND(F6="CU",F5=$AB$5,F7="1x"),VLOOKUP(F8,$AB$10:$AD$27,2,FALSE),IF(AND(F6="CU",F5=$AB$5,F7="2x"),VLOOKUP(F8,$AB$29:$AD$46,2,FALSE),IF(AND(F6="CU",F5=$AB$5,F7="3x"),VLOOKUP(F8,$AB$48:$AD$65,2,FALSE),IF(AND(F6="CU",F5=$AB$5,F7="4x"),VLOOKUP(F8,$AB$67:$AD$84,2,FALSE),IF(AND(F6="CU",F5=$AB$5,F7="5x"),VLOOKUP(F8,$AB$86:$AD$103,2,FALSE),IF(AND(F6="CU",F5=$AF$5,F7="1x"),VLOOKUP(F8,$AF$10:$AH$27,2,FALSE),IF(AND(F6="CU",F5=$AF$5,F7="2x"),VLOOKUP(F8,$AF$29:$AH$46,2,FALSE),IF(AND(F6="CU",F5=$AF$5,F7="3x"),VLOOKUP(F8,$AF$48:$AH$65,2,FALSE),IF(AND(F6="CU",F5=$AF$5,F7="4x"),VLOOKUP(F8,$AF$67:$AH$84,2,FALSE),IF(AND(F6="CU",F5=$AF$5,F7="5x"),VLOOKUP(F8,$AF$86:$AH$103,2,FALSE),IF(AND(F6="CU",F5=$AJ$5,F7="1x"),VLOOKUP(F8,$AJ$10:$AL$27,2,FALSE),IF(AND(F6="CU",F5=$AJ$5,F7="2x"),VLOOKUP(F8,$AJ$29:$AL$46,2,FALSE),IF(AND(F6="CU",F5=$AJ$5,F7="3x"),VLOOKUP(F8,$AJ$48:$AL$65,2,FALSE),IF(AND(F6="CU",F5=$AJ$5,F7="4x"),VLOOKUP(F8,$AJ$67:$AL$84,2,FALSE),IF(AND(F6="CU",F5=$AJ$5,F7="5x"),VLOOKUP(F8,$AJ$86:$AL$103,2,FALSE),IF(AND(F6="CU",F5=$AN$5,F7="1x"),VLOOKUP(F8,$AN$10:$AP$27,2,FALSE),IF(AND(F6="CU",F5=$AN$5,F7="2x"),VLOOKUP(F8,$AN$29:$AP$46,2,FALSE),IF(AND(F6="CU",F5=$AN$5,F7="3x"),VLOOKUP(F8,$AN$48:$AP$65,2,FALSE),IF(AND(F6="CU",F5=$AN$5,F7="4x"),VLOOKUP(F8,$AN$67:$AP$84,2,FALSE),IF(AND(F6="CU",F5=$AN$5,F7="5x"),VLOOKUP(F8,$AN$86:$AP$103,2,FALSE),IF(AND(F6="CU",F5=$AR$5,F7="1x"),VLOOKUP(F8,$AR$10:$AT$27,2,FALSE),IF(AND(F6="CU",F5=$AR$5,F7="2x"),VLOOKUP(F8,$AR$29:$AT$46,2,FALSE),IF(AND(F6="CU",F5=$AR$5,F7="3x"),VLOOKUP(F8,$AR$48:$AT$65,2,FALSE),IF(AND(F6="CU",F5=$AR$5,F7="4x"),VLOOKUP(F8,$AR$67:$AT$84,2,FALSE),IF(AND(F6="CU",F5=$AR$5,F7="5x"),VLOOKUP(F8,$AR$86:$AT$103,2,FALSE),IF(AND(F6="AL",F5=$AB$5,F7="4x"),VLOOKUP(F8,$AB$113:$AD$123,2,FALSE),IF(AND(F6="AL",F5=$AB$5,F7="5x"),VLOOKUP(F8,$AB$125:$AD$135,2,FALSE),IF(AND(F6="AL",F5=$AF$5,F7="4x"),VLOOKUP(F8,$AF$113:$AH$123,2,FALSE),IF(AND(F6="AL",F5=$AF$5,F7="5x"),VLOOKUP(F8,$AF$125:$AH$135,2,FALSE),IF(AND(F6="AL",F5=$AJ$5,F7="4x"),VLOOKUP(F8,$AJ$113:$AL$123,2,FALSE),IF(AND(F6="AL",F5=$AJ$5,F7="5x"),VLOOKUP(F8,$AJ$125:$AL$135,2,FALSE),IF(AND(F6="AL",F5=$AN$5,F7="4x"),VLOOKUP(F8,$AN$113:$AP$123,2,FALSE),IF(AND(F6="AL",F5=$AN$5,F7="5x"),VLOOKUP(F8,$AN$125:$AP$135,2,FALSE),IF(AND(F6="AL",F5=$AR$5,F7="4x"),VLOOKUP(F8,$AR$113:$AT$123,2,FALSE),IF(AND(F6="AL",F5=$AR$5,F7="5x"),VLOOKUP(F8,$AR$125:$AT$135,2,FALSE))))))))))))))))))))))))))))))))))))</f>
        <v>0.64100000000000001</v>
      </c>
      <c r="G14" s="172"/>
      <c r="H14" s="172"/>
      <c r="I14" t="s">
        <v>18</v>
      </c>
      <c r="J14" s="172">
        <f>IF(AND(J6="CU",J5=$AB$5,J7="1x"),VLOOKUP(J8,$AB$10:$AD$27,2,FALSE),IF(AND(J6="CU",J5=$AB$5,J7="2x"),VLOOKUP(J8,$AB$29:$AD$46,2,FALSE),IF(AND(J6="CU",J5=$AB$5,J7="3x"),VLOOKUP(J8,$AB$48:$AD$65,2,FALSE),IF(AND(J6="CU",J5=$AB$5,J7="4x"),VLOOKUP(J8,$AB$67:$AD$84,2,FALSE),IF(AND(J6="CU",J5=$AB$5,J7="5x"),VLOOKUP(J8,$AB$86:$AD$103,2,FALSE),IF(AND(J6="CU",J5=$AF$5,J7="1x"),VLOOKUP(J8,$AF$10:$AH$27,2,FALSE),IF(AND(J6="CU",J5=$AF$5,J7="2x"),VLOOKUP(J8,$AF$29:$AH$46,2,FALSE),IF(AND(J6="CU",J5=$AF$5,J7="3x"),VLOOKUP(J8,$AF$48:$AH$65,2,FALSE),IF(AND(J6="CU",J5=$AF$5,J7="4x"),VLOOKUP(J8,$AF$67:$AH$84,2,FALSE),IF(AND(J6="CU",J5=$AF$5,J7="5x"),VLOOKUP(J8,$AF$86:$AH$103,2,FALSE),IF(AND(J6="CU",J5=$AJ$5,J7="1x"),VLOOKUP(J8,$AJ$10:$AL$27,2,FALSE),IF(AND(J6="CU",J5=$AJ$5,J7="2x"),VLOOKUP(J8,$AJ$29:$AL$46,2,FALSE),IF(AND(J6="CU",J5=$AJ$5,J7="3x"),VLOOKUP(J8,$AJ$48:$AL$65,2,FALSE),IF(AND(J6="CU",J5=$AJ$5,J7="4x"),VLOOKUP(J8,$AJ$67:$AL$84,2,FALSE),IF(AND(J6="CU",J5=$AJ$5,J7="5x"),VLOOKUP(J8,$AJ$86:$AL$103,2,FALSE),IF(AND(J6="CU",J5=$AN$5,J7="1x"),VLOOKUP(J8,$AN$10:$AP$27,2,FALSE),IF(AND(J6="CU",J5=$AN$5,J7="2x"),VLOOKUP(J8,$AN$29:$AP$46,2,FALSE),IF(AND(J6="CU",J5=$AN$5,J7="3x"),VLOOKUP(J8,$AN$48:$AP$65,2,FALSE),IF(AND(J6="CU",J5=$AN$5,J7="4x"),VLOOKUP(J8,$AN$67:$AP$84,2,FALSE),IF(AND(J6="CU",J5=$AN$5,J7="5x"),VLOOKUP(J8,$AN$86:$AP$103,2,FALSE),IF(AND(J6="CU",J5=$AR$5,J7="1x"),VLOOKUP(J8,$AR$10:$AT$27,2,FALSE),IF(AND(J6="CU",J5=$AR$5,J7="2x"),VLOOKUP(J8,$AR$29:$AT$46,2,FALSE),IF(AND(J6="CU",J5=$AR$5,J7="3x"),VLOOKUP(J8,$AR$48:$AT$65,2,FALSE),IF(AND(J6="CU",J5=$AR$5,J7="4x"),VLOOKUP(J8,$AR$67:$AT$84,2,FALSE),IF(AND(J6="CU",J5=$AR$5,J7="5x"),VLOOKUP(J8,$AR$86:$AT$103,2,FALSE),IF(AND(J6="AL",J5=$AB$5,J7="4x"),VLOOKUP(J8,$AB$113:$AD$123,2,FALSE),IF(AND(J6="AL",J5=$AB$5,J7="5x"),VLOOKUP(J8,$AB$125:$AD$135,2,FALSE),IF(AND(J6="AL",J5=$AF$5,J7="4x"),VLOOKUP(J8,$AF$113:$AH$123,2,FALSE),IF(AND(J6="AL",J5=$AF$5,J7="5x"),VLOOKUP(J8,$AF$125:$AH$135,2,FALSE),IF(AND(J6="AL",J5=$AJ$5,J7="4x"),VLOOKUP(J8,$AJ$113:$AL$123,2,FALSE),IF(AND(J6="AL",J5=$AJ$5,J7="5x"),VLOOKUP(J8,$AJ$125:$AL$135,2,FALSE),IF(AND(J6="AL",J5=$AN$5,J7="4x"),VLOOKUP(J8,$AN$113:$AP$123,2,FALSE),IF(AND(J6="AL",J5=$AN$5,J7="5x"),VLOOKUP(J8,$AN$125:$AP$135,2,FALSE),IF(AND(J6="AL",J5=$AR$5,J7="4x"),VLOOKUP(J8,$AR$113:$AT$123,2,FALSE),IF(AND(J6="AL",J5=$AR$5,J7="5x"),VLOOKUP(J8,$AR$125:$AT$135,2,FALSE))))))))))))))))))))))))))))))))))))</f>
        <v>0.44400000000000001</v>
      </c>
      <c r="K14" s="172"/>
      <c r="L14" s="172"/>
      <c r="M14" t="s">
        <v>18</v>
      </c>
      <c r="N14" s="172">
        <f>IF(AND(N6="CU",N5=$AB$5,N7="1x"),VLOOKUP(N8,$AB$10:$AD$27,2,FALSE),IF(AND(N6="CU",N5=$AB$5,N7="2x"),VLOOKUP(N8,$AB$29:$AD$46,2,FALSE),IF(AND(N6="CU",N5=$AB$5,N7="3x"),VLOOKUP(N8,$AB$48:$AD$65,2,FALSE),IF(AND(N6="CU",N5=$AB$5,N7="4x"),VLOOKUP(N8,$AB$67:$AD$84,2,FALSE),IF(AND(N6="CU",N5=$AB$5,N7="5x"),VLOOKUP(N8,$AB$86:$AD$103,2,FALSE),IF(AND(N6="CU",N5=$AF$5,N7="1x"),VLOOKUP(N8,$AF$10:$AH$27,2,FALSE),IF(AND(N6="CU",N5=$AF$5,N7="2x"),VLOOKUP(N8,$AF$29:$AH$46,2,FALSE),IF(AND(N6="CU",N5=$AF$5,N7="3x"),VLOOKUP(N8,$AF$48:$AH$65,2,FALSE),IF(AND(N6="CU",N5=$AF$5,N7="4x"),VLOOKUP(N8,$AF$67:$AH$84,2,FALSE),IF(AND(N6="CU",N5=$AF$5,N7="5x"),VLOOKUP(N8,$AF$86:$AH$103,2,FALSE),IF(AND(N6="CU",N5=$AJ$5,N7="1x"),VLOOKUP(N8,$AJ$10:$AL$27,2,FALSE),IF(AND(N6="CU",N5=$AJ$5,N7="2x"),VLOOKUP(N8,$AJ$29:$AL$46,2,FALSE),IF(AND(N6="CU",N5=$AJ$5,N7="3x"),VLOOKUP(N8,$AJ$48:$AL$65,2,FALSE),IF(AND(N6="CU",N5=$AJ$5,N7="4x"),VLOOKUP(N8,$AJ$67:$AL$84,2,FALSE),IF(AND(N6="CU",N5=$AJ$5,N7="5x"),VLOOKUP(N8,$AJ$86:$AL$103,2,FALSE),IF(AND(N6="CU",N5=$AN$5,N7="1x"),VLOOKUP(N8,$AN$10:$AP$27,2,FALSE),IF(AND(N6="CU",N5=$AN$5,N7="2x"),VLOOKUP(N8,$AN$29:$AP$46,2,FALSE),IF(AND(N6="CU",N5=$AN$5,N7="3x"),VLOOKUP(N8,$AN$48:$AP$65,2,FALSE),IF(AND(N6="CU",N5=$AN$5,N7="4x"),VLOOKUP(N8,$AN$67:$AP$84,2,FALSE),IF(AND(N6="CU",N5=$AN$5,N7="5x"),VLOOKUP(N8,$AN$86:$AP$103,2,FALSE),IF(AND(N6="CU",N5=$AR$5,N7="1x"),VLOOKUP(N8,$AR$10:$AT$27,2,FALSE),IF(AND(N6="CU",N5=$AR$5,N7="2x"),VLOOKUP(N8,$AR$29:$AT$46,2,FALSE),IF(AND(N6="CU",N5=$AR$5,N7="3x"),VLOOKUP(N8,$AR$48:$AT$65,2,FALSE),IF(AND(N6="CU",N5=$AR$5,N7="4x"),VLOOKUP(N8,$AR$67:$AT$84,2,FALSE),IF(AND(N6="CU",N5=$AR$5,N7="5x"),VLOOKUP(N8,$AR$86:$AT$103,2,FALSE),IF(AND(N6="AL",N5=$AB$5,N7="4x"),VLOOKUP(N8,$AB$113:$AD$123,2,FALSE),IF(AND(N6="AL",N5=$AB$5,N7="5x"),VLOOKUP(N8,$AB$125:$AD$135,2,FALSE),IF(AND(N6="AL",N5=$AF$5,N7="4x"),VLOOKUP(N8,$AF$113:$AH$123,2,FALSE),IF(AND(N6="AL",N5=$AF$5,N7="5x"),VLOOKUP(N8,$AF$125:$AH$135,2,FALSE),IF(AND(N6="AL",N5=$AJ$5,N7="4x"),VLOOKUP(N8,$AJ$113:$AL$123,2,FALSE),IF(AND(N6="AL",N5=$AJ$5,N7="5x"),VLOOKUP(N8,$AJ$125:$AL$135,2,FALSE),IF(AND(N6="AL",N5=$AN$5,N7="4x"),VLOOKUP(N8,$AN$113:$AP$123,2,FALSE),IF(AND(N6="AL",N5=$AN$5,N7="5x"),VLOOKUP(N8,$AN$125:$AP$135,2,FALSE),IF(AND(N6="AL",N5=$AR$5,N7="4x"),VLOOKUP(N8,$AR$113:$AT$123,2,FALSE),IF(AND(N6="AL",N5=$AR$5,N7="5x"),VLOOKUP(N8,$AR$125:$AT$135,2,FALSE))))))))))))))))))))))))))))))))))))</f>
        <v>1.2</v>
      </c>
      <c r="O14" s="172"/>
      <c r="P14" s="172"/>
      <c r="Q14" t="s">
        <v>18</v>
      </c>
      <c r="R14" s="172">
        <f>IF(AND(R6="CU",R5=$AB$5,R7="1x"),VLOOKUP(R8,$AB$10:$AD$27,2,FALSE),IF(AND(R6="CU",R5=$AB$5,R7="2x"),VLOOKUP(R8,$AB$29:$AD$46,2,FALSE),IF(AND(R6="CU",R5=$AB$5,R7="3x"),VLOOKUP(R8,$AB$48:$AD$65,2,FALSE),IF(AND(R6="CU",R5=$AB$5,R7="4x"),VLOOKUP(R8,$AB$67:$AD$84,2,FALSE),IF(AND(R6="CU",R5=$AB$5,R7="5x"),VLOOKUP(R8,$AB$86:$AD$103,2,FALSE),IF(AND(R6="CU",R5=$AF$5,R7="1x"),VLOOKUP(R8,$AF$10:$AH$27,2,FALSE),IF(AND(R6="CU",R5=$AF$5,R7="2x"),VLOOKUP(R8,$AF$29:$AH$46,2,FALSE),IF(AND(R6="CU",R5=$AF$5,R7="3x"),VLOOKUP(R8,$AF$48:$AH$65,2,FALSE),IF(AND(R6="CU",R5=$AF$5,R7="4x"),VLOOKUP(R8,$AF$67:$AH$84,2,FALSE),IF(AND(R6="CU",R5=$AF$5,R7="5x"),VLOOKUP(R8,$AF$86:$AH$103,2,FALSE),IF(AND(R6="CU",R5=$AJ$5,R7="1x"),VLOOKUP(R8,$AJ$10:$AL$27,2,FALSE),IF(AND(R6="CU",R5=$AJ$5,R7="2x"),VLOOKUP(R8,$AJ$29:$AL$46,2,FALSE),IF(AND(R6="CU",R5=$AJ$5,R7="3x"),VLOOKUP(R8,$AJ$48:$AL$65,2,FALSE),IF(AND(R6="CU",R5=$AJ$5,R7="4x"),VLOOKUP(R8,$AJ$67:$AL$84,2,FALSE),IF(AND(R6="CU",R5=$AJ$5,R7="5x"),VLOOKUP(R8,$AJ$86:$AL$103,2,FALSE),IF(AND(R6="CU",R5=$AN$5,R7="1x"),VLOOKUP(R8,$AN$10:$AP$27,2,FALSE),IF(AND(R6="CU",R5=$AN$5,R7="2x"),VLOOKUP(R8,$AN$29:$AP$46,2,FALSE),IF(AND(R6="CU",R5=$AN$5,R7="3x"),VLOOKUP(R8,$AN$48:$AP$65,2,FALSE),IF(AND(R6="CU",R5=$AN$5,R7="4x"),VLOOKUP(R8,$AN$67:$AP$84,2,FALSE),IF(AND(R6="CU",R5=$AN$5,R7="5x"),VLOOKUP(R8,$AN$86:$AP$103,2,FALSE),IF(AND(R6="CU",R5=$AR$5,R7="1x"),VLOOKUP(R8,$AR$10:$AT$27,2,FALSE),IF(AND(R6="CU",R5=$AR$5,R7="2x"),VLOOKUP(R8,$AR$29:$AT$46,2,FALSE),IF(AND(R6="CU",R5=$AR$5,R7="3x"),VLOOKUP(R8,$AR$48:$AT$65,2,FALSE),IF(AND(R6="CU",R5=$AR$5,R7="4x"),VLOOKUP(R8,$AR$67:$AT$84,2,FALSE),IF(AND(R6="CU",R5=$AR$5,R7="5x"),VLOOKUP(R8,$AR$86:$AT$103,2,FALSE),IF(AND(R6="AL",R5=$AB$5,R7="4x"),VLOOKUP(R8,$AB$113:$AD$123,2,FALSE),IF(AND(R6="AL",R5=$AB$5,R7="5x"),VLOOKUP(R8,$AB$125:$AD$135,2,FALSE),IF(AND(R6="AL",R5=$AF$5,R7="4x"),VLOOKUP(R8,$AF$113:$AH$123,2,FALSE),IF(AND(R6="AL",R5=$AF$5,R7="5x"),VLOOKUP(R8,$AF$125:$AH$135,2,FALSE),IF(AND(R6="AL",R5=$AJ$5,R7="4x"),VLOOKUP(R8,$AJ$113:$AL$123,2,FALSE),IF(AND(R6="AL",R5=$AJ$5,R7="5x"),VLOOKUP(R8,$AJ$125:$AL$135,2,FALSE),IF(AND(R6="AL",R5=$AN$5,R7="4x"),VLOOKUP(R8,$AN$113:$AP$123,2,FALSE),IF(AND(R6="AL",R5=$AN$5,R7="5x"),VLOOKUP(R8,$AN$125:$AP$135,2,FALSE),IF(AND(R6="AL",R5=$AR$5,R7="4x"),VLOOKUP(R8,$AR$113:$AT$123,2,FALSE),IF(AND(R6="AL",R5=$AR$5,R7="5x"),VLOOKUP(R8,$AR$125:$AT$135,2,FALSE))))))))))))))))))))))))))))))))))))</f>
        <v>0.72699999999999998</v>
      </c>
      <c r="S14" s="172"/>
      <c r="T14" s="172"/>
      <c r="AB14" s="63">
        <v>4</v>
      </c>
      <c r="AC14" s="61">
        <v>4.6100000000000003</v>
      </c>
      <c r="AD14" s="62">
        <v>9.6000000000000002E-2</v>
      </c>
      <c r="AF14" s="63">
        <v>4</v>
      </c>
      <c r="AG14" s="61">
        <v>4.6100000000000003</v>
      </c>
      <c r="AH14" s="62">
        <v>8.8999999999999996E-2</v>
      </c>
      <c r="AJ14" s="63">
        <v>4</v>
      </c>
      <c r="AK14" s="59"/>
      <c r="AL14" s="60"/>
      <c r="AN14" s="63">
        <v>4</v>
      </c>
      <c r="AO14" s="59"/>
      <c r="AP14" s="60"/>
      <c r="AR14" s="63">
        <v>4</v>
      </c>
      <c r="AS14" s="59"/>
      <c r="AT14" s="60"/>
      <c r="AZ14" s="1">
        <v>9</v>
      </c>
    </row>
    <row r="15" spans="1:55" ht="15" hidden="1" customHeight="1" x14ac:dyDescent="0.25">
      <c r="A15" s="4" t="s">
        <v>19</v>
      </c>
      <c r="B15" s="172">
        <f>IF(AND(B6="CU",B5=$AB$5,B7="1x"),VLOOKUP(B8,$AB$10:$AD$27,3,FALSE),IF(AND(B6="CU",B5=$AB$5,B7="2x"),VLOOKUP(B8,$AB$29:$AD$46,3,FALSE),IF(AND(B6="CU",B5=$AB$5,B7="3x"),VLOOKUP(B8,$AB$48:$AD$65,3,FALSE),IF(AND(B6="CU",B5=$AB$5,B7="4x"),VLOOKUP(B8,$AB$67:$AD$84,3,FALSE),IF(AND(B6="CU",B5=$AB$5,B7="5x"),VLOOKUP(B8,$AB$86:$AD$103,3,FALSE),IF(AND(B6="CU",B5=$AF$5,B7="1x"),VLOOKUP(B8,$AF$10:$AH$27,3,FALSE),IF(AND(B6="CU",B5=$AF$5,B7="2x"),VLOOKUP(B8,$AF$29:$AH$46,3,FALSE),IF(AND(B6="CU",B5=$AF$5,B7="3x"),VLOOKUP(B8,$AF$48:$AH$65,3,FALSE),IF(AND(B6="CU",B5=$AF$5,B7="4x"),VLOOKUP(B8,$AF$67:$AH$84,3,FALSE),IF(AND(B6="CU",B5=$AF$5,B7="5x"),VLOOKUP(B8,$AF$86:$AH$103,3,FALSE),IF(AND(B6="CU",B5=$AJ$5,B7="1x"),VLOOKUP(B8,$AJ$10:$AL$27,3,FALSE),IF(AND(B6="CU",B5=$AJ$5,B7="2x"),VLOOKUP(B8,$AJ$29:$AL$46,3,FALSE),IF(AND(B6="CU",B5=$AJ$5,B7="3x"),VLOOKUP(B8,$AJ$48:$AL$65,3,FALSE),IF(AND(B6="CU",B5=$AJ$5,B7="4x"),VLOOKUP(B8,$AJ$67:$AL$84,3,FALSE),IF(AND(B6="CU",B5=$AJ$5,B7="5x"),VLOOKUP(B8,$AJ$86:$AL$103,3,FALSE),IF(AND(B6="CU",B5=$AN$5,B7="1x"),VLOOKUP(B8,$AN$10:$AP$27,3,FALSE),IF(AND(B6="CU",B5=$AN$5,B7="2x"),VLOOKUP(B8,$AN$29:$AP$46,3,FALSE),IF(AND(B6="CU",B5=$AN$5,B7="3x"),VLOOKUP(B8,$AN$48:$AP$65,3,FALSE),IF(AND(B6="CU",B5=$AN$5,B7="4x"),VLOOKUP(B8,$AN$67:$AP$84,3,FALSE),IF(AND(B6="CU",B5=$AN$5,B7="5x"),VLOOKUP(B8,$AN$86:$AP$103,3,FALSE),IF(AND(B6="CU",B5=$AR$5,B7="1x"),VLOOKUP(B8,$AR$10:$AT$27,3,FALSE),IF(AND(B6="CU",B5=$AR$5,B7="2x"),VLOOKUP(B8,$AR$29:$AT$46,3,FALSE),IF(AND(B6="CU",B5=$AR$5,B7="3x"),VLOOKUP(B8,$AR$48:$AT$65,3,FALSE),IF(AND(B6="CU",B5=$AR$5,B7="4x"),VLOOKUP(B8,$AR$67:$AT$84,3,FALSE),IF(AND(B6="CU",B5=$AR$5,B7="5x"),VLOOKUP(B8,$AR$86:$AT$103,3,FALSE),IF(AND(B6="AL",B5=$AB$5,B7="4x"),VLOOKUP(B8,$AB$113:$AD$123,3,FALSE),IF(AND(B6="AL",B5=$AB$5,B7="5x"),VLOOKUP(B8,$AB$125:$AD$135,3,FALSE),IF(AND(B6="AL",B5=$AF$5,B7="4x"),VLOOKUP(B8,$AF$113:$AH$123,3,FALSE),IF(AND(B6="AL",B5=$AF$5,B7="5x"),VLOOKUP(B8,$AF$125:$AH$135,3,FALSE),IF(AND(B6="AL",B5=$AJ$5,B7="4x"),VLOOKUP(B8,$AJ$113:$AL$123,3,FALSE),IF(AND(B6="AL",B5=$AJ$5,B7="5x"),VLOOKUP(B8,$AJ$125:$AL$135,3,FALSE),IF(AND(B6="AL",B5=$AN$5,B7="4x"),VLOOKUP(B8,$AN$113:$AP$123,3,FALSE),IF(AND(B6="AL",B5=$AN$5,B7="5x"),VLOOKUP(B8,$AN$125:$AP$135,3,FALSE),IF(AND(B6="AL",B5=$AR$5,B7="4x"),VLOOKUP(B8,$AR$113:$AT$123,3,FALSE),IF(AND(B6="AL",B5=$AR$5,B7="5x"),VLOOKUP(B8,$AR$125:$AT$135,3,FALSE))))))))))))))))))))))))))))))))))))</f>
        <v>7.6999999999999999E-2</v>
      </c>
      <c r="C15" s="172"/>
      <c r="D15" s="172"/>
      <c r="E15" t="s">
        <v>19</v>
      </c>
      <c r="F15" s="172">
        <f>IF(AND(F6="CU",F5=$AB$5,F7="1x"),VLOOKUP(F8,$AB$10:$AD$27,3,FALSE),IF(AND(F6="CU",F5=$AB$5,F7="2x"),VLOOKUP(F8,$AB$29:$AD$46,3,FALSE),IF(AND(F6="CU",F5=$AB$5,F7="3x"),VLOOKUP(F8,$AB$48:$AD$65,3,FALSE),IF(AND(F6="CU",F5=$AB$5,F7="4x"),VLOOKUP(F8,$AB$67:$AD$84,3,FALSE),IF(AND(F6="CU",F5=$AB$5,F7="5x"),VLOOKUP(F8,$AB$86:$AD$103,3,FALSE),IF(AND(F6="CU",F5=$AF$5,F7="1x"),VLOOKUP(F8,$AF$10:$AH$27,3,FALSE),IF(AND(F6="CU",F5=$AF$5,F7="2x"),VLOOKUP(F8,$AF$29:$AH$46,3,FALSE),IF(AND(F6="CU",F5=$AF$5,F7="3x"),VLOOKUP(F8,$AF$48:$AH$65,3,FALSE),IF(AND(F6="CU",F5=$AF$5,F7="4x"),VLOOKUP(F8,$AF$67:$AH$84,3,FALSE),IF(AND(F6="CU",F5=$AF$5,F7="5x"),VLOOKUP(F8,$AF$86:$AH$103,3,FALSE),IF(AND(F6="CU",F5=$AJ$5,F7="1x"),VLOOKUP(F8,$AJ$10:$AL$27,3,FALSE),IF(AND(F6="CU",F5=$AJ$5,F7="2x"),VLOOKUP(F8,$AJ$29:$AL$46,3,FALSE),IF(AND(F6="CU",F5=$AJ$5,F7="3x"),VLOOKUP(F8,$AJ$48:$AL$65,3,FALSE),IF(AND(F6="CU",F5=$AJ$5,F7="4x"),VLOOKUP(F8,$AJ$67:$AL$84,3,FALSE),IF(AND(F6="CU",F5=$AJ$5,F7="5x"),VLOOKUP(F8,$AJ$86:$AL$103,3,FALSE),IF(AND(F6="CU",F5=$AN$5,F7="1x"),VLOOKUP(F8,$AN$10:$AP$27,3,FALSE),IF(AND(F6="CU",F5=$AN$5,F7="2x"),VLOOKUP(F8,$AN$29:$AP$46,3,FALSE),IF(AND(F6="CU",F5=$AN$5,F7="3x"),VLOOKUP(F8,$AN$48:$AP$65,3,FALSE),IF(AND(F6="CU",F5=$AN$5,F7="4x"),VLOOKUP(F8,$AN$67:$AP$84,3,FALSE),IF(AND(F6="CU",F5=$AN$5,F7="5x"),VLOOKUP(F8,$AN$86:$AP$103,3,FALSE),IF(AND(F6="CU",F5=$AR$5,F7="1x"),VLOOKUP(F8,$AR$10:$AT$27,3,FALSE),IF(AND(F6="CU",F5=$AR$5,F7="2x"),VLOOKUP(F8,$AR$29:$AT$46,3,FALSE),IF(AND(F6="CU",F5=$AR$5,F7="3x"),VLOOKUP(F8,$AR$48:$AT$65,3,FALSE),IF(AND(F6="CU",F5=$AR$5,F7="4x"),VLOOKUP(F8,$AR$67:$AT$84,3,FALSE),IF(AND(F6="CU",F5=$AR$5,F7="5x"),VLOOKUP(F8,$AR$86:$AT$103,3,FALSE),IF(AND(F6="AL",F5=$AB$5,F7="4x"),VLOOKUP(F8,$AB$113:$AD$123,3,FALSE),IF(AND(F6="AL",F5=$AB$5,F7="5x"),VLOOKUP(F8,$AB$125:$AD$135,3,FALSE),IF(AND(F6="AL",F5=$AF$5,F7="4x"),VLOOKUP(F8,$AF$113:$AH$123,3,FALSE),IF(AND(F6="AL",F5=$AF$5,F7="5x"),VLOOKUP(F8,$AF$125:$AH$135,3,FALSE),IF(AND(F6="AL",F5=$AJ$5,F7="4x"),VLOOKUP(F8,$AJ$113:$AL$123,3,FALSE),IF(AND(F6="AL",F5=$AJ$5,F7="5x"),VLOOKUP(F8,$AJ$125:$AL$135,3,FALSE),IF(AND(F6="AL",F5=$AN$5,F7="4x"),VLOOKUP(F8,$AN$113:$AP$123,3,FALSE),IF(AND(F6="AL",F5=$AN$5,F7="5x"),VLOOKUP(F8,$AN$125:$AP$135,3,FALSE),IF(AND(F6="AL",F5=$AR$5,F7="4x"),VLOOKUP(F8,$AR$113:$AT$123,3,FALSE),IF(AND(F6="AL",F5=$AR$5,F7="5x"),VLOOKUP(F8,$AR$125:$AT$135,3,FALSE))))))))))))))))))))))))))))))))))))</f>
        <v>8.1000000000000003E-2</v>
      </c>
      <c r="G15" s="172"/>
      <c r="H15" s="172"/>
      <c r="I15" t="s">
        <v>19</v>
      </c>
      <c r="J15" s="172">
        <f>IF(AND(J6="CU",J5=$AB$5,J7="1x"),VLOOKUP(J8,$AB$10:$AD$27,3,FALSE),IF(AND(J6="CU",J5=$AB$5,J7="2x"),VLOOKUP(J8,$AB$29:$AD$46,3,FALSE),IF(AND(J6="CU",J5=$AB$5,J7="3x"),VLOOKUP(J8,$AB$48:$AD$65,3,FALSE),IF(AND(J6="CU",J5=$AB$5,J7="4x"),VLOOKUP(J8,$AB$67:$AD$84,3,FALSE),IF(AND(J6="CU",J5=$AB$5,J7="5x"),VLOOKUP(J8,$AB$86:$AD$103,3,FALSE),IF(AND(J6="CU",J5=$AF$5,J7="1x"),VLOOKUP(J8,$AF$10:$AH$27,3,FALSE),IF(AND(J6="CU",J5=$AF$5,J7="2x"),VLOOKUP(J8,$AF$29:$AH$46,3,FALSE),IF(AND(J6="CU",J5=$AF$5,J7="3x"),VLOOKUP(J8,$AF$48:$AH$65,3,FALSE),IF(AND(J6="CU",J5=$AF$5,J7="4x"),VLOOKUP(J8,$AF$67:$AH$84,3,FALSE),IF(AND(J6="CU",J5=$AF$5,J7="5x"),VLOOKUP(J8,$AF$86:$AH$103,3,FALSE),IF(AND(J6="CU",J5=$AJ$5,J7="1x"),VLOOKUP(J8,$AJ$10:$AL$27,3,FALSE),IF(AND(J6="CU",J5=$AJ$5,J7="2x"),VLOOKUP(J8,$AJ$29:$AL$46,3,FALSE),IF(AND(J6="CU",J5=$AJ$5,J7="3x"),VLOOKUP(J8,$AJ$48:$AL$65,3,FALSE),IF(AND(J6="CU",J5=$AJ$5,J7="4x"),VLOOKUP(J8,$AJ$67:$AL$84,3,FALSE),IF(AND(J6="CU",J5=$AJ$5,J7="5x"),VLOOKUP(J8,$AJ$86:$AL$103,3,FALSE),IF(AND(J6="CU",J5=$AN$5,J7="1x"),VLOOKUP(J8,$AN$10:$AP$27,3,FALSE),IF(AND(J6="CU",J5=$AN$5,J7="2x"),VLOOKUP(J8,$AN$29:$AP$46,3,FALSE),IF(AND(J6="CU",J5=$AN$5,J7="3x"),VLOOKUP(J8,$AN$48:$AP$65,3,FALSE),IF(AND(J6="CU",J5=$AN$5,J7="4x"),VLOOKUP(J8,$AN$67:$AP$84,3,FALSE),IF(AND(J6="CU",J5=$AN$5,J7="5x"),VLOOKUP(J8,$AN$86:$AP$103,3,FALSE),IF(AND(J6="CU",J5=$AR$5,J7="1x"),VLOOKUP(J8,$AR$10:$AT$27,3,FALSE),IF(AND(J6="CU",J5=$AR$5,J7="2x"),VLOOKUP(J8,$AR$29:$AT$46,3,FALSE),IF(AND(J6="CU",J5=$AR$5,J7="3x"),VLOOKUP(J8,$AR$48:$AT$65,3,FALSE),IF(AND(J6="CU",J5=$AR$5,J7="4x"),VLOOKUP(J8,$AR$67:$AT$84,3,FALSE),IF(AND(J6="CU",J5=$AR$5,J7="5x"),VLOOKUP(J8,$AR$86:$AT$103,3,FALSE),IF(AND(J6="AL",J5=$AB$5,J7="4x"),VLOOKUP(J8,$AB$113:$AD$123,3,FALSE),IF(AND(J6="AL",J5=$AB$5,J7="5x"),VLOOKUP(J8,$AB$125:$AD$135,3,FALSE),IF(AND(J6="AL",J5=$AF$5,J7="4x"),VLOOKUP(J8,$AF$113:$AH$123,3,FALSE),IF(AND(J6="AL",J5=$AF$5,J7="5x"),VLOOKUP(J8,$AF$125:$AH$135,3,FALSE),IF(AND(J6="AL",J5=$AJ$5,J7="4x"),VLOOKUP(J8,$AJ$113:$AL$123,3,FALSE),IF(AND(J6="AL",J5=$AJ$5,J7="5x"),VLOOKUP(J8,$AJ$125:$AL$135,3,FALSE),IF(AND(J6="AL",J5=$AN$5,J7="4x"),VLOOKUP(J8,$AN$113:$AP$123,3,FALSE),IF(AND(J6="AL",J5=$AN$5,J7="5x"),VLOOKUP(J8,$AN$125:$AP$135,3,FALSE),IF(AND(J6="AL",J5=$AR$5,J7="4x"),VLOOKUP(J8,$AR$113:$AT$123,3,FALSE),IF(AND(J6="AL",J5=$AR$5,J7="5x"),VLOOKUP(J8,$AR$125:$AT$135,3,FALSE))))))))))))))))))))))))))))))))))))</f>
        <v>0.08</v>
      </c>
      <c r="K15" s="172"/>
      <c r="L15" s="172"/>
      <c r="M15" t="s">
        <v>19</v>
      </c>
      <c r="N15" s="172">
        <f>IF(AND(N6="CU",N5=$AB$5,N7="1x"),VLOOKUP(N8,$AB$10:$AD$27,3,FALSE),IF(AND(N6="CU",N5=$AB$5,N7="2x"),VLOOKUP(N8,$AB$29:$AD$46,3,FALSE),IF(AND(N6="CU",N5=$AB$5,N7="3x"),VLOOKUP(N8,$AB$48:$AD$65,3,FALSE),IF(AND(N6="CU",N5=$AB$5,N7="4x"),VLOOKUP(N8,$AB$67:$AD$84,3,FALSE),IF(AND(N6="CU",N5=$AB$5,N7="5x"),VLOOKUP(N8,$AB$86:$AD$103,3,FALSE),IF(AND(N6="CU",N5=$AF$5,N7="1x"),VLOOKUP(N8,$AF$10:$AH$27,3,FALSE),IF(AND(N6="CU",N5=$AF$5,N7="2x"),VLOOKUP(N8,$AF$29:$AH$46,3,FALSE),IF(AND(N6="CU",N5=$AF$5,N7="3x"),VLOOKUP(N8,$AF$48:$AH$65,3,FALSE),IF(AND(N6="CU",N5=$AF$5,N7="4x"),VLOOKUP(N8,$AF$67:$AH$84,3,FALSE),IF(AND(N6="CU",N5=$AF$5,N7="5x"),VLOOKUP(N8,$AF$86:$AH$103,3,FALSE),IF(AND(N6="CU",N5=$AJ$5,N7="1x"),VLOOKUP(N8,$AJ$10:$AL$27,3,FALSE),IF(AND(N6="CU",N5=$AJ$5,N7="2x"),VLOOKUP(N8,$AJ$29:$AL$46,3,FALSE),IF(AND(N6="CU",N5=$AJ$5,N7="3x"),VLOOKUP(N8,$AJ$48:$AL$65,3,FALSE),IF(AND(N6="CU",N5=$AJ$5,N7="4x"),VLOOKUP(N8,$AJ$67:$AL$84,3,FALSE),IF(AND(N6="CU",N5=$AJ$5,N7="5x"),VLOOKUP(N8,$AJ$86:$AL$103,3,FALSE),IF(AND(N6="CU",N5=$AN$5,N7="1x"),VLOOKUP(N8,$AN$10:$AP$27,3,FALSE),IF(AND(N6="CU",N5=$AN$5,N7="2x"),VLOOKUP(N8,$AN$29:$AP$46,3,FALSE),IF(AND(N6="CU",N5=$AN$5,N7="3x"),VLOOKUP(N8,$AN$48:$AP$65,3,FALSE),IF(AND(N6="CU",N5=$AN$5,N7="4x"),VLOOKUP(N8,$AN$67:$AP$84,3,FALSE),IF(AND(N6="CU",N5=$AN$5,N7="5x"),VLOOKUP(N8,$AN$86:$AP$103,3,FALSE),IF(AND(N6="CU",N5=$AR$5,N7="1x"),VLOOKUP(N8,$AR$10:$AT$27,3,FALSE),IF(AND(N6="CU",N5=$AR$5,N7="2x"),VLOOKUP(N8,$AR$29:$AT$46,3,FALSE),IF(AND(N6="CU",N5=$AR$5,N7="3x"),VLOOKUP(N8,$AR$48:$AT$65,3,FALSE),IF(AND(N6="CU",N5=$AR$5,N7="4x"),VLOOKUP(N8,$AR$67:$AT$84,3,FALSE),IF(AND(N6="CU",N5=$AR$5,N7="5x"),VLOOKUP(N8,$AR$86:$AT$103,3,FALSE),IF(AND(N6="AL",N5=$AB$5,N7="4x"),VLOOKUP(N8,$AB$113:$AD$123,3,FALSE),IF(AND(N6="AL",N5=$AB$5,N7="5x"),VLOOKUP(N8,$AB$125:$AD$135,3,FALSE),IF(AND(N6="AL",N5=$AF$5,N7="4x"),VLOOKUP(N8,$AF$113:$AH$123,3,FALSE),IF(AND(N6="AL",N5=$AF$5,N7="5x"),VLOOKUP(N8,$AF$125:$AH$135,3,FALSE),IF(AND(N6="AL",N5=$AJ$5,N7="4x"),VLOOKUP(N8,$AJ$113:$AL$123,3,FALSE),IF(AND(N6="AL",N5=$AJ$5,N7="5x"),VLOOKUP(N8,$AJ$125:$AL$135,3,FALSE),IF(AND(N6="AL",N5=$AN$5,N7="4x"),VLOOKUP(N8,$AN$113:$AP$123,3,FALSE),IF(AND(N6="AL",N5=$AN$5,N7="5x"),VLOOKUP(N8,$AN$125:$AP$135,3,FALSE),IF(AND(N6="AL",N5=$AR$5,N7="4x"),VLOOKUP(N8,$AR$113:$AT$123,3,FALSE),IF(AND(N6="AL",N5=$AR$5,N7="5x"),VLOOKUP(N8,$AR$125:$AT$135,3,FALSE))))))))))))))))))))))))))))))))))))</f>
        <v>8.6999999999999994E-2</v>
      </c>
      <c r="O15" s="172"/>
      <c r="P15" s="172"/>
      <c r="Q15" t="s">
        <v>19</v>
      </c>
      <c r="R15" s="172">
        <f>IF(AND(R6="CU",R5=$AB$5,R7="1x"),VLOOKUP(R8,$AB$10:$AD$27,3,FALSE),IF(AND(R6="CU",R5=$AB$5,R7="2x"),VLOOKUP(R8,$AB$29:$AD$46,3,FALSE),IF(AND(R6="CU",R5=$AB$5,R7="3x"),VLOOKUP(R8,$AB$48:$AD$65,3,FALSE),IF(AND(R6="CU",R5=$AB$5,R7="4x"),VLOOKUP(R8,$AB$67:$AD$84,3,FALSE),IF(AND(R6="CU",R5=$AB$5,R7="5x"),VLOOKUP(R8,$AB$86:$AD$103,3,FALSE),IF(AND(R6="CU",R5=$AF$5,R7="1x"),VLOOKUP(R8,$AF$10:$AH$27,3,FALSE),IF(AND(R6="CU",R5=$AF$5,R7="2x"),VLOOKUP(R8,$AF$29:$AH$46,3,FALSE),IF(AND(R6="CU",R5=$AF$5,R7="3x"),VLOOKUP(R8,$AF$48:$AH$65,3,FALSE),IF(AND(R6="CU",R5=$AF$5,R7="4x"),VLOOKUP(R8,$AF$67:$AH$84,3,FALSE),IF(AND(R6="CU",R5=$AF$5,R7="5x"),VLOOKUP(R8,$AF$86:$AH$103,3,FALSE),IF(AND(R6="CU",R5=$AJ$5,R7="1x"),VLOOKUP(R8,$AJ$10:$AL$27,3,FALSE),IF(AND(R6="CU",R5=$AJ$5,R7="2x"),VLOOKUP(R8,$AJ$29:$AL$46,3,FALSE),IF(AND(R6="CU",R5=$AJ$5,R7="3x"),VLOOKUP(R8,$AJ$48:$AL$65,3,FALSE),IF(AND(R6="CU",R5=$AJ$5,R7="4x"),VLOOKUP(R8,$AJ$67:$AL$84,3,FALSE),IF(AND(R6="CU",R5=$AJ$5,R7="5x"),VLOOKUP(R8,$AJ$86:$AL$103,3,FALSE),IF(AND(R6="CU",R5=$AN$5,R7="1x"),VLOOKUP(R8,$AN$10:$AP$27,3,FALSE),IF(AND(R6="CU",R5=$AN$5,R7="2x"),VLOOKUP(R8,$AN$29:$AP$46,3,FALSE),IF(AND(R6="CU",R5=$AN$5,R7="3x"),VLOOKUP(R8,$AN$48:$AP$65,3,FALSE),IF(AND(R6="CU",R5=$AN$5,R7="4x"),VLOOKUP(R8,$AN$67:$AP$84,3,FALSE),IF(AND(R6="CU",R5=$AN$5,R7="5x"),VLOOKUP(R8,$AN$86:$AP$103,3,FALSE),IF(AND(R6="CU",R5=$AR$5,R7="1x"),VLOOKUP(R8,$AR$10:$AT$27,3,FALSE),IF(AND(R6="CU",R5=$AR$5,R7="2x"),VLOOKUP(R8,$AR$29:$AT$46,3,FALSE),IF(AND(R6="CU",R5=$AR$5,R7="3x"),VLOOKUP(R8,$AR$48:$AT$65,3,FALSE),IF(AND(R6="CU",R5=$AR$5,R7="4x"),VLOOKUP(R8,$AR$67:$AT$84,3,FALSE),IF(AND(R6="CU",R5=$AR$5,R7="5x"),VLOOKUP(R8,$AR$86:$AT$103,3,FALSE),IF(AND(R6="AL",R5=$AB$5,R7="4x"),VLOOKUP(R8,$AB$113:$AD$123,3,FALSE),IF(AND(R6="AL",R5=$AB$5,R7="5x"),VLOOKUP(R8,$AB$125:$AD$135,3,FALSE),IF(AND(R6="AL",R5=$AF$5,R7="4x"),VLOOKUP(R8,$AF$113:$AH$123,3,FALSE),IF(AND(R6="AL",R5=$AF$5,R7="5x"),VLOOKUP(R8,$AF$125:$AH$135,3,FALSE),IF(AND(R6="AL",R5=$AJ$5,R7="4x"),VLOOKUP(R8,$AJ$113:$AL$123,3,FALSE),IF(AND(R6="AL",R5=$AJ$5,R7="5x"),VLOOKUP(R8,$AJ$125:$AL$135,3,FALSE),IF(AND(R6="AL",R5=$AN$5,R7="4x"),VLOOKUP(R8,$AN$113:$AP$123,3,FALSE),IF(AND(R6="AL",R5=$AN$5,R7="5x"),VLOOKUP(R8,$AN$125:$AP$135,3,FALSE),IF(AND(R6="AL",R5=$AR$5,R7="4x"),VLOOKUP(R8,$AR$113:$AT$123,3,FALSE),IF(AND(R6="AL",R5=$AR$5,R7="5x"),VLOOKUP(R8,$AR$125:$AT$135,3,FALSE))))))))))))))))))))))))))))))))))))</f>
        <v>7.9000000000000001E-2</v>
      </c>
      <c r="S15" s="172"/>
      <c r="T15" s="172"/>
      <c r="AB15" s="63">
        <v>6</v>
      </c>
      <c r="AC15" s="61">
        <v>3.08</v>
      </c>
      <c r="AD15" s="62">
        <v>9.2999999999999999E-2</v>
      </c>
      <c r="AF15" s="63">
        <v>6</v>
      </c>
      <c r="AG15" s="61">
        <v>3.08</v>
      </c>
      <c r="AH15" s="62">
        <v>8.6999999999999994E-2</v>
      </c>
      <c r="AJ15" s="63">
        <v>6</v>
      </c>
      <c r="AK15" s="59"/>
      <c r="AL15" s="60"/>
      <c r="AN15" s="63">
        <v>6</v>
      </c>
      <c r="AO15" s="59"/>
      <c r="AP15" s="60"/>
      <c r="AR15" s="63">
        <v>6</v>
      </c>
      <c r="AS15" s="59"/>
      <c r="AT15" s="60"/>
      <c r="AZ15" s="1">
        <v>10</v>
      </c>
    </row>
    <row r="16" spans="1:55" ht="18" hidden="1" x14ac:dyDescent="0.35">
      <c r="A16" s="4" t="s">
        <v>135</v>
      </c>
      <c r="B16" s="172">
        <f>SQRT(((1.5*B14)^2)+(B15^2))</f>
        <v>0.14094255035297185</v>
      </c>
      <c r="C16" s="172"/>
      <c r="D16" s="172"/>
      <c r="E16" t="s">
        <v>135</v>
      </c>
      <c r="F16" s="172">
        <f>SQRT(((1.5*F14)^2)+(F15^2))</f>
        <v>0.96490582442018669</v>
      </c>
      <c r="G16" s="172"/>
      <c r="H16" s="172"/>
      <c r="I16" t="s">
        <v>135</v>
      </c>
      <c r="J16" s="172">
        <f>SQRT(((1.5*J14)^2)+(J15^2))</f>
        <v>0.67078759678455602</v>
      </c>
      <c r="K16" s="172"/>
      <c r="L16" s="172"/>
      <c r="M16" t="s">
        <v>135</v>
      </c>
      <c r="N16" s="172">
        <f>SQRT(((1.5*N14)^2)+(N15^2))</f>
        <v>1.8021012735137834</v>
      </c>
      <c r="O16" s="172"/>
      <c r="P16" s="172"/>
      <c r="Q16" t="s">
        <v>135</v>
      </c>
      <c r="R16" s="172">
        <f>SQRT(((1.5*R14)^2)+(R15^2))</f>
        <v>1.0933577868200326</v>
      </c>
      <c r="S16" s="172"/>
      <c r="T16" s="172"/>
      <c r="AB16" s="63">
        <v>10</v>
      </c>
      <c r="AC16" s="61">
        <v>1.83</v>
      </c>
      <c r="AD16" s="62">
        <v>8.3000000000000004E-2</v>
      </c>
      <c r="AF16" s="63">
        <v>10</v>
      </c>
      <c r="AG16" s="61">
        <v>1.83</v>
      </c>
      <c r="AH16" s="62">
        <v>8.2000000000000003E-2</v>
      </c>
      <c r="AJ16" s="63">
        <v>10</v>
      </c>
      <c r="AK16" s="59"/>
      <c r="AL16" s="60"/>
      <c r="AN16" s="63">
        <v>10</v>
      </c>
      <c r="AO16" s="59"/>
      <c r="AP16" s="60"/>
      <c r="AR16" s="63">
        <v>10</v>
      </c>
      <c r="AS16" s="59"/>
      <c r="AT16" s="60"/>
    </row>
    <row r="17" spans="1:46" hidden="1" x14ac:dyDescent="0.25">
      <c r="A17" s="4" t="s">
        <v>136</v>
      </c>
      <c r="B17" s="172">
        <f>DEGREES(IMARGUMENT(COMPLEX(1.5*B14,B15,"j")))</f>
        <v>33.115043094658382</v>
      </c>
      <c r="C17" s="172"/>
      <c r="D17" s="172"/>
      <c r="E17" t="s">
        <v>136</v>
      </c>
      <c r="F17" s="172">
        <f>DEGREES(IMARGUMENT(COMPLEX(1.5*F14,F15,"j")))</f>
        <v>4.8154194272885684</v>
      </c>
      <c r="G17" s="172"/>
      <c r="H17" s="172"/>
      <c r="I17" t="s">
        <v>136</v>
      </c>
      <c r="J17" s="172">
        <f>DEGREES(IMARGUMENT(COMPLEX(1.5*J14,J15,"j")))</f>
        <v>6.8495579927665577</v>
      </c>
      <c r="K17" s="172"/>
      <c r="L17" s="172"/>
      <c r="M17" t="s">
        <v>136</v>
      </c>
      <c r="N17" s="172">
        <f>DEGREES(IMARGUMENT(COMPLEX(1.5*N14,N15,"j")))</f>
        <v>2.7671425663444977</v>
      </c>
      <c r="O17" s="172"/>
      <c r="P17" s="172"/>
      <c r="Q17" t="s">
        <v>136</v>
      </c>
      <c r="R17" s="172">
        <f>DEGREES(IMARGUMENT(COMPLEX(1.5*R14,R15,"j")))</f>
        <v>4.1434875137461242</v>
      </c>
      <c r="S17" s="172"/>
      <c r="T17" s="172"/>
      <c r="AB17" s="63">
        <v>16</v>
      </c>
      <c r="AC17" s="61">
        <v>1.1499999999999999</v>
      </c>
      <c r="AD17" s="62">
        <v>8.5999999999999993E-2</v>
      </c>
      <c r="AF17" s="63">
        <v>16</v>
      </c>
      <c r="AG17" s="61">
        <v>1.1499999999999999</v>
      </c>
      <c r="AH17" s="62">
        <v>7.8E-2</v>
      </c>
      <c r="AJ17" s="63">
        <v>16</v>
      </c>
      <c r="AK17" s="59"/>
      <c r="AL17" s="60"/>
      <c r="AN17" s="63">
        <v>16</v>
      </c>
      <c r="AO17" s="59"/>
      <c r="AP17" s="60"/>
      <c r="AR17" s="63">
        <v>16</v>
      </c>
      <c r="AS17" s="59"/>
      <c r="AT17" s="60"/>
    </row>
    <row r="18" spans="1:46" x14ac:dyDescent="0.25">
      <c r="A18" s="4" t="s">
        <v>137</v>
      </c>
      <c r="B18" s="173" t="str">
        <f>IF(B14+B15&gt;0.0000000001,"OK","Fejl")</f>
        <v>OK</v>
      </c>
      <c r="C18" s="174"/>
      <c r="D18" s="174"/>
      <c r="F18" s="174" t="str">
        <f>IF(F14+F15&gt;0.0000000001,"OK","Fejl")</f>
        <v>OK</v>
      </c>
      <c r="G18" s="174"/>
      <c r="H18" s="174"/>
      <c r="J18" s="174" t="str">
        <f>IF(J14+J15&gt;0.0000000001,"OK","Fejl")</f>
        <v>OK</v>
      </c>
      <c r="K18" s="174"/>
      <c r="L18" s="174"/>
      <c r="N18" s="174" t="str">
        <f>IF(N14+N15&gt;0.0000000001,"OK","Fejl")</f>
        <v>OK</v>
      </c>
      <c r="O18" s="174"/>
      <c r="P18" s="174"/>
      <c r="R18" s="174" t="str">
        <f>IF(R14+R15&gt;0.0000000001,"OK","Fejl")</f>
        <v>OK</v>
      </c>
      <c r="S18" s="174"/>
      <c r="T18" s="174"/>
      <c r="AB18" s="63">
        <v>25</v>
      </c>
      <c r="AC18" s="61">
        <v>0.72699999999999998</v>
      </c>
      <c r="AD18" s="62">
        <v>8.5000000000000006E-2</v>
      </c>
      <c r="AF18" s="63">
        <v>25</v>
      </c>
      <c r="AG18" s="61">
        <v>0.72699999999999998</v>
      </c>
      <c r="AH18" s="62">
        <v>7.9000000000000001E-2</v>
      </c>
      <c r="AJ18" s="63">
        <v>25</v>
      </c>
      <c r="AK18" s="59"/>
      <c r="AL18" s="60"/>
      <c r="AN18" s="63">
        <v>25</v>
      </c>
      <c r="AO18" s="59"/>
      <c r="AP18" s="60"/>
      <c r="AR18" s="63">
        <v>25</v>
      </c>
      <c r="AS18" s="59"/>
      <c r="AT18" s="60"/>
    </row>
    <row r="19" spans="1:4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AB19" s="63">
        <v>35</v>
      </c>
      <c r="AC19" s="61">
        <v>0.52500000000000002</v>
      </c>
      <c r="AD19" s="62">
        <v>7.2999999999999995E-2</v>
      </c>
      <c r="AF19" s="63">
        <v>35</v>
      </c>
      <c r="AG19" s="61">
        <v>0.52500000000000002</v>
      </c>
      <c r="AH19" s="62">
        <v>7.3999999999999996E-2</v>
      </c>
      <c r="AJ19" s="63">
        <v>35</v>
      </c>
      <c r="AK19" s="59"/>
      <c r="AL19" s="60"/>
      <c r="AN19" s="63">
        <v>35</v>
      </c>
      <c r="AO19" s="59"/>
      <c r="AP19" s="60"/>
      <c r="AR19" s="63">
        <v>35</v>
      </c>
      <c r="AS19" s="59"/>
      <c r="AT19" s="60"/>
    </row>
    <row r="20" spans="1:46" x14ac:dyDescent="0.25">
      <c r="A20" s="114" t="s">
        <v>138</v>
      </c>
      <c r="B20" s="114"/>
      <c r="C20" s="114"/>
      <c r="D20" s="114"/>
      <c r="E20" s="114" t="s">
        <v>139</v>
      </c>
      <c r="F20" s="114"/>
      <c r="G20" s="114"/>
      <c r="H20" s="114"/>
      <c r="I20" s="114" t="s">
        <v>140</v>
      </c>
      <c r="J20" s="114"/>
      <c r="K20" s="114"/>
      <c r="L20" s="114"/>
      <c r="M20" s="114" t="s">
        <v>141</v>
      </c>
      <c r="N20" s="114"/>
      <c r="O20" s="114"/>
      <c r="P20" s="114"/>
      <c r="Q20" s="114" t="s">
        <v>141</v>
      </c>
      <c r="R20" s="114"/>
      <c r="S20" s="114"/>
      <c r="T20" s="114"/>
      <c r="AB20" s="63">
        <v>50</v>
      </c>
      <c r="AC20" s="61">
        <v>0.38800000000000001</v>
      </c>
      <c r="AD20" s="62">
        <v>7.2999999999999995E-2</v>
      </c>
      <c r="AF20" s="63">
        <v>50</v>
      </c>
      <c r="AG20" s="59"/>
      <c r="AH20" s="60"/>
      <c r="AJ20" s="63">
        <v>50</v>
      </c>
      <c r="AK20" s="59"/>
      <c r="AL20" s="60"/>
      <c r="AN20" s="63">
        <v>50</v>
      </c>
      <c r="AO20" s="59"/>
      <c r="AP20" s="60"/>
      <c r="AR20" s="63">
        <v>50</v>
      </c>
      <c r="AS20" s="59"/>
      <c r="AT20" s="60"/>
    </row>
    <row r="21" spans="1:46" ht="15" customHeight="1" x14ac:dyDescent="0.25">
      <c r="A21" s="59" t="s">
        <v>93</v>
      </c>
      <c r="B21" s="165" t="s">
        <v>102</v>
      </c>
      <c r="C21" s="165"/>
      <c r="D21" s="165"/>
      <c r="E21" s="1"/>
      <c r="F21" s="165" t="s">
        <v>101</v>
      </c>
      <c r="G21" s="165"/>
      <c r="H21" s="165"/>
      <c r="I21" s="1"/>
      <c r="J21" s="165" t="s">
        <v>102</v>
      </c>
      <c r="K21" s="165"/>
      <c r="L21" s="165"/>
      <c r="M21" s="1"/>
      <c r="N21" s="165" t="s">
        <v>102</v>
      </c>
      <c r="O21" s="165"/>
      <c r="P21" s="165"/>
      <c r="Q21" s="1"/>
      <c r="R21" s="165" t="s">
        <v>102</v>
      </c>
      <c r="S21" s="165"/>
      <c r="T21" s="165"/>
      <c r="AB21" s="63">
        <v>70</v>
      </c>
      <c r="AC21" s="61">
        <v>0.26900000000000002</v>
      </c>
      <c r="AD21" s="62">
        <v>7.1999999999999995E-2</v>
      </c>
      <c r="AF21" s="63">
        <v>70</v>
      </c>
      <c r="AG21" s="59"/>
      <c r="AH21" s="60"/>
      <c r="AJ21" s="63">
        <v>70</v>
      </c>
      <c r="AK21" s="59"/>
      <c r="AL21" s="60"/>
      <c r="AN21" s="63">
        <v>70</v>
      </c>
      <c r="AO21" s="59"/>
      <c r="AP21" s="60"/>
      <c r="AR21" s="63">
        <v>70</v>
      </c>
      <c r="AS21" s="59"/>
      <c r="AT21" s="60"/>
    </row>
    <row r="22" spans="1:46" ht="15" customHeight="1" x14ac:dyDescent="0.25">
      <c r="A22" s="59" t="s">
        <v>103</v>
      </c>
      <c r="B22" s="169"/>
      <c r="C22" s="170"/>
      <c r="D22" s="167"/>
      <c r="E22" s="1"/>
      <c r="F22" s="165"/>
      <c r="G22" s="165"/>
      <c r="H22" s="165"/>
      <c r="I22" s="1"/>
      <c r="J22" s="165"/>
      <c r="K22" s="165"/>
      <c r="L22" s="165"/>
      <c r="M22" s="1"/>
      <c r="N22" s="165"/>
      <c r="O22" s="165"/>
      <c r="P22" s="165"/>
      <c r="Q22" s="1"/>
      <c r="R22" s="165"/>
      <c r="S22" s="165"/>
      <c r="T22" s="165"/>
      <c r="AB22" s="63">
        <v>95</v>
      </c>
      <c r="AC22" s="61">
        <v>0.19400000000000001</v>
      </c>
      <c r="AD22" s="62">
        <v>7.0000000000000007E-2</v>
      </c>
      <c r="AF22" s="63">
        <v>95</v>
      </c>
      <c r="AG22" s="59"/>
      <c r="AH22" s="60"/>
      <c r="AJ22" s="63">
        <v>95</v>
      </c>
      <c r="AK22" s="59"/>
      <c r="AL22" s="60"/>
      <c r="AN22" s="63">
        <v>95</v>
      </c>
      <c r="AO22" s="59"/>
      <c r="AP22" s="60"/>
      <c r="AR22" s="63">
        <v>95</v>
      </c>
      <c r="AS22" s="59"/>
      <c r="AT22" s="60"/>
    </row>
    <row r="23" spans="1:46" x14ac:dyDescent="0.25">
      <c r="A23" s="59" t="s">
        <v>104</v>
      </c>
      <c r="B23" s="165" t="s">
        <v>105</v>
      </c>
      <c r="C23" s="165"/>
      <c r="D23" s="165"/>
      <c r="E23" s="1"/>
      <c r="F23" s="165" t="s">
        <v>105</v>
      </c>
      <c r="G23" s="165"/>
      <c r="H23" s="165"/>
      <c r="I23" s="1"/>
      <c r="J23" s="165" t="s">
        <v>105</v>
      </c>
      <c r="K23" s="165"/>
      <c r="L23" s="165"/>
      <c r="M23" s="1"/>
      <c r="N23" s="165"/>
      <c r="O23" s="165"/>
      <c r="P23" s="165"/>
      <c r="Q23" s="1"/>
      <c r="R23" s="165"/>
      <c r="S23" s="165"/>
      <c r="T23" s="165"/>
      <c r="V23" s="64"/>
      <c r="AB23" s="63">
        <v>120</v>
      </c>
      <c r="AC23" s="61">
        <v>0.155</v>
      </c>
      <c r="AD23" s="62">
        <v>7.0000000000000007E-2</v>
      </c>
      <c r="AF23" s="63">
        <v>120</v>
      </c>
      <c r="AG23" s="59"/>
      <c r="AH23" s="60"/>
      <c r="AJ23" s="63">
        <v>120</v>
      </c>
      <c r="AK23" s="59"/>
      <c r="AL23" s="60"/>
      <c r="AN23" s="63">
        <v>120</v>
      </c>
      <c r="AO23" s="59"/>
      <c r="AP23" s="60"/>
      <c r="AR23" s="63">
        <v>120</v>
      </c>
      <c r="AS23" s="59"/>
      <c r="AT23" s="60"/>
    </row>
    <row r="24" spans="1:46" x14ac:dyDescent="0.25">
      <c r="A24" s="59" t="s">
        <v>110</v>
      </c>
      <c r="B24" s="168" t="s">
        <v>116</v>
      </c>
      <c r="C24" s="168"/>
      <c r="D24" s="168"/>
      <c r="E24" s="1"/>
      <c r="F24" s="168" t="s">
        <v>116</v>
      </c>
      <c r="G24" s="168"/>
      <c r="H24" s="168"/>
      <c r="I24" s="95"/>
      <c r="J24" s="168" t="s">
        <v>116</v>
      </c>
      <c r="K24" s="168"/>
      <c r="L24" s="168"/>
      <c r="M24" s="95"/>
      <c r="N24" s="168"/>
      <c r="O24" s="168"/>
      <c r="P24" s="168"/>
      <c r="Q24" s="95"/>
      <c r="R24" s="168"/>
      <c r="S24" s="168"/>
      <c r="T24" s="168"/>
      <c r="AB24" s="63">
        <v>150</v>
      </c>
      <c r="AC24" s="61">
        <v>0.126</v>
      </c>
      <c r="AD24" s="62">
        <v>7.0000000000000007E-2</v>
      </c>
      <c r="AF24" s="63">
        <v>150</v>
      </c>
      <c r="AG24" s="59"/>
      <c r="AH24" s="60"/>
      <c r="AJ24" s="63">
        <v>150</v>
      </c>
      <c r="AK24" s="59"/>
      <c r="AL24" s="60"/>
      <c r="AN24" s="63">
        <v>150</v>
      </c>
      <c r="AO24" s="59"/>
      <c r="AP24" s="60"/>
      <c r="AR24" s="63">
        <v>150</v>
      </c>
      <c r="AS24" s="59"/>
      <c r="AT24" s="60"/>
    </row>
    <row r="25" spans="1:46" x14ac:dyDescent="0.25">
      <c r="A25" s="96" t="s">
        <v>118</v>
      </c>
      <c r="B25" s="168" t="s">
        <v>123</v>
      </c>
      <c r="C25" s="168"/>
      <c r="D25" s="168"/>
      <c r="E25" s="1"/>
      <c r="F25" s="168" t="s">
        <v>119</v>
      </c>
      <c r="G25" s="168"/>
      <c r="H25" s="168"/>
      <c r="I25" s="95"/>
      <c r="J25" s="168" t="s">
        <v>123</v>
      </c>
      <c r="K25" s="168"/>
      <c r="L25" s="168"/>
      <c r="M25" s="23" t="s">
        <v>142</v>
      </c>
      <c r="N25" s="169"/>
      <c r="O25" s="170"/>
      <c r="P25" s="167"/>
      <c r="Q25" s="23" t="s">
        <v>142</v>
      </c>
      <c r="R25" s="168"/>
      <c r="S25" s="168"/>
      <c r="T25" s="168"/>
      <c r="AB25" s="63">
        <v>185</v>
      </c>
      <c r="AC25" s="61">
        <v>0.1017</v>
      </c>
      <c r="AD25" s="62">
        <v>7.0000000000000007E-2</v>
      </c>
      <c r="AF25" s="63">
        <v>185</v>
      </c>
      <c r="AG25" s="59"/>
      <c r="AH25" s="60"/>
      <c r="AJ25" s="63">
        <v>185</v>
      </c>
      <c r="AK25" s="59"/>
      <c r="AL25" s="60"/>
      <c r="AN25" s="63">
        <v>185</v>
      </c>
      <c r="AO25" s="59"/>
      <c r="AP25" s="60"/>
      <c r="AR25" s="63">
        <v>185</v>
      </c>
      <c r="AS25" s="59"/>
      <c r="AT25" s="60"/>
    </row>
    <row r="26" spans="1:46" ht="15" customHeight="1" x14ac:dyDescent="0.25">
      <c r="A26" s="59" t="s">
        <v>121</v>
      </c>
      <c r="B26" s="168">
        <v>2.5</v>
      </c>
      <c r="C26" s="168"/>
      <c r="D26" s="168"/>
      <c r="E26" s="1"/>
      <c r="F26" s="168">
        <v>16</v>
      </c>
      <c r="G26" s="168"/>
      <c r="H26" s="168"/>
      <c r="I26" s="1"/>
      <c r="J26" s="168">
        <v>2.5</v>
      </c>
      <c r="K26" s="168"/>
      <c r="L26" s="168"/>
      <c r="M26" s="23" t="s">
        <v>19</v>
      </c>
      <c r="N26" s="169"/>
      <c r="O26" s="170"/>
      <c r="P26" s="167"/>
      <c r="Q26" s="23" t="s">
        <v>19</v>
      </c>
      <c r="R26" s="168"/>
      <c r="S26" s="168"/>
      <c r="T26" s="168"/>
      <c r="AB26" s="63">
        <v>240</v>
      </c>
      <c r="AC26" s="61">
        <v>7.8700000000000006E-2</v>
      </c>
      <c r="AD26" s="62">
        <v>7.0000000000000007E-2</v>
      </c>
      <c r="AF26" s="63">
        <v>240</v>
      </c>
      <c r="AG26" s="59"/>
      <c r="AH26" s="60"/>
      <c r="AJ26" s="63">
        <v>240</v>
      </c>
      <c r="AK26" s="59"/>
      <c r="AL26" s="60"/>
      <c r="AN26" s="63">
        <v>240</v>
      </c>
      <c r="AO26" s="59"/>
      <c r="AP26" s="60"/>
      <c r="AR26" s="63">
        <v>240</v>
      </c>
      <c r="AS26" s="59"/>
      <c r="AT26" s="60"/>
    </row>
    <row r="27" spans="1:46" ht="15.75" thickBot="1" x14ac:dyDescent="0.3">
      <c r="A27" s="59" t="s">
        <v>125</v>
      </c>
      <c r="B27" s="168">
        <v>10.7</v>
      </c>
      <c r="C27" s="168"/>
      <c r="D27" s="168"/>
      <c r="E27" s="23" t="s">
        <v>126</v>
      </c>
      <c r="F27" s="168">
        <v>2</v>
      </c>
      <c r="G27" s="168"/>
      <c r="H27" s="168"/>
      <c r="I27" s="23" t="s">
        <v>126</v>
      </c>
      <c r="J27" s="168">
        <v>38.35</v>
      </c>
      <c r="K27" s="168"/>
      <c r="L27" s="168"/>
      <c r="M27" s="23" t="s">
        <v>126</v>
      </c>
      <c r="N27" s="169"/>
      <c r="O27" s="170"/>
      <c r="P27" s="167"/>
      <c r="Q27" s="23" t="s">
        <v>126</v>
      </c>
      <c r="R27" s="168"/>
      <c r="S27" s="168"/>
      <c r="T27" s="168"/>
      <c r="AB27" s="65">
        <v>300</v>
      </c>
      <c r="AC27" s="66"/>
      <c r="AD27" s="67"/>
      <c r="AF27" s="65">
        <v>300</v>
      </c>
      <c r="AG27" s="66"/>
      <c r="AH27" s="67"/>
      <c r="AJ27" s="65">
        <v>300</v>
      </c>
      <c r="AK27" s="66"/>
      <c r="AL27" s="67"/>
      <c r="AN27" s="65">
        <v>300</v>
      </c>
      <c r="AO27" s="66"/>
      <c r="AP27" s="67"/>
      <c r="AR27" s="65">
        <v>300</v>
      </c>
      <c r="AS27" s="66"/>
      <c r="AT27" s="67"/>
    </row>
    <row r="28" spans="1:46" ht="15.75" thickBot="1" x14ac:dyDescent="0.3">
      <c r="A28" s="59" t="s">
        <v>127</v>
      </c>
      <c r="B28" s="168">
        <v>1</v>
      </c>
      <c r="C28" s="168"/>
      <c r="D28" s="168"/>
      <c r="E28" s="23" t="s">
        <v>128</v>
      </c>
      <c r="F28" s="168">
        <v>1</v>
      </c>
      <c r="G28" s="168"/>
      <c r="H28" s="168"/>
      <c r="I28" s="23" t="s">
        <v>128</v>
      </c>
      <c r="J28" s="168">
        <v>1</v>
      </c>
      <c r="K28" s="168"/>
      <c r="L28" s="168"/>
      <c r="M28" s="23" t="s">
        <v>128</v>
      </c>
      <c r="N28" s="168">
        <v>1</v>
      </c>
      <c r="O28" s="168"/>
      <c r="P28" s="168"/>
      <c r="Q28" s="23" t="s">
        <v>128</v>
      </c>
      <c r="R28" s="168"/>
      <c r="S28" s="168"/>
      <c r="T28" s="168"/>
      <c r="AB28" s="68" t="s">
        <v>120</v>
      </c>
      <c r="AC28" s="69" t="s">
        <v>18</v>
      </c>
      <c r="AD28" s="70" t="s">
        <v>19</v>
      </c>
      <c r="AF28" s="68" t="s">
        <v>120</v>
      </c>
      <c r="AG28" s="69" t="s">
        <v>18</v>
      </c>
      <c r="AH28" s="70" t="s">
        <v>19</v>
      </c>
      <c r="AJ28" s="68" t="s">
        <v>120</v>
      </c>
      <c r="AK28" s="69" t="s">
        <v>18</v>
      </c>
      <c r="AL28" s="70" t="s">
        <v>19</v>
      </c>
      <c r="AN28" s="68" t="s">
        <v>120</v>
      </c>
      <c r="AO28" s="69" t="s">
        <v>18</v>
      </c>
      <c r="AP28" s="70" t="s">
        <v>19</v>
      </c>
      <c r="AR28" s="68" t="s">
        <v>120</v>
      </c>
      <c r="AS28" s="69" t="s">
        <v>18</v>
      </c>
      <c r="AT28" s="70" t="s">
        <v>19</v>
      </c>
    </row>
    <row r="29" spans="1:46" ht="16.350000000000001" customHeight="1" x14ac:dyDescent="0.35">
      <c r="A29" s="20" t="s">
        <v>131</v>
      </c>
      <c r="B29" s="106">
        <v>6</v>
      </c>
      <c r="C29" s="5" t="s">
        <v>132</v>
      </c>
      <c r="D29" s="107">
        <v>0</v>
      </c>
      <c r="E29" s="23"/>
      <c r="F29" s="106">
        <v>63</v>
      </c>
      <c r="G29" s="5" t="s">
        <v>132</v>
      </c>
      <c r="H29" s="107">
        <v>0</v>
      </c>
      <c r="I29" s="23"/>
      <c r="J29" s="106">
        <v>10</v>
      </c>
      <c r="K29" s="5" t="s">
        <v>132</v>
      </c>
      <c r="L29" s="107">
        <v>0</v>
      </c>
      <c r="M29" s="23"/>
      <c r="N29" s="106">
        <v>250</v>
      </c>
      <c r="O29" s="5" t="s">
        <v>132</v>
      </c>
      <c r="P29" s="107">
        <v>23</v>
      </c>
      <c r="Q29" s="23"/>
      <c r="R29" s="106">
        <v>250</v>
      </c>
      <c r="S29" s="5" t="s">
        <v>132</v>
      </c>
      <c r="T29" s="107">
        <v>23</v>
      </c>
      <c r="AB29" s="53">
        <v>0.75</v>
      </c>
      <c r="AC29" s="54"/>
      <c r="AD29" s="55"/>
      <c r="AF29" s="53">
        <v>0.75</v>
      </c>
      <c r="AG29" s="54"/>
      <c r="AH29" s="55"/>
      <c r="AJ29" s="53">
        <v>0.75</v>
      </c>
      <c r="AK29" s="56">
        <v>26</v>
      </c>
      <c r="AL29" s="57">
        <v>0.111</v>
      </c>
      <c r="AN29" s="53">
        <v>0.75</v>
      </c>
      <c r="AO29" s="56"/>
      <c r="AP29" s="57"/>
      <c r="AR29" s="53">
        <v>0.75</v>
      </c>
      <c r="AS29" s="54"/>
      <c r="AT29" s="55"/>
    </row>
    <row r="30" spans="1:46" ht="16.350000000000001" hidden="1" customHeight="1" x14ac:dyDescent="0.35">
      <c r="A30" t="s">
        <v>133</v>
      </c>
      <c r="B30" s="171">
        <f>SQRT(B32^2+B33^2)</f>
        <v>7.4106089493374299</v>
      </c>
      <c r="C30" s="171"/>
      <c r="D30" s="171"/>
      <c r="E30" t="s">
        <v>133</v>
      </c>
      <c r="F30" s="171">
        <f>SQRT(F32^2+F33^2)</f>
        <v>1.1531370256825508</v>
      </c>
      <c r="G30" s="171"/>
      <c r="H30" s="171"/>
      <c r="I30" t="s">
        <v>133</v>
      </c>
      <c r="J30" s="171">
        <f>SQRT(J32^2+J33^2)</f>
        <v>7.4106089493374299</v>
      </c>
      <c r="K30" s="171"/>
      <c r="L30" s="171"/>
      <c r="M30" t="s">
        <v>133</v>
      </c>
      <c r="N30" s="172" t="str">
        <f>IF(N25="","",IMABS(COMPLEX(N25,N26,"i")))</f>
        <v/>
      </c>
      <c r="O30" s="172"/>
      <c r="P30" s="172"/>
      <c r="Q30" t="s">
        <v>133</v>
      </c>
      <c r="R30" s="172" t="str">
        <f>IF(R25="","",IMABS(COMPLEX(R25,R26,"i")))</f>
        <v/>
      </c>
      <c r="S30" s="172"/>
      <c r="T30" s="172"/>
      <c r="AB30" s="58">
        <v>1</v>
      </c>
      <c r="AC30" s="59"/>
      <c r="AD30" s="60"/>
      <c r="AF30" s="58">
        <v>1</v>
      </c>
      <c r="AG30" s="59"/>
      <c r="AH30" s="60"/>
      <c r="AJ30" s="58">
        <v>1</v>
      </c>
      <c r="AK30" s="61">
        <v>19.5</v>
      </c>
      <c r="AL30" s="62">
        <v>0.105</v>
      </c>
      <c r="AN30" s="58">
        <v>1</v>
      </c>
      <c r="AO30" s="61"/>
      <c r="AP30" s="62"/>
      <c r="AR30" s="58">
        <v>1</v>
      </c>
      <c r="AS30" s="59"/>
      <c r="AT30" s="60"/>
    </row>
    <row r="31" spans="1:46" ht="15" hidden="1" customHeight="1" x14ac:dyDescent="0.25">
      <c r="A31" t="s">
        <v>134</v>
      </c>
      <c r="B31" s="172">
        <f>DEGREES(IMARGUMENT(COMPLEX(B32,B33,"j")))</f>
        <v>0.73452103425481541</v>
      </c>
      <c r="C31" s="172"/>
      <c r="D31" s="172"/>
      <c r="E31" t="s">
        <v>134</v>
      </c>
      <c r="F31" s="172">
        <f>DEGREES(IMARGUMENT(COMPLEX(F32,F33,"j")))</f>
        <v>4.2272186653267445</v>
      </c>
      <c r="G31" s="172"/>
      <c r="H31" s="172"/>
      <c r="I31" t="s">
        <v>134</v>
      </c>
      <c r="J31" s="172">
        <f>DEGREES(IMARGUMENT(COMPLEX(J32,J33,"j")))</f>
        <v>0.73452103425481541</v>
      </c>
      <c r="K31" s="172"/>
      <c r="L31" s="172"/>
      <c r="M31" t="s">
        <v>134</v>
      </c>
      <c r="N31" s="172" t="str">
        <f>IF(N26="","",DEGREES(ACOS((N25/N30))))</f>
        <v/>
      </c>
      <c r="O31" s="172"/>
      <c r="P31" s="172"/>
      <c r="Q31" t="s">
        <v>134</v>
      </c>
      <c r="R31" s="172" t="str">
        <f>IF(R26="","",DEGREES(ACOS((R25/R30))))</f>
        <v/>
      </c>
      <c r="S31" s="172"/>
      <c r="T31" s="172"/>
      <c r="AB31" s="63">
        <v>1.5</v>
      </c>
      <c r="AC31" s="61">
        <v>12.1</v>
      </c>
      <c r="AD31" s="62">
        <v>0.108</v>
      </c>
      <c r="AF31" s="63">
        <v>1.5</v>
      </c>
      <c r="AG31" s="61">
        <v>12.1</v>
      </c>
      <c r="AH31" s="62">
        <v>0.10299999999999999</v>
      </c>
      <c r="AJ31" s="63">
        <v>1.5</v>
      </c>
      <c r="AK31" s="61">
        <v>13.3</v>
      </c>
      <c r="AL31" s="62">
        <v>0.107</v>
      </c>
      <c r="AN31" s="63">
        <v>1.5</v>
      </c>
      <c r="AO31" s="61"/>
      <c r="AP31" s="62"/>
      <c r="AR31" s="63">
        <v>1.5</v>
      </c>
      <c r="AS31" s="59"/>
      <c r="AT31" s="60"/>
    </row>
    <row r="32" spans="1:46" ht="14.45" hidden="1" customHeight="1" x14ac:dyDescent="0.25">
      <c r="A32" t="s">
        <v>18</v>
      </c>
      <c r="B32" s="172">
        <f>IF(AND(B24="CU",B23=$AB$5,B25="1x"),VLOOKUP(B26,$AB$10:$AD$27,2,FALSE),IF(AND(B24="CU",B23=$AB$5,B25="2x"),VLOOKUP(B26,$AB$29:$AD$46,2,FALSE),IF(AND(B24="CU",B23=$AB$5,B25="3x"),VLOOKUP(B26,$AB$48:$AD$65,2,FALSE),IF(AND(B24="CU",B23=$AB$5,B25="4x"),VLOOKUP(B26,$AB$67:$AD$84,2,FALSE),IF(AND(B24="CU",B23=$AB$5,B25="5x"),VLOOKUP(B26,$AB$86:$AD$103,2,FALSE),IF(AND(B24="CU",B23=$AF$5,B25="1x"),VLOOKUP(B26,$AF$10:$AH$27,2,FALSE),IF(AND(B24="CU",B23=$AF$5,B25="2x"),VLOOKUP(B26,$AF$29:$AH$46,2,FALSE),IF(AND(B24="CU",B23=$AF$5,B25="3x"),VLOOKUP(B26,$AF$48:$AH$65,2,FALSE),IF(AND(B24="CU",B23=$AF$5,B25="4x"),VLOOKUP(B26,$AF$67:$AH$84,2,FALSE),IF(AND(B24="CU",B23=$AF$5,B25="5x"),VLOOKUP(B26,$AF$86:$AH$103,2,FALSE),IF(AND(B24="CU",B23=$AJ$5,B25="1x"),VLOOKUP(B26,$AJ$10:$AL$27,2,FALSE),IF(AND(B24="CU",B23=$AJ$5,B25="2x"),VLOOKUP(B26,$AJ$29:$AL$46,2,FALSE),IF(AND(B24="CU",B23=$AJ$5,B25="3x"),VLOOKUP(B26,$AJ$48:$AL$65,2,FALSE),IF(AND(B24="CU",B23=$AJ$5,B25="4x"),VLOOKUP(B26,$AJ$67:$AL$84,2,FALSE),IF(AND(B24="CU",B23=$AJ$5,B25="5x"),VLOOKUP(B26,$AJ$86:$AL$103,2,FALSE),IF(AND(B24="CU",B23=$AN$5,B25="1x"),VLOOKUP(B26,$AN$10:$AP$27,2,FALSE),IF(AND(B24="CU",B23=$AN$5,B25="2x"),VLOOKUP(B26,$AN$29:$AP$46,2,FALSE),IF(AND(B24="CU",B23=$AN$5,B25="3x"),VLOOKUP(B26,$AN$48:$AP$65,2,FALSE),IF(AND(B24="CU",B23=$AN$5,B25="4x"),VLOOKUP(B26,$AN$67:$AP$84,2,FALSE),IF(AND(B24="CU",B23=$AN$5,B25="5x"),VLOOKUP(B26,$AN$86:$AP$103,2,FALSE),IF(AND(B24="CU",B23=$AR$5,B25="1x"),VLOOKUP(B26,$AR$10:$AT$27,2,FALSE),IF(AND(B24="CU",B23=$AR$5,B25="2x"),VLOOKUP(B26,$AR$29:$AT$46,2,FALSE),IF(AND(B24="CU",B23=$AR$5,B25="3x"),VLOOKUP(B26,$AR$48:$AT$65,2,FALSE),IF(AND(B24="CU",B23=$AR$5,B25="4x"),VLOOKUP(B26,$AR$67:$AT$84,2,FALSE),IF(AND(B24="CU",B23=$AR$5,B25="5x"),VLOOKUP(B26,$AR$86:$AT$103,2,FALSE),IF(AND(B24="AL",B23=$AB$5,B25="4x"),VLOOKUP(B26,$AB$113:$AD$123,2,FALSE),IF(AND(B24="AL",B23=$AB$5,B25="5x"),VLOOKUP(B26,$AB$125:$AD$135,2,FALSE),IF(AND(B24="AL",B23=$AF$5,B25="4x"),VLOOKUP(B26,$AF$113:$AH$123,2,FALSE),IF(AND(B24="AL",B23=$AF$5,B25="5x"),VLOOKUP(B26,$AF$125:$AH$135,2,FALSE),IF(AND(B24="AL",B23=$AJ$5,B25="4x"),VLOOKUP(B26,$AJ$113:$AL$123,2,FALSE),IF(AND(B24="AL",B23=$AJ$5,B25="5x"),VLOOKUP(B26,$AJ$125:$AL$135,2,FALSE),IF(AND(B24="AL",B23=$AN$5,B25="4x"),VLOOKUP(B26,$AN$113:$AP$123,2,FALSE),IF(AND(B24="AL",B23=$AN$5,B25="5x"),VLOOKUP(B26,$AN$125:$AP$135,2,FALSE),IF(AND(B24="AL",B23=$AR$5,B25="4x"),VLOOKUP(B26,$AR$113:$AT$123,2,FALSE),IF(AND(B24="AL",B23=$AR$5,B25="5x"),VLOOKUP(B26,$AR$125:$AT$135,2,FALSE))))))))))))))))))))))))))))))))))))</f>
        <v>7.41</v>
      </c>
      <c r="C32" s="172"/>
      <c r="D32" s="172"/>
      <c r="E32" t="s">
        <v>18</v>
      </c>
      <c r="F32" s="172">
        <f>IF(AND(F24="CU",F23=$AB$5,F25="1x"),VLOOKUP(F26,$AB$10:$AD$27,2,FALSE),IF(AND(F24="CU",F23=$AB$5,F25="2x"),VLOOKUP(F26,$AB$29:$AD$46,2,FALSE),IF(AND(F24="CU",F23=$AB$5,F25="3x"),VLOOKUP(F26,$AB$48:$AD$65,2,FALSE),IF(AND(F24="CU",F23=$AB$5,F25="4x"),VLOOKUP(F26,$AB$67:$AD$84,2,FALSE),IF(AND(F24="CU",F23=$AB$5,F25="5x"),VLOOKUP(F26,$AB$86:$AD$103,2,FALSE),IF(AND(F24="CU",F23=$AF$5,F25="1x"),VLOOKUP(F26,$AF$10:$AH$27,2,FALSE),IF(AND(F24="CU",F23=$AF$5,F25="2x"),VLOOKUP(F26,$AF$29:$AH$46,2,FALSE),IF(AND(F24="CU",F23=$AF$5,F25="3x"),VLOOKUP(F26,$AF$48:$AH$65,2,FALSE),IF(AND(F24="CU",F23=$AF$5,F25="4x"),VLOOKUP(F26,$AF$67:$AH$84,2,FALSE),IF(AND(F24="CU",F23=$AF$5,F25="5x"),VLOOKUP(F26,$AF$86:$AH$103,2,FALSE),IF(AND(F24="CU",F23=$AJ$5,F25="1x"),VLOOKUP(F26,$AJ$10:$AL$27,2,FALSE),IF(AND(F24="CU",F23=$AJ$5,F25="2x"),VLOOKUP(F26,$AJ$29:$AL$46,2,FALSE),IF(AND(F24="CU",F23=$AJ$5,F25="3x"),VLOOKUP(F26,$AJ$48:$AL$65,2,FALSE),IF(AND(F24="CU",F23=$AJ$5,F25="4x"),VLOOKUP(F26,$AJ$67:$AL$84,2,FALSE),IF(AND(F24="CU",F23=$AJ$5,F25="5x"),VLOOKUP(F26,$AJ$86:$AL$103,2,FALSE),IF(AND(F24="CU",F23=$AN$5,F25="1x"),VLOOKUP(F26,$AN$10:$AP$27,2,FALSE),IF(AND(F24="CU",F23=$AN$5,F25="2x"),VLOOKUP(F26,$AN$29:$AP$46,2,FALSE),IF(AND(F24="CU",F23=$AN$5,F25="3x"),VLOOKUP(F26,$AN$48:$AP$65,2,FALSE),IF(AND(F24="CU",F23=$AN$5,F25="4x"),VLOOKUP(F26,$AN$67:$AP$84,2,FALSE),IF(AND(F24="CU",F23=$AN$5,F25="5x"),VLOOKUP(F26,$AN$86:$AP$103,2,FALSE),IF(AND(F24="CU",F23=$AR$5,F25="1x"),VLOOKUP(F26,$AR$10:$AT$27,2,FALSE),IF(AND(F24="CU",F23=$AR$5,F25="2x"),VLOOKUP(F26,$AR$29:$AT$46,2,FALSE),IF(AND(F24="CU",F23=$AR$5,F25="3x"),VLOOKUP(F26,$AR$48:$AT$65,2,FALSE),IF(AND(F24="CU",F23=$AR$5,F25="4x"),VLOOKUP(F26,$AR$67:$AT$84,2,FALSE),IF(AND(F24="CU",F23=$AR$5,F25="5x"),VLOOKUP(F26,$AR$86:$AT$103,2,FALSE),IF(AND(F24="AL",F23=$AB$5,F25="4x"),VLOOKUP(F26,$AB$113:$AD$123,2,FALSE),IF(AND(F24="AL",F23=$AB$5,F25="5x"),VLOOKUP(F26,$AB$125:$AD$135,2,FALSE),IF(AND(F24="AL",F23=$AF$5,F25="4x"),VLOOKUP(F26,$AF$113:$AH$123,2,FALSE),IF(AND(F24="AL",F23=$AF$5,F25="5x"),VLOOKUP(F26,$AF$125:$AH$135,2,FALSE),IF(AND(F24="AL",F23=$AJ$5,F25="4x"),VLOOKUP(F26,$AJ$113:$AL$123,2,FALSE),IF(AND(F24="AL",F23=$AJ$5,F25="5x"),VLOOKUP(F26,$AJ$125:$AL$135,2,FALSE),IF(AND(F24="AL",F23=$AN$5,F25="4x"),VLOOKUP(F26,$AN$113:$AP$123,2,FALSE),IF(AND(F24="AL",F23=$AN$5,F25="5x"),VLOOKUP(F26,$AN$125:$AP$135,2,FALSE),IF(AND(F24="AL",F23=$AR$5,F25="4x"),VLOOKUP(F26,$AR$113:$AT$123,2,FALSE),IF(AND(F24="AL",F23=$AR$5,F25="5x"),VLOOKUP(F26,$AR$125:$AT$135,2,FALSE))))))))))))))))))))))))))))))))))))</f>
        <v>1.1499999999999999</v>
      </c>
      <c r="G32" s="172"/>
      <c r="H32" s="172"/>
      <c r="I32" t="s">
        <v>18</v>
      </c>
      <c r="J32" s="172">
        <f>IF(AND(J24="CU",J23=$AB$5,J25="1x"),VLOOKUP(J26,$AB$10:$AD$27,2,FALSE),IF(AND(J24="CU",J23=$AB$5,J25="2x"),VLOOKUP(J26,$AB$29:$AD$46,2,FALSE),IF(AND(J24="CU",J23=$AB$5,J25="3x"),VLOOKUP(J26,$AB$48:$AD$65,2,FALSE),IF(AND(J24="CU",J23=$AB$5,J25="4x"),VLOOKUP(J26,$AB$67:$AD$84,2,FALSE),IF(AND(J24="CU",J23=$AB$5,J25="5x"),VLOOKUP(J26,$AB$86:$AD$103,2,FALSE),IF(AND(J24="CU",J23=$AF$5,J25="1x"),VLOOKUP(J26,$AF$10:$AH$27,2,FALSE),IF(AND(J24="CU",J23=$AF$5,J25="2x"),VLOOKUP(J26,$AF$29:$AH$46,2,FALSE),IF(AND(J24="CU",J23=$AF$5,J25="3x"),VLOOKUP(J26,$AF$48:$AH$65,2,FALSE),IF(AND(J24="CU",J23=$AF$5,J25="4x"),VLOOKUP(J26,$AF$67:$AH$84,2,FALSE),IF(AND(J24="CU",J23=$AF$5,J25="5x"),VLOOKUP(J26,$AF$86:$AH$103,2,FALSE),IF(AND(J24="CU",J23=$AJ$5,J25="1x"),VLOOKUP(J26,$AJ$10:$AL$27,2,FALSE),IF(AND(J24="CU",J23=$AJ$5,J25="2x"),VLOOKUP(J26,$AJ$29:$AL$46,2,FALSE),IF(AND(J24="CU",J23=$AJ$5,J25="3x"),VLOOKUP(J26,$AJ$48:$AL$65,2,FALSE),IF(AND(J24="CU",J23=$AJ$5,J25="4x"),VLOOKUP(J26,$AJ$67:$AL$84,2,FALSE),IF(AND(J24="CU",J23=$AJ$5,J25="5x"),VLOOKUP(J26,$AJ$86:$AL$103,2,FALSE),IF(AND(J24="CU",J23=$AN$5,J25="1x"),VLOOKUP(J26,$AN$10:$AP$27,2,FALSE),IF(AND(J24="CU",J23=$AN$5,J25="2x"),VLOOKUP(J26,$AN$29:$AP$46,2,FALSE),IF(AND(J24="CU",J23=$AN$5,J25="3x"),VLOOKUP(J26,$AN$48:$AP$65,2,FALSE),IF(AND(J24="CU",J23=$AN$5,J25="4x"),VLOOKUP(J26,$AN$67:$AP$84,2,FALSE),IF(AND(J24="CU",J23=$AN$5,J25="5x"),VLOOKUP(J26,$AN$86:$AP$103,2,FALSE),IF(AND(J24="CU",J23=$AR$5,J25="1x"),VLOOKUP(J26,$AR$10:$AT$27,2,FALSE),IF(AND(J24="CU",J23=$AR$5,J25="2x"),VLOOKUP(J26,$AR$29:$AT$46,2,FALSE),IF(AND(J24="CU",J23=$AR$5,J25="3x"),VLOOKUP(J26,$AR$48:$AT$65,2,FALSE),IF(AND(J24="CU",J23=$AR$5,J25="4x"),VLOOKUP(J26,$AR$67:$AT$84,2,FALSE),IF(AND(J24="CU",J23=$AR$5,J25="5x"),VLOOKUP(J26,$AR$86:$AT$103,2,FALSE),IF(AND(J24="AL",J23=$AB$5,J25="4x"),VLOOKUP(J26,$AB$113:$AD$123,2,FALSE),IF(AND(J24="AL",J23=$AB$5,J25="5x"),VLOOKUP(J26,$AB$125:$AD$135,2,FALSE),IF(AND(J24="AL",J23=$AF$5,J25="4x"),VLOOKUP(J26,$AF$113:$AH$123,2,FALSE),IF(AND(J24="AL",J23=$AF$5,J25="5x"),VLOOKUP(J26,$AF$125:$AH$135,2,FALSE),IF(AND(J24="AL",J23=$AJ$5,J25="4x"),VLOOKUP(J26,$AJ$113:$AL$123,2,FALSE),IF(AND(J24="AL",J23=$AJ$5,J25="5x"),VLOOKUP(J26,$AJ$125:$AL$135,2,FALSE),IF(AND(J24="AL",J23=$AN$5,J25="4x"),VLOOKUP(J26,$AN$113:$AP$123,2,FALSE),IF(AND(J24="AL",J23=$AN$5,J25="5x"),VLOOKUP(J26,$AN$125:$AP$135,2,FALSE),IF(AND(J24="AL",J23=$AR$5,J25="4x"),VLOOKUP(J26,$AR$113:$AT$123,2,FALSE),IF(AND(J24="AL",J23=$AR$5,J25="5x"),VLOOKUP(J26,$AR$125:$AT$135,2,FALSE))))))))))))))))))))))))))))))))))))</f>
        <v>7.41</v>
      </c>
      <c r="K32" s="172"/>
      <c r="L32" s="172"/>
      <c r="M32" t="s">
        <v>18</v>
      </c>
      <c r="N32" s="172">
        <f>N25</f>
        <v>0</v>
      </c>
      <c r="O32" s="172"/>
      <c r="P32" s="172"/>
      <c r="Q32" t="s">
        <v>18</v>
      </c>
      <c r="R32" s="172">
        <f>R25</f>
        <v>0</v>
      </c>
      <c r="S32" s="172"/>
      <c r="T32" s="172"/>
      <c r="AB32" s="63">
        <v>2.5</v>
      </c>
      <c r="AC32" s="61">
        <v>7.41</v>
      </c>
      <c r="AD32" s="62">
        <v>9.9000000000000005E-2</v>
      </c>
      <c r="AF32" s="63">
        <v>2.5</v>
      </c>
      <c r="AG32" s="61">
        <v>7.41</v>
      </c>
      <c r="AH32" s="62">
        <v>9.5000000000000001E-2</v>
      </c>
      <c r="AJ32" s="63">
        <v>2.5</v>
      </c>
      <c r="AK32" s="61">
        <v>7.98</v>
      </c>
      <c r="AL32" s="62">
        <v>0.10299999999999999</v>
      </c>
      <c r="AN32" s="63">
        <v>2.5</v>
      </c>
      <c r="AO32" s="61"/>
      <c r="AP32" s="62"/>
      <c r="AR32" s="63">
        <v>2.5</v>
      </c>
      <c r="AS32" s="59"/>
      <c r="AT32" s="60"/>
    </row>
    <row r="33" spans="1:46" ht="14.45" hidden="1" customHeight="1" x14ac:dyDescent="0.25">
      <c r="A33" t="s">
        <v>19</v>
      </c>
      <c r="B33" s="172">
        <f>IF(AND(B24="CU",B23=$AB$5,B25="1x"),VLOOKUP(B26,$AB$10:$AD$27,3,FALSE),IF(AND(B24="CU",B23=$AB$5,B25="2x"),VLOOKUP(B26,$AB$29:$AD$46,3,FALSE),IF(AND(B24="CU",B23=$AB$5,B25="3x"),VLOOKUP(B26,$AB$48:$AD$65,3,FALSE),IF(AND(B24="CU",B23=$AB$5,B25="4x"),VLOOKUP(B26,$AB$67:$AD$84,3,FALSE),IF(AND(B24="CU",B23=$AB$5,B25="5x"),VLOOKUP(B26,$AB$86:$AD$103,3,FALSE),IF(AND(B24="CU",B23=$AF$5,B25="1x"),VLOOKUP(B26,$AF$10:$AH$27,3,FALSE),IF(AND(B24="CU",B23=$AF$5,B25="2x"),VLOOKUP(B26,$AF$29:$AH$46,3,FALSE),IF(AND(B24="CU",B23=$AF$5,B25="3x"),VLOOKUP(B26,$AF$48:$AH$65,3,FALSE),IF(AND(B24="CU",B23=$AF$5,B25="4x"),VLOOKUP(B26,$AF$67:$AH$84,3,FALSE),IF(AND(B24="CU",B23=$AF$5,B25="5x"),VLOOKUP(B26,$AF$86:$AH$103,3,FALSE),IF(AND(B24="CU",B23=$AJ$5,B25="1x"),VLOOKUP(B26,$AJ$10:$AL$27,3,FALSE),IF(AND(B24="CU",B23=$AJ$5,B25="2x"),VLOOKUP(B26,$AJ$29:$AL$46,3,FALSE),IF(AND(B24="CU",B23=$AJ$5,B25="3x"),VLOOKUP(B26,$AJ$48:$AL$65,3,FALSE),IF(AND(B24="CU",B23=$AJ$5,B25="4x"),VLOOKUP(B26,$AJ$67:$AL$84,3,FALSE),IF(AND(B24="CU",B23=$AJ$5,B25="5x"),VLOOKUP(B26,$AJ$86:$AL$103,3,FALSE),IF(AND(B24="CU",B23=$AN$5,B25="1x"),VLOOKUP(B26,$AN$10:$AP$27,3,FALSE),IF(AND(B24="CU",B23=$AN$5,B25="2x"),VLOOKUP(B26,$AN$29:$AP$46,3,FALSE),IF(AND(B24="CU",B23=$AN$5,B25="3x"),VLOOKUP(B26,$AN$48:$AP$65,3,FALSE),IF(AND(B24="CU",B23=$AN$5,B25="4x"),VLOOKUP(B26,$AN$67:$AP$84,3,FALSE),IF(AND(B24="CU",B23=$AN$5,B25="5x"),VLOOKUP(B26,$AN$86:$AP$103,3,FALSE),IF(AND(B24="CU",B23=$AR$5,B25="1x"),VLOOKUP(B26,$AR$10:$AT$27,3,FALSE),IF(AND(B24="CU",B23=$AR$5,B25="2x"),VLOOKUP(B26,$AR$29:$AT$46,3,FALSE),IF(AND(B24="CU",B23=$AR$5,B25="3x"),VLOOKUP(B26,$AR$48:$AT$65,3,FALSE),IF(AND(B24="CU",B23=$AR$5,B25="4x"),VLOOKUP(B26,$AR$67:$AT$84,3,FALSE),IF(AND(B24="CU",B23=$AR$5,B25="5x"),VLOOKUP(B26,$AR$86:$AT$103,3,FALSE),IF(AND(B24="AL",B23=$AB$5,B25="4x"),VLOOKUP(B26,$AB$113:$AD$123,3,FALSE),IF(AND(B24="AL",B23=$AB$5,B25="5x"),VLOOKUP(B26,$AB$125:$AD$135,3,FALSE),IF(AND(B24="AL",B23=$AF$5,B25="4x"),VLOOKUP(B26,$AF$113:$AH$123,3,FALSE),IF(AND(B24="AL",B23=$AF$5,B25="5x"),VLOOKUP(B26,$AF$125:$AH$135,3,FALSE),IF(AND(B24="AL",B23=$AJ$5,B25="4x"),VLOOKUP(B26,$AJ$113:$AL$123,3,FALSE),IF(AND(B24="AL",B23=$AJ$5,B25="5x"),VLOOKUP(B26,$AJ$125:$AL$135,3,FALSE),IF(AND(B24="AL",B23=$AN$5,B25="4x"),VLOOKUP(B26,$AN$113:$AP$123,3,FALSE),IF(AND(B24="AL",B23=$AN$5,B25="5x"),VLOOKUP(B26,$AN$125:$AP$135,3,FALSE),IF(AND(B24="AL",B23=$AR$5,B25="4x"),VLOOKUP(B26,$AR$113:$AT$123,3,FALSE),IF(AND(B24="AL",B23=$AR$5,B25="5x"),VLOOKUP(B26,$AR$125:$AT$135,3,FALSE))))))))))))))))))))))))))))))))))))</f>
        <v>9.5000000000000001E-2</v>
      </c>
      <c r="C33" s="172"/>
      <c r="D33" s="172"/>
      <c r="E33" t="s">
        <v>19</v>
      </c>
      <c r="F33" s="172">
        <f>IF(AND(F24="CU",F23=$AB$5,F25="1x"),VLOOKUP(F26,$AB$10:$AD$27,3,FALSE),IF(AND(F24="CU",F23=$AB$5,F25="2x"),VLOOKUP(F26,$AB$29:$AD$46,3,FALSE),IF(AND(F24="CU",F23=$AB$5,F25="3x"),VLOOKUP(F26,$AB$48:$AD$65,3,FALSE),IF(AND(F24="CU",F23=$AB$5,F25="4x"),VLOOKUP(F26,$AB$67:$AD$84,3,FALSE),IF(AND(F24="CU",F23=$AB$5,F25="5x"),VLOOKUP(F26,$AB$86:$AD$103,3,FALSE),IF(AND(F24="CU",F23=$AF$5,F25="1x"),VLOOKUP(F26,$AF$10:$AH$27,3,FALSE),IF(AND(F24="CU",F23=$AF$5,F25="2x"),VLOOKUP(F26,$AF$29:$AH$46,3,FALSE),IF(AND(F24="CU",F23=$AF$5,F25="3x"),VLOOKUP(F26,$AF$48:$AH$65,3,FALSE),IF(AND(F24="CU",F23=$AF$5,F25="4x"),VLOOKUP(F26,$AF$67:$AH$84,3,FALSE),IF(AND(F24="CU",F23=$AF$5,F25="5x"),VLOOKUP(F26,$AF$86:$AH$103,3,FALSE),IF(AND(F24="CU",F23=$AJ$5,F25="1x"),VLOOKUP(F26,$AJ$10:$AL$27,3,FALSE),IF(AND(F24="CU",F23=$AJ$5,F25="2x"),VLOOKUP(F26,$AJ$29:$AL$46,3,FALSE),IF(AND(F24="CU",F23=$AJ$5,F25="3x"),VLOOKUP(F26,$AJ$48:$AL$65,3,FALSE),IF(AND(F24="CU",F23=$AJ$5,F25="4x"),VLOOKUP(F26,$AJ$67:$AL$84,3,FALSE),IF(AND(F24="CU",F23=$AJ$5,F25="5x"),VLOOKUP(F26,$AJ$86:$AL$103,3,FALSE),IF(AND(F24="CU",F23=$AN$5,F25="1x"),VLOOKUP(F26,$AN$10:$AP$27,3,FALSE),IF(AND(F24="CU",F23=$AN$5,F25="2x"),VLOOKUP(F26,$AN$29:$AP$46,3,FALSE),IF(AND(F24="CU",F23=$AN$5,F25="3x"),VLOOKUP(F26,$AN$48:$AP$65,3,FALSE),IF(AND(F24="CU",F23=$AN$5,F25="4x"),VLOOKUP(F26,$AN$67:$AP$84,3,FALSE),IF(AND(F24="CU",F23=$AN$5,F25="5x"),VLOOKUP(F26,$AN$86:$AP$103,3,FALSE),IF(AND(F24="CU",F23=$AR$5,F25="1x"),VLOOKUP(F26,$AR$10:$AT$27,3,FALSE),IF(AND(F24="CU",F23=$AR$5,F25="2x"),VLOOKUP(F26,$AR$29:$AT$46,3,FALSE),IF(AND(F24="CU",F23=$AR$5,F25="3x"),VLOOKUP(F26,$AR$48:$AT$65,3,FALSE),IF(AND(F24="CU",F23=$AR$5,F25="4x"),VLOOKUP(F26,$AR$67:$AT$84,3,FALSE),IF(AND(F24="CU",F23=$AR$5,F25="5x"),VLOOKUP(F26,$AR$86:$AT$103,3,FALSE),IF(AND(F24="AL",F23=$AB$5,F25="4x"),VLOOKUP(F26,$AB$113:$AD$123,3,FALSE),IF(AND(F24="AL",F23=$AB$5,F25="5x"),VLOOKUP(F26,$AB$125:$AD$135,3,FALSE),IF(AND(F24="AL",F23=$AF$5,F25="4x"),VLOOKUP(F26,$AF$113:$AH$123,3,FALSE),IF(AND(F24="AL",F23=$AF$5,F25="5x"),VLOOKUP(F26,$AF$125:$AH$135,3,FALSE),IF(AND(F24="AL",F23=$AJ$5,F25="4x"),VLOOKUP(F26,$AJ$113:$AL$123,3,FALSE),IF(AND(F24="AL",F23=$AJ$5,F25="5x"),VLOOKUP(F26,$AJ$125:$AL$135,3,FALSE),IF(AND(F24="AL",F23=$AN$5,F25="4x"),VLOOKUP(F26,$AN$113:$AP$123,3,FALSE),IF(AND(F24="AL",F23=$AN$5,F25="5x"),VLOOKUP(F26,$AN$125:$AP$135,3,FALSE),IF(AND(F24="AL",F23=$AR$5,F25="4x"),VLOOKUP(F26,$AR$113:$AT$123,3,FALSE),IF(AND(F24="AL",F23=$AR$5,F25="5x"),VLOOKUP(F26,$AR$125:$AT$135,3,FALSE))))))))))))))))))))))))))))))))))))</f>
        <v>8.5000000000000006E-2</v>
      </c>
      <c r="G33" s="172"/>
      <c r="H33" s="172"/>
      <c r="I33" t="s">
        <v>19</v>
      </c>
      <c r="J33" s="172">
        <f>IF(AND(J24="CU",J23=$AB$5,J25="1x"),VLOOKUP(J26,$AB$10:$AD$27,3,FALSE),IF(AND(J24="CU",J23=$AB$5,J25="2x"),VLOOKUP(J26,$AB$29:$AD$46,3,FALSE),IF(AND(J24="CU",J23=$AB$5,J25="3x"),VLOOKUP(J26,$AB$48:$AD$65,3,FALSE),IF(AND(J24="CU",J23=$AB$5,J25="4x"),VLOOKUP(J26,$AB$67:$AD$84,3,FALSE),IF(AND(J24="CU",J23=$AB$5,J25="5x"),VLOOKUP(J26,$AB$86:$AD$103,3,FALSE),IF(AND(J24="CU",J23=$AF$5,J25="1x"),VLOOKUP(J26,$AF$10:$AH$27,3,FALSE),IF(AND(J24="CU",J23=$AF$5,J25="2x"),VLOOKUP(J26,$AF$29:$AH$46,3,FALSE),IF(AND(J24="CU",J23=$AF$5,J25="3x"),VLOOKUP(J26,$AF$48:$AH$65,3,FALSE),IF(AND(J24="CU",J23=$AF$5,J25="4x"),VLOOKUP(J26,$AF$67:$AH$84,3,FALSE),IF(AND(J24="CU",J23=$AF$5,J25="5x"),VLOOKUP(J26,$AF$86:$AH$103,3,FALSE),IF(AND(J24="CU",J23=$AJ$5,J25="1x"),VLOOKUP(J26,$AJ$10:$AL$27,3,FALSE),IF(AND(J24="CU",J23=$AJ$5,J25="2x"),VLOOKUP(J26,$AJ$29:$AL$46,3,FALSE),IF(AND(J24="CU",J23=$AJ$5,J25="3x"),VLOOKUP(J26,$AJ$48:$AL$65,3,FALSE),IF(AND(J24="CU",J23=$AJ$5,J25="4x"),VLOOKUP(J26,$AJ$67:$AL$84,3,FALSE),IF(AND(J24="CU",J23=$AJ$5,J25="5x"),VLOOKUP(J26,$AJ$86:$AL$103,3,FALSE),IF(AND(J24="CU",J23=$AN$5,J25="1x"),VLOOKUP(J26,$AN$10:$AP$27,3,FALSE),IF(AND(J24="CU",J23=$AN$5,J25="2x"),VLOOKUP(J26,$AN$29:$AP$46,3,FALSE),IF(AND(J24="CU",J23=$AN$5,J25="3x"),VLOOKUP(J26,$AN$48:$AP$65,3,FALSE),IF(AND(J24="CU",J23=$AN$5,J25="4x"),VLOOKUP(J26,$AN$67:$AP$84,3,FALSE),IF(AND(J24="CU",J23=$AN$5,J25="5x"),VLOOKUP(J26,$AN$86:$AP$103,3,FALSE),IF(AND(J24="CU",J23=$AR$5,J25="1x"),VLOOKUP(J26,$AR$10:$AT$27,3,FALSE),IF(AND(J24="CU",J23=$AR$5,J25="2x"),VLOOKUP(J26,$AR$29:$AT$46,3,FALSE),IF(AND(J24="CU",J23=$AR$5,J25="3x"),VLOOKUP(J26,$AR$48:$AT$65,3,FALSE),IF(AND(J24="CU",J23=$AR$5,J25="4x"),VLOOKUP(J26,$AR$67:$AT$84,3,FALSE),IF(AND(J24="CU",J23=$AR$5,J25="5x"),VLOOKUP(J26,$AR$86:$AT$103,3,FALSE),IF(AND(J24="AL",J23=$AB$5,J25="4x"),VLOOKUP(J26,$AB$113:$AD$123,3,FALSE),IF(AND(J24="AL",J23=$AB$5,J25="5x"),VLOOKUP(J26,$AB$125:$AD$135,3,FALSE),IF(AND(J24="AL",J23=$AF$5,J25="4x"),VLOOKUP(J26,$AF$113:$AH$123,3,FALSE),IF(AND(J24="AL",J23=$AF$5,J25="5x"),VLOOKUP(J26,$AF$125:$AH$135,3,FALSE),IF(AND(J24="AL",J23=$AJ$5,J25="4x"),VLOOKUP(J26,$AJ$113:$AL$123,3,FALSE),IF(AND(J24="AL",J23=$AJ$5,J25="5x"),VLOOKUP(J26,$AJ$125:$AL$135,3,FALSE),IF(AND(J24="AL",J23=$AN$5,J25="4x"),VLOOKUP(J26,$AN$113:$AP$123,3,FALSE),IF(AND(J24="AL",J23=$AN$5,J25="5x"),VLOOKUP(J26,$AN$125:$AP$135,3,FALSE),IF(AND(J24="AL",J23=$AR$5,J25="4x"),VLOOKUP(J26,$AR$113:$AT$123,3,FALSE),IF(AND(J24="AL",J23=$AR$5,J25="5x"),VLOOKUP(J26,$AR$125:$AT$135,3,FALSE))))))))))))))))))))))))))))))))))))</f>
        <v>9.5000000000000001E-2</v>
      </c>
      <c r="K33" s="172"/>
      <c r="L33" s="172"/>
      <c r="M33" t="s">
        <v>19</v>
      </c>
      <c r="N33" s="172">
        <f>N26</f>
        <v>0</v>
      </c>
      <c r="O33" s="172"/>
      <c r="P33" s="172"/>
      <c r="Q33" t="s">
        <v>19</v>
      </c>
      <c r="R33" s="172">
        <f>R26</f>
        <v>0</v>
      </c>
      <c r="S33" s="172"/>
      <c r="T33" s="172"/>
      <c r="AB33" s="63">
        <v>4</v>
      </c>
      <c r="AC33" s="61">
        <v>4.6100000000000003</v>
      </c>
      <c r="AD33" s="62">
        <v>9.6000000000000002E-2</v>
      </c>
      <c r="AF33" s="63">
        <v>4</v>
      </c>
      <c r="AG33" s="61">
        <v>4.6100000000000003</v>
      </c>
      <c r="AH33" s="62">
        <v>8.8999999999999996E-2</v>
      </c>
      <c r="AJ33" s="63">
        <v>4</v>
      </c>
      <c r="AK33" s="59"/>
      <c r="AL33" s="60"/>
      <c r="AN33" s="63">
        <v>4</v>
      </c>
      <c r="AO33" s="59"/>
      <c r="AP33" s="60"/>
      <c r="AR33" s="63">
        <v>4</v>
      </c>
      <c r="AS33" s="59"/>
      <c r="AT33" s="60"/>
    </row>
    <row r="34" spans="1:46" ht="15.6" hidden="1" customHeight="1" x14ac:dyDescent="0.35">
      <c r="A34" t="s">
        <v>135</v>
      </c>
      <c r="B34" s="172">
        <f>SQRT(((1.5*B32)^2)+(B33^2))</f>
        <v>11.115405975491853</v>
      </c>
      <c r="C34" s="172"/>
      <c r="D34" s="172"/>
      <c r="E34" t="s">
        <v>135</v>
      </c>
      <c r="F34" s="172">
        <f>SQRT(((1.5*F32)^2)+(F33^2))</f>
        <v>1.7270929332262348</v>
      </c>
      <c r="G34" s="172"/>
      <c r="H34" s="172"/>
      <c r="I34" t="s">
        <v>135</v>
      </c>
      <c r="J34" s="172">
        <f>SQRT(((1.5*J32)^2)+(J33^2))</f>
        <v>11.115405975491853</v>
      </c>
      <c r="K34" s="172"/>
      <c r="L34" s="172"/>
      <c r="M34" t="s">
        <v>135</v>
      </c>
      <c r="N34" s="172" t="str">
        <f>IF(N25="","",IMABS(COMPLEX((1.5*N25),N26,"i")))</f>
        <v/>
      </c>
      <c r="O34" s="172"/>
      <c r="P34" s="172"/>
      <c r="Q34" t="s">
        <v>135</v>
      </c>
      <c r="R34" s="172" t="str">
        <f>IF(R25="","",IMABS(COMPLEX((1.5*R25),R26,"i")))</f>
        <v/>
      </c>
      <c r="S34" s="172"/>
      <c r="T34" s="172"/>
      <c r="AB34" s="63">
        <v>6</v>
      </c>
      <c r="AC34" s="61">
        <v>3.08</v>
      </c>
      <c r="AD34" s="62">
        <v>9.2999999999999999E-2</v>
      </c>
      <c r="AF34" s="63">
        <v>6</v>
      </c>
      <c r="AG34" s="61">
        <v>3.08</v>
      </c>
      <c r="AH34" s="62">
        <v>8.6999999999999994E-2</v>
      </c>
      <c r="AJ34" s="63">
        <v>6</v>
      </c>
      <c r="AK34" s="59"/>
      <c r="AL34" s="60"/>
      <c r="AN34" s="63">
        <v>6</v>
      </c>
      <c r="AO34" s="59"/>
      <c r="AP34" s="60"/>
      <c r="AR34" s="63">
        <v>6</v>
      </c>
      <c r="AS34" s="59"/>
      <c r="AT34" s="60"/>
    </row>
    <row r="35" spans="1:46" ht="15" hidden="1" customHeight="1" x14ac:dyDescent="0.25">
      <c r="A35" t="s">
        <v>136</v>
      </c>
      <c r="B35" s="172">
        <f>DEGREES(IMARGUMENT(COMPLEX(1.5*B32,B33,"j")))</f>
        <v>0.48969559312922406</v>
      </c>
      <c r="C35" s="172"/>
      <c r="D35" s="172"/>
      <c r="E35" t="s">
        <v>136</v>
      </c>
      <c r="F35" s="172">
        <f>DEGREES(IMARGUMENT(COMPLEX(1.5*F32,F33,"j")))</f>
        <v>2.820988593515497</v>
      </c>
      <c r="G35" s="172"/>
      <c r="H35" s="172"/>
      <c r="I35" t="s">
        <v>136</v>
      </c>
      <c r="J35" s="172">
        <f>DEGREES(IMARGUMENT(COMPLEX(1.5*J32,J33,"j")))</f>
        <v>0.48969559312922406</v>
      </c>
      <c r="K35" s="172"/>
      <c r="L35" s="172"/>
      <c r="M35" t="s">
        <v>136</v>
      </c>
      <c r="N35" s="172" t="str">
        <f>IF(N26="","",DEGREES(ACOS(((1.5*N25)/N34))))</f>
        <v/>
      </c>
      <c r="O35" s="172"/>
      <c r="P35" s="172"/>
      <c r="Q35" t="s">
        <v>136</v>
      </c>
      <c r="R35" s="172" t="str">
        <f>IF(R26="","",DEGREES(ACOS(((1.5*R25)/R34))))</f>
        <v/>
      </c>
      <c r="S35" s="172"/>
      <c r="T35" s="172"/>
      <c r="AB35" s="63">
        <v>10</v>
      </c>
      <c r="AC35" s="61">
        <v>1.83</v>
      </c>
      <c r="AD35" s="62">
        <v>8.3000000000000004E-2</v>
      </c>
      <c r="AF35" s="63">
        <v>10</v>
      </c>
      <c r="AG35" s="61">
        <v>1.83</v>
      </c>
      <c r="AH35" s="62">
        <v>8.2000000000000003E-2</v>
      </c>
      <c r="AJ35" s="63">
        <v>10</v>
      </c>
      <c r="AK35" s="59"/>
      <c r="AL35" s="60"/>
      <c r="AN35" s="63">
        <v>10</v>
      </c>
      <c r="AO35" s="59"/>
      <c r="AP35" s="60"/>
      <c r="AR35" s="63">
        <v>10</v>
      </c>
      <c r="AS35" s="59"/>
      <c r="AT35" s="60"/>
    </row>
    <row r="36" spans="1:46" x14ac:dyDescent="0.25">
      <c r="A36" s="4" t="s">
        <v>137</v>
      </c>
      <c r="B36" s="174" t="str">
        <f>IF(B32+B33&gt;0.0000000001,"OK","Fejl")</f>
        <v>OK</v>
      </c>
      <c r="C36" s="174"/>
      <c r="D36" s="174"/>
      <c r="F36" s="174" t="str">
        <f>IF(F32+F33&gt;0.0000000001,"OK","Fejl")</f>
        <v>OK</v>
      </c>
      <c r="G36" s="174"/>
      <c r="H36" s="174"/>
      <c r="J36" s="174" t="str">
        <f>IF(J32+J33&gt;0.0000000001,"OK","Fejl")</f>
        <v>OK</v>
      </c>
      <c r="K36" s="174"/>
      <c r="L36" s="174"/>
      <c r="N36" s="174" t="str">
        <f>IF(N32+N33&gt;0.0000000001,"OK","Fejl")</f>
        <v>Fejl</v>
      </c>
      <c r="O36" s="174"/>
      <c r="P36" s="174"/>
      <c r="R36" s="174" t="str">
        <f>IF(R32+R33&gt;0.0000000001,"OK","Fejl")</f>
        <v>Fejl</v>
      </c>
      <c r="S36" s="174"/>
      <c r="T36" s="174"/>
      <c r="AB36" s="63">
        <v>16</v>
      </c>
      <c r="AC36" s="61">
        <v>1.1499999999999999</v>
      </c>
      <c r="AD36" s="62">
        <v>8.5999999999999993E-2</v>
      </c>
      <c r="AF36" s="63">
        <v>16</v>
      </c>
      <c r="AG36" s="61">
        <v>1.1499999999999999</v>
      </c>
      <c r="AH36" s="62">
        <v>7.8E-2</v>
      </c>
      <c r="AJ36" s="63">
        <v>16</v>
      </c>
      <c r="AK36" s="59"/>
      <c r="AL36" s="60"/>
      <c r="AN36" s="63">
        <v>16</v>
      </c>
      <c r="AO36" s="59"/>
      <c r="AP36" s="60"/>
      <c r="AR36" s="63">
        <v>16</v>
      </c>
      <c r="AS36" s="59"/>
      <c r="AT36" s="60"/>
    </row>
    <row r="37" spans="1:46" s="1" customFormat="1" ht="15" customHeight="1" x14ac:dyDescent="0.25">
      <c r="AB37" s="63">
        <v>25</v>
      </c>
      <c r="AC37" s="61">
        <v>0.72699999999999998</v>
      </c>
      <c r="AD37" s="62">
        <v>8.5000000000000006E-2</v>
      </c>
      <c r="AF37" s="63">
        <v>25</v>
      </c>
      <c r="AG37" s="61">
        <v>0.72699999999999998</v>
      </c>
      <c r="AH37" s="62">
        <v>7.9000000000000001E-2</v>
      </c>
      <c r="AJ37" s="63">
        <v>25</v>
      </c>
      <c r="AK37" s="59"/>
      <c r="AL37" s="60"/>
      <c r="AN37" s="63">
        <v>25</v>
      </c>
      <c r="AO37" s="59"/>
      <c r="AP37" s="60"/>
      <c r="AR37" s="63">
        <v>25</v>
      </c>
      <c r="AS37" s="59"/>
      <c r="AT37" s="60"/>
    </row>
    <row r="38" spans="1:46" s="1" customFormat="1" x14ac:dyDescent="0.25">
      <c r="AB38" s="63">
        <v>35</v>
      </c>
      <c r="AC38" s="61">
        <v>0.52500000000000002</v>
      </c>
      <c r="AD38" s="62">
        <v>7.2999999999999995E-2</v>
      </c>
      <c r="AF38" s="63">
        <v>35</v>
      </c>
      <c r="AG38" s="61">
        <v>0.52500000000000002</v>
      </c>
      <c r="AH38" s="62">
        <v>7.3999999999999996E-2</v>
      </c>
      <c r="AJ38" s="63">
        <v>35</v>
      </c>
      <c r="AK38" s="59"/>
      <c r="AL38" s="60"/>
      <c r="AN38" s="63">
        <v>35</v>
      </c>
      <c r="AO38" s="59"/>
      <c r="AP38" s="60"/>
      <c r="AR38" s="63">
        <v>35</v>
      </c>
      <c r="AS38" s="59"/>
      <c r="AT38" s="60"/>
    </row>
    <row r="39" spans="1:46" s="1" customFormat="1" x14ac:dyDescent="0.25">
      <c r="AB39" s="63">
        <v>50</v>
      </c>
      <c r="AC39" s="61">
        <v>0.38800000000000001</v>
      </c>
      <c r="AD39" s="62">
        <v>7.2999999999999995E-2</v>
      </c>
      <c r="AF39" s="63">
        <v>50</v>
      </c>
      <c r="AG39" s="59"/>
      <c r="AH39" s="60"/>
      <c r="AJ39" s="63">
        <v>50</v>
      </c>
      <c r="AK39" s="59"/>
      <c r="AL39" s="60"/>
      <c r="AN39" s="63">
        <v>50</v>
      </c>
      <c r="AO39" s="59"/>
      <c r="AP39" s="60"/>
      <c r="AR39" s="63">
        <v>50</v>
      </c>
      <c r="AS39" s="59"/>
      <c r="AT39" s="60"/>
    </row>
    <row r="40" spans="1:46" s="1" customFormat="1" x14ac:dyDescent="0.25">
      <c r="AB40" s="63">
        <v>70</v>
      </c>
      <c r="AC40" s="61">
        <v>0.26900000000000002</v>
      </c>
      <c r="AD40" s="62">
        <v>7.1999999999999995E-2</v>
      </c>
      <c r="AF40" s="63">
        <v>70</v>
      </c>
      <c r="AG40" s="59"/>
      <c r="AH40" s="60"/>
      <c r="AJ40" s="63">
        <v>70</v>
      </c>
      <c r="AK40" s="59"/>
      <c r="AL40" s="60"/>
      <c r="AN40" s="63">
        <v>70</v>
      </c>
      <c r="AO40" s="59"/>
      <c r="AP40" s="60"/>
      <c r="AR40" s="63">
        <v>70</v>
      </c>
      <c r="AS40" s="59"/>
      <c r="AT40" s="60"/>
    </row>
    <row r="41" spans="1:46" s="1" customFormat="1" x14ac:dyDescent="0.25">
      <c r="AB41" s="63">
        <v>95</v>
      </c>
      <c r="AC41" s="61">
        <v>0.19400000000000001</v>
      </c>
      <c r="AD41" s="62">
        <v>7.0000000000000007E-2</v>
      </c>
      <c r="AF41" s="63">
        <v>95</v>
      </c>
      <c r="AG41" s="59"/>
      <c r="AH41" s="60"/>
      <c r="AJ41" s="63">
        <v>95</v>
      </c>
      <c r="AK41" s="59"/>
      <c r="AL41" s="60"/>
      <c r="AN41" s="63">
        <v>95</v>
      </c>
      <c r="AO41" s="59"/>
      <c r="AP41" s="60"/>
      <c r="AR41" s="63">
        <v>95</v>
      </c>
      <c r="AS41" s="59"/>
      <c r="AT41" s="60"/>
    </row>
    <row r="42" spans="1:46" s="1" customFormat="1" ht="15" customHeight="1" x14ac:dyDescent="0.25">
      <c r="AB42" s="63">
        <v>120</v>
      </c>
      <c r="AC42" s="61">
        <v>0.155</v>
      </c>
      <c r="AD42" s="62">
        <v>7.0000000000000007E-2</v>
      </c>
      <c r="AF42" s="63">
        <v>120</v>
      </c>
      <c r="AG42" s="59"/>
      <c r="AH42" s="60"/>
      <c r="AJ42" s="63">
        <v>120</v>
      </c>
      <c r="AK42" s="59"/>
      <c r="AL42" s="60"/>
      <c r="AN42" s="63">
        <v>120</v>
      </c>
      <c r="AO42" s="59"/>
      <c r="AP42" s="60"/>
      <c r="AR42" s="63">
        <v>120</v>
      </c>
      <c r="AS42" s="59"/>
      <c r="AT42" s="60"/>
    </row>
    <row r="43" spans="1:46" s="1" customFormat="1" x14ac:dyDescent="0.25">
      <c r="AB43" s="63">
        <v>150</v>
      </c>
      <c r="AC43" s="61">
        <v>0.126</v>
      </c>
      <c r="AD43" s="62">
        <v>7.0000000000000007E-2</v>
      </c>
      <c r="AF43" s="63">
        <v>150</v>
      </c>
      <c r="AG43" s="59"/>
      <c r="AH43" s="60"/>
      <c r="AJ43" s="63">
        <v>150</v>
      </c>
      <c r="AK43" s="59"/>
      <c r="AL43" s="60"/>
      <c r="AN43" s="63">
        <v>150</v>
      </c>
      <c r="AO43" s="59"/>
      <c r="AP43" s="60"/>
      <c r="AR43" s="63">
        <v>150</v>
      </c>
      <c r="AS43" s="59"/>
      <c r="AT43" s="60"/>
    </row>
    <row r="44" spans="1:46" s="1" customFormat="1" x14ac:dyDescent="0.25">
      <c r="AB44" s="63">
        <v>185</v>
      </c>
      <c r="AC44" s="61">
        <v>0.1017</v>
      </c>
      <c r="AD44" s="62">
        <v>7.0000000000000007E-2</v>
      </c>
      <c r="AF44" s="63">
        <v>185</v>
      </c>
      <c r="AG44" s="59"/>
      <c r="AH44" s="60"/>
      <c r="AJ44" s="63">
        <v>185</v>
      </c>
      <c r="AK44" s="59"/>
      <c r="AL44" s="60"/>
      <c r="AN44" s="63">
        <v>185</v>
      </c>
      <c r="AO44" s="59"/>
      <c r="AP44" s="60"/>
      <c r="AR44" s="63">
        <v>185</v>
      </c>
      <c r="AS44" s="59"/>
      <c r="AT44" s="60"/>
    </row>
    <row r="45" spans="1:46" s="1" customFormat="1" ht="15" customHeight="1" x14ac:dyDescent="0.25">
      <c r="AB45" s="63">
        <v>240</v>
      </c>
      <c r="AC45" s="61">
        <v>7.8700000000000006E-2</v>
      </c>
      <c r="AD45" s="62">
        <v>7.0000000000000007E-2</v>
      </c>
      <c r="AF45" s="63">
        <v>240</v>
      </c>
      <c r="AG45" s="59"/>
      <c r="AH45" s="60"/>
      <c r="AJ45" s="63">
        <v>240</v>
      </c>
      <c r="AK45" s="59"/>
      <c r="AL45" s="60"/>
      <c r="AN45" s="63">
        <v>240</v>
      </c>
      <c r="AO45" s="59"/>
      <c r="AP45" s="60"/>
      <c r="AR45" s="63">
        <v>240</v>
      </c>
      <c r="AS45" s="59"/>
      <c r="AT45" s="60"/>
    </row>
    <row r="46" spans="1:46" s="1" customFormat="1" ht="15" customHeight="1" thickBot="1" x14ac:dyDescent="0.3">
      <c r="AB46" s="65">
        <v>300</v>
      </c>
      <c r="AC46" s="66"/>
      <c r="AD46" s="67"/>
      <c r="AF46" s="65">
        <v>300</v>
      </c>
      <c r="AG46" s="66"/>
      <c r="AH46" s="67"/>
      <c r="AJ46" s="65">
        <v>300</v>
      </c>
      <c r="AK46" s="66"/>
      <c r="AL46" s="67"/>
      <c r="AN46" s="65">
        <v>300</v>
      </c>
      <c r="AO46" s="66"/>
      <c r="AP46" s="67"/>
      <c r="AR46" s="65">
        <v>300</v>
      </c>
      <c r="AS46" s="66"/>
      <c r="AT46" s="67"/>
    </row>
    <row r="47" spans="1:46" s="1" customFormat="1" ht="15.75" thickBot="1" x14ac:dyDescent="0.3">
      <c r="AB47" s="68" t="s">
        <v>123</v>
      </c>
      <c r="AC47" s="69" t="s">
        <v>18</v>
      </c>
      <c r="AD47" s="70" t="s">
        <v>19</v>
      </c>
      <c r="AF47" s="68" t="s">
        <v>123</v>
      </c>
      <c r="AG47" s="69" t="s">
        <v>18</v>
      </c>
      <c r="AH47" s="70" t="s">
        <v>19</v>
      </c>
      <c r="AJ47" s="68" t="s">
        <v>123</v>
      </c>
      <c r="AK47" s="69" t="s">
        <v>18</v>
      </c>
      <c r="AL47" s="70" t="s">
        <v>19</v>
      </c>
      <c r="AN47" s="68" t="s">
        <v>123</v>
      </c>
      <c r="AO47" s="69" t="s">
        <v>18</v>
      </c>
      <c r="AP47" s="70" t="s">
        <v>19</v>
      </c>
      <c r="AR47" s="68" t="s">
        <v>123</v>
      </c>
      <c r="AS47" s="69" t="s">
        <v>18</v>
      </c>
      <c r="AT47" s="70" t="s">
        <v>19</v>
      </c>
    </row>
    <row r="48" spans="1:46" s="1" customFormat="1" x14ac:dyDescent="0.25">
      <c r="AB48" s="53">
        <v>0.75</v>
      </c>
      <c r="AC48" s="54"/>
      <c r="AD48" s="55"/>
      <c r="AF48" s="53">
        <v>0.75</v>
      </c>
      <c r="AG48" s="54"/>
      <c r="AH48" s="55"/>
      <c r="AJ48" s="53">
        <v>0.75</v>
      </c>
      <c r="AK48" s="56">
        <v>26</v>
      </c>
      <c r="AL48" s="57">
        <v>0.111</v>
      </c>
      <c r="AN48" s="53">
        <v>0.75</v>
      </c>
      <c r="AO48" s="56"/>
      <c r="AP48" s="57"/>
      <c r="AR48" s="53">
        <v>0.75</v>
      </c>
      <c r="AS48" s="54"/>
      <c r="AT48" s="55"/>
    </row>
    <row r="49" spans="1:46" s="1" customFormat="1" x14ac:dyDescent="0.25">
      <c r="AB49" s="58">
        <v>1</v>
      </c>
      <c r="AC49" s="59"/>
      <c r="AD49" s="60"/>
      <c r="AF49" s="58">
        <v>1</v>
      </c>
      <c r="AG49" s="59"/>
      <c r="AH49" s="60"/>
      <c r="AJ49" s="58">
        <v>1</v>
      </c>
      <c r="AK49" s="61">
        <v>19.5</v>
      </c>
      <c r="AL49" s="62">
        <v>0.105</v>
      </c>
      <c r="AN49" s="58">
        <v>1</v>
      </c>
      <c r="AO49" s="61"/>
      <c r="AP49" s="62"/>
      <c r="AR49" s="58">
        <v>1</v>
      </c>
      <c r="AS49" s="59"/>
      <c r="AT49" s="60"/>
    </row>
    <row r="50" spans="1:46" s="1" customFormat="1" ht="15" customHeight="1" x14ac:dyDescent="0.25">
      <c r="AB50" s="63">
        <v>1.5</v>
      </c>
      <c r="AC50" s="61">
        <v>12.1</v>
      </c>
      <c r="AD50" s="62">
        <v>0.108</v>
      </c>
      <c r="AF50" s="63">
        <v>1.5</v>
      </c>
      <c r="AG50" s="61">
        <v>12.1</v>
      </c>
      <c r="AH50" s="62">
        <v>0.10299999999999999</v>
      </c>
      <c r="AJ50" s="63">
        <v>1.5</v>
      </c>
      <c r="AK50" s="61">
        <v>13.3</v>
      </c>
      <c r="AL50" s="62">
        <v>0.107</v>
      </c>
      <c r="AN50" s="63">
        <v>1.5</v>
      </c>
      <c r="AO50" s="61"/>
      <c r="AP50" s="62"/>
      <c r="AR50" s="63">
        <v>1.5</v>
      </c>
      <c r="AS50" s="61">
        <v>12.1</v>
      </c>
      <c r="AT50" s="62">
        <v>0.129</v>
      </c>
    </row>
    <row r="51" spans="1:46" s="1" customFormat="1" x14ac:dyDescent="0.25">
      <c r="AB51" s="63">
        <v>2.5</v>
      </c>
      <c r="AC51" s="61">
        <v>7.41</v>
      </c>
      <c r="AD51" s="62">
        <v>9.9000000000000005E-2</v>
      </c>
      <c r="AF51" s="63">
        <v>2.5</v>
      </c>
      <c r="AG51" s="61">
        <v>7.41</v>
      </c>
      <c r="AH51" s="62">
        <v>9.5000000000000001E-2</v>
      </c>
      <c r="AJ51" s="63">
        <v>2.5</v>
      </c>
      <c r="AK51" s="61">
        <v>7.98</v>
      </c>
      <c r="AL51" s="62">
        <v>0.10299999999999999</v>
      </c>
      <c r="AN51" s="63">
        <v>2.5</v>
      </c>
      <c r="AO51" s="61"/>
      <c r="AP51" s="62"/>
      <c r="AR51" s="63">
        <v>2.5</v>
      </c>
      <c r="AS51" s="61">
        <v>7.41</v>
      </c>
      <c r="AT51" s="62">
        <v>0.11899999999999999</v>
      </c>
    </row>
    <row r="52" spans="1:46" s="1" customFormat="1" x14ac:dyDescent="0.25">
      <c r="AB52" s="63">
        <v>4</v>
      </c>
      <c r="AC52" s="61">
        <v>4.6100000000000003</v>
      </c>
      <c r="AD52" s="62">
        <v>9.6000000000000002E-2</v>
      </c>
      <c r="AF52" s="63">
        <v>4</v>
      </c>
      <c r="AG52" s="61">
        <v>4.6100000000000003</v>
      </c>
      <c r="AH52" s="62">
        <v>8.8999999999999996E-2</v>
      </c>
      <c r="AJ52" s="63">
        <v>4</v>
      </c>
      <c r="AK52" s="61">
        <v>4.95</v>
      </c>
      <c r="AL52" s="62">
        <v>0.1</v>
      </c>
      <c r="AN52" s="63">
        <v>4</v>
      </c>
      <c r="AO52" s="61"/>
      <c r="AP52" s="62"/>
      <c r="AR52" s="63">
        <v>4</v>
      </c>
      <c r="AS52" s="61">
        <v>4.6100000000000003</v>
      </c>
      <c r="AT52" s="62">
        <v>0.111</v>
      </c>
    </row>
    <row r="53" spans="1:46" s="1" customFormat="1" ht="15" customHeight="1" x14ac:dyDescent="0.25">
      <c r="AB53" s="63">
        <v>6</v>
      </c>
      <c r="AC53" s="61">
        <v>3.08</v>
      </c>
      <c r="AD53" s="62">
        <v>9.2999999999999999E-2</v>
      </c>
      <c r="AF53" s="63">
        <v>6</v>
      </c>
      <c r="AG53" s="61">
        <v>3.08</v>
      </c>
      <c r="AH53" s="62">
        <v>8.6999999999999994E-2</v>
      </c>
      <c r="AJ53" s="63">
        <v>6</v>
      </c>
      <c r="AK53" s="61">
        <v>3.3</v>
      </c>
      <c r="AL53" s="62">
        <v>9.9000000000000005E-2</v>
      </c>
      <c r="AN53" s="63">
        <v>6</v>
      </c>
      <c r="AO53" s="61"/>
      <c r="AP53" s="62"/>
      <c r="AR53" s="63">
        <v>6</v>
      </c>
      <c r="AS53" s="61">
        <v>3.08</v>
      </c>
      <c r="AT53" s="62">
        <v>0.109</v>
      </c>
    </row>
    <row r="54" spans="1:46" s="1" customFormat="1" ht="15" customHeight="1" x14ac:dyDescent="0.25">
      <c r="AB54" s="63">
        <v>10</v>
      </c>
      <c r="AC54" s="61">
        <v>1.83</v>
      </c>
      <c r="AD54" s="62">
        <v>8.3000000000000004E-2</v>
      </c>
      <c r="AF54" s="63">
        <v>10</v>
      </c>
      <c r="AG54" s="61">
        <v>1.83</v>
      </c>
      <c r="AH54" s="62">
        <v>8.2000000000000003E-2</v>
      </c>
      <c r="AJ54" s="63">
        <v>10</v>
      </c>
      <c r="AK54" s="61">
        <v>1.91</v>
      </c>
      <c r="AL54" s="62">
        <v>9.2999999999999999E-2</v>
      </c>
      <c r="AN54" s="63">
        <v>10</v>
      </c>
      <c r="AO54" s="61"/>
      <c r="AP54" s="62"/>
      <c r="AR54" s="63">
        <v>10</v>
      </c>
      <c r="AS54" s="61">
        <v>1.83</v>
      </c>
      <c r="AT54" s="62">
        <v>0.10299999999999999</v>
      </c>
    </row>
    <row r="55" spans="1:46" s="1" customFormat="1" ht="14.45" customHeight="1" x14ac:dyDescent="0.25">
      <c r="AB55" s="63">
        <v>16</v>
      </c>
      <c r="AC55" s="61">
        <v>1.1499999999999999</v>
      </c>
      <c r="AD55" s="62">
        <v>8.5999999999999993E-2</v>
      </c>
      <c r="AF55" s="63">
        <v>16</v>
      </c>
      <c r="AG55" s="61">
        <v>1.1499999999999999</v>
      </c>
      <c r="AH55" s="62">
        <v>7.8E-2</v>
      </c>
      <c r="AJ55" s="63">
        <v>16</v>
      </c>
      <c r="AK55" s="61">
        <v>1.21</v>
      </c>
      <c r="AL55" s="62">
        <v>0.09</v>
      </c>
      <c r="AN55" s="63">
        <v>16</v>
      </c>
      <c r="AO55" s="61"/>
      <c r="AP55" s="62"/>
      <c r="AR55" s="63">
        <v>16</v>
      </c>
      <c r="AS55" s="61">
        <v>1.1499999999999999</v>
      </c>
      <c r="AT55" s="62">
        <v>9.8000000000000004E-2</v>
      </c>
    </row>
    <row r="56" spans="1:46" s="1" customFormat="1" x14ac:dyDescent="0.25">
      <c r="AB56" s="63">
        <v>25</v>
      </c>
      <c r="AC56" s="61">
        <v>0.72699999999999998</v>
      </c>
      <c r="AD56" s="62">
        <v>8.5000000000000006E-2</v>
      </c>
      <c r="AF56" s="63">
        <v>25</v>
      </c>
      <c r="AG56" s="61">
        <v>0.72699999999999998</v>
      </c>
      <c r="AH56" s="62">
        <v>7.9000000000000001E-2</v>
      </c>
      <c r="AJ56" s="63">
        <v>25</v>
      </c>
      <c r="AK56" s="61">
        <v>0.78029999999999999</v>
      </c>
      <c r="AL56" s="62">
        <v>8.5999999999999993E-2</v>
      </c>
      <c r="AN56" s="63">
        <v>25</v>
      </c>
      <c r="AO56" s="61"/>
      <c r="AP56" s="62"/>
      <c r="AR56" s="63">
        <v>25</v>
      </c>
      <c r="AS56" s="61">
        <v>0.72699999999999998</v>
      </c>
      <c r="AT56" s="62">
        <v>9.9000000000000005E-2</v>
      </c>
    </row>
    <row r="57" spans="1:46" s="1" customFormat="1" ht="14.45" customHeight="1" x14ac:dyDescent="0.25">
      <c r="AB57" s="63">
        <v>35</v>
      </c>
      <c r="AC57" s="61">
        <v>0.52500000000000002</v>
      </c>
      <c r="AD57" s="62">
        <v>7.2999999999999995E-2</v>
      </c>
      <c r="AF57" s="63">
        <v>35</v>
      </c>
      <c r="AG57" s="61">
        <v>0.52500000000000002</v>
      </c>
      <c r="AH57" s="62">
        <v>7.3999999999999996E-2</v>
      </c>
      <c r="AJ57" s="63">
        <v>35</v>
      </c>
      <c r="AK57" s="61">
        <v>0.55449999999999999</v>
      </c>
      <c r="AL57" s="62">
        <v>8.5999999999999993E-2</v>
      </c>
      <c r="AN57" s="63">
        <v>35</v>
      </c>
      <c r="AO57" s="61"/>
      <c r="AP57" s="62"/>
      <c r="AR57" s="63">
        <v>35</v>
      </c>
      <c r="AS57" s="61">
        <v>0.52500000000000002</v>
      </c>
      <c r="AT57" s="62">
        <v>9.2999999999999999E-2</v>
      </c>
    </row>
    <row r="58" spans="1:46" s="1" customFormat="1" ht="15" customHeight="1" x14ac:dyDescent="0.25">
      <c r="AB58" s="63">
        <v>50</v>
      </c>
      <c r="AC58" s="61">
        <v>0.38800000000000001</v>
      </c>
      <c r="AD58" s="62">
        <v>7.2999999999999995E-2</v>
      </c>
      <c r="AF58" s="63">
        <v>50</v>
      </c>
      <c r="AG58" s="61"/>
      <c r="AH58" s="62"/>
      <c r="AJ58" s="63">
        <v>50</v>
      </c>
      <c r="AK58" s="59"/>
      <c r="AL58" s="60"/>
      <c r="AN58" s="63">
        <v>50</v>
      </c>
      <c r="AO58" s="59"/>
      <c r="AP58" s="60"/>
      <c r="AR58" s="63">
        <v>50</v>
      </c>
      <c r="AS58" s="59"/>
      <c r="AT58" s="60"/>
    </row>
    <row r="59" spans="1:46" s="1" customFormat="1" hidden="1" x14ac:dyDescent="0.25">
      <c r="AB59" s="63">
        <v>70</v>
      </c>
      <c r="AC59" s="61">
        <v>0.26900000000000002</v>
      </c>
      <c r="AD59" s="62">
        <v>7.1999999999999995E-2</v>
      </c>
      <c r="AF59" s="63">
        <v>70</v>
      </c>
      <c r="AG59" s="61"/>
      <c r="AH59" s="62"/>
      <c r="AJ59" s="63">
        <v>70</v>
      </c>
      <c r="AK59" s="59"/>
      <c r="AL59" s="60"/>
      <c r="AN59" s="63">
        <v>70</v>
      </c>
      <c r="AO59" s="59"/>
      <c r="AP59" s="60"/>
      <c r="AR59" s="63">
        <v>70</v>
      </c>
      <c r="AS59" s="59"/>
      <c r="AT59" s="60"/>
    </row>
    <row r="60" spans="1:46" s="1" customFormat="1" ht="14.45" hidden="1" customHeight="1" x14ac:dyDescent="0.25">
      <c r="A60" s="1" t="s">
        <v>143</v>
      </c>
      <c r="AB60" s="63">
        <v>95</v>
      </c>
      <c r="AC60" s="61">
        <v>0.19400000000000001</v>
      </c>
      <c r="AD60" s="62">
        <v>7.0000000000000007E-2</v>
      </c>
      <c r="AF60" s="63">
        <v>95</v>
      </c>
      <c r="AG60" s="61"/>
      <c r="AH60" s="62"/>
      <c r="AJ60" s="63">
        <v>95</v>
      </c>
      <c r="AK60" s="59"/>
      <c r="AL60" s="60"/>
      <c r="AN60" s="63">
        <v>95</v>
      </c>
      <c r="AO60" s="59"/>
      <c r="AP60" s="60"/>
      <c r="AR60" s="63">
        <v>95</v>
      </c>
      <c r="AS60" s="59"/>
      <c r="AT60" s="60"/>
    </row>
    <row r="61" spans="1:46" s="1" customFormat="1" ht="15" hidden="1" customHeight="1" x14ac:dyDescent="0.25">
      <c r="A61" s="93">
        <v>0.75</v>
      </c>
      <c r="B61" s="1">
        <v>1</v>
      </c>
      <c r="C61" s="1">
        <v>1</v>
      </c>
      <c r="D61" s="1">
        <v>1</v>
      </c>
      <c r="F61" s="1" t="s">
        <v>116</v>
      </c>
      <c r="G61" s="1" t="s">
        <v>106</v>
      </c>
      <c r="AB61" s="63">
        <v>120</v>
      </c>
      <c r="AC61" s="61">
        <v>0.155</v>
      </c>
      <c r="AD61" s="62">
        <v>7.0000000000000007E-2</v>
      </c>
      <c r="AF61" s="63">
        <v>120</v>
      </c>
      <c r="AG61" s="61"/>
      <c r="AH61" s="62"/>
      <c r="AJ61" s="63">
        <v>120</v>
      </c>
      <c r="AK61" s="59"/>
      <c r="AL61" s="60"/>
      <c r="AN61" s="63">
        <v>120</v>
      </c>
      <c r="AO61" s="59"/>
      <c r="AP61" s="60"/>
      <c r="AR61" s="63">
        <v>120</v>
      </c>
      <c r="AS61" s="59"/>
      <c r="AT61" s="60"/>
    </row>
    <row r="62" spans="1:46" s="1" customFormat="1" hidden="1" x14ac:dyDescent="0.25">
      <c r="A62" s="93">
        <v>1</v>
      </c>
      <c r="B62" s="1">
        <v>3</v>
      </c>
      <c r="C62" s="1">
        <v>4</v>
      </c>
      <c r="D62" s="1">
        <v>2</v>
      </c>
      <c r="F62" s="1" t="s">
        <v>111</v>
      </c>
      <c r="G62" s="1" t="s">
        <v>105</v>
      </c>
      <c r="AB62" s="63">
        <v>150</v>
      </c>
      <c r="AC62" s="61">
        <v>0.126</v>
      </c>
      <c r="AD62" s="62">
        <v>7.0000000000000007E-2</v>
      </c>
      <c r="AF62" s="63">
        <v>150</v>
      </c>
      <c r="AG62" s="61"/>
      <c r="AH62" s="62"/>
      <c r="AJ62" s="63">
        <v>150</v>
      </c>
      <c r="AK62" s="59"/>
      <c r="AL62" s="60"/>
      <c r="AN62" s="63">
        <v>150</v>
      </c>
      <c r="AO62" s="59"/>
      <c r="AP62" s="60"/>
      <c r="AR62" s="63">
        <v>150</v>
      </c>
      <c r="AS62" s="59"/>
      <c r="AT62" s="60"/>
    </row>
    <row r="63" spans="1:46" s="1" customFormat="1" hidden="1" x14ac:dyDescent="0.25">
      <c r="A63" s="93">
        <v>1.5</v>
      </c>
      <c r="B63" s="1">
        <v>4</v>
      </c>
      <c r="C63" s="1">
        <v>5</v>
      </c>
      <c r="D63" s="1">
        <v>3</v>
      </c>
      <c r="G63" s="1" t="s">
        <v>124</v>
      </c>
      <c r="AB63" s="63">
        <v>185</v>
      </c>
      <c r="AC63" s="61">
        <v>0.1017</v>
      </c>
      <c r="AD63" s="62">
        <v>7.0000000000000007E-2</v>
      </c>
      <c r="AF63" s="63">
        <v>185</v>
      </c>
      <c r="AG63" s="61"/>
      <c r="AH63" s="62"/>
      <c r="AJ63" s="63">
        <v>185</v>
      </c>
      <c r="AK63" s="59"/>
      <c r="AL63" s="60"/>
      <c r="AN63" s="63">
        <v>185</v>
      </c>
      <c r="AO63" s="59"/>
      <c r="AP63" s="60"/>
      <c r="AR63" s="63">
        <v>185</v>
      </c>
      <c r="AS63" s="59"/>
      <c r="AT63" s="60"/>
    </row>
    <row r="64" spans="1:46" s="1" customFormat="1" hidden="1" x14ac:dyDescent="0.25">
      <c r="A64" s="93">
        <v>2.5</v>
      </c>
      <c r="B64" s="1">
        <v>5</v>
      </c>
      <c r="D64" s="1">
        <v>4</v>
      </c>
      <c r="G64" s="1" t="s">
        <v>108</v>
      </c>
      <c r="AB64" s="63">
        <v>240</v>
      </c>
      <c r="AC64" s="61">
        <v>7.8700000000000006E-2</v>
      </c>
      <c r="AD64" s="62">
        <v>7.0000000000000007E-2</v>
      </c>
      <c r="AF64" s="63">
        <v>240</v>
      </c>
      <c r="AG64" s="61"/>
      <c r="AH64" s="62"/>
      <c r="AJ64" s="63">
        <v>240</v>
      </c>
      <c r="AK64" s="59"/>
      <c r="AL64" s="60"/>
      <c r="AN64" s="63">
        <v>240</v>
      </c>
      <c r="AO64" s="59"/>
      <c r="AP64" s="60"/>
      <c r="AR64" s="63">
        <v>240</v>
      </c>
      <c r="AS64" s="59"/>
      <c r="AT64" s="60"/>
    </row>
    <row r="65" spans="1:46" s="1" customFormat="1" ht="15" hidden="1" customHeight="1" thickBot="1" x14ac:dyDescent="0.3">
      <c r="A65" s="93">
        <v>4</v>
      </c>
      <c r="D65" s="1">
        <v>5</v>
      </c>
      <c r="G65" s="1" t="s">
        <v>130</v>
      </c>
      <c r="AB65" s="65">
        <v>300</v>
      </c>
      <c r="AC65" s="66"/>
      <c r="AD65" s="67"/>
      <c r="AF65" s="65">
        <v>300</v>
      </c>
      <c r="AG65" s="66"/>
      <c r="AH65" s="67"/>
      <c r="AJ65" s="65">
        <v>300</v>
      </c>
      <c r="AK65" s="66"/>
      <c r="AL65" s="67"/>
      <c r="AN65" s="65">
        <v>300</v>
      </c>
      <c r="AO65" s="66"/>
      <c r="AP65" s="67"/>
      <c r="AR65" s="65">
        <v>300</v>
      </c>
      <c r="AS65" s="66"/>
      <c r="AT65" s="67"/>
    </row>
    <row r="66" spans="1:46" s="1" customFormat="1" ht="15.75" hidden="1" thickBot="1" x14ac:dyDescent="0.3">
      <c r="A66" s="93">
        <v>6</v>
      </c>
      <c r="AB66" s="71" t="s">
        <v>119</v>
      </c>
      <c r="AC66" s="72" t="s">
        <v>18</v>
      </c>
      <c r="AD66" s="73" t="s">
        <v>19</v>
      </c>
      <c r="AF66" s="71" t="s">
        <v>119</v>
      </c>
      <c r="AG66" s="72" t="s">
        <v>18</v>
      </c>
      <c r="AH66" s="73" t="s">
        <v>19</v>
      </c>
      <c r="AJ66" s="71" t="s">
        <v>119</v>
      </c>
      <c r="AK66" s="72" t="s">
        <v>18</v>
      </c>
      <c r="AL66" s="73" t="s">
        <v>19</v>
      </c>
      <c r="AN66" s="71" t="s">
        <v>119</v>
      </c>
      <c r="AO66" s="72" t="s">
        <v>18</v>
      </c>
      <c r="AP66" s="73" t="s">
        <v>19</v>
      </c>
      <c r="AR66" s="71" t="s">
        <v>119</v>
      </c>
      <c r="AS66" s="72" t="s">
        <v>18</v>
      </c>
      <c r="AT66" s="73" t="s">
        <v>19</v>
      </c>
    </row>
    <row r="67" spans="1:46" s="1" customFormat="1" hidden="1" x14ac:dyDescent="0.25">
      <c r="A67" s="93">
        <v>10</v>
      </c>
      <c r="F67" s="1" t="s">
        <v>101</v>
      </c>
      <c r="AB67" s="74">
        <v>0.75</v>
      </c>
      <c r="AC67" s="75"/>
      <c r="AD67" s="76"/>
      <c r="AF67" s="74">
        <v>0.75</v>
      </c>
      <c r="AG67" s="75"/>
      <c r="AH67" s="76"/>
      <c r="AJ67" s="74">
        <v>0.75</v>
      </c>
      <c r="AK67" s="77">
        <v>26</v>
      </c>
      <c r="AL67" s="78">
        <v>0.11799999999999999</v>
      </c>
      <c r="AN67" s="74">
        <v>0.75</v>
      </c>
      <c r="AO67" s="75"/>
      <c r="AP67" s="76"/>
      <c r="AR67" s="74">
        <v>0.75</v>
      </c>
      <c r="AS67" s="75"/>
      <c r="AT67" s="76"/>
    </row>
    <row r="68" spans="1:46" s="1" customFormat="1" hidden="1" x14ac:dyDescent="0.25">
      <c r="A68" s="94">
        <v>16</v>
      </c>
      <c r="F68" s="1" t="s">
        <v>102</v>
      </c>
      <c r="AB68" s="63">
        <v>1</v>
      </c>
      <c r="AC68" s="59"/>
      <c r="AD68" s="60"/>
      <c r="AF68" s="63">
        <v>1</v>
      </c>
      <c r="AG68" s="59"/>
      <c r="AH68" s="60"/>
      <c r="AJ68" s="63">
        <v>1</v>
      </c>
      <c r="AK68" s="61">
        <v>19.5</v>
      </c>
      <c r="AL68" s="62">
        <v>0.113</v>
      </c>
      <c r="AN68" s="63">
        <v>1</v>
      </c>
      <c r="AO68" s="59"/>
      <c r="AP68" s="60"/>
      <c r="AR68" s="63">
        <v>1</v>
      </c>
      <c r="AS68" s="59"/>
      <c r="AT68" s="60"/>
    </row>
    <row r="69" spans="1:46" s="1" customFormat="1" ht="15" hidden="1" customHeight="1" x14ac:dyDescent="0.25">
      <c r="A69" s="93">
        <v>25</v>
      </c>
      <c r="AB69" s="63">
        <v>1.5</v>
      </c>
      <c r="AC69" s="61">
        <v>12.1</v>
      </c>
      <c r="AD69" s="62">
        <v>0.115</v>
      </c>
      <c r="AF69" s="63">
        <v>1.5</v>
      </c>
      <c r="AG69" s="61">
        <v>12.1</v>
      </c>
      <c r="AH69" s="62">
        <v>0.11</v>
      </c>
      <c r="AJ69" s="63">
        <v>1.5</v>
      </c>
      <c r="AK69" s="61">
        <v>13.3</v>
      </c>
      <c r="AL69" s="62">
        <v>0.114</v>
      </c>
      <c r="AN69" s="63">
        <v>1.5</v>
      </c>
      <c r="AO69" s="59"/>
      <c r="AP69" s="60"/>
      <c r="AR69" s="63">
        <v>1.5</v>
      </c>
      <c r="AS69" s="61">
        <v>12.1</v>
      </c>
      <c r="AT69" s="62">
        <v>0.13800000000000001</v>
      </c>
    </row>
    <row r="70" spans="1:46" s="1" customFormat="1" hidden="1" x14ac:dyDescent="0.25">
      <c r="A70" s="93">
        <v>35</v>
      </c>
      <c r="AB70" s="63">
        <v>2.5</v>
      </c>
      <c r="AC70" s="61">
        <v>7.41</v>
      </c>
      <c r="AD70" s="62">
        <v>0.107</v>
      </c>
      <c r="AF70" s="63">
        <v>2.5</v>
      </c>
      <c r="AG70" s="61">
        <v>7.41</v>
      </c>
      <c r="AH70" s="62">
        <v>0.10199999999999999</v>
      </c>
      <c r="AJ70" s="63">
        <v>2.5</v>
      </c>
      <c r="AK70" s="61">
        <v>7.98</v>
      </c>
      <c r="AL70" s="62">
        <v>0.111</v>
      </c>
      <c r="AN70" s="63">
        <v>2.5</v>
      </c>
      <c r="AO70" s="59"/>
      <c r="AP70" s="60"/>
      <c r="AR70" s="63">
        <v>2.5</v>
      </c>
      <c r="AS70" s="61">
        <v>7.41</v>
      </c>
      <c r="AT70" s="62">
        <v>0.128</v>
      </c>
    </row>
    <row r="71" spans="1:46" s="1" customFormat="1" hidden="1" x14ac:dyDescent="0.25">
      <c r="A71" s="93">
        <v>50</v>
      </c>
      <c r="AB71" s="63">
        <v>4</v>
      </c>
      <c r="AC71" s="61">
        <v>4.6100000000000003</v>
      </c>
      <c r="AD71" s="62">
        <v>0.10299999999999999</v>
      </c>
      <c r="AF71" s="63">
        <v>4</v>
      </c>
      <c r="AG71" s="61">
        <v>4.6100000000000003</v>
      </c>
      <c r="AH71" s="62">
        <v>9.6000000000000002E-2</v>
      </c>
      <c r="AJ71" s="63">
        <v>4</v>
      </c>
      <c r="AK71" s="61">
        <v>4.95</v>
      </c>
      <c r="AL71" s="62">
        <v>0.108</v>
      </c>
      <c r="AN71" s="63">
        <v>4</v>
      </c>
      <c r="AO71" s="59"/>
      <c r="AP71" s="60"/>
      <c r="AR71" s="63">
        <v>4</v>
      </c>
      <c r="AS71" s="61">
        <v>4.6100000000000003</v>
      </c>
      <c r="AT71" s="62">
        <v>0.12</v>
      </c>
    </row>
    <row r="72" spans="1:46" s="1" customFormat="1" hidden="1" x14ac:dyDescent="0.25">
      <c r="A72" s="93">
        <v>70</v>
      </c>
      <c r="AB72" s="63">
        <v>6</v>
      </c>
      <c r="AC72" s="61">
        <v>3.08</v>
      </c>
      <c r="AD72" s="62">
        <v>0.1</v>
      </c>
      <c r="AF72" s="63">
        <v>6</v>
      </c>
      <c r="AG72" s="61">
        <v>3.08</v>
      </c>
      <c r="AH72" s="62">
        <v>9.4E-2</v>
      </c>
      <c r="AJ72" s="63">
        <v>6</v>
      </c>
      <c r="AK72" s="61">
        <v>3.3</v>
      </c>
      <c r="AL72" s="62">
        <v>0.106</v>
      </c>
      <c r="AN72" s="63">
        <v>6</v>
      </c>
      <c r="AO72" s="59"/>
      <c r="AP72" s="60"/>
      <c r="AR72" s="63">
        <v>6</v>
      </c>
      <c r="AS72" s="61">
        <v>3.08</v>
      </c>
      <c r="AT72" s="62">
        <v>0.11799999999999999</v>
      </c>
    </row>
    <row r="73" spans="1:46" s="1" customFormat="1" ht="15" hidden="1" customHeight="1" x14ac:dyDescent="0.25">
      <c r="A73" s="93">
        <v>95</v>
      </c>
      <c r="AB73" s="63">
        <v>10</v>
      </c>
      <c r="AC73" s="61">
        <v>1.83</v>
      </c>
      <c r="AD73" s="62">
        <v>0.09</v>
      </c>
      <c r="AF73" s="63">
        <v>10</v>
      </c>
      <c r="AG73" s="61">
        <v>1.83</v>
      </c>
      <c r="AH73" s="62">
        <v>8.8999999999999996E-2</v>
      </c>
      <c r="AJ73" s="63">
        <v>10</v>
      </c>
      <c r="AK73" s="61">
        <v>1.91</v>
      </c>
      <c r="AL73" s="62">
        <v>0.1</v>
      </c>
      <c r="AN73" s="63">
        <v>10</v>
      </c>
      <c r="AO73" s="59"/>
      <c r="AP73" s="60"/>
      <c r="AR73" s="63">
        <v>10</v>
      </c>
      <c r="AS73" s="61">
        <v>1.83</v>
      </c>
      <c r="AT73" s="62">
        <v>0.111</v>
      </c>
    </row>
    <row r="74" spans="1:46" s="1" customFormat="1" hidden="1" x14ac:dyDescent="0.25">
      <c r="A74" s="93">
        <v>120</v>
      </c>
      <c r="AB74" s="63">
        <v>16</v>
      </c>
      <c r="AC74" s="61">
        <v>1.1499999999999999</v>
      </c>
      <c r="AD74" s="62">
        <v>9.2999999999999999E-2</v>
      </c>
      <c r="AF74" s="63">
        <v>16</v>
      </c>
      <c r="AG74" s="61">
        <v>1.1499999999999999</v>
      </c>
      <c r="AH74" s="62">
        <v>8.5000000000000006E-2</v>
      </c>
      <c r="AJ74" s="63">
        <v>16</v>
      </c>
      <c r="AK74" s="61">
        <v>1.21</v>
      </c>
      <c r="AL74" s="62">
        <v>9.7000000000000003E-2</v>
      </c>
      <c r="AN74" s="63">
        <v>16</v>
      </c>
      <c r="AO74" s="61">
        <v>1.1499999999999999</v>
      </c>
      <c r="AP74" s="62">
        <v>0.18</v>
      </c>
      <c r="AR74" s="63">
        <v>16</v>
      </c>
      <c r="AS74" s="61">
        <v>1.1499999999999999</v>
      </c>
      <c r="AT74" s="62">
        <v>0.106</v>
      </c>
    </row>
    <row r="75" spans="1:46" s="1" customFormat="1" hidden="1" x14ac:dyDescent="0.25">
      <c r="A75" s="93">
        <v>150</v>
      </c>
      <c r="AB75" s="63">
        <v>25</v>
      </c>
      <c r="AC75" s="61">
        <v>0.72699999999999998</v>
      </c>
      <c r="AD75" s="62">
        <v>9.1999999999999998E-2</v>
      </c>
      <c r="AF75" s="63">
        <v>25</v>
      </c>
      <c r="AG75" s="61">
        <v>0.72699999999999998</v>
      </c>
      <c r="AH75" s="62">
        <v>8.5999999999999993E-2</v>
      </c>
      <c r="AJ75" s="63">
        <v>25</v>
      </c>
      <c r="AK75" s="61">
        <v>0.78029999999999999</v>
      </c>
      <c r="AL75" s="62">
        <v>9.4E-2</v>
      </c>
      <c r="AN75" s="63">
        <v>25</v>
      </c>
      <c r="AO75" s="61">
        <v>0.72699999999999998</v>
      </c>
      <c r="AP75" s="62">
        <v>0.17299999999999999</v>
      </c>
      <c r="AR75" s="63">
        <v>25</v>
      </c>
      <c r="AS75" s="61">
        <v>0.72699999999999998</v>
      </c>
      <c r="AT75" s="62">
        <v>0.108</v>
      </c>
    </row>
    <row r="76" spans="1:46" s="1" customFormat="1" hidden="1" x14ac:dyDescent="0.25">
      <c r="A76" s="93">
        <v>185</v>
      </c>
      <c r="AB76" s="63">
        <v>35</v>
      </c>
      <c r="AC76" s="61">
        <v>0.52500000000000002</v>
      </c>
      <c r="AD76" s="62">
        <v>0.08</v>
      </c>
      <c r="AF76" s="63">
        <v>35</v>
      </c>
      <c r="AG76" s="61">
        <v>0.52500000000000002</v>
      </c>
      <c r="AH76" s="62">
        <v>8.2000000000000003E-2</v>
      </c>
      <c r="AJ76" s="63">
        <v>35</v>
      </c>
      <c r="AK76" s="61">
        <v>0.55449999999999999</v>
      </c>
      <c r="AL76" s="62">
        <v>9.2999999999999999E-2</v>
      </c>
      <c r="AN76" s="63">
        <v>35</v>
      </c>
      <c r="AO76" s="61">
        <v>0.52500000000000002</v>
      </c>
      <c r="AP76" s="62">
        <v>0.16500000000000001</v>
      </c>
      <c r="AR76" s="63">
        <v>35</v>
      </c>
      <c r="AS76" s="61">
        <v>0.52500000000000002</v>
      </c>
      <c r="AT76" s="62">
        <v>0.10299999999999999</v>
      </c>
    </row>
    <row r="77" spans="1:46" s="1" customFormat="1" hidden="1" x14ac:dyDescent="0.25">
      <c r="A77" s="93">
        <v>240</v>
      </c>
      <c r="AB77" s="63">
        <v>50</v>
      </c>
      <c r="AC77" s="61">
        <v>0.38800000000000001</v>
      </c>
      <c r="AD77" s="62">
        <v>0.08</v>
      </c>
      <c r="AF77" s="63">
        <v>50</v>
      </c>
      <c r="AG77" s="61">
        <v>0.38800000000000001</v>
      </c>
      <c r="AH77" s="62">
        <v>8.4000000000000005E-2</v>
      </c>
      <c r="AJ77" s="63">
        <v>50</v>
      </c>
      <c r="AK77" s="61">
        <v>0.38679999999999998</v>
      </c>
      <c r="AL77" s="62">
        <v>9.2999999999999999E-2</v>
      </c>
      <c r="AN77" s="63">
        <v>50</v>
      </c>
      <c r="AO77" s="61">
        <v>0.38800000000000001</v>
      </c>
      <c r="AP77" s="62">
        <v>0.161</v>
      </c>
      <c r="AR77" s="63">
        <v>50</v>
      </c>
      <c r="AS77" s="61">
        <v>0.38800000000000001</v>
      </c>
      <c r="AT77" s="62">
        <v>0.105</v>
      </c>
    </row>
    <row r="78" spans="1:46" s="1" customFormat="1" hidden="1" x14ac:dyDescent="0.25">
      <c r="A78" s="93">
        <v>300</v>
      </c>
      <c r="AB78" s="63">
        <v>70</v>
      </c>
      <c r="AC78" s="61">
        <v>0.26900000000000002</v>
      </c>
      <c r="AD78" s="62">
        <v>7.9000000000000001E-2</v>
      </c>
      <c r="AF78" s="63">
        <v>70</v>
      </c>
      <c r="AG78" s="61">
        <v>0.26900000000000002</v>
      </c>
      <c r="AH78" s="62">
        <v>8.1000000000000003E-2</v>
      </c>
      <c r="AJ78" s="63">
        <v>70</v>
      </c>
      <c r="AK78" s="61">
        <v>0.2732</v>
      </c>
      <c r="AL78" s="62">
        <v>9.0999999999999998E-2</v>
      </c>
      <c r="AN78" s="63">
        <v>70</v>
      </c>
      <c r="AO78" s="61">
        <v>0.26900000000000002</v>
      </c>
      <c r="AP78" s="62">
        <v>0.154</v>
      </c>
      <c r="AR78" s="63">
        <v>70</v>
      </c>
      <c r="AS78" s="61">
        <v>0.26900000000000002</v>
      </c>
      <c r="AT78" s="62">
        <v>0.10100000000000001</v>
      </c>
    </row>
    <row r="79" spans="1:46" s="1" customFormat="1" hidden="1" x14ac:dyDescent="0.25">
      <c r="AB79" s="63">
        <v>95</v>
      </c>
      <c r="AC79" s="61">
        <v>0.19400000000000001</v>
      </c>
      <c r="AD79" s="62">
        <v>7.6999999999999999E-2</v>
      </c>
      <c r="AF79" s="63">
        <v>95</v>
      </c>
      <c r="AG79" s="61">
        <v>0.19400000000000001</v>
      </c>
      <c r="AH79" s="62">
        <v>8.2000000000000003E-2</v>
      </c>
      <c r="AJ79" s="63">
        <v>95</v>
      </c>
      <c r="AK79" s="61">
        <v>0.20760000000000001</v>
      </c>
      <c r="AL79" s="62">
        <v>9.2999999999999999E-2</v>
      </c>
      <c r="AN79" s="63">
        <v>95</v>
      </c>
      <c r="AO79" s="61">
        <v>0.19400000000000001</v>
      </c>
      <c r="AP79" s="62">
        <v>0.14399999999999999</v>
      </c>
      <c r="AR79" s="63">
        <v>95</v>
      </c>
      <c r="AS79" s="61">
        <v>0.19400000000000001</v>
      </c>
      <c r="AT79" s="62">
        <v>0.10299999999999999</v>
      </c>
    </row>
    <row r="80" spans="1:46" s="1" customFormat="1" x14ac:dyDescent="0.25">
      <c r="AB80" s="63">
        <v>120</v>
      </c>
      <c r="AC80" s="61">
        <v>0.155</v>
      </c>
      <c r="AD80" s="62">
        <v>7.6999999999999999E-2</v>
      </c>
      <c r="AF80" s="63">
        <v>120</v>
      </c>
      <c r="AG80" s="61">
        <v>0.155</v>
      </c>
      <c r="AH80" s="62">
        <v>8.2000000000000003E-2</v>
      </c>
      <c r="AJ80" s="63">
        <v>120</v>
      </c>
      <c r="AK80" s="61">
        <v>0.16300000000000001</v>
      </c>
      <c r="AL80" s="62">
        <v>0.09</v>
      </c>
      <c r="AN80" s="63">
        <v>120</v>
      </c>
      <c r="AO80" s="61">
        <v>0.155</v>
      </c>
      <c r="AP80" s="62">
        <v>0.14399999999999999</v>
      </c>
      <c r="AR80" s="63">
        <v>120</v>
      </c>
      <c r="AS80" s="61">
        <v>0.155</v>
      </c>
      <c r="AT80" s="62">
        <v>0.10299999999999999</v>
      </c>
    </row>
    <row r="81" spans="28:46" s="1" customFormat="1" x14ac:dyDescent="0.25">
      <c r="AB81" s="63">
        <v>150</v>
      </c>
      <c r="AC81" s="61">
        <v>0.126</v>
      </c>
      <c r="AD81" s="62">
        <v>7.6999999999999999E-2</v>
      </c>
      <c r="AF81" s="63">
        <v>150</v>
      </c>
      <c r="AG81" s="61">
        <v>0.126</v>
      </c>
      <c r="AH81" s="62">
        <v>8.4000000000000005E-2</v>
      </c>
      <c r="AJ81" s="63">
        <v>150</v>
      </c>
      <c r="AK81" s="61">
        <v>0.13150000000000001</v>
      </c>
      <c r="AL81" s="62">
        <v>8.8999999999999996E-2</v>
      </c>
      <c r="AN81" s="63">
        <v>150</v>
      </c>
      <c r="AO81" s="61">
        <v>0.126</v>
      </c>
      <c r="AP81" s="62">
        <v>0.14499999999999999</v>
      </c>
      <c r="AR81" s="63">
        <v>150</v>
      </c>
      <c r="AS81" s="59"/>
      <c r="AT81" s="60"/>
    </row>
    <row r="82" spans="28:46" s="1" customFormat="1" x14ac:dyDescent="0.25">
      <c r="AB82" s="63">
        <v>185</v>
      </c>
      <c r="AC82" s="61">
        <v>0.1017</v>
      </c>
      <c r="AD82" s="62">
        <v>7.6999999999999999E-2</v>
      </c>
      <c r="AF82" s="63">
        <v>185</v>
      </c>
      <c r="AG82" s="61">
        <v>0.1017</v>
      </c>
      <c r="AH82" s="62">
        <v>8.2000000000000003E-2</v>
      </c>
      <c r="AJ82" s="63">
        <v>185</v>
      </c>
      <c r="AK82" s="61">
        <v>0.1091</v>
      </c>
      <c r="AL82" s="62">
        <v>8.8999999999999996E-2</v>
      </c>
      <c r="AN82" s="63">
        <v>185</v>
      </c>
      <c r="AO82" s="61">
        <v>0.1017</v>
      </c>
      <c r="AP82" s="62">
        <v>0.14299999999999999</v>
      </c>
      <c r="AR82" s="63">
        <v>185</v>
      </c>
      <c r="AS82" s="59"/>
      <c r="AT82" s="60"/>
    </row>
    <row r="83" spans="28:46" s="1" customFormat="1" x14ac:dyDescent="0.25">
      <c r="AB83" s="63">
        <v>240</v>
      </c>
      <c r="AC83" s="61">
        <v>7.8700000000000006E-2</v>
      </c>
      <c r="AD83" s="62">
        <v>7.6999999999999999E-2</v>
      </c>
      <c r="AF83" s="63">
        <v>240</v>
      </c>
      <c r="AG83" s="61">
        <v>7.8700000000000006E-2</v>
      </c>
      <c r="AH83" s="62">
        <v>8.3000000000000004E-2</v>
      </c>
      <c r="AJ83" s="63">
        <v>240</v>
      </c>
      <c r="AK83" s="61">
        <v>8.4099999999999994E-2</v>
      </c>
      <c r="AL83" s="62">
        <v>0.09</v>
      </c>
      <c r="AN83" s="63">
        <v>240</v>
      </c>
      <c r="AO83" s="79">
        <v>7.8700000000000006E-2</v>
      </c>
      <c r="AP83" s="80">
        <v>0.14099999999999999</v>
      </c>
      <c r="AR83" s="63">
        <v>240</v>
      </c>
      <c r="AS83" s="59"/>
      <c r="AT83" s="60"/>
    </row>
    <row r="84" spans="28:46" s="1" customFormat="1" ht="15.75" thickBot="1" x14ac:dyDescent="0.3">
      <c r="AB84" s="65">
        <v>300</v>
      </c>
      <c r="AC84" s="66"/>
      <c r="AD84" s="67"/>
      <c r="AF84" s="65">
        <v>300</v>
      </c>
      <c r="AG84" s="66"/>
      <c r="AH84" s="67"/>
      <c r="AJ84" s="65">
        <v>300</v>
      </c>
      <c r="AK84" s="81">
        <v>6.9099999999999995E-2</v>
      </c>
      <c r="AL84" s="82">
        <v>8.8999999999999996E-2</v>
      </c>
      <c r="AN84" s="65">
        <v>300</v>
      </c>
      <c r="AO84" s="66"/>
      <c r="AP84" s="67"/>
      <c r="AR84" s="65">
        <v>300</v>
      </c>
      <c r="AS84" s="66"/>
      <c r="AT84" s="67"/>
    </row>
    <row r="85" spans="28:46" s="1" customFormat="1" ht="15.75" thickBot="1" x14ac:dyDescent="0.3">
      <c r="AB85" s="50" t="s">
        <v>129</v>
      </c>
      <c r="AC85" s="51" t="s">
        <v>18</v>
      </c>
      <c r="AD85" s="52" t="s">
        <v>19</v>
      </c>
      <c r="AF85" s="50" t="s">
        <v>129</v>
      </c>
      <c r="AG85" s="51" t="s">
        <v>18</v>
      </c>
      <c r="AH85" s="52" t="s">
        <v>19</v>
      </c>
      <c r="AJ85" s="50" t="s">
        <v>129</v>
      </c>
      <c r="AK85" s="51" t="s">
        <v>18</v>
      </c>
      <c r="AL85" s="52" t="s">
        <v>19</v>
      </c>
      <c r="AN85" s="50" t="s">
        <v>129</v>
      </c>
      <c r="AO85" s="51" t="s">
        <v>18</v>
      </c>
      <c r="AP85" s="52" t="s">
        <v>19</v>
      </c>
      <c r="AR85" s="50" t="s">
        <v>129</v>
      </c>
      <c r="AS85" s="51" t="s">
        <v>18</v>
      </c>
      <c r="AT85" s="52" t="s">
        <v>19</v>
      </c>
    </row>
    <row r="86" spans="28:46" s="1" customFormat="1" x14ac:dyDescent="0.25">
      <c r="AB86" s="83">
        <v>0.75</v>
      </c>
      <c r="AC86" s="54"/>
      <c r="AD86" s="55"/>
      <c r="AF86" s="83">
        <v>0.75</v>
      </c>
      <c r="AG86" s="54"/>
      <c r="AH86" s="55"/>
      <c r="AJ86" s="83">
        <v>0.75</v>
      </c>
      <c r="AK86" s="56">
        <v>26</v>
      </c>
      <c r="AL86" s="57">
        <v>0.13100000000000001</v>
      </c>
      <c r="AN86" s="83">
        <v>0.75</v>
      </c>
      <c r="AO86" s="56"/>
      <c r="AP86" s="57"/>
      <c r="AR86" s="83">
        <v>0.75</v>
      </c>
      <c r="AS86" s="54"/>
      <c r="AT86" s="55"/>
    </row>
    <row r="87" spans="28:46" s="1" customFormat="1" x14ac:dyDescent="0.25">
      <c r="AB87" s="63">
        <v>1</v>
      </c>
      <c r="AC87" s="59"/>
      <c r="AD87" s="60"/>
      <c r="AF87" s="63">
        <v>1</v>
      </c>
      <c r="AG87" s="59"/>
      <c r="AH87" s="60"/>
      <c r="AJ87" s="63">
        <v>1</v>
      </c>
      <c r="AK87" s="61">
        <v>19.5</v>
      </c>
      <c r="AL87" s="62">
        <v>0.126</v>
      </c>
      <c r="AN87" s="63">
        <v>1</v>
      </c>
      <c r="AO87" s="61"/>
      <c r="AP87" s="62"/>
      <c r="AR87" s="63">
        <v>1</v>
      </c>
      <c r="AS87" s="59"/>
      <c r="AT87" s="60"/>
    </row>
    <row r="88" spans="28:46" s="1" customFormat="1" x14ac:dyDescent="0.25">
      <c r="AB88" s="63">
        <v>1.5</v>
      </c>
      <c r="AC88" s="61">
        <v>12.1</v>
      </c>
      <c r="AD88" s="62">
        <v>0.128</v>
      </c>
      <c r="AF88" s="63">
        <v>1.5</v>
      </c>
      <c r="AG88" s="61">
        <v>12.1</v>
      </c>
      <c r="AH88" s="62">
        <v>0.113</v>
      </c>
      <c r="AJ88" s="63">
        <v>1.5</v>
      </c>
      <c r="AK88" s="61">
        <v>13.3</v>
      </c>
      <c r="AL88" s="62">
        <v>0.128</v>
      </c>
      <c r="AN88" s="63">
        <v>1.5</v>
      </c>
      <c r="AO88" s="61"/>
      <c r="AP88" s="62"/>
      <c r="AR88" s="63">
        <v>1.5</v>
      </c>
      <c r="AS88" s="61">
        <v>12.1</v>
      </c>
      <c r="AT88" s="62">
        <v>0.14099999999999999</v>
      </c>
    </row>
    <row r="89" spans="28:46" s="1" customFormat="1" x14ac:dyDescent="0.25">
      <c r="AB89" s="63">
        <v>2.5</v>
      </c>
      <c r="AC89" s="61">
        <v>7.41</v>
      </c>
      <c r="AD89" s="62">
        <v>0.12</v>
      </c>
      <c r="AF89" s="63">
        <v>2.5</v>
      </c>
      <c r="AG89" s="61">
        <v>7.41</v>
      </c>
      <c r="AH89" s="62">
        <v>0.105</v>
      </c>
      <c r="AJ89" s="63">
        <v>2.5</v>
      </c>
      <c r="AK89" s="61">
        <v>7.98</v>
      </c>
      <c r="AL89" s="62">
        <v>0.124</v>
      </c>
      <c r="AN89" s="63">
        <v>2.5</v>
      </c>
      <c r="AO89" s="61"/>
      <c r="AP89" s="62"/>
      <c r="AR89" s="63">
        <v>2.5</v>
      </c>
      <c r="AS89" s="61">
        <v>7.41</v>
      </c>
      <c r="AT89" s="62">
        <v>0.13100000000000001</v>
      </c>
    </row>
    <row r="90" spans="28:46" s="1" customFormat="1" x14ac:dyDescent="0.25">
      <c r="AB90" s="63">
        <v>4</v>
      </c>
      <c r="AC90" s="61">
        <v>4.6100000000000003</v>
      </c>
      <c r="AD90" s="62">
        <v>0.11700000000000001</v>
      </c>
      <c r="AF90" s="63">
        <v>4</v>
      </c>
      <c r="AG90" s="61">
        <v>4.6100000000000003</v>
      </c>
      <c r="AH90" s="62">
        <v>9.9000000000000005E-2</v>
      </c>
      <c r="AJ90" s="63">
        <v>4</v>
      </c>
      <c r="AK90" s="61">
        <v>4.95</v>
      </c>
      <c r="AL90" s="62">
        <v>0.121</v>
      </c>
      <c r="AN90" s="63">
        <v>4</v>
      </c>
      <c r="AO90" s="61"/>
      <c r="AP90" s="62"/>
      <c r="AR90" s="63">
        <v>4</v>
      </c>
      <c r="AS90" s="61">
        <v>4.6100000000000003</v>
      </c>
      <c r="AT90" s="62">
        <v>0.124</v>
      </c>
    </row>
    <row r="91" spans="28:46" s="1" customFormat="1" x14ac:dyDescent="0.25">
      <c r="AB91" s="63">
        <v>6</v>
      </c>
      <c r="AC91" s="61">
        <v>3.08</v>
      </c>
      <c r="AD91" s="62">
        <v>0.114</v>
      </c>
      <c r="AF91" s="63">
        <v>6</v>
      </c>
      <c r="AG91" s="61">
        <v>3.08</v>
      </c>
      <c r="AH91" s="62">
        <v>9.7000000000000003E-2</v>
      </c>
      <c r="AJ91" s="63">
        <v>6</v>
      </c>
      <c r="AK91" s="61">
        <v>3.3</v>
      </c>
      <c r="AL91" s="62">
        <v>0.11899999999999999</v>
      </c>
      <c r="AN91" s="63">
        <v>6</v>
      </c>
      <c r="AO91" s="61"/>
      <c r="AP91" s="62"/>
      <c r="AR91" s="63">
        <v>6</v>
      </c>
      <c r="AS91" s="61">
        <v>3.08</v>
      </c>
      <c r="AT91" s="62">
        <v>0.121</v>
      </c>
    </row>
    <row r="92" spans="28:46" s="1" customFormat="1" x14ac:dyDescent="0.25">
      <c r="AB92" s="63">
        <v>10</v>
      </c>
      <c r="AC92" s="61">
        <v>1.83</v>
      </c>
      <c r="AD92" s="62">
        <v>0.104</v>
      </c>
      <c r="AF92" s="63">
        <v>10</v>
      </c>
      <c r="AG92" s="61">
        <v>1.83</v>
      </c>
      <c r="AH92" s="62">
        <v>9.1999999999999998E-2</v>
      </c>
      <c r="AJ92" s="63">
        <v>10</v>
      </c>
      <c r="AK92" s="61">
        <v>1.91</v>
      </c>
      <c r="AL92" s="62">
        <v>0.114</v>
      </c>
      <c r="AN92" s="63">
        <v>10</v>
      </c>
      <c r="AO92" s="61"/>
      <c r="AP92" s="62"/>
      <c r="AR92" s="63">
        <v>10</v>
      </c>
      <c r="AS92" s="61">
        <v>1.83</v>
      </c>
      <c r="AT92" s="62">
        <v>0.115</v>
      </c>
    </row>
    <row r="93" spans="28:46" s="1" customFormat="1" x14ac:dyDescent="0.25">
      <c r="AB93" s="63">
        <v>16</v>
      </c>
      <c r="AC93" s="61">
        <v>1.1499999999999999</v>
      </c>
      <c r="AD93" s="62">
        <v>0.107</v>
      </c>
      <c r="AF93" s="63">
        <v>16</v>
      </c>
      <c r="AG93" s="61">
        <v>1.1499999999999999</v>
      </c>
      <c r="AH93" s="62">
        <v>8.7999999999999995E-2</v>
      </c>
      <c r="AJ93" s="63">
        <v>16</v>
      </c>
      <c r="AK93" s="61">
        <v>1.21</v>
      </c>
      <c r="AL93" s="62">
        <v>0.111</v>
      </c>
      <c r="AN93" s="63">
        <v>16</v>
      </c>
      <c r="AO93" s="61"/>
      <c r="AP93" s="62"/>
      <c r="AR93" s="63">
        <v>16</v>
      </c>
      <c r="AS93" s="61">
        <v>1.1499999999999999</v>
      </c>
      <c r="AT93" s="62">
        <v>0.11</v>
      </c>
    </row>
    <row r="94" spans="28:46" s="1" customFormat="1" x14ac:dyDescent="0.25">
      <c r="AB94" s="63">
        <v>25</v>
      </c>
      <c r="AC94" s="61">
        <v>0.72699999999999998</v>
      </c>
      <c r="AD94" s="62">
        <v>0.106</v>
      </c>
      <c r="AF94" s="63">
        <v>25</v>
      </c>
      <c r="AG94" s="61">
        <v>0.72699999999999998</v>
      </c>
      <c r="AH94" s="62">
        <v>8.8999999999999996E-2</v>
      </c>
      <c r="AJ94" s="63">
        <v>25</v>
      </c>
      <c r="AK94" s="61">
        <v>0.78029999999999999</v>
      </c>
      <c r="AL94" s="62">
        <v>0.107</v>
      </c>
      <c r="AN94" s="63">
        <v>25</v>
      </c>
      <c r="AO94" s="59"/>
      <c r="AP94" s="60"/>
      <c r="AR94" s="63">
        <v>25</v>
      </c>
      <c r="AS94" s="61">
        <v>0.72699999999999998</v>
      </c>
      <c r="AT94" s="62">
        <v>0.111</v>
      </c>
    </row>
    <row r="95" spans="28:46" s="1" customFormat="1" x14ac:dyDescent="0.25">
      <c r="AB95" s="63">
        <v>35</v>
      </c>
      <c r="AC95" s="61">
        <v>0.52500000000000002</v>
      </c>
      <c r="AD95" s="62">
        <v>9.4E-2</v>
      </c>
      <c r="AF95" s="63">
        <v>35</v>
      </c>
      <c r="AG95" s="61">
        <v>0.52500000000000002</v>
      </c>
      <c r="AH95" s="62">
        <v>8.5000000000000006E-2</v>
      </c>
      <c r="AJ95" s="63">
        <v>35</v>
      </c>
      <c r="AK95" s="61"/>
      <c r="AL95" s="62"/>
      <c r="AN95" s="63">
        <v>35</v>
      </c>
      <c r="AO95" s="59"/>
      <c r="AP95" s="60"/>
      <c r="AR95" s="63">
        <v>35</v>
      </c>
      <c r="AS95" s="61">
        <v>0.52500000000000002</v>
      </c>
      <c r="AT95" s="62">
        <v>0.106</v>
      </c>
    </row>
    <row r="96" spans="28:46" s="1" customFormat="1" x14ac:dyDescent="0.25">
      <c r="AB96" s="63">
        <v>50</v>
      </c>
      <c r="AC96" s="59"/>
      <c r="AD96" s="60"/>
      <c r="AF96" s="63">
        <v>50</v>
      </c>
      <c r="AG96" s="59"/>
      <c r="AH96" s="60"/>
      <c r="AJ96" s="63">
        <v>50</v>
      </c>
      <c r="AK96" s="61"/>
      <c r="AL96" s="62"/>
      <c r="AN96" s="63">
        <v>50</v>
      </c>
      <c r="AO96" s="59"/>
      <c r="AP96" s="60"/>
      <c r="AR96" s="63">
        <v>50</v>
      </c>
      <c r="AS96" s="59"/>
      <c r="AT96" s="60"/>
    </row>
    <row r="97" spans="24:46" s="1" customFormat="1" x14ac:dyDescent="0.25">
      <c r="AB97" s="63">
        <v>70</v>
      </c>
      <c r="AC97" s="59"/>
      <c r="AD97" s="60"/>
      <c r="AF97" s="63">
        <v>70</v>
      </c>
      <c r="AG97" s="59"/>
      <c r="AH97" s="60"/>
      <c r="AJ97" s="63">
        <v>70</v>
      </c>
      <c r="AK97" s="59"/>
      <c r="AL97" s="60"/>
      <c r="AN97" s="63">
        <v>70</v>
      </c>
      <c r="AO97" s="59"/>
      <c r="AP97" s="60"/>
      <c r="AR97" s="63">
        <v>70</v>
      </c>
      <c r="AS97" s="59"/>
      <c r="AT97" s="60"/>
    </row>
    <row r="98" spans="24:46" s="1" customFormat="1" x14ac:dyDescent="0.25">
      <c r="AB98" s="63">
        <v>95</v>
      </c>
      <c r="AC98" s="59"/>
      <c r="AD98" s="60"/>
      <c r="AF98" s="63">
        <v>95</v>
      </c>
      <c r="AG98" s="59"/>
      <c r="AH98" s="60"/>
      <c r="AJ98" s="63">
        <v>95</v>
      </c>
      <c r="AK98" s="59"/>
      <c r="AL98" s="60"/>
      <c r="AN98" s="63">
        <v>95</v>
      </c>
      <c r="AO98" s="59"/>
      <c r="AP98" s="60"/>
      <c r="AR98" s="63">
        <v>95</v>
      </c>
      <c r="AS98" s="59"/>
      <c r="AT98" s="60"/>
    </row>
    <row r="99" spans="24:46" s="1" customFormat="1" x14ac:dyDescent="0.25">
      <c r="AB99" s="63">
        <v>120</v>
      </c>
      <c r="AC99" s="59"/>
      <c r="AD99" s="60"/>
      <c r="AF99" s="63">
        <v>120</v>
      </c>
      <c r="AG99" s="59"/>
      <c r="AH99" s="60"/>
      <c r="AJ99" s="63">
        <v>120</v>
      </c>
      <c r="AK99" s="59"/>
      <c r="AL99" s="60"/>
      <c r="AN99" s="63">
        <v>120</v>
      </c>
      <c r="AO99" s="59"/>
      <c r="AP99" s="60"/>
      <c r="AR99" s="63">
        <v>120</v>
      </c>
      <c r="AS99" s="59"/>
      <c r="AT99" s="60"/>
    </row>
    <row r="100" spans="24:46" s="1" customFormat="1" x14ac:dyDescent="0.25">
      <c r="AB100" s="63">
        <v>150</v>
      </c>
      <c r="AC100" s="59"/>
      <c r="AD100" s="60"/>
      <c r="AF100" s="63">
        <v>150</v>
      </c>
      <c r="AG100" s="59"/>
      <c r="AH100" s="60"/>
      <c r="AJ100" s="63">
        <v>150</v>
      </c>
      <c r="AK100" s="59"/>
      <c r="AL100" s="60"/>
      <c r="AN100" s="63">
        <v>150</v>
      </c>
      <c r="AO100" s="59"/>
      <c r="AP100" s="60"/>
      <c r="AR100" s="63">
        <v>150</v>
      </c>
      <c r="AS100" s="59"/>
      <c r="AT100" s="60"/>
    </row>
    <row r="101" spans="24:46" s="1" customFormat="1" x14ac:dyDescent="0.25">
      <c r="AB101" s="63">
        <v>185</v>
      </c>
      <c r="AC101" s="59"/>
      <c r="AD101" s="60"/>
      <c r="AF101" s="63">
        <v>185</v>
      </c>
      <c r="AG101" s="59"/>
      <c r="AH101" s="60"/>
      <c r="AJ101" s="63">
        <v>185</v>
      </c>
      <c r="AK101" s="59"/>
      <c r="AL101" s="60"/>
      <c r="AN101" s="63">
        <v>185</v>
      </c>
      <c r="AO101" s="59"/>
      <c r="AP101" s="60"/>
      <c r="AR101" s="63">
        <v>185</v>
      </c>
      <c r="AS101" s="59"/>
      <c r="AT101" s="60"/>
    </row>
    <row r="102" spans="24:46" s="1" customFormat="1" x14ac:dyDescent="0.25">
      <c r="AB102" s="63">
        <v>240</v>
      </c>
      <c r="AC102" s="59"/>
      <c r="AD102" s="60"/>
      <c r="AF102" s="63">
        <v>240</v>
      </c>
      <c r="AG102" s="59"/>
      <c r="AH102" s="60"/>
      <c r="AJ102" s="63">
        <v>240</v>
      </c>
      <c r="AK102" s="59"/>
      <c r="AL102" s="60"/>
      <c r="AN102" s="63">
        <v>240</v>
      </c>
      <c r="AO102" s="59"/>
      <c r="AP102" s="60"/>
      <c r="AR102" s="63">
        <v>240</v>
      </c>
      <c r="AS102" s="59"/>
      <c r="AT102" s="60"/>
    </row>
    <row r="103" spans="24:46" s="1" customFormat="1" ht="15.75" thickBot="1" x14ac:dyDescent="0.3">
      <c r="AB103" s="65">
        <v>300</v>
      </c>
      <c r="AC103" s="66"/>
      <c r="AD103" s="67"/>
      <c r="AF103" s="65">
        <v>300</v>
      </c>
      <c r="AG103" s="66"/>
      <c r="AH103" s="67"/>
      <c r="AJ103" s="65">
        <v>300</v>
      </c>
      <c r="AK103" s="66"/>
      <c r="AL103" s="67"/>
      <c r="AN103" s="65">
        <v>300</v>
      </c>
      <c r="AO103" s="66"/>
      <c r="AP103" s="67"/>
      <c r="AR103" s="65">
        <v>300</v>
      </c>
      <c r="AS103" s="66"/>
      <c r="AT103" s="67"/>
    </row>
    <row r="104" spans="24:46" s="1" customFormat="1" x14ac:dyDescent="0.25"/>
    <row r="105" spans="24:46" s="1" customFormat="1" x14ac:dyDescent="0.25"/>
    <row r="106" spans="24:46" s="1" customFormat="1" x14ac:dyDescent="0.25">
      <c r="AC106" s="1">
        <f>IF(AND($B$6="CU",$B$5=AB5,$B$7="1x"),VLOOKUP($B$8,AB10:AD27,2,FALSE),IF(AND($B$6="CU",$B$5=AB5,$B$7="2x"),VLOOKUP($B$8,AB29:AD46,2,FALSE),IF(AND($B$6="CU",$B$5=AB5,$B$7="3x"),VLOOKUP($B$8,AB48:AD65,2,FALSE),IF(AND($B$6="CU",$B$5=AB5,$B$7="4x"),VLOOKUP($B$8,AB67:AD84,2,FALSE),IF(AND($B$6="CU",$B$5=AB5,$B$7="5x"),VLOOKUP($B$8,AB86:AD103,2,FALSE))))))</f>
        <v>7.8700000000000006E-2</v>
      </c>
      <c r="AD106" s="1">
        <f>IF(AND($B$6="CU",$B$5=AB5,$B$7="1x"),VLOOKUP($B$8,AB10:AD27,3,FALSE),IF(AND($B$6="CU",$B$5=AB5,$B$7="2x"),VLOOKUP($B$8,AB29:AD46,3,FALSE),IF(AND($B$6="CU",$B$5=AB5,$B$7="3x"),VLOOKUP($B$8,AB48:AD65,3,FALSE),IF(AND($B$6="CU",$B$5=AB5,$B$7="4x"),VLOOKUP($B$8,AB67:AD84,3,FALSE),IF(AND($B$6="CU",$B$5=AB5,$B$7="5x"),VLOOKUP($B$8,AB86:AD103,3,FALSE))))))</f>
        <v>7.6999999999999999E-2</v>
      </c>
      <c r="AG106" s="1" t="b">
        <f>IF(AND($B$6="CU",$B$5=AF5,$B$7="1x"),VLOOKUP($B$8,AF10:AH27,2,FALSE),IF(AND($B$6="CU",$B$5=AF5,$B$7="2x"),VLOOKUP($B$8,AF29:AH46,2,FALSE),IF(AND($B$6="CU",$B$5=AF5,$B$7="3x"),VLOOKUP($B$8,AF48:AH65,2,FALSE),IF(AND($B$6="CU",$B$5=AF5,$B$7="4x"),VLOOKUP($B$8,AF67:AH84,2,FALSE),IF(AND($B$6="CU",$B$5=AF5,$B$7="5x"),VLOOKUP($B$8,AF86:AH103,2,FALSE))))))</f>
        <v>0</v>
      </c>
      <c r="AH106" s="1" t="b">
        <f>IF(AND($B$6="CU",$B$5=AF5,$B$7="1x"),VLOOKUP($B$8,AF10:AH27,3,FALSE),IF(AND($B$6="CU",$B$5=AF5,$B$7="2x"),VLOOKUP($B$8,AF29:AH46,3,FALSE),IF(AND($B$6="CU",$B$5=AF5,$B$7="3x"),VLOOKUP($B$8,AF48:AH65,3,FALSE),IF(AND($B$6="CU",$B$5=AF5,$B$7="4x"),VLOOKUP($B$8,AF67:AH84,3,FALSE),IF(AND($B$6="CU",$B$5=AF5,$B$7="5x"),VLOOKUP($B$8,AF86:AH103,3,FALSE))))))</f>
        <v>0</v>
      </c>
      <c r="AJ106" s="84"/>
      <c r="AK106" s="1" t="b">
        <f>IF(AND($B$6="CU",$B$5=AJ5,$B$7="1x"),VLOOKUP($B$8,AJ10:AL27,2,FALSE),IF(AND($B$6="CU",$B$5=AJ5,$B$7="2x"),VLOOKUP($B$8,AJ29:AL46,2,FALSE),IF(AND($B$6="CU",$B$5=AJ5,$B$7="3x"),VLOOKUP($B$8,AJ48:AL65,2,FALSE),IF(AND($B$6="CU",$B$5=AJ5,$B$7="4x"),VLOOKUP($B$8,AJ67:AL84,2,FALSE),IF(AND($B$6="CU",$B$5=AJ5,$B$7="5x"),VLOOKUP($B$8,AJ86:AL103,2,FALSE))))))</f>
        <v>0</v>
      </c>
      <c r="AL106" s="1" t="b">
        <f>IF(AND($B$6="CU",$B$5=AJ5,$B$7="1x"),VLOOKUP($B$8,AJ10:AL27,3,FALSE),IF(AND($B$6="CU",$B$5=AJ5,$B$7="2x"),VLOOKUP($B$8,AJ29:AL46,3,FALSE),IF(AND($B$6="CU",$B$5=AJ5,$B$7="3x"),VLOOKUP($B$8,AJ48:AL65,3,FALSE),IF(AND($B$6="CU",$B$5=AJ5,$B$7="4x"),VLOOKUP($B$8,AJ67:AL84,3,FALSE),IF(AND($B$6="CU",$B$5=AJ5,$B$7="5x"),VLOOKUP($B$8,AJ86:AL103,3,FALSE))))))</f>
        <v>0</v>
      </c>
      <c r="AO106" s="1" t="b">
        <f>IF(AND($B$6="CU",$B$5=AN5,$B$7="1x"),VLOOKUP($B$8,AN10:AP27,2,FALSE),IF(AND($B$6="CU",$B$5=AN5,$B$7="2x"),VLOOKUP($B$8,AN29:AP46,2,FALSE),IF(AND($B$6="CU",$B$5=AN5,$B$7="3x"),VLOOKUP($B$8,AN48:AP65,2,FALSE),IF(AND($B$6="CU",$B$5=AN5,$B$7="4x"),VLOOKUP($B$8,AN67:AP84,2,FALSE),IF(AND($B$6="CU",$B$5=AN5,$B$7="5x"),VLOOKUP($B$8,AN86:AP103,2,FALSE))))))</f>
        <v>0</v>
      </c>
      <c r="AP106" s="1" t="b">
        <f>IF(AND($B$6="CU",$B$5=AN5,$B$7="1x"),VLOOKUP($B$8,AN10:AP27,3,FALSE),IF(AND($B$6="CU",$B$5=AN5,$B$7="2x"),VLOOKUP($B$8,AN29:AP46,3,FALSE),IF(AND($B$6="CU",$B$5=AN5,$B$7="3x"),VLOOKUP($B$8,AN48:AP65,3,FALSE),IF(AND($B$6="CU",$B$5=AN5,$B$7="4x"),VLOOKUP($B$8,AN67:AP84,3,FALSE),IF(AND($B$6="CU",$B$5=AN5,$B$7="5x"),VLOOKUP($B$8,AN86:AP103,3,FALSE))))))</f>
        <v>0</v>
      </c>
      <c r="AS106" s="1" t="b">
        <f>IF(AND($B$6="CU",$B$5=AR5,$B$7="1x"),VLOOKUP($B$8,AR10:AT27,2,FALSE),IF(AND($B$6="CU",$B$5=AR5,$B$7="2x"),VLOOKUP($B$8,AR29:AT46,2,FALSE),IF(AND($B$6="CU",$B$5=AR5,$B$7="3x"),VLOOKUP($B$8,AR48:AT65,2,FALSE),IF(AND($B$6="CU",$B$5=AR5,$B$7="4x"),VLOOKUP($B$8,AR67:AT84,2,FALSE),IF(AND($B$6="CU",$B$5=AR5,$B$7="5x"),VLOOKUP($B$8,AR86:AT103,2,FALSE))))))</f>
        <v>0</v>
      </c>
      <c r="AT106" s="1" t="b">
        <f>IF(AND($B$6="CU",$B$5=AR5,$B$7="1x"),VLOOKUP($B$8,AR10:AT27,3,FALSE),IF(AND($B$6="CU",$B$5=AR5,$B$7="2x"),VLOOKUP($B$8,AR29:AT46,3,FALSE),IF(AND($B$6="CU",$B$5=AR5,$B$7="3x"),VLOOKUP($B$8,AR48:AT65,3,FALSE),IF(AND($B$6="CU",$B$5=AR5,$B$7="4x"),VLOOKUP($B$8,AR67:AT84,3,FALSE),IF(AND($B$6="CU",$B$5=AR5,$B$7="5x"),VLOOKUP($B$8,AR86:AT103,3,FALSE))))))</f>
        <v>0</v>
      </c>
    </row>
    <row r="107" spans="24:46" s="1" customFormat="1" x14ac:dyDescent="0.25">
      <c r="X107" s="1" t="s">
        <v>18</v>
      </c>
      <c r="Y107" s="1" t="s">
        <v>19</v>
      </c>
      <c r="AC107" s="1">
        <f>IF(AND(B6="CU",B5=$AB$5,B7="1x"),VLOOKUP(B8,$AB$10:$AD$27,2,FALSE),IF(AND(B6="CU",B5=$AB$5,B7="2x"),VLOOKUP(B8,$AB$29:$AD$46,2,FALSE),IF(AND(B6="CU",B5=$AB$5,B7="3x"),VLOOKUP(B8,$AB$48:$AD$65,2,FALSE),IF(AND(B6="CU",B5=$AB$5,B7="4x"),VLOOKUP(B8,$AB$67:$AD$84,2,FALSE),IF(AND(B6="CU",B5=$AB$5,B7="5x"),VLOOKUP(B8,$AB$86:$AD$103,2,FALSE))))))</f>
        <v>7.8700000000000006E-2</v>
      </c>
      <c r="AD107" s="1">
        <f>IF(AND(B6="CU",B5=$AB$5,B7="1x"),VLOOKUP(B8,$AB$10:$AD$27,3,FALSE),IF(AND(B6="CU",B5=$AB$5,B7="2x"),VLOOKUP(B8,$AB$29:$AD$46,3,FALSE),IF(AND(B6="CU",B5=$AB$5,B7="3x"),VLOOKUP(B8,$AB$48:$AD$65,3,FALSE),IF(AND(B6="CU",B5=$AB$5,B7="4x"),VLOOKUP(B8,$AB$67:$AD$84,3,FALSE),IF(AND(B6="CU",B5=$AB$5,B7="5x"),VLOOKUP(B8,$AB$86:$AD$103,3,FALSE))))))</f>
        <v>7.6999999999999999E-2</v>
      </c>
      <c r="AG107" s="1" t="b">
        <f>IF(AND(B6="CU",B5=$AF$5,B7="1x"),VLOOKUP(B8,$AF$10:$AH$27,2,FALSE),IF(AND(B6="CU",B5=$AF$5,B7="2x"),VLOOKUP(B8,$AF$29:$AH$46,2,FALSE),IF(AND(B6="CU",B5=$AF$5,B7="3x"),VLOOKUP(B8,$AF$48:$AH$65,2,FALSE),IF(AND(B6="CU",B5=$AF$5,B7="4x"),VLOOKUP(B8,$AF$67:$AH$84,2,FALSE),IF(AND(B6="CU",B5=$AF$5,B7="5x"),VLOOKUP(B8,$AF$86:$AH$103,2,FALSE))))))</f>
        <v>0</v>
      </c>
      <c r="AH107" s="1" t="b">
        <f>IF(AND(B6="CU",B5=$AF$5,B7="1x"),VLOOKUP(B8,$AF$10:$AH$27,3,FALSE),IF(AND(B6="CU",B5=$AF$5,B7="2x"),VLOOKUP(B8,$AF$29:$AH$46,3,FALSE),IF(AND(B6="CU",B5=$AF$5,B7="3x"),VLOOKUP(B8,$AF$48:$AH$65,3,FALSE),IF(AND(B6="CU",B5=$AF$5,B7="4x"),VLOOKUP(B8,$AF$67:$AH$84,3,FALSE),IF(AND(B6="CU",B5=$AF$5,B7="5x"),VLOOKUP(B8,$AF$86:$AH$103,3,FALSE))))))</f>
        <v>0</v>
      </c>
      <c r="AJ107" s="84"/>
      <c r="AK107" s="1" t="b">
        <f>IF(AND(B6="CU",B5=$AJ$5,B7="1x"),VLOOKUP(B8,$AJ$10:$AL$27,2,FALSE),IF(AND(B6="CU",B5=$AJ$5,B7="2x"),VLOOKUP(B8,$AJ$29:$AL$46,2,FALSE),IF(AND(B6="CU",B5=$AJ$5,B7="3x"),VLOOKUP(B8,$AJ$48:$AL$65,2,FALSE),IF(AND(B6="CU",B5=$AJ$5,B7="4x"),VLOOKUP(B8,$AJ$67:$AL$84,2,FALSE),IF(AND(B6="CU",B5=$AJ$5,B7="5x"),VLOOKUP(B8,$AJ$86:$AL$103,2,FALSE))))))</f>
        <v>0</v>
      </c>
      <c r="AL107" s="1" t="b">
        <f>IF(AND(B6="CU",B5=$AJ$5,B7="1x"),VLOOKUP(B8,$AJ$10:$AL$27,3,FALSE),IF(AND(B6="CU",B5=$AJ$5,B7="2x"),VLOOKUP(B8,$AJ$29:$AL$46,3,FALSE),IF(AND(B6="CU",B5=$AJ$5,B7="3x"),VLOOKUP(B8,$AJ$48:$AL$65,3,FALSE),IF(AND(B6="CU",B5=$AJ$5,B7="4x"),VLOOKUP(B8,$AJ$67:$AL$84,3,FALSE),IF(AND(B6="CU",B5=$AJ$5,B7="5x"),VLOOKUP(B8,$AJ$86:$AL$103,3,FALSE))))))</f>
        <v>0</v>
      </c>
      <c r="AO107" s="1" t="b">
        <f>IF(AND(B6="CU",B5=$AN$5,B7="1x"),VLOOKUP(B8,$AN$10:$AP$27,2,FALSE),IF(AND(B6="CU",B5=$AN$5,B7="2x"),VLOOKUP(B8,$AN$29:$AP$46,2,FALSE),IF(AND(B6="CU",B5=$AN$5,B7="3x"),VLOOKUP(B8,$AN$48:$AP$65,2,FALSE),IF(AND(B6="CU",B5=$AN$5,B7="4x"),VLOOKUP(B8,$AN$67:$AP$84,2,FALSE),IF(AND(B6="CU",B5=$AN$5,B7="5x"),VLOOKUP(B8,$AN$86:$AP$103,2,FALSE))))))</f>
        <v>0</v>
      </c>
      <c r="AP107" s="1" t="b">
        <f>IF(AND(B6="CU",B5=$AN$5,B7="1x"),VLOOKUP(B8,$AN$10:$AP$27,3,FALSE),IF(AND(B6="CU",B5=$AN$5,B7="2x"),VLOOKUP(B8,$AN$29:$AP$46,3,FALSE),IF(AND(B6="CU",B5=$AN$5,B7="3x"),VLOOKUP(B8,$AN$48:$AP$65,3,FALSE),IF(AND(B6="CU",B5=$AN$5,B7="4x"),VLOOKUP(B8,$AN$67:$AP$84,3,FALSE),IF(AND(B6="CU",B5=$AN$5,B7="5x"),VLOOKUP(B8,$AN$86:$AP$103,3,FALSE))))))</f>
        <v>0</v>
      </c>
      <c r="AS107" s="1" t="b">
        <f>IF(AND(B6="CU",B5=$AR$5,B7="1x"),VLOOKUP(B8,$AR$10:$AT$27,2,FALSE),IF(AND(B6="CU",B5=$AR$5,B7="2x"),VLOOKUP(B8,$AR$29:$AT$46,2,FALSE),IF(AND(B6="CU",B5=$AR$5,B7="3x"),VLOOKUP(B8,$AR$48:$AT$65,2,FALSE),IF(AND(B6="CU",B5=$AR$5,B7="4x"),VLOOKUP(B8,$AR$67:$AT$84,2,FALSE),IF(AND(B6="CU",B5=$AR$5,B7="5x"),VLOOKUP(B8,$AR$86:$AT$103,2,FALSE))))))</f>
        <v>0</v>
      </c>
      <c r="AT107" s="1" t="b">
        <f>IF(AND(B6="CU",B5=$AR$5,B7="1x"),VLOOKUP(B8,$AR$10:$AT$27,3,FALSE),IF(AND(B6="CU",B5=$AR$5,B7="2x"),VLOOKUP(B8,$AR$29:$AT$46,3,FALSE),IF(AND(B6="CU",B5=$AR$5,B7="3x"),VLOOKUP(B8,$AR$48:$AT$65,3,FALSE),IF(AND(B6="CU",B5=$AR$5,B7="4x"),VLOOKUP(B8,$AR$67:$AT$84,3,FALSE),IF(AND(B6="CU",B5=$AR$5,B7="5x"),VLOOKUP(B8,$AR$86:$AT$103,3,FALSE))))))</f>
        <v>0</v>
      </c>
    </row>
    <row r="108" spans="24:46" s="1" customFormat="1" ht="15.75" thickBot="1" x14ac:dyDescent="0.3">
      <c r="X108" s="1">
        <f>IF(AND($B$6="CU",$B$5=AB5,$B$7="1x"),VLOOKUP($B$8,AB10:AD27,2,FALSE),IF(AND($B$6="CU",$B$5=AB5,$B$7="2x"),VLOOKUP($B$8,AB29:AD46,2,FALSE),IF(AND($B$6="CU",$B$5=AB5,$B$7="3x"),VLOOKUP($B$8,AB48:AD65,2,FALSE),IF(AND($B$6="CU",$B$5=AB5,$B$7="4x"),VLOOKUP($B$8,AB67:AD84,2,FALSE),IF(AND($B$6="CU",$B$5=AB5,$B$7="5x"),VLOOKUP($B$8,AB86:AD103,2,FALSE),IF(AND($B$6="CU",$B$5=AF5,$B$7="1x"),VLOOKUP($B$8,AF10:AH27,2,FALSE),IF(AND($B$6="CU",$B$5=AF5,$B$7="2x"),VLOOKUP($B$8,AF29:AH46,2,FALSE),IF(AND($B$6="CU",$B$5=AF5,$B$7="3x"),VLOOKUP($B$8,AF48:AH65,2,FALSE),IF(AND($B$6="CU",$B$5=AF5,$B$7="4x"),VLOOKUP($B$8,AF67:AH84,2,FALSE),IF(AND($B$6="CU",$B$5=AF5,$B$7="5x"),VLOOKUP($B$8,AF86:AH103,2,FALSE),IF(AND($B$6="CU",$B$5=AJ5,$B$7="1x"),VLOOKUP($B$8,AJ10:AL27,2,FALSE),IF(AND($B$6="CU",$B$5=AJ5,$B$7="2x"),VLOOKUP($B$8,AJ29:AL46,2,FALSE),IF(AND($B$6="CU",$B$5=AJ5,$B$7="3x"),VLOOKUP($B$8,AJ48:AL65,2,FALSE),IF(AND($B$6="CU",$B$5=AJ5,$B$7="4x"),VLOOKUP($B$8,AJ67:AL84,2,FALSE),IF(AND($B$6="CU",$B$5=AJ5,$B$7="5x"),VLOOKUP($B$8,AJ86:AL103,2,FALSE),IF(AND($B$6="CU",$B$5=AN5,$B$7="1x"),VLOOKUP($B$8,AN10:AP27,2,FALSE),IF(AND($B$6="CU",$B$5=AN5,$B$7="2x"),VLOOKUP($B$8,AN29:AP46,2,FALSE),IF(AND($B$6="CU",$B$5=AN5,$B$7="3x"),VLOOKUP($B$8,AN48:AP65,2,FALSE),IF(AND($B$6="CU",$B$5=AN5,$B$7="4x"),VLOOKUP($B$8,AN67:AP84,2,FALSE),IF(AND($B$6="CU",$B$5=AN5,$B$7="5x"),VLOOKUP($B$8,AN86:AP103,2,FALSE),IF(AND($B$6="CU",$B$5=AR5,$B$7="1x"),VLOOKUP($B$8,AR10:AT27,2,FALSE),IF(AND($B$6="CU",$B$5=AR5,$B$7="2x"),VLOOKUP($B$8,AR29:AT46,2,FALSE),IF(AND($B$6="CU",$B$5=AR5,$B$7="3x"),VLOOKUP($B$8,AR48:AT65,2,FALSE),IF(AND($B$6="CU",$B$5=AR5,$B$7="4x"),VLOOKUP($B$8,AR67:AT84,2,FALSE),IF(AND($B$6="CU",$B$5=AR5,$B$7="5x"),VLOOKUP($B$8,AR86:AT103,2,FALSE))))))))))))))))))))))))))</f>
        <v>7.8700000000000006E-2</v>
      </c>
      <c r="Y108" s="1">
        <f>IF(AND($B$6="CU",$B$5=AB5,$B$7="1x"),VLOOKUP($B$8,AB10:AD27,3,FALSE),IF(AND($B$6="CU",$B$5=AB5,$B$7="2x"),VLOOKUP($B$8,AB29:AD46,3,FALSE),IF(AND($B$6="CU",$B$5=AB5,$B$7="3x"),VLOOKUP($B$8,AB48:AD65,3,FALSE),IF(AND($B$6="CU",$B$5=AB5,$B$7="4x"),VLOOKUP($B$8,AB67:AD84,3,FALSE),IF(AND($B$6="CU",$B$5=AB5,$B$7="5x"),VLOOKUP($B$8,AB86:AD103,3,FALSE),IF(AND($B$6="CU",$B$5=AF5,$B$7="1x"),VLOOKUP($B$8,AF10:AH27,3,FALSE),IF(AND($B$6="CU",$B$5=AF5,$B$7="2x"),VLOOKUP($B$8,AF29:AH46,3,FALSE),IF(AND($B$6="CU",$B$5=AF5,$B$7="3x"),VLOOKUP($B$8,AF48:AH65,3,FALSE),IF(AND($B$6="CU",$B$5=AF5,$B$7="4x"),VLOOKUP($B$8,AF67:AH84,3,FALSE),IF(AND($B$6="CU",$B$5=AF5,$B$7="5x"),VLOOKUP($B$8,AF86:AH103,3,FALSE),IF(AND($B$6="CU",$B$5=AJ5,$B$7="1x"),VLOOKUP($B$8,AJ10:AL27,3,FALSE),IF(AND($B$6="CU",$B$5=AJ5,$B$7="2x"),VLOOKUP($B$8,AJ29:AL46,3,FALSE),IF(AND($B$6="CU",$B$5=AJ5,$B$7="3x"),VLOOKUP($B$8,AJ48:AL65,3,FALSE),IF(AND($B$6="CU",$B$5=AJ5,$B$7="4x"),VLOOKUP($B$8,AJ67:AL84,3,FALSE),IF(AND($B$6="CU",$B$5=AJ5,$B$7="5x"),VLOOKUP($B$8,AJ86:AL103,3,FALSE),IF(AND($B$6="CU",$B$5=AN5,$B$7="1x"),VLOOKUP($B$8,AN10:AP27,3,FALSE),IF(AND($B$6="CU",$B$5=AN5,$B$7="2x"),VLOOKUP($B$8,AN29:AP46,3,FALSE),IF(AND($B$6="CU",$B$5=AN5,$B$7="3x"),VLOOKUP($B$8,AN48:AP65,3,FALSE),IF(AND($B$6="CU",$B$5=AN5,$B$7="4x"),VLOOKUP($B$8,AN67:AP84,3,FALSE),IF(AND($B$6="CU",$B$5=AN5,$B$7="5x"),VLOOKUP($B$8,AN86:AP103,3,FALSE),IF(AND($B$6="CU",$B$5=AR5,$B$7="1x"),VLOOKUP($B$8,AR10:AT27,3,FALSE),IF(AND($B$6="CU",$B$5=AR5,$B$7="2x"),VLOOKUP($B$8,AR29:AT46,3,FALSE),IF(AND($B$6="CU",$B$5=AR5,$B$7="3x"),VLOOKUP($B$8,AR48:AT65,3,FALSE),IF(AND($B$6="CU",$B$5=AR5,$B$7="4x"),VLOOKUP($B$8,AR67:AT84,3,FALSE),IF(AND($B$6="CU",$B$5=AR5,$B$7="5x"),VLOOKUP($B$8,AR86:AT103,3,FALSE))))))))))))))))))))))))))</f>
        <v>7.6999999999999999E-2</v>
      </c>
    </row>
    <row r="109" spans="24:46" s="1" customFormat="1" x14ac:dyDescent="0.25">
      <c r="X109" s="1">
        <f>IF(AND(B6="CU",B5=$AB$5,B7="1x"),VLOOKUP(B8,$AB$10:$AD$27,2,FALSE),IF(AND(B6="CU",B5=$AB$5,B7="2x"),VLOOKUP(B8,$AB$29:$AD$46,2,FALSE),IF(AND(B6="CU",B5=$AB$5,B7="3x"),VLOOKUP(B8,$AB$48:$AD$65,2,FALSE),IF(AND(B6="CU",B5=$AB$5,B7="4x"),VLOOKUP(B8,$AB$67:$AD$84,2,FALSE),IF(AND(B6="CU",B5=$AB$5,B7="5x"),VLOOKUP(B8,$AB$86:$AD$103,2,FALSE),IF(AND(B6="CU",B5=$AF$5,B7="1x"),VLOOKUP(B8,$AF$10:$AH$27,2,FALSE),IF(AND(B6="CU",B5=$AF$5,B7="2x"),VLOOKUP(B8,$AF$29:$AH$46,2,FALSE),IF(AND(B6="CU",B5=$AF$5,B7="3x"),VLOOKUP(B8,$AF$48:$AH$65,2,FALSE),IF(AND(B6="CU",B5=$AF$5,B7="4x"),VLOOKUP(B8,$AF$67:$AH$84,2,FALSE),IF(AND(B6="CU",B5=$AF$5,B7="5x"),VLOOKUP(B8,$AF$86:$AH$103,2,FALSE),IF(AND(B6="CU",B5=$AJ$5,B7="1x"),VLOOKUP(B8,$AJ$10:$AL$27,2,FALSE),IF(AND(B6="CU",B5=$AJ$5,B7="2x"),VLOOKUP(B8,$AJ$29:$AL$46,2,FALSE),IF(AND(B6="CU",B5=$AJ$5,B7="3x"),VLOOKUP(B8,$AJ$48:$AL$65,2,FALSE),IF(AND(B6="CU",B5=$AJ$5,B7="4x"),VLOOKUP(B8,$AJ$67:$AL$84,2,FALSE),IF(AND(B6="CU",B5=$AJ$5,B7="5x"),VLOOKUP(B8,$AJ$86:$AL$103,2,FALSE),IF(AND(B6="CU",B5=$AN$5,B7="1x"),VLOOKUP(B8,$AN$10:$AP$27,2,FALSE),IF(AND(B6="CU",B5=$AN$5,B7="2x"),VLOOKUP(B8,$AN$29:$AP$46,2,FALSE),IF(AND(B6="CU",B5=$AN$5,B7="3x"),VLOOKUP(B8,$AN$48:$AP$65,2,FALSE),IF(AND(B6="CU",B5=$AN$5,B7="4x"),VLOOKUP(B8,$AN$67:$AP$84,2,FALSE),IF(AND(B6="CU",B5=$AN$5,B7="5x"),VLOOKUP(B8,$AN$86:$AP$103,2,FALSE),IF(AND(B6="CU",B5=$AR$5,B7="1x"),VLOOKUP(B8,$AR$10:$AT$27,2,FALSE),IF(AND(B6="CU",B5=$AR$5,B7="2x"),VLOOKUP(B8,$AR$29:$AT$46,2,FALSE),IF(AND(B6="CU",B5=$AR$5,B7="3x"),VLOOKUP(B8,$AR$48:$AT$65,2,FALSE),IF(AND(B6="CU",B5=$AR$5,B7="4x"),VLOOKUP(B8,$AR$67:$AT$84,2,FALSE),IF(AND(B6="CU",B5=$AR$5,B7="5x"),VLOOKUP(B8,$AR$86:$AT$103,2,FALSE))))))))))))))))))))))))))</f>
        <v>7.8700000000000006E-2</v>
      </c>
      <c r="Y109" s="1">
        <f>IF(AND(B6="CU",B5=$AB$5,B7="1x"),VLOOKUP(B8,$AB$10:$AD$27,3,FALSE),IF(AND(B6="CU",B5=$AB$5,B7="2x"),VLOOKUP(B8,$AB$29:$AD$46,3,FALSE),IF(AND(B6="CU",B5=$AB$5,B7="3x"),VLOOKUP(B8,$AB$48:$AD$65,3,FALSE),IF(AND(B6="CU",B5=$AB$5,B7="4x"),VLOOKUP(B8,$AB$67:$AD$84,3,FALSE),IF(AND(B6="CU",B5=$AB$5,B7="5x"),VLOOKUP(B8,$AB$86:$AD$103,3,FALSE),IF(AND(B6="CU",B5=$AF$5,B7="1x"),VLOOKUP(B8,$AF$10:$AH$27,3,FALSE),IF(AND(B6="CU",B5=$AF$5,B7="2x"),VLOOKUP(B8,$AF$29:$AH$46,3,FALSE),IF(AND(B6="CU",B5=$AF$5,B7="3x"),VLOOKUP(B8,$AF$48:$AH$65,3,FALSE),IF(AND(B6="CU",B5=$AF$5,B7="4x"),VLOOKUP(B8,$AF$67:$AH$84,3,FALSE),IF(AND(B6="CU",B5=$AF$5,B7="5x"),VLOOKUP(B8,$AF$86:$AH$103,3,FALSE),IF(AND(B6="CU",B5=$AJ$5,B7="1x"),VLOOKUP(B8,$AJ$10:$AL$27,3,FALSE),IF(AND(B6="CU",B5=$AJ$5,B7="2x"),VLOOKUP(B8,$AJ$29:$AL$46,3,FALSE),IF(AND(B6="CU",B5=$AJ$5,B7="3x"),VLOOKUP(B8,$AJ$48:$AL$65,3,FALSE),IF(AND(B6="CU",B5=$AJ$5,B7="4x"),VLOOKUP(B8,$AJ$67:$AL$84,3,FALSE),IF(AND(B6="CU",B5=$AJ$5,B7="5x"),VLOOKUP(B8,$AJ$86:$AL$103,3,FALSE),IF(AND(B6="CU",B5=$AN$5,B7="1x"),VLOOKUP(B8,$AN$10:$AP$27,3,FALSE),IF(AND(B6="CU",B5=$AN$5,B7="2x"),VLOOKUP(B8,$AN$29:$AP$46,3,FALSE),IF(AND(B6="CU",B5=$AN$5,B7="3x"),VLOOKUP(B8,$AN$48:$AP$65,3,FALSE),IF(AND(B6="CU",B5=$AN$5,B7="4x"),VLOOKUP(B8,$AN$67:$AP$84,3,FALSE),IF(AND(B6="CU",B5=$AN$5,B7="5x"),VLOOKUP(B8,$AN$86:$AP$103,3,FALSE),IF(AND(B6="CU",B5=$AR$5,B7="1x"),VLOOKUP(B8,$AR$10:$AT$27,3,FALSE),IF(AND(B6="CU",B5=$AR$5,B7="2x"),VLOOKUP(B8,$AR$29:$AT$46,3,FALSE),IF(AND(B6="CU",B5=$AR$5,B7="3x"),VLOOKUP(B8,$AR$48:$AT$65,3,FALSE),IF(AND(B6="CU",B5=$AR$5,B7="4x"),VLOOKUP(B8,$AR$67:$AT$84,3,FALSE),IF(AND(B6="CU",B5=$AR$5,B7="5x"),VLOOKUP(B8,$AR$86:$AT$103,3,FALSE))))))))))))))))))))))))))</f>
        <v>7.6999999999999999E-2</v>
      </c>
      <c r="AB109" s="177" t="s">
        <v>144</v>
      </c>
      <c r="AC109" s="178"/>
      <c r="AD109" s="179"/>
      <c r="AF109" s="177" t="s">
        <v>145</v>
      </c>
      <c r="AG109" s="178"/>
      <c r="AH109" s="179"/>
      <c r="AJ109" s="183"/>
      <c r="AK109" s="184"/>
      <c r="AL109" s="185"/>
      <c r="AN109" s="177" t="s">
        <v>146</v>
      </c>
      <c r="AO109" s="178"/>
      <c r="AP109" s="179"/>
      <c r="AR109" s="177" t="s">
        <v>147</v>
      </c>
      <c r="AS109" s="178"/>
      <c r="AT109" s="179"/>
    </row>
    <row r="110" spans="24:46" s="1" customFormat="1" ht="15.75" thickBot="1" x14ac:dyDescent="0.3">
      <c r="AB110" s="180"/>
      <c r="AC110" s="181"/>
      <c r="AD110" s="182"/>
      <c r="AF110" s="180"/>
      <c r="AG110" s="181"/>
      <c r="AH110" s="182"/>
      <c r="AJ110" s="186"/>
      <c r="AK110" s="187"/>
      <c r="AL110" s="188"/>
      <c r="AN110" s="180"/>
      <c r="AO110" s="181"/>
      <c r="AP110" s="182"/>
      <c r="AR110" s="180"/>
      <c r="AS110" s="181"/>
      <c r="AT110" s="182"/>
    </row>
    <row r="111" spans="24:46" s="1" customFormat="1" ht="15.75" thickBot="1" x14ac:dyDescent="0.3">
      <c r="AB111" s="189" t="s">
        <v>148</v>
      </c>
      <c r="AC111" s="190"/>
      <c r="AD111" s="191"/>
      <c r="AF111" s="189" t="s">
        <v>148</v>
      </c>
      <c r="AG111" s="190"/>
      <c r="AH111" s="191"/>
      <c r="AJ111" s="192"/>
      <c r="AK111" s="193"/>
      <c r="AL111" s="194"/>
      <c r="AN111" s="189" t="s">
        <v>148</v>
      </c>
      <c r="AO111" s="190"/>
      <c r="AP111" s="191"/>
      <c r="AR111" s="189" t="s">
        <v>148</v>
      </c>
      <c r="AS111" s="190"/>
      <c r="AT111" s="191"/>
    </row>
    <row r="112" spans="24:46" s="1" customFormat="1" ht="15.75" thickBot="1" x14ac:dyDescent="0.3">
      <c r="AB112" s="85" t="s">
        <v>119</v>
      </c>
      <c r="AC112" s="86" t="s">
        <v>18</v>
      </c>
      <c r="AD112" s="87" t="s">
        <v>19</v>
      </c>
      <c r="AF112" s="85" t="s">
        <v>119</v>
      </c>
      <c r="AG112" s="86" t="s">
        <v>18</v>
      </c>
      <c r="AH112" s="87" t="s">
        <v>19</v>
      </c>
      <c r="AJ112" s="88"/>
      <c r="AK112" s="89"/>
      <c r="AL112" s="90"/>
      <c r="AN112" s="91"/>
      <c r="AO112" s="86" t="s">
        <v>18</v>
      </c>
      <c r="AP112" s="87" t="s">
        <v>19</v>
      </c>
      <c r="AR112" s="85" t="s">
        <v>119</v>
      </c>
      <c r="AS112" s="86" t="s">
        <v>18</v>
      </c>
      <c r="AT112" s="87" t="s">
        <v>19</v>
      </c>
    </row>
    <row r="113" spans="28:46" s="1" customFormat="1" x14ac:dyDescent="0.25">
      <c r="AB113" s="74">
        <v>16</v>
      </c>
      <c r="AC113" s="77">
        <v>1.91</v>
      </c>
      <c r="AD113" s="78">
        <v>9.0999999999999998E-2</v>
      </c>
      <c r="AF113" s="74">
        <v>16</v>
      </c>
      <c r="AG113" s="77">
        <v>1.91</v>
      </c>
      <c r="AH113" s="78">
        <v>6.9000000000000006E-2</v>
      </c>
      <c r="AJ113" s="74">
        <v>16</v>
      </c>
      <c r="AK113" s="77"/>
      <c r="AL113" s="78"/>
      <c r="AN113" s="74">
        <v>16</v>
      </c>
      <c r="AO113" s="77">
        <v>1.91</v>
      </c>
      <c r="AP113" s="78">
        <v>6.9000000000000006E-2</v>
      </c>
      <c r="AR113" s="74">
        <v>16</v>
      </c>
      <c r="AS113" s="77">
        <v>1.91</v>
      </c>
      <c r="AT113" s="78">
        <v>6.9000000000000006E-2</v>
      </c>
    </row>
    <row r="114" spans="28:46" s="1" customFormat="1" x14ac:dyDescent="0.25">
      <c r="AB114" s="63">
        <v>25</v>
      </c>
      <c r="AC114" s="61">
        <v>1.2</v>
      </c>
      <c r="AD114" s="62">
        <v>8.4000000000000005E-2</v>
      </c>
      <c r="AF114" s="63">
        <v>25</v>
      </c>
      <c r="AG114" s="61">
        <v>1.2</v>
      </c>
      <c r="AH114" s="62">
        <v>8.4000000000000005E-2</v>
      </c>
      <c r="AJ114" s="63">
        <v>25</v>
      </c>
      <c r="AK114" s="59"/>
      <c r="AL114" s="60"/>
      <c r="AN114" s="63">
        <v>25</v>
      </c>
      <c r="AO114" s="61">
        <v>1.2</v>
      </c>
      <c r="AP114" s="62">
        <v>8.4000000000000005E-2</v>
      </c>
      <c r="AR114" s="63">
        <v>25</v>
      </c>
      <c r="AS114" s="61">
        <v>1.2</v>
      </c>
      <c r="AT114" s="62">
        <v>8.4000000000000005E-2</v>
      </c>
    </row>
    <row r="115" spans="28:46" s="1" customFormat="1" x14ac:dyDescent="0.25">
      <c r="AB115" s="63">
        <v>35</v>
      </c>
      <c r="AC115" s="61">
        <v>0.86799999999999999</v>
      </c>
      <c r="AD115" s="62">
        <v>8.2000000000000003E-2</v>
      </c>
      <c r="AF115" s="63">
        <v>35</v>
      </c>
      <c r="AG115" s="61">
        <v>0.86799999999999999</v>
      </c>
      <c r="AH115" s="62">
        <v>8.2000000000000003E-2</v>
      </c>
      <c r="AJ115" s="63">
        <v>35</v>
      </c>
      <c r="AK115" s="59"/>
      <c r="AL115" s="60"/>
      <c r="AN115" s="63">
        <v>35</v>
      </c>
      <c r="AO115" s="61">
        <v>0.86799999999999999</v>
      </c>
      <c r="AP115" s="62">
        <v>8.2000000000000003E-2</v>
      </c>
      <c r="AR115" s="63">
        <v>35</v>
      </c>
      <c r="AS115" s="61">
        <v>0.86799999999999999</v>
      </c>
      <c r="AT115" s="62">
        <v>8.2000000000000003E-2</v>
      </c>
    </row>
    <row r="116" spans="28:46" s="1" customFormat="1" x14ac:dyDescent="0.25">
      <c r="AB116" s="63">
        <v>50</v>
      </c>
      <c r="AC116" s="61">
        <v>0.64100000000000001</v>
      </c>
      <c r="AD116" s="62">
        <v>8.1000000000000003E-2</v>
      </c>
      <c r="AF116" s="63">
        <v>50</v>
      </c>
      <c r="AG116" s="61">
        <v>0.64100000000000001</v>
      </c>
      <c r="AH116" s="62">
        <v>8.1000000000000003E-2</v>
      </c>
      <c r="AJ116" s="63">
        <v>50</v>
      </c>
      <c r="AK116" s="59"/>
      <c r="AL116" s="60"/>
      <c r="AN116" s="63">
        <v>50</v>
      </c>
      <c r="AO116" s="61">
        <v>0.64100000000000001</v>
      </c>
      <c r="AP116" s="62">
        <v>8.1000000000000003E-2</v>
      </c>
      <c r="AR116" s="63">
        <v>50</v>
      </c>
      <c r="AS116" s="61">
        <v>0.64100000000000001</v>
      </c>
      <c r="AT116" s="62">
        <v>8.1000000000000003E-2</v>
      </c>
    </row>
    <row r="117" spans="28:46" s="1" customFormat="1" x14ac:dyDescent="0.25">
      <c r="AB117" s="63">
        <v>70</v>
      </c>
      <c r="AC117" s="61">
        <v>0.44400000000000001</v>
      </c>
      <c r="AD117" s="62">
        <v>0.08</v>
      </c>
      <c r="AF117" s="63">
        <v>70</v>
      </c>
      <c r="AG117" s="61">
        <v>0.44400000000000001</v>
      </c>
      <c r="AH117" s="62">
        <v>0.08</v>
      </c>
      <c r="AJ117" s="63">
        <v>70</v>
      </c>
      <c r="AK117" s="59"/>
      <c r="AL117" s="60"/>
      <c r="AN117" s="63">
        <v>70</v>
      </c>
      <c r="AO117" s="61">
        <v>0.44400000000000001</v>
      </c>
      <c r="AP117" s="62">
        <v>0.08</v>
      </c>
      <c r="AR117" s="63">
        <v>70</v>
      </c>
      <c r="AS117" s="61">
        <v>0.44400000000000001</v>
      </c>
      <c r="AT117" s="62">
        <v>0.08</v>
      </c>
    </row>
    <row r="118" spans="28:46" s="1" customFormat="1" ht="14.45" customHeight="1" x14ac:dyDescent="0.25">
      <c r="AB118" s="63">
        <v>95</v>
      </c>
      <c r="AC118" s="61">
        <v>0.32100000000000001</v>
      </c>
      <c r="AD118" s="62">
        <v>7.8E-2</v>
      </c>
      <c r="AF118" s="63">
        <v>95</v>
      </c>
      <c r="AG118" s="61">
        <v>0.32100000000000001</v>
      </c>
      <c r="AH118" s="62">
        <v>7.8E-2</v>
      </c>
      <c r="AJ118" s="63">
        <v>95</v>
      </c>
      <c r="AK118" s="59"/>
      <c r="AL118" s="60"/>
      <c r="AN118" s="63">
        <v>95</v>
      </c>
      <c r="AO118" s="61">
        <v>0.32100000000000001</v>
      </c>
      <c r="AP118" s="62">
        <v>7.8E-2</v>
      </c>
      <c r="AR118" s="63">
        <v>95</v>
      </c>
      <c r="AS118" s="61">
        <v>0.32100000000000001</v>
      </c>
      <c r="AT118" s="62">
        <v>7.8E-2</v>
      </c>
    </row>
    <row r="119" spans="28:46" s="1" customFormat="1" x14ac:dyDescent="0.25">
      <c r="AB119" s="63">
        <v>120</v>
      </c>
      <c r="AC119" s="61">
        <v>0.254</v>
      </c>
      <c r="AD119" s="62">
        <v>7.6999999999999999E-2</v>
      </c>
      <c r="AF119" s="63">
        <v>120</v>
      </c>
      <c r="AG119" s="61">
        <v>0.254</v>
      </c>
      <c r="AH119" s="62">
        <v>7.6999999999999999E-2</v>
      </c>
      <c r="AJ119" s="63">
        <v>120</v>
      </c>
      <c r="AK119" s="59"/>
      <c r="AL119" s="60"/>
      <c r="AN119" s="63">
        <v>120</v>
      </c>
      <c r="AO119" s="61">
        <v>0.254</v>
      </c>
      <c r="AP119" s="62">
        <v>7.6999999999999999E-2</v>
      </c>
      <c r="AR119" s="63">
        <v>120</v>
      </c>
      <c r="AS119" s="61">
        <v>0.254</v>
      </c>
      <c r="AT119" s="62">
        <v>7.6999999999999999E-2</v>
      </c>
    </row>
    <row r="120" spans="28:46" s="1" customFormat="1" x14ac:dyDescent="0.25">
      <c r="AB120" s="63">
        <v>150</v>
      </c>
      <c r="AC120" s="61">
        <v>0.20699999999999999</v>
      </c>
      <c r="AD120" s="62">
        <v>7.8E-2</v>
      </c>
      <c r="AF120" s="63">
        <v>150</v>
      </c>
      <c r="AG120" s="61">
        <v>0.20699999999999999</v>
      </c>
      <c r="AH120" s="62">
        <v>7.8E-2</v>
      </c>
      <c r="AJ120" s="63">
        <v>150</v>
      </c>
      <c r="AK120" s="59"/>
      <c r="AL120" s="60"/>
      <c r="AN120" s="63">
        <v>150</v>
      </c>
      <c r="AO120" s="61">
        <v>0.20699999999999999</v>
      </c>
      <c r="AP120" s="62">
        <v>7.8E-2</v>
      </c>
      <c r="AR120" s="63">
        <v>150</v>
      </c>
      <c r="AS120" s="61">
        <v>0.20699999999999999</v>
      </c>
      <c r="AT120" s="62">
        <v>7.8E-2</v>
      </c>
    </row>
    <row r="121" spans="28:46" s="1" customFormat="1" x14ac:dyDescent="0.25">
      <c r="AB121" s="63">
        <v>185</v>
      </c>
      <c r="AC121" s="61">
        <v>0.16600000000000001</v>
      </c>
      <c r="AD121" s="62">
        <v>7.8E-2</v>
      </c>
      <c r="AF121" s="63">
        <v>185</v>
      </c>
      <c r="AG121" s="61">
        <v>0.16600000000000001</v>
      </c>
      <c r="AH121" s="62">
        <v>7.8E-2</v>
      </c>
      <c r="AJ121" s="63">
        <v>185</v>
      </c>
      <c r="AK121" s="59"/>
      <c r="AL121" s="60"/>
      <c r="AN121" s="63">
        <v>185</v>
      </c>
      <c r="AO121" s="61">
        <v>0.16600000000000001</v>
      </c>
      <c r="AP121" s="62">
        <v>7.8E-2</v>
      </c>
      <c r="AR121" s="63">
        <v>185</v>
      </c>
      <c r="AS121" s="61">
        <v>0.16600000000000001</v>
      </c>
      <c r="AT121" s="62">
        <v>7.8E-2</v>
      </c>
    </row>
    <row r="122" spans="28:46" s="1" customFormat="1" x14ac:dyDescent="0.25">
      <c r="AB122" s="63">
        <v>240</v>
      </c>
      <c r="AC122" s="61">
        <v>0.127</v>
      </c>
      <c r="AD122" s="62">
        <v>7.6999999999999999E-2</v>
      </c>
      <c r="AF122" s="63">
        <v>240</v>
      </c>
      <c r="AG122" s="61">
        <v>0.127</v>
      </c>
      <c r="AH122" s="62">
        <v>7.6999999999999999E-2</v>
      </c>
      <c r="AJ122" s="63">
        <v>240</v>
      </c>
      <c r="AK122" s="59"/>
      <c r="AL122" s="60"/>
      <c r="AN122" s="63">
        <v>240</v>
      </c>
      <c r="AO122" s="61">
        <v>0.127</v>
      </c>
      <c r="AP122" s="62">
        <v>7.6999999999999999E-2</v>
      </c>
      <c r="AR122" s="63">
        <v>240</v>
      </c>
      <c r="AS122" s="61">
        <v>0.127</v>
      </c>
      <c r="AT122" s="62">
        <v>7.6999999999999999E-2</v>
      </c>
    </row>
    <row r="123" spans="28:46" s="1" customFormat="1" ht="15.75" thickBot="1" x14ac:dyDescent="0.3">
      <c r="AB123" s="65">
        <v>300</v>
      </c>
      <c r="AC123" s="81">
        <v>0.10299999999999999</v>
      </c>
      <c r="AD123" s="82">
        <v>7.6999999999999999E-2</v>
      </c>
      <c r="AF123" s="65">
        <v>300</v>
      </c>
      <c r="AG123" s="81">
        <v>0.10299999999999999</v>
      </c>
      <c r="AH123" s="82">
        <v>7.6999999999999999E-2</v>
      </c>
      <c r="AJ123" s="65">
        <v>300</v>
      </c>
      <c r="AK123" s="66"/>
      <c r="AL123" s="67"/>
      <c r="AN123" s="65">
        <v>300</v>
      </c>
      <c r="AO123" s="81">
        <v>0.10299999999999999</v>
      </c>
      <c r="AP123" s="82">
        <v>7.6999999999999999E-2</v>
      </c>
      <c r="AR123" s="65">
        <v>300</v>
      </c>
      <c r="AS123" s="81">
        <v>0.10299999999999999</v>
      </c>
      <c r="AT123" s="82">
        <v>7.6999999999999999E-2</v>
      </c>
    </row>
    <row r="124" spans="28:46" s="1" customFormat="1" ht="15.75" thickBot="1" x14ac:dyDescent="0.3">
      <c r="AB124" s="50" t="s">
        <v>129</v>
      </c>
      <c r="AC124" s="51" t="s">
        <v>18</v>
      </c>
      <c r="AD124" s="52" t="s">
        <v>19</v>
      </c>
      <c r="AF124" s="50" t="s">
        <v>129</v>
      </c>
      <c r="AG124" s="51" t="s">
        <v>18</v>
      </c>
      <c r="AH124" s="52" t="s">
        <v>19</v>
      </c>
      <c r="AJ124" s="50" t="s">
        <v>129</v>
      </c>
      <c r="AK124" s="51" t="s">
        <v>18</v>
      </c>
      <c r="AL124" s="52" t="s">
        <v>19</v>
      </c>
      <c r="AN124" s="50" t="s">
        <v>129</v>
      </c>
      <c r="AO124" s="51" t="s">
        <v>18</v>
      </c>
      <c r="AP124" s="52" t="s">
        <v>19</v>
      </c>
      <c r="AR124" s="92" t="s">
        <v>129</v>
      </c>
      <c r="AS124" s="51" t="s">
        <v>18</v>
      </c>
      <c r="AT124" s="52" t="s">
        <v>19</v>
      </c>
    </row>
    <row r="125" spans="28:46" s="1" customFormat="1" x14ac:dyDescent="0.25">
      <c r="AB125" s="83">
        <v>16</v>
      </c>
      <c r="AC125" s="54"/>
      <c r="AD125" s="55"/>
      <c r="AF125" s="83">
        <v>16</v>
      </c>
      <c r="AG125" s="56">
        <v>1.91</v>
      </c>
      <c r="AH125" s="57">
        <v>7.1999999999999995E-2</v>
      </c>
      <c r="AJ125" s="83">
        <v>16</v>
      </c>
      <c r="AK125" s="54"/>
      <c r="AL125" s="55"/>
      <c r="AN125" s="83">
        <v>16</v>
      </c>
      <c r="AO125" s="56">
        <v>1.91</v>
      </c>
      <c r="AP125" s="57">
        <v>7.1999999999999995E-2</v>
      </c>
      <c r="AR125" s="83">
        <v>16</v>
      </c>
      <c r="AS125" s="56">
        <v>1.91</v>
      </c>
      <c r="AT125" s="57">
        <v>7.1999999999999995E-2</v>
      </c>
    </row>
    <row r="126" spans="28:46" s="1" customFormat="1" x14ac:dyDescent="0.25">
      <c r="AB126" s="63">
        <v>25</v>
      </c>
      <c r="AC126" s="59"/>
      <c r="AD126" s="60"/>
      <c r="AF126" s="63">
        <v>25</v>
      </c>
      <c r="AG126" s="61">
        <v>1.2</v>
      </c>
      <c r="AH126" s="62">
        <v>8.6999999999999994E-2</v>
      </c>
      <c r="AJ126" s="63">
        <v>25</v>
      </c>
      <c r="AK126" s="59"/>
      <c r="AL126" s="60"/>
      <c r="AN126" s="63">
        <v>25</v>
      </c>
      <c r="AO126" s="61">
        <v>1.2</v>
      </c>
      <c r="AP126" s="62">
        <v>8.6999999999999994E-2</v>
      </c>
      <c r="AR126" s="63">
        <v>25</v>
      </c>
      <c r="AS126" s="61">
        <v>1.2</v>
      </c>
      <c r="AT126" s="62">
        <v>8.6999999999999994E-2</v>
      </c>
    </row>
    <row r="127" spans="28:46" s="1" customFormat="1" x14ac:dyDescent="0.25">
      <c r="AB127" s="63">
        <v>35</v>
      </c>
      <c r="AC127" s="59"/>
      <c r="AD127" s="60"/>
      <c r="AF127" s="63">
        <v>35</v>
      </c>
      <c r="AG127" s="59"/>
      <c r="AH127" s="60"/>
      <c r="AJ127" s="63">
        <v>35</v>
      </c>
      <c r="AK127" s="59"/>
      <c r="AL127" s="60"/>
      <c r="AN127" s="63">
        <v>35</v>
      </c>
      <c r="AO127" s="59"/>
      <c r="AP127" s="60"/>
      <c r="AR127" s="63">
        <v>35</v>
      </c>
      <c r="AS127" s="59"/>
      <c r="AT127" s="60"/>
    </row>
    <row r="128" spans="28:46" s="1" customFormat="1" x14ac:dyDescent="0.25">
      <c r="AB128" s="63">
        <v>50</v>
      </c>
      <c r="AC128" s="59"/>
      <c r="AD128" s="60"/>
      <c r="AF128" s="63">
        <v>50</v>
      </c>
      <c r="AG128" s="59"/>
      <c r="AH128" s="60"/>
      <c r="AJ128" s="63">
        <v>50</v>
      </c>
      <c r="AK128" s="59"/>
      <c r="AL128" s="60"/>
      <c r="AN128" s="63">
        <v>50</v>
      </c>
      <c r="AO128" s="59"/>
      <c r="AP128" s="60"/>
      <c r="AR128" s="63">
        <v>50</v>
      </c>
      <c r="AS128" s="59"/>
      <c r="AT128" s="60"/>
    </row>
    <row r="129" spans="24:46" s="1" customFormat="1" x14ac:dyDescent="0.25">
      <c r="AB129" s="63">
        <v>70</v>
      </c>
      <c r="AC129" s="59"/>
      <c r="AD129" s="60"/>
      <c r="AF129" s="63">
        <v>70</v>
      </c>
      <c r="AG129" s="59"/>
      <c r="AH129" s="60"/>
      <c r="AJ129" s="63">
        <v>70</v>
      </c>
      <c r="AK129" s="59"/>
      <c r="AL129" s="60"/>
      <c r="AN129" s="63">
        <v>70</v>
      </c>
      <c r="AO129" s="59"/>
      <c r="AP129" s="60"/>
      <c r="AR129" s="63">
        <v>70</v>
      </c>
      <c r="AS129" s="59"/>
      <c r="AT129" s="60"/>
    </row>
    <row r="130" spans="24:46" s="1" customFormat="1" x14ac:dyDescent="0.25">
      <c r="AB130" s="63">
        <v>95</v>
      </c>
      <c r="AC130" s="59"/>
      <c r="AD130" s="60"/>
      <c r="AF130" s="63">
        <v>95</v>
      </c>
      <c r="AG130" s="59"/>
      <c r="AH130" s="60"/>
      <c r="AJ130" s="63">
        <v>95</v>
      </c>
      <c r="AK130" s="59"/>
      <c r="AL130" s="60"/>
      <c r="AN130" s="63">
        <v>95</v>
      </c>
      <c r="AO130" s="59"/>
      <c r="AP130" s="60"/>
      <c r="AR130" s="63">
        <v>95</v>
      </c>
      <c r="AS130" s="59"/>
      <c r="AT130" s="60"/>
    </row>
    <row r="131" spans="24:46" s="1" customFormat="1" x14ac:dyDescent="0.25">
      <c r="AB131" s="63">
        <v>120</v>
      </c>
      <c r="AC131" s="59"/>
      <c r="AD131" s="60"/>
      <c r="AF131" s="63">
        <v>120</v>
      </c>
      <c r="AG131" s="59"/>
      <c r="AH131" s="60"/>
      <c r="AJ131" s="63">
        <v>120</v>
      </c>
      <c r="AK131" s="59"/>
      <c r="AL131" s="60"/>
      <c r="AN131" s="63">
        <v>120</v>
      </c>
      <c r="AO131" s="59"/>
      <c r="AP131" s="60"/>
      <c r="AR131" s="63">
        <v>120</v>
      </c>
      <c r="AS131" s="59"/>
      <c r="AT131" s="60"/>
    </row>
    <row r="132" spans="24:46" s="1" customFormat="1" x14ac:dyDescent="0.25">
      <c r="AB132" s="63">
        <v>150</v>
      </c>
      <c r="AC132" s="59"/>
      <c r="AD132" s="60"/>
      <c r="AF132" s="63">
        <v>150</v>
      </c>
      <c r="AG132" s="59"/>
      <c r="AH132" s="60"/>
      <c r="AJ132" s="63">
        <v>150</v>
      </c>
      <c r="AK132" s="59"/>
      <c r="AL132" s="60"/>
      <c r="AN132" s="63">
        <v>150</v>
      </c>
      <c r="AO132" s="59"/>
      <c r="AP132" s="60"/>
      <c r="AR132" s="63">
        <v>150</v>
      </c>
      <c r="AS132" s="59"/>
      <c r="AT132" s="60"/>
    </row>
    <row r="133" spans="24:46" s="1" customFormat="1" x14ac:dyDescent="0.25">
      <c r="AB133" s="63">
        <v>185</v>
      </c>
      <c r="AC133" s="59"/>
      <c r="AD133" s="60"/>
      <c r="AF133" s="63">
        <v>185</v>
      </c>
      <c r="AG133" s="59"/>
      <c r="AH133" s="60"/>
      <c r="AJ133" s="63">
        <v>185</v>
      </c>
      <c r="AK133" s="59"/>
      <c r="AL133" s="60"/>
      <c r="AN133" s="63">
        <v>185</v>
      </c>
      <c r="AO133" s="59"/>
      <c r="AP133" s="60"/>
      <c r="AR133" s="63">
        <v>185</v>
      </c>
      <c r="AS133" s="59"/>
      <c r="AT133" s="60"/>
    </row>
    <row r="134" spans="24:46" s="1" customFormat="1" x14ac:dyDescent="0.25">
      <c r="AB134" s="63">
        <v>240</v>
      </c>
      <c r="AC134" s="59"/>
      <c r="AD134" s="60"/>
      <c r="AF134" s="63">
        <v>240</v>
      </c>
      <c r="AG134" s="59"/>
      <c r="AH134" s="60"/>
      <c r="AJ134" s="63">
        <v>240</v>
      </c>
      <c r="AK134" s="59"/>
      <c r="AL134" s="60"/>
      <c r="AN134" s="63">
        <v>240</v>
      </c>
      <c r="AO134" s="59"/>
      <c r="AP134" s="60"/>
      <c r="AR134" s="63">
        <v>240</v>
      </c>
      <c r="AS134" s="59"/>
      <c r="AT134" s="60"/>
    </row>
    <row r="135" spans="24:46" s="1" customFormat="1" ht="15.75" thickBot="1" x14ac:dyDescent="0.3">
      <c r="AB135" s="65">
        <v>300</v>
      </c>
      <c r="AC135" s="66"/>
      <c r="AD135" s="67"/>
      <c r="AF135" s="65">
        <v>300</v>
      </c>
      <c r="AG135" s="66"/>
      <c r="AH135" s="67"/>
      <c r="AJ135" s="65">
        <v>300</v>
      </c>
      <c r="AK135" s="66"/>
      <c r="AL135" s="67"/>
      <c r="AN135" s="65">
        <v>300</v>
      </c>
      <c r="AO135" s="66"/>
      <c r="AP135" s="67"/>
      <c r="AR135" s="65">
        <v>300</v>
      </c>
      <c r="AS135" s="66"/>
      <c r="AT135" s="67"/>
    </row>
    <row r="136" spans="24:46" s="1" customFormat="1" x14ac:dyDescent="0.25"/>
    <row r="137" spans="24:46" s="1" customFormat="1" x14ac:dyDescent="0.25">
      <c r="AC137" s="1" t="b">
        <f>IF(AND($B$6="AL",$B$5=AB5,$B$7="4x"),VLOOKUP($B$8,AB113:AD123,2,FALSE),IF(AND($B$6="AL",$B$5=AB5,$B$7="5x"),VLOOKUP($B$8,AB125:AD135,2,FALSE)))</f>
        <v>0</v>
      </c>
      <c r="AD137" s="1" t="b">
        <f>IF(AND($B$6="AL",$B$5=AB5,$B$7="4x"),VLOOKUP($B$8,AB113:AD123,3,FALSE),IF(AND($B$6="AL",$B$5=AB5,$B$7="5x"),VLOOKUP($B$8,AB125:AD135,3,FALSE)))</f>
        <v>0</v>
      </c>
      <c r="AG137" s="1" t="b">
        <f>IF(AND($B$6="AL",$B$5=AF5,$B$7="4x"),VLOOKUP($B$8,AF113:AH123,2,FALSE),IF(AND($B$6="AL",$B$5=AF5,$B$7="5x"),VLOOKUP($B$8,AF125:AH135,2,FALSE)))</f>
        <v>0</v>
      </c>
      <c r="AH137" s="1" t="b">
        <f>IF(AND($B$6="AL",$B$5=AF5,$B$7="4x"),VLOOKUP($B$8,AF113:AH123,3,FALSE),IF(AND($B$6="AL",$B$5=AF5,$B$7="5x"),VLOOKUP($B$8,AF125:AH135,3,FALSE)))</f>
        <v>0</v>
      </c>
      <c r="AK137" s="1" t="b">
        <f>IF(AND($B$6="AL",$B$5=AJ5,$B$7="4x"),VLOOKUP($B$8,AJ113:AL123,2,FALSE),IF(AND($B$6="AL",$B$5=AJ5,$B$7="5x"),VLOOKUP($B$8,AJ125:AL135,2,FALSE)))</f>
        <v>0</v>
      </c>
      <c r="AL137" s="1" t="b">
        <f>IF(AND($B$6="AL",$B$5=AJ5,$B$7="4x"),VLOOKUP($B$8,AJ113:AL123,3,FALSE),IF(AND($B$6="AL",$B$5=AJ5,$B$7="5x"),VLOOKUP($B$8,AJ125:AL135,3,FALSE)))</f>
        <v>0</v>
      </c>
      <c r="AO137" s="1" t="b">
        <f>IF(AND($B$6="AL",$B$5=AN5,$B$7="4x"),VLOOKUP($B$8,AN113:AP123,2,FALSE),IF(AND($B$6="AL",$B$5=AN5,$B$7="5x"),VLOOKUP($B$8,AN125:AP135,2,FALSE)))</f>
        <v>0</v>
      </c>
      <c r="AP137" s="1" t="b">
        <f>IF(AND($B$6="AL",$B$5=AN5,$B$7="4x"),VLOOKUP($B$8,AN113:AP123,3,FALSE),IF(AND($B$6="AL",$B$5=AN5,$B$7="5x"),VLOOKUP($B$8,AN125:AP135,3,FALSE)))</f>
        <v>0</v>
      </c>
      <c r="AS137" s="1" t="b">
        <f>IF(AND($B$6="AL",$B$5=AR5,$B$7="4x"),VLOOKUP($B$8,AR113:AT123,2,FALSE),IF(AND($B$6="AL",$B$5=AR5,$B$7="5x"),VLOOKUP($B$8,AR125:AT135,2,FALSE)))</f>
        <v>0</v>
      </c>
      <c r="AT137" s="1" t="b">
        <f>IF(AND($B$6="AL",$B$5=AR5,$B$7="4x"),VLOOKUP($B$8,AR113:AT123,3,FALSE),IF(AND($B$6="AL",$B$5=AR5,$B$7="5x"),VLOOKUP($B$8,AR125:AT135,3,FALSE)))</f>
        <v>0</v>
      </c>
    </row>
    <row r="138" spans="24:46" s="1" customFormat="1" x14ac:dyDescent="0.25">
      <c r="X138" s="1" t="s">
        <v>18</v>
      </c>
      <c r="Y138" s="1" t="s">
        <v>19</v>
      </c>
      <c r="AC138" s="1" t="b">
        <f>IF(AND(B6="AL",B5=$AB$5,B7="4x"),VLOOKUP(B8,$AB$113:$AD$123,2,FALSE),IF(AND(B6="AL",B5=$AB$5,B7="5x"),VLOOKUP(B8,$AB$125:$AD$135,2,FALSE)))</f>
        <v>0</v>
      </c>
      <c r="AD138" s="1" t="b">
        <f>IF(AND(B6="AL",B5=$AB$5,B7="4x"),VLOOKUP(B8,$AB$113:$AD$123,3,FALSE),IF(AND(B6="AL",B5=$AB$5,B7="5x"),VLOOKUP(B8,$AB$125:$AD$135,3,FALSE)))</f>
        <v>0</v>
      </c>
      <c r="AG138" s="1" t="b">
        <f>IF(AND(B6="AL",B5=$AF$5,B7="4x"),VLOOKUP(B8,$AF$113:$AH$123,2,FALSE),IF(AND(B6="AL",B5=$AF$5,B7="5x"),VLOOKUP(B8,$AF$125:$AH$135,2,FALSE)))</f>
        <v>0</v>
      </c>
      <c r="AH138" s="1" t="b">
        <f>IF(AND(B6="AL",B5=$AF$5,B7="4x"),VLOOKUP(B8,$AF$113:$AH$123,3,FALSE),IF(AND(B6="AL",B5=$AF$5,B7="5x"),VLOOKUP(B8,$AF$125:$AH$135,3,FALSE)))</f>
        <v>0</v>
      </c>
      <c r="AK138" s="1" t="b">
        <f>IF(AND(B6="AL",B5=$AJ$5,B7="4x"),VLOOKUP(B8,$AJ$113:$AL$123,2,FALSE),IF(AND(B6="AL",B5=$AJ$5,B7="5x"),VLOOKUP(B8,$AJ$125:$AL$135,2,FALSE)))</f>
        <v>0</v>
      </c>
      <c r="AL138" s="1" t="b">
        <f>IF(AND(B6="AL",B5=$AJ$5,B7="4x"),VLOOKUP(B8,$AJ$113:$AL$123,3,FALSE),IF(AND(B6="AL",B5=$AJ$5,B7="5x"),VLOOKUP(B8,$AJ$125:$AL$135,3,FALSE)))</f>
        <v>0</v>
      </c>
      <c r="AO138" s="1" t="b">
        <f>IF(AND(B6="AL",B5=$AN$5,B7="4x"),VLOOKUP(B8,$AN$113:$AP$123,2,FALSE),IF(AND(B6="AL",B5=$AN$5,B7="5x"),VLOOKUP(B8,$AN$125:$AP$135,2,FALSE)))</f>
        <v>0</v>
      </c>
      <c r="AP138" s="1" t="b">
        <f>IF(AND(B6="AL",B5=$AN$5,B7="4x"),VLOOKUP(B8,$AN$113:$AP$123,3,FALSE),IF(AND(B6="AL",B5=$AN$5,B7="5x"),VLOOKUP(B8,$AN$125:$AP$135,3,FALSE)))</f>
        <v>0</v>
      </c>
      <c r="AS138" s="1" t="b">
        <f>IF(AND(B6="AL",B5=$AR$5,B7="4x"),VLOOKUP(B8,$AR$113:$AT$123,2,FALSE),IF(AND(B6="AL",B5=$AR$5,B7="5x"),VLOOKUP(B8,$AR$125:$AT$135,2,FALSE)))</f>
        <v>0</v>
      </c>
      <c r="AT138" s="1" t="b">
        <f>IF(AND(B6="AL",B5=$AR$5,B7="4x"),VLOOKUP(B8,$AR$113:$AT$123,3,FALSE),IF(AND(B6="AL",B5=$AR$5,B7="5x"),VLOOKUP(B8,$AR$125:$AT$135,3,FALSE)))</f>
        <v>0</v>
      </c>
    </row>
    <row r="139" spans="24:46" s="1" customFormat="1" x14ac:dyDescent="0.25">
      <c r="X139" s="1" t="b">
        <f>IF(AND($B$6="AL",$B$5=AB5,$B$7="4x"),VLOOKUP($B$8,AB113:AD123,2,FALSE),IF(AND($B$6="AL",$B$5=AB5,$B$7="5x"),VLOOKUP($B$8,AB125:AD135,2,FALSE),IF(AND($B$6="AL",$B$5=AF5,$B$7="4x"),VLOOKUP($B$8,AF113:AH123,2,FALSE),IF(AND($B$6="AL",$B$5=AF5,$B$7="5x"),VLOOKUP($B$8,AF125:AH135,2,FALSE),IF(AND($B$6="AL",$B$5=AJ5,$B$7="4x"),VLOOKUP($B$8,AJ113:AL123,2,FALSE),IF(AND($B$6="AL",$B$5=AJ5,$B$7="5x"),VLOOKUP($B$8,AJ125:AL135,2,FALSE),IF(AND($B$6="AL",$B$5=AN5,$B$7="4x"),VLOOKUP($B$8,AN113:AP123,2,FALSE),IF(AND($B$6="AL",$B$5=AN5,$B$7="5x"),VLOOKUP($B$8,AN125:AP135,2,FALSE),IF(AND($B$6="AL",$B$5=AR5,$B$7="4x"),VLOOKUP($B$8,AR113:AT123,2,FALSE),IF(AND($B$6="AL",$B$5=AR5,$B$7="5x"),VLOOKUP($B$8,AR125:AT135,2,FALSE)))))))))))</f>
        <v>0</v>
      </c>
      <c r="Y139" s="1" t="b">
        <f>IF(AND($B$6="AL",$B$5=AB5,$B$7="4x"),VLOOKUP($B$8,AB113:AD123,3,FALSE),IF(AND($B$6="AL",$B$5=AB5,$B$7="5x"),VLOOKUP($B$8,AB125:AD135,3,FALSE),IF(AND($B$6="AL",$B$5=AF5,$B$7="4x"),VLOOKUP($B$8,AF113:AH123,3,FALSE),IF(AND($B$6="AL",$B$5=AF5,$B$7="5x"),VLOOKUP($B$8,AF125:AH135,3,FALSE),IF(AND($B$6="AL",$B$5=AJ5,$B$7="4x"),VLOOKUP($B$8,AJ113:AL123,3,FALSE),IF(AND($B$6="AL",$B$5=AJ5,$B$7="5x"),VLOOKUP($B$8,AJ125:AL135,3,FALSE),IF(AND($B$6="AL",$B$5=AN5,$B$7="4x"),VLOOKUP($B$8,AN113:AP123,3,FALSE),IF(AND($B$6="AL",$B$5=AN5,$B$7="5x"),VLOOKUP($B$8,AN125:AP135,3,FALSE),IF(AND($B$6="AL",$B$5=AR5,$B$7="4x"),VLOOKUP($B$8,AR113:AT123,3,FALSE),IF(AND($B$6="AL",$B$5=AR5,$B$7="5x"),VLOOKUP($B$8,AR125:AT135,3,FALSE)))))))))))</f>
        <v>0</v>
      </c>
    </row>
    <row r="140" spans="24:46" x14ac:dyDescent="0.25">
      <c r="X140" s="1" t="b">
        <f>IF(AND(B6="AL",B5=$AB$5,B7="4x"),VLOOKUP(B8,$AB$113:$AD$123,2,FALSE),IF(AND(B6="AL",B5=$AB$5,B7="5x"),VLOOKUP(B8,$AB$125:$AD$135,2,FALSE),IF(AND(B6="AL",B5=$AF$5,B7="4x"),VLOOKUP(B8,$AF$113:$AH$123,2,FALSE),IF(AND(B6="AL",B5=$AF$5,B7="5x"),VLOOKUP(B8,$AF$125:$AH$135,2,FALSE),IF(AND(B6="AL",B5=$AJ$5,B7="4x"),VLOOKUP(B8,$AJ$113:$AL$123,2,FALSE),IF(AND(B6="AL",B5=$AJ$5,B7="5x"),VLOOKUP(B8,$AJ$125:$AL$135,2,FALSE),IF(AND(B6="AL",B5=$AN$5,B7="4x"),VLOOKUP(B8,$AN$113:$AP$123,2,FALSE),IF(AND(B6="AL",B5=$AN$5,B7="5x"),VLOOKUP(B8,$AN$125:$AP$135,2,FALSE),IF(AND(B6="AL",B5=$AR$5,B7="4x"),VLOOKUP(B8,$AR$113:$AT$123,2,FALSE),IF(AND(B6="AL",B5=$AR$5,B7="5x"),VLOOKUP(B8,$AR$125:$AT$135,2,FALSE)))))))))))</f>
        <v>0</v>
      </c>
      <c r="Y140" s="1" t="b">
        <f>IF(AND(B6="AL",B5=$AB$5,B7="4x"),VLOOKUP(B8,$AB$113:$AD$123,3,FALSE),IF(AND(B6="AL",B5=$AB$5,B7="5x"),VLOOKUP(B8,$AB$125:$AD$135,3,FALSE),IF(AND(B6="AL",B5=$AF$5,B7="4x"),VLOOKUP(B8,$AF$113:$AH$123,3,FALSE),IF(AND(B6="AL",B5=$AF$5,B7="5x"),VLOOKUP(B8,$AF$125:$AH$135,3,FALSE),IF(AND(B6="AL",B5=$AJ$5,B7="4x"),VLOOKUP(B8,$AJ$113:$AL$123,3,FALSE),IF(AND(B6="AL",B5=$AJ$5,B7="5x"),VLOOKUP(B8,$AJ$125:$AL$135,3,FALSE),IF(AND(B6="AL",B5=$AN$5,B7="4x"),VLOOKUP(B8,$AN$113:$AP$123,3,FALSE),IF(AND(B6="AL",B5=$AN$5,B7="5x"),VLOOKUP(B8,$AN$125:$AP$135,3,FALSE),IF(AND(B6="AL",B5=$AR$5,B7="4x"),VLOOKUP(B8,$AR$113:$AT$123,3,FALSE),IF(AND(B6="AL",B5=$AR$5,B7="5x"),VLOOKUP(B8,$AR$125:$AT$135,3,FALSE)))))))))))</f>
        <v>0</v>
      </c>
    </row>
  </sheetData>
  <sheetProtection sheet="1" objects="1" scenarios="1" selectLockedCells="1"/>
  <mergeCells count="185">
    <mergeCell ref="B36:D36"/>
    <mergeCell ref="F36:H36"/>
    <mergeCell ref="J36:L36"/>
    <mergeCell ref="N36:P36"/>
    <mergeCell ref="R36:T36"/>
    <mergeCell ref="B5:D5"/>
    <mergeCell ref="F5:H5"/>
    <mergeCell ref="J5:L5"/>
    <mergeCell ref="N5:P5"/>
    <mergeCell ref="R5:T5"/>
    <mergeCell ref="R23:T23"/>
    <mergeCell ref="N23:P23"/>
    <mergeCell ref="J23:L23"/>
    <mergeCell ref="F23:H23"/>
    <mergeCell ref="B23:D23"/>
    <mergeCell ref="B21:D21"/>
    <mergeCell ref="F22:H22"/>
    <mergeCell ref="N22:P22"/>
    <mergeCell ref="R22:T22"/>
    <mergeCell ref="B15:D15"/>
    <mergeCell ref="F15:H15"/>
    <mergeCell ref="J15:L15"/>
    <mergeCell ref="N15:P15"/>
    <mergeCell ref="R15:T15"/>
    <mergeCell ref="AF109:AH110"/>
    <mergeCell ref="AJ109:AL110"/>
    <mergeCell ref="AN109:AP110"/>
    <mergeCell ref="AR109:AT110"/>
    <mergeCell ref="AB111:AD111"/>
    <mergeCell ref="AF111:AH111"/>
    <mergeCell ref="AJ111:AL111"/>
    <mergeCell ref="AN111:AP111"/>
    <mergeCell ref="AR111:AT111"/>
    <mergeCell ref="AB109:AD110"/>
    <mergeCell ref="AN8:AP8"/>
    <mergeCell ref="AR8:AT8"/>
    <mergeCell ref="AF6:AH7"/>
    <mergeCell ref="AJ6:AL7"/>
    <mergeCell ref="AN6:AP7"/>
    <mergeCell ref="AR6:AT7"/>
    <mergeCell ref="AB6:AD7"/>
    <mergeCell ref="AB5:AD5"/>
    <mergeCell ref="AF5:AH5"/>
    <mergeCell ref="AJ5:AL5"/>
    <mergeCell ref="AN5:AP5"/>
    <mergeCell ref="AR5:AT5"/>
    <mergeCell ref="AB8:AD8"/>
    <mergeCell ref="AF8:AH8"/>
    <mergeCell ref="AJ8:AL8"/>
    <mergeCell ref="B16:D16"/>
    <mergeCell ref="F16:H16"/>
    <mergeCell ref="J16:L16"/>
    <mergeCell ref="N16:P16"/>
    <mergeCell ref="R16:T16"/>
    <mergeCell ref="R21:T21"/>
    <mergeCell ref="B22:D22"/>
    <mergeCell ref="B34:D34"/>
    <mergeCell ref="F34:H34"/>
    <mergeCell ref="J34:L34"/>
    <mergeCell ref="N34:P34"/>
    <mergeCell ref="R34:T34"/>
    <mergeCell ref="B30:D30"/>
    <mergeCell ref="F30:H30"/>
    <mergeCell ref="J30:L30"/>
    <mergeCell ref="N30:P30"/>
    <mergeCell ref="R30:T30"/>
    <mergeCell ref="B31:D31"/>
    <mergeCell ref="F31:H31"/>
    <mergeCell ref="J31:L31"/>
    <mergeCell ref="N31:P31"/>
    <mergeCell ref="R31:T31"/>
    <mergeCell ref="B27:D27"/>
    <mergeCell ref="F27:H27"/>
    <mergeCell ref="B35:D35"/>
    <mergeCell ref="F35:H35"/>
    <mergeCell ref="J35:L35"/>
    <mergeCell ref="N35:P35"/>
    <mergeCell ref="R35:T35"/>
    <mergeCell ref="B32:D32"/>
    <mergeCell ref="F32:H32"/>
    <mergeCell ref="J32:L32"/>
    <mergeCell ref="N32:P32"/>
    <mergeCell ref="R32:T32"/>
    <mergeCell ref="B33:D33"/>
    <mergeCell ref="F33:H33"/>
    <mergeCell ref="J33:L33"/>
    <mergeCell ref="N33:P33"/>
    <mergeCell ref="R33:T33"/>
    <mergeCell ref="J27:L27"/>
    <mergeCell ref="N27:P27"/>
    <mergeCell ref="R27:T27"/>
    <mergeCell ref="B28:D28"/>
    <mergeCell ref="F28:H28"/>
    <mergeCell ref="J28:L28"/>
    <mergeCell ref="N28:P28"/>
    <mergeCell ref="R28:T28"/>
    <mergeCell ref="B25:D25"/>
    <mergeCell ref="F25:H25"/>
    <mergeCell ref="J25:L25"/>
    <mergeCell ref="N25:P25"/>
    <mergeCell ref="R25:T25"/>
    <mergeCell ref="B26:D26"/>
    <mergeCell ref="F26:H26"/>
    <mergeCell ref="J26:L26"/>
    <mergeCell ref="N26:P26"/>
    <mergeCell ref="R26:T26"/>
    <mergeCell ref="B24:D24"/>
    <mergeCell ref="F24:H24"/>
    <mergeCell ref="J24:L24"/>
    <mergeCell ref="N24:P24"/>
    <mergeCell ref="R24:T24"/>
    <mergeCell ref="B17:D17"/>
    <mergeCell ref="F17:H17"/>
    <mergeCell ref="J17:L17"/>
    <mergeCell ref="N17:P17"/>
    <mergeCell ref="R17:T17"/>
    <mergeCell ref="A20:D20"/>
    <mergeCell ref="E20:H20"/>
    <mergeCell ref="I20:L20"/>
    <mergeCell ref="M20:P20"/>
    <mergeCell ref="Q20:T20"/>
    <mergeCell ref="B18:D18"/>
    <mergeCell ref="F18:H18"/>
    <mergeCell ref="J18:L18"/>
    <mergeCell ref="N18:P18"/>
    <mergeCell ref="R18:T18"/>
    <mergeCell ref="F21:H21"/>
    <mergeCell ref="J21:L21"/>
    <mergeCell ref="N21:P21"/>
    <mergeCell ref="J22:L22"/>
    <mergeCell ref="B13:D13"/>
    <mergeCell ref="F13:H13"/>
    <mergeCell ref="J13:L13"/>
    <mergeCell ref="N13:P13"/>
    <mergeCell ref="R13:T13"/>
    <mergeCell ref="B14:D14"/>
    <mergeCell ref="F14:H14"/>
    <mergeCell ref="J14:L14"/>
    <mergeCell ref="N14:P14"/>
    <mergeCell ref="R14:T14"/>
    <mergeCell ref="B10:D10"/>
    <mergeCell ref="F10:H10"/>
    <mergeCell ref="J10:L10"/>
    <mergeCell ref="N10:P10"/>
    <mergeCell ref="R10:T10"/>
    <mergeCell ref="B12:D12"/>
    <mergeCell ref="F12:H12"/>
    <mergeCell ref="J12:L12"/>
    <mergeCell ref="N12:P12"/>
    <mergeCell ref="R12:T12"/>
    <mergeCell ref="B8:D8"/>
    <mergeCell ref="F8:H8"/>
    <mergeCell ref="J8:L8"/>
    <mergeCell ref="N8:P8"/>
    <mergeCell ref="R8:T8"/>
    <mergeCell ref="B9:D9"/>
    <mergeCell ref="F9:H9"/>
    <mergeCell ref="J9:L9"/>
    <mergeCell ref="N9:P9"/>
    <mergeCell ref="R9:T9"/>
    <mergeCell ref="B6:D6"/>
    <mergeCell ref="F6:H6"/>
    <mergeCell ref="J6:L6"/>
    <mergeCell ref="N6:P6"/>
    <mergeCell ref="R6:T6"/>
    <mergeCell ref="B7:D7"/>
    <mergeCell ref="F7:H7"/>
    <mergeCell ref="J7:L7"/>
    <mergeCell ref="N7:P7"/>
    <mergeCell ref="R7:T7"/>
    <mergeCell ref="A2:D2"/>
    <mergeCell ref="E2:H2"/>
    <mergeCell ref="I2:L2"/>
    <mergeCell ref="M2:P2"/>
    <mergeCell ref="Q2:T2"/>
    <mergeCell ref="B4:D4"/>
    <mergeCell ref="F4:H4"/>
    <mergeCell ref="J4:L4"/>
    <mergeCell ref="N4:P4"/>
    <mergeCell ref="R4:T4"/>
    <mergeCell ref="R3:T3"/>
    <mergeCell ref="N3:P3"/>
    <mergeCell ref="J3:L3"/>
    <mergeCell ref="F3:H3"/>
    <mergeCell ref="B3:D3"/>
  </mergeCells>
  <conditionalFormatting sqref="B18:D18">
    <cfRule type="containsText" dxfId="29" priority="29" operator="containsText" text="Fejl">
      <formula>NOT(ISERROR(SEARCH("Fejl",B18)))</formula>
    </cfRule>
    <cfRule type="containsText" dxfId="28" priority="30" operator="containsText" text="OK">
      <formula>NOT(ISERROR(SEARCH("OK",B18)))</formula>
    </cfRule>
  </conditionalFormatting>
  <conditionalFormatting sqref="B18:D18">
    <cfRule type="containsErrors" dxfId="27" priority="28">
      <formula>ISERROR(B18)</formula>
    </cfRule>
  </conditionalFormatting>
  <conditionalFormatting sqref="F18:H18">
    <cfRule type="containsText" dxfId="26" priority="26" operator="containsText" text="Fejl">
      <formula>NOT(ISERROR(SEARCH("Fejl",F18)))</formula>
    </cfRule>
    <cfRule type="containsText" dxfId="25" priority="27" operator="containsText" text="OK">
      <formula>NOT(ISERROR(SEARCH("OK",F18)))</formula>
    </cfRule>
  </conditionalFormatting>
  <conditionalFormatting sqref="F18:H18">
    <cfRule type="containsErrors" dxfId="24" priority="25">
      <formula>ISERROR(F18)</formula>
    </cfRule>
  </conditionalFormatting>
  <conditionalFormatting sqref="J18:L18">
    <cfRule type="containsText" dxfId="23" priority="23" operator="containsText" text="Fejl">
      <formula>NOT(ISERROR(SEARCH("Fejl",J18)))</formula>
    </cfRule>
    <cfRule type="containsText" dxfId="22" priority="24" operator="containsText" text="OK">
      <formula>NOT(ISERROR(SEARCH("OK",J18)))</formula>
    </cfRule>
  </conditionalFormatting>
  <conditionalFormatting sqref="J18:L18">
    <cfRule type="containsErrors" dxfId="21" priority="22">
      <formula>ISERROR(J18)</formula>
    </cfRule>
  </conditionalFormatting>
  <conditionalFormatting sqref="N18:P18">
    <cfRule type="containsText" dxfId="20" priority="20" operator="containsText" text="Fejl">
      <formula>NOT(ISERROR(SEARCH("Fejl",N18)))</formula>
    </cfRule>
    <cfRule type="containsText" dxfId="19" priority="21" operator="containsText" text="OK">
      <formula>NOT(ISERROR(SEARCH("OK",N18)))</formula>
    </cfRule>
  </conditionalFormatting>
  <conditionalFormatting sqref="N18:P18">
    <cfRule type="containsErrors" dxfId="18" priority="19">
      <formula>ISERROR(N18)</formula>
    </cfRule>
  </conditionalFormatting>
  <conditionalFormatting sqref="R18:T18">
    <cfRule type="containsText" dxfId="17" priority="17" operator="containsText" text="Fejl">
      <formula>NOT(ISERROR(SEARCH("Fejl",R18)))</formula>
    </cfRule>
    <cfRule type="containsText" dxfId="16" priority="18" operator="containsText" text="OK">
      <formula>NOT(ISERROR(SEARCH("OK",R18)))</formula>
    </cfRule>
  </conditionalFormatting>
  <conditionalFormatting sqref="R18:T18">
    <cfRule type="containsErrors" dxfId="15" priority="16">
      <formula>ISERROR(R18)</formula>
    </cfRule>
  </conditionalFormatting>
  <conditionalFormatting sqref="B36:D36">
    <cfRule type="containsText" dxfId="14" priority="14" operator="containsText" text="Fejl">
      <formula>NOT(ISERROR(SEARCH("Fejl",B36)))</formula>
    </cfRule>
    <cfRule type="containsText" dxfId="13" priority="15" operator="containsText" text="OK">
      <formula>NOT(ISERROR(SEARCH("OK",B36)))</formula>
    </cfRule>
  </conditionalFormatting>
  <conditionalFormatting sqref="B36:D36">
    <cfRule type="containsErrors" dxfId="12" priority="13">
      <formula>ISERROR(B36)</formula>
    </cfRule>
  </conditionalFormatting>
  <conditionalFormatting sqref="F36:H36">
    <cfRule type="containsText" dxfId="11" priority="11" operator="containsText" text="Fejl">
      <formula>NOT(ISERROR(SEARCH("Fejl",F36)))</formula>
    </cfRule>
    <cfRule type="containsText" dxfId="10" priority="12" operator="containsText" text="OK">
      <formula>NOT(ISERROR(SEARCH("OK",F36)))</formula>
    </cfRule>
  </conditionalFormatting>
  <conditionalFormatting sqref="F36:H36">
    <cfRule type="containsErrors" dxfId="9" priority="10">
      <formula>ISERROR(F36)</formula>
    </cfRule>
  </conditionalFormatting>
  <conditionalFormatting sqref="J36:L36">
    <cfRule type="containsText" dxfId="8" priority="8" operator="containsText" text="Fejl">
      <formula>NOT(ISERROR(SEARCH("Fejl",J36)))</formula>
    </cfRule>
    <cfRule type="containsText" dxfId="7" priority="9" operator="containsText" text="OK">
      <formula>NOT(ISERROR(SEARCH("OK",J36)))</formula>
    </cfRule>
  </conditionalFormatting>
  <conditionalFormatting sqref="J36:L36">
    <cfRule type="containsErrors" dxfId="6" priority="7">
      <formula>ISERROR(J36)</formula>
    </cfRule>
  </conditionalFormatting>
  <conditionalFormatting sqref="N36:P36">
    <cfRule type="containsText" dxfId="5" priority="5" operator="containsText" text="Fejl">
      <formula>NOT(ISERROR(SEARCH("Fejl",N36)))</formula>
    </cfRule>
    <cfRule type="containsText" dxfId="4" priority="6" operator="containsText" text="OK">
      <formula>NOT(ISERROR(SEARCH("OK",N36)))</formula>
    </cfRule>
  </conditionalFormatting>
  <conditionalFormatting sqref="N36:P36">
    <cfRule type="containsErrors" dxfId="3" priority="4">
      <formula>ISERROR(N36)</formula>
    </cfRule>
  </conditionalFormatting>
  <conditionalFormatting sqref="R36:T36">
    <cfRule type="containsText" dxfId="2" priority="2" operator="containsText" text="Fejl">
      <formula>NOT(ISERROR(SEARCH("Fejl",R36)))</formula>
    </cfRule>
    <cfRule type="containsText" dxfId="1" priority="3" operator="containsText" text="OK">
      <formula>NOT(ISERROR(SEARCH("OK",R36)))</formula>
    </cfRule>
  </conditionalFormatting>
  <conditionalFormatting sqref="R36:T36">
    <cfRule type="containsErrors" dxfId="0" priority="1">
      <formula>ISERROR(R36)</formula>
    </cfRule>
  </conditionalFormatting>
  <dataValidations count="6">
    <dataValidation type="list" allowBlank="1" showInputMessage="1" showErrorMessage="1" sqref="B6 F6 R6 J6 J24 N6 B24 N24 F24 R24" xr:uid="{52ED8796-41E9-439F-93A6-DA0E54D64DAF}">
      <formula1>$BA$6:$BA$7</formula1>
    </dataValidation>
    <dataValidation type="list" allowBlank="1" showInputMessage="1" showErrorMessage="1" sqref="B7:D7 F7:H7 F25:H25 B25:D25 R7:T7 J7:L7 J25:L25 N7:P7" xr:uid="{7790DA56-42BB-4EF2-8301-C9BB56A1CBD2}">
      <formula1>$BB$6:$BB$10</formula1>
    </dataValidation>
    <dataValidation type="list" allowBlank="1" showInputMessage="1" showErrorMessage="1" sqref="N5:P5 J23:L23 J5:L5 R5:T5 B23:D23 R23:T23 F23:H23 N23:P23 F5:H5" xr:uid="{C73444B4-957B-463E-B7DC-4435BD834B84}">
      <formula1>$G$61:$G$65</formula1>
    </dataValidation>
    <dataValidation type="list" allowBlank="1" showInputMessage="1" showErrorMessage="1" sqref="B5:D5" xr:uid="{1028943C-D38B-4A48-A601-F6C9CAECD7D9}">
      <formula1>$G$61:$G$66</formula1>
    </dataValidation>
    <dataValidation type="list" allowBlank="1" showInputMessage="1" showErrorMessage="1" sqref="B8:D8 F8:H8 F26:H26 B26:D26 R8:T8 J8:L8 J26:L26 N8:P8" xr:uid="{704F3CE2-463D-4A3C-82C9-A751A58BE2F9}">
      <formula1>$AB$10:$AB$27</formula1>
    </dataValidation>
    <dataValidation type="list" allowBlank="1" showInputMessage="1" showErrorMessage="1" sqref="B21:D21 F21:H21 J21:L21 N21:P21 R21:T21 B3:D3 F3:H3 J3:L3 N3:P3 R3:T3" xr:uid="{F26C4018-9AC0-432F-BFC8-D06449D8910B}">
      <formula1>$F$67:$F$68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165B-56D0-412B-8675-BBB3764E73A6}">
  <dimension ref="B2:AN39"/>
  <sheetViews>
    <sheetView topLeftCell="B21" zoomScale="85" zoomScaleNormal="85" zoomScaleSheetLayoutView="70" workbookViewId="0">
      <selection activeCell="L20" sqref="L20"/>
    </sheetView>
  </sheetViews>
  <sheetFormatPr defaultColWidth="4.140625" defaultRowHeight="15" x14ac:dyDescent="0.25"/>
  <cols>
    <col min="1" max="1" width="4.140625" style="1"/>
    <col min="2" max="2" width="4.42578125" style="1" customWidth="1"/>
    <col min="3" max="3" width="3.28515625" style="1" customWidth="1"/>
    <col min="4" max="4" width="4.140625" style="1"/>
    <col min="5" max="5" width="7.140625" style="1" customWidth="1"/>
    <col min="6" max="6" width="4.140625" style="1" customWidth="1"/>
    <col min="7" max="10" width="4.140625" style="1"/>
    <col min="11" max="11" width="4.140625" style="1" customWidth="1"/>
    <col min="12" max="18" width="4.140625" style="1"/>
    <col min="19" max="19" width="7.140625" style="1" customWidth="1"/>
    <col min="20" max="20" width="3.28515625" style="1" customWidth="1"/>
    <col min="21" max="22" width="8.85546875" style="1" customWidth="1"/>
    <col min="23" max="40" width="8.85546875" style="1" hidden="1" customWidth="1"/>
    <col min="41" max="49" width="8.85546875" style="1" customWidth="1"/>
    <col min="50" max="16384" width="4.140625" style="1"/>
  </cols>
  <sheetData>
    <row r="2" spans="2:36" x14ac:dyDescent="0.25">
      <c r="B2" s="200" t="s">
        <v>149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2"/>
    </row>
    <row r="3" spans="2:36" x14ac:dyDescent="0.25">
      <c r="B3" s="203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5"/>
      <c r="AG3" s="1" t="s">
        <v>150</v>
      </c>
      <c r="AH3" s="1" t="str">
        <f>Transformer!AB44</f>
        <v>0,0137 ∠68,78</v>
      </c>
      <c r="AJ3" s="1" t="str">
        <f>Transformer!AA44</f>
        <v>0,004944+0,0127309678649966i</v>
      </c>
    </row>
    <row r="4" spans="2:36" x14ac:dyDescent="0.25">
      <c r="B4" s="10"/>
      <c r="U4" s="6"/>
      <c r="AG4" s="1" t="s">
        <v>151</v>
      </c>
      <c r="AH4" s="1" t="e">
        <f>Transformer!AB72</f>
        <v>#DIV/0!</v>
      </c>
      <c r="AJ4" s="1" t="e">
        <f>Transformer!AA72</f>
        <v>#DIV/0!</v>
      </c>
    </row>
    <row r="5" spans="2:36" x14ac:dyDescent="0.25">
      <c r="B5" s="10"/>
      <c r="D5" s="169" t="s">
        <v>150</v>
      </c>
      <c r="E5" s="170"/>
      <c r="F5" s="170"/>
      <c r="G5" s="167"/>
      <c r="H5" s="169" t="s">
        <v>197</v>
      </c>
      <c r="I5" s="167"/>
      <c r="J5" s="169" t="s">
        <v>194</v>
      </c>
      <c r="K5" s="167"/>
      <c r="L5" s="169"/>
      <c r="M5" s="167"/>
      <c r="N5" s="169"/>
      <c r="O5" s="167"/>
      <c r="P5" s="169"/>
      <c r="Q5" s="167"/>
      <c r="R5" s="169"/>
      <c r="S5" s="167"/>
      <c r="U5" s="6"/>
      <c r="AG5" s="1" t="str">
        <f>Kabeldata!B4</f>
        <v>W1</v>
      </c>
      <c r="AH5" s="1" t="str">
        <f>Kabeludskrift!AE6</f>
        <v>0,002753 ∠44,37</v>
      </c>
      <c r="AJ5" s="1" t="str">
        <f>Kabeludskrift!AD6</f>
        <v>0,0019675+0,001925i</v>
      </c>
    </row>
    <row r="6" spans="2:36" x14ac:dyDescent="0.25">
      <c r="B6" s="113"/>
      <c r="C6" s="114"/>
      <c r="D6" s="114"/>
      <c r="E6" s="114"/>
      <c r="R6" s="114"/>
      <c r="S6" s="114"/>
      <c r="T6" s="114"/>
      <c r="U6" s="209"/>
      <c r="AG6" s="49" t="str">
        <f>Kabeldata!F4</f>
        <v>W2</v>
      </c>
      <c r="AH6" s="1" t="str">
        <f>Kabeludskrift!AE9</f>
        <v>0,012922 ∠7,2</v>
      </c>
      <c r="AJ6" s="1" t="str">
        <f>Kabeludskrift!AD9</f>
        <v>0,01282+0,00162i</v>
      </c>
    </row>
    <row r="7" spans="2:36" x14ac:dyDescent="0.25">
      <c r="B7" s="10"/>
      <c r="U7" s="6"/>
      <c r="AG7" s="49" t="str">
        <f>Kabeldata!J4</f>
        <v>W3</v>
      </c>
      <c r="AH7" s="1" t="str">
        <f>Kabeludskrift!AE12</f>
        <v>0,013534 ∠10,21</v>
      </c>
      <c r="AJ7" s="1" t="str">
        <f>Kabeludskrift!AD12</f>
        <v>0,01332+0,0024i</v>
      </c>
    </row>
    <row r="8" spans="2:36" ht="18.75" thickBot="1" x14ac:dyDescent="0.4">
      <c r="B8" s="213" t="s">
        <v>152</v>
      </c>
      <c r="C8" s="214"/>
      <c r="D8" s="118" t="s">
        <v>17</v>
      </c>
      <c r="E8" s="207" t="s">
        <v>12</v>
      </c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208"/>
      <c r="S8" s="118" t="s">
        <v>16</v>
      </c>
      <c r="U8" s="6"/>
      <c r="AG8" s="49" t="str">
        <f>Kabeldata!N4</f>
        <v>W4</v>
      </c>
      <c r="AH8" s="1" t="str">
        <f>Kabeludskrift!AE15</f>
        <v>0,009625 ∠4,15</v>
      </c>
      <c r="AJ8" s="1" t="str">
        <f>Kabeludskrift!AD15</f>
        <v>0,0096+0,000696i</v>
      </c>
    </row>
    <row r="9" spans="2:36" x14ac:dyDescent="0.25">
      <c r="B9" s="213"/>
      <c r="C9" s="214"/>
      <c r="D9" s="118"/>
      <c r="E9" s="117" t="str">
        <f>"√3 · ("&amp;IF(D5="Transformer","ΣZ̅N3f",IF(D5="Oplyst kortslutning","Z̅Nmax",""))&amp;IF(H5="",""," + Z̅"&amp;H5&amp;"max")&amp;IF(J5="",""," + Z̅"&amp;J5&amp;"max")&amp;IF(L5="",""," + Z̅"&amp;L5&amp;"max")&amp;IF(N5="",""," + Z̅"&amp;N5&amp;"max")&amp;IF(P5="",""," + Z̅"&amp;P5&amp;"max")&amp;IF(R5="",""," + Z̅"&amp;R5&amp;"max")&amp;")"</f>
        <v>√3 · (ΣZ̅N3f + Z̅W1max + Z̅W3max)</v>
      </c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206"/>
      <c r="S9" s="118"/>
      <c r="U9" s="6"/>
      <c r="W9" s="1" t="s">
        <v>153</v>
      </c>
      <c r="X9" s="1">
        <v>1</v>
      </c>
      <c r="Y9" s="1">
        <v>2</v>
      </c>
      <c r="Z9" s="1">
        <v>3</v>
      </c>
      <c r="AA9" s="1">
        <v>4</v>
      </c>
      <c r="AB9" s="1">
        <v>5</v>
      </c>
      <c r="AC9" s="1">
        <v>6</v>
      </c>
      <c r="AD9" s="1" t="s">
        <v>154</v>
      </c>
      <c r="AG9" s="49">
        <f>Kabeldata!R4</f>
        <v>0</v>
      </c>
      <c r="AH9" s="1" t="str">
        <f>Kabeludskrift!AE18</f>
        <v>0,073128 ∠6,2</v>
      </c>
      <c r="AJ9" s="1" t="str">
        <f>Kabeludskrift!AD18</f>
        <v>0,0727+0,0079i</v>
      </c>
    </row>
    <row r="10" spans="2:36" x14ac:dyDescent="0.25">
      <c r="B10" s="10"/>
      <c r="U10" s="6"/>
      <c r="W10" s="1" t="str">
        <f>IF(D5="Transformer",AJ3,IF(D5="Oplyst kortslutning",AJ4,"0"))</f>
        <v>0,004944+0,0127309678649966i</v>
      </c>
      <c r="X10" s="1" t="str">
        <f>IF(H5="","0",VLOOKUP(H5,AG5:AJ14,4,FALSE))</f>
        <v>0,0019675+0,001925i</v>
      </c>
      <c r="Y10" s="1" t="str">
        <f>IF(J5="","0",VLOOKUP(J5,AG5:AJ14,4,FALSE))</f>
        <v>0,01332+0,0024i</v>
      </c>
      <c r="Z10" s="1" t="str">
        <f>IF(L5="","0",VLOOKUP(L5,AG5:AJ14,4,FALSE))</f>
        <v>0</v>
      </c>
      <c r="AA10" s="1" t="str">
        <f>IF(N5="","0",VLOOKUP(N5,AG5:AJ14,4,FALSE))</f>
        <v>0</v>
      </c>
      <c r="AB10" s="1" t="str">
        <f>IF(P5="","0",VLOOKUP(P5,AG5:AJ14,4,FALSE))</f>
        <v>0</v>
      </c>
      <c r="AC10" s="1" t="str">
        <f>IF(R5="","0",VLOOKUP(R5,AG5:AJ14,4,FALSE))</f>
        <v>0</v>
      </c>
      <c r="AD10" s="1" t="str">
        <f>IMSUM(W10:AC10)</f>
        <v>0,0202315+0,0170559678649966i</v>
      </c>
      <c r="AG10" s="101">
        <f>Kabeldata!B22</f>
        <v>0</v>
      </c>
      <c r="AH10" s="1" t="str">
        <f>Kabeludskrift!AE21</f>
        <v>0,079294 ∠0,73</v>
      </c>
      <c r="AJ10" s="1" t="str">
        <f>Kabeludskrift!AD21</f>
        <v>0,079287+0,0010165i</v>
      </c>
    </row>
    <row r="11" spans="2:36" ht="15.75" thickBot="1" x14ac:dyDescent="0.3">
      <c r="B11" s="10"/>
      <c r="C11" s="207">
        <v>400</v>
      </c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208"/>
      <c r="T11" s="118" t="s">
        <v>17</v>
      </c>
      <c r="U11" s="124" t="str">
        <f>ROUND(AB12,2)&amp;"kA"</f>
        <v>8,73kA</v>
      </c>
      <c r="AB11" s="1" t="s">
        <v>73</v>
      </c>
      <c r="AC11" s="1" t="s">
        <v>155</v>
      </c>
      <c r="AD11" s="1" t="s">
        <v>0</v>
      </c>
      <c r="AG11" s="49">
        <f>Kabeldata!F22</f>
        <v>0</v>
      </c>
      <c r="AH11" s="1" t="str">
        <f>Kabeludskrift!AE24</f>
        <v>0,002306 ∠4,23</v>
      </c>
      <c r="AJ11" s="1" t="str">
        <f>Kabeludskrift!AD24</f>
        <v>0,0023+0,00017i</v>
      </c>
    </row>
    <row r="12" spans="2:36" x14ac:dyDescent="0.25">
      <c r="B12" s="10"/>
      <c r="C12" s="210" t="str">
        <f>"√3 · ("&amp;IF(D5="Transformer",AH3,IF(D5="Oplyst kortslutning",AH4,""))&amp;")"&amp;IF(H5="","","+("&amp;VLOOKUP(H5,AG5:AH14,2,FALSE)&amp;")"&amp;IF(J5="","","+("&amp;VLOOKUP(J5,AG5:AH14,2,FALSE)&amp;")"&amp;IF(L5="","","+("&amp;VLOOKUP(L5,AG5:AH14,2,FALSE)&amp;")"&amp;IF(N5="","","+("&amp;VLOOKUP(N5,AG5:AH14,2,FALSE)&amp;")"&amp;IF(P5="","","+("&amp;VLOOKUP(P5,AG5:AH14,2,FALSE)&amp;")"&amp;IF(R5="","","+("&amp;VLOOKUP(R5,AG5:AH14,2,FALSE)&amp;")"))))))</f>
        <v>√3 · (0,0137 ∠68,78)+(0,002753 ∠44,37)+(0,013534 ∠10,21)</v>
      </c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2"/>
      <c r="T12" s="118"/>
      <c r="U12" s="124"/>
      <c r="AB12" s="1">
        <f>AC12/1000</f>
        <v>8.7273465703035544</v>
      </c>
      <c r="AC12" s="1">
        <f>400/(SQRT(3)*IMABS(AD10))</f>
        <v>8727.3465703035545</v>
      </c>
      <c r="AD12" s="1">
        <f>ROUND(DEGREES(IMARGUMENT(AD10)),2)</f>
        <v>40.130000000000003</v>
      </c>
      <c r="AG12" s="49">
        <f>Kabeldata!J22</f>
        <v>0</v>
      </c>
      <c r="AH12" s="1" t="str">
        <f>Kabeludskrift!AE27</f>
        <v>0,284197 ∠0,73</v>
      </c>
      <c r="AJ12" s="1" t="str">
        <f>Kabeludskrift!AD27</f>
        <v>0,2841735+0,00364325i</v>
      </c>
    </row>
    <row r="13" spans="2:36" x14ac:dyDescent="0.25">
      <c r="B13" s="10"/>
      <c r="U13" s="6"/>
      <c r="AG13" s="49">
        <f>Kabeldata!N22</f>
        <v>0</v>
      </c>
      <c r="AH13" s="1" t="e">
        <f>Kabeludskrift!AE30</f>
        <v>#DIV/0!</v>
      </c>
      <c r="AJ13" s="1" t="str">
        <f>Kabeludskrift!AD30</f>
        <v>0</v>
      </c>
    </row>
    <row r="14" spans="2:36" x14ac:dyDescent="0.25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/>
      <c r="AG14" s="49">
        <f>Kabeldata!R22</f>
        <v>0</v>
      </c>
      <c r="AH14" s="1" t="e">
        <f>Kabeludskrift!AE33</f>
        <v>#DIV/0!</v>
      </c>
      <c r="AJ14" s="1" t="e">
        <f>Kabeludskrift!AD33</f>
        <v>#DIV/0!</v>
      </c>
    </row>
    <row r="15" spans="2:36" x14ac:dyDescent="0.25">
      <c r="B15" s="200" t="s">
        <v>156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2"/>
    </row>
    <row r="16" spans="2:36" x14ac:dyDescent="0.25">
      <c r="B16" s="203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5"/>
    </row>
    <row r="17" spans="2:39" x14ac:dyDescent="0.25">
      <c r="B17" s="46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5"/>
      <c r="AL17" s="1" t="s">
        <v>18</v>
      </c>
      <c r="AM17" s="1" t="s">
        <v>19</v>
      </c>
    </row>
    <row r="18" spans="2:39" x14ac:dyDescent="0.25">
      <c r="B18" s="10"/>
      <c r="C18" s="110" t="s">
        <v>103</v>
      </c>
      <c r="D18" s="111"/>
      <c r="E18" s="111"/>
      <c r="F18" s="141" t="s">
        <v>157</v>
      </c>
      <c r="G18" s="142"/>
      <c r="H18" s="142"/>
      <c r="I18" s="142"/>
      <c r="J18" s="196"/>
      <c r="K18" s="27"/>
      <c r="L18" s="16" t="s">
        <v>158</v>
      </c>
      <c r="M18" s="15"/>
      <c r="N18" s="141" t="s">
        <v>159</v>
      </c>
      <c r="O18" s="142"/>
      <c r="P18" s="142"/>
      <c r="Q18" s="142"/>
      <c r="R18" s="142"/>
      <c r="S18" s="196"/>
      <c r="U18" s="6"/>
      <c r="AF18" s="1" t="s">
        <v>160</v>
      </c>
      <c r="AG18" s="1" t="s">
        <v>150</v>
      </c>
      <c r="AH18" s="1" t="str">
        <f>Transformer!AB44</f>
        <v>0,0137 ∠68,78</v>
      </c>
      <c r="AJ18" s="1" t="str">
        <f>Transformer!AA44</f>
        <v>0,004944+0,0127309678649966i</v>
      </c>
      <c r="AL18" s="1">
        <f>Transformer!X44</f>
        <v>4.9440000000000005E-3</v>
      </c>
      <c r="AM18" s="1">
        <f>Transformer!Y44</f>
        <v>1.2730967864996584E-2</v>
      </c>
    </row>
    <row r="19" spans="2:39" x14ac:dyDescent="0.25">
      <c r="B19" s="10"/>
      <c r="C19" s="14" t="s">
        <v>157</v>
      </c>
      <c r="D19" s="198" t="s">
        <v>195</v>
      </c>
      <c r="E19" s="199"/>
      <c r="F19" s="110" t="str">
        <f>IF(D19="","","("&amp;VLOOKUP(D19,$AG$20:$AJ$30,2,FALSE)&amp;")")</f>
        <v>(0,003524 ∠33,12)</v>
      </c>
      <c r="G19" s="111"/>
      <c r="H19" s="111"/>
      <c r="I19" s="111"/>
      <c r="J19" s="111"/>
      <c r="K19" s="30" t="str">
        <f>IF(D19="","","·")</f>
        <v>·</v>
      </c>
      <c r="L19" s="109">
        <v>2</v>
      </c>
      <c r="M19" s="24" t="str">
        <f>IF(D19="","","=")</f>
        <v>=</v>
      </c>
      <c r="N19" s="111" t="str">
        <f>IF(D19="","","("&amp;AA19&amp;"°) Ω")</f>
        <v>(0,007047 ∠33,12°) Ω</v>
      </c>
      <c r="O19" s="111"/>
      <c r="P19" s="111"/>
      <c r="Q19" s="111"/>
      <c r="R19" s="111"/>
      <c r="S19" s="112"/>
      <c r="U19" s="6"/>
      <c r="W19" s="1" t="str">
        <f>IF(D19="","0",VLOOKUP(D19,$AG$20:$AJ$30,4,FALSE))</f>
        <v>0,00295125+0,001925i</v>
      </c>
      <c r="Y19" s="1" t="str">
        <f t="shared" ref="Y19:Y29" si="0">COMPLEX(IMREAL(W19)*L19,IMAGINARY(W19)*L19,"i")</f>
        <v>0,0059025+0,00385i</v>
      </c>
      <c r="AA19" s="1" t="str">
        <f>IF(D19="","0",ROUND(IMABS(Y19),6)&amp;" ∠"&amp;ROUND(DEGREES(IMARGUMENT(Y19)),2))</f>
        <v>0,007047 ∠33,12</v>
      </c>
      <c r="AF19" s="1" t="s">
        <v>161</v>
      </c>
      <c r="AG19" s="1" t="s">
        <v>162</v>
      </c>
      <c r="AH19" s="1" t="str">
        <f>Transformer!AB46</f>
        <v>0,0158 ∠68,78</v>
      </c>
      <c r="AJ19" s="1" t="str">
        <f>Transformer!AA46</f>
        <v>0,00570883946174702+0,0147004554478005i</v>
      </c>
      <c r="AL19" s="1">
        <f>Transformer!X46</f>
        <v>5.7088394617470202E-3</v>
      </c>
      <c r="AM19" s="1">
        <f>Transformer!Y46</f>
        <v>1.4700455447800506E-2</v>
      </c>
    </row>
    <row r="20" spans="2:39" x14ac:dyDescent="0.25">
      <c r="B20" s="10"/>
      <c r="C20" s="14" t="s">
        <v>157</v>
      </c>
      <c r="D20" s="198" t="s">
        <v>196</v>
      </c>
      <c r="E20" s="199"/>
      <c r="F20" s="110" t="str">
        <f>IF(D20="","","("&amp;VLOOKUP(D20,$AG$20:$AJ$30,2,FALSE)&amp;")")</f>
        <v>(0,019298 ∠4,82)</v>
      </c>
      <c r="G20" s="111"/>
      <c r="H20" s="111"/>
      <c r="I20" s="111"/>
      <c r="J20" s="111"/>
      <c r="K20" s="30" t="str">
        <f t="shared" ref="K20:K29" si="1">IF(D20="","","·")</f>
        <v>·</v>
      </c>
      <c r="L20" s="109">
        <v>0</v>
      </c>
      <c r="M20" s="24" t="str">
        <f t="shared" ref="M20:M29" si="2">IF(D20="","","=")</f>
        <v>=</v>
      </c>
      <c r="N20" s="111" t="e">
        <f>IF(D20="","","("&amp;AA20&amp;"°) Ω")</f>
        <v>#DIV/0!</v>
      </c>
      <c r="O20" s="111"/>
      <c r="P20" s="111"/>
      <c r="Q20" s="111"/>
      <c r="R20" s="111"/>
      <c r="S20" s="112"/>
      <c r="U20" s="6"/>
      <c r="W20" s="1" t="str">
        <f t="shared" ref="W20:W29" si="3">IF(D20="","0",VLOOKUP(D20,$AG$20:$AJ$30,4,FALSE))</f>
        <v>0,01923+0,00162i</v>
      </c>
      <c r="Y20" s="1" t="str">
        <f t="shared" si="0"/>
        <v>0</v>
      </c>
      <c r="AA20" s="1" t="e">
        <f t="shared" ref="AA20:AA29" si="4">IF(D20="","0",ROUND(IMABS(Y20),6)&amp;" ∠"&amp;ROUND(DEGREES(IMARGUMENT(Y20)),2))</f>
        <v>#DIV/0!</v>
      </c>
      <c r="AG20" s="1" t="s">
        <v>151</v>
      </c>
      <c r="AH20" s="1" t="e">
        <f>Transformer!AB84</f>
        <v>#DIV/0!</v>
      </c>
      <c r="AJ20" s="1" t="e">
        <f>Transformer!AA84</f>
        <v>#DIV/0!</v>
      </c>
    </row>
    <row r="21" spans="2:39" x14ac:dyDescent="0.25">
      <c r="B21" s="10"/>
      <c r="C21" s="14" t="s">
        <v>157</v>
      </c>
      <c r="D21" s="198"/>
      <c r="E21" s="199"/>
      <c r="F21" s="110" t="str">
        <f t="shared" ref="F21:F29" si="5">IF(D21="","","("&amp;VLOOKUP(D21,$AG$20:$AJ$30,2,FALSE)&amp;")")</f>
        <v/>
      </c>
      <c r="G21" s="111"/>
      <c r="H21" s="111"/>
      <c r="I21" s="111"/>
      <c r="J21" s="111"/>
      <c r="K21" s="30" t="str">
        <f t="shared" si="1"/>
        <v/>
      </c>
      <c r="L21" s="109">
        <v>1</v>
      </c>
      <c r="M21" s="24" t="str">
        <f t="shared" si="2"/>
        <v/>
      </c>
      <c r="N21" s="111" t="str">
        <f t="shared" ref="N21:N29" si="6">IF(D21="","","("&amp;AA21&amp;"°) Ω")</f>
        <v/>
      </c>
      <c r="O21" s="111"/>
      <c r="P21" s="111"/>
      <c r="Q21" s="111"/>
      <c r="R21" s="111"/>
      <c r="S21" s="112"/>
      <c r="U21" s="6"/>
      <c r="W21" s="1" t="str">
        <f t="shared" si="3"/>
        <v>0</v>
      </c>
      <c r="Y21" s="1" t="str">
        <f t="shared" si="0"/>
        <v>0</v>
      </c>
      <c r="AA21" s="1" t="str">
        <f t="shared" si="4"/>
        <v>0</v>
      </c>
      <c r="AG21" s="1" t="str">
        <f>Kabeldata!B4&amp;"min"</f>
        <v>W1min</v>
      </c>
      <c r="AH21" s="1" t="str">
        <f>Kabeludskrift!AE41</f>
        <v>0,003524 ∠33,12</v>
      </c>
      <c r="AJ21" s="1" t="str">
        <f>Kabeludskrift!AD41</f>
        <v>0,00295125+0,001925i</v>
      </c>
      <c r="AL21" s="1">
        <f t="shared" ref="AL21:AL30" si="7">IMREAL(AJ21)</f>
        <v>2.9512499999999999E-3</v>
      </c>
      <c r="AM21" s="1">
        <f>IMAGINARY(AJ21)</f>
        <v>1.9250000000000001E-3</v>
      </c>
    </row>
    <row r="22" spans="2:39" x14ac:dyDescent="0.25">
      <c r="B22" s="10"/>
      <c r="C22" s="14" t="s">
        <v>157</v>
      </c>
      <c r="D22" s="198"/>
      <c r="E22" s="199"/>
      <c r="F22" s="110" t="str">
        <f t="shared" si="5"/>
        <v/>
      </c>
      <c r="G22" s="111"/>
      <c r="H22" s="111"/>
      <c r="I22" s="111"/>
      <c r="J22" s="111"/>
      <c r="K22" s="30" t="str">
        <f t="shared" si="1"/>
        <v/>
      </c>
      <c r="L22" s="109">
        <v>1</v>
      </c>
      <c r="M22" s="24" t="str">
        <f t="shared" si="2"/>
        <v/>
      </c>
      <c r="N22" s="111" t="str">
        <f t="shared" si="6"/>
        <v/>
      </c>
      <c r="O22" s="111"/>
      <c r="P22" s="111"/>
      <c r="Q22" s="111"/>
      <c r="R22" s="111"/>
      <c r="S22" s="112"/>
      <c r="U22" s="6"/>
      <c r="W22" s="1" t="str">
        <f t="shared" si="3"/>
        <v>0</v>
      </c>
      <c r="Y22" s="1" t="str">
        <f t="shared" si="0"/>
        <v>0</v>
      </c>
      <c r="AA22" s="1" t="str">
        <f t="shared" si="4"/>
        <v>0</v>
      </c>
      <c r="AG22" s="1" t="str">
        <f>Kabeldata!F4&amp;"min"</f>
        <v>W2min</v>
      </c>
      <c r="AH22" s="1" t="str">
        <f>Kabeludskrift!AE44</f>
        <v>0,019298 ∠4,82</v>
      </c>
      <c r="AJ22" s="1" t="str">
        <f>Kabeludskrift!AD44</f>
        <v>0,01923+0,00162i</v>
      </c>
      <c r="AL22" s="1">
        <f t="shared" si="7"/>
        <v>1.9230000000000001E-2</v>
      </c>
      <c r="AM22" s="1">
        <f t="shared" ref="AM22:AM30" si="8">IMAGINARY(AJ22)</f>
        <v>1.6199999999999999E-3</v>
      </c>
    </row>
    <row r="23" spans="2:39" x14ac:dyDescent="0.25">
      <c r="B23" s="10"/>
      <c r="C23" s="14" t="s">
        <v>157</v>
      </c>
      <c r="D23" s="198"/>
      <c r="E23" s="199"/>
      <c r="F23" s="110" t="str">
        <f t="shared" si="5"/>
        <v/>
      </c>
      <c r="G23" s="111"/>
      <c r="H23" s="111"/>
      <c r="I23" s="111"/>
      <c r="J23" s="111"/>
      <c r="K23" s="30" t="str">
        <f t="shared" si="1"/>
        <v/>
      </c>
      <c r="L23" s="109">
        <v>1</v>
      </c>
      <c r="M23" s="24" t="str">
        <f t="shared" si="2"/>
        <v/>
      </c>
      <c r="N23" s="111" t="str">
        <f t="shared" si="6"/>
        <v/>
      </c>
      <c r="O23" s="111"/>
      <c r="P23" s="111"/>
      <c r="Q23" s="111"/>
      <c r="R23" s="111"/>
      <c r="S23" s="112"/>
      <c r="U23" s="6"/>
      <c r="W23" s="1" t="str">
        <f t="shared" si="3"/>
        <v>0</v>
      </c>
      <c r="Y23" s="1" t="str">
        <f t="shared" si="0"/>
        <v>0</v>
      </c>
      <c r="AA23" s="1" t="str">
        <f t="shared" si="4"/>
        <v>0</v>
      </c>
      <c r="AG23" s="1" t="str">
        <f>Kabeldata!J4&amp;"min"</f>
        <v>W3min</v>
      </c>
      <c r="AH23" s="1" t="str">
        <f>Kabeludskrift!AE47</f>
        <v>0,016822 ∠8,2</v>
      </c>
      <c r="AJ23" s="1" t="str">
        <f>Kabeludskrift!AD47</f>
        <v>0,01665+0,0024i</v>
      </c>
      <c r="AL23" s="1">
        <f t="shared" si="7"/>
        <v>1.6650000000000002E-2</v>
      </c>
      <c r="AM23" s="1">
        <f t="shared" si="8"/>
        <v>2.3999999999999998E-3</v>
      </c>
    </row>
    <row r="24" spans="2:39" x14ac:dyDescent="0.25">
      <c r="B24" s="10"/>
      <c r="C24" s="14" t="s">
        <v>157</v>
      </c>
      <c r="D24" s="198"/>
      <c r="E24" s="199"/>
      <c r="F24" s="110" t="str">
        <f t="shared" si="5"/>
        <v/>
      </c>
      <c r="G24" s="111"/>
      <c r="H24" s="111"/>
      <c r="I24" s="111"/>
      <c r="J24" s="111"/>
      <c r="K24" s="30" t="str">
        <f t="shared" si="1"/>
        <v/>
      </c>
      <c r="L24" s="109"/>
      <c r="M24" s="24" t="str">
        <f t="shared" si="2"/>
        <v/>
      </c>
      <c r="N24" s="111" t="str">
        <f t="shared" si="6"/>
        <v/>
      </c>
      <c r="O24" s="111"/>
      <c r="P24" s="111"/>
      <c r="Q24" s="111"/>
      <c r="R24" s="111"/>
      <c r="S24" s="112"/>
      <c r="U24" s="6"/>
      <c r="W24" s="1" t="str">
        <f t="shared" si="3"/>
        <v>0</v>
      </c>
      <c r="Y24" s="1" t="str">
        <f t="shared" si="0"/>
        <v>0</v>
      </c>
      <c r="AA24" s="1" t="str">
        <f t="shared" si="4"/>
        <v>0</v>
      </c>
      <c r="AG24" s="1" t="str">
        <f>Kabeldata!N4&amp;"min"</f>
        <v>W4min</v>
      </c>
      <c r="AH24" s="1" t="str">
        <f>Kabeludskrift!AE50</f>
        <v>0,014417 ∠2,77</v>
      </c>
      <c r="AJ24" s="1" t="str">
        <f>Kabeludskrift!AD50</f>
        <v>0,0144+0,000696i</v>
      </c>
      <c r="AL24" s="1">
        <f t="shared" si="7"/>
        <v>1.44E-2</v>
      </c>
      <c r="AM24" s="1">
        <f t="shared" si="8"/>
        <v>6.96E-4</v>
      </c>
    </row>
    <row r="25" spans="2:39" x14ac:dyDescent="0.25">
      <c r="B25" s="10"/>
      <c r="C25" s="14" t="s">
        <v>157</v>
      </c>
      <c r="D25" s="198"/>
      <c r="E25" s="199"/>
      <c r="F25" s="110" t="str">
        <f t="shared" si="5"/>
        <v/>
      </c>
      <c r="G25" s="111"/>
      <c r="H25" s="111"/>
      <c r="I25" s="111"/>
      <c r="J25" s="111"/>
      <c r="K25" s="30" t="str">
        <f t="shared" si="1"/>
        <v/>
      </c>
      <c r="L25" s="109"/>
      <c r="M25" s="24" t="str">
        <f t="shared" si="2"/>
        <v/>
      </c>
      <c r="N25" s="111" t="str">
        <f t="shared" si="6"/>
        <v/>
      </c>
      <c r="O25" s="111"/>
      <c r="P25" s="111"/>
      <c r="Q25" s="111"/>
      <c r="R25" s="111"/>
      <c r="S25" s="112"/>
      <c r="U25" s="6"/>
      <c r="W25" s="1" t="str">
        <f t="shared" si="3"/>
        <v>0</v>
      </c>
      <c r="Y25" s="1" t="str">
        <f t="shared" si="0"/>
        <v>0</v>
      </c>
      <c r="AA25" s="1" t="str">
        <f t="shared" si="4"/>
        <v>0</v>
      </c>
      <c r="AG25" s="1" t="str">
        <f>Kabeldata!R4&amp;"min"</f>
        <v>min</v>
      </c>
      <c r="AH25" s="1" t="str">
        <f>Kabeludskrift!AE53</f>
        <v>0,109336 ∠4,14</v>
      </c>
      <c r="AJ25" s="1" t="str">
        <f>Kabeludskrift!AD53</f>
        <v>0,10905+0,0079i</v>
      </c>
      <c r="AL25" s="1">
        <f t="shared" si="7"/>
        <v>0.10904999999999999</v>
      </c>
      <c r="AM25" s="1">
        <f t="shared" si="8"/>
        <v>7.9000000000000008E-3</v>
      </c>
    </row>
    <row r="26" spans="2:39" x14ac:dyDescent="0.25">
      <c r="B26" s="10"/>
      <c r="C26" s="14" t="s">
        <v>157</v>
      </c>
      <c r="D26" s="198"/>
      <c r="E26" s="199"/>
      <c r="F26" s="110" t="str">
        <f t="shared" si="5"/>
        <v/>
      </c>
      <c r="G26" s="111"/>
      <c r="H26" s="111"/>
      <c r="I26" s="111"/>
      <c r="J26" s="111"/>
      <c r="K26" s="30" t="str">
        <f t="shared" si="1"/>
        <v/>
      </c>
      <c r="L26" s="109"/>
      <c r="M26" s="24" t="str">
        <f t="shared" si="2"/>
        <v/>
      </c>
      <c r="N26" s="111" t="str">
        <f t="shared" si="6"/>
        <v/>
      </c>
      <c r="O26" s="111"/>
      <c r="P26" s="111"/>
      <c r="Q26" s="111"/>
      <c r="R26" s="111"/>
      <c r="S26" s="112"/>
      <c r="U26" s="6"/>
      <c r="W26" s="1" t="str">
        <f t="shared" si="3"/>
        <v>0</v>
      </c>
      <c r="Y26" s="1" t="str">
        <f t="shared" si="0"/>
        <v>0</v>
      </c>
      <c r="AA26" s="1" t="str">
        <f t="shared" si="4"/>
        <v>0</v>
      </c>
      <c r="AG26" s="101" t="str">
        <f>Kabeldata!B22&amp;"min"</f>
        <v>min</v>
      </c>
      <c r="AH26" s="1" t="str">
        <f>Kabeludskrift!AE56</f>
        <v>0,118935 ∠0,49</v>
      </c>
      <c r="AJ26" s="1" t="str">
        <f>Kabeludskrift!AD56</f>
        <v>0,1189305+0,0010165i</v>
      </c>
      <c r="AL26" s="1">
        <f t="shared" si="7"/>
        <v>0.11893049999999999</v>
      </c>
      <c r="AM26" s="1">
        <f t="shared" si="8"/>
        <v>1.0165E-3</v>
      </c>
    </row>
    <row r="27" spans="2:39" x14ac:dyDescent="0.25">
      <c r="B27" s="10"/>
      <c r="C27" s="14" t="s">
        <v>157</v>
      </c>
      <c r="D27" s="198"/>
      <c r="E27" s="199"/>
      <c r="F27" s="110" t="str">
        <f t="shared" si="5"/>
        <v/>
      </c>
      <c r="G27" s="111"/>
      <c r="H27" s="111"/>
      <c r="I27" s="111"/>
      <c r="J27" s="111"/>
      <c r="K27" s="30" t="str">
        <f t="shared" si="1"/>
        <v/>
      </c>
      <c r="L27" s="109"/>
      <c r="M27" s="24" t="str">
        <f t="shared" si="2"/>
        <v/>
      </c>
      <c r="N27" s="111" t="str">
        <f t="shared" si="6"/>
        <v/>
      </c>
      <c r="O27" s="111"/>
      <c r="P27" s="111"/>
      <c r="Q27" s="111"/>
      <c r="R27" s="111"/>
      <c r="S27" s="112"/>
      <c r="U27" s="6"/>
      <c r="W27" s="1" t="str">
        <f t="shared" si="3"/>
        <v>0</v>
      </c>
      <c r="Y27" s="1" t="str">
        <f t="shared" si="0"/>
        <v>0</v>
      </c>
      <c r="AA27" s="1" t="str">
        <f t="shared" si="4"/>
        <v>0</v>
      </c>
      <c r="AG27" s="1" t="str">
        <f>Kabeldata!F22&amp;"min"</f>
        <v>min</v>
      </c>
      <c r="AH27" s="1" t="str">
        <f>Kabeludskrift!AE59</f>
        <v>0,00288 ∠3,38</v>
      </c>
      <c r="AJ27" s="1" t="str">
        <f>Kabeludskrift!AD59</f>
        <v>0,002875+0,00017i</v>
      </c>
      <c r="AL27" s="1">
        <f t="shared" si="7"/>
        <v>2.875E-3</v>
      </c>
      <c r="AM27" s="1">
        <f t="shared" si="8"/>
        <v>1.7000000000000001E-4</v>
      </c>
    </row>
    <row r="28" spans="2:39" x14ac:dyDescent="0.25">
      <c r="B28" s="10"/>
      <c r="C28" s="14" t="s">
        <v>157</v>
      </c>
      <c r="D28" s="198"/>
      <c r="E28" s="199"/>
      <c r="F28" s="110" t="str">
        <f t="shared" si="5"/>
        <v/>
      </c>
      <c r="G28" s="111"/>
      <c r="H28" s="111"/>
      <c r="I28" s="111"/>
      <c r="J28" s="111"/>
      <c r="K28" s="30" t="str">
        <f t="shared" si="1"/>
        <v/>
      </c>
      <c r="L28" s="109"/>
      <c r="M28" s="24" t="str">
        <f t="shared" si="2"/>
        <v/>
      </c>
      <c r="N28" s="111" t="str">
        <f t="shared" si="6"/>
        <v/>
      </c>
      <c r="O28" s="111"/>
      <c r="P28" s="111"/>
      <c r="Q28" s="111"/>
      <c r="R28" s="111"/>
      <c r="S28" s="112"/>
      <c r="U28" s="6"/>
      <c r="W28" s="1" t="str">
        <f t="shared" si="3"/>
        <v>0</v>
      </c>
      <c r="Y28" s="1" t="str">
        <f t="shared" si="0"/>
        <v>0</v>
      </c>
      <c r="AA28" s="1" t="str">
        <f t="shared" si="4"/>
        <v>0</v>
      </c>
      <c r="AG28" s="1" t="str">
        <f>Kabeldata!J22&amp;"min"</f>
        <v>min</v>
      </c>
      <c r="AH28" s="1" t="str">
        <f>Kabeludskrift!AE62</f>
        <v>0,426276 ∠0,49</v>
      </c>
      <c r="AJ28" s="1" t="str">
        <f>Kabeludskrift!AD62</f>
        <v>0,42626025+0,00364325i</v>
      </c>
      <c r="AL28" s="1">
        <f t="shared" si="7"/>
        <v>0.42626025000000001</v>
      </c>
      <c r="AM28" s="1">
        <f t="shared" si="8"/>
        <v>3.6432499999999998E-3</v>
      </c>
    </row>
    <row r="29" spans="2:39" x14ac:dyDescent="0.25">
      <c r="B29" s="10"/>
      <c r="C29" s="14" t="s">
        <v>157</v>
      </c>
      <c r="D29" s="198"/>
      <c r="E29" s="199"/>
      <c r="F29" s="110" t="str">
        <f t="shared" si="5"/>
        <v/>
      </c>
      <c r="G29" s="111"/>
      <c r="H29" s="111"/>
      <c r="I29" s="111"/>
      <c r="J29" s="111"/>
      <c r="K29" s="30" t="str">
        <f t="shared" si="1"/>
        <v/>
      </c>
      <c r="L29" s="109"/>
      <c r="M29" s="24" t="str">
        <f t="shared" si="2"/>
        <v/>
      </c>
      <c r="N29" s="111" t="str">
        <f t="shared" si="6"/>
        <v/>
      </c>
      <c r="O29" s="111"/>
      <c r="P29" s="111"/>
      <c r="Q29" s="111"/>
      <c r="R29" s="111"/>
      <c r="S29" s="112"/>
      <c r="U29" s="6"/>
      <c r="W29" s="1" t="str">
        <f t="shared" si="3"/>
        <v>0</v>
      </c>
      <c r="Y29" s="1" t="str">
        <f t="shared" si="0"/>
        <v>0</v>
      </c>
      <c r="AA29" s="1" t="str">
        <f t="shared" si="4"/>
        <v>0</v>
      </c>
      <c r="AG29" s="1" t="str">
        <f>Kabeldata!N22&amp;"min"</f>
        <v>min</v>
      </c>
      <c r="AH29" s="1" t="e">
        <f>Kabeludskrift!AE65</f>
        <v>#DIV/0!</v>
      </c>
      <c r="AJ29" s="1" t="str">
        <f>Kabeludskrift!AD65</f>
        <v>0</v>
      </c>
      <c r="AL29" s="1">
        <f t="shared" si="7"/>
        <v>0</v>
      </c>
      <c r="AM29" s="1">
        <f t="shared" si="8"/>
        <v>0</v>
      </c>
    </row>
    <row r="30" spans="2:39" ht="18" x14ac:dyDescent="0.35">
      <c r="B30" s="10"/>
      <c r="C30" s="215"/>
      <c r="D30" s="142"/>
      <c r="E30" s="142"/>
      <c r="F30" s="142"/>
      <c r="G30" s="142"/>
      <c r="H30" s="142"/>
      <c r="I30" s="142"/>
      <c r="J30" s="196"/>
      <c r="K30" s="197" t="s">
        <v>163</v>
      </c>
      <c r="L30" s="111"/>
      <c r="M30" s="112"/>
      <c r="N30" s="110" t="str">
        <f t="shared" ref="N30" si="9">"("&amp;AA30&amp;"°) Ω"</f>
        <v>(0,007047 ∠33,12°) Ω</v>
      </c>
      <c r="O30" s="111"/>
      <c r="P30" s="111"/>
      <c r="Q30" s="111"/>
      <c r="R30" s="111"/>
      <c r="S30" s="112"/>
      <c r="U30" s="6"/>
      <c r="W30" s="1" t="str">
        <f>IMSUM(W19:W29)</f>
        <v>0,02218125+0,003545i</v>
      </c>
      <c r="X30" s="1" t="str">
        <f>IF(W30="0","",ROUND(IMABS(W30),6)&amp;" ∠"&amp;ROUND(DEGREES(IMARGUMENT(W30)),2))</f>
        <v>0,022463 ∠9,08</v>
      </c>
      <c r="Y30" s="1" t="str">
        <f>IMSUM(Y19:Y29)</f>
        <v>0,0059025+0,00385i</v>
      </c>
      <c r="AA30" s="1" t="str">
        <f>ROUND(IMABS(Y30),6)&amp;" ∠"&amp;ROUND(DEGREES(IMARGUMENT(Y30)),2)</f>
        <v>0,007047 ∠33,12</v>
      </c>
      <c r="AG30" s="1" t="str">
        <f>Kabeldata!R22&amp;"min"</f>
        <v>min</v>
      </c>
      <c r="AH30" s="1" t="e">
        <f>Kabeludskrift!AE68</f>
        <v>#DIV/0!</v>
      </c>
      <c r="AJ30" s="1" t="e">
        <f>Kabeludskrift!AD68</f>
        <v>#DIV/0!</v>
      </c>
      <c r="AL30" s="1" t="e">
        <f t="shared" si="7"/>
        <v>#DIV/0!</v>
      </c>
      <c r="AM30" s="1" t="e">
        <f t="shared" si="8"/>
        <v>#DIV/0!</v>
      </c>
    </row>
    <row r="31" spans="2:39" x14ac:dyDescent="0.25">
      <c r="B31" s="10"/>
      <c r="U31" s="6"/>
    </row>
    <row r="32" spans="2:39" x14ac:dyDescent="0.25">
      <c r="B32" s="10"/>
      <c r="U32" s="6"/>
    </row>
    <row r="33" spans="2:27" ht="18.75" thickBot="1" x14ac:dyDescent="0.4">
      <c r="B33" s="10"/>
      <c r="C33" s="127" t="s">
        <v>164</v>
      </c>
      <c r="D33" s="127"/>
      <c r="E33" s="130" t="s">
        <v>59</v>
      </c>
      <c r="F33" s="131"/>
      <c r="G33" s="131"/>
      <c r="H33" s="131"/>
      <c r="I33" s="132"/>
      <c r="J33" s="127" t="s">
        <v>16</v>
      </c>
      <c r="K33" s="130">
        <f>400</f>
        <v>400</v>
      </c>
      <c r="L33" s="131"/>
      <c r="M33" s="131"/>
      <c r="N33" s="131"/>
      <c r="O33" s="131"/>
      <c r="P33" s="131"/>
      <c r="Q33" s="131"/>
      <c r="R33" s="131"/>
      <c r="S33" s="132"/>
      <c r="T33" s="127" t="s">
        <v>17</v>
      </c>
      <c r="U33" s="129" t="str">
        <f>ROUND(AA33/1000,2)&amp;"kA"</f>
        <v>11,66kA</v>
      </c>
      <c r="V33" s="97"/>
      <c r="W33" s="97"/>
      <c r="Y33" s="1" t="str">
        <f>IF(D5="Transformer",AJ18,AJ20)</f>
        <v>0,004944+0,0127309678649966i</v>
      </c>
      <c r="AA33" s="1">
        <f>400/(SQRT(3)*IMABS(IMSUM(Y33,Y30)))</f>
        <v>11655.690649743767</v>
      </c>
    </row>
    <row r="34" spans="2:27" x14ac:dyDescent="0.25">
      <c r="B34" s="10"/>
      <c r="C34" s="127"/>
      <c r="D34" s="127"/>
      <c r="E34" s="136" t="str">
        <f>"√3 · ("&amp;IF(D5="Transformer","ΣZ̅N3f",IF(D5="Oplyst kortslutning","Z̅Nmin",""))&amp;" + ΣZ̅Ikmin)"</f>
        <v>√3 · (ΣZ̅N3f + ΣZ̅Ikmin)</v>
      </c>
      <c r="F34" s="127"/>
      <c r="G34" s="127"/>
      <c r="H34" s="127"/>
      <c r="I34" s="137"/>
      <c r="J34" s="127"/>
      <c r="K34" s="133" t="str">
        <f>"√3 · "&amp;IF(D5="Transformer",IF(Y30="0","("&amp;AH18&amp;")","(("&amp;AH18&amp;") + ("&amp;AA30&amp;"))"),IF(Y30="0","("&amp;AH20&amp;")","(("&amp;AH20&amp;") + ("&amp;AA30&amp;"))"))</f>
        <v>√3 · ((0,0137 ∠68,78) + (0,007047 ∠33,12))</v>
      </c>
      <c r="L34" s="134"/>
      <c r="M34" s="134"/>
      <c r="N34" s="134"/>
      <c r="O34" s="134"/>
      <c r="P34" s="134"/>
      <c r="Q34" s="134"/>
      <c r="R34" s="134"/>
      <c r="S34" s="135"/>
      <c r="T34" s="127"/>
      <c r="U34" s="129"/>
      <c r="V34" s="97"/>
      <c r="W34" s="97"/>
    </row>
    <row r="35" spans="2:27" x14ac:dyDescent="0.25">
      <c r="B35" s="10"/>
      <c r="U35" s="6"/>
    </row>
    <row r="36" spans="2:27" ht="18.75" thickBot="1" x14ac:dyDescent="0.4">
      <c r="B36" s="10"/>
      <c r="C36" s="127" t="s">
        <v>165</v>
      </c>
      <c r="D36" s="127"/>
      <c r="E36" s="130" t="s">
        <v>59</v>
      </c>
      <c r="F36" s="131"/>
      <c r="G36" s="131"/>
      <c r="H36" s="131"/>
      <c r="I36" s="132"/>
      <c r="J36" s="127" t="s">
        <v>16</v>
      </c>
      <c r="K36" s="130">
        <f>400</f>
        <v>400</v>
      </c>
      <c r="L36" s="131"/>
      <c r="M36" s="131"/>
      <c r="N36" s="131"/>
      <c r="O36" s="131"/>
      <c r="P36" s="131"/>
      <c r="Q36" s="131"/>
      <c r="R36" s="131"/>
      <c r="S36" s="132"/>
      <c r="T36" s="127" t="s">
        <v>17</v>
      </c>
      <c r="U36" s="129" t="str">
        <f>ROUND(AA38/1000,2)&amp;"kA"</f>
        <v>12,01kA</v>
      </c>
      <c r="Y36" s="1" t="str">
        <f>IF(D5="Transformer",AJ18,AJ19)</f>
        <v>0,004944+0,0127309678649966i</v>
      </c>
    </row>
    <row r="37" spans="2:27" x14ac:dyDescent="0.25">
      <c r="B37" s="10"/>
      <c r="C37" s="127"/>
      <c r="D37" s="127"/>
      <c r="E37" s="136" t="str">
        <f>"2 · ("&amp;IF(D5="Transformer","ΣZ̅N3f",IF(D5="Oplyst kortslutning","Z̅Nmin",""))&amp;" + ΣZ̅Ikmin)"</f>
        <v>2 · (ΣZ̅N3f + ΣZ̅Ikmin)</v>
      </c>
      <c r="F37" s="127"/>
      <c r="G37" s="127"/>
      <c r="H37" s="127"/>
      <c r="I37" s="137"/>
      <c r="J37" s="127"/>
      <c r="K37" s="133" t="str">
        <f>IF(D5="Transformer",IF(Y30="0","2 · ("&amp;AH18&amp;")","((2 · ("&amp;AH18&amp;")) + ("&amp;AA30&amp;"))"),IF(Y30="0","2 · ("&amp;AH20&amp;")","((2 · ("&amp;AH20&amp;")) + ("&amp;AA30&amp;"))"))</f>
        <v>((2 · (0,0137 ∠68,78)) + (0,007047 ∠33,12))</v>
      </c>
      <c r="L37" s="134"/>
      <c r="M37" s="134"/>
      <c r="N37" s="134"/>
      <c r="O37" s="134"/>
      <c r="P37" s="134"/>
      <c r="Q37" s="134"/>
      <c r="R37" s="134"/>
      <c r="S37" s="135"/>
      <c r="T37" s="127"/>
      <c r="U37" s="129"/>
      <c r="Y37" s="1" t="str">
        <f>COMPLEX(IMREAL(Y36)*2,IMAGINARY(Y36)*2,"i")</f>
        <v>0,009888+0,0254619357299932i</v>
      </c>
    </row>
    <row r="38" spans="2:27" x14ac:dyDescent="0.25">
      <c r="B38" s="10"/>
      <c r="U38" s="6"/>
      <c r="Y38" s="1" t="str">
        <f>IMSUM(Y37,Y30)</f>
        <v>0,0157905+0,0293119357299932i</v>
      </c>
      <c r="AA38" s="1">
        <f>400/IMABS(Y38)</f>
        <v>12013.965221612032</v>
      </c>
    </row>
    <row r="39" spans="2:27" x14ac:dyDescent="0.25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9"/>
    </row>
  </sheetData>
  <sheetProtection sheet="1" objects="1" scenarios="1" selectLockedCells="1"/>
  <mergeCells count="78">
    <mergeCell ref="E33:I33"/>
    <mergeCell ref="E34:I34"/>
    <mergeCell ref="C33:D34"/>
    <mergeCell ref="C30:E30"/>
    <mergeCell ref="C36:D37"/>
    <mergeCell ref="E36:I36"/>
    <mergeCell ref="K36:S36"/>
    <mergeCell ref="E37:I37"/>
    <mergeCell ref="K37:S37"/>
    <mergeCell ref="J36:J37"/>
    <mergeCell ref="C18:E18"/>
    <mergeCell ref="F18:J18"/>
    <mergeCell ref="N18:S18"/>
    <mergeCell ref="F27:J27"/>
    <mergeCell ref="F28:J28"/>
    <mergeCell ref="D19:E19"/>
    <mergeCell ref="D24:E24"/>
    <mergeCell ref="D23:E23"/>
    <mergeCell ref="D22:E22"/>
    <mergeCell ref="D21:E21"/>
    <mergeCell ref="D20:E20"/>
    <mergeCell ref="N24:S24"/>
    <mergeCell ref="N25:S25"/>
    <mergeCell ref="F19:J19"/>
    <mergeCell ref="F20:J20"/>
    <mergeCell ref="F21:J21"/>
    <mergeCell ref="F22:J22"/>
    <mergeCell ref="F23:J23"/>
    <mergeCell ref="F24:J24"/>
    <mergeCell ref="F25:J25"/>
    <mergeCell ref="N19:S19"/>
    <mergeCell ref="N20:S20"/>
    <mergeCell ref="N21:S21"/>
    <mergeCell ref="N22:S22"/>
    <mergeCell ref="N23:S23"/>
    <mergeCell ref="U11:U12"/>
    <mergeCell ref="C11:S11"/>
    <mergeCell ref="C12:S12"/>
    <mergeCell ref="T11:T12"/>
    <mergeCell ref="D8:D9"/>
    <mergeCell ref="B8:C9"/>
    <mergeCell ref="B6:C6"/>
    <mergeCell ref="D5:G5"/>
    <mergeCell ref="B2:U3"/>
    <mergeCell ref="B15:U16"/>
    <mergeCell ref="L5:M5"/>
    <mergeCell ref="J5:K5"/>
    <mergeCell ref="E9:R9"/>
    <mergeCell ref="E8:R8"/>
    <mergeCell ref="S8:S9"/>
    <mergeCell ref="H5:I5"/>
    <mergeCell ref="D6:E6"/>
    <mergeCell ref="T6:U6"/>
    <mergeCell ref="R6:S6"/>
    <mergeCell ref="R5:S5"/>
    <mergeCell ref="P5:Q5"/>
    <mergeCell ref="N5:O5"/>
    <mergeCell ref="D29:E29"/>
    <mergeCell ref="D28:E28"/>
    <mergeCell ref="D27:E27"/>
    <mergeCell ref="D26:E26"/>
    <mergeCell ref="D25:E25"/>
    <mergeCell ref="U36:U37"/>
    <mergeCell ref="T36:T37"/>
    <mergeCell ref="F30:J30"/>
    <mergeCell ref="N26:S26"/>
    <mergeCell ref="N27:S27"/>
    <mergeCell ref="N28:S28"/>
    <mergeCell ref="N29:S29"/>
    <mergeCell ref="F26:J26"/>
    <mergeCell ref="U33:U34"/>
    <mergeCell ref="F29:J29"/>
    <mergeCell ref="T33:T34"/>
    <mergeCell ref="K34:S34"/>
    <mergeCell ref="K33:S33"/>
    <mergeCell ref="J33:J34"/>
    <mergeCell ref="N30:S30"/>
    <mergeCell ref="K30:M30"/>
  </mergeCells>
  <dataValidations count="3">
    <dataValidation type="list" allowBlank="1" showInputMessage="1" showErrorMessage="1" sqref="H5:S5" xr:uid="{C7AEA4B4-260A-49F9-B98B-B0E386BC69E3}">
      <formula1>$AG$5:$AG$14</formula1>
    </dataValidation>
    <dataValidation type="list" allowBlank="1" showInputMessage="1" showErrorMessage="1" sqref="D5:G5" xr:uid="{AA07A7C2-E87B-42A0-A96E-DABC1494DFD0}">
      <formula1>$AG$3:$AG$4</formula1>
    </dataValidation>
    <dataValidation type="list" allowBlank="1" showInputMessage="1" showErrorMessage="1" sqref="D19:E29" xr:uid="{1C798FD3-F641-4E2E-B9F7-021266368D76}">
      <formula1>$AG$21:$AG$30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44CC-6B45-42E3-8E5C-98D03115AD7C}">
  <dimension ref="B2:BW1083"/>
  <sheetViews>
    <sheetView tabSelected="1" zoomScale="85" zoomScaleNormal="85" workbookViewId="0">
      <selection activeCell="C7" sqref="C7:D7"/>
    </sheetView>
  </sheetViews>
  <sheetFormatPr defaultColWidth="4.140625" defaultRowHeight="15" x14ac:dyDescent="0.25"/>
  <cols>
    <col min="1" max="6" width="4.140625" style="1"/>
    <col min="7" max="7" width="12.28515625" style="1" bestFit="1" customWidth="1"/>
    <col min="8" max="20" width="4.140625" style="1"/>
    <col min="21" max="21" width="4.140625" style="1" customWidth="1"/>
    <col min="22" max="22" width="8.85546875" style="1" hidden="1" customWidth="1"/>
    <col min="23" max="23" width="8.42578125" style="1" hidden="1" customWidth="1"/>
    <col min="24" max="43" width="8.140625" style="1" hidden="1" customWidth="1"/>
    <col min="44" max="44" width="9" style="1" hidden="1" customWidth="1"/>
    <col min="45" max="49" width="8.140625" style="1" hidden="1" customWidth="1"/>
    <col min="50" max="100" width="8.85546875" style="1" customWidth="1"/>
    <col min="101" max="16384" width="4.140625" style="1"/>
  </cols>
  <sheetData>
    <row r="2" spans="2:47" x14ac:dyDescent="0.25">
      <c r="B2" s="200" t="s">
        <v>166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2"/>
      <c r="AH2" s="1">
        <v>230</v>
      </c>
    </row>
    <row r="3" spans="2:47" ht="15.6" customHeight="1" x14ac:dyDescent="0.25">
      <c r="B3" s="203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5"/>
      <c r="AH3" s="1" t="s">
        <v>18</v>
      </c>
      <c r="AI3" s="1" t="s">
        <v>19</v>
      </c>
      <c r="AJ3" s="1" t="s">
        <v>20</v>
      </c>
      <c r="AK3" s="1" t="s">
        <v>86</v>
      </c>
      <c r="AL3" s="1" t="s">
        <v>22</v>
      </c>
      <c r="AN3" s="1" t="s">
        <v>87</v>
      </c>
      <c r="AO3" s="1" t="s">
        <v>88</v>
      </c>
      <c r="AP3" s="1" t="s">
        <v>167</v>
      </c>
      <c r="AQ3" s="1" t="s">
        <v>168</v>
      </c>
      <c r="AR3" s="1" t="s">
        <v>169</v>
      </c>
      <c r="AS3" s="1" t="s">
        <v>170</v>
      </c>
      <c r="AT3" s="1" t="s">
        <v>1</v>
      </c>
      <c r="AU3" s="1" t="s">
        <v>2</v>
      </c>
    </row>
    <row r="4" spans="2:47" ht="24" x14ac:dyDescent="0.45">
      <c r="B4" s="110" t="s">
        <v>171</v>
      </c>
      <c r="C4" s="111"/>
      <c r="D4" s="112"/>
      <c r="E4" s="21"/>
      <c r="F4" s="222" t="s">
        <v>172</v>
      </c>
      <c r="G4" s="222"/>
      <c r="H4" s="222"/>
      <c r="I4" s="222"/>
      <c r="J4" s="222"/>
      <c r="K4" s="222"/>
      <c r="L4" s="222"/>
      <c r="M4" s="222"/>
      <c r="N4" s="222"/>
      <c r="O4" s="222"/>
      <c r="P4" s="21"/>
      <c r="Q4" s="110" t="s">
        <v>173</v>
      </c>
      <c r="R4" s="111"/>
      <c r="S4" s="112"/>
    </row>
    <row r="5" spans="2:47" ht="15" customHeight="1" x14ac:dyDescent="0.25">
      <c r="B5" s="29" t="s">
        <v>174</v>
      </c>
      <c r="C5" s="237" t="s">
        <v>197</v>
      </c>
      <c r="D5" s="237"/>
      <c r="E5" s="30" t="s">
        <v>17</v>
      </c>
      <c r="F5" s="220" t="str">
        <f>IF(C5="","",ROUND(VLOOKUP(C5,$X$10:$AD$19,2,FALSE),2)&amp;" · (1,25 · "&amp;ROUND(VLOOKUP(C5,$X$10:$AD$19,5,FALSE),4)&amp;" · "&amp;ROUND(VLOOKUP(C5,$X$10:$AD$19,3,FALSE),2)&amp;" + "&amp;ROUND(VLOOKUP(C5,$X$10:$AD$19,6,FALSE),4)&amp;" · "&amp;ROUND(VLOOKUP(C5,$X$10:$AD$19,4,FALSE),2)&amp;")")</f>
        <v>483,15 · (1,25 · 0,002 · 0,99 + 0,0019 · 0,17)</v>
      </c>
      <c r="G5" s="220"/>
      <c r="H5" s="220"/>
      <c r="I5" s="220"/>
      <c r="J5" s="220"/>
      <c r="K5" s="220"/>
      <c r="L5" s="220"/>
      <c r="M5" s="220"/>
      <c r="N5" s="220"/>
      <c r="O5" s="220"/>
      <c r="P5" s="24" t="s">
        <v>17</v>
      </c>
      <c r="Q5" s="111" t="str">
        <f>IF(C5="","",ROUND(VLOOKUP(C5,$X$10:$AD$19,7,FALSE),2)&amp;" V")</f>
        <v>1,33 V</v>
      </c>
      <c r="R5" s="111"/>
      <c r="S5" s="112"/>
      <c r="T5" s="31"/>
      <c r="V5" s="1">
        <f>IF(C5="","0",(VLOOKUP(C5,$X$10:$AD$19,7,FALSE)))</f>
        <v>1.329089016167101</v>
      </c>
      <c r="AG5" s="1" t="str">
        <f>Kabeldata!B4</f>
        <v>W1</v>
      </c>
      <c r="AH5" s="46">
        <f>Kabeldata!B14</f>
        <v>7.8700000000000006E-2</v>
      </c>
      <c r="AI5" s="19">
        <f>Kabeldata!B15</f>
        <v>7.6999999999999999E-2</v>
      </c>
      <c r="AJ5" s="19">
        <f>SQRT(AH5^2+AI5^2)</f>
        <v>0.11010308805841915</v>
      </c>
      <c r="AK5" s="19" t="str">
        <f>COMPLEX(AH5,AI5,)</f>
        <v>0,0787+0,077i</v>
      </c>
      <c r="AL5" s="19" t="str">
        <f>ROUND(IMABS(COMPLEX(AH5,AI5,"j")),6)&amp;" ∠"&amp;ROUND(DEGREES(IMARGUMENT(COMPLEX(AH5,AI5,"j"))),2)</f>
        <v>0,110103 ∠44,37</v>
      </c>
      <c r="AM5" s="19"/>
      <c r="AN5" s="19">
        <f>Kabeldata!B9</f>
        <v>75</v>
      </c>
      <c r="AO5" s="15">
        <f>Kabeldata!B10</f>
        <v>3</v>
      </c>
      <c r="AP5" s="1">
        <f>Kabeldata!B11</f>
        <v>483.15</v>
      </c>
      <c r="AQ5" s="1">
        <f>Kabeldata!D11</f>
        <v>9.7899999999999991</v>
      </c>
      <c r="AT5" s="1">
        <f>COS(RADIANS(AQ5))</f>
        <v>0.98543759063650493</v>
      </c>
      <c r="AU5" s="1">
        <f>SIN(RADIANS(AQ5))</f>
        <v>0.17003751045142984</v>
      </c>
    </row>
    <row r="6" spans="2:47" ht="18" x14ac:dyDescent="0.25">
      <c r="B6" s="29" t="s">
        <v>174</v>
      </c>
      <c r="C6" s="237" t="s">
        <v>194</v>
      </c>
      <c r="D6" s="237"/>
      <c r="E6" s="30" t="s">
        <v>17</v>
      </c>
      <c r="F6" s="220" t="str">
        <f t="shared" ref="F6:F15" si="0">IF(C6="","",ROUND(VLOOKUP(C6,$X$10:$AD$19,2,FALSE),2)&amp;" · (1,25 · "&amp;ROUND(VLOOKUP(C6,$X$10:$AD$19,5,FALSE),4)&amp;" · "&amp;ROUND(VLOOKUP(C6,$X$10:$AD$19,3,FALSE),2)&amp;" + "&amp;ROUND(VLOOKUP(C6,$X$10:$AD$19,6,FALSE),4)&amp;" · "&amp;ROUND(VLOOKUP(C6,$X$10:$AD$19,4,FALSE),2)&amp;")")</f>
        <v>215,81 · (1,25 · 0,0133 · 0,96 + 0,0024 · 0,28)</v>
      </c>
      <c r="G6" s="220"/>
      <c r="H6" s="220"/>
      <c r="I6" s="220"/>
      <c r="J6" s="220"/>
      <c r="K6" s="220"/>
      <c r="L6" s="220"/>
      <c r="M6" s="220"/>
      <c r="N6" s="220"/>
      <c r="O6" s="220"/>
      <c r="P6" s="24" t="s">
        <v>17</v>
      </c>
      <c r="Q6" s="111" t="str">
        <f t="shared" ref="Q6:Q15" si="1">IF(C6="","",ROUND(VLOOKUP(C6,$X$10:$AD$19,7,FALSE),2)&amp;" V")</f>
        <v>3,59 V</v>
      </c>
      <c r="R6" s="111"/>
      <c r="S6" s="112"/>
      <c r="T6" s="31"/>
      <c r="V6" s="1">
        <f t="shared" ref="V6:V15" si="2">IF(C6="","0",(VLOOKUP(C6,$X$10:$AD$19,7,FALSE)))</f>
        <v>3.5930981394015262</v>
      </c>
      <c r="AH6" s="7">
        <f>(AN5*(1.25*AH5)/AO6)</f>
        <v>2.4593750000000002E-3</v>
      </c>
      <c r="AI6" s="8">
        <f>(AN5*AI5)/AO6</f>
        <v>1.9250000000000001E-3</v>
      </c>
      <c r="AJ6" s="8">
        <f>SQRT(AH6^2+AI6^2)</f>
        <v>3.1231635228762839E-3</v>
      </c>
      <c r="AK6" s="8" t="str">
        <f>COMPLEX(AH6,AI6,)</f>
        <v>0,002459375+0,001925i</v>
      </c>
      <c r="AL6" s="8" t="str">
        <f>ROUND(IMABS(COMPLEX(AH6,AI6,"j")),6)&amp;" ∠"&amp;ROUND(DEGREES(IMARGUMENT(COMPLEX(AH6,AI6,"j"))),2)</f>
        <v>0,003123 ∠38,05</v>
      </c>
      <c r="AM6" s="8"/>
      <c r="AN6" s="8"/>
      <c r="AO6" s="9">
        <f>1000*AO5</f>
        <v>3000</v>
      </c>
      <c r="AP6" s="1">
        <f>AP5*COS(RADIANS(-AQ5))</f>
        <v>476.11417191602732</v>
      </c>
      <c r="AQ6" s="1">
        <f>AP5*SIN(RADIANS(-AQ5))</f>
        <v>-82.153623174608327</v>
      </c>
      <c r="AR6" s="1" t="str">
        <f>COMPLEX(AP6,AQ6,)</f>
        <v>476,114171916027-82,1536231746083i</v>
      </c>
      <c r="AS6" s="1">
        <f>$AH$2-(IMABS(IMSUB($AH$2,IMPRODUCT(AR6,AK6))))</f>
        <v>1.3279728472467696</v>
      </c>
    </row>
    <row r="7" spans="2:47" ht="18" x14ac:dyDescent="0.25">
      <c r="B7" s="29" t="s">
        <v>174</v>
      </c>
      <c r="C7" s="237" t="s">
        <v>199</v>
      </c>
      <c r="D7" s="237"/>
      <c r="E7" s="30" t="s">
        <v>17</v>
      </c>
      <c r="F7" s="220" t="str">
        <f t="shared" si="0"/>
        <v>80 · (1,25 · 0,0096 · 0,98 + 0,0007 · 0,2)</v>
      </c>
      <c r="G7" s="220"/>
      <c r="H7" s="220"/>
      <c r="I7" s="220"/>
      <c r="J7" s="220"/>
      <c r="K7" s="220"/>
      <c r="L7" s="220"/>
      <c r="M7" s="220"/>
      <c r="N7" s="220"/>
      <c r="O7" s="220"/>
      <c r="P7" s="24" t="s">
        <v>17</v>
      </c>
      <c r="Q7" s="111" t="str">
        <f t="shared" si="1"/>
        <v>0,95 V</v>
      </c>
      <c r="R7" s="111"/>
      <c r="S7" s="112"/>
      <c r="V7" s="1">
        <f t="shared" si="2"/>
        <v>0.95187622806735428</v>
      </c>
    </row>
    <row r="8" spans="2:47" ht="18" x14ac:dyDescent="0.25">
      <c r="B8" s="29" t="s">
        <v>174</v>
      </c>
      <c r="C8" s="223"/>
      <c r="D8" s="223"/>
      <c r="E8" s="30" t="s">
        <v>17</v>
      </c>
      <c r="F8" s="220" t="str">
        <f t="shared" si="0"/>
        <v/>
      </c>
      <c r="G8" s="220"/>
      <c r="H8" s="220"/>
      <c r="I8" s="220"/>
      <c r="J8" s="220"/>
      <c r="K8" s="220"/>
      <c r="L8" s="220"/>
      <c r="M8" s="220"/>
      <c r="N8" s="220"/>
      <c r="O8" s="220"/>
      <c r="P8" s="24" t="s">
        <v>17</v>
      </c>
      <c r="Q8" s="111" t="str">
        <f t="shared" si="1"/>
        <v/>
      </c>
      <c r="R8" s="111"/>
      <c r="S8" s="112"/>
      <c r="V8" s="1" t="str">
        <f t="shared" si="2"/>
        <v>0</v>
      </c>
      <c r="AG8" s="49" t="str">
        <f>Kabeldata!F4</f>
        <v>W2</v>
      </c>
      <c r="AH8" s="46">
        <f>Kabeldata!F14</f>
        <v>0.64100000000000001</v>
      </c>
      <c r="AI8" s="19">
        <f>Kabeldata!F15</f>
        <v>8.1000000000000003E-2</v>
      </c>
      <c r="AJ8" s="19">
        <f>SQRT(AH8^2+AI8^2)</f>
        <v>0.6460975158596417</v>
      </c>
      <c r="AK8" s="19" t="str">
        <f>COMPLEX(AH8,AI8,)</f>
        <v>0,641+0,081i</v>
      </c>
      <c r="AL8" s="19" t="str">
        <f>ROUND(IMABS(COMPLEX(AH8,AI8,"j")),6)&amp;" ∠"&amp;ROUND(DEGREES(IMARGUMENT(COMPLEX(AH8,AI8,"j"))),2)</f>
        <v>0,646098 ∠7,2</v>
      </c>
      <c r="AM8" s="19"/>
      <c r="AN8" s="19">
        <f>Kabeldata!F9</f>
        <v>20</v>
      </c>
      <c r="AO8" s="15">
        <f>Kabeldata!F10</f>
        <v>1</v>
      </c>
      <c r="AP8" s="1">
        <f>Kabeldata!F11</f>
        <v>143.1</v>
      </c>
      <c r="AQ8" s="1">
        <f>Kabeldata!H11</f>
        <v>25.19</v>
      </c>
      <c r="AT8" s="1">
        <f>COS(RADIANS(AQ8))</f>
        <v>0.90490135118958437</v>
      </c>
      <c r="AU8" s="1">
        <f>SIN(RADIANS(AQ8))</f>
        <v>0.42562136296861852</v>
      </c>
    </row>
    <row r="9" spans="2:47" ht="18" x14ac:dyDescent="0.25">
      <c r="B9" s="29" t="s">
        <v>174</v>
      </c>
      <c r="C9" s="223"/>
      <c r="D9" s="223"/>
      <c r="E9" s="30" t="s">
        <v>17</v>
      </c>
      <c r="F9" s="220" t="str">
        <f t="shared" si="0"/>
        <v/>
      </c>
      <c r="G9" s="220"/>
      <c r="H9" s="220"/>
      <c r="I9" s="220"/>
      <c r="J9" s="220"/>
      <c r="K9" s="220"/>
      <c r="L9" s="220"/>
      <c r="M9" s="220"/>
      <c r="N9" s="220"/>
      <c r="O9" s="220"/>
      <c r="P9" s="24" t="s">
        <v>17</v>
      </c>
      <c r="Q9" s="111" t="str">
        <f t="shared" si="1"/>
        <v/>
      </c>
      <c r="R9" s="111"/>
      <c r="S9" s="112"/>
      <c r="V9" s="1" t="str">
        <f t="shared" si="2"/>
        <v>0</v>
      </c>
      <c r="Y9" s="1" t="s">
        <v>167</v>
      </c>
      <c r="Z9" s="1" t="s">
        <v>175</v>
      </c>
      <c r="AA9" s="1" t="s">
        <v>176</v>
      </c>
      <c r="AB9" s="1" t="s">
        <v>18</v>
      </c>
      <c r="AC9" s="1" t="s">
        <v>19</v>
      </c>
      <c r="AD9" s="1" t="s">
        <v>177</v>
      </c>
      <c r="AH9" s="7">
        <f>(AN8*(1.25*AH8)/AO9)</f>
        <v>1.6024999999999998E-2</v>
      </c>
      <c r="AI9" s="8">
        <f>(AN8*AI8)/AO9</f>
        <v>1.6200000000000001E-3</v>
      </c>
      <c r="AJ9" s="8">
        <f>SQRT(AH9^2+AI9^2)</f>
        <v>1.6106676410731043E-2</v>
      </c>
      <c r="AK9" s="8" t="str">
        <f>COMPLEX(AH9,AI9,)</f>
        <v>0,016025+0,00162i</v>
      </c>
      <c r="AL9" s="8" t="str">
        <f>ROUND(IMABS(COMPLEX(AH9,AI9,"j")),6)&amp;" ∠"&amp;ROUND(DEGREES(IMARGUMENT(COMPLEX(AH9,AI9,"j"))),2)</f>
        <v>0,016107 ∠5,77</v>
      </c>
      <c r="AM9" s="8"/>
      <c r="AN9" s="8"/>
      <c r="AO9" s="9">
        <f>1000*AO8</f>
        <v>1000</v>
      </c>
      <c r="AP9" s="1">
        <f>AP8*COS(RADIANS(-AQ8))</f>
        <v>129.49138335522952</v>
      </c>
      <c r="AQ9" s="1">
        <f>AP8*SIN(RADIANS(-AQ8))</f>
        <v>-60.906417040809309</v>
      </c>
      <c r="AR9" s="1" t="str">
        <f>COMPLEX(AP9,AQ9,)</f>
        <v>129,49138335523-60,9064170408093i</v>
      </c>
      <c r="AS9" s="1">
        <f>$AH$2-(IMABS(IMSUB($AH$2,IMPRODUCT(AR9,AK9))))</f>
        <v>2.1724792521673066</v>
      </c>
    </row>
    <row r="10" spans="2:47" ht="18" x14ac:dyDescent="0.25">
      <c r="B10" s="29" t="s">
        <v>174</v>
      </c>
      <c r="C10" s="223"/>
      <c r="D10" s="223"/>
      <c r="E10" s="30" t="s">
        <v>17</v>
      </c>
      <c r="F10" s="220" t="str">
        <f t="shared" si="0"/>
        <v/>
      </c>
      <c r="G10" s="220"/>
      <c r="H10" s="220"/>
      <c r="I10" s="220"/>
      <c r="J10" s="220"/>
      <c r="K10" s="220"/>
      <c r="L10" s="220"/>
      <c r="M10" s="220"/>
      <c r="N10" s="220"/>
      <c r="O10" s="220"/>
      <c r="P10" s="24" t="s">
        <v>17</v>
      </c>
      <c r="Q10" s="111" t="str">
        <f t="shared" si="1"/>
        <v/>
      </c>
      <c r="R10" s="111"/>
      <c r="S10" s="112"/>
      <c r="V10" s="1" t="str">
        <f t="shared" si="2"/>
        <v>0</v>
      </c>
      <c r="X10" s="49" t="str">
        <f>Kabeldata!$B$4</f>
        <v>W1</v>
      </c>
      <c r="Y10" s="1">
        <f>AP5</f>
        <v>483.15</v>
      </c>
      <c r="Z10" s="1">
        <f>AT5</f>
        <v>0.98543759063650493</v>
      </c>
      <c r="AA10" s="1">
        <f>AU5</f>
        <v>0.17003751045142984</v>
      </c>
      <c r="AB10" s="1">
        <f>(AH5*AN5)/(AO5*1000)</f>
        <v>1.9675000000000001E-3</v>
      </c>
      <c r="AC10" s="1">
        <f>(AI5*AN5)/(AO5*1000)</f>
        <v>1.9250000000000001E-3</v>
      </c>
      <c r="AD10" s="1">
        <f>Y10*(1.25*AB10*Z10+AC10*AA10)</f>
        <v>1.329089016167101</v>
      </c>
    </row>
    <row r="11" spans="2:47" ht="18" x14ac:dyDescent="0.25">
      <c r="B11" s="29" t="s">
        <v>174</v>
      </c>
      <c r="C11" s="223"/>
      <c r="D11" s="223"/>
      <c r="E11" s="30" t="s">
        <v>17</v>
      </c>
      <c r="F11" s="220" t="str">
        <f t="shared" si="0"/>
        <v/>
      </c>
      <c r="G11" s="220"/>
      <c r="H11" s="220"/>
      <c r="I11" s="220"/>
      <c r="J11" s="220"/>
      <c r="K11" s="220"/>
      <c r="L11" s="220"/>
      <c r="M11" s="220"/>
      <c r="N11" s="220"/>
      <c r="O11" s="220"/>
      <c r="P11" s="24" t="s">
        <v>17</v>
      </c>
      <c r="Q11" s="111" t="str">
        <f t="shared" si="1"/>
        <v/>
      </c>
      <c r="R11" s="111"/>
      <c r="S11" s="112"/>
      <c r="V11" s="1" t="str">
        <f t="shared" si="2"/>
        <v>0</v>
      </c>
      <c r="X11" s="49" t="str">
        <f>Kabeldata!$F$4</f>
        <v>W2</v>
      </c>
      <c r="Y11" s="1">
        <f>AP8</f>
        <v>143.1</v>
      </c>
      <c r="Z11" s="1">
        <f>AT8</f>
        <v>0.90490135118958437</v>
      </c>
      <c r="AA11" s="1">
        <f>AU8</f>
        <v>0.42562136296861852</v>
      </c>
      <c r="AB11" s="1">
        <f>(AH8*AN8)/(AO8*1000)</f>
        <v>1.282E-2</v>
      </c>
      <c r="AC11" s="1">
        <f>(AI8*AN8)/(AO8*1000)</f>
        <v>1.6200000000000001E-3</v>
      </c>
      <c r="AD11" s="1">
        <f t="shared" ref="AD11:AD19" si="3">Y11*(1.25*AB11*Z11+AC11*AA11)</f>
        <v>2.1737678138736642</v>
      </c>
      <c r="AG11" s="49" t="str">
        <f>Kabeldata!J4</f>
        <v>W3</v>
      </c>
      <c r="AH11" s="46">
        <f>Kabeldata!J14</f>
        <v>0.44400000000000001</v>
      </c>
      <c r="AI11" s="19">
        <f>Kabeldata!J15</f>
        <v>0.08</v>
      </c>
      <c r="AJ11" s="19">
        <f>SQRT(AH11^2+AI11^2)</f>
        <v>0.45114964257993156</v>
      </c>
      <c r="AK11" s="19" t="str">
        <f>COMPLEX(AH11,AI11,)</f>
        <v>0,444+0,08i</v>
      </c>
      <c r="AL11" s="19" t="str">
        <f>ROUND(IMABS(COMPLEX(AH11,AI11,"j")),6)&amp;" ∠"&amp;ROUND(DEGREES(IMARGUMENT(COMPLEX(AH11,AI11,"j"))),2)</f>
        <v>0,45115 ∠10,21</v>
      </c>
      <c r="AM11" s="19"/>
      <c r="AN11" s="19">
        <f>Kabeldata!J9</f>
        <v>30</v>
      </c>
      <c r="AO11" s="15">
        <f>Kabeldata!J10</f>
        <v>1</v>
      </c>
      <c r="AP11" s="1">
        <f>Kabeldata!J11</f>
        <v>215.81</v>
      </c>
      <c r="AQ11" s="1">
        <f>Kabeldata!L11</f>
        <v>16.420000000000002</v>
      </c>
      <c r="AT11" s="1">
        <f>COS(RADIANS(AQ11))</f>
        <v>0.95921536033657429</v>
      </c>
      <c r="AU11" s="1">
        <f>SIN(RADIANS(AQ11))</f>
        <v>0.28267630338317346</v>
      </c>
    </row>
    <row r="12" spans="2:47" ht="18" x14ac:dyDescent="0.25">
      <c r="B12" s="29" t="s">
        <v>174</v>
      </c>
      <c r="C12" s="223"/>
      <c r="D12" s="223"/>
      <c r="E12" s="30" t="s">
        <v>17</v>
      </c>
      <c r="F12" s="220" t="str">
        <f t="shared" si="0"/>
        <v/>
      </c>
      <c r="G12" s="220"/>
      <c r="H12" s="220"/>
      <c r="I12" s="220"/>
      <c r="J12" s="220"/>
      <c r="K12" s="220"/>
      <c r="L12" s="220"/>
      <c r="M12" s="220"/>
      <c r="N12" s="220"/>
      <c r="O12" s="220"/>
      <c r="P12" s="24" t="s">
        <v>17</v>
      </c>
      <c r="Q12" s="111" t="str">
        <f t="shared" si="1"/>
        <v/>
      </c>
      <c r="R12" s="111"/>
      <c r="S12" s="112"/>
      <c r="V12" s="1" t="str">
        <f t="shared" si="2"/>
        <v>0</v>
      </c>
      <c r="X12" s="49" t="str">
        <f>Kabeldata!$J$4</f>
        <v>W3</v>
      </c>
      <c r="Y12" s="1">
        <f>AP11</f>
        <v>215.81</v>
      </c>
      <c r="Z12" s="1">
        <f>AT11</f>
        <v>0.95921536033657429</v>
      </c>
      <c r="AA12" s="1">
        <f>AU11</f>
        <v>0.28267630338317346</v>
      </c>
      <c r="AB12" s="1">
        <f>(AH11*AN11)/(AO11*1000)</f>
        <v>1.332E-2</v>
      </c>
      <c r="AC12" s="1">
        <f>(AI11*AN11)/(AO11*1000)</f>
        <v>2.3999999999999998E-3</v>
      </c>
      <c r="AD12" s="1">
        <f t="shared" si="3"/>
        <v>3.5930981394015262</v>
      </c>
      <c r="AH12" s="7">
        <f>(AN11*(1.25*AH11)/AO12)</f>
        <v>1.6650000000000002E-2</v>
      </c>
      <c r="AI12" s="8">
        <f>(AN11*AI11)/AO12</f>
        <v>2.3999999999999998E-3</v>
      </c>
      <c r="AJ12" s="8">
        <f>SQRT(AH12^2+AI12^2)</f>
        <v>1.682208369970855E-2</v>
      </c>
      <c r="AK12" s="8" t="str">
        <f>COMPLEX(AH12,AI12,)</f>
        <v>0,01665+0,0024i</v>
      </c>
      <c r="AL12" s="8" t="str">
        <f>ROUND(IMABS(COMPLEX(AH12,AI12,"j")),6)&amp;" ∠"&amp;ROUND(DEGREES(IMARGUMENT(COMPLEX(AH12,AI12,"j"))),2)</f>
        <v>0,016822 ∠8,2</v>
      </c>
      <c r="AM12" s="8"/>
      <c r="AN12" s="8"/>
      <c r="AO12" s="9">
        <f>1000*AO11</f>
        <v>1000</v>
      </c>
      <c r="AP12" s="1">
        <f>AP11*COS(RADIANS(-AQ11))</f>
        <v>207.00826691423609</v>
      </c>
      <c r="AQ12" s="1">
        <f>AP11*SIN(RADIANS(-AQ11))</f>
        <v>-61.004373033122661</v>
      </c>
      <c r="AR12" s="1" t="str">
        <f>COMPLEX(AP12,AQ12,)</f>
        <v>207,008266914236-61,0043730331227i</v>
      </c>
      <c r="AS12" s="1">
        <f>$AH$2-(IMABS(IMSUB($AH$2,IMPRODUCT(AR12,AK12))))</f>
        <v>3.5925035021870997</v>
      </c>
    </row>
    <row r="13" spans="2:47" ht="18" x14ac:dyDescent="0.25">
      <c r="B13" s="29" t="s">
        <v>174</v>
      </c>
      <c r="C13" s="223"/>
      <c r="D13" s="223"/>
      <c r="E13" s="30" t="s">
        <v>17</v>
      </c>
      <c r="F13" s="220" t="str">
        <f t="shared" si="0"/>
        <v/>
      </c>
      <c r="G13" s="220"/>
      <c r="H13" s="220"/>
      <c r="I13" s="220"/>
      <c r="J13" s="220"/>
      <c r="K13" s="220"/>
      <c r="L13" s="220"/>
      <c r="M13" s="220"/>
      <c r="N13" s="220"/>
      <c r="O13" s="220"/>
      <c r="P13" s="24" t="s">
        <v>17</v>
      </c>
      <c r="Q13" s="111" t="str">
        <f t="shared" si="1"/>
        <v/>
      </c>
      <c r="R13" s="111"/>
      <c r="S13" s="112"/>
      <c r="V13" s="1" t="str">
        <f t="shared" si="2"/>
        <v>0</v>
      </c>
      <c r="X13" s="49" t="str">
        <f>Kabeldata!$N$4</f>
        <v>W4</v>
      </c>
      <c r="Y13" s="1">
        <f>AP14</f>
        <v>80</v>
      </c>
      <c r="Z13" s="1">
        <f>AT14</f>
        <v>0.97999423745655956</v>
      </c>
      <c r="AA13" s="1">
        <f>AU14</f>
        <v>0.19902586402760927</v>
      </c>
      <c r="AB13" s="1">
        <f>(AH14*AN14)/(AO14*1000)</f>
        <v>9.5999999999999992E-3</v>
      </c>
      <c r="AC13" s="1">
        <f>(AI14*AN14)/(AO14*1000)</f>
        <v>6.96E-4</v>
      </c>
      <c r="AD13" s="1">
        <f t="shared" si="3"/>
        <v>0.95187622806735428</v>
      </c>
    </row>
    <row r="14" spans="2:47" ht="18" x14ac:dyDescent="0.25">
      <c r="B14" s="29" t="s">
        <v>174</v>
      </c>
      <c r="C14" s="223"/>
      <c r="D14" s="223"/>
      <c r="E14" s="30" t="s">
        <v>17</v>
      </c>
      <c r="F14" s="220" t="str">
        <f t="shared" si="0"/>
        <v/>
      </c>
      <c r="G14" s="220"/>
      <c r="H14" s="220"/>
      <c r="I14" s="220"/>
      <c r="J14" s="220"/>
      <c r="K14" s="220"/>
      <c r="L14" s="220"/>
      <c r="M14" s="220"/>
      <c r="N14" s="220"/>
      <c r="O14" s="220"/>
      <c r="P14" s="24" t="s">
        <v>17</v>
      </c>
      <c r="Q14" s="111" t="str">
        <f t="shared" si="1"/>
        <v/>
      </c>
      <c r="R14" s="111"/>
      <c r="S14" s="112"/>
      <c r="V14" s="1" t="str">
        <f t="shared" si="2"/>
        <v>0</v>
      </c>
      <c r="X14" s="49">
        <f>Kabeldata!$R$4</f>
        <v>0</v>
      </c>
      <c r="Y14" s="1">
        <f>AP17</f>
        <v>10</v>
      </c>
      <c r="Z14" s="1">
        <f>AT17</f>
        <v>1</v>
      </c>
      <c r="AA14" s="1">
        <f>AU17</f>
        <v>0</v>
      </c>
      <c r="AB14" s="1">
        <f>(AH17*AN17)/(AO17*1000)</f>
        <v>7.2700000000000001E-2</v>
      </c>
      <c r="AC14" s="1">
        <f>(AI17*AN17)/(AO17*1000)</f>
        <v>7.9000000000000008E-3</v>
      </c>
      <c r="AD14" s="1">
        <f t="shared" si="3"/>
        <v>0.90874999999999995</v>
      </c>
      <c r="AG14" s="49" t="str">
        <f>Kabeldata!N4</f>
        <v>W4</v>
      </c>
      <c r="AH14" s="46">
        <f>Kabeldata!N14</f>
        <v>1.2</v>
      </c>
      <c r="AI14" s="19">
        <f>Kabeldata!N15</f>
        <v>8.6999999999999994E-2</v>
      </c>
      <c r="AJ14" s="19">
        <f>SQRT(AH14^2+AI14^2)</f>
        <v>1.2031496166312816</v>
      </c>
      <c r="AK14" s="19" t="str">
        <f>COMPLEX(AH14,AI14,)</f>
        <v>1,2+0,087i</v>
      </c>
      <c r="AL14" s="19" t="str">
        <f>ROUND(IMABS(COMPLEX(AH14,AI14,"j")),6)&amp;" ∠"&amp;ROUND(DEGREES(IMARGUMENT(COMPLEX(AH14,AI14,"j"))),2)</f>
        <v>1,20315 ∠4,15</v>
      </c>
      <c r="AM14" s="19"/>
      <c r="AN14" s="19">
        <f>Kabeldata!N9</f>
        <v>8</v>
      </c>
      <c r="AO14" s="15">
        <f>Kabeldata!N10</f>
        <v>1</v>
      </c>
      <c r="AP14" s="1">
        <f>Kabeldata!N11</f>
        <v>80</v>
      </c>
      <c r="AQ14" s="1">
        <f>Kabeldata!P11</f>
        <v>11.48</v>
      </c>
      <c r="AT14" s="1">
        <f>COS(RADIANS(AQ14))</f>
        <v>0.97999423745655956</v>
      </c>
      <c r="AU14" s="1">
        <f>SIN(RADIANS(AQ14))</f>
        <v>0.19902586402760927</v>
      </c>
    </row>
    <row r="15" spans="2:47" ht="18" x14ac:dyDescent="0.25">
      <c r="B15" s="32" t="s">
        <v>174</v>
      </c>
      <c r="C15" s="224"/>
      <c r="D15" s="224"/>
      <c r="E15" s="33" t="s">
        <v>17</v>
      </c>
      <c r="F15" s="225" t="str">
        <f t="shared" si="0"/>
        <v/>
      </c>
      <c r="G15" s="225"/>
      <c r="H15" s="225"/>
      <c r="I15" s="225"/>
      <c r="J15" s="225"/>
      <c r="K15" s="225"/>
      <c r="L15" s="225"/>
      <c r="M15" s="225"/>
      <c r="N15" s="225"/>
      <c r="O15" s="225"/>
      <c r="P15" s="28" t="s">
        <v>17</v>
      </c>
      <c r="Q15" s="142" t="str">
        <f t="shared" si="1"/>
        <v/>
      </c>
      <c r="R15" s="142"/>
      <c r="S15" s="196"/>
      <c r="V15" s="1" t="str">
        <f t="shared" si="2"/>
        <v>0</v>
      </c>
      <c r="X15" s="101">
        <f>Kabeldata!$B$22</f>
        <v>0</v>
      </c>
      <c r="Y15" s="1">
        <f>AP20</f>
        <v>6</v>
      </c>
      <c r="Z15" s="1">
        <f>AT20</f>
        <v>1</v>
      </c>
      <c r="AA15" s="1">
        <f>AU20</f>
        <v>0</v>
      </c>
      <c r="AB15" s="1">
        <f>(AH20*AN20)/(AO20*1000)</f>
        <v>7.9286999999999996E-2</v>
      </c>
      <c r="AC15" s="1">
        <f>(AI20*AN20)/(AO20*1000)</f>
        <v>1.0165E-3</v>
      </c>
      <c r="AD15" s="1">
        <f t="shared" si="3"/>
        <v>0.59465250000000003</v>
      </c>
      <c r="AH15" s="7">
        <f>(AN14*(1.25*AH14)/AO15)</f>
        <v>1.2E-2</v>
      </c>
      <c r="AI15" s="8">
        <f>(AN14*AI14)/AO15</f>
        <v>6.96E-4</v>
      </c>
      <c r="AJ15" s="8">
        <f>SQRT(AH15^2+AI15^2)</f>
        <v>1.2020167053747631E-2</v>
      </c>
      <c r="AK15" s="8" t="str">
        <f>COMPLEX(AH15,AI15,)</f>
        <v>0,012+0,000696i</v>
      </c>
      <c r="AL15" s="8" t="str">
        <f>ROUND(IMABS(COMPLEX(AH15,AI15,"j")),6)&amp;" ∠"&amp;ROUND(DEGREES(IMARGUMENT(COMPLEX(AH15,AI15,"j"))),2)</f>
        <v>0,01202 ∠3,32</v>
      </c>
      <c r="AM15" s="8"/>
      <c r="AN15" s="8"/>
      <c r="AO15" s="9">
        <f>1000*AO14</f>
        <v>1000</v>
      </c>
      <c r="AP15" s="1">
        <f>AP14*COS(RADIANS(-AQ14))</f>
        <v>78.399538996524768</v>
      </c>
      <c r="AQ15" s="1">
        <f>AP14*SIN(RADIANS(-AQ14))</f>
        <v>-15.922069122208741</v>
      </c>
      <c r="AR15" s="1" t="str">
        <f>COMPLEX(AP15,AQ15,)</f>
        <v>78,3995389965248-15,9220691222087i</v>
      </c>
      <c r="AS15" s="1">
        <f>$AH$2-(IMABS(IMSUB($AH$2,IMPRODUCT(AR15,AK15))))</f>
        <v>0.95183555559418664</v>
      </c>
    </row>
    <row r="16" spans="2:47" ht="18" x14ac:dyDescent="0.25">
      <c r="B16" s="20"/>
      <c r="C16" s="21"/>
      <c r="D16" s="21"/>
      <c r="E16" s="22"/>
      <c r="F16" s="21"/>
      <c r="G16" s="21"/>
      <c r="H16" s="21"/>
      <c r="I16" s="21"/>
      <c r="J16" s="21"/>
      <c r="K16" s="21"/>
      <c r="L16" s="21"/>
      <c r="M16" s="226" t="s">
        <v>178</v>
      </c>
      <c r="N16" s="226"/>
      <c r="O16" s="226"/>
      <c r="P16" s="26" t="s">
        <v>17</v>
      </c>
      <c r="Q16" s="227" t="str">
        <f>ROUND(V16,2)&amp;" V"</f>
        <v>5,87 V</v>
      </c>
      <c r="R16" s="227"/>
      <c r="S16" s="228"/>
      <c r="V16" s="1">
        <f>SUM(V5:V15)</f>
        <v>5.8740633836359812</v>
      </c>
      <c r="X16" s="49">
        <f>Kabeldata!$F$22</f>
        <v>0</v>
      </c>
      <c r="Y16" s="1">
        <f>AP23</f>
        <v>63</v>
      </c>
      <c r="Z16" s="1">
        <f>AT23</f>
        <v>1</v>
      </c>
      <c r="AA16" s="1">
        <f>AU23</f>
        <v>0</v>
      </c>
      <c r="AB16" s="1">
        <f>(AH23*AN23)/(AO23*1000)</f>
        <v>2.3E-3</v>
      </c>
      <c r="AC16" s="1">
        <f>(AI23*AN23)/(AO23*1000)</f>
        <v>1.7000000000000001E-4</v>
      </c>
      <c r="AD16" s="1">
        <f t="shared" si="3"/>
        <v>0.18112500000000001</v>
      </c>
    </row>
    <row r="17" spans="2:47" x14ac:dyDescent="0.25">
      <c r="B17" s="229" t="s">
        <v>179</v>
      </c>
      <c r="C17" s="230"/>
      <c r="D17" s="230"/>
      <c r="E17" s="233" t="s">
        <v>17</v>
      </c>
      <c r="F17" s="216" t="s">
        <v>180</v>
      </c>
      <c r="G17" s="216"/>
      <c r="H17" s="216"/>
      <c r="I17" s="235" t="s">
        <v>16</v>
      </c>
      <c r="J17" s="216" t="str">
        <f>ROUND(V16,2)&amp;" · 100"</f>
        <v>5,87 · 100</v>
      </c>
      <c r="K17" s="216"/>
      <c r="L17" s="216"/>
      <c r="M17" s="216"/>
      <c r="N17" s="216"/>
      <c r="O17" s="216"/>
      <c r="P17" s="233" t="s">
        <v>17</v>
      </c>
      <c r="Q17" s="238" t="str">
        <f>ROUND(V17,2)&amp;" %"</f>
        <v>2,55 %</v>
      </c>
      <c r="R17" s="238"/>
      <c r="S17" s="239"/>
      <c r="V17" s="1">
        <f>(V16*100)/230</f>
        <v>2.5539406015808614</v>
      </c>
      <c r="X17" s="49">
        <f>Kabeldata!$J$22</f>
        <v>0</v>
      </c>
      <c r="Y17" s="1">
        <f>AP26</f>
        <v>10</v>
      </c>
      <c r="Z17" s="1">
        <f>AT26</f>
        <v>1</v>
      </c>
      <c r="AA17" s="1">
        <f>AU26</f>
        <v>0</v>
      </c>
      <c r="AB17" s="1">
        <f>(AH26*AN26)/(AO26*1000)</f>
        <v>0.28417349999999997</v>
      </c>
      <c r="AC17" s="1">
        <f>(AI26*AN26)/(AO26*1000)</f>
        <v>3.6432500000000002E-3</v>
      </c>
      <c r="AD17" s="1">
        <f t="shared" si="3"/>
        <v>3.5521687499999999</v>
      </c>
      <c r="AG17" s="49">
        <f>Kabeldata!R4</f>
        <v>0</v>
      </c>
      <c r="AH17" s="46">
        <f>Kabeldata!R14</f>
        <v>0.72699999999999998</v>
      </c>
      <c r="AI17" s="19">
        <f>Kabeldata!R15</f>
        <v>7.9000000000000001E-2</v>
      </c>
      <c r="AJ17" s="19">
        <f>SQRT(AH17^2+AI17^2)</f>
        <v>0.7312797002515522</v>
      </c>
      <c r="AK17" s="19" t="str">
        <f>COMPLEX(AH17,AI17,)</f>
        <v>0,727+0,079i</v>
      </c>
      <c r="AL17" s="19" t="str">
        <f>ROUND(IMABS(COMPLEX(AH17,AI17,"j")),6)&amp;" ∠"&amp;ROUND(DEGREES(IMARGUMENT(COMPLEX(AH17,AI17,"j"))),2)</f>
        <v>0,73128 ∠6,2</v>
      </c>
      <c r="AM17" s="19"/>
      <c r="AN17" s="19">
        <f>Kabeldata!R9</f>
        <v>100</v>
      </c>
      <c r="AO17" s="15">
        <f>Kabeldata!R10</f>
        <v>1</v>
      </c>
      <c r="AP17" s="1">
        <f>Kabeldata!R11</f>
        <v>10</v>
      </c>
      <c r="AQ17" s="1">
        <f>Kabeldata!T11</f>
        <v>0</v>
      </c>
      <c r="AT17" s="1">
        <f>COS(RADIANS(AQ17))</f>
        <v>1</v>
      </c>
      <c r="AU17" s="1">
        <f>SIN(RADIANS(AQ17))</f>
        <v>0</v>
      </c>
    </row>
    <row r="18" spans="2:47" ht="18" x14ac:dyDescent="0.25">
      <c r="B18" s="231"/>
      <c r="C18" s="232"/>
      <c r="D18" s="232"/>
      <c r="E18" s="234"/>
      <c r="F18" s="236" t="s">
        <v>181</v>
      </c>
      <c r="G18" s="236"/>
      <c r="H18" s="236"/>
      <c r="I18" s="236"/>
      <c r="J18" s="236">
        <v>230</v>
      </c>
      <c r="K18" s="236"/>
      <c r="L18" s="236"/>
      <c r="M18" s="236"/>
      <c r="N18" s="236"/>
      <c r="O18" s="236"/>
      <c r="P18" s="234"/>
      <c r="Q18" s="240"/>
      <c r="R18" s="240"/>
      <c r="S18" s="241"/>
      <c r="X18" s="49">
        <f>Kabeldata!$N$22</f>
        <v>0</v>
      </c>
      <c r="Y18" s="1">
        <f>AP29</f>
        <v>250</v>
      </c>
      <c r="Z18" s="1">
        <f>AT29</f>
        <v>0.92050485345244037</v>
      </c>
      <c r="AA18" s="1">
        <f>AU29</f>
        <v>0.39073112848927377</v>
      </c>
      <c r="AB18" s="1">
        <f>(AH29*AN29)/(AO29*1000)</f>
        <v>0</v>
      </c>
      <c r="AC18" s="1">
        <f>(AI29*AN29)/(AO29*1000)</f>
        <v>0</v>
      </c>
      <c r="AD18" s="1">
        <f t="shared" si="3"/>
        <v>0</v>
      </c>
      <c r="AH18" s="7">
        <f>(AN17*(1.25*AH17)/AO18)</f>
        <v>9.0874999999999997E-2</v>
      </c>
      <c r="AI18" s="8">
        <f>(AN17*AI17)/AO18</f>
        <v>7.9000000000000008E-3</v>
      </c>
      <c r="AJ18" s="8">
        <f>SQRT(AH18^2+AI18^2)</f>
        <v>9.1217737447275016E-2</v>
      </c>
      <c r="AK18" s="8" t="str">
        <f>COMPLEX(AH18,AI18,)</f>
        <v>0,090875+0,0079i</v>
      </c>
      <c r="AL18" s="8" t="str">
        <f>ROUND(IMABS(COMPLEX(AH18,AI18,"j")),6)&amp;" ∠"&amp;ROUND(DEGREES(IMARGUMENT(COMPLEX(AH18,AI18,"j"))),2)</f>
        <v>0,091218 ∠4,97</v>
      </c>
      <c r="AM18" s="8"/>
      <c r="AN18" s="8"/>
      <c r="AO18" s="9">
        <f>1000*AO17</f>
        <v>1000</v>
      </c>
      <c r="AP18" s="1">
        <f>AP17*COS(RADIANS(-AQ17))</f>
        <v>10</v>
      </c>
      <c r="AQ18" s="1">
        <f>AP17*SIN(RADIANS(-AQ17))</f>
        <v>0</v>
      </c>
      <c r="AR18" s="1" t="str">
        <f>COMPLEX(AP18,AQ18,)</f>
        <v>10</v>
      </c>
      <c r="AS18" s="1">
        <f>$AH$2-(IMABS(IMSUB($AH$2,IMPRODUCT(AR18,AK18))))</f>
        <v>0.90873637879050762</v>
      </c>
    </row>
    <row r="19" spans="2:47" x14ac:dyDescent="0.25">
      <c r="B19" s="34"/>
      <c r="C19" s="35"/>
      <c r="D19" s="35"/>
      <c r="E19" s="31"/>
      <c r="X19" s="49">
        <f>Kabeldata!$R$22</f>
        <v>0</v>
      </c>
      <c r="Y19" s="1">
        <f>AP32</f>
        <v>250</v>
      </c>
      <c r="Z19" s="1">
        <f>AT32</f>
        <v>0.92050485345244037</v>
      </c>
      <c r="AA19" s="1">
        <f>AU32</f>
        <v>0.39073112848927377</v>
      </c>
      <c r="AB19" s="1" t="e">
        <f>(AH32*AN32)/(AO32*1000)</f>
        <v>#DIV/0!</v>
      </c>
      <c r="AC19" s="1" t="e">
        <f>(AI32*AN32)/(AO32*1000)</f>
        <v>#DIV/0!</v>
      </c>
      <c r="AD19" s="1" t="e">
        <f t="shared" si="3"/>
        <v>#DIV/0!</v>
      </c>
    </row>
    <row r="20" spans="2:47" x14ac:dyDescent="0.25">
      <c r="B20" s="31"/>
      <c r="C20" s="35"/>
      <c r="D20" s="35"/>
      <c r="E20" s="31"/>
      <c r="AG20" s="49" t="str">
        <f>Kabeldata!B21</f>
        <v>Nej</v>
      </c>
      <c r="AH20" s="46">
        <f>Kabeldata!B32</f>
        <v>7.41</v>
      </c>
      <c r="AI20" s="19">
        <f>Kabeldata!B33</f>
        <v>9.5000000000000001E-2</v>
      </c>
      <c r="AJ20" s="19">
        <f>SQRT(AH20^2+AI20^2)</f>
        <v>7.4106089493374299</v>
      </c>
      <c r="AK20" s="19" t="str">
        <f>COMPLEX(AH20,AI20,)</f>
        <v>7,41+0,095i</v>
      </c>
      <c r="AL20" s="19" t="str">
        <f>ROUND(IMABS(COMPLEX(AH20,AI20,"j")),6)&amp;" ∠"&amp;ROUND(DEGREES(IMARGUMENT(COMPLEX(AH20,AI20,"j"))),2)</f>
        <v>7,410609 ∠0,73</v>
      </c>
      <c r="AM20" s="19"/>
      <c r="AN20" s="19">
        <f>Kabeldata!B27</f>
        <v>10.7</v>
      </c>
      <c r="AO20" s="15">
        <f>Kabeldata!B28</f>
        <v>1</v>
      </c>
      <c r="AP20" s="1">
        <f>Kabeldata!B29</f>
        <v>6</v>
      </c>
      <c r="AQ20" s="1">
        <f>Kabeldata!D29</f>
        <v>0</v>
      </c>
      <c r="AT20" s="1">
        <f>COS(RADIANS(AQ20))</f>
        <v>1</v>
      </c>
      <c r="AU20" s="1">
        <f>SIN(RADIANS(AQ20))</f>
        <v>0</v>
      </c>
    </row>
    <row r="21" spans="2:47" x14ac:dyDescent="0.25">
      <c r="B21" s="34"/>
      <c r="C21" s="35"/>
      <c r="D21" s="35"/>
      <c r="E21" s="31"/>
      <c r="AH21" s="7">
        <f>(AN20*(1.25*AH20)/AO21)</f>
        <v>9.9108749999999982E-2</v>
      </c>
      <c r="AI21" s="8">
        <f>(AN20*AI20)/AO21</f>
        <v>1.0165E-3</v>
      </c>
      <c r="AJ21" s="8">
        <f>SQRT(AH21^2+AI21^2)</f>
        <v>9.9113962683430715E-2</v>
      </c>
      <c r="AK21" s="8" t="str">
        <f>COMPLEX(AH21,AI21,)</f>
        <v>0,09910875+0,0010165i</v>
      </c>
      <c r="AL21" s="8" t="str">
        <f>ROUND(IMABS(COMPLEX(AH21,AI21,"j")),6)&amp;" ∠"&amp;ROUND(DEGREES(IMARGUMENT(COMPLEX(AH21,AI21,"j"))),2)</f>
        <v>0,099114 ∠0,59</v>
      </c>
      <c r="AM21" s="8"/>
      <c r="AN21" s="8"/>
      <c r="AO21" s="9">
        <f>1000*AO20</f>
        <v>1000</v>
      </c>
      <c r="AP21" s="1">
        <f>AP20*COS(RADIANS(-AQ20))</f>
        <v>6</v>
      </c>
      <c r="AQ21" s="1">
        <f>AP20*SIN(RADIANS(-AQ20))</f>
        <v>0</v>
      </c>
      <c r="AR21" s="1" t="str">
        <f>COMPLEX(AP21,AQ21,)</f>
        <v>6</v>
      </c>
      <c r="AS21" s="1">
        <f>$AH$2-(IMABS(IMSUB($AH$2,IMPRODUCT(AR21,AK21))))</f>
        <v>0.59465241892559106</v>
      </c>
    </row>
    <row r="22" spans="2:47" x14ac:dyDescent="0.25">
      <c r="B22" s="31"/>
      <c r="C22" s="35"/>
      <c r="D22" s="35"/>
      <c r="E22" s="31"/>
    </row>
    <row r="23" spans="2:47" x14ac:dyDescent="0.25">
      <c r="B23" s="34"/>
      <c r="C23" s="35"/>
      <c r="D23" s="35"/>
      <c r="E23" s="31"/>
      <c r="AG23" s="49">
        <f>Kabeldata!F22</f>
        <v>0</v>
      </c>
      <c r="AH23" s="46">
        <f>Kabeldata!F32</f>
        <v>1.1499999999999999</v>
      </c>
      <c r="AI23" s="19">
        <f>Kabeldata!F33</f>
        <v>8.5000000000000006E-2</v>
      </c>
      <c r="AJ23" s="19">
        <f>SQRT(AH23^2+AI23^2)</f>
        <v>1.1531370256825508</v>
      </c>
      <c r="AK23" s="19" t="str">
        <f>COMPLEX(AH23,AI23,)</f>
        <v>1,15+0,085i</v>
      </c>
      <c r="AL23" s="19" t="str">
        <f>ROUND(IMABS(COMPLEX(AH23,AI23,"j")),6)&amp;" ∠"&amp;ROUND(DEGREES(IMARGUMENT(COMPLEX(AH23,AI23,"j"))),2)</f>
        <v>1,153137 ∠4,23</v>
      </c>
      <c r="AM23" s="19"/>
      <c r="AN23" s="19">
        <f>Kabeldata!F27</f>
        <v>2</v>
      </c>
      <c r="AO23" s="15">
        <f>Kabeldata!F28</f>
        <v>1</v>
      </c>
      <c r="AP23" s="1">
        <f>Kabeldata!F29</f>
        <v>63</v>
      </c>
      <c r="AQ23" s="1">
        <f>Kabeldata!H29</f>
        <v>0</v>
      </c>
      <c r="AT23" s="1">
        <f>COS(RADIANS(AQ23))</f>
        <v>1</v>
      </c>
      <c r="AU23" s="1">
        <f>SIN(RADIANS(AQ23))</f>
        <v>0</v>
      </c>
    </row>
    <row r="24" spans="2:47" x14ac:dyDescent="0.25">
      <c r="B24" s="31"/>
      <c r="C24" s="35"/>
      <c r="D24" s="35"/>
      <c r="E24" s="31"/>
      <c r="AH24" s="7">
        <f>(AN23*(1.25*AH23)/AO24)</f>
        <v>2.875E-3</v>
      </c>
      <c r="AI24" s="8">
        <f>(AN23*AI23)/AO24</f>
        <v>1.7000000000000001E-4</v>
      </c>
      <c r="AJ24" s="8">
        <f>SQRT(AH24^2+AI24^2)</f>
        <v>2.8800217013071274E-3</v>
      </c>
      <c r="AK24" s="8" t="str">
        <f>COMPLEX(AH24,AI24,)</f>
        <v>0,002875+0,00017i</v>
      </c>
      <c r="AL24" s="8" t="str">
        <f>ROUND(IMABS(COMPLEX(AH24,AI24,"j")),6)&amp;" ∠"&amp;ROUND(DEGREES(IMARGUMENT(COMPLEX(AH24,AI24,"j"))),2)</f>
        <v>0,00288 ∠3,38</v>
      </c>
      <c r="AM24" s="8"/>
      <c r="AN24" s="8"/>
      <c r="AO24" s="9">
        <f>1000*AO23</f>
        <v>1000</v>
      </c>
      <c r="AP24" s="1">
        <f>AP23*COS(RADIANS(-AQ23))</f>
        <v>63</v>
      </c>
      <c r="AQ24" s="1">
        <f>AP23*SIN(RADIANS(-AQ23))</f>
        <v>0</v>
      </c>
      <c r="AR24" s="1" t="str">
        <f>COMPLEX(AP24,AQ24,)</f>
        <v>63</v>
      </c>
      <c r="AS24" s="1">
        <f>$AH$2-(IMABS(IMSUB($AH$2,IMPRODUCT(AR24,AK24))))</f>
        <v>0.18112475044677012</v>
      </c>
    </row>
    <row r="25" spans="2:47" hidden="1" x14ac:dyDescent="0.25"/>
    <row r="26" spans="2:47" hidden="1" x14ac:dyDescent="0.25">
      <c r="B26" s="200" t="s">
        <v>166</v>
      </c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2"/>
      <c r="AG26" s="49">
        <f>Kabeldata!J22</f>
        <v>0</v>
      </c>
      <c r="AH26" s="46">
        <f>Kabeldata!J32</f>
        <v>7.41</v>
      </c>
      <c r="AI26" s="19">
        <f>Kabeldata!J33</f>
        <v>9.5000000000000001E-2</v>
      </c>
      <c r="AJ26" s="19">
        <f>SQRT(AH26^2+AI26^2)</f>
        <v>7.4106089493374299</v>
      </c>
      <c r="AK26" s="19" t="str">
        <f>COMPLEX(AH26,AI26,)</f>
        <v>7,41+0,095i</v>
      </c>
      <c r="AL26" s="19" t="str">
        <f>ROUND(IMABS(COMPLEX(AH26,AI26,"j")),6)&amp;" ∠"&amp;ROUND(DEGREES(IMARGUMENT(COMPLEX(AH26,AI26,"j"))),2)</f>
        <v>7,410609 ∠0,73</v>
      </c>
      <c r="AM26" s="19"/>
      <c r="AN26" s="19">
        <f>Kabeldata!J27</f>
        <v>38.35</v>
      </c>
      <c r="AO26" s="15">
        <f>Kabeldata!J28</f>
        <v>1</v>
      </c>
      <c r="AP26" s="1">
        <f>Kabeldata!J29</f>
        <v>10</v>
      </c>
      <c r="AQ26" s="1">
        <f>Kabeldata!L29</f>
        <v>0</v>
      </c>
      <c r="AT26" s="1">
        <f>COS(RADIANS(AQ26))</f>
        <v>1</v>
      </c>
      <c r="AU26" s="1">
        <f>SIN(RADIANS(AQ26))</f>
        <v>0</v>
      </c>
    </row>
    <row r="27" spans="2:47" hidden="1" x14ac:dyDescent="0.25">
      <c r="B27" s="203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5"/>
      <c r="AE27" s="1" t="s">
        <v>182</v>
      </c>
      <c r="AH27" s="7">
        <f>(AN26*(1.25*AH26)/AO27)</f>
        <v>0.35521687499999993</v>
      </c>
      <c r="AI27" s="8">
        <f>(AN26*AI26)/AO27</f>
        <v>3.6432500000000002E-3</v>
      </c>
      <c r="AJ27" s="8">
        <f>SQRT(AH27^2+AI27^2)</f>
        <v>0.35523555784201566</v>
      </c>
      <c r="AK27" s="8" t="str">
        <f>COMPLEX(AH27,AI27,)</f>
        <v>0,355216875+0,00364325i</v>
      </c>
      <c r="AL27" s="8" t="str">
        <f>ROUND(IMABS(COMPLEX(AH27,AI27,"j")),6)&amp;" ∠"&amp;ROUND(DEGREES(IMARGUMENT(COMPLEX(AH27,AI27,"j"))),2)</f>
        <v>0,355236 ∠0,59</v>
      </c>
      <c r="AM27" s="8"/>
      <c r="AN27" s="8"/>
      <c r="AO27" s="9">
        <f>1000*AO26</f>
        <v>1000</v>
      </c>
      <c r="AP27" s="1">
        <f>AP26*COS(RADIANS(-AQ26))</f>
        <v>10</v>
      </c>
      <c r="AQ27" s="1">
        <f>AP26*SIN(RADIANS(-AQ26))</f>
        <v>0</v>
      </c>
      <c r="AR27" s="1" t="str">
        <f>COMPLEX(AP27,AQ27,)</f>
        <v>10</v>
      </c>
      <c r="AS27" s="1">
        <f>$AH$2-(IMABS(IMSUB($AH$2,IMPRODUCT(AR27,AK27))))</f>
        <v>3.5521658192431858</v>
      </c>
    </row>
    <row r="28" spans="2:47" ht="24" hidden="1" x14ac:dyDescent="0.45">
      <c r="B28" s="110" t="s">
        <v>171</v>
      </c>
      <c r="C28" s="111"/>
      <c r="D28" s="112"/>
      <c r="E28" s="21"/>
      <c r="F28" s="222" t="s">
        <v>183</v>
      </c>
      <c r="G28" s="222"/>
      <c r="H28" s="222"/>
      <c r="I28" s="222"/>
      <c r="J28" s="222"/>
      <c r="K28" s="222"/>
      <c r="L28" s="222"/>
      <c r="M28" s="222"/>
      <c r="N28" s="222"/>
      <c r="O28" s="222"/>
      <c r="P28" s="21"/>
      <c r="Q28" s="110" t="s">
        <v>173</v>
      </c>
      <c r="R28" s="111"/>
      <c r="S28" s="112"/>
      <c r="V28" s="1" t="s">
        <v>167</v>
      </c>
      <c r="W28" s="1" t="s">
        <v>175</v>
      </c>
      <c r="X28" s="1" t="s">
        <v>176</v>
      </c>
      <c r="Y28" s="1" t="s">
        <v>18</v>
      </c>
      <c r="Z28" s="1" t="s">
        <v>19</v>
      </c>
      <c r="AA28" s="1" t="s">
        <v>184</v>
      </c>
      <c r="AB28" s="1" t="s">
        <v>185</v>
      </c>
      <c r="AC28" s="1" t="s">
        <v>186</v>
      </c>
    </row>
    <row r="29" spans="2:47" ht="18" hidden="1" x14ac:dyDescent="0.25">
      <c r="B29" s="29" t="s">
        <v>174</v>
      </c>
      <c r="C29" s="221" t="s">
        <v>187</v>
      </c>
      <c r="D29" s="221"/>
      <c r="E29" s="30" t="s">
        <v>17</v>
      </c>
      <c r="F29" s="220" t="e">
        <f>IF(C29="","","230 - |(230 ∠ 0) - (("&amp;VLOOKUP(C29,$X$10:$Y$19,2,FALSE)&amp;") · ("&amp;VLOOKUP(C29,$X$10:$Z$19,3,FALSE)&amp;"))|")</f>
        <v>#N/A</v>
      </c>
      <c r="G29" s="220"/>
      <c r="H29" s="220"/>
      <c r="I29" s="220"/>
      <c r="J29" s="220"/>
      <c r="K29" s="220"/>
      <c r="L29" s="220"/>
      <c r="M29" s="220"/>
      <c r="N29" s="220"/>
      <c r="O29" s="220"/>
      <c r="P29" s="24" t="s">
        <v>17</v>
      </c>
      <c r="Q29" s="111" t="e">
        <f>IF(C29="","",ROUND(VLOOKUP(C29,$X$10:$AA$19,4,FALSE),2)&amp;" V")</f>
        <v>#N/A</v>
      </c>
      <c r="R29" s="111"/>
      <c r="S29" s="112"/>
      <c r="T29" s="31"/>
      <c r="V29" s="1" t="e">
        <f>IF(C29="","0",(VLOOKUP(C29,$V$46:$AA$56,2,FALSE)))</f>
        <v>#N/A</v>
      </c>
      <c r="W29" s="1" t="e">
        <f t="shared" ref="W29:W39" si="4">IF(C29="","0",(VLOOKUP(C29,$V$47:$AA$56,3,FALSE)))</f>
        <v>#N/A</v>
      </c>
      <c r="X29" s="1" t="e">
        <f t="shared" ref="X29:X39" si="5">IF(C29="","0",(VLOOKUP(C29,$V$47:$AA$56,4,FALSE)))</f>
        <v>#N/A</v>
      </c>
      <c r="Y29" s="1" t="e">
        <f t="shared" ref="Y29:Y39" si="6">IF(C29="","0",(VLOOKUP(C29,$V$47:$AA$56,5,FALSE)))</f>
        <v>#N/A</v>
      </c>
      <c r="Z29" s="1" t="e">
        <f t="shared" ref="Z29:Z39" si="7">IF(C29="","0",(VLOOKUP(C29,$V$47:$AA$56,6,FALSE)))</f>
        <v>#N/A</v>
      </c>
      <c r="AA29" s="1">
        <f>VLOOKUP(AI40,AH45:AI1045,1,TRUE)</f>
        <v>230</v>
      </c>
      <c r="AB29" s="1">
        <f>VLOOKUP(AA29,AH45:AI1045,2,FALSE)</f>
        <v>230</v>
      </c>
      <c r="AC29" s="1">
        <f>AA29-AB29</f>
        <v>0</v>
      </c>
      <c r="AG29" s="49">
        <f>Kabeldata!N22</f>
        <v>0</v>
      </c>
      <c r="AH29" s="46">
        <f>Kabeldata!N32</f>
        <v>0</v>
      </c>
      <c r="AI29" s="19">
        <f>Kabeldata!N33</f>
        <v>0</v>
      </c>
      <c r="AJ29" s="19">
        <f>SQRT(AH29^2+AI29^2)</f>
        <v>0</v>
      </c>
      <c r="AK29" s="19" t="str">
        <f>COMPLEX(AH29,AI29,)</f>
        <v>0</v>
      </c>
      <c r="AL29" s="19" t="e">
        <f>ROUND(IMABS(COMPLEX(AH29,AI29,"j")),6)&amp;" ∠"&amp;ROUND(DEGREES(IMARGUMENT(COMPLEX(AH29,AI29,"j"))),2)</f>
        <v>#DIV/0!</v>
      </c>
      <c r="AM29" s="19"/>
      <c r="AN29" s="19">
        <f>Kabeldata!N27</f>
        <v>0</v>
      </c>
      <c r="AO29" s="15">
        <f>Kabeldata!N28</f>
        <v>1</v>
      </c>
      <c r="AP29" s="1">
        <f>Kabeldata!N29</f>
        <v>250</v>
      </c>
      <c r="AQ29" s="1">
        <f>Kabeldata!P29</f>
        <v>23</v>
      </c>
      <c r="AT29" s="1">
        <f>COS(RADIANS(AQ29))</f>
        <v>0.92050485345244037</v>
      </c>
      <c r="AU29" s="1">
        <f>SIN(RADIANS(AQ29))</f>
        <v>0.39073112848927377</v>
      </c>
    </row>
    <row r="30" spans="2:47" ht="18" hidden="1" x14ac:dyDescent="0.25">
      <c r="B30" s="29" t="s">
        <v>174</v>
      </c>
      <c r="C30" s="221" t="s">
        <v>188</v>
      </c>
      <c r="D30" s="221"/>
      <c r="E30" s="30" t="s">
        <v>17</v>
      </c>
      <c r="F30" s="220" t="e">
        <f t="shared" ref="F30:F39" si="8">IF(C30="","","230 - |(230 ∠ 0) - (("&amp;VLOOKUP(C30,$X$10:$Y$19,2,FALSE)&amp;") · ("&amp;VLOOKUP(C30,$X$10:$Z$19,3,FALSE)&amp;"))|")</f>
        <v>#N/A</v>
      </c>
      <c r="G30" s="220"/>
      <c r="H30" s="220"/>
      <c r="I30" s="220"/>
      <c r="J30" s="220"/>
      <c r="K30" s="220"/>
      <c r="L30" s="220"/>
      <c r="M30" s="220"/>
      <c r="N30" s="220"/>
      <c r="O30" s="220"/>
      <c r="P30" s="24" t="s">
        <v>17</v>
      </c>
      <c r="Q30" s="111" t="e">
        <f t="shared" ref="Q30:Q39" si="9">IF(C30="","",ROUND(VLOOKUP(C30,$X$10:$AA$19,4,FALSE),2)&amp;" V")</f>
        <v>#N/A</v>
      </c>
      <c r="R30" s="111"/>
      <c r="S30" s="112"/>
      <c r="T30" s="31"/>
      <c r="V30" s="1" t="e">
        <f t="shared" ref="V30:V39" si="10">IF(C30="","0",(VLOOKUP(C30,$V$47:$AA$56,2,FALSE)))</f>
        <v>#N/A</v>
      </c>
      <c r="W30" s="1" t="e">
        <f t="shared" si="4"/>
        <v>#N/A</v>
      </c>
      <c r="X30" s="1" t="e">
        <f t="shared" si="5"/>
        <v>#N/A</v>
      </c>
      <c r="Y30" s="1" t="e">
        <f t="shared" si="6"/>
        <v>#N/A</v>
      </c>
      <c r="Z30" s="1" t="e">
        <f t="shared" si="7"/>
        <v>#N/A</v>
      </c>
      <c r="AH30" s="7">
        <f>(AN29*(1.25*AH29)/AO30)</f>
        <v>0</v>
      </c>
      <c r="AI30" s="8">
        <f>(AN29*AI29)/AO30</f>
        <v>0</v>
      </c>
      <c r="AJ30" s="8">
        <f>SQRT(AH30^2+AI30^2)</f>
        <v>0</v>
      </c>
      <c r="AK30" s="8" t="str">
        <f>COMPLEX(AH30,AI30,)</f>
        <v>0</v>
      </c>
      <c r="AL30" s="8" t="e">
        <f>ROUND(IMABS(COMPLEX(AH30,AI30,"j")),6)&amp;" ∠"&amp;ROUND(DEGREES(IMARGUMENT(COMPLEX(AH30,AI30,"j"))),2)</f>
        <v>#DIV/0!</v>
      </c>
      <c r="AM30" s="8"/>
      <c r="AN30" s="8"/>
      <c r="AO30" s="9">
        <f>1000*AO29</f>
        <v>1000</v>
      </c>
      <c r="AP30" s="1">
        <f>AP29*COS(RADIANS(-AQ29))</f>
        <v>230.12621336311008</v>
      </c>
      <c r="AQ30" s="1">
        <f>AP29*SIN(RADIANS(-AQ29))</f>
        <v>-97.682782122318443</v>
      </c>
      <c r="AR30" s="1" t="str">
        <f>COMPLEX(AP30,AQ30,)</f>
        <v>230,12621336311-97,6827821223184i</v>
      </c>
      <c r="AS30" s="1">
        <f>$AH$2-(IMABS(IMSUB($AH$2,IMPRODUCT(AR30,AK30))))</f>
        <v>0</v>
      </c>
    </row>
    <row r="31" spans="2:47" ht="18" hidden="1" x14ac:dyDescent="0.25">
      <c r="B31" s="29" t="s">
        <v>174</v>
      </c>
      <c r="C31" s="221" t="s">
        <v>189</v>
      </c>
      <c r="D31" s="221"/>
      <c r="E31" s="30" t="s">
        <v>17</v>
      </c>
      <c r="F31" s="220" t="e">
        <f t="shared" si="8"/>
        <v>#N/A</v>
      </c>
      <c r="G31" s="220"/>
      <c r="H31" s="220"/>
      <c r="I31" s="220"/>
      <c r="J31" s="220"/>
      <c r="K31" s="220"/>
      <c r="L31" s="220"/>
      <c r="M31" s="220"/>
      <c r="N31" s="220"/>
      <c r="O31" s="220"/>
      <c r="P31" s="24" t="s">
        <v>17</v>
      </c>
      <c r="Q31" s="111" t="e">
        <f t="shared" si="9"/>
        <v>#N/A</v>
      </c>
      <c r="R31" s="111"/>
      <c r="S31" s="112"/>
      <c r="V31" s="1" t="e">
        <f t="shared" si="10"/>
        <v>#N/A</v>
      </c>
      <c r="W31" s="1" t="e">
        <f t="shared" si="4"/>
        <v>#N/A</v>
      </c>
      <c r="X31" s="1" t="e">
        <f t="shared" si="5"/>
        <v>#N/A</v>
      </c>
      <c r="Y31" s="1" t="e">
        <f t="shared" si="6"/>
        <v>#N/A</v>
      </c>
      <c r="Z31" s="1" t="e">
        <f t="shared" si="7"/>
        <v>#N/A</v>
      </c>
    </row>
    <row r="32" spans="2:47" ht="18" hidden="1" x14ac:dyDescent="0.25">
      <c r="B32" s="29" t="s">
        <v>174</v>
      </c>
      <c r="C32" s="219"/>
      <c r="D32" s="219"/>
      <c r="E32" s="30" t="s">
        <v>17</v>
      </c>
      <c r="F32" s="220" t="str">
        <f t="shared" si="8"/>
        <v/>
      </c>
      <c r="G32" s="220"/>
      <c r="H32" s="220"/>
      <c r="I32" s="220"/>
      <c r="J32" s="220"/>
      <c r="K32" s="220"/>
      <c r="L32" s="220"/>
      <c r="M32" s="220"/>
      <c r="N32" s="220"/>
      <c r="O32" s="220"/>
      <c r="P32" s="24" t="s">
        <v>17</v>
      </c>
      <c r="Q32" s="111" t="str">
        <f t="shared" si="9"/>
        <v/>
      </c>
      <c r="R32" s="111"/>
      <c r="S32" s="112"/>
      <c r="V32" s="1" t="str">
        <f t="shared" si="10"/>
        <v>0</v>
      </c>
      <c r="W32" s="1" t="str">
        <f t="shared" si="4"/>
        <v>0</v>
      </c>
      <c r="X32" s="1" t="str">
        <f t="shared" si="5"/>
        <v>0</v>
      </c>
      <c r="Y32" s="1" t="str">
        <f t="shared" si="6"/>
        <v>0</v>
      </c>
      <c r="Z32" s="1" t="str">
        <f t="shared" si="7"/>
        <v>0</v>
      </c>
      <c r="AG32" s="49">
        <f>Kabeldata!R22</f>
        <v>0</v>
      </c>
      <c r="AH32" s="46">
        <f>Kabeldata!R32</f>
        <v>0</v>
      </c>
      <c r="AI32" s="19">
        <f>Kabeldata!R33</f>
        <v>0</v>
      </c>
      <c r="AJ32" s="19">
        <f>SQRT(AH32^2+AI32^2)</f>
        <v>0</v>
      </c>
      <c r="AK32" s="19" t="str">
        <f>COMPLEX(AH32,AI32,)</f>
        <v>0</v>
      </c>
      <c r="AL32" s="19" t="e">
        <f>ROUND(IMABS(COMPLEX(AH32,AI32,"j")),6)&amp;" ∠"&amp;ROUND(DEGREES(IMARGUMENT(COMPLEX(AH32,AI32,"j"))),2)</f>
        <v>#DIV/0!</v>
      </c>
      <c r="AM32" s="19"/>
      <c r="AN32" s="19">
        <f>Kabeldata!R27</f>
        <v>0</v>
      </c>
      <c r="AO32" s="15">
        <f>Kabeldata!R28</f>
        <v>0</v>
      </c>
      <c r="AP32" s="1">
        <f>Kabeldata!R29</f>
        <v>250</v>
      </c>
      <c r="AQ32" s="1">
        <f>Kabeldata!T29</f>
        <v>23</v>
      </c>
      <c r="AT32" s="1">
        <f>COS(RADIANS(AQ32))</f>
        <v>0.92050485345244037</v>
      </c>
      <c r="AU32" s="1">
        <f>SIN(RADIANS(AQ32))</f>
        <v>0.39073112848927377</v>
      </c>
    </row>
    <row r="33" spans="2:75" ht="18" hidden="1" x14ac:dyDescent="0.25">
      <c r="B33" s="29" t="s">
        <v>174</v>
      </c>
      <c r="C33" s="219"/>
      <c r="D33" s="219"/>
      <c r="E33" s="30" t="s">
        <v>17</v>
      </c>
      <c r="F33" s="220" t="str">
        <f t="shared" si="8"/>
        <v/>
      </c>
      <c r="G33" s="220"/>
      <c r="H33" s="220"/>
      <c r="I33" s="220"/>
      <c r="J33" s="220"/>
      <c r="K33" s="220"/>
      <c r="L33" s="220"/>
      <c r="M33" s="220"/>
      <c r="N33" s="220"/>
      <c r="O33" s="220"/>
      <c r="P33" s="24" t="s">
        <v>17</v>
      </c>
      <c r="Q33" s="111" t="str">
        <f t="shared" si="9"/>
        <v/>
      </c>
      <c r="R33" s="111"/>
      <c r="S33" s="112"/>
      <c r="V33" s="1" t="str">
        <f t="shared" si="10"/>
        <v>0</v>
      </c>
      <c r="W33" s="1" t="str">
        <f t="shared" si="4"/>
        <v>0</v>
      </c>
      <c r="X33" s="1" t="str">
        <f t="shared" si="5"/>
        <v>0</v>
      </c>
      <c r="Y33" s="1" t="str">
        <f t="shared" si="6"/>
        <v>0</v>
      </c>
      <c r="Z33" s="1" t="str">
        <f t="shared" si="7"/>
        <v>0</v>
      </c>
      <c r="AH33" s="7" t="e">
        <f>(AN32*(1.25*AH32)/AO33)</f>
        <v>#DIV/0!</v>
      </c>
      <c r="AI33" s="8" t="e">
        <f>(AN32*AI32)/AO33</f>
        <v>#DIV/0!</v>
      </c>
      <c r="AJ33" s="8" t="e">
        <f>SQRT(AH33^2+AI33^2)</f>
        <v>#DIV/0!</v>
      </c>
      <c r="AK33" s="8" t="e">
        <f>COMPLEX(AH33,AI33,)</f>
        <v>#DIV/0!</v>
      </c>
      <c r="AL33" s="8" t="e">
        <f>ROUND(IMABS(COMPLEX(AH33,AI33,"j")),6)&amp;" ∠"&amp;ROUND(DEGREES(IMARGUMENT(COMPLEX(AH33,AI33,"j"))),2)</f>
        <v>#DIV/0!</v>
      </c>
      <c r="AM33" s="8"/>
      <c r="AN33" s="8"/>
      <c r="AO33" s="9">
        <f>1000*AO32</f>
        <v>0</v>
      </c>
      <c r="AP33" s="1">
        <f>AP32*COS(RADIANS(-AQ32))</f>
        <v>230.12621336311008</v>
      </c>
      <c r="AQ33" s="1">
        <f>AP32*SIN(RADIANS(-AQ32))</f>
        <v>-97.682782122318443</v>
      </c>
      <c r="AR33" s="1" t="str">
        <f>COMPLEX(AP33,AQ33,)</f>
        <v>230,12621336311-97,6827821223184i</v>
      </c>
      <c r="AS33" s="1" t="e">
        <f>$AH$2-(IMABS(IMSUB($AH$2,IMPRODUCT(AR33,AK33))))</f>
        <v>#DIV/0!</v>
      </c>
    </row>
    <row r="34" spans="2:75" ht="18" hidden="1" x14ac:dyDescent="0.25">
      <c r="B34" s="29" t="s">
        <v>174</v>
      </c>
      <c r="C34" s="219"/>
      <c r="D34" s="219"/>
      <c r="E34" s="30" t="s">
        <v>17</v>
      </c>
      <c r="F34" s="220" t="str">
        <f t="shared" si="8"/>
        <v/>
      </c>
      <c r="G34" s="220"/>
      <c r="H34" s="220"/>
      <c r="I34" s="220"/>
      <c r="J34" s="220"/>
      <c r="K34" s="220"/>
      <c r="L34" s="220"/>
      <c r="M34" s="220"/>
      <c r="N34" s="220"/>
      <c r="O34" s="220"/>
      <c r="P34" s="24" t="s">
        <v>17</v>
      </c>
      <c r="Q34" s="111" t="str">
        <f t="shared" si="9"/>
        <v/>
      </c>
      <c r="R34" s="111"/>
      <c r="S34" s="112"/>
      <c r="V34" s="1" t="str">
        <f t="shared" si="10"/>
        <v>0</v>
      </c>
      <c r="W34" s="1" t="str">
        <f t="shared" si="4"/>
        <v>0</v>
      </c>
      <c r="X34" s="1" t="str">
        <f t="shared" si="5"/>
        <v>0</v>
      </c>
      <c r="Y34" s="1" t="str">
        <f t="shared" si="6"/>
        <v>0</v>
      </c>
      <c r="Z34" s="1" t="str">
        <f t="shared" si="7"/>
        <v>0</v>
      </c>
    </row>
    <row r="35" spans="2:75" ht="18" hidden="1" x14ac:dyDescent="0.25">
      <c r="B35" s="29" t="s">
        <v>174</v>
      </c>
      <c r="C35" s="219"/>
      <c r="D35" s="219"/>
      <c r="E35" s="30" t="s">
        <v>17</v>
      </c>
      <c r="F35" s="220" t="str">
        <f t="shared" si="8"/>
        <v/>
      </c>
      <c r="G35" s="220"/>
      <c r="H35" s="220"/>
      <c r="I35" s="220"/>
      <c r="J35" s="220"/>
      <c r="K35" s="220"/>
      <c r="L35" s="220"/>
      <c r="M35" s="220"/>
      <c r="N35" s="220"/>
      <c r="O35" s="220"/>
      <c r="P35" s="24" t="s">
        <v>17</v>
      </c>
      <c r="Q35" s="111" t="str">
        <f t="shared" si="9"/>
        <v/>
      </c>
      <c r="R35" s="111"/>
      <c r="S35" s="112"/>
      <c r="V35" s="1" t="str">
        <f t="shared" si="10"/>
        <v>0</v>
      </c>
      <c r="W35" s="1" t="str">
        <f t="shared" si="4"/>
        <v>0</v>
      </c>
      <c r="X35" s="1" t="str">
        <f t="shared" si="5"/>
        <v>0</v>
      </c>
      <c r="Y35" s="1" t="str">
        <f t="shared" si="6"/>
        <v>0</v>
      </c>
      <c r="Z35" s="1" t="str">
        <f t="shared" si="7"/>
        <v>0</v>
      </c>
    </row>
    <row r="36" spans="2:75" ht="18" hidden="1" x14ac:dyDescent="0.25">
      <c r="B36" s="29" t="s">
        <v>174</v>
      </c>
      <c r="C36" s="219"/>
      <c r="D36" s="219"/>
      <c r="E36" s="30" t="s">
        <v>17</v>
      </c>
      <c r="F36" s="220" t="str">
        <f t="shared" si="8"/>
        <v/>
      </c>
      <c r="G36" s="220"/>
      <c r="H36" s="220"/>
      <c r="I36" s="220"/>
      <c r="J36" s="220"/>
      <c r="K36" s="220"/>
      <c r="L36" s="220"/>
      <c r="M36" s="220"/>
      <c r="N36" s="220"/>
      <c r="O36" s="220"/>
      <c r="P36" s="24" t="s">
        <v>17</v>
      </c>
      <c r="Q36" s="111" t="str">
        <f t="shared" si="9"/>
        <v/>
      </c>
      <c r="R36" s="111"/>
      <c r="S36" s="112"/>
      <c r="V36" s="1" t="str">
        <f t="shared" si="10"/>
        <v>0</v>
      </c>
      <c r="W36" s="1" t="str">
        <f t="shared" si="4"/>
        <v>0</v>
      </c>
      <c r="X36" s="1" t="str">
        <f t="shared" si="5"/>
        <v>0</v>
      </c>
      <c r="Y36" s="1" t="str">
        <f t="shared" si="6"/>
        <v>0</v>
      </c>
      <c r="Z36" s="1" t="str">
        <f t="shared" si="7"/>
        <v>0</v>
      </c>
    </row>
    <row r="37" spans="2:75" ht="18" hidden="1" x14ac:dyDescent="0.25">
      <c r="B37" s="29" t="s">
        <v>174</v>
      </c>
      <c r="C37" s="219"/>
      <c r="D37" s="219"/>
      <c r="E37" s="30" t="s">
        <v>17</v>
      </c>
      <c r="F37" s="220" t="str">
        <f t="shared" si="8"/>
        <v/>
      </c>
      <c r="G37" s="220"/>
      <c r="H37" s="220"/>
      <c r="I37" s="220"/>
      <c r="J37" s="220"/>
      <c r="K37" s="220"/>
      <c r="L37" s="220"/>
      <c r="M37" s="220"/>
      <c r="N37" s="220"/>
      <c r="O37" s="220"/>
      <c r="P37" s="24" t="s">
        <v>17</v>
      </c>
      <c r="Q37" s="111" t="str">
        <f t="shared" si="9"/>
        <v/>
      </c>
      <c r="R37" s="111"/>
      <c r="S37" s="112"/>
      <c r="V37" s="1" t="str">
        <f t="shared" si="10"/>
        <v>0</v>
      </c>
      <c r="W37" s="1" t="str">
        <f t="shared" si="4"/>
        <v>0</v>
      </c>
      <c r="X37" s="1" t="str">
        <f t="shared" si="5"/>
        <v>0</v>
      </c>
      <c r="Y37" s="1" t="str">
        <f t="shared" si="6"/>
        <v>0</v>
      </c>
      <c r="Z37" s="1" t="str">
        <f t="shared" si="7"/>
        <v>0</v>
      </c>
    </row>
    <row r="38" spans="2:75" ht="18" hidden="1" x14ac:dyDescent="0.25">
      <c r="B38" s="29" t="s">
        <v>174</v>
      </c>
      <c r="C38" s="219"/>
      <c r="D38" s="219"/>
      <c r="E38" s="30" t="s">
        <v>17</v>
      </c>
      <c r="F38" s="220" t="str">
        <f t="shared" si="8"/>
        <v/>
      </c>
      <c r="G38" s="220"/>
      <c r="H38" s="220"/>
      <c r="I38" s="220"/>
      <c r="J38" s="220"/>
      <c r="K38" s="220"/>
      <c r="L38" s="220"/>
      <c r="M38" s="220"/>
      <c r="N38" s="220"/>
      <c r="O38" s="220"/>
      <c r="P38" s="24" t="s">
        <v>17</v>
      </c>
      <c r="Q38" s="111" t="str">
        <f t="shared" si="9"/>
        <v/>
      </c>
      <c r="R38" s="111"/>
      <c r="S38" s="112"/>
      <c r="V38" s="1" t="str">
        <f t="shared" si="10"/>
        <v>0</v>
      </c>
      <c r="W38" s="1" t="str">
        <f t="shared" si="4"/>
        <v>0</v>
      </c>
      <c r="X38" s="1" t="str">
        <f t="shared" si="5"/>
        <v>0</v>
      </c>
      <c r="Y38" s="1" t="str">
        <f t="shared" si="6"/>
        <v>0</v>
      </c>
      <c r="Z38" s="1" t="str">
        <f t="shared" si="7"/>
        <v>0</v>
      </c>
    </row>
    <row r="39" spans="2:75" ht="18" hidden="1" x14ac:dyDescent="0.25">
      <c r="B39" s="29" t="s">
        <v>174</v>
      </c>
      <c r="C39" s="219"/>
      <c r="D39" s="219"/>
      <c r="E39" s="30" t="s">
        <v>17</v>
      </c>
      <c r="F39" s="220" t="str">
        <f t="shared" si="8"/>
        <v/>
      </c>
      <c r="G39" s="220"/>
      <c r="H39" s="220"/>
      <c r="I39" s="220"/>
      <c r="J39" s="220"/>
      <c r="K39" s="220"/>
      <c r="L39" s="220"/>
      <c r="M39" s="220"/>
      <c r="N39" s="220"/>
      <c r="O39" s="220"/>
      <c r="P39" s="24" t="s">
        <v>17</v>
      </c>
      <c r="Q39" s="111" t="str">
        <f t="shared" si="9"/>
        <v/>
      </c>
      <c r="R39" s="111"/>
      <c r="S39" s="112"/>
      <c r="V39" s="1" t="str">
        <f t="shared" si="10"/>
        <v>0</v>
      </c>
      <c r="W39" s="1" t="str">
        <f t="shared" si="4"/>
        <v>0</v>
      </c>
      <c r="X39" s="1" t="str">
        <f t="shared" si="5"/>
        <v>0</v>
      </c>
      <c r="Y39" s="1" t="str">
        <f t="shared" si="6"/>
        <v>0</v>
      </c>
      <c r="Z39" s="1" t="str">
        <f t="shared" si="7"/>
        <v>0</v>
      </c>
    </row>
    <row r="40" spans="2:75" ht="18" hidden="1" x14ac:dyDescent="0.25">
      <c r="B40" s="20"/>
      <c r="C40" s="21"/>
      <c r="D40" s="21"/>
      <c r="E40" s="98"/>
      <c r="F40" s="21"/>
      <c r="G40" s="21"/>
      <c r="H40" s="21"/>
      <c r="I40" s="21"/>
      <c r="J40" s="21"/>
      <c r="K40" s="21"/>
      <c r="L40" s="21"/>
      <c r="M40" s="216" t="s">
        <v>178</v>
      </c>
      <c r="N40" s="216"/>
      <c r="O40" s="216"/>
      <c r="P40" s="21"/>
      <c r="Q40" s="217" t="e">
        <f>ROUND(#REF!,2)&amp;" V"</f>
        <v>#REF!</v>
      </c>
      <c r="R40" s="217"/>
      <c r="S40" s="218"/>
      <c r="V40" s="1" t="e">
        <f>IMSUM(V29:V39)</f>
        <v>#N/A</v>
      </c>
      <c r="W40" s="1" t="e">
        <f>COS(IMARGUMENT(V40))</f>
        <v>#N/A</v>
      </c>
      <c r="X40" s="1" t="e">
        <f>SIN(ACOS(W40))</f>
        <v>#N/A</v>
      </c>
      <c r="Y40" s="1" t="e">
        <f>SUM(Y29:Y39)</f>
        <v>#N/A</v>
      </c>
      <c r="Z40" s="1" t="e">
        <f>SUM(Z29:Z39)</f>
        <v>#N/A</v>
      </c>
      <c r="AH40" s="1" t="s">
        <v>190</v>
      </c>
      <c r="AI40" s="1">
        <v>230</v>
      </c>
    </row>
    <row r="41" spans="2:75" hidden="1" x14ac:dyDescent="0.25">
      <c r="B41" s="20"/>
      <c r="C41" s="21"/>
      <c r="D41" s="21"/>
      <c r="E41" s="98"/>
      <c r="F41" s="21"/>
      <c r="G41" s="21"/>
      <c r="H41" s="21"/>
      <c r="I41" s="21"/>
      <c r="J41" s="21"/>
      <c r="K41" s="21"/>
      <c r="L41" s="21"/>
      <c r="M41" s="216" t="s">
        <v>179</v>
      </c>
      <c r="N41" s="216"/>
      <c r="O41" s="216"/>
      <c r="P41" s="21"/>
      <c r="Q41" s="217" t="e">
        <f>ROUND(V41,2)&amp;" %"</f>
        <v>#REF!</v>
      </c>
      <c r="R41" s="217"/>
      <c r="S41" s="218"/>
      <c r="V41" s="1" t="e">
        <f>(#REF!*100)/230</f>
        <v>#REF!</v>
      </c>
    </row>
    <row r="42" spans="2:75" hidden="1" x14ac:dyDescent="0.25">
      <c r="B42" s="31"/>
      <c r="C42" s="35"/>
      <c r="D42" s="35"/>
      <c r="E42" s="31"/>
    </row>
    <row r="43" spans="2:75" hidden="1" x14ac:dyDescent="0.25">
      <c r="B43" s="34"/>
      <c r="C43" s="35"/>
      <c r="D43" s="35"/>
      <c r="E43" s="31"/>
      <c r="AG43" s="1">
        <v>1</v>
      </c>
      <c r="AH43" s="1" t="s">
        <v>191</v>
      </c>
      <c r="AI43" s="1" t="s">
        <v>192</v>
      </c>
      <c r="AK43" s="1">
        <v>2</v>
      </c>
      <c r="AL43" s="1" t="s">
        <v>191</v>
      </c>
      <c r="AM43" s="1" t="s">
        <v>192</v>
      </c>
      <c r="AO43" s="1">
        <v>3</v>
      </c>
      <c r="AP43" s="1" t="s">
        <v>191</v>
      </c>
      <c r="AQ43" s="1" t="s">
        <v>192</v>
      </c>
      <c r="AS43" s="1">
        <v>4</v>
      </c>
      <c r="AT43" s="1" t="s">
        <v>191</v>
      </c>
      <c r="AU43" s="1" t="s">
        <v>192</v>
      </c>
      <c r="AW43" s="1">
        <v>5</v>
      </c>
      <c r="AX43" s="1" t="s">
        <v>191</v>
      </c>
      <c r="AY43" s="1" t="s">
        <v>192</v>
      </c>
      <c r="BA43" s="1">
        <v>6</v>
      </c>
      <c r="BB43" s="1" t="s">
        <v>191</v>
      </c>
      <c r="BC43" s="1" t="s">
        <v>192</v>
      </c>
      <c r="BE43" s="1">
        <v>7</v>
      </c>
      <c r="BF43" s="1" t="s">
        <v>191</v>
      </c>
      <c r="BG43" s="1" t="s">
        <v>192</v>
      </c>
      <c r="BI43" s="1">
        <v>8</v>
      </c>
      <c r="BJ43" s="1" t="s">
        <v>191</v>
      </c>
      <c r="BK43" s="1" t="s">
        <v>192</v>
      </c>
      <c r="BM43" s="1">
        <v>9</v>
      </c>
      <c r="BN43" s="1" t="s">
        <v>191</v>
      </c>
      <c r="BO43" s="1" t="s">
        <v>192</v>
      </c>
      <c r="BQ43" s="1">
        <v>10</v>
      </c>
      <c r="BR43" s="1" t="s">
        <v>191</v>
      </c>
      <c r="BS43" s="1" t="s">
        <v>192</v>
      </c>
      <c r="BU43" s="1">
        <v>11</v>
      </c>
      <c r="BV43" s="1" t="s">
        <v>191</v>
      </c>
      <c r="BW43" s="1" t="s">
        <v>192</v>
      </c>
    </row>
    <row r="44" spans="2:75" hidden="1" x14ac:dyDescent="0.25">
      <c r="W44" s="1" t="s">
        <v>167</v>
      </c>
      <c r="X44" s="1" t="s">
        <v>175</v>
      </c>
      <c r="Y44" s="1" t="s">
        <v>176</v>
      </c>
      <c r="Z44" s="1" t="s">
        <v>18</v>
      </c>
      <c r="AA44" s="1" t="s">
        <v>19</v>
      </c>
      <c r="AB44" s="1" t="s">
        <v>167</v>
      </c>
      <c r="AC44" s="1" t="s">
        <v>185</v>
      </c>
      <c r="AD44" s="1" t="s">
        <v>186</v>
      </c>
    </row>
    <row r="45" spans="2:75" hidden="1" x14ac:dyDescent="0.25">
      <c r="V45" s="1" t="s">
        <v>193</v>
      </c>
      <c r="W45" s="1" t="e">
        <f>V40</f>
        <v>#N/A</v>
      </c>
      <c r="X45" s="1" t="e">
        <f>W40</f>
        <v>#N/A</v>
      </c>
      <c r="Y45" s="1" t="e">
        <f>X40</f>
        <v>#N/A</v>
      </c>
      <c r="Z45" s="1">
        <f>Transformer!X44</f>
        <v>4.9440000000000005E-3</v>
      </c>
      <c r="AA45" s="1">
        <f>Transformer!Y44</f>
        <v>1.2730967864996584E-2</v>
      </c>
      <c r="AB45" s="1" t="e">
        <f t="shared" ref="AB45" si="11">IMABS(W45)</f>
        <v>#N/A</v>
      </c>
      <c r="AG45" s="1">
        <v>10</v>
      </c>
      <c r="AH45" s="1">
        <f>SQRT((AI45+($AB$47*($Z$47*$X$47+$AA$47*$Y$47)))^2+($D$3*($AA$47*$X$47-$Z$47*$Y$47))^2)</f>
        <v>221.3290890161671</v>
      </c>
      <c r="AI45" s="1">
        <f>$AI$40-AG45</f>
        <v>220</v>
      </c>
      <c r="AK45" s="1">
        <v>10</v>
      </c>
      <c r="AL45" s="1">
        <f>SQRT((AM45+($AB$47*($Z$47*$X$47+$AA$47*$Y$47)))^2+($D$3*($AA$47*$X$47-$Z$47*$Y$47))^2)</f>
        <v>221.3290890161671</v>
      </c>
      <c r="AM45" s="1">
        <f>$AI$40-AK45</f>
        <v>220</v>
      </c>
      <c r="AO45" s="1">
        <v>10</v>
      </c>
      <c r="AP45" s="1">
        <f>SQRT((AQ45+($AB$47*($Z$47*$X$47+$AA$47*$Y$47)))^2+($D$3*($AA$47*$X$47-$Z$47*$Y$47))^2)</f>
        <v>221.3290890161671</v>
      </c>
      <c r="AQ45" s="1">
        <f>$AI$40-AO45</f>
        <v>220</v>
      </c>
      <c r="AS45" s="1">
        <v>10</v>
      </c>
      <c r="AT45" s="1">
        <f>SQRT((AU45+($AB$47*($Z$47*$X$47+$AA$47*$Y$47)))^2+($D$3*($AA$47*$X$47-$Z$47*$Y$47))^2)</f>
        <v>221.3290890161671</v>
      </c>
      <c r="AU45" s="1">
        <f>$AI$40-AS45</f>
        <v>220</v>
      </c>
      <c r="AW45" s="1">
        <v>10</v>
      </c>
      <c r="AX45" s="1">
        <f>SQRT((AY45+($AB$47*($Z$47*$X$47+$AA$47*$Y$47)))^2+($D$3*($AA$47*$X$47-$Z$47*$Y$47))^2)</f>
        <v>221.3290890161671</v>
      </c>
      <c r="AY45" s="1">
        <f>$AI$40-AW45</f>
        <v>220</v>
      </c>
      <c r="BA45" s="1">
        <v>10</v>
      </c>
      <c r="BB45" s="1">
        <f>SQRT((BC45+($AB$47*($Z$47*$X$47+$AA$47*$Y$47)))^2+($D$3*($AA$47*$X$47-$Z$47*$Y$47))^2)</f>
        <v>221.3290890161671</v>
      </c>
      <c r="BC45" s="1">
        <f>$AI$40-BA45</f>
        <v>220</v>
      </c>
      <c r="BE45" s="1">
        <v>10</v>
      </c>
      <c r="BF45" s="1">
        <f>SQRT((BG45+($AB$47*($Z$47*$X$47+$AA$47*$Y$47)))^2+($D$3*($AA$47*$X$47-$Z$47*$Y$47))^2)</f>
        <v>221.3290890161671</v>
      </c>
      <c r="BG45" s="1">
        <f>$AI$40-BE45</f>
        <v>220</v>
      </c>
      <c r="BI45" s="1">
        <v>10</v>
      </c>
      <c r="BJ45" s="1">
        <f>SQRT((BK45+($AB$47*($Z$47*$X$47+$AA$47*$Y$47)))^2+($D$3*($AA$47*$X$47-$Z$47*$Y$47))^2)</f>
        <v>221.3290890161671</v>
      </c>
      <c r="BK45" s="1">
        <f>$AI$40-BI45</f>
        <v>220</v>
      </c>
      <c r="BM45" s="1">
        <v>10</v>
      </c>
      <c r="BN45" s="1">
        <f>SQRT((BO45+($AB$47*($Z$47*$X$47+$AA$47*$Y$47)))^2+($D$3*($AA$47*$X$47-$Z$47*$Y$47))^2)</f>
        <v>221.3290890161671</v>
      </c>
      <c r="BO45" s="1">
        <f>$AI$40-BM45</f>
        <v>220</v>
      </c>
      <c r="BQ45" s="1">
        <v>10</v>
      </c>
      <c r="BR45" s="1">
        <f>SQRT((BS45+($AB$47*($Z$47*$X$47+$AA$47*$Y$47)))^2+($D$3*($AA$47*$X$47-$Z$47*$Y$47))^2)</f>
        <v>221.3290890161671</v>
      </c>
      <c r="BS45" s="1">
        <f>$AI$40-BQ45</f>
        <v>220</v>
      </c>
      <c r="BU45" s="1">
        <v>10</v>
      </c>
      <c r="BV45" s="1">
        <f>SQRT((BW45+($AB$47*($Z$47*$X$47+$AA$47*$Y$47)))^2+($D$3*($AA$47*$X$47-$Z$47*$Y$47))^2)</f>
        <v>221.3290890161671</v>
      </c>
      <c r="BW45" s="1">
        <f>$AI$40-BU45</f>
        <v>220</v>
      </c>
    </row>
    <row r="46" spans="2:75" hidden="1" x14ac:dyDescent="0.25">
      <c r="AC46" s="1">
        <f>VLOOKUP(AA29,AH45:AI1045,2,FALSE)</f>
        <v>230</v>
      </c>
      <c r="AG46" s="1">
        <v>9.99</v>
      </c>
      <c r="AH46" s="1">
        <f t="shared" ref="AH46:AH109" si="12">SQRT((AI46+($AI$38*($AM$44*$AJ$44+$AN$44*$AK$44)))^2+($D$3*($AN$44*$AJ$44-$AM$44*$AK$44))^2)</f>
        <v>220.01</v>
      </c>
      <c r="AI46" s="1">
        <f t="shared" ref="AI46:AI109" si="13">$AI$40-AG46</f>
        <v>220.01</v>
      </c>
      <c r="AK46" s="1">
        <v>9.99</v>
      </c>
      <c r="AO46" s="1">
        <v>9.99</v>
      </c>
      <c r="AS46" s="1">
        <v>9.99</v>
      </c>
      <c r="AW46" s="1">
        <v>9.99</v>
      </c>
      <c r="BA46" s="1">
        <v>9.99</v>
      </c>
      <c r="BE46" s="1">
        <v>9.99</v>
      </c>
      <c r="BI46" s="1">
        <v>9.99</v>
      </c>
      <c r="BM46" s="1">
        <v>9.99</v>
      </c>
      <c r="BQ46" s="1">
        <v>9.99</v>
      </c>
      <c r="BU46" s="1">
        <v>9.99</v>
      </c>
    </row>
    <row r="47" spans="2:75" hidden="1" x14ac:dyDescent="0.25">
      <c r="V47" s="49" t="str">
        <f>Kabeldata!$B$4</f>
        <v>W1</v>
      </c>
      <c r="W47" s="1" t="str">
        <f>AR6</f>
        <v>476,114171916027-82,1536231746083i</v>
      </c>
      <c r="X47" s="1">
        <f>AT5</f>
        <v>0.98543759063650493</v>
      </c>
      <c r="Y47" s="1">
        <f>AU5</f>
        <v>0.17003751045142984</v>
      </c>
      <c r="Z47" s="1">
        <f>AH6</f>
        <v>2.4593750000000002E-3</v>
      </c>
      <c r="AA47" s="1">
        <f>AI6</f>
        <v>1.9250000000000001E-3</v>
      </c>
      <c r="AB47" s="1">
        <f>IMABS(W47)</f>
        <v>483.14999999999964</v>
      </c>
      <c r="AG47" s="1">
        <v>9.98</v>
      </c>
      <c r="AH47" s="1">
        <f t="shared" si="12"/>
        <v>220.02</v>
      </c>
      <c r="AI47" s="1">
        <f t="shared" si="13"/>
        <v>220.02</v>
      </c>
      <c r="AK47" s="1">
        <v>9.98</v>
      </c>
      <c r="AO47" s="1">
        <v>9.98</v>
      </c>
      <c r="AS47" s="1">
        <v>9.98</v>
      </c>
      <c r="AW47" s="1">
        <v>9.98</v>
      </c>
      <c r="BA47" s="1">
        <v>9.98</v>
      </c>
      <c r="BE47" s="1">
        <v>9.98</v>
      </c>
      <c r="BI47" s="1">
        <v>9.98</v>
      </c>
      <c r="BM47" s="1">
        <v>9.98</v>
      </c>
      <c r="BQ47" s="1">
        <v>9.98</v>
      </c>
      <c r="BU47" s="1">
        <v>9.98</v>
      </c>
    </row>
    <row r="48" spans="2:75" hidden="1" x14ac:dyDescent="0.25">
      <c r="V48" s="49" t="str">
        <f>Kabeldata!$F$4</f>
        <v>W2</v>
      </c>
      <c r="W48" s="1" t="str">
        <f>AR9</f>
        <v>129,49138335523-60,9064170408093i</v>
      </c>
      <c r="X48" s="1">
        <f>AT8</f>
        <v>0.90490135118958437</v>
      </c>
      <c r="Y48" s="1">
        <f>AU8</f>
        <v>0.42562136296861852</v>
      </c>
      <c r="Z48" s="1">
        <f>AH9</f>
        <v>1.6024999999999998E-2</v>
      </c>
      <c r="AA48" s="1">
        <f>AI9</f>
        <v>1.6200000000000001E-3</v>
      </c>
      <c r="AB48" s="1">
        <f t="shared" ref="AB48:AB56" si="14">IMABS(W48)</f>
        <v>143.10000000000045</v>
      </c>
      <c r="AG48" s="1">
        <v>9.9700000000000006</v>
      </c>
      <c r="AH48" s="1">
        <f t="shared" si="12"/>
        <v>220.03</v>
      </c>
      <c r="AI48" s="1">
        <f t="shared" si="13"/>
        <v>220.03</v>
      </c>
      <c r="AK48" s="1">
        <v>9.9700000000000006</v>
      </c>
      <c r="AO48" s="1">
        <v>9.9700000000000006</v>
      </c>
      <c r="AS48" s="1">
        <v>9.9700000000000006</v>
      </c>
      <c r="AW48" s="1">
        <v>9.9700000000000006</v>
      </c>
      <c r="BA48" s="1">
        <v>9.9700000000000006</v>
      </c>
      <c r="BE48" s="1">
        <v>9.9700000000000006</v>
      </c>
      <c r="BI48" s="1">
        <v>9.9700000000000006</v>
      </c>
      <c r="BM48" s="1">
        <v>9.9700000000000006</v>
      </c>
      <c r="BQ48" s="1">
        <v>9.9700000000000006</v>
      </c>
      <c r="BU48" s="1">
        <v>9.9700000000000006</v>
      </c>
    </row>
    <row r="49" spans="22:73" hidden="1" x14ac:dyDescent="0.25">
      <c r="V49" s="49" t="str">
        <f>Kabeldata!$J$4</f>
        <v>W3</v>
      </c>
      <c r="W49" s="1" t="str">
        <f>AR12</f>
        <v>207,008266914236-61,0043730331227i</v>
      </c>
      <c r="X49" s="1">
        <f>AT11</f>
        <v>0.95921536033657429</v>
      </c>
      <c r="Y49" s="1">
        <f>AU11</f>
        <v>0.28267630338317346</v>
      </c>
      <c r="Z49" s="1">
        <f>AH12</f>
        <v>1.6650000000000002E-2</v>
      </c>
      <c r="AA49" s="1">
        <f>AI12</f>
        <v>2.3999999999999998E-3</v>
      </c>
      <c r="AB49" s="1">
        <f t="shared" si="14"/>
        <v>215.80999999999989</v>
      </c>
      <c r="AG49" s="1">
        <v>9.9600000000000009</v>
      </c>
      <c r="AH49" s="1">
        <f t="shared" si="12"/>
        <v>220.04</v>
      </c>
      <c r="AI49" s="1">
        <f t="shared" si="13"/>
        <v>220.04</v>
      </c>
      <c r="AK49" s="1">
        <v>9.9600000000000009</v>
      </c>
      <c r="AO49" s="1">
        <v>9.9600000000000009</v>
      </c>
      <c r="AS49" s="1">
        <v>9.9600000000000009</v>
      </c>
      <c r="AW49" s="1">
        <v>9.9600000000000009</v>
      </c>
      <c r="BA49" s="1">
        <v>9.9600000000000009</v>
      </c>
      <c r="BE49" s="1">
        <v>9.9600000000000009</v>
      </c>
      <c r="BI49" s="1">
        <v>9.9600000000000009</v>
      </c>
      <c r="BM49" s="1">
        <v>9.9600000000000009</v>
      </c>
      <c r="BQ49" s="1">
        <v>9.9600000000000009</v>
      </c>
      <c r="BU49" s="1">
        <v>9.9600000000000009</v>
      </c>
    </row>
    <row r="50" spans="22:73" hidden="1" x14ac:dyDescent="0.25">
      <c r="V50" s="49" t="str">
        <f>Kabeldata!$N$4</f>
        <v>W4</v>
      </c>
      <c r="W50" s="1" t="str">
        <f>AR15</f>
        <v>78,3995389965248-15,9220691222087i</v>
      </c>
      <c r="X50" s="1">
        <f>AT14</f>
        <v>0.97999423745655956</v>
      </c>
      <c r="Y50" s="1">
        <f>AU14</f>
        <v>0.19902586402760927</v>
      </c>
      <c r="Z50" s="1">
        <f>AH15</f>
        <v>1.2E-2</v>
      </c>
      <c r="AA50" s="1">
        <f>AI15</f>
        <v>6.96E-4</v>
      </c>
      <c r="AB50" s="1">
        <f t="shared" si="14"/>
        <v>80.000000000000028</v>
      </c>
      <c r="AG50" s="1">
        <v>9.9499999999999993</v>
      </c>
      <c r="AH50" s="1">
        <f t="shared" si="12"/>
        <v>220.05</v>
      </c>
      <c r="AI50" s="1">
        <f t="shared" si="13"/>
        <v>220.05</v>
      </c>
      <c r="AK50" s="1">
        <v>9.9499999999999993</v>
      </c>
      <c r="AO50" s="1">
        <v>9.9499999999999993</v>
      </c>
      <c r="AS50" s="1">
        <v>9.9499999999999993</v>
      </c>
      <c r="AW50" s="1">
        <v>9.9499999999999993</v>
      </c>
      <c r="BA50" s="1">
        <v>9.9499999999999993</v>
      </c>
      <c r="BE50" s="1">
        <v>9.9499999999999993</v>
      </c>
      <c r="BI50" s="1">
        <v>9.9499999999999993</v>
      </c>
      <c r="BM50" s="1">
        <v>9.9499999999999993</v>
      </c>
      <c r="BQ50" s="1">
        <v>9.9499999999999993</v>
      </c>
      <c r="BU50" s="1">
        <v>9.9499999999999993</v>
      </c>
    </row>
    <row r="51" spans="22:73" hidden="1" x14ac:dyDescent="0.25">
      <c r="V51" s="49">
        <f>Kabeldata!$R$4</f>
        <v>0</v>
      </c>
      <c r="W51" s="1" t="str">
        <f>AR18</f>
        <v>10</v>
      </c>
      <c r="X51" s="1">
        <f>AT17</f>
        <v>1</v>
      </c>
      <c r="Y51" s="1">
        <f>AU17</f>
        <v>0</v>
      </c>
      <c r="Z51" s="1">
        <f>AH18</f>
        <v>9.0874999999999997E-2</v>
      </c>
      <c r="AA51" s="1">
        <f>AI18</f>
        <v>7.9000000000000008E-3</v>
      </c>
      <c r="AB51" s="1">
        <f t="shared" si="14"/>
        <v>10</v>
      </c>
      <c r="AG51" s="1">
        <v>9.94</v>
      </c>
      <c r="AH51" s="1">
        <f t="shared" si="12"/>
        <v>220.06</v>
      </c>
      <c r="AI51" s="1">
        <f t="shared" si="13"/>
        <v>220.06</v>
      </c>
      <c r="AK51" s="1">
        <v>9.94</v>
      </c>
      <c r="AO51" s="1">
        <v>9.94</v>
      </c>
      <c r="AS51" s="1">
        <v>9.94</v>
      </c>
      <c r="AW51" s="1">
        <v>9.94</v>
      </c>
      <c r="BA51" s="1">
        <v>9.94</v>
      </c>
      <c r="BE51" s="1">
        <v>9.94</v>
      </c>
      <c r="BI51" s="1">
        <v>9.94</v>
      </c>
      <c r="BM51" s="1">
        <v>9.94</v>
      </c>
      <c r="BQ51" s="1">
        <v>9.94</v>
      </c>
      <c r="BU51" s="1">
        <v>9.94</v>
      </c>
    </row>
    <row r="52" spans="22:73" hidden="1" x14ac:dyDescent="0.25">
      <c r="V52" s="49" t="str">
        <f>Kabeldata!$B$21</f>
        <v>Nej</v>
      </c>
      <c r="W52" s="1" t="str">
        <f>AR21</f>
        <v>6</v>
      </c>
      <c r="X52" s="1">
        <f>AT20</f>
        <v>1</v>
      </c>
      <c r="Y52" s="1">
        <f>AU20</f>
        <v>0</v>
      </c>
      <c r="Z52" s="1">
        <f>AH21</f>
        <v>9.9108749999999982E-2</v>
      </c>
      <c r="AA52" s="1">
        <f>AI21</f>
        <v>1.0165E-3</v>
      </c>
      <c r="AB52" s="1">
        <f t="shared" si="14"/>
        <v>6</v>
      </c>
      <c r="AG52" s="1">
        <v>9.93</v>
      </c>
      <c r="AH52" s="1">
        <f t="shared" si="12"/>
        <v>220.07</v>
      </c>
      <c r="AI52" s="1">
        <f t="shared" si="13"/>
        <v>220.07</v>
      </c>
      <c r="AK52" s="1">
        <v>9.93</v>
      </c>
      <c r="AO52" s="1">
        <v>9.93</v>
      </c>
      <c r="AS52" s="1">
        <v>9.93</v>
      </c>
      <c r="AW52" s="1">
        <v>9.93</v>
      </c>
      <c r="BA52" s="1">
        <v>9.93</v>
      </c>
      <c r="BE52" s="1">
        <v>9.93</v>
      </c>
      <c r="BI52" s="1">
        <v>9.93</v>
      </c>
      <c r="BM52" s="1">
        <v>9.93</v>
      </c>
      <c r="BQ52" s="1">
        <v>9.93</v>
      </c>
      <c r="BU52" s="1">
        <v>9.93</v>
      </c>
    </row>
    <row r="53" spans="22:73" hidden="1" x14ac:dyDescent="0.25">
      <c r="V53" s="49">
        <f>Kabeldata!$F$22</f>
        <v>0</v>
      </c>
      <c r="W53" s="1" t="str">
        <f>AR24</f>
        <v>63</v>
      </c>
      <c r="X53" s="1">
        <f>AT23</f>
        <v>1</v>
      </c>
      <c r="Y53" s="1">
        <f>AU23</f>
        <v>0</v>
      </c>
      <c r="Z53" s="1">
        <f>AH24</f>
        <v>2.875E-3</v>
      </c>
      <c r="AA53" s="1">
        <f>AI24</f>
        <v>1.7000000000000001E-4</v>
      </c>
      <c r="AB53" s="1">
        <f t="shared" si="14"/>
        <v>63</v>
      </c>
      <c r="AG53" s="1">
        <v>9.92</v>
      </c>
      <c r="AH53" s="1">
        <f t="shared" si="12"/>
        <v>220.08</v>
      </c>
      <c r="AI53" s="1">
        <f t="shared" si="13"/>
        <v>220.08</v>
      </c>
      <c r="AK53" s="1">
        <v>9.92</v>
      </c>
      <c r="AO53" s="1">
        <v>9.92</v>
      </c>
      <c r="AS53" s="1">
        <v>9.92</v>
      </c>
      <c r="AW53" s="1">
        <v>9.92</v>
      </c>
      <c r="BA53" s="1">
        <v>9.92</v>
      </c>
      <c r="BE53" s="1">
        <v>9.92</v>
      </c>
      <c r="BI53" s="1">
        <v>9.92</v>
      </c>
      <c r="BM53" s="1">
        <v>9.92</v>
      </c>
      <c r="BQ53" s="1">
        <v>9.92</v>
      </c>
      <c r="BU53" s="1">
        <v>9.92</v>
      </c>
    </row>
    <row r="54" spans="22:73" hidden="1" x14ac:dyDescent="0.25">
      <c r="V54" s="49">
        <f>Kabeldata!$J$22</f>
        <v>0</v>
      </c>
      <c r="W54" s="1" t="str">
        <f>AR27</f>
        <v>10</v>
      </c>
      <c r="X54" s="1">
        <f>AT26</f>
        <v>1</v>
      </c>
      <c r="Y54" s="1">
        <f>AU26</f>
        <v>0</v>
      </c>
      <c r="Z54" s="1">
        <f>AH27</f>
        <v>0.35521687499999993</v>
      </c>
      <c r="AA54" s="1">
        <f>AI27</f>
        <v>3.6432500000000002E-3</v>
      </c>
      <c r="AB54" s="1">
        <f t="shared" si="14"/>
        <v>10</v>
      </c>
      <c r="AG54" s="1">
        <v>9.91</v>
      </c>
      <c r="AH54" s="1">
        <f t="shared" si="12"/>
        <v>220.09</v>
      </c>
      <c r="AI54" s="1">
        <f t="shared" si="13"/>
        <v>220.09</v>
      </c>
      <c r="AK54" s="1">
        <v>9.91</v>
      </c>
      <c r="AO54" s="1">
        <v>9.91</v>
      </c>
      <c r="AS54" s="1">
        <v>9.91</v>
      </c>
      <c r="AW54" s="1">
        <v>9.91</v>
      </c>
      <c r="BA54" s="1">
        <v>9.91</v>
      </c>
      <c r="BE54" s="1">
        <v>9.91</v>
      </c>
      <c r="BI54" s="1">
        <v>9.91</v>
      </c>
      <c r="BM54" s="1">
        <v>9.91</v>
      </c>
      <c r="BQ54" s="1">
        <v>9.91</v>
      </c>
      <c r="BU54" s="1">
        <v>9.91</v>
      </c>
    </row>
    <row r="55" spans="22:73" hidden="1" x14ac:dyDescent="0.25">
      <c r="V55" s="49">
        <f>Kabeldata!$N$22</f>
        <v>0</v>
      </c>
      <c r="W55" s="1" t="str">
        <f>AR30</f>
        <v>230,12621336311-97,6827821223184i</v>
      </c>
      <c r="X55" s="1">
        <f>AT29</f>
        <v>0.92050485345244037</v>
      </c>
      <c r="Y55" s="1">
        <f>AU29</f>
        <v>0.39073112848927377</v>
      </c>
      <c r="Z55" s="1">
        <f>AH30</f>
        <v>0</v>
      </c>
      <c r="AA55" s="1">
        <f>AI30</f>
        <v>0</v>
      </c>
      <c r="AB55" s="1">
        <f t="shared" si="14"/>
        <v>249.99999999999991</v>
      </c>
      <c r="AG55" s="1">
        <v>9.9</v>
      </c>
      <c r="AH55" s="1">
        <f t="shared" si="12"/>
        <v>220.1</v>
      </c>
      <c r="AI55" s="1">
        <f t="shared" si="13"/>
        <v>220.1</v>
      </c>
      <c r="AK55" s="1">
        <v>9.9</v>
      </c>
      <c r="AO55" s="1">
        <v>9.9</v>
      </c>
      <c r="AS55" s="1">
        <v>9.9</v>
      </c>
      <c r="AW55" s="1">
        <v>9.9</v>
      </c>
      <c r="BA55" s="1">
        <v>9.9</v>
      </c>
      <c r="BE55" s="1">
        <v>9.9</v>
      </c>
      <c r="BI55" s="1">
        <v>9.9</v>
      </c>
      <c r="BM55" s="1">
        <v>9.9</v>
      </c>
      <c r="BQ55" s="1">
        <v>9.9</v>
      </c>
      <c r="BU55" s="1">
        <v>9.9</v>
      </c>
    </row>
    <row r="56" spans="22:73" hidden="1" x14ac:dyDescent="0.25">
      <c r="V56" s="49">
        <f>Kabeldata!$R$22</f>
        <v>0</v>
      </c>
      <c r="W56" s="1" t="str">
        <f>AR33</f>
        <v>230,12621336311-97,6827821223184i</v>
      </c>
      <c r="X56" s="1">
        <f>AT32</f>
        <v>0.92050485345244037</v>
      </c>
      <c r="Y56" s="1">
        <f>AU32</f>
        <v>0.39073112848927377</v>
      </c>
      <c r="Z56" s="1" t="e">
        <f>AH33</f>
        <v>#DIV/0!</v>
      </c>
      <c r="AA56" s="1" t="e">
        <f>AI33</f>
        <v>#DIV/0!</v>
      </c>
      <c r="AB56" s="1">
        <f t="shared" si="14"/>
        <v>249.99999999999991</v>
      </c>
      <c r="AG56" s="1">
        <v>9.89</v>
      </c>
      <c r="AH56" s="1">
        <f t="shared" si="12"/>
        <v>220.11</v>
      </c>
      <c r="AI56" s="1">
        <f t="shared" si="13"/>
        <v>220.11</v>
      </c>
      <c r="AK56" s="1">
        <v>9.89</v>
      </c>
      <c r="AO56" s="1">
        <v>9.89</v>
      </c>
      <c r="AS56" s="1">
        <v>9.89</v>
      </c>
      <c r="AW56" s="1">
        <v>9.89</v>
      </c>
      <c r="BA56" s="1">
        <v>9.89</v>
      </c>
      <c r="BE56" s="1">
        <v>9.89</v>
      </c>
      <c r="BI56" s="1">
        <v>9.89</v>
      </c>
      <c r="BM56" s="1">
        <v>9.89</v>
      </c>
      <c r="BQ56" s="1">
        <v>9.89</v>
      </c>
      <c r="BU56" s="1">
        <v>9.89</v>
      </c>
    </row>
    <row r="57" spans="22:73" hidden="1" x14ac:dyDescent="0.25">
      <c r="AG57" s="1">
        <v>9.8800000000000008</v>
      </c>
      <c r="AH57" s="1">
        <f t="shared" si="12"/>
        <v>220.12</v>
      </c>
      <c r="AI57" s="1">
        <f t="shared" si="13"/>
        <v>220.12</v>
      </c>
      <c r="AK57" s="1">
        <v>9.8800000000000008</v>
      </c>
      <c r="AO57" s="1">
        <v>9.8800000000000008</v>
      </c>
      <c r="AS57" s="1">
        <v>9.8800000000000008</v>
      </c>
      <c r="AW57" s="1">
        <v>9.8800000000000008</v>
      </c>
      <c r="BA57" s="1">
        <v>9.8800000000000008</v>
      </c>
      <c r="BE57" s="1">
        <v>9.8800000000000008</v>
      </c>
      <c r="BI57" s="1">
        <v>9.8800000000000008</v>
      </c>
      <c r="BM57" s="1">
        <v>9.8800000000000008</v>
      </c>
      <c r="BQ57" s="1">
        <v>9.8800000000000008</v>
      </c>
      <c r="BU57" s="1">
        <v>9.8800000000000008</v>
      </c>
    </row>
    <row r="58" spans="22:73" hidden="1" x14ac:dyDescent="0.25">
      <c r="AG58" s="1">
        <v>9.8699999999999992</v>
      </c>
      <c r="AH58" s="1">
        <f t="shared" si="12"/>
        <v>220.13</v>
      </c>
      <c r="AI58" s="1">
        <f t="shared" si="13"/>
        <v>220.13</v>
      </c>
      <c r="AK58" s="1">
        <v>9.8699999999999992</v>
      </c>
      <c r="AO58" s="1">
        <v>9.8699999999999992</v>
      </c>
      <c r="AS58" s="1">
        <v>9.8699999999999992</v>
      </c>
      <c r="AW58" s="1">
        <v>9.8699999999999992</v>
      </c>
      <c r="BA58" s="1">
        <v>9.8699999999999992</v>
      </c>
      <c r="BE58" s="1">
        <v>9.8699999999999992</v>
      </c>
      <c r="BI58" s="1">
        <v>9.8699999999999992</v>
      </c>
      <c r="BM58" s="1">
        <v>9.8699999999999992</v>
      </c>
      <c r="BQ58" s="1">
        <v>9.8699999999999992</v>
      </c>
      <c r="BU58" s="1">
        <v>9.8699999999999992</v>
      </c>
    </row>
    <row r="59" spans="22:73" hidden="1" x14ac:dyDescent="0.25">
      <c r="AG59" s="1">
        <v>9.86</v>
      </c>
      <c r="AH59" s="1">
        <f t="shared" si="12"/>
        <v>220.14</v>
      </c>
      <c r="AI59" s="1">
        <f t="shared" si="13"/>
        <v>220.14</v>
      </c>
      <c r="AK59" s="1">
        <v>9.86</v>
      </c>
      <c r="AO59" s="1">
        <v>9.86</v>
      </c>
      <c r="AS59" s="1">
        <v>9.86</v>
      </c>
      <c r="AW59" s="1">
        <v>9.86</v>
      </c>
      <c r="BA59" s="1">
        <v>9.86</v>
      </c>
      <c r="BE59" s="1">
        <v>9.86</v>
      </c>
      <c r="BI59" s="1">
        <v>9.86</v>
      </c>
      <c r="BM59" s="1">
        <v>9.86</v>
      </c>
      <c r="BQ59" s="1">
        <v>9.86</v>
      </c>
      <c r="BU59" s="1">
        <v>9.86</v>
      </c>
    </row>
    <row r="60" spans="22:73" hidden="1" x14ac:dyDescent="0.25">
      <c r="AG60" s="1">
        <v>9.85</v>
      </c>
      <c r="AH60" s="1">
        <f t="shared" si="12"/>
        <v>220.15</v>
      </c>
      <c r="AI60" s="1">
        <f t="shared" si="13"/>
        <v>220.15</v>
      </c>
      <c r="AK60" s="1">
        <v>9.85</v>
      </c>
      <c r="AO60" s="1">
        <v>9.85</v>
      </c>
      <c r="AS60" s="1">
        <v>9.85</v>
      </c>
      <c r="AW60" s="1">
        <v>9.85</v>
      </c>
      <c r="BA60" s="1">
        <v>9.85</v>
      </c>
      <c r="BE60" s="1">
        <v>9.85</v>
      </c>
      <c r="BI60" s="1">
        <v>9.85</v>
      </c>
      <c r="BM60" s="1">
        <v>9.85</v>
      </c>
      <c r="BQ60" s="1">
        <v>9.85</v>
      </c>
      <c r="BU60" s="1">
        <v>9.85</v>
      </c>
    </row>
    <row r="61" spans="22:73" hidden="1" x14ac:dyDescent="0.25">
      <c r="AG61" s="1">
        <v>9.84</v>
      </c>
      <c r="AH61" s="1">
        <f t="shared" si="12"/>
        <v>220.16</v>
      </c>
      <c r="AI61" s="1">
        <f t="shared" si="13"/>
        <v>220.16</v>
      </c>
      <c r="AK61" s="1">
        <v>9.84</v>
      </c>
      <c r="AO61" s="1">
        <v>9.84</v>
      </c>
      <c r="AS61" s="1">
        <v>9.84</v>
      </c>
      <c r="AW61" s="1">
        <v>9.84</v>
      </c>
      <c r="BA61" s="1">
        <v>9.84</v>
      </c>
      <c r="BE61" s="1">
        <v>9.84</v>
      </c>
      <c r="BI61" s="1">
        <v>9.84</v>
      </c>
      <c r="BM61" s="1">
        <v>9.84</v>
      </c>
      <c r="BQ61" s="1">
        <v>9.84</v>
      </c>
      <c r="BU61" s="1">
        <v>9.84</v>
      </c>
    </row>
    <row r="62" spans="22:73" hidden="1" x14ac:dyDescent="0.25">
      <c r="AG62" s="1">
        <v>9.83</v>
      </c>
      <c r="AH62" s="1">
        <f t="shared" si="12"/>
        <v>220.17</v>
      </c>
      <c r="AI62" s="1">
        <f t="shared" si="13"/>
        <v>220.17</v>
      </c>
      <c r="AK62" s="1">
        <v>9.83</v>
      </c>
      <c r="AO62" s="1">
        <v>9.83</v>
      </c>
      <c r="AS62" s="1">
        <v>9.83</v>
      </c>
      <c r="AW62" s="1">
        <v>9.83</v>
      </c>
      <c r="BA62" s="1">
        <v>9.83</v>
      </c>
      <c r="BE62" s="1">
        <v>9.83</v>
      </c>
      <c r="BI62" s="1">
        <v>9.83</v>
      </c>
      <c r="BM62" s="1">
        <v>9.83</v>
      </c>
      <c r="BQ62" s="1">
        <v>9.83</v>
      </c>
      <c r="BU62" s="1">
        <v>9.83</v>
      </c>
    </row>
    <row r="63" spans="22:73" hidden="1" x14ac:dyDescent="0.25">
      <c r="AG63" s="1">
        <v>9.82</v>
      </c>
      <c r="AH63" s="1">
        <f t="shared" si="12"/>
        <v>220.18</v>
      </c>
      <c r="AI63" s="1">
        <f t="shared" si="13"/>
        <v>220.18</v>
      </c>
      <c r="AK63" s="1">
        <v>9.82</v>
      </c>
      <c r="AO63" s="1">
        <v>9.82</v>
      </c>
      <c r="AS63" s="1">
        <v>9.82</v>
      </c>
      <c r="AW63" s="1">
        <v>9.82</v>
      </c>
      <c r="BA63" s="1">
        <v>9.82</v>
      </c>
      <c r="BE63" s="1">
        <v>9.82</v>
      </c>
      <c r="BI63" s="1">
        <v>9.82</v>
      </c>
      <c r="BM63" s="1">
        <v>9.82</v>
      </c>
      <c r="BQ63" s="1">
        <v>9.82</v>
      </c>
      <c r="BU63" s="1">
        <v>9.82</v>
      </c>
    </row>
    <row r="64" spans="22:73" hidden="1" x14ac:dyDescent="0.25">
      <c r="AG64" s="1">
        <v>9.81</v>
      </c>
      <c r="AH64" s="1">
        <f t="shared" si="12"/>
        <v>220.19</v>
      </c>
      <c r="AI64" s="1">
        <f t="shared" si="13"/>
        <v>220.19</v>
      </c>
      <c r="AK64" s="1">
        <v>9.81</v>
      </c>
      <c r="AO64" s="1">
        <v>9.81</v>
      </c>
      <c r="AS64" s="1">
        <v>9.81</v>
      </c>
      <c r="AW64" s="1">
        <v>9.81</v>
      </c>
      <c r="BA64" s="1">
        <v>9.81</v>
      </c>
      <c r="BE64" s="1">
        <v>9.81</v>
      </c>
      <c r="BI64" s="1">
        <v>9.81</v>
      </c>
      <c r="BM64" s="1">
        <v>9.81</v>
      </c>
      <c r="BQ64" s="1">
        <v>9.81</v>
      </c>
      <c r="BU64" s="1">
        <v>9.81</v>
      </c>
    </row>
    <row r="65" spans="33:73" hidden="1" x14ac:dyDescent="0.25">
      <c r="AG65" s="1">
        <v>9.8000000000000007</v>
      </c>
      <c r="AH65" s="1">
        <f t="shared" si="12"/>
        <v>220.2</v>
      </c>
      <c r="AI65" s="1">
        <f t="shared" si="13"/>
        <v>220.2</v>
      </c>
      <c r="AK65" s="1">
        <v>9.8000000000000007</v>
      </c>
      <c r="AO65" s="1">
        <v>9.8000000000000007</v>
      </c>
      <c r="AS65" s="1">
        <v>9.8000000000000007</v>
      </c>
      <c r="AW65" s="1">
        <v>9.8000000000000007</v>
      </c>
      <c r="BA65" s="1">
        <v>9.8000000000000007</v>
      </c>
      <c r="BE65" s="1">
        <v>9.8000000000000007</v>
      </c>
      <c r="BI65" s="1">
        <v>9.8000000000000007</v>
      </c>
      <c r="BM65" s="1">
        <v>9.8000000000000007</v>
      </c>
      <c r="BQ65" s="1">
        <v>9.8000000000000007</v>
      </c>
      <c r="BU65" s="1">
        <v>9.8000000000000007</v>
      </c>
    </row>
    <row r="66" spans="33:73" hidden="1" x14ac:dyDescent="0.25">
      <c r="AG66" s="1">
        <v>9.7899999999999991</v>
      </c>
      <c r="AH66" s="1">
        <f t="shared" si="12"/>
        <v>220.21</v>
      </c>
      <c r="AI66" s="1">
        <f t="shared" si="13"/>
        <v>220.21</v>
      </c>
      <c r="AK66" s="1">
        <v>9.7899999999999991</v>
      </c>
      <c r="AO66" s="1">
        <v>9.7899999999999991</v>
      </c>
      <c r="AS66" s="1">
        <v>9.7899999999999991</v>
      </c>
      <c r="AW66" s="1">
        <v>9.7899999999999991</v>
      </c>
      <c r="BA66" s="1">
        <v>9.7899999999999991</v>
      </c>
      <c r="BE66" s="1">
        <v>9.7899999999999991</v>
      </c>
      <c r="BI66" s="1">
        <v>9.7899999999999991</v>
      </c>
      <c r="BM66" s="1">
        <v>9.7899999999999991</v>
      </c>
      <c r="BQ66" s="1">
        <v>9.7899999999999991</v>
      </c>
      <c r="BU66" s="1">
        <v>9.7899999999999991</v>
      </c>
    </row>
    <row r="67" spans="33:73" hidden="1" x14ac:dyDescent="0.25">
      <c r="AG67" s="1">
        <v>9.7799999999999994</v>
      </c>
      <c r="AH67" s="1">
        <f t="shared" si="12"/>
        <v>220.22</v>
      </c>
      <c r="AI67" s="1">
        <f t="shared" si="13"/>
        <v>220.22</v>
      </c>
      <c r="AK67" s="1">
        <v>9.7799999999999994</v>
      </c>
      <c r="AO67" s="1">
        <v>9.7799999999999994</v>
      </c>
      <c r="AS67" s="1">
        <v>9.7799999999999994</v>
      </c>
      <c r="AW67" s="1">
        <v>9.7799999999999994</v>
      </c>
      <c r="BA67" s="1">
        <v>9.7799999999999994</v>
      </c>
      <c r="BE67" s="1">
        <v>9.7799999999999994</v>
      </c>
      <c r="BI67" s="1">
        <v>9.7799999999999994</v>
      </c>
      <c r="BM67" s="1">
        <v>9.7799999999999994</v>
      </c>
      <c r="BQ67" s="1">
        <v>9.7799999999999994</v>
      </c>
      <c r="BU67" s="1">
        <v>9.7799999999999994</v>
      </c>
    </row>
    <row r="68" spans="33:73" hidden="1" x14ac:dyDescent="0.25">
      <c r="AG68" s="1">
        <v>9.77</v>
      </c>
      <c r="AH68" s="1">
        <f t="shared" si="12"/>
        <v>220.23</v>
      </c>
      <c r="AI68" s="1">
        <f t="shared" si="13"/>
        <v>220.23</v>
      </c>
      <c r="AK68" s="1">
        <v>9.77</v>
      </c>
      <c r="AO68" s="1">
        <v>9.77</v>
      </c>
      <c r="AS68" s="1">
        <v>9.77</v>
      </c>
      <c r="AW68" s="1">
        <v>9.77</v>
      </c>
      <c r="BA68" s="1">
        <v>9.77</v>
      </c>
      <c r="BE68" s="1">
        <v>9.77</v>
      </c>
      <c r="BI68" s="1">
        <v>9.77</v>
      </c>
      <c r="BM68" s="1">
        <v>9.77</v>
      </c>
      <c r="BQ68" s="1">
        <v>9.77</v>
      </c>
      <c r="BU68" s="1">
        <v>9.77</v>
      </c>
    </row>
    <row r="69" spans="33:73" hidden="1" x14ac:dyDescent="0.25">
      <c r="AG69" s="1">
        <v>9.7600000000000104</v>
      </c>
      <c r="AH69" s="1">
        <f t="shared" si="12"/>
        <v>220.23999999999998</v>
      </c>
      <c r="AI69" s="1">
        <f t="shared" si="13"/>
        <v>220.23999999999998</v>
      </c>
      <c r="AK69" s="1">
        <v>9.7600000000000104</v>
      </c>
      <c r="AO69" s="1">
        <v>9.7600000000000104</v>
      </c>
      <c r="AS69" s="1">
        <v>9.7600000000000104</v>
      </c>
      <c r="AW69" s="1">
        <v>9.7600000000000104</v>
      </c>
      <c r="BA69" s="1">
        <v>9.7600000000000104</v>
      </c>
      <c r="BE69" s="1">
        <v>9.7600000000000104</v>
      </c>
      <c r="BI69" s="1">
        <v>9.7600000000000104</v>
      </c>
      <c r="BM69" s="1">
        <v>9.7600000000000104</v>
      </c>
      <c r="BQ69" s="1">
        <v>9.7600000000000104</v>
      </c>
      <c r="BU69" s="1">
        <v>9.7600000000000104</v>
      </c>
    </row>
    <row r="70" spans="33:73" hidden="1" x14ac:dyDescent="0.25">
      <c r="AG70" s="1">
        <v>9.7500000000000107</v>
      </c>
      <c r="AH70" s="1">
        <f t="shared" si="12"/>
        <v>220.25</v>
      </c>
      <c r="AI70" s="1">
        <f t="shared" si="13"/>
        <v>220.25</v>
      </c>
      <c r="AK70" s="1">
        <v>9.7500000000000107</v>
      </c>
      <c r="AO70" s="1">
        <v>9.7500000000000107</v>
      </c>
      <c r="AS70" s="1">
        <v>9.7500000000000107</v>
      </c>
      <c r="AW70" s="1">
        <v>9.7500000000000107</v>
      </c>
      <c r="BA70" s="1">
        <v>9.7500000000000107</v>
      </c>
      <c r="BE70" s="1">
        <v>9.7500000000000107</v>
      </c>
      <c r="BI70" s="1">
        <v>9.7500000000000107</v>
      </c>
      <c r="BM70" s="1">
        <v>9.7500000000000107</v>
      </c>
      <c r="BQ70" s="1">
        <v>9.7500000000000107</v>
      </c>
      <c r="BU70" s="1">
        <v>9.7500000000000107</v>
      </c>
    </row>
    <row r="71" spans="33:73" hidden="1" x14ac:dyDescent="0.25">
      <c r="AG71" s="1">
        <v>9.7400000000000109</v>
      </c>
      <c r="AH71" s="1">
        <f t="shared" si="12"/>
        <v>220.26</v>
      </c>
      <c r="AI71" s="1">
        <f t="shared" si="13"/>
        <v>220.26</v>
      </c>
      <c r="AK71" s="1">
        <v>9.7400000000000109</v>
      </c>
      <c r="AO71" s="1">
        <v>9.7400000000000109</v>
      </c>
      <c r="AS71" s="1">
        <v>9.7400000000000109</v>
      </c>
      <c r="AW71" s="1">
        <v>9.7400000000000109</v>
      </c>
      <c r="BA71" s="1">
        <v>9.7400000000000109</v>
      </c>
      <c r="BE71" s="1">
        <v>9.7400000000000109</v>
      </c>
      <c r="BI71" s="1">
        <v>9.7400000000000109</v>
      </c>
      <c r="BM71" s="1">
        <v>9.7400000000000109</v>
      </c>
      <c r="BQ71" s="1">
        <v>9.7400000000000109</v>
      </c>
      <c r="BU71" s="1">
        <v>9.7400000000000109</v>
      </c>
    </row>
    <row r="72" spans="33:73" hidden="1" x14ac:dyDescent="0.25">
      <c r="AG72" s="1">
        <v>9.7300000000000093</v>
      </c>
      <c r="AH72" s="1">
        <f t="shared" si="12"/>
        <v>220.26999999999998</v>
      </c>
      <c r="AI72" s="1">
        <f t="shared" si="13"/>
        <v>220.26999999999998</v>
      </c>
      <c r="AK72" s="1">
        <v>9.7300000000000093</v>
      </c>
      <c r="AO72" s="1">
        <v>9.7300000000000093</v>
      </c>
      <c r="AS72" s="1">
        <v>9.7300000000000093</v>
      </c>
      <c r="AW72" s="1">
        <v>9.7300000000000093</v>
      </c>
      <c r="BA72" s="1">
        <v>9.7300000000000093</v>
      </c>
      <c r="BE72" s="1">
        <v>9.7300000000000093</v>
      </c>
      <c r="BI72" s="1">
        <v>9.7300000000000093</v>
      </c>
      <c r="BM72" s="1">
        <v>9.7300000000000093</v>
      </c>
      <c r="BQ72" s="1">
        <v>9.7300000000000093</v>
      </c>
      <c r="BU72" s="1">
        <v>9.7300000000000093</v>
      </c>
    </row>
    <row r="73" spans="33:73" hidden="1" x14ac:dyDescent="0.25">
      <c r="AG73" s="1">
        <v>9.7200000000000095</v>
      </c>
      <c r="AH73" s="1">
        <f t="shared" si="12"/>
        <v>220.28</v>
      </c>
      <c r="AI73" s="1">
        <f t="shared" si="13"/>
        <v>220.28</v>
      </c>
      <c r="AK73" s="1">
        <v>9.7200000000000095</v>
      </c>
      <c r="AO73" s="1">
        <v>9.7200000000000095</v>
      </c>
      <c r="AS73" s="1">
        <v>9.7200000000000095</v>
      </c>
      <c r="AW73" s="1">
        <v>9.7200000000000095</v>
      </c>
      <c r="BA73" s="1">
        <v>9.7200000000000095</v>
      </c>
      <c r="BE73" s="1">
        <v>9.7200000000000095</v>
      </c>
      <c r="BI73" s="1">
        <v>9.7200000000000095</v>
      </c>
      <c r="BM73" s="1">
        <v>9.7200000000000095</v>
      </c>
      <c r="BQ73" s="1">
        <v>9.7200000000000095</v>
      </c>
      <c r="BU73" s="1">
        <v>9.7200000000000095</v>
      </c>
    </row>
    <row r="74" spans="33:73" hidden="1" x14ac:dyDescent="0.25">
      <c r="AG74" s="1">
        <v>9.7100000000000097</v>
      </c>
      <c r="AH74" s="1">
        <f t="shared" si="12"/>
        <v>220.29</v>
      </c>
      <c r="AI74" s="1">
        <f t="shared" si="13"/>
        <v>220.29</v>
      </c>
      <c r="AK74" s="1">
        <v>9.7100000000000097</v>
      </c>
      <c r="AO74" s="1">
        <v>9.7100000000000097</v>
      </c>
      <c r="AS74" s="1">
        <v>9.7100000000000097</v>
      </c>
      <c r="AW74" s="1">
        <v>9.7100000000000097</v>
      </c>
      <c r="BA74" s="1">
        <v>9.7100000000000097</v>
      </c>
      <c r="BE74" s="1">
        <v>9.7100000000000097</v>
      </c>
      <c r="BI74" s="1">
        <v>9.7100000000000097</v>
      </c>
      <c r="BM74" s="1">
        <v>9.7100000000000097</v>
      </c>
      <c r="BQ74" s="1">
        <v>9.7100000000000097</v>
      </c>
      <c r="BU74" s="1">
        <v>9.7100000000000097</v>
      </c>
    </row>
    <row r="75" spans="33:73" hidden="1" x14ac:dyDescent="0.25">
      <c r="AG75" s="1">
        <v>9.7000000000000099</v>
      </c>
      <c r="AH75" s="1">
        <f t="shared" si="12"/>
        <v>220.29999999999998</v>
      </c>
      <c r="AI75" s="1">
        <f t="shared" si="13"/>
        <v>220.29999999999998</v>
      </c>
      <c r="AK75" s="1">
        <v>9.7000000000000099</v>
      </c>
      <c r="AO75" s="1">
        <v>9.7000000000000099</v>
      </c>
      <c r="AS75" s="1">
        <v>9.7000000000000099</v>
      </c>
      <c r="AW75" s="1">
        <v>9.7000000000000099</v>
      </c>
      <c r="BA75" s="1">
        <v>9.7000000000000099</v>
      </c>
      <c r="BE75" s="1">
        <v>9.7000000000000099</v>
      </c>
      <c r="BI75" s="1">
        <v>9.7000000000000099</v>
      </c>
      <c r="BM75" s="1">
        <v>9.7000000000000099</v>
      </c>
      <c r="BQ75" s="1">
        <v>9.7000000000000099</v>
      </c>
      <c r="BU75" s="1">
        <v>9.7000000000000099</v>
      </c>
    </row>
    <row r="76" spans="33:73" hidden="1" x14ac:dyDescent="0.25">
      <c r="AG76" s="1">
        <v>9.6900000000000102</v>
      </c>
      <c r="AH76" s="1">
        <f t="shared" si="12"/>
        <v>220.31</v>
      </c>
      <c r="AI76" s="1">
        <f t="shared" si="13"/>
        <v>220.31</v>
      </c>
      <c r="AK76" s="1">
        <v>9.6900000000000102</v>
      </c>
      <c r="AO76" s="1">
        <v>9.6900000000000102</v>
      </c>
      <c r="AS76" s="1">
        <v>9.6900000000000102</v>
      </c>
      <c r="AW76" s="1">
        <v>9.6900000000000102</v>
      </c>
      <c r="BA76" s="1">
        <v>9.6900000000000102</v>
      </c>
      <c r="BE76" s="1">
        <v>9.6900000000000102</v>
      </c>
      <c r="BI76" s="1">
        <v>9.6900000000000102</v>
      </c>
      <c r="BM76" s="1">
        <v>9.6900000000000102</v>
      </c>
      <c r="BQ76" s="1">
        <v>9.6900000000000102</v>
      </c>
      <c r="BU76" s="1">
        <v>9.6900000000000102</v>
      </c>
    </row>
    <row r="77" spans="33:73" hidden="1" x14ac:dyDescent="0.25">
      <c r="AG77" s="1">
        <v>9.6800000000000104</v>
      </c>
      <c r="AH77" s="1">
        <f t="shared" si="12"/>
        <v>220.32</v>
      </c>
      <c r="AI77" s="1">
        <f t="shared" si="13"/>
        <v>220.32</v>
      </c>
      <c r="AK77" s="1">
        <v>9.6800000000000104</v>
      </c>
      <c r="AO77" s="1">
        <v>9.6800000000000104</v>
      </c>
      <c r="AS77" s="1">
        <v>9.6800000000000104</v>
      </c>
      <c r="AW77" s="1">
        <v>9.6800000000000104</v>
      </c>
      <c r="BA77" s="1">
        <v>9.6800000000000104</v>
      </c>
      <c r="BE77" s="1">
        <v>9.6800000000000104</v>
      </c>
      <c r="BI77" s="1">
        <v>9.6800000000000104</v>
      </c>
      <c r="BM77" s="1">
        <v>9.6800000000000104</v>
      </c>
      <c r="BQ77" s="1">
        <v>9.6800000000000104</v>
      </c>
      <c r="BU77" s="1">
        <v>9.6800000000000104</v>
      </c>
    </row>
    <row r="78" spans="33:73" hidden="1" x14ac:dyDescent="0.25">
      <c r="AG78" s="1">
        <v>9.6700000000000106</v>
      </c>
      <c r="AH78" s="1">
        <f t="shared" si="12"/>
        <v>220.32999999999998</v>
      </c>
      <c r="AI78" s="1">
        <f t="shared" si="13"/>
        <v>220.32999999999998</v>
      </c>
      <c r="AK78" s="1">
        <v>9.6700000000000106</v>
      </c>
      <c r="AO78" s="1">
        <v>9.6700000000000106</v>
      </c>
      <c r="AS78" s="1">
        <v>9.6700000000000106</v>
      </c>
      <c r="AW78" s="1">
        <v>9.6700000000000106</v>
      </c>
      <c r="BA78" s="1">
        <v>9.6700000000000106</v>
      </c>
      <c r="BE78" s="1">
        <v>9.6700000000000106</v>
      </c>
      <c r="BI78" s="1">
        <v>9.6700000000000106</v>
      </c>
      <c r="BM78" s="1">
        <v>9.6700000000000106</v>
      </c>
      <c r="BQ78" s="1">
        <v>9.6700000000000106</v>
      </c>
      <c r="BU78" s="1">
        <v>9.6700000000000106</v>
      </c>
    </row>
    <row r="79" spans="33:73" hidden="1" x14ac:dyDescent="0.25">
      <c r="AG79" s="1">
        <v>9.6600000000000108</v>
      </c>
      <c r="AH79" s="1">
        <f t="shared" si="12"/>
        <v>220.33999999999997</v>
      </c>
      <c r="AI79" s="1">
        <f t="shared" si="13"/>
        <v>220.33999999999997</v>
      </c>
      <c r="AK79" s="1">
        <v>9.6600000000000108</v>
      </c>
      <c r="AO79" s="1">
        <v>9.6600000000000108</v>
      </c>
      <c r="AS79" s="1">
        <v>9.6600000000000108</v>
      </c>
      <c r="AW79" s="1">
        <v>9.6600000000000108</v>
      </c>
      <c r="BA79" s="1">
        <v>9.6600000000000108</v>
      </c>
      <c r="BE79" s="1">
        <v>9.6600000000000108</v>
      </c>
      <c r="BI79" s="1">
        <v>9.6600000000000108</v>
      </c>
      <c r="BM79" s="1">
        <v>9.6600000000000108</v>
      </c>
      <c r="BQ79" s="1">
        <v>9.6600000000000108</v>
      </c>
      <c r="BU79" s="1">
        <v>9.6600000000000108</v>
      </c>
    </row>
    <row r="80" spans="33:73" hidden="1" x14ac:dyDescent="0.25">
      <c r="AG80" s="1">
        <v>9.6500000000000092</v>
      </c>
      <c r="AH80" s="1">
        <f t="shared" si="12"/>
        <v>220.35</v>
      </c>
      <c r="AI80" s="1">
        <f t="shared" si="13"/>
        <v>220.35</v>
      </c>
      <c r="AK80" s="1">
        <v>9.6500000000000092</v>
      </c>
      <c r="AO80" s="1">
        <v>9.6500000000000092</v>
      </c>
      <c r="AS80" s="1">
        <v>9.6500000000000092</v>
      </c>
      <c r="AW80" s="1">
        <v>9.6500000000000092</v>
      </c>
      <c r="BA80" s="1">
        <v>9.6500000000000092</v>
      </c>
      <c r="BE80" s="1">
        <v>9.6500000000000092</v>
      </c>
      <c r="BI80" s="1">
        <v>9.6500000000000092</v>
      </c>
      <c r="BM80" s="1">
        <v>9.6500000000000092</v>
      </c>
      <c r="BQ80" s="1">
        <v>9.6500000000000092</v>
      </c>
      <c r="BU80" s="1">
        <v>9.6500000000000092</v>
      </c>
    </row>
    <row r="81" spans="33:73" hidden="1" x14ac:dyDescent="0.25">
      <c r="AG81" s="1">
        <v>9.6400000000000095</v>
      </c>
      <c r="AH81" s="1">
        <f t="shared" si="12"/>
        <v>220.35999999999999</v>
      </c>
      <c r="AI81" s="1">
        <f t="shared" si="13"/>
        <v>220.35999999999999</v>
      </c>
      <c r="AK81" s="1">
        <v>9.6400000000000095</v>
      </c>
      <c r="AO81" s="1">
        <v>9.6400000000000095</v>
      </c>
      <c r="AS81" s="1">
        <v>9.6400000000000095</v>
      </c>
      <c r="AW81" s="1">
        <v>9.6400000000000095</v>
      </c>
      <c r="BA81" s="1">
        <v>9.6400000000000095</v>
      </c>
      <c r="BE81" s="1">
        <v>9.6400000000000095</v>
      </c>
      <c r="BI81" s="1">
        <v>9.6400000000000095</v>
      </c>
      <c r="BM81" s="1">
        <v>9.6400000000000095</v>
      </c>
      <c r="BQ81" s="1">
        <v>9.6400000000000095</v>
      </c>
      <c r="BU81" s="1">
        <v>9.6400000000000095</v>
      </c>
    </row>
    <row r="82" spans="33:73" hidden="1" x14ac:dyDescent="0.25">
      <c r="AG82" s="1">
        <v>9.6300000000000097</v>
      </c>
      <c r="AH82" s="1">
        <f t="shared" si="12"/>
        <v>220.37</v>
      </c>
      <c r="AI82" s="1">
        <f t="shared" si="13"/>
        <v>220.37</v>
      </c>
      <c r="AK82" s="1">
        <v>9.6300000000000097</v>
      </c>
      <c r="AO82" s="1">
        <v>9.6300000000000097</v>
      </c>
      <c r="AS82" s="1">
        <v>9.6300000000000097</v>
      </c>
      <c r="AW82" s="1">
        <v>9.6300000000000097</v>
      </c>
      <c r="BA82" s="1">
        <v>9.6300000000000097</v>
      </c>
      <c r="BE82" s="1">
        <v>9.6300000000000097</v>
      </c>
      <c r="BI82" s="1">
        <v>9.6300000000000097</v>
      </c>
      <c r="BM82" s="1">
        <v>9.6300000000000097</v>
      </c>
      <c r="BQ82" s="1">
        <v>9.6300000000000097</v>
      </c>
      <c r="BU82" s="1">
        <v>9.6300000000000097</v>
      </c>
    </row>
    <row r="83" spans="33:73" hidden="1" x14ac:dyDescent="0.25">
      <c r="AG83" s="1">
        <v>9.6200000000000099</v>
      </c>
      <c r="AH83" s="1">
        <f t="shared" si="12"/>
        <v>220.38</v>
      </c>
      <c r="AI83" s="1">
        <f t="shared" si="13"/>
        <v>220.38</v>
      </c>
      <c r="AK83" s="1">
        <v>9.6200000000000099</v>
      </c>
      <c r="AO83" s="1">
        <v>9.6200000000000099</v>
      </c>
      <c r="AS83" s="1">
        <v>9.6200000000000099</v>
      </c>
      <c r="AW83" s="1">
        <v>9.6200000000000099</v>
      </c>
      <c r="BA83" s="1">
        <v>9.6200000000000099</v>
      </c>
      <c r="BE83" s="1">
        <v>9.6200000000000099</v>
      </c>
      <c r="BI83" s="1">
        <v>9.6200000000000099</v>
      </c>
      <c r="BM83" s="1">
        <v>9.6200000000000099</v>
      </c>
      <c r="BQ83" s="1">
        <v>9.6200000000000099</v>
      </c>
      <c r="BU83" s="1">
        <v>9.6200000000000099</v>
      </c>
    </row>
    <row r="84" spans="33:73" hidden="1" x14ac:dyDescent="0.25">
      <c r="AG84" s="1">
        <v>9.6100000000000101</v>
      </c>
      <c r="AH84" s="1">
        <f t="shared" si="12"/>
        <v>220.39</v>
      </c>
      <c r="AI84" s="1">
        <f t="shared" si="13"/>
        <v>220.39</v>
      </c>
      <c r="AK84" s="1">
        <v>9.6100000000000101</v>
      </c>
      <c r="AO84" s="1">
        <v>9.6100000000000101</v>
      </c>
      <c r="AS84" s="1">
        <v>9.6100000000000101</v>
      </c>
      <c r="AW84" s="1">
        <v>9.6100000000000101</v>
      </c>
      <c r="BA84" s="1">
        <v>9.6100000000000101</v>
      </c>
      <c r="BE84" s="1">
        <v>9.6100000000000101</v>
      </c>
      <c r="BI84" s="1">
        <v>9.6100000000000101</v>
      </c>
      <c r="BM84" s="1">
        <v>9.6100000000000101</v>
      </c>
      <c r="BQ84" s="1">
        <v>9.6100000000000101</v>
      </c>
      <c r="BU84" s="1">
        <v>9.6100000000000101</v>
      </c>
    </row>
    <row r="85" spans="33:73" hidden="1" x14ac:dyDescent="0.25">
      <c r="AG85" s="1">
        <v>9.6000000000000103</v>
      </c>
      <c r="AH85" s="1">
        <f t="shared" si="12"/>
        <v>220.39999999999998</v>
      </c>
      <c r="AI85" s="1">
        <f t="shared" si="13"/>
        <v>220.39999999999998</v>
      </c>
      <c r="AK85" s="1">
        <v>9.6000000000000103</v>
      </c>
      <c r="AO85" s="1">
        <v>9.6000000000000103</v>
      </c>
      <c r="AS85" s="1">
        <v>9.6000000000000103</v>
      </c>
      <c r="AW85" s="1">
        <v>9.6000000000000103</v>
      </c>
      <c r="BA85" s="1">
        <v>9.6000000000000103</v>
      </c>
      <c r="BE85" s="1">
        <v>9.6000000000000103</v>
      </c>
      <c r="BI85" s="1">
        <v>9.6000000000000103</v>
      </c>
      <c r="BM85" s="1">
        <v>9.6000000000000103</v>
      </c>
      <c r="BQ85" s="1">
        <v>9.6000000000000103</v>
      </c>
      <c r="BU85" s="1">
        <v>9.6000000000000103</v>
      </c>
    </row>
    <row r="86" spans="33:73" hidden="1" x14ac:dyDescent="0.25">
      <c r="AG86" s="1">
        <v>9.5900000000000105</v>
      </c>
      <c r="AH86" s="1">
        <f t="shared" si="12"/>
        <v>220.41</v>
      </c>
      <c r="AI86" s="1">
        <f t="shared" si="13"/>
        <v>220.41</v>
      </c>
      <c r="AK86" s="1">
        <v>9.5900000000000105</v>
      </c>
      <c r="AO86" s="1">
        <v>9.5900000000000105</v>
      </c>
      <c r="AS86" s="1">
        <v>9.5900000000000105</v>
      </c>
      <c r="AW86" s="1">
        <v>9.5900000000000105</v>
      </c>
      <c r="BA86" s="1">
        <v>9.5900000000000105</v>
      </c>
      <c r="BE86" s="1">
        <v>9.5900000000000105</v>
      </c>
      <c r="BI86" s="1">
        <v>9.5900000000000105</v>
      </c>
      <c r="BM86" s="1">
        <v>9.5900000000000105</v>
      </c>
      <c r="BQ86" s="1">
        <v>9.5900000000000105</v>
      </c>
      <c r="BU86" s="1">
        <v>9.5900000000000105</v>
      </c>
    </row>
    <row r="87" spans="33:73" hidden="1" x14ac:dyDescent="0.25">
      <c r="AG87" s="1">
        <v>9.5800000000000107</v>
      </c>
      <c r="AH87" s="1">
        <f t="shared" si="12"/>
        <v>220.42</v>
      </c>
      <c r="AI87" s="1">
        <f t="shared" si="13"/>
        <v>220.42</v>
      </c>
      <c r="AK87" s="1">
        <v>9.5800000000000107</v>
      </c>
      <c r="AO87" s="1">
        <v>9.5800000000000107</v>
      </c>
      <c r="AS87" s="1">
        <v>9.5800000000000107</v>
      </c>
      <c r="AW87" s="1">
        <v>9.5800000000000107</v>
      </c>
      <c r="BA87" s="1">
        <v>9.5800000000000107</v>
      </c>
      <c r="BE87" s="1">
        <v>9.5800000000000107</v>
      </c>
      <c r="BI87" s="1">
        <v>9.5800000000000107</v>
      </c>
      <c r="BM87" s="1">
        <v>9.5800000000000107</v>
      </c>
      <c r="BQ87" s="1">
        <v>9.5800000000000107</v>
      </c>
      <c r="BU87" s="1">
        <v>9.5800000000000107</v>
      </c>
    </row>
    <row r="88" spans="33:73" hidden="1" x14ac:dyDescent="0.25">
      <c r="AG88" s="1">
        <v>9.5700000000000092</v>
      </c>
      <c r="AH88" s="1">
        <f t="shared" si="12"/>
        <v>220.42999999999998</v>
      </c>
      <c r="AI88" s="1">
        <f t="shared" si="13"/>
        <v>220.42999999999998</v>
      </c>
      <c r="AK88" s="1">
        <v>9.5700000000000092</v>
      </c>
      <c r="AO88" s="1">
        <v>9.5700000000000092</v>
      </c>
      <c r="AS88" s="1">
        <v>9.5700000000000092</v>
      </c>
      <c r="AW88" s="1">
        <v>9.5700000000000092</v>
      </c>
      <c r="BA88" s="1">
        <v>9.5700000000000092</v>
      </c>
      <c r="BE88" s="1">
        <v>9.5700000000000092</v>
      </c>
      <c r="BI88" s="1">
        <v>9.5700000000000092</v>
      </c>
      <c r="BM88" s="1">
        <v>9.5700000000000092</v>
      </c>
      <c r="BQ88" s="1">
        <v>9.5700000000000092</v>
      </c>
      <c r="BU88" s="1">
        <v>9.5700000000000092</v>
      </c>
    </row>
    <row r="89" spans="33:73" hidden="1" x14ac:dyDescent="0.25">
      <c r="AG89" s="1">
        <v>9.5600000000000094</v>
      </c>
      <c r="AH89" s="1">
        <f t="shared" si="12"/>
        <v>220.44</v>
      </c>
      <c r="AI89" s="1">
        <f t="shared" si="13"/>
        <v>220.44</v>
      </c>
      <c r="AK89" s="1">
        <v>9.5600000000000094</v>
      </c>
      <c r="AO89" s="1">
        <v>9.5600000000000094</v>
      </c>
      <c r="AS89" s="1">
        <v>9.5600000000000094</v>
      </c>
      <c r="AW89" s="1">
        <v>9.5600000000000094</v>
      </c>
      <c r="BA89" s="1">
        <v>9.5600000000000094</v>
      </c>
      <c r="BE89" s="1">
        <v>9.5600000000000094</v>
      </c>
      <c r="BI89" s="1">
        <v>9.5600000000000094</v>
      </c>
      <c r="BM89" s="1">
        <v>9.5600000000000094</v>
      </c>
      <c r="BQ89" s="1">
        <v>9.5600000000000094</v>
      </c>
      <c r="BU89" s="1">
        <v>9.5600000000000094</v>
      </c>
    </row>
    <row r="90" spans="33:73" hidden="1" x14ac:dyDescent="0.25">
      <c r="AG90" s="1">
        <v>9.5500000000000096</v>
      </c>
      <c r="AH90" s="1">
        <f t="shared" si="12"/>
        <v>220.45</v>
      </c>
      <c r="AI90" s="1">
        <f t="shared" si="13"/>
        <v>220.45</v>
      </c>
      <c r="AK90" s="1">
        <v>9.5500000000000096</v>
      </c>
      <c r="AO90" s="1">
        <v>9.5500000000000096</v>
      </c>
      <c r="AS90" s="1">
        <v>9.5500000000000096</v>
      </c>
      <c r="AW90" s="1">
        <v>9.5500000000000096</v>
      </c>
      <c r="BA90" s="1">
        <v>9.5500000000000096</v>
      </c>
      <c r="BE90" s="1">
        <v>9.5500000000000096</v>
      </c>
      <c r="BI90" s="1">
        <v>9.5500000000000096</v>
      </c>
      <c r="BM90" s="1">
        <v>9.5500000000000096</v>
      </c>
      <c r="BQ90" s="1">
        <v>9.5500000000000096</v>
      </c>
      <c r="BU90" s="1">
        <v>9.5500000000000096</v>
      </c>
    </row>
    <row r="91" spans="33:73" hidden="1" x14ac:dyDescent="0.25">
      <c r="AG91" s="1">
        <v>9.5400000000000098</v>
      </c>
      <c r="AH91" s="1">
        <f t="shared" si="12"/>
        <v>220.45999999999998</v>
      </c>
      <c r="AI91" s="1">
        <f t="shared" si="13"/>
        <v>220.45999999999998</v>
      </c>
      <c r="AK91" s="1">
        <v>9.5400000000000098</v>
      </c>
      <c r="AO91" s="1">
        <v>9.5400000000000098</v>
      </c>
      <c r="AS91" s="1">
        <v>9.5400000000000098</v>
      </c>
      <c r="AW91" s="1">
        <v>9.5400000000000098</v>
      </c>
      <c r="BA91" s="1">
        <v>9.5400000000000098</v>
      </c>
      <c r="BE91" s="1">
        <v>9.5400000000000098</v>
      </c>
      <c r="BI91" s="1">
        <v>9.5400000000000098</v>
      </c>
      <c r="BM91" s="1">
        <v>9.5400000000000098</v>
      </c>
      <c r="BQ91" s="1">
        <v>9.5400000000000098</v>
      </c>
      <c r="BU91" s="1">
        <v>9.5400000000000098</v>
      </c>
    </row>
    <row r="92" spans="33:73" hidden="1" x14ac:dyDescent="0.25">
      <c r="AG92" s="1">
        <v>9.53000000000001</v>
      </c>
      <c r="AH92" s="1">
        <f t="shared" si="12"/>
        <v>220.47</v>
      </c>
      <c r="AI92" s="1">
        <f t="shared" si="13"/>
        <v>220.47</v>
      </c>
      <c r="AK92" s="1">
        <v>9.53000000000001</v>
      </c>
      <c r="AO92" s="1">
        <v>9.53000000000001</v>
      </c>
      <c r="AS92" s="1">
        <v>9.53000000000001</v>
      </c>
      <c r="AW92" s="1">
        <v>9.53000000000001</v>
      </c>
      <c r="BA92" s="1">
        <v>9.53000000000001</v>
      </c>
      <c r="BE92" s="1">
        <v>9.53000000000001</v>
      </c>
      <c r="BI92" s="1">
        <v>9.53000000000001</v>
      </c>
      <c r="BM92" s="1">
        <v>9.53000000000001</v>
      </c>
      <c r="BQ92" s="1">
        <v>9.53000000000001</v>
      </c>
      <c r="BU92" s="1">
        <v>9.53000000000001</v>
      </c>
    </row>
    <row r="93" spans="33:73" hidden="1" x14ac:dyDescent="0.25">
      <c r="AG93" s="1">
        <v>9.5200000000000102</v>
      </c>
      <c r="AH93" s="1">
        <f t="shared" si="12"/>
        <v>220.48</v>
      </c>
      <c r="AI93" s="1">
        <f t="shared" si="13"/>
        <v>220.48</v>
      </c>
      <c r="AK93" s="1">
        <v>9.5200000000000102</v>
      </c>
      <c r="AO93" s="1">
        <v>9.5200000000000102</v>
      </c>
      <c r="AS93" s="1">
        <v>9.5200000000000102</v>
      </c>
      <c r="AW93" s="1">
        <v>9.5200000000000102</v>
      </c>
      <c r="BA93" s="1">
        <v>9.5200000000000102</v>
      </c>
      <c r="BE93" s="1">
        <v>9.5200000000000102</v>
      </c>
      <c r="BI93" s="1">
        <v>9.5200000000000102</v>
      </c>
      <c r="BM93" s="1">
        <v>9.5200000000000102</v>
      </c>
      <c r="BQ93" s="1">
        <v>9.5200000000000102</v>
      </c>
      <c r="BU93" s="1">
        <v>9.5200000000000102</v>
      </c>
    </row>
    <row r="94" spans="33:73" hidden="1" x14ac:dyDescent="0.25">
      <c r="AG94" s="1">
        <v>9.5100000000000104</v>
      </c>
      <c r="AH94" s="1">
        <f t="shared" si="12"/>
        <v>220.48999999999998</v>
      </c>
      <c r="AI94" s="1">
        <f t="shared" si="13"/>
        <v>220.48999999999998</v>
      </c>
      <c r="AK94" s="1">
        <v>9.5100000000000104</v>
      </c>
      <c r="AO94" s="1">
        <v>9.5100000000000104</v>
      </c>
      <c r="AS94" s="1">
        <v>9.5100000000000104</v>
      </c>
      <c r="AW94" s="1">
        <v>9.5100000000000104</v>
      </c>
      <c r="BA94" s="1">
        <v>9.5100000000000104</v>
      </c>
      <c r="BE94" s="1">
        <v>9.5100000000000104</v>
      </c>
      <c r="BI94" s="1">
        <v>9.5100000000000104</v>
      </c>
      <c r="BM94" s="1">
        <v>9.5100000000000104</v>
      </c>
      <c r="BQ94" s="1">
        <v>9.5100000000000104</v>
      </c>
      <c r="BU94" s="1">
        <v>9.5100000000000104</v>
      </c>
    </row>
    <row r="95" spans="33:73" hidden="1" x14ac:dyDescent="0.25">
      <c r="AG95" s="1">
        <v>9.5000000000000107</v>
      </c>
      <c r="AH95" s="1">
        <f t="shared" si="12"/>
        <v>220.5</v>
      </c>
      <c r="AI95" s="1">
        <f t="shared" si="13"/>
        <v>220.5</v>
      </c>
      <c r="AK95" s="1">
        <v>9.5000000000000107</v>
      </c>
      <c r="AO95" s="1">
        <v>9.5000000000000107</v>
      </c>
      <c r="AS95" s="1">
        <v>9.5000000000000107</v>
      </c>
      <c r="AW95" s="1">
        <v>9.5000000000000107</v>
      </c>
      <c r="BA95" s="1">
        <v>9.5000000000000107</v>
      </c>
      <c r="BE95" s="1">
        <v>9.5000000000000107</v>
      </c>
      <c r="BI95" s="1">
        <v>9.5000000000000107</v>
      </c>
      <c r="BM95" s="1">
        <v>9.5000000000000107</v>
      </c>
      <c r="BQ95" s="1">
        <v>9.5000000000000107</v>
      </c>
      <c r="BU95" s="1">
        <v>9.5000000000000107</v>
      </c>
    </row>
    <row r="96" spans="33:73" hidden="1" x14ac:dyDescent="0.25">
      <c r="AG96" s="1">
        <v>9.4900000000000109</v>
      </c>
      <c r="AH96" s="1">
        <f t="shared" si="12"/>
        <v>220.51</v>
      </c>
      <c r="AI96" s="1">
        <f t="shared" si="13"/>
        <v>220.51</v>
      </c>
      <c r="AK96" s="1">
        <v>9.4900000000000109</v>
      </c>
      <c r="AO96" s="1">
        <v>9.4900000000000109</v>
      </c>
      <c r="AS96" s="1">
        <v>9.4900000000000109</v>
      </c>
      <c r="AW96" s="1">
        <v>9.4900000000000109</v>
      </c>
      <c r="BA96" s="1">
        <v>9.4900000000000109</v>
      </c>
      <c r="BE96" s="1">
        <v>9.4900000000000109</v>
      </c>
      <c r="BI96" s="1">
        <v>9.4900000000000109</v>
      </c>
      <c r="BM96" s="1">
        <v>9.4900000000000109</v>
      </c>
      <c r="BQ96" s="1">
        <v>9.4900000000000109</v>
      </c>
      <c r="BU96" s="1">
        <v>9.4900000000000109</v>
      </c>
    </row>
    <row r="97" spans="33:73" hidden="1" x14ac:dyDescent="0.25">
      <c r="AG97" s="1">
        <v>9.4800000000000093</v>
      </c>
      <c r="AH97" s="1">
        <f t="shared" si="12"/>
        <v>220.51999999999998</v>
      </c>
      <c r="AI97" s="1">
        <f t="shared" si="13"/>
        <v>220.51999999999998</v>
      </c>
      <c r="AK97" s="1">
        <v>9.4800000000000093</v>
      </c>
      <c r="AO97" s="1">
        <v>9.4800000000000093</v>
      </c>
      <c r="AS97" s="1">
        <v>9.4800000000000093</v>
      </c>
      <c r="AW97" s="1">
        <v>9.4800000000000093</v>
      </c>
      <c r="BA97" s="1">
        <v>9.4800000000000093</v>
      </c>
      <c r="BE97" s="1">
        <v>9.4800000000000093</v>
      </c>
      <c r="BI97" s="1">
        <v>9.4800000000000093</v>
      </c>
      <c r="BM97" s="1">
        <v>9.4800000000000093</v>
      </c>
      <c r="BQ97" s="1">
        <v>9.4800000000000093</v>
      </c>
      <c r="BU97" s="1">
        <v>9.4800000000000093</v>
      </c>
    </row>
    <row r="98" spans="33:73" hidden="1" x14ac:dyDescent="0.25">
      <c r="AG98" s="1">
        <v>9.4700000000000095</v>
      </c>
      <c r="AH98" s="1">
        <f t="shared" si="12"/>
        <v>220.53</v>
      </c>
      <c r="AI98" s="1">
        <f t="shared" si="13"/>
        <v>220.53</v>
      </c>
      <c r="AK98" s="1">
        <v>9.4700000000000095</v>
      </c>
      <c r="AO98" s="1">
        <v>9.4700000000000095</v>
      </c>
      <c r="AS98" s="1">
        <v>9.4700000000000095</v>
      </c>
      <c r="AW98" s="1">
        <v>9.4700000000000095</v>
      </c>
      <c r="BA98" s="1">
        <v>9.4700000000000095</v>
      </c>
      <c r="BE98" s="1">
        <v>9.4700000000000095</v>
      </c>
      <c r="BI98" s="1">
        <v>9.4700000000000095</v>
      </c>
      <c r="BM98" s="1">
        <v>9.4700000000000095</v>
      </c>
      <c r="BQ98" s="1">
        <v>9.4700000000000095</v>
      </c>
      <c r="BU98" s="1">
        <v>9.4700000000000095</v>
      </c>
    </row>
    <row r="99" spans="33:73" hidden="1" x14ac:dyDescent="0.25">
      <c r="AG99" s="1">
        <v>9.4600000000000097</v>
      </c>
      <c r="AH99" s="1">
        <f t="shared" si="12"/>
        <v>220.54</v>
      </c>
      <c r="AI99" s="1">
        <f t="shared" si="13"/>
        <v>220.54</v>
      </c>
      <c r="AK99" s="1">
        <v>9.4600000000000097</v>
      </c>
      <c r="AO99" s="1">
        <v>9.4600000000000097</v>
      </c>
      <c r="AS99" s="1">
        <v>9.4600000000000097</v>
      </c>
      <c r="AW99" s="1">
        <v>9.4600000000000097</v>
      </c>
      <c r="BA99" s="1">
        <v>9.4600000000000097</v>
      </c>
      <c r="BE99" s="1">
        <v>9.4600000000000097</v>
      </c>
      <c r="BI99" s="1">
        <v>9.4600000000000097</v>
      </c>
      <c r="BM99" s="1">
        <v>9.4600000000000097</v>
      </c>
      <c r="BQ99" s="1">
        <v>9.4600000000000097</v>
      </c>
      <c r="BU99" s="1">
        <v>9.4600000000000097</v>
      </c>
    </row>
    <row r="100" spans="33:73" hidden="1" x14ac:dyDescent="0.25">
      <c r="AG100" s="1">
        <v>9.4500000000000099</v>
      </c>
      <c r="AH100" s="1">
        <f t="shared" si="12"/>
        <v>220.54999999999998</v>
      </c>
      <c r="AI100" s="1">
        <f t="shared" si="13"/>
        <v>220.54999999999998</v>
      </c>
      <c r="AK100" s="1">
        <v>9.4500000000000099</v>
      </c>
      <c r="AO100" s="1">
        <v>9.4500000000000099</v>
      </c>
      <c r="AS100" s="1">
        <v>9.4500000000000099</v>
      </c>
      <c r="AW100" s="1">
        <v>9.4500000000000099</v>
      </c>
      <c r="BA100" s="1">
        <v>9.4500000000000099</v>
      </c>
      <c r="BE100" s="1">
        <v>9.4500000000000099</v>
      </c>
      <c r="BI100" s="1">
        <v>9.4500000000000099</v>
      </c>
      <c r="BM100" s="1">
        <v>9.4500000000000099</v>
      </c>
      <c r="BQ100" s="1">
        <v>9.4500000000000099</v>
      </c>
      <c r="BU100" s="1">
        <v>9.4500000000000099</v>
      </c>
    </row>
    <row r="101" spans="33:73" hidden="1" x14ac:dyDescent="0.25">
      <c r="AG101" s="1">
        <v>9.4400000000000102</v>
      </c>
      <c r="AH101" s="1">
        <f t="shared" si="12"/>
        <v>220.56</v>
      </c>
      <c r="AI101" s="1">
        <f t="shared" si="13"/>
        <v>220.56</v>
      </c>
      <c r="AK101" s="1">
        <v>9.4400000000000102</v>
      </c>
      <c r="AO101" s="1">
        <v>9.4400000000000102</v>
      </c>
      <c r="AS101" s="1">
        <v>9.4400000000000102</v>
      </c>
      <c r="AW101" s="1">
        <v>9.4400000000000102</v>
      </c>
      <c r="BA101" s="1">
        <v>9.4400000000000102</v>
      </c>
      <c r="BE101" s="1">
        <v>9.4400000000000102</v>
      </c>
      <c r="BI101" s="1">
        <v>9.4400000000000102</v>
      </c>
      <c r="BM101" s="1">
        <v>9.4400000000000102</v>
      </c>
      <c r="BQ101" s="1">
        <v>9.4400000000000102</v>
      </c>
      <c r="BU101" s="1">
        <v>9.4400000000000102</v>
      </c>
    </row>
    <row r="102" spans="33:73" hidden="1" x14ac:dyDescent="0.25">
      <c r="AG102" s="1">
        <v>9.4300000000000104</v>
      </c>
      <c r="AH102" s="1">
        <f t="shared" si="12"/>
        <v>220.57</v>
      </c>
      <c r="AI102" s="1">
        <f t="shared" si="13"/>
        <v>220.57</v>
      </c>
      <c r="AK102" s="1">
        <v>9.4300000000000104</v>
      </c>
      <c r="AO102" s="1">
        <v>9.4300000000000104</v>
      </c>
      <c r="AS102" s="1">
        <v>9.4300000000000104</v>
      </c>
      <c r="AW102" s="1">
        <v>9.4300000000000104</v>
      </c>
      <c r="BA102" s="1">
        <v>9.4300000000000104</v>
      </c>
      <c r="BE102" s="1">
        <v>9.4300000000000104</v>
      </c>
      <c r="BI102" s="1">
        <v>9.4300000000000104</v>
      </c>
      <c r="BM102" s="1">
        <v>9.4300000000000104</v>
      </c>
      <c r="BQ102" s="1">
        <v>9.4300000000000104</v>
      </c>
      <c r="BU102" s="1">
        <v>9.4300000000000104</v>
      </c>
    </row>
    <row r="103" spans="33:73" hidden="1" x14ac:dyDescent="0.25">
      <c r="AG103" s="1">
        <v>9.4200000000000106</v>
      </c>
      <c r="AH103" s="1">
        <f t="shared" si="12"/>
        <v>220.57999999999998</v>
      </c>
      <c r="AI103" s="1">
        <f t="shared" si="13"/>
        <v>220.57999999999998</v>
      </c>
      <c r="AK103" s="1">
        <v>9.4200000000000106</v>
      </c>
      <c r="AO103" s="1">
        <v>9.4200000000000106</v>
      </c>
      <c r="AS103" s="1">
        <v>9.4200000000000106</v>
      </c>
      <c r="AW103" s="1">
        <v>9.4200000000000106</v>
      </c>
      <c r="BA103" s="1">
        <v>9.4200000000000106</v>
      </c>
      <c r="BE103" s="1">
        <v>9.4200000000000106</v>
      </c>
      <c r="BI103" s="1">
        <v>9.4200000000000106</v>
      </c>
      <c r="BM103" s="1">
        <v>9.4200000000000106</v>
      </c>
      <c r="BQ103" s="1">
        <v>9.4200000000000106</v>
      </c>
      <c r="BU103" s="1">
        <v>9.4200000000000106</v>
      </c>
    </row>
    <row r="104" spans="33:73" hidden="1" x14ac:dyDescent="0.25">
      <c r="AG104" s="1">
        <v>9.4100000000000108</v>
      </c>
      <c r="AH104" s="1">
        <f t="shared" si="12"/>
        <v>220.58999999999997</v>
      </c>
      <c r="AI104" s="1">
        <f t="shared" si="13"/>
        <v>220.58999999999997</v>
      </c>
      <c r="AK104" s="1">
        <v>9.4100000000000108</v>
      </c>
      <c r="AO104" s="1">
        <v>9.4100000000000108</v>
      </c>
      <c r="AS104" s="1">
        <v>9.4100000000000108</v>
      </c>
      <c r="AW104" s="1">
        <v>9.4100000000000108</v>
      </c>
      <c r="BA104" s="1">
        <v>9.4100000000000108</v>
      </c>
      <c r="BE104" s="1">
        <v>9.4100000000000108</v>
      </c>
      <c r="BI104" s="1">
        <v>9.4100000000000108</v>
      </c>
      <c r="BM104" s="1">
        <v>9.4100000000000108</v>
      </c>
      <c r="BQ104" s="1">
        <v>9.4100000000000108</v>
      </c>
      <c r="BU104" s="1">
        <v>9.4100000000000108</v>
      </c>
    </row>
    <row r="105" spans="33:73" hidden="1" x14ac:dyDescent="0.25">
      <c r="AG105" s="1">
        <v>9.4000000000000092</v>
      </c>
      <c r="AH105" s="1">
        <f t="shared" si="12"/>
        <v>220.6</v>
      </c>
      <c r="AI105" s="1">
        <f t="shared" si="13"/>
        <v>220.6</v>
      </c>
      <c r="AK105" s="1">
        <v>9.4000000000000092</v>
      </c>
      <c r="AO105" s="1">
        <v>9.4000000000000092</v>
      </c>
      <c r="AS105" s="1">
        <v>9.4000000000000092</v>
      </c>
      <c r="AW105" s="1">
        <v>9.4000000000000092</v>
      </c>
      <c r="BA105" s="1">
        <v>9.4000000000000092</v>
      </c>
      <c r="BE105" s="1">
        <v>9.4000000000000092</v>
      </c>
      <c r="BI105" s="1">
        <v>9.4000000000000092</v>
      </c>
      <c r="BM105" s="1">
        <v>9.4000000000000092</v>
      </c>
      <c r="BQ105" s="1">
        <v>9.4000000000000092</v>
      </c>
      <c r="BU105" s="1">
        <v>9.4000000000000092</v>
      </c>
    </row>
    <row r="106" spans="33:73" hidden="1" x14ac:dyDescent="0.25">
      <c r="AG106" s="1">
        <v>9.3900000000000095</v>
      </c>
      <c r="AH106" s="1">
        <f t="shared" si="12"/>
        <v>220.60999999999999</v>
      </c>
      <c r="AI106" s="1">
        <f t="shared" si="13"/>
        <v>220.60999999999999</v>
      </c>
      <c r="AK106" s="1">
        <v>9.3900000000000095</v>
      </c>
      <c r="AO106" s="1">
        <v>9.3900000000000095</v>
      </c>
      <c r="AS106" s="1">
        <v>9.3900000000000095</v>
      </c>
      <c r="AW106" s="1">
        <v>9.3900000000000095</v>
      </c>
      <c r="BA106" s="1">
        <v>9.3900000000000095</v>
      </c>
      <c r="BE106" s="1">
        <v>9.3900000000000095</v>
      </c>
      <c r="BI106" s="1">
        <v>9.3900000000000095</v>
      </c>
      <c r="BM106" s="1">
        <v>9.3900000000000095</v>
      </c>
      <c r="BQ106" s="1">
        <v>9.3900000000000095</v>
      </c>
      <c r="BU106" s="1">
        <v>9.3900000000000095</v>
      </c>
    </row>
    <row r="107" spans="33:73" hidden="1" x14ac:dyDescent="0.25">
      <c r="AG107" s="1">
        <v>9.3800000000000097</v>
      </c>
      <c r="AH107" s="1">
        <f t="shared" si="12"/>
        <v>220.62</v>
      </c>
      <c r="AI107" s="1">
        <f t="shared" si="13"/>
        <v>220.62</v>
      </c>
      <c r="AK107" s="1">
        <v>9.3800000000000097</v>
      </c>
      <c r="AO107" s="1">
        <v>9.3800000000000097</v>
      </c>
      <c r="AS107" s="1">
        <v>9.3800000000000097</v>
      </c>
      <c r="AW107" s="1">
        <v>9.3800000000000097</v>
      </c>
      <c r="BA107" s="1">
        <v>9.3800000000000097</v>
      </c>
      <c r="BE107" s="1">
        <v>9.3800000000000097</v>
      </c>
      <c r="BI107" s="1">
        <v>9.3800000000000097</v>
      </c>
      <c r="BM107" s="1">
        <v>9.3800000000000097</v>
      </c>
      <c r="BQ107" s="1">
        <v>9.3800000000000097</v>
      </c>
      <c r="BU107" s="1">
        <v>9.3800000000000097</v>
      </c>
    </row>
    <row r="108" spans="33:73" hidden="1" x14ac:dyDescent="0.25">
      <c r="AG108" s="1">
        <v>9.3700000000000099</v>
      </c>
      <c r="AH108" s="1">
        <f t="shared" si="12"/>
        <v>220.63</v>
      </c>
      <c r="AI108" s="1">
        <f t="shared" si="13"/>
        <v>220.63</v>
      </c>
      <c r="AK108" s="1">
        <v>9.3700000000000099</v>
      </c>
      <c r="AO108" s="1">
        <v>9.3700000000000099</v>
      </c>
      <c r="AS108" s="1">
        <v>9.3700000000000099</v>
      </c>
      <c r="AW108" s="1">
        <v>9.3700000000000099</v>
      </c>
      <c r="BA108" s="1">
        <v>9.3700000000000099</v>
      </c>
      <c r="BE108" s="1">
        <v>9.3700000000000099</v>
      </c>
      <c r="BI108" s="1">
        <v>9.3700000000000099</v>
      </c>
      <c r="BM108" s="1">
        <v>9.3700000000000099</v>
      </c>
      <c r="BQ108" s="1">
        <v>9.3700000000000099</v>
      </c>
      <c r="BU108" s="1">
        <v>9.3700000000000099</v>
      </c>
    </row>
    <row r="109" spans="33:73" hidden="1" x14ac:dyDescent="0.25">
      <c r="AG109" s="1">
        <v>9.3600000000000101</v>
      </c>
      <c r="AH109" s="1">
        <f t="shared" si="12"/>
        <v>220.64</v>
      </c>
      <c r="AI109" s="1">
        <f t="shared" si="13"/>
        <v>220.64</v>
      </c>
      <c r="AK109" s="1">
        <v>9.3600000000000101</v>
      </c>
      <c r="AO109" s="1">
        <v>9.3600000000000101</v>
      </c>
      <c r="AS109" s="1">
        <v>9.3600000000000101</v>
      </c>
      <c r="AW109" s="1">
        <v>9.3600000000000101</v>
      </c>
      <c r="BA109" s="1">
        <v>9.3600000000000101</v>
      </c>
      <c r="BE109" s="1">
        <v>9.3600000000000101</v>
      </c>
      <c r="BI109" s="1">
        <v>9.3600000000000101</v>
      </c>
      <c r="BM109" s="1">
        <v>9.3600000000000101</v>
      </c>
      <c r="BQ109" s="1">
        <v>9.3600000000000101</v>
      </c>
      <c r="BU109" s="1">
        <v>9.3600000000000101</v>
      </c>
    </row>
    <row r="110" spans="33:73" hidden="1" x14ac:dyDescent="0.25">
      <c r="AG110" s="1">
        <v>9.3500000000000103</v>
      </c>
      <c r="AH110" s="1">
        <f t="shared" ref="AH110:AH173" si="15">SQRT((AI110+($AI$38*($AM$44*$AJ$44+$AN$44*$AK$44)))^2+($D$3*($AN$44*$AJ$44-$AM$44*$AK$44))^2)</f>
        <v>220.64999999999998</v>
      </c>
      <c r="AI110" s="1">
        <f t="shared" ref="AI110:AI173" si="16">$AI$40-AG110</f>
        <v>220.64999999999998</v>
      </c>
      <c r="AK110" s="1">
        <v>9.3500000000000103</v>
      </c>
      <c r="AO110" s="1">
        <v>9.3500000000000103</v>
      </c>
      <c r="AS110" s="1">
        <v>9.3500000000000103</v>
      </c>
      <c r="AW110" s="1">
        <v>9.3500000000000103</v>
      </c>
      <c r="BA110" s="1">
        <v>9.3500000000000103</v>
      </c>
      <c r="BE110" s="1">
        <v>9.3500000000000103</v>
      </c>
      <c r="BI110" s="1">
        <v>9.3500000000000103</v>
      </c>
      <c r="BM110" s="1">
        <v>9.3500000000000103</v>
      </c>
      <c r="BQ110" s="1">
        <v>9.3500000000000103</v>
      </c>
      <c r="BU110" s="1">
        <v>9.3500000000000103</v>
      </c>
    </row>
    <row r="111" spans="33:73" hidden="1" x14ac:dyDescent="0.25">
      <c r="AG111" s="1">
        <v>9.3400000000000105</v>
      </c>
      <c r="AH111" s="1">
        <f t="shared" si="15"/>
        <v>220.66</v>
      </c>
      <c r="AI111" s="1">
        <f t="shared" si="16"/>
        <v>220.66</v>
      </c>
      <c r="AK111" s="1">
        <v>9.3400000000000105</v>
      </c>
      <c r="AO111" s="1">
        <v>9.3400000000000105</v>
      </c>
      <c r="AS111" s="1">
        <v>9.3400000000000105</v>
      </c>
      <c r="AW111" s="1">
        <v>9.3400000000000105</v>
      </c>
      <c r="BA111" s="1">
        <v>9.3400000000000105</v>
      </c>
      <c r="BE111" s="1">
        <v>9.3400000000000105</v>
      </c>
      <c r="BI111" s="1">
        <v>9.3400000000000105</v>
      </c>
      <c r="BM111" s="1">
        <v>9.3400000000000105</v>
      </c>
      <c r="BQ111" s="1">
        <v>9.3400000000000105</v>
      </c>
      <c r="BU111" s="1">
        <v>9.3400000000000105</v>
      </c>
    </row>
    <row r="112" spans="33:73" hidden="1" x14ac:dyDescent="0.25">
      <c r="AG112" s="1">
        <v>9.3300000000000107</v>
      </c>
      <c r="AH112" s="1">
        <f t="shared" si="15"/>
        <v>220.67</v>
      </c>
      <c r="AI112" s="1">
        <f t="shared" si="16"/>
        <v>220.67</v>
      </c>
      <c r="AK112" s="1">
        <v>9.3300000000000107</v>
      </c>
      <c r="AO112" s="1">
        <v>9.3300000000000107</v>
      </c>
      <c r="AS112" s="1">
        <v>9.3300000000000107</v>
      </c>
      <c r="AW112" s="1">
        <v>9.3300000000000107</v>
      </c>
      <c r="BA112" s="1">
        <v>9.3300000000000107</v>
      </c>
      <c r="BE112" s="1">
        <v>9.3300000000000107</v>
      </c>
      <c r="BI112" s="1">
        <v>9.3300000000000107</v>
      </c>
      <c r="BM112" s="1">
        <v>9.3300000000000107</v>
      </c>
      <c r="BQ112" s="1">
        <v>9.3300000000000107</v>
      </c>
      <c r="BU112" s="1">
        <v>9.3300000000000107</v>
      </c>
    </row>
    <row r="113" spans="33:73" hidden="1" x14ac:dyDescent="0.25">
      <c r="AG113" s="1">
        <v>9.3200000000000092</v>
      </c>
      <c r="AH113" s="1">
        <f t="shared" si="15"/>
        <v>220.67999999999998</v>
      </c>
      <c r="AI113" s="1">
        <f t="shared" si="16"/>
        <v>220.67999999999998</v>
      </c>
      <c r="AK113" s="1">
        <v>9.3200000000000092</v>
      </c>
      <c r="AO113" s="1">
        <v>9.3200000000000092</v>
      </c>
      <c r="AS113" s="1">
        <v>9.3200000000000092</v>
      </c>
      <c r="AW113" s="1">
        <v>9.3200000000000092</v>
      </c>
      <c r="BA113" s="1">
        <v>9.3200000000000092</v>
      </c>
      <c r="BE113" s="1">
        <v>9.3200000000000092</v>
      </c>
      <c r="BI113" s="1">
        <v>9.3200000000000092</v>
      </c>
      <c r="BM113" s="1">
        <v>9.3200000000000092</v>
      </c>
      <c r="BQ113" s="1">
        <v>9.3200000000000092</v>
      </c>
      <c r="BU113" s="1">
        <v>9.3200000000000092</v>
      </c>
    </row>
    <row r="114" spans="33:73" hidden="1" x14ac:dyDescent="0.25">
      <c r="AG114" s="1">
        <v>9.3100000000000094</v>
      </c>
      <c r="AH114" s="1">
        <f t="shared" si="15"/>
        <v>220.69</v>
      </c>
      <c r="AI114" s="1">
        <f t="shared" si="16"/>
        <v>220.69</v>
      </c>
      <c r="AK114" s="1">
        <v>9.3100000000000094</v>
      </c>
      <c r="AO114" s="1">
        <v>9.3100000000000094</v>
      </c>
      <c r="AS114" s="1">
        <v>9.3100000000000094</v>
      </c>
      <c r="AW114" s="1">
        <v>9.3100000000000094</v>
      </c>
      <c r="BA114" s="1">
        <v>9.3100000000000094</v>
      </c>
      <c r="BE114" s="1">
        <v>9.3100000000000094</v>
      </c>
      <c r="BI114" s="1">
        <v>9.3100000000000094</v>
      </c>
      <c r="BM114" s="1">
        <v>9.3100000000000094</v>
      </c>
      <c r="BQ114" s="1">
        <v>9.3100000000000094</v>
      </c>
      <c r="BU114" s="1">
        <v>9.3100000000000094</v>
      </c>
    </row>
    <row r="115" spans="33:73" hidden="1" x14ac:dyDescent="0.25">
      <c r="AG115" s="1">
        <v>9.3000000000000096</v>
      </c>
      <c r="AH115" s="1">
        <f t="shared" si="15"/>
        <v>220.7</v>
      </c>
      <c r="AI115" s="1">
        <f t="shared" si="16"/>
        <v>220.7</v>
      </c>
      <c r="AK115" s="1">
        <v>9.3000000000000096</v>
      </c>
      <c r="AO115" s="1">
        <v>9.3000000000000096</v>
      </c>
      <c r="AS115" s="1">
        <v>9.3000000000000096</v>
      </c>
      <c r="AW115" s="1">
        <v>9.3000000000000096</v>
      </c>
      <c r="BA115" s="1">
        <v>9.3000000000000096</v>
      </c>
      <c r="BE115" s="1">
        <v>9.3000000000000096</v>
      </c>
      <c r="BI115" s="1">
        <v>9.3000000000000096</v>
      </c>
      <c r="BM115" s="1">
        <v>9.3000000000000096</v>
      </c>
      <c r="BQ115" s="1">
        <v>9.3000000000000096</v>
      </c>
      <c r="BU115" s="1">
        <v>9.3000000000000096</v>
      </c>
    </row>
    <row r="116" spans="33:73" hidden="1" x14ac:dyDescent="0.25">
      <c r="AG116" s="1">
        <v>9.2900000000000205</v>
      </c>
      <c r="AH116" s="1">
        <f t="shared" si="15"/>
        <v>220.70999999999998</v>
      </c>
      <c r="AI116" s="1">
        <f t="shared" si="16"/>
        <v>220.70999999999998</v>
      </c>
      <c r="AK116" s="1">
        <v>9.2900000000000205</v>
      </c>
      <c r="AO116" s="1">
        <v>9.2900000000000205</v>
      </c>
      <c r="AS116" s="1">
        <v>9.2900000000000205</v>
      </c>
      <c r="AW116" s="1">
        <v>9.2900000000000205</v>
      </c>
      <c r="BA116" s="1">
        <v>9.2900000000000205</v>
      </c>
      <c r="BE116" s="1">
        <v>9.2900000000000205</v>
      </c>
      <c r="BI116" s="1">
        <v>9.2900000000000205</v>
      </c>
      <c r="BM116" s="1">
        <v>9.2900000000000205</v>
      </c>
      <c r="BQ116" s="1">
        <v>9.2900000000000205</v>
      </c>
      <c r="BU116" s="1">
        <v>9.2900000000000205</v>
      </c>
    </row>
    <row r="117" spans="33:73" hidden="1" x14ac:dyDescent="0.25">
      <c r="AG117" s="1">
        <v>9.2800000000000207</v>
      </c>
      <c r="AH117" s="1">
        <f t="shared" si="15"/>
        <v>220.71999999999997</v>
      </c>
      <c r="AI117" s="1">
        <f t="shared" si="16"/>
        <v>220.71999999999997</v>
      </c>
      <c r="AK117" s="1">
        <v>9.2800000000000207</v>
      </c>
      <c r="AO117" s="1">
        <v>9.2800000000000207</v>
      </c>
      <c r="AS117" s="1">
        <v>9.2800000000000207</v>
      </c>
      <c r="AW117" s="1">
        <v>9.2800000000000207</v>
      </c>
      <c r="BA117" s="1">
        <v>9.2800000000000207</v>
      </c>
      <c r="BE117" s="1">
        <v>9.2800000000000207</v>
      </c>
      <c r="BI117" s="1">
        <v>9.2800000000000207</v>
      </c>
      <c r="BM117" s="1">
        <v>9.2800000000000207</v>
      </c>
      <c r="BQ117" s="1">
        <v>9.2800000000000207</v>
      </c>
      <c r="BU117" s="1">
        <v>9.2800000000000207</v>
      </c>
    </row>
    <row r="118" spans="33:73" hidden="1" x14ac:dyDescent="0.25">
      <c r="AG118" s="1">
        <v>9.2700000000000191</v>
      </c>
      <c r="AH118" s="1">
        <f t="shared" si="15"/>
        <v>220.73</v>
      </c>
      <c r="AI118" s="1">
        <f t="shared" si="16"/>
        <v>220.73</v>
      </c>
      <c r="AK118" s="1">
        <v>9.2700000000000191</v>
      </c>
      <c r="AO118" s="1">
        <v>9.2700000000000191</v>
      </c>
      <c r="AS118" s="1">
        <v>9.2700000000000191</v>
      </c>
      <c r="AW118" s="1">
        <v>9.2700000000000191</v>
      </c>
      <c r="BA118" s="1">
        <v>9.2700000000000191</v>
      </c>
      <c r="BE118" s="1">
        <v>9.2700000000000191</v>
      </c>
      <c r="BI118" s="1">
        <v>9.2700000000000191</v>
      </c>
      <c r="BM118" s="1">
        <v>9.2700000000000191</v>
      </c>
      <c r="BQ118" s="1">
        <v>9.2700000000000191</v>
      </c>
      <c r="BU118" s="1">
        <v>9.2700000000000191</v>
      </c>
    </row>
    <row r="119" spans="33:73" hidden="1" x14ac:dyDescent="0.25">
      <c r="AG119" s="1">
        <v>9.2600000000000193</v>
      </c>
      <c r="AH119" s="1">
        <f t="shared" si="15"/>
        <v>220.73999999999998</v>
      </c>
      <c r="AI119" s="1">
        <f t="shared" si="16"/>
        <v>220.73999999999998</v>
      </c>
      <c r="AK119" s="1">
        <v>9.2600000000000193</v>
      </c>
      <c r="AO119" s="1">
        <v>9.2600000000000193</v>
      </c>
      <c r="AS119" s="1">
        <v>9.2600000000000193</v>
      </c>
      <c r="AW119" s="1">
        <v>9.2600000000000193</v>
      </c>
      <c r="BA119" s="1">
        <v>9.2600000000000193</v>
      </c>
      <c r="BE119" s="1">
        <v>9.2600000000000193</v>
      </c>
      <c r="BI119" s="1">
        <v>9.2600000000000193</v>
      </c>
      <c r="BM119" s="1">
        <v>9.2600000000000193</v>
      </c>
      <c r="BQ119" s="1">
        <v>9.2600000000000193</v>
      </c>
      <c r="BU119" s="1">
        <v>9.2600000000000193</v>
      </c>
    </row>
    <row r="120" spans="33:73" hidden="1" x14ac:dyDescent="0.25">
      <c r="AG120" s="1">
        <v>9.2500000000000195</v>
      </c>
      <c r="AH120" s="1">
        <f t="shared" si="15"/>
        <v>220.74999999999997</v>
      </c>
      <c r="AI120" s="1">
        <f t="shared" si="16"/>
        <v>220.74999999999997</v>
      </c>
      <c r="AK120" s="1">
        <v>9.2500000000000195</v>
      </c>
      <c r="AO120" s="1">
        <v>9.2500000000000195</v>
      </c>
      <c r="AS120" s="1">
        <v>9.2500000000000195</v>
      </c>
      <c r="AW120" s="1">
        <v>9.2500000000000195</v>
      </c>
      <c r="BA120" s="1">
        <v>9.2500000000000195</v>
      </c>
      <c r="BE120" s="1">
        <v>9.2500000000000195</v>
      </c>
      <c r="BI120" s="1">
        <v>9.2500000000000195</v>
      </c>
      <c r="BM120" s="1">
        <v>9.2500000000000195</v>
      </c>
      <c r="BQ120" s="1">
        <v>9.2500000000000195</v>
      </c>
      <c r="BU120" s="1">
        <v>9.2500000000000195</v>
      </c>
    </row>
    <row r="121" spans="33:73" hidden="1" x14ac:dyDescent="0.25">
      <c r="AG121" s="1">
        <v>9.2400000000000198</v>
      </c>
      <c r="AH121" s="1">
        <f t="shared" si="15"/>
        <v>220.76</v>
      </c>
      <c r="AI121" s="1">
        <f t="shared" si="16"/>
        <v>220.76</v>
      </c>
      <c r="AK121" s="1">
        <v>9.2400000000000198</v>
      </c>
      <c r="AO121" s="1">
        <v>9.2400000000000198</v>
      </c>
      <c r="AS121" s="1">
        <v>9.2400000000000198</v>
      </c>
      <c r="AW121" s="1">
        <v>9.2400000000000198</v>
      </c>
      <c r="BA121" s="1">
        <v>9.2400000000000198</v>
      </c>
      <c r="BE121" s="1">
        <v>9.2400000000000198</v>
      </c>
      <c r="BI121" s="1">
        <v>9.2400000000000198</v>
      </c>
      <c r="BM121" s="1">
        <v>9.2400000000000198</v>
      </c>
      <c r="BQ121" s="1">
        <v>9.2400000000000198</v>
      </c>
      <c r="BU121" s="1">
        <v>9.2400000000000198</v>
      </c>
    </row>
    <row r="122" spans="33:73" hidden="1" x14ac:dyDescent="0.25">
      <c r="AG122" s="1">
        <v>9.23000000000002</v>
      </c>
      <c r="AH122" s="1">
        <f t="shared" si="15"/>
        <v>220.76999999999998</v>
      </c>
      <c r="AI122" s="1">
        <f t="shared" si="16"/>
        <v>220.76999999999998</v>
      </c>
      <c r="AK122" s="1">
        <v>9.23000000000002</v>
      </c>
      <c r="AO122" s="1">
        <v>9.23000000000002</v>
      </c>
      <c r="AS122" s="1">
        <v>9.23000000000002</v>
      </c>
      <c r="AW122" s="1">
        <v>9.23000000000002</v>
      </c>
      <c r="BA122" s="1">
        <v>9.23000000000002</v>
      </c>
      <c r="BE122" s="1">
        <v>9.23000000000002</v>
      </c>
      <c r="BI122" s="1">
        <v>9.23000000000002</v>
      </c>
      <c r="BM122" s="1">
        <v>9.23000000000002</v>
      </c>
      <c r="BQ122" s="1">
        <v>9.23000000000002</v>
      </c>
      <c r="BU122" s="1">
        <v>9.23000000000002</v>
      </c>
    </row>
    <row r="123" spans="33:73" hidden="1" x14ac:dyDescent="0.25">
      <c r="AG123" s="1">
        <v>9.2200000000000202</v>
      </c>
      <c r="AH123" s="1">
        <f t="shared" si="15"/>
        <v>220.77999999999997</v>
      </c>
      <c r="AI123" s="1">
        <f t="shared" si="16"/>
        <v>220.77999999999997</v>
      </c>
      <c r="AK123" s="1">
        <v>9.2200000000000202</v>
      </c>
      <c r="AO123" s="1">
        <v>9.2200000000000202</v>
      </c>
      <c r="AS123" s="1">
        <v>9.2200000000000202</v>
      </c>
      <c r="AW123" s="1">
        <v>9.2200000000000202</v>
      </c>
      <c r="BA123" s="1">
        <v>9.2200000000000202</v>
      </c>
      <c r="BE123" s="1">
        <v>9.2200000000000202</v>
      </c>
      <c r="BI123" s="1">
        <v>9.2200000000000202</v>
      </c>
      <c r="BM123" s="1">
        <v>9.2200000000000202</v>
      </c>
      <c r="BQ123" s="1">
        <v>9.2200000000000202</v>
      </c>
      <c r="BU123" s="1">
        <v>9.2200000000000202</v>
      </c>
    </row>
    <row r="124" spans="33:73" hidden="1" x14ac:dyDescent="0.25">
      <c r="AG124" s="1">
        <v>9.2100000000000204</v>
      </c>
      <c r="AH124" s="1">
        <f t="shared" si="15"/>
        <v>220.79</v>
      </c>
      <c r="AI124" s="1">
        <f t="shared" si="16"/>
        <v>220.79</v>
      </c>
      <c r="AK124" s="1">
        <v>9.2100000000000204</v>
      </c>
      <c r="AO124" s="1">
        <v>9.2100000000000204</v>
      </c>
      <c r="AS124" s="1">
        <v>9.2100000000000204</v>
      </c>
      <c r="AW124" s="1">
        <v>9.2100000000000204</v>
      </c>
      <c r="BA124" s="1">
        <v>9.2100000000000204</v>
      </c>
      <c r="BE124" s="1">
        <v>9.2100000000000204</v>
      </c>
      <c r="BI124" s="1">
        <v>9.2100000000000204</v>
      </c>
      <c r="BM124" s="1">
        <v>9.2100000000000204</v>
      </c>
      <c r="BQ124" s="1">
        <v>9.2100000000000204</v>
      </c>
      <c r="BU124" s="1">
        <v>9.2100000000000204</v>
      </c>
    </row>
    <row r="125" spans="33:73" hidden="1" x14ac:dyDescent="0.25">
      <c r="AG125" s="1">
        <v>9.2000000000000206</v>
      </c>
      <c r="AH125" s="1">
        <f t="shared" si="15"/>
        <v>220.79999999999998</v>
      </c>
      <c r="AI125" s="1">
        <f t="shared" si="16"/>
        <v>220.79999999999998</v>
      </c>
      <c r="AK125" s="1">
        <v>9.2000000000000206</v>
      </c>
      <c r="AO125" s="1">
        <v>9.2000000000000206</v>
      </c>
      <c r="AS125" s="1">
        <v>9.2000000000000206</v>
      </c>
      <c r="AW125" s="1">
        <v>9.2000000000000206</v>
      </c>
      <c r="BA125" s="1">
        <v>9.2000000000000206</v>
      </c>
      <c r="BE125" s="1">
        <v>9.2000000000000206</v>
      </c>
      <c r="BI125" s="1">
        <v>9.2000000000000206</v>
      </c>
      <c r="BM125" s="1">
        <v>9.2000000000000206</v>
      </c>
      <c r="BQ125" s="1">
        <v>9.2000000000000206</v>
      </c>
      <c r="BU125" s="1">
        <v>9.2000000000000206</v>
      </c>
    </row>
    <row r="126" spans="33:73" hidden="1" x14ac:dyDescent="0.25">
      <c r="AG126" s="1">
        <v>9.1900000000000208</v>
      </c>
      <c r="AH126" s="1">
        <f t="shared" si="15"/>
        <v>220.80999999999997</v>
      </c>
      <c r="AI126" s="1">
        <f t="shared" si="16"/>
        <v>220.80999999999997</v>
      </c>
      <c r="AK126" s="1">
        <v>9.1900000000000208</v>
      </c>
      <c r="AO126" s="1">
        <v>9.1900000000000208</v>
      </c>
      <c r="AS126" s="1">
        <v>9.1900000000000208</v>
      </c>
      <c r="AW126" s="1">
        <v>9.1900000000000208</v>
      </c>
      <c r="BA126" s="1">
        <v>9.1900000000000208</v>
      </c>
      <c r="BE126" s="1">
        <v>9.1900000000000208</v>
      </c>
      <c r="BI126" s="1">
        <v>9.1900000000000208</v>
      </c>
      <c r="BM126" s="1">
        <v>9.1900000000000208</v>
      </c>
      <c r="BQ126" s="1">
        <v>9.1900000000000208</v>
      </c>
      <c r="BU126" s="1">
        <v>9.1900000000000208</v>
      </c>
    </row>
    <row r="127" spans="33:73" hidden="1" x14ac:dyDescent="0.25">
      <c r="AG127" s="1">
        <v>9.1800000000000193</v>
      </c>
      <c r="AH127" s="1">
        <f t="shared" si="15"/>
        <v>220.82</v>
      </c>
      <c r="AI127" s="1">
        <f t="shared" si="16"/>
        <v>220.82</v>
      </c>
      <c r="AK127" s="1">
        <v>9.1800000000000193</v>
      </c>
      <c r="AO127" s="1">
        <v>9.1800000000000193</v>
      </c>
      <c r="AS127" s="1">
        <v>9.1800000000000193</v>
      </c>
      <c r="AW127" s="1">
        <v>9.1800000000000193</v>
      </c>
      <c r="BA127" s="1">
        <v>9.1800000000000193</v>
      </c>
      <c r="BE127" s="1">
        <v>9.1800000000000193</v>
      </c>
      <c r="BI127" s="1">
        <v>9.1800000000000193</v>
      </c>
      <c r="BM127" s="1">
        <v>9.1800000000000193</v>
      </c>
      <c r="BQ127" s="1">
        <v>9.1800000000000193</v>
      </c>
      <c r="BU127" s="1">
        <v>9.1800000000000193</v>
      </c>
    </row>
    <row r="128" spans="33:73" hidden="1" x14ac:dyDescent="0.25">
      <c r="AG128" s="1">
        <v>9.1700000000000195</v>
      </c>
      <c r="AH128" s="1">
        <f t="shared" si="15"/>
        <v>220.82999999999998</v>
      </c>
      <c r="AI128" s="1">
        <f t="shared" si="16"/>
        <v>220.82999999999998</v>
      </c>
      <c r="AK128" s="1">
        <v>9.1700000000000195</v>
      </c>
      <c r="AO128" s="1">
        <v>9.1700000000000195</v>
      </c>
      <c r="AS128" s="1">
        <v>9.1700000000000195</v>
      </c>
      <c r="AW128" s="1">
        <v>9.1700000000000195</v>
      </c>
      <c r="BA128" s="1">
        <v>9.1700000000000195</v>
      </c>
      <c r="BE128" s="1">
        <v>9.1700000000000195</v>
      </c>
      <c r="BI128" s="1">
        <v>9.1700000000000195</v>
      </c>
      <c r="BM128" s="1">
        <v>9.1700000000000195</v>
      </c>
      <c r="BQ128" s="1">
        <v>9.1700000000000195</v>
      </c>
      <c r="BU128" s="1">
        <v>9.1700000000000195</v>
      </c>
    </row>
    <row r="129" spans="33:73" hidden="1" x14ac:dyDescent="0.25">
      <c r="AG129" s="1">
        <v>9.1600000000000197</v>
      </c>
      <c r="AH129" s="1">
        <f t="shared" si="15"/>
        <v>220.83999999999997</v>
      </c>
      <c r="AI129" s="1">
        <f t="shared" si="16"/>
        <v>220.83999999999997</v>
      </c>
      <c r="AK129" s="1">
        <v>9.1600000000000197</v>
      </c>
      <c r="AO129" s="1">
        <v>9.1600000000000197</v>
      </c>
      <c r="AS129" s="1">
        <v>9.1600000000000197</v>
      </c>
      <c r="AW129" s="1">
        <v>9.1600000000000197</v>
      </c>
      <c r="BA129" s="1">
        <v>9.1600000000000197</v>
      </c>
      <c r="BE129" s="1">
        <v>9.1600000000000197</v>
      </c>
      <c r="BI129" s="1">
        <v>9.1600000000000197</v>
      </c>
      <c r="BM129" s="1">
        <v>9.1600000000000197</v>
      </c>
      <c r="BQ129" s="1">
        <v>9.1600000000000197</v>
      </c>
      <c r="BU129" s="1">
        <v>9.1600000000000197</v>
      </c>
    </row>
    <row r="130" spans="33:73" hidden="1" x14ac:dyDescent="0.25">
      <c r="AG130" s="1">
        <v>9.1500000000000199</v>
      </c>
      <c r="AH130" s="1">
        <f t="shared" si="15"/>
        <v>220.84999999999997</v>
      </c>
      <c r="AI130" s="1">
        <f t="shared" si="16"/>
        <v>220.84999999999997</v>
      </c>
      <c r="AK130" s="1">
        <v>9.1500000000000199</v>
      </c>
      <c r="AO130" s="1">
        <v>9.1500000000000199</v>
      </c>
      <c r="AS130" s="1">
        <v>9.1500000000000199</v>
      </c>
      <c r="AW130" s="1">
        <v>9.1500000000000199</v>
      </c>
      <c r="BA130" s="1">
        <v>9.1500000000000199</v>
      </c>
      <c r="BE130" s="1">
        <v>9.1500000000000199</v>
      </c>
      <c r="BI130" s="1">
        <v>9.1500000000000199</v>
      </c>
      <c r="BM130" s="1">
        <v>9.1500000000000199</v>
      </c>
      <c r="BQ130" s="1">
        <v>9.1500000000000199</v>
      </c>
      <c r="BU130" s="1">
        <v>9.1500000000000199</v>
      </c>
    </row>
    <row r="131" spans="33:73" hidden="1" x14ac:dyDescent="0.25">
      <c r="AG131" s="1">
        <v>9.1400000000000201</v>
      </c>
      <c r="AH131" s="1">
        <f t="shared" si="15"/>
        <v>220.85999999999999</v>
      </c>
      <c r="AI131" s="1">
        <f t="shared" si="16"/>
        <v>220.85999999999999</v>
      </c>
      <c r="AK131" s="1">
        <v>9.1400000000000201</v>
      </c>
      <c r="AO131" s="1">
        <v>9.1400000000000201</v>
      </c>
      <c r="AS131" s="1">
        <v>9.1400000000000201</v>
      </c>
      <c r="AW131" s="1">
        <v>9.1400000000000201</v>
      </c>
      <c r="BA131" s="1">
        <v>9.1400000000000201</v>
      </c>
      <c r="BE131" s="1">
        <v>9.1400000000000201</v>
      </c>
      <c r="BI131" s="1">
        <v>9.1400000000000201</v>
      </c>
      <c r="BM131" s="1">
        <v>9.1400000000000201</v>
      </c>
      <c r="BQ131" s="1">
        <v>9.1400000000000201</v>
      </c>
      <c r="BU131" s="1">
        <v>9.1400000000000201</v>
      </c>
    </row>
    <row r="132" spans="33:73" hidden="1" x14ac:dyDescent="0.25">
      <c r="AG132" s="1">
        <v>9.1300000000000203</v>
      </c>
      <c r="AH132" s="1">
        <f t="shared" si="15"/>
        <v>220.86999999999998</v>
      </c>
      <c r="AI132" s="1">
        <f t="shared" si="16"/>
        <v>220.86999999999998</v>
      </c>
      <c r="AK132" s="1">
        <v>9.1300000000000203</v>
      </c>
      <c r="AO132" s="1">
        <v>9.1300000000000203</v>
      </c>
      <c r="AS132" s="1">
        <v>9.1300000000000203</v>
      </c>
      <c r="AW132" s="1">
        <v>9.1300000000000203</v>
      </c>
      <c r="BA132" s="1">
        <v>9.1300000000000203</v>
      </c>
      <c r="BE132" s="1">
        <v>9.1300000000000203</v>
      </c>
      <c r="BI132" s="1">
        <v>9.1300000000000203</v>
      </c>
      <c r="BM132" s="1">
        <v>9.1300000000000203</v>
      </c>
      <c r="BQ132" s="1">
        <v>9.1300000000000203</v>
      </c>
      <c r="BU132" s="1">
        <v>9.1300000000000203</v>
      </c>
    </row>
    <row r="133" spans="33:73" hidden="1" x14ac:dyDescent="0.25">
      <c r="AG133" s="1">
        <v>9.1200000000000205</v>
      </c>
      <c r="AH133" s="1">
        <f t="shared" si="15"/>
        <v>220.87999999999997</v>
      </c>
      <c r="AI133" s="1">
        <f t="shared" si="16"/>
        <v>220.87999999999997</v>
      </c>
      <c r="AK133" s="1">
        <v>9.1200000000000205</v>
      </c>
      <c r="AO133" s="1">
        <v>9.1200000000000205</v>
      </c>
      <c r="AS133" s="1">
        <v>9.1200000000000205</v>
      </c>
      <c r="AW133" s="1">
        <v>9.1200000000000205</v>
      </c>
      <c r="BA133" s="1">
        <v>9.1200000000000205</v>
      </c>
      <c r="BE133" s="1">
        <v>9.1200000000000205</v>
      </c>
      <c r="BI133" s="1">
        <v>9.1200000000000205</v>
      </c>
      <c r="BM133" s="1">
        <v>9.1200000000000205</v>
      </c>
      <c r="BQ133" s="1">
        <v>9.1200000000000205</v>
      </c>
      <c r="BU133" s="1">
        <v>9.1200000000000205</v>
      </c>
    </row>
    <row r="134" spans="33:73" hidden="1" x14ac:dyDescent="0.25">
      <c r="AG134" s="1">
        <v>9.1100000000000207</v>
      </c>
      <c r="AH134" s="1">
        <f t="shared" si="15"/>
        <v>220.89</v>
      </c>
      <c r="AI134" s="1">
        <f t="shared" si="16"/>
        <v>220.89</v>
      </c>
      <c r="AK134" s="1">
        <v>9.1100000000000207</v>
      </c>
      <c r="AO134" s="1">
        <v>9.1100000000000207</v>
      </c>
      <c r="AS134" s="1">
        <v>9.1100000000000207</v>
      </c>
      <c r="AW134" s="1">
        <v>9.1100000000000207</v>
      </c>
      <c r="BA134" s="1">
        <v>9.1100000000000207</v>
      </c>
      <c r="BE134" s="1">
        <v>9.1100000000000207</v>
      </c>
      <c r="BI134" s="1">
        <v>9.1100000000000207</v>
      </c>
      <c r="BM134" s="1">
        <v>9.1100000000000207</v>
      </c>
      <c r="BQ134" s="1">
        <v>9.1100000000000207</v>
      </c>
      <c r="BU134" s="1">
        <v>9.1100000000000207</v>
      </c>
    </row>
    <row r="135" spans="33:73" hidden="1" x14ac:dyDescent="0.25">
      <c r="AG135" s="1">
        <v>9.1000000000000192</v>
      </c>
      <c r="AH135" s="1">
        <f t="shared" si="15"/>
        <v>220.89999999999998</v>
      </c>
      <c r="AI135" s="1">
        <f t="shared" si="16"/>
        <v>220.89999999999998</v>
      </c>
      <c r="AK135" s="1">
        <v>9.1000000000000192</v>
      </c>
      <c r="AO135" s="1">
        <v>9.1000000000000192</v>
      </c>
      <c r="AS135" s="1">
        <v>9.1000000000000192</v>
      </c>
      <c r="AW135" s="1">
        <v>9.1000000000000192</v>
      </c>
      <c r="BA135" s="1">
        <v>9.1000000000000192</v>
      </c>
      <c r="BE135" s="1">
        <v>9.1000000000000192</v>
      </c>
      <c r="BI135" s="1">
        <v>9.1000000000000192</v>
      </c>
      <c r="BM135" s="1">
        <v>9.1000000000000192</v>
      </c>
      <c r="BQ135" s="1">
        <v>9.1000000000000192</v>
      </c>
      <c r="BU135" s="1">
        <v>9.1000000000000192</v>
      </c>
    </row>
    <row r="136" spans="33:73" hidden="1" x14ac:dyDescent="0.25">
      <c r="AG136" s="1">
        <v>9.0900000000000194</v>
      </c>
      <c r="AH136" s="1">
        <f t="shared" si="15"/>
        <v>220.90999999999997</v>
      </c>
      <c r="AI136" s="1">
        <f t="shared" si="16"/>
        <v>220.90999999999997</v>
      </c>
      <c r="AK136" s="1">
        <v>9.0900000000000194</v>
      </c>
      <c r="AO136" s="1">
        <v>9.0900000000000194</v>
      </c>
      <c r="AS136" s="1">
        <v>9.0900000000000194</v>
      </c>
      <c r="AW136" s="1">
        <v>9.0900000000000194</v>
      </c>
      <c r="BA136" s="1">
        <v>9.0900000000000194</v>
      </c>
      <c r="BE136" s="1">
        <v>9.0900000000000194</v>
      </c>
      <c r="BI136" s="1">
        <v>9.0900000000000194</v>
      </c>
      <c r="BM136" s="1">
        <v>9.0900000000000194</v>
      </c>
      <c r="BQ136" s="1">
        <v>9.0900000000000194</v>
      </c>
      <c r="BU136" s="1">
        <v>9.0900000000000194</v>
      </c>
    </row>
    <row r="137" spans="33:73" hidden="1" x14ac:dyDescent="0.25">
      <c r="AG137" s="1">
        <v>9.0800000000000196</v>
      </c>
      <c r="AH137" s="1">
        <f t="shared" si="15"/>
        <v>220.92</v>
      </c>
      <c r="AI137" s="1">
        <f t="shared" si="16"/>
        <v>220.92</v>
      </c>
      <c r="AK137" s="1">
        <v>9.0800000000000196</v>
      </c>
      <c r="AO137" s="1">
        <v>9.0800000000000196</v>
      </c>
      <c r="AS137" s="1">
        <v>9.0800000000000196</v>
      </c>
      <c r="AW137" s="1">
        <v>9.0800000000000196</v>
      </c>
      <c r="BA137" s="1">
        <v>9.0800000000000196</v>
      </c>
      <c r="BE137" s="1">
        <v>9.0800000000000196</v>
      </c>
      <c r="BI137" s="1">
        <v>9.0800000000000196</v>
      </c>
      <c r="BM137" s="1">
        <v>9.0800000000000196</v>
      </c>
      <c r="BQ137" s="1">
        <v>9.0800000000000196</v>
      </c>
      <c r="BU137" s="1">
        <v>9.0800000000000196</v>
      </c>
    </row>
    <row r="138" spans="33:73" hidden="1" x14ac:dyDescent="0.25">
      <c r="AG138" s="1">
        <v>9.0700000000000198</v>
      </c>
      <c r="AH138" s="1">
        <f t="shared" si="15"/>
        <v>220.92999999999998</v>
      </c>
      <c r="AI138" s="1">
        <f t="shared" si="16"/>
        <v>220.92999999999998</v>
      </c>
      <c r="AK138" s="1">
        <v>9.0700000000000198</v>
      </c>
      <c r="AO138" s="1">
        <v>9.0700000000000198</v>
      </c>
      <c r="AS138" s="1">
        <v>9.0700000000000198</v>
      </c>
      <c r="AW138" s="1">
        <v>9.0700000000000198</v>
      </c>
      <c r="BA138" s="1">
        <v>9.0700000000000198</v>
      </c>
      <c r="BE138" s="1">
        <v>9.0700000000000198</v>
      </c>
      <c r="BI138" s="1">
        <v>9.0700000000000198</v>
      </c>
      <c r="BM138" s="1">
        <v>9.0700000000000198</v>
      </c>
      <c r="BQ138" s="1">
        <v>9.0700000000000198</v>
      </c>
      <c r="BU138" s="1">
        <v>9.0700000000000198</v>
      </c>
    </row>
    <row r="139" spans="33:73" hidden="1" x14ac:dyDescent="0.25">
      <c r="AG139" s="1">
        <v>9.06000000000002</v>
      </c>
      <c r="AH139" s="1">
        <f t="shared" si="15"/>
        <v>220.93999999999997</v>
      </c>
      <c r="AI139" s="1">
        <f t="shared" si="16"/>
        <v>220.93999999999997</v>
      </c>
      <c r="AK139" s="1">
        <v>9.06000000000002</v>
      </c>
      <c r="AO139" s="1">
        <v>9.06000000000002</v>
      </c>
      <c r="AS139" s="1">
        <v>9.06000000000002</v>
      </c>
      <c r="AW139" s="1">
        <v>9.06000000000002</v>
      </c>
      <c r="BA139" s="1">
        <v>9.06000000000002</v>
      </c>
      <c r="BE139" s="1">
        <v>9.06000000000002</v>
      </c>
      <c r="BI139" s="1">
        <v>9.06000000000002</v>
      </c>
      <c r="BM139" s="1">
        <v>9.06000000000002</v>
      </c>
      <c r="BQ139" s="1">
        <v>9.06000000000002</v>
      </c>
      <c r="BU139" s="1">
        <v>9.06000000000002</v>
      </c>
    </row>
    <row r="140" spans="33:73" hidden="1" x14ac:dyDescent="0.25">
      <c r="AG140" s="1">
        <v>9.0500000000000203</v>
      </c>
      <c r="AH140" s="1">
        <f t="shared" si="15"/>
        <v>220.95</v>
      </c>
      <c r="AI140" s="1">
        <f t="shared" si="16"/>
        <v>220.95</v>
      </c>
      <c r="AK140" s="1">
        <v>9.0500000000000203</v>
      </c>
      <c r="AO140" s="1">
        <v>9.0500000000000203</v>
      </c>
      <c r="AS140" s="1">
        <v>9.0500000000000203</v>
      </c>
      <c r="AW140" s="1">
        <v>9.0500000000000203</v>
      </c>
      <c r="BA140" s="1">
        <v>9.0500000000000203</v>
      </c>
      <c r="BE140" s="1">
        <v>9.0500000000000203</v>
      </c>
      <c r="BI140" s="1">
        <v>9.0500000000000203</v>
      </c>
      <c r="BM140" s="1">
        <v>9.0500000000000203</v>
      </c>
      <c r="BQ140" s="1">
        <v>9.0500000000000203</v>
      </c>
      <c r="BU140" s="1">
        <v>9.0500000000000203</v>
      </c>
    </row>
    <row r="141" spans="33:73" hidden="1" x14ac:dyDescent="0.25">
      <c r="AG141" s="1">
        <v>9.0400000000000205</v>
      </c>
      <c r="AH141" s="1">
        <f t="shared" si="15"/>
        <v>220.95999999999998</v>
      </c>
      <c r="AI141" s="1">
        <f t="shared" si="16"/>
        <v>220.95999999999998</v>
      </c>
      <c r="AK141" s="1">
        <v>9.0400000000000205</v>
      </c>
      <c r="AO141" s="1">
        <v>9.0400000000000205</v>
      </c>
      <c r="AS141" s="1">
        <v>9.0400000000000205</v>
      </c>
      <c r="AW141" s="1">
        <v>9.0400000000000205</v>
      </c>
      <c r="BA141" s="1">
        <v>9.0400000000000205</v>
      </c>
      <c r="BE141" s="1">
        <v>9.0400000000000205</v>
      </c>
      <c r="BI141" s="1">
        <v>9.0400000000000205</v>
      </c>
      <c r="BM141" s="1">
        <v>9.0400000000000205</v>
      </c>
      <c r="BQ141" s="1">
        <v>9.0400000000000205</v>
      </c>
      <c r="BU141" s="1">
        <v>9.0400000000000205</v>
      </c>
    </row>
    <row r="142" spans="33:73" hidden="1" x14ac:dyDescent="0.25">
      <c r="AG142" s="1">
        <v>9.0300000000000207</v>
      </c>
      <c r="AH142" s="1">
        <f t="shared" si="15"/>
        <v>220.96999999999997</v>
      </c>
      <c r="AI142" s="1">
        <f t="shared" si="16"/>
        <v>220.96999999999997</v>
      </c>
      <c r="AK142" s="1">
        <v>9.0300000000000207</v>
      </c>
      <c r="AO142" s="1">
        <v>9.0300000000000207</v>
      </c>
      <c r="AS142" s="1">
        <v>9.0300000000000207</v>
      </c>
      <c r="AW142" s="1">
        <v>9.0300000000000207</v>
      </c>
      <c r="BA142" s="1">
        <v>9.0300000000000207</v>
      </c>
      <c r="BE142" s="1">
        <v>9.0300000000000207</v>
      </c>
      <c r="BI142" s="1">
        <v>9.0300000000000207</v>
      </c>
      <c r="BM142" s="1">
        <v>9.0300000000000207</v>
      </c>
      <c r="BQ142" s="1">
        <v>9.0300000000000207</v>
      </c>
      <c r="BU142" s="1">
        <v>9.0300000000000207</v>
      </c>
    </row>
    <row r="143" spans="33:73" hidden="1" x14ac:dyDescent="0.25">
      <c r="AG143" s="1">
        <v>9.0200000000000191</v>
      </c>
      <c r="AH143" s="1">
        <f t="shared" si="15"/>
        <v>220.98</v>
      </c>
      <c r="AI143" s="1">
        <f t="shared" si="16"/>
        <v>220.98</v>
      </c>
      <c r="AK143" s="1">
        <v>9.0200000000000191</v>
      </c>
      <c r="AO143" s="1">
        <v>9.0200000000000191</v>
      </c>
      <c r="AS143" s="1">
        <v>9.0200000000000191</v>
      </c>
      <c r="AW143" s="1">
        <v>9.0200000000000191</v>
      </c>
      <c r="BA143" s="1">
        <v>9.0200000000000191</v>
      </c>
      <c r="BE143" s="1">
        <v>9.0200000000000191</v>
      </c>
      <c r="BI143" s="1">
        <v>9.0200000000000191</v>
      </c>
      <c r="BM143" s="1">
        <v>9.0200000000000191</v>
      </c>
      <c r="BQ143" s="1">
        <v>9.0200000000000191</v>
      </c>
      <c r="BU143" s="1">
        <v>9.0200000000000191</v>
      </c>
    </row>
    <row r="144" spans="33:73" hidden="1" x14ac:dyDescent="0.25">
      <c r="AG144" s="1">
        <v>9.0100000000000193</v>
      </c>
      <c r="AH144" s="1">
        <f t="shared" si="15"/>
        <v>220.98999999999998</v>
      </c>
      <c r="AI144" s="1">
        <f t="shared" si="16"/>
        <v>220.98999999999998</v>
      </c>
      <c r="AK144" s="1">
        <v>9.0100000000000193</v>
      </c>
      <c r="AO144" s="1">
        <v>9.0100000000000193</v>
      </c>
      <c r="AS144" s="1">
        <v>9.0100000000000193</v>
      </c>
      <c r="AW144" s="1">
        <v>9.0100000000000193</v>
      </c>
      <c r="BA144" s="1">
        <v>9.0100000000000193</v>
      </c>
      <c r="BE144" s="1">
        <v>9.0100000000000193</v>
      </c>
      <c r="BI144" s="1">
        <v>9.0100000000000193</v>
      </c>
      <c r="BM144" s="1">
        <v>9.0100000000000193</v>
      </c>
      <c r="BQ144" s="1">
        <v>9.0100000000000193</v>
      </c>
      <c r="BU144" s="1">
        <v>9.0100000000000193</v>
      </c>
    </row>
    <row r="145" spans="33:73" hidden="1" x14ac:dyDescent="0.25">
      <c r="AG145" s="1">
        <v>9.0000000000000195</v>
      </c>
      <c r="AH145" s="1">
        <f t="shared" si="15"/>
        <v>220.99999999999997</v>
      </c>
      <c r="AI145" s="1">
        <f t="shared" si="16"/>
        <v>220.99999999999997</v>
      </c>
      <c r="AK145" s="1">
        <v>9.0000000000000195</v>
      </c>
      <c r="AO145" s="1">
        <v>9.0000000000000195</v>
      </c>
      <c r="AS145" s="1">
        <v>9.0000000000000195</v>
      </c>
      <c r="AW145" s="1">
        <v>9.0000000000000195</v>
      </c>
      <c r="BA145" s="1">
        <v>9.0000000000000195</v>
      </c>
      <c r="BE145" s="1">
        <v>9.0000000000000195</v>
      </c>
      <c r="BI145" s="1">
        <v>9.0000000000000195</v>
      </c>
      <c r="BM145" s="1">
        <v>9.0000000000000195</v>
      </c>
      <c r="BQ145" s="1">
        <v>9.0000000000000195</v>
      </c>
      <c r="BU145" s="1">
        <v>9.0000000000000195</v>
      </c>
    </row>
    <row r="146" spans="33:73" hidden="1" x14ac:dyDescent="0.25">
      <c r="AG146" s="1">
        <v>8.9900000000000198</v>
      </c>
      <c r="AH146" s="1">
        <f t="shared" si="15"/>
        <v>221.01</v>
      </c>
      <c r="AI146" s="1">
        <f t="shared" si="16"/>
        <v>221.01</v>
      </c>
      <c r="AK146" s="1">
        <v>8.9900000000000198</v>
      </c>
      <c r="AO146" s="1">
        <v>8.9900000000000198</v>
      </c>
      <c r="AS146" s="1">
        <v>8.9900000000000198</v>
      </c>
      <c r="AW146" s="1">
        <v>8.9900000000000198</v>
      </c>
      <c r="BA146" s="1">
        <v>8.9900000000000198</v>
      </c>
      <c r="BE146" s="1">
        <v>8.9900000000000198</v>
      </c>
      <c r="BI146" s="1">
        <v>8.9900000000000198</v>
      </c>
      <c r="BM146" s="1">
        <v>8.9900000000000198</v>
      </c>
      <c r="BQ146" s="1">
        <v>8.9900000000000198</v>
      </c>
      <c r="BU146" s="1">
        <v>8.9900000000000198</v>
      </c>
    </row>
    <row r="147" spans="33:73" hidden="1" x14ac:dyDescent="0.25">
      <c r="AG147" s="1">
        <v>8.98000000000002</v>
      </c>
      <c r="AH147" s="1">
        <f t="shared" si="15"/>
        <v>221.01999999999998</v>
      </c>
      <c r="AI147" s="1">
        <f t="shared" si="16"/>
        <v>221.01999999999998</v>
      </c>
      <c r="AK147" s="1">
        <v>8.98000000000002</v>
      </c>
      <c r="AO147" s="1">
        <v>8.98000000000002</v>
      </c>
      <c r="AS147" s="1">
        <v>8.98000000000002</v>
      </c>
      <c r="AW147" s="1">
        <v>8.98000000000002</v>
      </c>
      <c r="BA147" s="1">
        <v>8.98000000000002</v>
      </c>
      <c r="BE147" s="1">
        <v>8.98000000000002</v>
      </c>
      <c r="BI147" s="1">
        <v>8.98000000000002</v>
      </c>
      <c r="BM147" s="1">
        <v>8.98000000000002</v>
      </c>
      <c r="BQ147" s="1">
        <v>8.98000000000002</v>
      </c>
      <c r="BU147" s="1">
        <v>8.98000000000002</v>
      </c>
    </row>
    <row r="148" spans="33:73" hidden="1" x14ac:dyDescent="0.25">
      <c r="AG148" s="1">
        <v>8.9700000000000202</v>
      </c>
      <c r="AH148" s="1">
        <f t="shared" si="15"/>
        <v>221.02999999999997</v>
      </c>
      <c r="AI148" s="1">
        <f t="shared" si="16"/>
        <v>221.02999999999997</v>
      </c>
      <c r="AK148" s="1">
        <v>8.9700000000000202</v>
      </c>
      <c r="AO148" s="1">
        <v>8.9700000000000202</v>
      </c>
      <c r="AS148" s="1">
        <v>8.9700000000000202</v>
      </c>
      <c r="AW148" s="1">
        <v>8.9700000000000202</v>
      </c>
      <c r="BA148" s="1">
        <v>8.9700000000000202</v>
      </c>
      <c r="BE148" s="1">
        <v>8.9700000000000202</v>
      </c>
      <c r="BI148" s="1">
        <v>8.9700000000000202</v>
      </c>
      <c r="BM148" s="1">
        <v>8.9700000000000202</v>
      </c>
      <c r="BQ148" s="1">
        <v>8.9700000000000202</v>
      </c>
      <c r="BU148" s="1">
        <v>8.9700000000000202</v>
      </c>
    </row>
    <row r="149" spans="33:73" hidden="1" x14ac:dyDescent="0.25">
      <c r="AG149" s="1">
        <v>8.9600000000000204</v>
      </c>
      <c r="AH149" s="1">
        <f t="shared" si="15"/>
        <v>221.04</v>
      </c>
      <c r="AI149" s="1">
        <f t="shared" si="16"/>
        <v>221.04</v>
      </c>
      <c r="AK149" s="1">
        <v>8.9600000000000204</v>
      </c>
      <c r="AO149" s="1">
        <v>8.9600000000000204</v>
      </c>
      <c r="AS149" s="1">
        <v>8.9600000000000204</v>
      </c>
      <c r="AW149" s="1">
        <v>8.9600000000000204</v>
      </c>
      <c r="BA149" s="1">
        <v>8.9600000000000204</v>
      </c>
      <c r="BE149" s="1">
        <v>8.9600000000000204</v>
      </c>
      <c r="BI149" s="1">
        <v>8.9600000000000204</v>
      </c>
      <c r="BM149" s="1">
        <v>8.9600000000000204</v>
      </c>
      <c r="BQ149" s="1">
        <v>8.9600000000000204</v>
      </c>
      <c r="BU149" s="1">
        <v>8.9600000000000204</v>
      </c>
    </row>
    <row r="150" spans="33:73" hidden="1" x14ac:dyDescent="0.25">
      <c r="AG150" s="1">
        <v>8.9500000000000206</v>
      </c>
      <c r="AH150" s="1">
        <f t="shared" si="15"/>
        <v>221.04999999999998</v>
      </c>
      <c r="AI150" s="1">
        <f t="shared" si="16"/>
        <v>221.04999999999998</v>
      </c>
      <c r="AK150" s="1">
        <v>8.9500000000000206</v>
      </c>
      <c r="AO150" s="1">
        <v>8.9500000000000206</v>
      </c>
      <c r="AS150" s="1">
        <v>8.9500000000000206</v>
      </c>
      <c r="AW150" s="1">
        <v>8.9500000000000206</v>
      </c>
      <c r="BA150" s="1">
        <v>8.9500000000000206</v>
      </c>
      <c r="BE150" s="1">
        <v>8.9500000000000206</v>
      </c>
      <c r="BI150" s="1">
        <v>8.9500000000000206</v>
      </c>
      <c r="BM150" s="1">
        <v>8.9500000000000206</v>
      </c>
      <c r="BQ150" s="1">
        <v>8.9500000000000206</v>
      </c>
      <c r="BU150" s="1">
        <v>8.9500000000000206</v>
      </c>
    </row>
    <row r="151" spans="33:73" hidden="1" x14ac:dyDescent="0.25">
      <c r="AG151" s="1">
        <v>8.9400000000000208</v>
      </c>
      <c r="AH151" s="1">
        <f t="shared" si="15"/>
        <v>221.05999999999997</v>
      </c>
      <c r="AI151" s="1">
        <f t="shared" si="16"/>
        <v>221.05999999999997</v>
      </c>
      <c r="AK151" s="1">
        <v>8.9400000000000208</v>
      </c>
      <c r="AO151" s="1">
        <v>8.9400000000000208</v>
      </c>
      <c r="AS151" s="1">
        <v>8.9400000000000208</v>
      </c>
      <c r="AW151" s="1">
        <v>8.9400000000000208</v>
      </c>
      <c r="BA151" s="1">
        <v>8.9400000000000208</v>
      </c>
      <c r="BE151" s="1">
        <v>8.9400000000000208</v>
      </c>
      <c r="BI151" s="1">
        <v>8.9400000000000208</v>
      </c>
      <c r="BM151" s="1">
        <v>8.9400000000000208</v>
      </c>
      <c r="BQ151" s="1">
        <v>8.9400000000000208</v>
      </c>
      <c r="BU151" s="1">
        <v>8.9400000000000208</v>
      </c>
    </row>
    <row r="152" spans="33:73" hidden="1" x14ac:dyDescent="0.25">
      <c r="AG152" s="1">
        <v>8.9300000000000193</v>
      </c>
      <c r="AH152" s="1">
        <f t="shared" si="15"/>
        <v>221.07</v>
      </c>
      <c r="AI152" s="1">
        <f t="shared" si="16"/>
        <v>221.07</v>
      </c>
      <c r="AK152" s="1">
        <v>8.9300000000000193</v>
      </c>
      <c r="AO152" s="1">
        <v>8.9300000000000193</v>
      </c>
      <c r="AS152" s="1">
        <v>8.9300000000000193</v>
      </c>
      <c r="AW152" s="1">
        <v>8.9300000000000193</v>
      </c>
      <c r="BA152" s="1">
        <v>8.9300000000000193</v>
      </c>
      <c r="BE152" s="1">
        <v>8.9300000000000193</v>
      </c>
      <c r="BI152" s="1">
        <v>8.9300000000000193</v>
      </c>
      <c r="BM152" s="1">
        <v>8.9300000000000193</v>
      </c>
      <c r="BQ152" s="1">
        <v>8.9300000000000193</v>
      </c>
      <c r="BU152" s="1">
        <v>8.9300000000000193</v>
      </c>
    </row>
    <row r="153" spans="33:73" hidden="1" x14ac:dyDescent="0.25">
      <c r="AG153" s="1">
        <v>8.9200000000000195</v>
      </c>
      <c r="AH153" s="1">
        <f t="shared" si="15"/>
        <v>221.07999999999998</v>
      </c>
      <c r="AI153" s="1">
        <f t="shared" si="16"/>
        <v>221.07999999999998</v>
      </c>
      <c r="AK153" s="1">
        <v>8.9200000000000195</v>
      </c>
      <c r="AO153" s="1">
        <v>8.9200000000000195</v>
      </c>
      <c r="AS153" s="1">
        <v>8.9200000000000195</v>
      </c>
      <c r="AW153" s="1">
        <v>8.9200000000000195</v>
      </c>
      <c r="BA153" s="1">
        <v>8.9200000000000195</v>
      </c>
      <c r="BE153" s="1">
        <v>8.9200000000000195</v>
      </c>
      <c r="BI153" s="1">
        <v>8.9200000000000195</v>
      </c>
      <c r="BM153" s="1">
        <v>8.9200000000000195</v>
      </c>
      <c r="BQ153" s="1">
        <v>8.9200000000000195</v>
      </c>
      <c r="BU153" s="1">
        <v>8.9200000000000195</v>
      </c>
    </row>
    <row r="154" spans="33:73" hidden="1" x14ac:dyDescent="0.25">
      <c r="AG154" s="1">
        <v>8.9100000000000197</v>
      </c>
      <c r="AH154" s="1">
        <f t="shared" si="15"/>
        <v>221.08999999999997</v>
      </c>
      <c r="AI154" s="1">
        <f t="shared" si="16"/>
        <v>221.08999999999997</v>
      </c>
      <c r="AK154" s="1">
        <v>8.9100000000000197</v>
      </c>
      <c r="AO154" s="1">
        <v>8.9100000000000197</v>
      </c>
      <c r="AS154" s="1">
        <v>8.9100000000000197</v>
      </c>
      <c r="AW154" s="1">
        <v>8.9100000000000197</v>
      </c>
      <c r="BA154" s="1">
        <v>8.9100000000000197</v>
      </c>
      <c r="BE154" s="1">
        <v>8.9100000000000197</v>
      </c>
      <c r="BI154" s="1">
        <v>8.9100000000000197</v>
      </c>
      <c r="BM154" s="1">
        <v>8.9100000000000197</v>
      </c>
      <c r="BQ154" s="1">
        <v>8.9100000000000197</v>
      </c>
      <c r="BU154" s="1">
        <v>8.9100000000000197</v>
      </c>
    </row>
    <row r="155" spans="33:73" hidden="1" x14ac:dyDescent="0.25">
      <c r="AG155" s="1">
        <v>8.9000000000000199</v>
      </c>
      <c r="AH155" s="1">
        <f t="shared" si="15"/>
        <v>221.09999999999997</v>
      </c>
      <c r="AI155" s="1">
        <f t="shared" si="16"/>
        <v>221.09999999999997</v>
      </c>
      <c r="AK155" s="1">
        <v>8.9000000000000199</v>
      </c>
      <c r="AO155" s="1">
        <v>8.9000000000000199</v>
      </c>
      <c r="AS155" s="1">
        <v>8.9000000000000199</v>
      </c>
      <c r="AW155" s="1">
        <v>8.9000000000000199</v>
      </c>
      <c r="BA155" s="1">
        <v>8.9000000000000199</v>
      </c>
      <c r="BE155" s="1">
        <v>8.9000000000000199</v>
      </c>
      <c r="BI155" s="1">
        <v>8.9000000000000199</v>
      </c>
      <c r="BM155" s="1">
        <v>8.9000000000000199</v>
      </c>
      <c r="BQ155" s="1">
        <v>8.9000000000000199</v>
      </c>
      <c r="BU155" s="1">
        <v>8.9000000000000199</v>
      </c>
    </row>
    <row r="156" spans="33:73" hidden="1" x14ac:dyDescent="0.25">
      <c r="AG156" s="1">
        <v>8.8900000000000201</v>
      </c>
      <c r="AH156" s="1">
        <f t="shared" si="15"/>
        <v>221.10999999999999</v>
      </c>
      <c r="AI156" s="1">
        <f t="shared" si="16"/>
        <v>221.10999999999999</v>
      </c>
      <c r="AK156" s="1">
        <v>8.8900000000000201</v>
      </c>
      <c r="AO156" s="1">
        <v>8.8900000000000201</v>
      </c>
      <c r="AS156" s="1">
        <v>8.8900000000000201</v>
      </c>
      <c r="AW156" s="1">
        <v>8.8900000000000201</v>
      </c>
      <c r="BA156" s="1">
        <v>8.8900000000000201</v>
      </c>
      <c r="BE156" s="1">
        <v>8.8900000000000201</v>
      </c>
      <c r="BI156" s="1">
        <v>8.8900000000000201</v>
      </c>
      <c r="BM156" s="1">
        <v>8.8900000000000201</v>
      </c>
      <c r="BQ156" s="1">
        <v>8.8900000000000201</v>
      </c>
      <c r="BU156" s="1">
        <v>8.8900000000000201</v>
      </c>
    </row>
    <row r="157" spans="33:73" hidden="1" x14ac:dyDescent="0.25">
      <c r="AG157" s="1">
        <v>8.8800000000000203</v>
      </c>
      <c r="AH157" s="1">
        <f t="shared" si="15"/>
        <v>221.11999999999998</v>
      </c>
      <c r="AI157" s="1">
        <f t="shared" si="16"/>
        <v>221.11999999999998</v>
      </c>
      <c r="AK157" s="1">
        <v>8.8800000000000203</v>
      </c>
      <c r="AO157" s="1">
        <v>8.8800000000000203</v>
      </c>
      <c r="AS157" s="1">
        <v>8.8800000000000203</v>
      </c>
      <c r="AW157" s="1">
        <v>8.8800000000000203</v>
      </c>
      <c r="BA157" s="1">
        <v>8.8800000000000203</v>
      </c>
      <c r="BE157" s="1">
        <v>8.8800000000000203</v>
      </c>
      <c r="BI157" s="1">
        <v>8.8800000000000203</v>
      </c>
      <c r="BM157" s="1">
        <v>8.8800000000000203</v>
      </c>
      <c r="BQ157" s="1">
        <v>8.8800000000000203</v>
      </c>
      <c r="BU157" s="1">
        <v>8.8800000000000203</v>
      </c>
    </row>
    <row r="158" spans="33:73" hidden="1" x14ac:dyDescent="0.25">
      <c r="AG158" s="1">
        <v>8.8700000000000205</v>
      </c>
      <c r="AH158" s="1">
        <f t="shared" si="15"/>
        <v>221.12999999999997</v>
      </c>
      <c r="AI158" s="1">
        <f t="shared" si="16"/>
        <v>221.12999999999997</v>
      </c>
      <c r="AK158" s="1">
        <v>8.8700000000000205</v>
      </c>
      <c r="AO158" s="1">
        <v>8.8700000000000205</v>
      </c>
      <c r="AS158" s="1">
        <v>8.8700000000000205</v>
      </c>
      <c r="AW158" s="1">
        <v>8.8700000000000205</v>
      </c>
      <c r="BA158" s="1">
        <v>8.8700000000000205</v>
      </c>
      <c r="BE158" s="1">
        <v>8.8700000000000205</v>
      </c>
      <c r="BI158" s="1">
        <v>8.8700000000000205</v>
      </c>
      <c r="BM158" s="1">
        <v>8.8700000000000205</v>
      </c>
      <c r="BQ158" s="1">
        <v>8.8700000000000205</v>
      </c>
      <c r="BU158" s="1">
        <v>8.8700000000000205</v>
      </c>
    </row>
    <row r="159" spans="33:73" hidden="1" x14ac:dyDescent="0.25">
      <c r="AG159" s="1">
        <v>8.8600000000000207</v>
      </c>
      <c r="AH159" s="1">
        <f t="shared" si="15"/>
        <v>221.14</v>
      </c>
      <c r="AI159" s="1">
        <f t="shared" si="16"/>
        <v>221.14</v>
      </c>
      <c r="AK159" s="1">
        <v>8.8600000000000207</v>
      </c>
      <c r="AO159" s="1">
        <v>8.8600000000000207</v>
      </c>
      <c r="AS159" s="1">
        <v>8.8600000000000207</v>
      </c>
      <c r="AW159" s="1">
        <v>8.8600000000000207</v>
      </c>
      <c r="BA159" s="1">
        <v>8.8600000000000207</v>
      </c>
      <c r="BE159" s="1">
        <v>8.8600000000000207</v>
      </c>
      <c r="BI159" s="1">
        <v>8.8600000000000207</v>
      </c>
      <c r="BM159" s="1">
        <v>8.8600000000000207</v>
      </c>
      <c r="BQ159" s="1">
        <v>8.8600000000000207</v>
      </c>
      <c r="BU159" s="1">
        <v>8.8600000000000207</v>
      </c>
    </row>
    <row r="160" spans="33:73" hidden="1" x14ac:dyDescent="0.25">
      <c r="AG160" s="1">
        <v>8.8500000000000192</v>
      </c>
      <c r="AH160" s="1">
        <f t="shared" si="15"/>
        <v>221.14999999999998</v>
      </c>
      <c r="AI160" s="1">
        <f t="shared" si="16"/>
        <v>221.14999999999998</v>
      </c>
      <c r="AK160" s="1">
        <v>8.8500000000000192</v>
      </c>
      <c r="AO160" s="1">
        <v>8.8500000000000192</v>
      </c>
      <c r="AS160" s="1">
        <v>8.8500000000000192</v>
      </c>
      <c r="AW160" s="1">
        <v>8.8500000000000192</v>
      </c>
      <c r="BA160" s="1">
        <v>8.8500000000000192</v>
      </c>
      <c r="BE160" s="1">
        <v>8.8500000000000192</v>
      </c>
      <c r="BI160" s="1">
        <v>8.8500000000000192</v>
      </c>
      <c r="BM160" s="1">
        <v>8.8500000000000192</v>
      </c>
      <c r="BQ160" s="1">
        <v>8.8500000000000192</v>
      </c>
      <c r="BU160" s="1">
        <v>8.8500000000000192</v>
      </c>
    </row>
    <row r="161" spans="33:73" hidden="1" x14ac:dyDescent="0.25">
      <c r="AG161" s="1">
        <v>8.8400000000000194</v>
      </c>
      <c r="AH161" s="1">
        <f t="shared" si="15"/>
        <v>221.15999999999997</v>
      </c>
      <c r="AI161" s="1">
        <f t="shared" si="16"/>
        <v>221.15999999999997</v>
      </c>
      <c r="AK161" s="1">
        <v>8.8400000000000194</v>
      </c>
      <c r="AO161" s="1">
        <v>8.8400000000000194</v>
      </c>
      <c r="AS161" s="1">
        <v>8.8400000000000194</v>
      </c>
      <c r="AW161" s="1">
        <v>8.8400000000000194</v>
      </c>
      <c r="BA161" s="1">
        <v>8.8400000000000194</v>
      </c>
      <c r="BE161" s="1">
        <v>8.8400000000000194</v>
      </c>
      <c r="BI161" s="1">
        <v>8.8400000000000194</v>
      </c>
      <c r="BM161" s="1">
        <v>8.8400000000000194</v>
      </c>
      <c r="BQ161" s="1">
        <v>8.8400000000000194</v>
      </c>
      <c r="BU161" s="1">
        <v>8.8400000000000194</v>
      </c>
    </row>
    <row r="162" spans="33:73" hidden="1" x14ac:dyDescent="0.25">
      <c r="AG162" s="1">
        <v>8.8300000000000196</v>
      </c>
      <c r="AH162" s="1">
        <f t="shared" si="15"/>
        <v>221.17</v>
      </c>
      <c r="AI162" s="1">
        <f t="shared" si="16"/>
        <v>221.17</v>
      </c>
      <c r="AK162" s="1">
        <v>8.8300000000000196</v>
      </c>
      <c r="AO162" s="1">
        <v>8.8300000000000196</v>
      </c>
      <c r="AS162" s="1">
        <v>8.8300000000000196</v>
      </c>
      <c r="AW162" s="1">
        <v>8.8300000000000196</v>
      </c>
      <c r="BA162" s="1">
        <v>8.8300000000000196</v>
      </c>
      <c r="BE162" s="1">
        <v>8.8300000000000196</v>
      </c>
      <c r="BI162" s="1">
        <v>8.8300000000000196</v>
      </c>
      <c r="BM162" s="1">
        <v>8.8300000000000196</v>
      </c>
      <c r="BQ162" s="1">
        <v>8.8300000000000196</v>
      </c>
      <c r="BU162" s="1">
        <v>8.8300000000000196</v>
      </c>
    </row>
    <row r="163" spans="33:73" hidden="1" x14ac:dyDescent="0.25">
      <c r="AG163" s="1">
        <v>8.8200000000000305</v>
      </c>
      <c r="AH163" s="1">
        <f t="shared" si="15"/>
        <v>221.17999999999998</v>
      </c>
      <c r="AI163" s="1">
        <f t="shared" si="16"/>
        <v>221.17999999999998</v>
      </c>
      <c r="AK163" s="1">
        <v>8.8200000000000305</v>
      </c>
      <c r="AO163" s="1">
        <v>8.8200000000000305</v>
      </c>
      <c r="AS163" s="1">
        <v>8.8200000000000305</v>
      </c>
      <c r="AW163" s="1">
        <v>8.8200000000000305</v>
      </c>
      <c r="BA163" s="1">
        <v>8.8200000000000305</v>
      </c>
      <c r="BE163" s="1">
        <v>8.8200000000000305</v>
      </c>
      <c r="BI163" s="1">
        <v>8.8200000000000305</v>
      </c>
      <c r="BM163" s="1">
        <v>8.8200000000000305</v>
      </c>
      <c r="BQ163" s="1">
        <v>8.8200000000000305</v>
      </c>
      <c r="BU163" s="1">
        <v>8.8200000000000305</v>
      </c>
    </row>
    <row r="164" spans="33:73" hidden="1" x14ac:dyDescent="0.25">
      <c r="AG164" s="1">
        <v>8.8100000000000307</v>
      </c>
      <c r="AH164" s="1">
        <f t="shared" si="15"/>
        <v>221.18999999999997</v>
      </c>
      <c r="AI164" s="1">
        <f t="shared" si="16"/>
        <v>221.18999999999997</v>
      </c>
      <c r="AK164" s="1">
        <v>8.8100000000000307</v>
      </c>
      <c r="AO164" s="1">
        <v>8.8100000000000307</v>
      </c>
      <c r="AS164" s="1">
        <v>8.8100000000000307</v>
      </c>
      <c r="AW164" s="1">
        <v>8.8100000000000307</v>
      </c>
      <c r="BA164" s="1">
        <v>8.8100000000000307</v>
      </c>
      <c r="BE164" s="1">
        <v>8.8100000000000307</v>
      </c>
      <c r="BI164" s="1">
        <v>8.8100000000000307</v>
      </c>
      <c r="BM164" s="1">
        <v>8.8100000000000307</v>
      </c>
      <c r="BQ164" s="1">
        <v>8.8100000000000307</v>
      </c>
      <c r="BU164" s="1">
        <v>8.8100000000000307</v>
      </c>
    </row>
    <row r="165" spans="33:73" hidden="1" x14ac:dyDescent="0.25">
      <c r="AG165" s="1">
        <v>8.8000000000000291</v>
      </c>
      <c r="AH165" s="1">
        <f t="shared" si="15"/>
        <v>221.19999999999996</v>
      </c>
      <c r="AI165" s="1">
        <f t="shared" si="16"/>
        <v>221.19999999999996</v>
      </c>
      <c r="AK165" s="1">
        <v>8.8000000000000291</v>
      </c>
      <c r="AO165" s="1">
        <v>8.8000000000000291</v>
      </c>
      <c r="AS165" s="1">
        <v>8.8000000000000291</v>
      </c>
      <c r="AW165" s="1">
        <v>8.8000000000000291</v>
      </c>
      <c r="BA165" s="1">
        <v>8.8000000000000291</v>
      </c>
      <c r="BE165" s="1">
        <v>8.8000000000000291</v>
      </c>
      <c r="BI165" s="1">
        <v>8.8000000000000291</v>
      </c>
      <c r="BM165" s="1">
        <v>8.8000000000000291</v>
      </c>
      <c r="BQ165" s="1">
        <v>8.8000000000000291</v>
      </c>
      <c r="BU165" s="1">
        <v>8.8000000000000291</v>
      </c>
    </row>
    <row r="166" spans="33:73" hidden="1" x14ac:dyDescent="0.25">
      <c r="AG166" s="1">
        <v>8.7900000000000293</v>
      </c>
      <c r="AH166" s="1">
        <f t="shared" si="15"/>
        <v>221.20999999999998</v>
      </c>
      <c r="AI166" s="1">
        <f t="shared" si="16"/>
        <v>221.20999999999998</v>
      </c>
      <c r="AK166" s="1">
        <v>8.7900000000000293</v>
      </c>
      <c r="AO166" s="1">
        <v>8.7900000000000293</v>
      </c>
      <c r="AS166" s="1">
        <v>8.7900000000000293</v>
      </c>
      <c r="AW166" s="1">
        <v>8.7900000000000293</v>
      </c>
      <c r="BA166" s="1">
        <v>8.7900000000000293</v>
      </c>
      <c r="BE166" s="1">
        <v>8.7900000000000293</v>
      </c>
      <c r="BI166" s="1">
        <v>8.7900000000000293</v>
      </c>
      <c r="BM166" s="1">
        <v>8.7900000000000293</v>
      </c>
      <c r="BQ166" s="1">
        <v>8.7900000000000293</v>
      </c>
      <c r="BU166" s="1">
        <v>8.7900000000000293</v>
      </c>
    </row>
    <row r="167" spans="33:73" hidden="1" x14ac:dyDescent="0.25">
      <c r="AG167" s="1">
        <v>8.7800000000000296</v>
      </c>
      <c r="AH167" s="1">
        <f t="shared" si="15"/>
        <v>221.21999999999997</v>
      </c>
      <c r="AI167" s="1">
        <f t="shared" si="16"/>
        <v>221.21999999999997</v>
      </c>
      <c r="AK167" s="1">
        <v>8.7800000000000296</v>
      </c>
      <c r="AO167" s="1">
        <v>8.7800000000000296</v>
      </c>
      <c r="AS167" s="1">
        <v>8.7800000000000296</v>
      </c>
      <c r="AW167" s="1">
        <v>8.7800000000000296</v>
      </c>
      <c r="BA167" s="1">
        <v>8.7800000000000296</v>
      </c>
      <c r="BE167" s="1">
        <v>8.7800000000000296</v>
      </c>
      <c r="BI167" s="1">
        <v>8.7800000000000296</v>
      </c>
      <c r="BM167" s="1">
        <v>8.7800000000000296</v>
      </c>
      <c r="BQ167" s="1">
        <v>8.7800000000000296</v>
      </c>
      <c r="BU167" s="1">
        <v>8.7800000000000296</v>
      </c>
    </row>
    <row r="168" spans="33:73" hidden="1" x14ac:dyDescent="0.25">
      <c r="AG168" s="1">
        <v>8.7700000000000298</v>
      </c>
      <c r="AH168" s="1">
        <f t="shared" si="15"/>
        <v>221.22999999999996</v>
      </c>
      <c r="AI168" s="1">
        <f t="shared" si="16"/>
        <v>221.22999999999996</v>
      </c>
      <c r="AK168" s="1">
        <v>8.7700000000000298</v>
      </c>
      <c r="AO168" s="1">
        <v>8.7700000000000298</v>
      </c>
      <c r="AS168" s="1">
        <v>8.7700000000000298</v>
      </c>
      <c r="AW168" s="1">
        <v>8.7700000000000298</v>
      </c>
      <c r="BA168" s="1">
        <v>8.7700000000000298</v>
      </c>
      <c r="BE168" s="1">
        <v>8.7700000000000298</v>
      </c>
      <c r="BI168" s="1">
        <v>8.7700000000000298</v>
      </c>
      <c r="BM168" s="1">
        <v>8.7700000000000298</v>
      </c>
      <c r="BQ168" s="1">
        <v>8.7700000000000298</v>
      </c>
      <c r="BU168" s="1">
        <v>8.7700000000000298</v>
      </c>
    </row>
    <row r="169" spans="33:73" hidden="1" x14ac:dyDescent="0.25">
      <c r="AG169" s="1">
        <v>8.76000000000003</v>
      </c>
      <c r="AH169" s="1">
        <f t="shared" si="15"/>
        <v>221.23999999999998</v>
      </c>
      <c r="AI169" s="1">
        <f t="shared" si="16"/>
        <v>221.23999999999998</v>
      </c>
      <c r="AK169" s="1">
        <v>8.76000000000003</v>
      </c>
      <c r="AO169" s="1">
        <v>8.76000000000003</v>
      </c>
      <c r="AS169" s="1">
        <v>8.76000000000003</v>
      </c>
      <c r="AW169" s="1">
        <v>8.76000000000003</v>
      </c>
      <c r="BA169" s="1">
        <v>8.76000000000003</v>
      </c>
      <c r="BE169" s="1">
        <v>8.76000000000003</v>
      </c>
      <c r="BI169" s="1">
        <v>8.76000000000003</v>
      </c>
      <c r="BM169" s="1">
        <v>8.76000000000003</v>
      </c>
      <c r="BQ169" s="1">
        <v>8.76000000000003</v>
      </c>
      <c r="BU169" s="1">
        <v>8.76000000000003</v>
      </c>
    </row>
    <row r="170" spans="33:73" hidden="1" x14ac:dyDescent="0.25">
      <c r="AG170" s="1">
        <v>8.7500000000000302</v>
      </c>
      <c r="AH170" s="1">
        <f t="shared" si="15"/>
        <v>221.24999999999997</v>
      </c>
      <c r="AI170" s="1">
        <f t="shared" si="16"/>
        <v>221.24999999999997</v>
      </c>
      <c r="AK170" s="1">
        <v>8.7500000000000302</v>
      </c>
      <c r="AO170" s="1">
        <v>8.7500000000000302</v>
      </c>
      <c r="AS170" s="1">
        <v>8.7500000000000302</v>
      </c>
      <c r="AW170" s="1">
        <v>8.7500000000000302</v>
      </c>
      <c r="BA170" s="1">
        <v>8.7500000000000302</v>
      </c>
      <c r="BE170" s="1">
        <v>8.7500000000000302</v>
      </c>
      <c r="BI170" s="1">
        <v>8.7500000000000302</v>
      </c>
      <c r="BM170" s="1">
        <v>8.7500000000000302</v>
      </c>
      <c r="BQ170" s="1">
        <v>8.7500000000000302</v>
      </c>
      <c r="BU170" s="1">
        <v>8.7500000000000302</v>
      </c>
    </row>
    <row r="171" spans="33:73" hidden="1" x14ac:dyDescent="0.25">
      <c r="AG171" s="1">
        <v>8.7400000000000304</v>
      </c>
      <c r="AH171" s="1">
        <f t="shared" si="15"/>
        <v>221.25999999999996</v>
      </c>
      <c r="AI171" s="1">
        <f t="shared" si="16"/>
        <v>221.25999999999996</v>
      </c>
      <c r="AK171" s="1">
        <v>8.7400000000000304</v>
      </c>
      <c r="AO171" s="1">
        <v>8.7400000000000304</v>
      </c>
      <c r="AS171" s="1">
        <v>8.7400000000000304</v>
      </c>
      <c r="AW171" s="1">
        <v>8.7400000000000304</v>
      </c>
      <c r="BA171" s="1">
        <v>8.7400000000000304</v>
      </c>
      <c r="BE171" s="1">
        <v>8.7400000000000304</v>
      </c>
      <c r="BI171" s="1">
        <v>8.7400000000000304</v>
      </c>
      <c r="BM171" s="1">
        <v>8.7400000000000304</v>
      </c>
      <c r="BQ171" s="1">
        <v>8.7400000000000304</v>
      </c>
      <c r="BU171" s="1">
        <v>8.7400000000000304</v>
      </c>
    </row>
    <row r="172" spans="33:73" hidden="1" x14ac:dyDescent="0.25">
      <c r="AG172" s="1">
        <v>8.7300000000000306</v>
      </c>
      <c r="AH172" s="1">
        <f t="shared" si="15"/>
        <v>221.26999999999998</v>
      </c>
      <c r="AI172" s="1">
        <f t="shared" si="16"/>
        <v>221.26999999999998</v>
      </c>
      <c r="AK172" s="1">
        <v>8.7300000000000306</v>
      </c>
      <c r="AO172" s="1">
        <v>8.7300000000000306</v>
      </c>
      <c r="AS172" s="1">
        <v>8.7300000000000306</v>
      </c>
      <c r="AW172" s="1">
        <v>8.7300000000000306</v>
      </c>
      <c r="BA172" s="1">
        <v>8.7300000000000306</v>
      </c>
      <c r="BE172" s="1">
        <v>8.7300000000000306</v>
      </c>
      <c r="BI172" s="1">
        <v>8.7300000000000306</v>
      </c>
      <c r="BM172" s="1">
        <v>8.7300000000000306</v>
      </c>
      <c r="BQ172" s="1">
        <v>8.7300000000000306</v>
      </c>
      <c r="BU172" s="1">
        <v>8.7300000000000306</v>
      </c>
    </row>
    <row r="173" spans="33:73" hidden="1" x14ac:dyDescent="0.25">
      <c r="AG173" s="1">
        <v>8.7200000000000308</v>
      </c>
      <c r="AH173" s="1">
        <f t="shared" si="15"/>
        <v>221.27999999999997</v>
      </c>
      <c r="AI173" s="1">
        <f t="shared" si="16"/>
        <v>221.27999999999997</v>
      </c>
      <c r="AK173" s="1">
        <v>8.7200000000000308</v>
      </c>
      <c r="AO173" s="1">
        <v>8.7200000000000308</v>
      </c>
      <c r="AS173" s="1">
        <v>8.7200000000000308</v>
      </c>
      <c r="AW173" s="1">
        <v>8.7200000000000308</v>
      </c>
      <c r="BA173" s="1">
        <v>8.7200000000000308</v>
      </c>
      <c r="BE173" s="1">
        <v>8.7200000000000308</v>
      </c>
      <c r="BI173" s="1">
        <v>8.7200000000000308</v>
      </c>
      <c r="BM173" s="1">
        <v>8.7200000000000308</v>
      </c>
      <c r="BQ173" s="1">
        <v>8.7200000000000308</v>
      </c>
      <c r="BU173" s="1">
        <v>8.7200000000000308</v>
      </c>
    </row>
    <row r="174" spans="33:73" hidden="1" x14ac:dyDescent="0.25">
      <c r="AG174" s="1">
        <v>8.7100000000000293</v>
      </c>
      <c r="AH174" s="1">
        <f t="shared" ref="AH174:AH237" si="17">SQRT((AI174+($AI$38*($AM$44*$AJ$44+$AN$44*$AK$44)))^2+($D$3*($AN$44*$AJ$44-$AM$44*$AK$44))^2)</f>
        <v>221.28999999999996</v>
      </c>
      <c r="AI174" s="1">
        <f t="shared" ref="AI174:AI237" si="18">$AI$40-AG174</f>
        <v>221.28999999999996</v>
      </c>
      <c r="AK174" s="1">
        <v>8.7100000000000293</v>
      </c>
      <c r="AO174" s="1">
        <v>8.7100000000000293</v>
      </c>
      <c r="AS174" s="1">
        <v>8.7100000000000293</v>
      </c>
      <c r="AW174" s="1">
        <v>8.7100000000000293</v>
      </c>
      <c r="BA174" s="1">
        <v>8.7100000000000293</v>
      </c>
      <c r="BE174" s="1">
        <v>8.7100000000000293</v>
      </c>
      <c r="BI174" s="1">
        <v>8.7100000000000293</v>
      </c>
      <c r="BM174" s="1">
        <v>8.7100000000000293</v>
      </c>
      <c r="BQ174" s="1">
        <v>8.7100000000000293</v>
      </c>
      <c r="BU174" s="1">
        <v>8.7100000000000293</v>
      </c>
    </row>
    <row r="175" spans="33:73" hidden="1" x14ac:dyDescent="0.25">
      <c r="AG175" s="1">
        <v>8.7000000000000295</v>
      </c>
      <c r="AH175" s="1">
        <f t="shared" si="17"/>
        <v>221.29999999999998</v>
      </c>
      <c r="AI175" s="1">
        <f t="shared" si="18"/>
        <v>221.29999999999998</v>
      </c>
      <c r="AK175" s="1">
        <v>8.7000000000000295</v>
      </c>
      <c r="AO175" s="1">
        <v>8.7000000000000295</v>
      </c>
      <c r="AS175" s="1">
        <v>8.7000000000000295</v>
      </c>
      <c r="AW175" s="1">
        <v>8.7000000000000295</v>
      </c>
      <c r="BA175" s="1">
        <v>8.7000000000000295</v>
      </c>
      <c r="BE175" s="1">
        <v>8.7000000000000295</v>
      </c>
      <c r="BI175" s="1">
        <v>8.7000000000000295</v>
      </c>
      <c r="BM175" s="1">
        <v>8.7000000000000295</v>
      </c>
      <c r="BQ175" s="1">
        <v>8.7000000000000295</v>
      </c>
      <c r="BU175" s="1">
        <v>8.7000000000000295</v>
      </c>
    </row>
    <row r="176" spans="33:73" hidden="1" x14ac:dyDescent="0.25">
      <c r="AG176" s="1">
        <v>8.6900000000000297</v>
      </c>
      <c r="AH176" s="1">
        <f t="shared" si="17"/>
        <v>221.30999999999997</v>
      </c>
      <c r="AI176" s="1">
        <f t="shared" si="18"/>
        <v>221.30999999999997</v>
      </c>
      <c r="AK176" s="1">
        <v>8.6900000000000297</v>
      </c>
      <c r="AO176" s="1">
        <v>8.6900000000000297</v>
      </c>
      <c r="AS176" s="1">
        <v>8.6900000000000297</v>
      </c>
      <c r="AW176" s="1">
        <v>8.6900000000000297</v>
      </c>
      <c r="BA176" s="1">
        <v>8.6900000000000297</v>
      </c>
      <c r="BE176" s="1">
        <v>8.6900000000000297</v>
      </c>
      <c r="BI176" s="1">
        <v>8.6900000000000297</v>
      </c>
      <c r="BM176" s="1">
        <v>8.6900000000000297</v>
      </c>
      <c r="BQ176" s="1">
        <v>8.6900000000000297</v>
      </c>
      <c r="BU176" s="1">
        <v>8.6900000000000297</v>
      </c>
    </row>
    <row r="177" spans="33:73" hidden="1" x14ac:dyDescent="0.25">
      <c r="AG177" s="1">
        <v>8.6800000000000299</v>
      </c>
      <c r="AH177" s="1">
        <f t="shared" si="17"/>
        <v>221.31999999999996</v>
      </c>
      <c r="AI177" s="1">
        <f t="shared" si="18"/>
        <v>221.31999999999996</v>
      </c>
      <c r="AK177" s="1">
        <v>8.6800000000000299</v>
      </c>
      <c r="AO177" s="1">
        <v>8.6800000000000299</v>
      </c>
      <c r="AS177" s="1">
        <v>8.6800000000000299</v>
      </c>
      <c r="AW177" s="1">
        <v>8.6800000000000299</v>
      </c>
      <c r="BA177" s="1">
        <v>8.6800000000000299</v>
      </c>
      <c r="BE177" s="1">
        <v>8.6800000000000299</v>
      </c>
      <c r="BI177" s="1">
        <v>8.6800000000000299</v>
      </c>
      <c r="BM177" s="1">
        <v>8.6800000000000299</v>
      </c>
      <c r="BQ177" s="1">
        <v>8.6800000000000299</v>
      </c>
      <c r="BU177" s="1">
        <v>8.6800000000000299</v>
      </c>
    </row>
    <row r="178" spans="33:73" hidden="1" x14ac:dyDescent="0.25">
      <c r="AG178" s="1">
        <v>8.6700000000000301</v>
      </c>
      <c r="AH178" s="1">
        <f t="shared" si="17"/>
        <v>221.32999999999998</v>
      </c>
      <c r="AI178" s="1">
        <f t="shared" si="18"/>
        <v>221.32999999999998</v>
      </c>
      <c r="AK178" s="1">
        <v>8.6700000000000301</v>
      </c>
      <c r="AO178" s="1">
        <v>8.6700000000000301</v>
      </c>
      <c r="AS178" s="1">
        <v>8.6700000000000301</v>
      </c>
      <c r="AW178" s="1">
        <v>8.6700000000000301</v>
      </c>
      <c r="BA178" s="1">
        <v>8.6700000000000301</v>
      </c>
      <c r="BE178" s="1">
        <v>8.6700000000000301</v>
      </c>
      <c r="BI178" s="1">
        <v>8.6700000000000301</v>
      </c>
      <c r="BM178" s="1">
        <v>8.6700000000000301</v>
      </c>
      <c r="BQ178" s="1">
        <v>8.6700000000000301</v>
      </c>
      <c r="BU178" s="1">
        <v>8.6700000000000301</v>
      </c>
    </row>
    <row r="179" spans="33:73" hidden="1" x14ac:dyDescent="0.25">
      <c r="AG179" s="1">
        <v>8.6600000000000303</v>
      </c>
      <c r="AH179" s="1">
        <f t="shared" si="17"/>
        <v>221.33999999999997</v>
      </c>
      <c r="AI179" s="1">
        <f t="shared" si="18"/>
        <v>221.33999999999997</v>
      </c>
      <c r="AK179" s="1">
        <v>8.6600000000000303</v>
      </c>
      <c r="AO179" s="1">
        <v>8.6600000000000303</v>
      </c>
      <c r="AS179" s="1">
        <v>8.6600000000000303</v>
      </c>
      <c r="AW179" s="1">
        <v>8.6600000000000303</v>
      </c>
      <c r="BA179" s="1">
        <v>8.6600000000000303</v>
      </c>
      <c r="BE179" s="1">
        <v>8.6600000000000303</v>
      </c>
      <c r="BI179" s="1">
        <v>8.6600000000000303</v>
      </c>
      <c r="BM179" s="1">
        <v>8.6600000000000303</v>
      </c>
      <c r="BQ179" s="1">
        <v>8.6600000000000303</v>
      </c>
      <c r="BU179" s="1">
        <v>8.6600000000000303</v>
      </c>
    </row>
    <row r="180" spans="33:73" hidden="1" x14ac:dyDescent="0.25">
      <c r="AG180" s="1">
        <v>8.6500000000000306</v>
      </c>
      <c r="AH180" s="1">
        <f t="shared" si="17"/>
        <v>221.34999999999997</v>
      </c>
      <c r="AI180" s="1">
        <f t="shared" si="18"/>
        <v>221.34999999999997</v>
      </c>
      <c r="AK180" s="1">
        <v>8.6500000000000306</v>
      </c>
      <c r="AO180" s="1">
        <v>8.6500000000000306</v>
      </c>
      <c r="AS180" s="1">
        <v>8.6500000000000306</v>
      </c>
      <c r="AW180" s="1">
        <v>8.6500000000000306</v>
      </c>
      <c r="BA180" s="1">
        <v>8.6500000000000306</v>
      </c>
      <c r="BE180" s="1">
        <v>8.6500000000000306</v>
      </c>
      <c r="BI180" s="1">
        <v>8.6500000000000306</v>
      </c>
      <c r="BM180" s="1">
        <v>8.6500000000000306</v>
      </c>
      <c r="BQ180" s="1">
        <v>8.6500000000000306</v>
      </c>
      <c r="BU180" s="1">
        <v>8.6500000000000306</v>
      </c>
    </row>
    <row r="181" spans="33:73" hidden="1" x14ac:dyDescent="0.25">
      <c r="AG181" s="1">
        <v>8.6400000000000308</v>
      </c>
      <c r="AH181" s="1">
        <f t="shared" si="17"/>
        <v>221.35999999999996</v>
      </c>
      <c r="AI181" s="1">
        <f t="shared" si="18"/>
        <v>221.35999999999996</v>
      </c>
      <c r="AK181" s="1">
        <v>8.6400000000000308</v>
      </c>
      <c r="AO181" s="1">
        <v>8.6400000000000308</v>
      </c>
      <c r="AS181" s="1">
        <v>8.6400000000000308</v>
      </c>
      <c r="AW181" s="1">
        <v>8.6400000000000308</v>
      </c>
      <c r="BA181" s="1">
        <v>8.6400000000000308</v>
      </c>
      <c r="BE181" s="1">
        <v>8.6400000000000308</v>
      </c>
      <c r="BI181" s="1">
        <v>8.6400000000000308</v>
      </c>
      <c r="BM181" s="1">
        <v>8.6400000000000308</v>
      </c>
      <c r="BQ181" s="1">
        <v>8.6400000000000308</v>
      </c>
      <c r="BU181" s="1">
        <v>8.6400000000000308</v>
      </c>
    </row>
    <row r="182" spans="33:73" hidden="1" x14ac:dyDescent="0.25">
      <c r="AG182" s="1">
        <v>8.6300000000000292</v>
      </c>
      <c r="AH182" s="1">
        <f t="shared" si="17"/>
        <v>221.36999999999998</v>
      </c>
      <c r="AI182" s="1">
        <f t="shared" si="18"/>
        <v>221.36999999999998</v>
      </c>
      <c r="AK182" s="1">
        <v>8.6300000000000292</v>
      </c>
      <c r="AO182" s="1">
        <v>8.6300000000000292</v>
      </c>
      <c r="AS182" s="1">
        <v>8.6300000000000292</v>
      </c>
      <c r="AW182" s="1">
        <v>8.6300000000000292</v>
      </c>
      <c r="BA182" s="1">
        <v>8.6300000000000292</v>
      </c>
      <c r="BE182" s="1">
        <v>8.6300000000000292</v>
      </c>
      <c r="BI182" s="1">
        <v>8.6300000000000292</v>
      </c>
      <c r="BM182" s="1">
        <v>8.6300000000000292</v>
      </c>
      <c r="BQ182" s="1">
        <v>8.6300000000000292</v>
      </c>
      <c r="BU182" s="1">
        <v>8.6300000000000292</v>
      </c>
    </row>
    <row r="183" spans="33:73" hidden="1" x14ac:dyDescent="0.25">
      <c r="AG183" s="1">
        <v>8.6200000000000294</v>
      </c>
      <c r="AH183" s="1">
        <f t="shared" si="17"/>
        <v>221.37999999999997</v>
      </c>
      <c r="AI183" s="1">
        <f t="shared" si="18"/>
        <v>221.37999999999997</v>
      </c>
      <c r="AK183" s="1">
        <v>8.6200000000000294</v>
      </c>
      <c r="AO183" s="1">
        <v>8.6200000000000294</v>
      </c>
      <c r="AS183" s="1">
        <v>8.6200000000000294</v>
      </c>
      <c r="AW183" s="1">
        <v>8.6200000000000294</v>
      </c>
      <c r="BA183" s="1">
        <v>8.6200000000000294</v>
      </c>
      <c r="BE183" s="1">
        <v>8.6200000000000294</v>
      </c>
      <c r="BI183" s="1">
        <v>8.6200000000000294</v>
      </c>
      <c r="BM183" s="1">
        <v>8.6200000000000294</v>
      </c>
      <c r="BQ183" s="1">
        <v>8.6200000000000294</v>
      </c>
      <c r="BU183" s="1">
        <v>8.6200000000000294</v>
      </c>
    </row>
    <row r="184" spans="33:73" hidden="1" x14ac:dyDescent="0.25">
      <c r="AG184" s="1">
        <v>8.6100000000000296</v>
      </c>
      <c r="AH184" s="1">
        <f t="shared" si="17"/>
        <v>221.38999999999996</v>
      </c>
      <c r="AI184" s="1">
        <f t="shared" si="18"/>
        <v>221.38999999999996</v>
      </c>
      <c r="AK184" s="1">
        <v>8.6100000000000296</v>
      </c>
      <c r="AO184" s="1">
        <v>8.6100000000000296</v>
      </c>
      <c r="AS184" s="1">
        <v>8.6100000000000296</v>
      </c>
      <c r="AW184" s="1">
        <v>8.6100000000000296</v>
      </c>
      <c r="BA184" s="1">
        <v>8.6100000000000296</v>
      </c>
      <c r="BE184" s="1">
        <v>8.6100000000000296</v>
      </c>
      <c r="BI184" s="1">
        <v>8.6100000000000296</v>
      </c>
      <c r="BM184" s="1">
        <v>8.6100000000000296</v>
      </c>
      <c r="BQ184" s="1">
        <v>8.6100000000000296</v>
      </c>
      <c r="BU184" s="1">
        <v>8.6100000000000296</v>
      </c>
    </row>
    <row r="185" spans="33:73" hidden="1" x14ac:dyDescent="0.25">
      <c r="AG185" s="1">
        <v>8.6000000000000298</v>
      </c>
      <c r="AH185" s="1">
        <f t="shared" si="17"/>
        <v>221.39999999999998</v>
      </c>
      <c r="AI185" s="1">
        <f t="shared" si="18"/>
        <v>221.39999999999998</v>
      </c>
      <c r="AK185" s="1">
        <v>8.6000000000000298</v>
      </c>
      <c r="AO185" s="1">
        <v>8.6000000000000298</v>
      </c>
      <c r="AS185" s="1">
        <v>8.6000000000000298</v>
      </c>
      <c r="AW185" s="1">
        <v>8.6000000000000298</v>
      </c>
      <c r="BA185" s="1">
        <v>8.6000000000000298</v>
      </c>
      <c r="BE185" s="1">
        <v>8.6000000000000298</v>
      </c>
      <c r="BI185" s="1">
        <v>8.6000000000000298</v>
      </c>
      <c r="BM185" s="1">
        <v>8.6000000000000298</v>
      </c>
      <c r="BQ185" s="1">
        <v>8.6000000000000298</v>
      </c>
      <c r="BU185" s="1">
        <v>8.6000000000000298</v>
      </c>
    </row>
    <row r="186" spans="33:73" hidden="1" x14ac:dyDescent="0.25">
      <c r="AG186" s="1">
        <v>8.5900000000000301</v>
      </c>
      <c r="AH186" s="1">
        <f t="shared" si="17"/>
        <v>221.40999999999997</v>
      </c>
      <c r="AI186" s="1">
        <f t="shared" si="18"/>
        <v>221.40999999999997</v>
      </c>
      <c r="AK186" s="1">
        <v>8.5900000000000301</v>
      </c>
      <c r="AO186" s="1">
        <v>8.5900000000000301</v>
      </c>
      <c r="AS186" s="1">
        <v>8.5900000000000301</v>
      </c>
      <c r="AW186" s="1">
        <v>8.5900000000000301</v>
      </c>
      <c r="BA186" s="1">
        <v>8.5900000000000301</v>
      </c>
      <c r="BE186" s="1">
        <v>8.5900000000000301</v>
      </c>
      <c r="BI186" s="1">
        <v>8.5900000000000301</v>
      </c>
      <c r="BM186" s="1">
        <v>8.5900000000000301</v>
      </c>
      <c r="BQ186" s="1">
        <v>8.5900000000000301</v>
      </c>
      <c r="BU186" s="1">
        <v>8.5900000000000301</v>
      </c>
    </row>
    <row r="187" spans="33:73" hidden="1" x14ac:dyDescent="0.25">
      <c r="AG187" s="1">
        <v>8.5800000000000303</v>
      </c>
      <c r="AH187" s="1">
        <f t="shared" si="17"/>
        <v>221.41999999999996</v>
      </c>
      <c r="AI187" s="1">
        <f t="shared" si="18"/>
        <v>221.41999999999996</v>
      </c>
      <c r="AK187" s="1">
        <v>8.5800000000000303</v>
      </c>
      <c r="AO187" s="1">
        <v>8.5800000000000303</v>
      </c>
      <c r="AS187" s="1">
        <v>8.5800000000000303</v>
      </c>
      <c r="AW187" s="1">
        <v>8.5800000000000303</v>
      </c>
      <c r="BA187" s="1">
        <v>8.5800000000000303</v>
      </c>
      <c r="BE187" s="1">
        <v>8.5800000000000303</v>
      </c>
      <c r="BI187" s="1">
        <v>8.5800000000000303</v>
      </c>
      <c r="BM187" s="1">
        <v>8.5800000000000303</v>
      </c>
      <c r="BQ187" s="1">
        <v>8.5800000000000303</v>
      </c>
      <c r="BU187" s="1">
        <v>8.5800000000000303</v>
      </c>
    </row>
    <row r="188" spans="33:73" hidden="1" x14ac:dyDescent="0.25">
      <c r="AG188" s="1">
        <v>8.5700000000000305</v>
      </c>
      <c r="AH188" s="1">
        <f t="shared" si="17"/>
        <v>221.42999999999998</v>
      </c>
      <c r="AI188" s="1">
        <f t="shared" si="18"/>
        <v>221.42999999999998</v>
      </c>
      <c r="AK188" s="1">
        <v>8.5700000000000305</v>
      </c>
      <c r="AO188" s="1">
        <v>8.5700000000000305</v>
      </c>
      <c r="AS188" s="1">
        <v>8.5700000000000305</v>
      </c>
      <c r="AW188" s="1">
        <v>8.5700000000000305</v>
      </c>
      <c r="BA188" s="1">
        <v>8.5700000000000305</v>
      </c>
      <c r="BE188" s="1">
        <v>8.5700000000000305</v>
      </c>
      <c r="BI188" s="1">
        <v>8.5700000000000305</v>
      </c>
      <c r="BM188" s="1">
        <v>8.5700000000000305</v>
      </c>
      <c r="BQ188" s="1">
        <v>8.5700000000000305</v>
      </c>
      <c r="BU188" s="1">
        <v>8.5700000000000305</v>
      </c>
    </row>
    <row r="189" spans="33:73" hidden="1" x14ac:dyDescent="0.25">
      <c r="AG189" s="1">
        <v>8.5600000000000307</v>
      </c>
      <c r="AH189" s="1">
        <f t="shared" si="17"/>
        <v>221.43999999999997</v>
      </c>
      <c r="AI189" s="1">
        <f t="shared" si="18"/>
        <v>221.43999999999997</v>
      </c>
      <c r="AK189" s="1">
        <v>8.5600000000000307</v>
      </c>
      <c r="AO189" s="1">
        <v>8.5600000000000307</v>
      </c>
      <c r="AS189" s="1">
        <v>8.5600000000000307</v>
      </c>
      <c r="AW189" s="1">
        <v>8.5600000000000307</v>
      </c>
      <c r="BA189" s="1">
        <v>8.5600000000000307</v>
      </c>
      <c r="BE189" s="1">
        <v>8.5600000000000307</v>
      </c>
      <c r="BI189" s="1">
        <v>8.5600000000000307</v>
      </c>
      <c r="BM189" s="1">
        <v>8.5600000000000307</v>
      </c>
      <c r="BQ189" s="1">
        <v>8.5600000000000307</v>
      </c>
      <c r="BU189" s="1">
        <v>8.5600000000000307</v>
      </c>
    </row>
    <row r="190" spans="33:73" hidden="1" x14ac:dyDescent="0.25">
      <c r="AG190" s="1">
        <v>8.5500000000000291</v>
      </c>
      <c r="AH190" s="1">
        <f t="shared" si="17"/>
        <v>221.44999999999996</v>
      </c>
      <c r="AI190" s="1">
        <f t="shared" si="18"/>
        <v>221.44999999999996</v>
      </c>
      <c r="AK190" s="1">
        <v>8.5500000000000291</v>
      </c>
      <c r="AO190" s="1">
        <v>8.5500000000000291</v>
      </c>
      <c r="AS190" s="1">
        <v>8.5500000000000291</v>
      </c>
      <c r="AW190" s="1">
        <v>8.5500000000000291</v>
      </c>
      <c r="BA190" s="1">
        <v>8.5500000000000291</v>
      </c>
      <c r="BE190" s="1">
        <v>8.5500000000000291</v>
      </c>
      <c r="BI190" s="1">
        <v>8.5500000000000291</v>
      </c>
      <c r="BM190" s="1">
        <v>8.5500000000000291</v>
      </c>
      <c r="BQ190" s="1">
        <v>8.5500000000000291</v>
      </c>
      <c r="BU190" s="1">
        <v>8.5500000000000291</v>
      </c>
    </row>
    <row r="191" spans="33:73" hidden="1" x14ac:dyDescent="0.25">
      <c r="AG191" s="1">
        <v>8.5400000000000293</v>
      </c>
      <c r="AH191" s="1">
        <f t="shared" si="17"/>
        <v>221.45999999999998</v>
      </c>
      <c r="AI191" s="1">
        <f t="shared" si="18"/>
        <v>221.45999999999998</v>
      </c>
      <c r="AK191" s="1">
        <v>8.5400000000000293</v>
      </c>
      <c r="AO191" s="1">
        <v>8.5400000000000293</v>
      </c>
      <c r="AS191" s="1">
        <v>8.5400000000000293</v>
      </c>
      <c r="AW191" s="1">
        <v>8.5400000000000293</v>
      </c>
      <c r="BA191" s="1">
        <v>8.5400000000000293</v>
      </c>
      <c r="BE191" s="1">
        <v>8.5400000000000293</v>
      </c>
      <c r="BI191" s="1">
        <v>8.5400000000000293</v>
      </c>
      <c r="BM191" s="1">
        <v>8.5400000000000293</v>
      </c>
      <c r="BQ191" s="1">
        <v>8.5400000000000293</v>
      </c>
      <c r="BU191" s="1">
        <v>8.5400000000000293</v>
      </c>
    </row>
    <row r="192" spans="33:73" hidden="1" x14ac:dyDescent="0.25">
      <c r="AG192" s="1">
        <v>8.5300000000000296</v>
      </c>
      <c r="AH192" s="1">
        <f t="shared" si="17"/>
        <v>221.46999999999997</v>
      </c>
      <c r="AI192" s="1">
        <f t="shared" si="18"/>
        <v>221.46999999999997</v>
      </c>
      <c r="AK192" s="1">
        <v>8.5300000000000296</v>
      </c>
      <c r="AO192" s="1">
        <v>8.5300000000000296</v>
      </c>
      <c r="AS192" s="1">
        <v>8.5300000000000296</v>
      </c>
      <c r="AW192" s="1">
        <v>8.5300000000000296</v>
      </c>
      <c r="BA192" s="1">
        <v>8.5300000000000296</v>
      </c>
      <c r="BE192" s="1">
        <v>8.5300000000000296</v>
      </c>
      <c r="BI192" s="1">
        <v>8.5300000000000296</v>
      </c>
      <c r="BM192" s="1">
        <v>8.5300000000000296</v>
      </c>
      <c r="BQ192" s="1">
        <v>8.5300000000000296</v>
      </c>
      <c r="BU192" s="1">
        <v>8.5300000000000296</v>
      </c>
    </row>
    <row r="193" spans="33:73" hidden="1" x14ac:dyDescent="0.25">
      <c r="AG193" s="1">
        <v>8.5200000000000298</v>
      </c>
      <c r="AH193" s="1">
        <f t="shared" si="17"/>
        <v>221.47999999999996</v>
      </c>
      <c r="AI193" s="1">
        <f t="shared" si="18"/>
        <v>221.47999999999996</v>
      </c>
      <c r="AK193" s="1">
        <v>8.5200000000000298</v>
      </c>
      <c r="AO193" s="1">
        <v>8.5200000000000298</v>
      </c>
      <c r="AS193" s="1">
        <v>8.5200000000000298</v>
      </c>
      <c r="AW193" s="1">
        <v>8.5200000000000298</v>
      </c>
      <c r="BA193" s="1">
        <v>8.5200000000000298</v>
      </c>
      <c r="BE193" s="1">
        <v>8.5200000000000298</v>
      </c>
      <c r="BI193" s="1">
        <v>8.5200000000000298</v>
      </c>
      <c r="BM193" s="1">
        <v>8.5200000000000298</v>
      </c>
      <c r="BQ193" s="1">
        <v>8.5200000000000298</v>
      </c>
      <c r="BU193" s="1">
        <v>8.5200000000000298</v>
      </c>
    </row>
    <row r="194" spans="33:73" hidden="1" x14ac:dyDescent="0.25">
      <c r="AG194" s="1">
        <v>8.51000000000003</v>
      </c>
      <c r="AH194" s="1">
        <f t="shared" si="17"/>
        <v>221.48999999999998</v>
      </c>
      <c r="AI194" s="1">
        <f t="shared" si="18"/>
        <v>221.48999999999998</v>
      </c>
      <c r="AK194" s="1">
        <v>8.51000000000003</v>
      </c>
      <c r="AO194" s="1">
        <v>8.51000000000003</v>
      </c>
      <c r="AS194" s="1">
        <v>8.51000000000003</v>
      </c>
      <c r="AW194" s="1">
        <v>8.51000000000003</v>
      </c>
      <c r="BA194" s="1">
        <v>8.51000000000003</v>
      </c>
      <c r="BE194" s="1">
        <v>8.51000000000003</v>
      </c>
      <c r="BI194" s="1">
        <v>8.51000000000003</v>
      </c>
      <c r="BM194" s="1">
        <v>8.51000000000003</v>
      </c>
      <c r="BQ194" s="1">
        <v>8.51000000000003</v>
      </c>
      <c r="BU194" s="1">
        <v>8.51000000000003</v>
      </c>
    </row>
    <row r="195" spans="33:73" hidden="1" x14ac:dyDescent="0.25">
      <c r="AG195" s="1">
        <v>8.5000000000000302</v>
      </c>
      <c r="AH195" s="1">
        <f t="shared" si="17"/>
        <v>221.49999999999997</v>
      </c>
      <c r="AI195" s="1">
        <f t="shared" si="18"/>
        <v>221.49999999999997</v>
      </c>
      <c r="AK195" s="1">
        <v>8.5000000000000302</v>
      </c>
      <c r="AO195" s="1">
        <v>8.5000000000000302</v>
      </c>
      <c r="AS195" s="1">
        <v>8.5000000000000302</v>
      </c>
      <c r="AW195" s="1">
        <v>8.5000000000000302</v>
      </c>
      <c r="BA195" s="1">
        <v>8.5000000000000302</v>
      </c>
      <c r="BE195" s="1">
        <v>8.5000000000000302</v>
      </c>
      <c r="BI195" s="1">
        <v>8.5000000000000302</v>
      </c>
      <c r="BM195" s="1">
        <v>8.5000000000000302</v>
      </c>
      <c r="BQ195" s="1">
        <v>8.5000000000000302</v>
      </c>
      <c r="BU195" s="1">
        <v>8.5000000000000302</v>
      </c>
    </row>
    <row r="196" spans="33:73" hidden="1" x14ac:dyDescent="0.25">
      <c r="AG196" s="1">
        <v>8.4900000000000304</v>
      </c>
      <c r="AH196" s="1">
        <f t="shared" si="17"/>
        <v>221.50999999999996</v>
      </c>
      <c r="AI196" s="1">
        <f t="shared" si="18"/>
        <v>221.50999999999996</v>
      </c>
      <c r="AK196" s="1">
        <v>8.4900000000000304</v>
      </c>
      <c r="AO196" s="1">
        <v>8.4900000000000304</v>
      </c>
      <c r="AS196" s="1">
        <v>8.4900000000000304</v>
      </c>
      <c r="AW196" s="1">
        <v>8.4900000000000304</v>
      </c>
      <c r="BA196" s="1">
        <v>8.4900000000000304</v>
      </c>
      <c r="BE196" s="1">
        <v>8.4900000000000304</v>
      </c>
      <c r="BI196" s="1">
        <v>8.4900000000000304</v>
      </c>
      <c r="BM196" s="1">
        <v>8.4900000000000304</v>
      </c>
      <c r="BQ196" s="1">
        <v>8.4900000000000304</v>
      </c>
      <c r="BU196" s="1">
        <v>8.4900000000000304</v>
      </c>
    </row>
    <row r="197" spans="33:73" hidden="1" x14ac:dyDescent="0.25">
      <c r="AG197" s="1">
        <v>8.4800000000000306</v>
      </c>
      <c r="AH197" s="1">
        <f t="shared" si="17"/>
        <v>221.51999999999998</v>
      </c>
      <c r="AI197" s="1">
        <f t="shared" si="18"/>
        <v>221.51999999999998</v>
      </c>
      <c r="AK197" s="1">
        <v>8.4800000000000306</v>
      </c>
      <c r="AO197" s="1">
        <v>8.4800000000000306</v>
      </c>
      <c r="AS197" s="1">
        <v>8.4800000000000306</v>
      </c>
      <c r="AW197" s="1">
        <v>8.4800000000000306</v>
      </c>
      <c r="BA197" s="1">
        <v>8.4800000000000306</v>
      </c>
      <c r="BE197" s="1">
        <v>8.4800000000000306</v>
      </c>
      <c r="BI197" s="1">
        <v>8.4800000000000306</v>
      </c>
      <c r="BM197" s="1">
        <v>8.4800000000000306</v>
      </c>
      <c r="BQ197" s="1">
        <v>8.4800000000000306</v>
      </c>
      <c r="BU197" s="1">
        <v>8.4800000000000306</v>
      </c>
    </row>
    <row r="198" spans="33:73" hidden="1" x14ac:dyDescent="0.25">
      <c r="AG198" s="1">
        <v>8.4700000000000308</v>
      </c>
      <c r="AH198" s="1">
        <f t="shared" si="17"/>
        <v>221.52999999999997</v>
      </c>
      <c r="AI198" s="1">
        <f t="shared" si="18"/>
        <v>221.52999999999997</v>
      </c>
      <c r="AK198" s="1">
        <v>8.4700000000000308</v>
      </c>
      <c r="AO198" s="1">
        <v>8.4700000000000308</v>
      </c>
      <c r="AS198" s="1">
        <v>8.4700000000000308</v>
      </c>
      <c r="AW198" s="1">
        <v>8.4700000000000308</v>
      </c>
      <c r="BA198" s="1">
        <v>8.4700000000000308</v>
      </c>
      <c r="BE198" s="1">
        <v>8.4700000000000308</v>
      </c>
      <c r="BI198" s="1">
        <v>8.4700000000000308</v>
      </c>
      <c r="BM198" s="1">
        <v>8.4700000000000308</v>
      </c>
      <c r="BQ198" s="1">
        <v>8.4700000000000308</v>
      </c>
      <c r="BU198" s="1">
        <v>8.4700000000000308</v>
      </c>
    </row>
    <row r="199" spans="33:73" hidden="1" x14ac:dyDescent="0.25">
      <c r="AG199" s="1">
        <v>8.4600000000000293</v>
      </c>
      <c r="AH199" s="1">
        <f t="shared" si="17"/>
        <v>221.53999999999996</v>
      </c>
      <c r="AI199" s="1">
        <f t="shared" si="18"/>
        <v>221.53999999999996</v>
      </c>
      <c r="AK199" s="1">
        <v>8.4600000000000293</v>
      </c>
      <c r="AO199" s="1">
        <v>8.4600000000000293</v>
      </c>
      <c r="AS199" s="1">
        <v>8.4600000000000293</v>
      </c>
      <c r="AW199" s="1">
        <v>8.4600000000000293</v>
      </c>
      <c r="BA199" s="1">
        <v>8.4600000000000293</v>
      </c>
      <c r="BE199" s="1">
        <v>8.4600000000000293</v>
      </c>
      <c r="BI199" s="1">
        <v>8.4600000000000293</v>
      </c>
      <c r="BM199" s="1">
        <v>8.4600000000000293</v>
      </c>
      <c r="BQ199" s="1">
        <v>8.4600000000000293</v>
      </c>
      <c r="BU199" s="1">
        <v>8.4600000000000293</v>
      </c>
    </row>
    <row r="200" spans="33:73" hidden="1" x14ac:dyDescent="0.25">
      <c r="AG200" s="1">
        <v>8.4500000000000295</v>
      </c>
      <c r="AH200" s="1">
        <f t="shared" si="17"/>
        <v>221.54999999999998</v>
      </c>
      <c r="AI200" s="1">
        <f t="shared" si="18"/>
        <v>221.54999999999998</v>
      </c>
      <c r="AK200" s="1">
        <v>8.4500000000000295</v>
      </c>
      <c r="AO200" s="1">
        <v>8.4500000000000295</v>
      </c>
      <c r="AS200" s="1">
        <v>8.4500000000000295</v>
      </c>
      <c r="AW200" s="1">
        <v>8.4500000000000295</v>
      </c>
      <c r="BA200" s="1">
        <v>8.4500000000000295</v>
      </c>
      <c r="BE200" s="1">
        <v>8.4500000000000295</v>
      </c>
      <c r="BI200" s="1">
        <v>8.4500000000000295</v>
      </c>
      <c r="BM200" s="1">
        <v>8.4500000000000295</v>
      </c>
      <c r="BQ200" s="1">
        <v>8.4500000000000295</v>
      </c>
      <c r="BU200" s="1">
        <v>8.4500000000000295</v>
      </c>
    </row>
    <row r="201" spans="33:73" hidden="1" x14ac:dyDescent="0.25">
      <c r="AG201" s="1">
        <v>8.4400000000000297</v>
      </c>
      <c r="AH201" s="1">
        <f t="shared" si="17"/>
        <v>221.55999999999997</v>
      </c>
      <c r="AI201" s="1">
        <f t="shared" si="18"/>
        <v>221.55999999999997</v>
      </c>
      <c r="AK201" s="1">
        <v>8.4400000000000297</v>
      </c>
      <c r="AO201" s="1">
        <v>8.4400000000000297</v>
      </c>
      <c r="AS201" s="1">
        <v>8.4400000000000297</v>
      </c>
      <c r="AW201" s="1">
        <v>8.4400000000000297</v>
      </c>
      <c r="BA201" s="1">
        <v>8.4400000000000297</v>
      </c>
      <c r="BE201" s="1">
        <v>8.4400000000000297</v>
      </c>
      <c r="BI201" s="1">
        <v>8.4400000000000297</v>
      </c>
      <c r="BM201" s="1">
        <v>8.4400000000000297</v>
      </c>
      <c r="BQ201" s="1">
        <v>8.4400000000000297</v>
      </c>
      <c r="BU201" s="1">
        <v>8.4400000000000297</v>
      </c>
    </row>
    <row r="202" spans="33:73" hidden="1" x14ac:dyDescent="0.25">
      <c r="AG202" s="1">
        <v>8.4300000000000299</v>
      </c>
      <c r="AH202" s="1">
        <f t="shared" si="17"/>
        <v>221.56999999999996</v>
      </c>
      <c r="AI202" s="1">
        <f t="shared" si="18"/>
        <v>221.56999999999996</v>
      </c>
      <c r="AK202" s="1">
        <v>8.4300000000000299</v>
      </c>
      <c r="AO202" s="1">
        <v>8.4300000000000299</v>
      </c>
      <c r="AS202" s="1">
        <v>8.4300000000000299</v>
      </c>
      <c r="AW202" s="1">
        <v>8.4300000000000299</v>
      </c>
      <c r="BA202" s="1">
        <v>8.4300000000000299</v>
      </c>
      <c r="BE202" s="1">
        <v>8.4300000000000299</v>
      </c>
      <c r="BI202" s="1">
        <v>8.4300000000000299</v>
      </c>
      <c r="BM202" s="1">
        <v>8.4300000000000299</v>
      </c>
      <c r="BQ202" s="1">
        <v>8.4300000000000299</v>
      </c>
      <c r="BU202" s="1">
        <v>8.4300000000000299</v>
      </c>
    </row>
    <row r="203" spans="33:73" hidden="1" x14ac:dyDescent="0.25">
      <c r="AG203" s="1">
        <v>8.4200000000000301</v>
      </c>
      <c r="AH203" s="1">
        <f t="shared" si="17"/>
        <v>221.57999999999998</v>
      </c>
      <c r="AI203" s="1">
        <f t="shared" si="18"/>
        <v>221.57999999999998</v>
      </c>
      <c r="AK203" s="1">
        <v>8.4200000000000301</v>
      </c>
      <c r="AO203" s="1">
        <v>8.4200000000000301</v>
      </c>
      <c r="AS203" s="1">
        <v>8.4200000000000301</v>
      </c>
      <c r="AW203" s="1">
        <v>8.4200000000000301</v>
      </c>
      <c r="BA203" s="1">
        <v>8.4200000000000301</v>
      </c>
      <c r="BE203" s="1">
        <v>8.4200000000000301</v>
      </c>
      <c r="BI203" s="1">
        <v>8.4200000000000301</v>
      </c>
      <c r="BM203" s="1">
        <v>8.4200000000000301</v>
      </c>
      <c r="BQ203" s="1">
        <v>8.4200000000000301</v>
      </c>
      <c r="BU203" s="1">
        <v>8.4200000000000301</v>
      </c>
    </row>
    <row r="204" spans="33:73" hidden="1" x14ac:dyDescent="0.25">
      <c r="AG204" s="1">
        <v>8.4100000000000303</v>
      </c>
      <c r="AH204" s="1">
        <f t="shared" si="17"/>
        <v>221.58999999999997</v>
      </c>
      <c r="AI204" s="1">
        <f t="shared" si="18"/>
        <v>221.58999999999997</v>
      </c>
      <c r="AK204" s="1">
        <v>8.4100000000000303</v>
      </c>
      <c r="AO204" s="1">
        <v>8.4100000000000303</v>
      </c>
      <c r="AS204" s="1">
        <v>8.4100000000000303</v>
      </c>
      <c r="AW204" s="1">
        <v>8.4100000000000303</v>
      </c>
      <c r="BA204" s="1">
        <v>8.4100000000000303</v>
      </c>
      <c r="BE204" s="1">
        <v>8.4100000000000303</v>
      </c>
      <c r="BI204" s="1">
        <v>8.4100000000000303</v>
      </c>
      <c r="BM204" s="1">
        <v>8.4100000000000303</v>
      </c>
      <c r="BQ204" s="1">
        <v>8.4100000000000303</v>
      </c>
      <c r="BU204" s="1">
        <v>8.4100000000000303</v>
      </c>
    </row>
    <row r="205" spans="33:73" hidden="1" x14ac:dyDescent="0.25">
      <c r="AG205" s="1">
        <v>8.4000000000000306</v>
      </c>
      <c r="AH205" s="1">
        <f t="shared" si="17"/>
        <v>221.59999999999997</v>
      </c>
      <c r="AI205" s="1">
        <f t="shared" si="18"/>
        <v>221.59999999999997</v>
      </c>
      <c r="AK205" s="1">
        <v>8.4000000000000306</v>
      </c>
      <c r="AO205" s="1">
        <v>8.4000000000000306</v>
      </c>
      <c r="AS205" s="1">
        <v>8.4000000000000306</v>
      </c>
      <c r="AW205" s="1">
        <v>8.4000000000000306</v>
      </c>
      <c r="BA205" s="1">
        <v>8.4000000000000306</v>
      </c>
      <c r="BE205" s="1">
        <v>8.4000000000000306</v>
      </c>
      <c r="BI205" s="1">
        <v>8.4000000000000306</v>
      </c>
      <c r="BM205" s="1">
        <v>8.4000000000000306</v>
      </c>
      <c r="BQ205" s="1">
        <v>8.4000000000000306</v>
      </c>
      <c r="BU205" s="1">
        <v>8.4000000000000306</v>
      </c>
    </row>
    <row r="206" spans="33:73" hidden="1" x14ac:dyDescent="0.25">
      <c r="AG206" s="1">
        <v>8.3900000000000308</v>
      </c>
      <c r="AH206" s="1">
        <f t="shared" si="17"/>
        <v>221.60999999999996</v>
      </c>
      <c r="AI206" s="1">
        <f t="shared" si="18"/>
        <v>221.60999999999996</v>
      </c>
      <c r="AK206" s="1">
        <v>8.3900000000000308</v>
      </c>
      <c r="AO206" s="1">
        <v>8.3900000000000308</v>
      </c>
      <c r="AS206" s="1">
        <v>8.3900000000000308</v>
      </c>
      <c r="AW206" s="1">
        <v>8.3900000000000308</v>
      </c>
      <c r="BA206" s="1">
        <v>8.3900000000000308</v>
      </c>
      <c r="BE206" s="1">
        <v>8.3900000000000308</v>
      </c>
      <c r="BI206" s="1">
        <v>8.3900000000000308</v>
      </c>
      <c r="BM206" s="1">
        <v>8.3900000000000308</v>
      </c>
      <c r="BQ206" s="1">
        <v>8.3900000000000308</v>
      </c>
      <c r="BU206" s="1">
        <v>8.3900000000000308</v>
      </c>
    </row>
    <row r="207" spans="33:73" hidden="1" x14ac:dyDescent="0.25">
      <c r="AG207" s="1">
        <v>8.3800000000000292</v>
      </c>
      <c r="AH207" s="1">
        <f t="shared" si="17"/>
        <v>221.61999999999998</v>
      </c>
      <c r="AI207" s="1">
        <f t="shared" si="18"/>
        <v>221.61999999999998</v>
      </c>
      <c r="AK207" s="1">
        <v>8.3800000000000292</v>
      </c>
      <c r="AO207" s="1">
        <v>8.3800000000000292</v>
      </c>
      <c r="AS207" s="1">
        <v>8.3800000000000292</v>
      </c>
      <c r="AW207" s="1">
        <v>8.3800000000000292</v>
      </c>
      <c r="BA207" s="1">
        <v>8.3800000000000292</v>
      </c>
      <c r="BE207" s="1">
        <v>8.3800000000000292</v>
      </c>
      <c r="BI207" s="1">
        <v>8.3800000000000292</v>
      </c>
      <c r="BM207" s="1">
        <v>8.3800000000000292</v>
      </c>
      <c r="BQ207" s="1">
        <v>8.3800000000000292</v>
      </c>
      <c r="BU207" s="1">
        <v>8.3800000000000292</v>
      </c>
    </row>
    <row r="208" spans="33:73" hidden="1" x14ac:dyDescent="0.25">
      <c r="AG208" s="1">
        <v>8.3700000000000294</v>
      </c>
      <c r="AH208" s="1">
        <f t="shared" si="17"/>
        <v>221.62999999999997</v>
      </c>
      <c r="AI208" s="1">
        <f t="shared" si="18"/>
        <v>221.62999999999997</v>
      </c>
      <c r="AK208" s="1">
        <v>8.3700000000000294</v>
      </c>
      <c r="AO208" s="1">
        <v>8.3700000000000294</v>
      </c>
      <c r="AS208" s="1">
        <v>8.3700000000000294</v>
      </c>
      <c r="AW208" s="1">
        <v>8.3700000000000294</v>
      </c>
      <c r="BA208" s="1">
        <v>8.3700000000000294</v>
      </c>
      <c r="BE208" s="1">
        <v>8.3700000000000294</v>
      </c>
      <c r="BI208" s="1">
        <v>8.3700000000000294</v>
      </c>
      <c r="BM208" s="1">
        <v>8.3700000000000294</v>
      </c>
      <c r="BQ208" s="1">
        <v>8.3700000000000294</v>
      </c>
      <c r="BU208" s="1">
        <v>8.3700000000000294</v>
      </c>
    </row>
    <row r="209" spans="33:73" hidden="1" x14ac:dyDescent="0.25">
      <c r="AG209" s="1">
        <v>8.3600000000000296</v>
      </c>
      <c r="AH209" s="1">
        <f t="shared" si="17"/>
        <v>221.63999999999996</v>
      </c>
      <c r="AI209" s="1">
        <f t="shared" si="18"/>
        <v>221.63999999999996</v>
      </c>
      <c r="AK209" s="1">
        <v>8.3600000000000296</v>
      </c>
      <c r="AO209" s="1">
        <v>8.3600000000000296</v>
      </c>
      <c r="AS209" s="1">
        <v>8.3600000000000296</v>
      </c>
      <c r="AW209" s="1">
        <v>8.3600000000000296</v>
      </c>
      <c r="BA209" s="1">
        <v>8.3600000000000296</v>
      </c>
      <c r="BE209" s="1">
        <v>8.3600000000000296</v>
      </c>
      <c r="BI209" s="1">
        <v>8.3600000000000296</v>
      </c>
      <c r="BM209" s="1">
        <v>8.3600000000000296</v>
      </c>
      <c r="BQ209" s="1">
        <v>8.3600000000000296</v>
      </c>
      <c r="BU209" s="1">
        <v>8.3600000000000296</v>
      </c>
    </row>
    <row r="210" spans="33:73" hidden="1" x14ac:dyDescent="0.25">
      <c r="AG210" s="1">
        <v>8.3500000000000405</v>
      </c>
      <c r="AH210" s="1">
        <f t="shared" si="17"/>
        <v>221.64999999999995</v>
      </c>
      <c r="AI210" s="1">
        <f t="shared" si="18"/>
        <v>221.64999999999995</v>
      </c>
      <c r="AK210" s="1">
        <v>8.3500000000000405</v>
      </c>
      <c r="AO210" s="1">
        <v>8.3500000000000405</v>
      </c>
      <c r="AS210" s="1">
        <v>8.3500000000000405</v>
      </c>
      <c r="AW210" s="1">
        <v>8.3500000000000405</v>
      </c>
      <c r="BA210" s="1">
        <v>8.3500000000000405</v>
      </c>
      <c r="BE210" s="1">
        <v>8.3500000000000405</v>
      </c>
      <c r="BI210" s="1">
        <v>8.3500000000000405</v>
      </c>
      <c r="BM210" s="1">
        <v>8.3500000000000405</v>
      </c>
      <c r="BQ210" s="1">
        <v>8.3500000000000405</v>
      </c>
      <c r="BU210" s="1">
        <v>8.3500000000000405</v>
      </c>
    </row>
    <row r="211" spans="33:73" hidden="1" x14ac:dyDescent="0.25">
      <c r="AG211" s="1">
        <v>8.3400000000000407</v>
      </c>
      <c r="AH211" s="1">
        <f t="shared" si="17"/>
        <v>221.65999999999997</v>
      </c>
      <c r="AI211" s="1">
        <f t="shared" si="18"/>
        <v>221.65999999999997</v>
      </c>
      <c r="AK211" s="1">
        <v>8.3400000000000407</v>
      </c>
      <c r="AO211" s="1">
        <v>8.3400000000000407</v>
      </c>
      <c r="AS211" s="1">
        <v>8.3400000000000407</v>
      </c>
      <c r="AW211" s="1">
        <v>8.3400000000000407</v>
      </c>
      <c r="BA211" s="1">
        <v>8.3400000000000407</v>
      </c>
      <c r="BE211" s="1">
        <v>8.3400000000000407</v>
      </c>
      <c r="BI211" s="1">
        <v>8.3400000000000407</v>
      </c>
      <c r="BM211" s="1">
        <v>8.3400000000000407</v>
      </c>
      <c r="BQ211" s="1">
        <v>8.3400000000000407</v>
      </c>
      <c r="BU211" s="1">
        <v>8.3400000000000407</v>
      </c>
    </row>
    <row r="212" spans="33:73" hidden="1" x14ac:dyDescent="0.25">
      <c r="AG212" s="1">
        <v>8.3300000000000392</v>
      </c>
      <c r="AH212" s="1">
        <f t="shared" si="17"/>
        <v>221.66999999999996</v>
      </c>
      <c r="AI212" s="1">
        <f t="shared" si="18"/>
        <v>221.66999999999996</v>
      </c>
      <c r="AK212" s="1">
        <v>8.3300000000000392</v>
      </c>
      <c r="AO212" s="1">
        <v>8.3300000000000392</v>
      </c>
      <c r="AS212" s="1">
        <v>8.3300000000000392</v>
      </c>
      <c r="AW212" s="1">
        <v>8.3300000000000392</v>
      </c>
      <c r="BA212" s="1">
        <v>8.3300000000000392</v>
      </c>
      <c r="BE212" s="1">
        <v>8.3300000000000392</v>
      </c>
      <c r="BI212" s="1">
        <v>8.3300000000000392</v>
      </c>
      <c r="BM212" s="1">
        <v>8.3300000000000392</v>
      </c>
      <c r="BQ212" s="1">
        <v>8.3300000000000392</v>
      </c>
      <c r="BU212" s="1">
        <v>8.3300000000000392</v>
      </c>
    </row>
    <row r="213" spans="33:73" hidden="1" x14ac:dyDescent="0.25">
      <c r="AG213" s="1">
        <v>8.3200000000000394</v>
      </c>
      <c r="AH213" s="1">
        <f t="shared" si="17"/>
        <v>221.67999999999995</v>
      </c>
      <c r="AI213" s="1">
        <f t="shared" si="18"/>
        <v>221.67999999999995</v>
      </c>
      <c r="AK213" s="1">
        <v>8.3200000000000394</v>
      </c>
      <c r="AO213" s="1">
        <v>8.3200000000000394</v>
      </c>
      <c r="AS213" s="1">
        <v>8.3200000000000394</v>
      </c>
      <c r="AW213" s="1">
        <v>8.3200000000000394</v>
      </c>
      <c r="BA213" s="1">
        <v>8.3200000000000394</v>
      </c>
      <c r="BE213" s="1">
        <v>8.3200000000000394</v>
      </c>
      <c r="BI213" s="1">
        <v>8.3200000000000394</v>
      </c>
      <c r="BM213" s="1">
        <v>8.3200000000000394</v>
      </c>
      <c r="BQ213" s="1">
        <v>8.3200000000000394</v>
      </c>
      <c r="BU213" s="1">
        <v>8.3200000000000394</v>
      </c>
    </row>
    <row r="214" spans="33:73" hidden="1" x14ac:dyDescent="0.25">
      <c r="AG214" s="1">
        <v>8.3100000000000396</v>
      </c>
      <c r="AH214" s="1">
        <f t="shared" si="17"/>
        <v>221.68999999999997</v>
      </c>
      <c r="AI214" s="1">
        <f t="shared" si="18"/>
        <v>221.68999999999997</v>
      </c>
      <c r="AK214" s="1">
        <v>8.3100000000000396</v>
      </c>
      <c r="AO214" s="1">
        <v>8.3100000000000396</v>
      </c>
      <c r="AS214" s="1">
        <v>8.3100000000000396</v>
      </c>
      <c r="AW214" s="1">
        <v>8.3100000000000396</v>
      </c>
      <c r="BA214" s="1">
        <v>8.3100000000000396</v>
      </c>
      <c r="BE214" s="1">
        <v>8.3100000000000396</v>
      </c>
      <c r="BI214" s="1">
        <v>8.3100000000000396</v>
      </c>
      <c r="BM214" s="1">
        <v>8.3100000000000396</v>
      </c>
      <c r="BQ214" s="1">
        <v>8.3100000000000396</v>
      </c>
      <c r="BU214" s="1">
        <v>8.3100000000000396</v>
      </c>
    </row>
    <row r="215" spans="33:73" hidden="1" x14ac:dyDescent="0.25">
      <c r="AG215" s="1">
        <v>8.3000000000000398</v>
      </c>
      <c r="AH215" s="1">
        <f t="shared" si="17"/>
        <v>221.69999999999996</v>
      </c>
      <c r="AI215" s="1">
        <f t="shared" si="18"/>
        <v>221.69999999999996</v>
      </c>
      <c r="AK215" s="1">
        <v>8.3000000000000398</v>
      </c>
      <c r="AO215" s="1">
        <v>8.3000000000000398</v>
      </c>
      <c r="AS215" s="1">
        <v>8.3000000000000398</v>
      </c>
      <c r="AW215" s="1">
        <v>8.3000000000000398</v>
      </c>
      <c r="BA215" s="1">
        <v>8.3000000000000398</v>
      </c>
      <c r="BE215" s="1">
        <v>8.3000000000000398</v>
      </c>
      <c r="BI215" s="1">
        <v>8.3000000000000398</v>
      </c>
      <c r="BM215" s="1">
        <v>8.3000000000000398</v>
      </c>
      <c r="BQ215" s="1">
        <v>8.3000000000000398</v>
      </c>
      <c r="BU215" s="1">
        <v>8.3000000000000398</v>
      </c>
    </row>
    <row r="216" spans="33:73" hidden="1" x14ac:dyDescent="0.25">
      <c r="AG216" s="1">
        <v>8.29000000000004</v>
      </c>
      <c r="AH216" s="1">
        <f t="shared" si="17"/>
        <v>221.70999999999995</v>
      </c>
      <c r="AI216" s="1">
        <f t="shared" si="18"/>
        <v>221.70999999999995</v>
      </c>
      <c r="AK216" s="1">
        <v>8.29000000000004</v>
      </c>
      <c r="AO216" s="1">
        <v>8.29000000000004</v>
      </c>
      <c r="AS216" s="1">
        <v>8.29000000000004</v>
      </c>
      <c r="AW216" s="1">
        <v>8.29000000000004</v>
      </c>
      <c r="BA216" s="1">
        <v>8.29000000000004</v>
      </c>
      <c r="BE216" s="1">
        <v>8.29000000000004</v>
      </c>
      <c r="BI216" s="1">
        <v>8.29000000000004</v>
      </c>
      <c r="BM216" s="1">
        <v>8.29000000000004</v>
      </c>
      <c r="BQ216" s="1">
        <v>8.29000000000004</v>
      </c>
      <c r="BU216" s="1">
        <v>8.29000000000004</v>
      </c>
    </row>
    <row r="217" spans="33:73" hidden="1" x14ac:dyDescent="0.25">
      <c r="AG217" s="1">
        <v>8.2800000000000402</v>
      </c>
      <c r="AH217" s="1">
        <f t="shared" si="17"/>
        <v>221.71999999999997</v>
      </c>
      <c r="AI217" s="1">
        <f t="shared" si="18"/>
        <v>221.71999999999997</v>
      </c>
      <c r="AK217" s="1">
        <v>8.2800000000000402</v>
      </c>
      <c r="AO217" s="1">
        <v>8.2800000000000402</v>
      </c>
      <c r="AS217" s="1">
        <v>8.2800000000000402</v>
      </c>
      <c r="AW217" s="1">
        <v>8.2800000000000402</v>
      </c>
      <c r="BA217" s="1">
        <v>8.2800000000000402</v>
      </c>
      <c r="BE217" s="1">
        <v>8.2800000000000402</v>
      </c>
      <c r="BI217" s="1">
        <v>8.2800000000000402</v>
      </c>
      <c r="BM217" s="1">
        <v>8.2800000000000402</v>
      </c>
      <c r="BQ217" s="1">
        <v>8.2800000000000402</v>
      </c>
      <c r="BU217" s="1">
        <v>8.2800000000000402</v>
      </c>
    </row>
    <row r="218" spans="33:73" hidden="1" x14ac:dyDescent="0.25">
      <c r="AG218" s="1">
        <v>8.2700000000000404</v>
      </c>
      <c r="AH218" s="1">
        <f t="shared" si="17"/>
        <v>221.72999999999996</v>
      </c>
      <c r="AI218" s="1">
        <f t="shared" si="18"/>
        <v>221.72999999999996</v>
      </c>
      <c r="AK218" s="1">
        <v>8.2700000000000404</v>
      </c>
      <c r="AO218" s="1">
        <v>8.2700000000000404</v>
      </c>
      <c r="AS218" s="1">
        <v>8.2700000000000404</v>
      </c>
      <c r="AW218" s="1">
        <v>8.2700000000000404</v>
      </c>
      <c r="BA218" s="1">
        <v>8.2700000000000404</v>
      </c>
      <c r="BE218" s="1">
        <v>8.2700000000000404</v>
      </c>
      <c r="BI218" s="1">
        <v>8.2700000000000404</v>
      </c>
      <c r="BM218" s="1">
        <v>8.2700000000000404</v>
      </c>
      <c r="BQ218" s="1">
        <v>8.2700000000000404</v>
      </c>
      <c r="BU218" s="1">
        <v>8.2700000000000404</v>
      </c>
    </row>
    <row r="219" spans="33:73" hidden="1" x14ac:dyDescent="0.25">
      <c r="AG219" s="1">
        <v>8.2600000000000406</v>
      </c>
      <c r="AH219" s="1">
        <f t="shared" si="17"/>
        <v>221.73999999999995</v>
      </c>
      <c r="AI219" s="1">
        <f t="shared" si="18"/>
        <v>221.73999999999995</v>
      </c>
      <c r="AK219" s="1">
        <v>8.2600000000000406</v>
      </c>
      <c r="AO219" s="1">
        <v>8.2600000000000406</v>
      </c>
      <c r="AS219" s="1">
        <v>8.2600000000000406</v>
      </c>
      <c r="AW219" s="1">
        <v>8.2600000000000406</v>
      </c>
      <c r="BA219" s="1">
        <v>8.2600000000000406</v>
      </c>
      <c r="BE219" s="1">
        <v>8.2600000000000406</v>
      </c>
      <c r="BI219" s="1">
        <v>8.2600000000000406</v>
      </c>
      <c r="BM219" s="1">
        <v>8.2600000000000406</v>
      </c>
      <c r="BQ219" s="1">
        <v>8.2600000000000406</v>
      </c>
      <c r="BU219" s="1">
        <v>8.2600000000000406</v>
      </c>
    </row>
    <row r="220" spans="33:73" hidden="1" x14ac:dyDescent="0.25">
      <c r="AG220" s="1">
        <v>8.2500000000000409</v>
      </c>
      <c r="AH220" s="1">
        <f t="shared" si="17"/>
        <v>221.74999999999997</v>
      </c>
      <c r="AI220" s="1">
        <f t="shared" si="18"/>
        <v>221.74999999999997</v>
      </c>
      <c r="AK220" s="1">
        <v>8.2500000000000409</v>
      </c>
      <c r="AO220" s="1">
        <v>8.2500000000000409</v>
      </c>
      <c r="AS220" s="1">
        <v>8.2500000000000409</v>
      </c>
      <c r="AW220" s="1">
        <v>8.2500000000000409</v>
      </c>
      <c r="BA220" s="1">
        <v>8.2500000000000409</v>
      </c>
      <c r="BE220" s="1">
        <v>8.2500000000000409</v>
      </c>
      <c r="BI220" s="1">
        <v>8.2500000000000409</v>
      </c>
      <c r="BM220" s="1">
        <v>8.2500000000000409</v>
      </c>
      <c r="BQ220" s="1">
        <v>8.2500000000000409</v>
      </c>
      <c r="BU220" s="1">
        <v>8.2500000000000409</v>
      </c>
    </row>
    <row r="221" spans="33:73" hidden="1" x14ac:dyDescent="0.25">
      <c r="AG221" s="1">
        <v>8.2400000000000393</v>
      </c>
      <c r="AH221" s="1">
        <f t="shared" si="17"/>
        <v>221.75999999999996</v>
      </c>
      <c r="AI221" s="1">
        <f t="shared" si="18"/>
        <v>221.75999999999996</v>
      </c>
      <c r="AK221" s="1">
        <v>8.2400000000000393</v>
      </c>
      <c r="AO221" s="1">
        <v>8.2400000000000393</v>
      </c>
      <c r="AS221" s="1">
        <v>8.2400000000000393</v>
      </c>
      <c r="AW221" s="1">
        <v>8.2400000000000393</v>
      </c>
      <c r="BA221" s="1">
        <v>8.2400000000000393</v>
      </c>
      <c r="BE221" s="1">
        <v>8.2400000000000393</v>
      </c>
      <c r="BI221" s="1">
        <v>8.2400000000000393</v>
      </c>
      <c r="BM221" s="1">
        <v>8.2400000000000393</v>
      </c>
      <c r="BQ221" s="1">
        <v>8.2400000000000393</v>
      </c>
      <c r="BU221" s="1">
        <v>8.2400000000000393</v>
      </c>
    </row>
    <row r="222" spans="33:73" hidden="1" x14ac:dyDescent="0.25">
      <c r="AG222" s="1">
        <v>8.2300000000000395</v>
      </c>
      <c r="AH222" s="1">
        <f t="shared" si="17"/>
        <v>221.76999999999995</v>
      </c>
      <c r="AI222" s="1">
        <f t="shared" si="18"/>
        <v>221.76999999999995</v>
      </c>
      <c r="AK222" s="1">
        <v>8.2300000000000395</v>
      </c>
      <c r="AO222" s="1">
        <v>8.2300000000000395</v>
      </c>
      <c r="AS222" s="1">
        <v>8.2300000000000395</v>
      </c>
      <c r="AW222" s="1">
        <v>8.2300000000000395</v>
      </c>
      <c r="BA222" s="1">
        <v>8.2300000000000395</v>
      </c>
      <c r="BE222" s="1">
        <v>8.2300000000000395</v>
      </c>
      <c r="BI222" s="1">
        <v>8.2300000000000395</v>
      </c>
      <c r="BM222" s="1">
        <v>8.2300000000000395</v>
      </c>
      <c r="BQ222" s="1">
        <v>8.2300000000000395</v>
      </c>
      <c r="BU222" s="1">
        <v>8.2300000000000395</v>
      </c>
    </row>
    <row r="223" spans="33:73" hidden="1" x14ac:dyDescent="0.25">
      <c r="AG223" s="1">
        <v>8.2200000000000397</v>
      </c>
      <c r="AH223" s="1">
        <f t="shared" si="17"/>
        <v>221.77999999999997</v>
      </c>
      <c r="AI223" s="1">
        <f t="shared" si="18"/>
        <v>221.77999999999997</v>
      </c>
      <c r="AK223" s="1">
        <v>8.2200000000000397</v>
      </c>
      <c r="AO223" s="1">
        <v>8.2200000000000397</v>
      </c>
      <c r="AS223" s="1">
        <v>8.2200000000000397</v>
      </c>
      <c r="AW223" s="1">
        <v>8.2200000000000397</v>
      </c>
      <c r="BA223" s="1">
        <v>8.2200000000000397</v>
      </c>
      <c r="BE223" s="1">
        <v>8.2200000000000397</v>
      </c>
      <c r="BI223" s="1">
        <v>8.2200000000000397</v>
      </c>
      <c r="BM223" s="1">
        <v>8.2200000000000397</v>
      </c>
      <c r="BQ223" s="1">
        <v>8.2200000000000397</v>
      </c>
      <c r="BU223" s="1">
        <v>8.2200000000000397</v>
      </c>
    </row>
    <row r="224" spans="33:73" hidden="1" x14ac:dyDescent="0.25">
      <c r="AG224" s="1">
        <v>8.2100000000000399</v>
      </c>
      <c r="AH224" s="1">
        <f t="shared" si="17"/>
        <v>221.78999999999996</v>
      </c>
      <c r="AI224" s="1">
        <f t="shared" si="18"/>
        <v>221.78999999999996</v>
      </c>
      <c r="AK224" s="1">
        <v>8.2100000000000399</v>
      </c>
      <c r="AO224" s="1">
        <v>8.2100000000000399</v>
      </c>
      <c r="AS224" s="1">
        <v>8.2100000000000399</v>
      </c>
      <c r="AW224" s="1">
        <v>8.2100000000000399</v>
      </c>
      <c r="BA224" s="1">
        <v>8.2100000000000399</v>
      </c>
      <c r="BE224" s="1">
        <v>8.2100000000000399</v>
      </c>
      <c r="BI224" s="1">
        <v>8.2100000000000399</v>
      </c>
      <c r="BM224" s="1">
        <v>8.2100000000000399</v>
      </c>
      <c r="BQ224" s="1">
        <v>8.2100000000000399</v>
      </c>
      <c r="BU224" s="1">
        <v>8.2100000000000399</v>
      </c>
    </row>
    <row r="225" spans="33:73" hidden="1" x14ac:dyDescent="0.25">
      <c r="AG225" s="1">
        <v>8.2000000000000401</v>
      </c>
      <c r="AH225" s="1">
        <f t="shared" si="17"/>
        <v>221.79999999999995</v>
      </c>
      <c r="AI225" s="1">
        <f t="shared" si="18"/>
        <v>221.79999999999995</v>
      </c>
      <c r="AK225" s="1">
        <v>8.2000000000000401</v>
      </c>
      <c r="AO225" s="1">
        <v>8.2000000000000401</v>
      </c>
      <c r="AS225" s="1">
        <v>8.2000000000000401</v>
      </c>
      <c r="AW225" s="1">
        <v>8.2000000000000401</v>
      </c>
      <c r="BA225" s="1">
        <v>8.2000000000000401</v>
      </c>
      <c r="BE225" s="1">
        <v>8.2000000000000401</v>
      </c>
      <c r="BI225" s="1">
        <v>8.2000000000000401</v>
      </c>
      <c r="BM225" s="1">
        <v>8.2000000000000401</v>
      </c>
      <c r="BQ225" s="1">
        <v>8.2000000000000401</v>
      </c>
      <c r="BU225" s="1">
        <v>8.2000000000000401</v>
      </c>
    </row>
    <row r="226" spans="33:73" hidden="1" x14ac:dyDescent="0.25">
      <c r="AG226" s="1">
        <v>8.1900000000000404</v>
      </c>
      <c r="AH226" s="1">
        <f t="shared" si="17"/>
        <v>221.80999999999995</v>
      </c>
      <c r="AI226" s="1">
        <f t="shared" si="18"/>
        <v>221.80999999999995</v>
      </c>
      <c r="AK226" s="1">
        <v>8.1900000000000404</v>
      </c>
      <c r="AO226" s="1">
        <v>8.1900000000000404</v>
      </c>
      <c r="AS226" s="1">
        <v>8.1900000000000404</v>
      </c>
      <c r="AW226" s="1">
        <v>8.1900000000000404</v>
      </c>
      <c r="BA226" s="1">
        <v>8.1900000000000404</v>
      </c>
      <c r="BE226" s="1">
        <v>8.1900000000000404</v>
      </c>
      <c r="BI226" s="1">
        <v>8.1900000000000404</v>
      </c>
      <c r="BM226" s="1">
        <v>8.1900000000000404</v>
      </c>
      <c r="BQ226" s="1">
        <v>8.1900000000000404</v>
      </c>
      <c r="BU226" s="1">
        <v>8.1900000000000404</v>
      </c>
    </row>
    <row r="227" spans="33:73" hidden="1" x14ac:dyDescent="0.25">
      <c r="AG227" s="1">
        <v>8.1800000000000406</v>
      </c>
      <c r="AH227" s="1">
        <f t="shared" si="17"/>
        <v>221.81999999999996</v>
      </c>
      <c r="AI227" s="1">
        <f t="shared" si="18"/>
        <v>221.81999999999996</v>
      </c>
      <c r="AK227" s="1">
        <v>8.1800000000000406</v>
      </c>
      <c r="AO227" s="1">
        <v>8.1800000000000406</v>
      </c>
      <c r="AS227" s="1">
        <v>8.1800000000000406</v>
      </c>
      <c r="AW227" s="1">
        <v>8.1800000000000406</v>
      </c>
      <c r="BA227" s="1">
        <v>8.1800000000000406</v>
      </c>
      <c r="BE227" s="1">
        <v>8.1800000000000406</v>
      </c>
      <c r="BI227" s="1">
        <v>8.1800000000000406</v>
      </c>
      <c r="BM227" s="1">
        <v>8.1800000000000406</v>
      </c>
      <c r="BQ227" s="1">
        <v>8.1800000000000406</v>
      </c>
      <c r="BU227" s="1">
        <v>8.1800000000000406</v>
      </c>
    </row>
    <row r="228" spans="33:73" hidden="1" x14ac:dyDescent="0.25">
      <c r="AG228" s="1">
        <v>8.1700000000000408</v>
      </c>
      <c r="AH228" s="1">
        <f t="shared" si="17"/>
        <v>221.82999999999996</v>
      </c>
      <c r="AI228" s="1">
        <f t="shared" si="18"/>
        <v>221.82999999999996</v>
      </c>
      <c r="AK228" s="1">
        <v>8.1700000000000408</v>
      </c>
      <c r="AO228" s="1">
        <v>8.1700000000000408</v>
      </c>
      <c r="AS228" s="1">
        <v>8.1700000000000408</v>
      </c>
      <c r="AW228" s="1">
        <v>8.1700000000000408</v>
      </c>
      <c r="BA228" s="1">
        <v>8.1700000000000408</v>
      </c>
      <c r="BE228" s="1">
        <v>8.1700000000000408</v>
      </c>
      <c r="BI228" s="1">
        <v>8.1700000000000408</v>
      </c>
      <c r="BM228" s="1">
        <v>8.1700000000000408</v>
      </c>
      <c r="BQ228" s="1">
        <v>8.1700000000000408</v>
      </c>
      <c r="BU228" s="1">
        <v>8.1700000000000408</v>
      </c>
    </row>
    <row r="229" spans="33:73" hidden="1" x14ac:dyDescent="0.25">
      <c r="AG229" s="1">
        <v>8.1600000000000392</v>
      </c>
      <c r="AH229" s="1">
        <f t="shared" si="17"/>
        <v>221.83999999999997</v>
      </c>
      <c r="AI229" s="1">
        <f t="shared" si="18"/>
        <v>221.83999999999997</v>
      </c>
      <c r="AK229" s="1">
        <v>8.1600000000000392</v>
      </c>
      <c r="AO229" s="1">
        <v>8.1600000000000392</v>
      </c>
      <c r="AS229" s="1">
        <v>8.1600000000000392</v>
      </c>
      <c r="AW229" s="1">
        <v>8.1600000000000392</v>
      </c>
      <c r="BA229" s="1">
        <v>8.1600000000000392</v>
      </c>
      <c r="BE229" s="1">
        <v>8.1600000000000392</v>
      </c>
      <c r="BI229" s="1">
        <v>8.1600000000000392</v>
      </c>
      <c r="BM229" s="1">
        <v>8.1600000000000392</v>
      </c>
      <c r="BQ229" s="1">
        <v>8.1600000000000392</v>
      </c>
      <c r="BU229" s="1">
        <v>8.1600000000000392</v>
      </c>
    </row>
    <row r="230" spans="33:73" hidden="1" x14ac:dyDescent="0.25">
      <c r="AG230" s="1">
        <v>8.1500000000000394</v>
      </c>
      <c r="AH230" s="1">
        <f t="shared" si="17"/>
        <v>221.84999999999997</v>
      </c>
      <c r="AI230" s="1">
        <f t="shared" si="18"/>
        <v>221.84999999999997</v>
      </c>
      <c r="AK230" s="1">
        <v>8.1500000000000394</v>
      </c>
      <c r="AO230" s="1">
        <v>8.1500000000000394</v>
      </c>
      <c r="AS230" s="1">
        <v>8.1500000000000394</v>
      </c>
      <c r="AW230" s="1">
        <v>8.1500000000000394</v>
      </c>
      <c r="BA230" s="1">
        <v>8.1500000000000394</v>
      </c>
      <c r="BE230" s="1">
        <v>8.1500000000000394</v>
      </c>
      <c r="BI230" s="1">
        <v>8.1500000000000394</v>
      </c>
      <c r="BM230" s="1">
        <v>8.1500000000000394</v>
      </c>
      <c r="BQ230" s="1">
        <v>8.1500000000000394</v>
      </c>
      <c r="BU230" s="1">
        <v>8.1500000000000394</v>
      </c>
    </row>
    <row r="231" spans="33:73" hidden="1" x14ac:dyDescent="0.25">
      <c r="AG231" s="1">
        <v>8.1400000000000396</v>
      </c>
      <c r="AH231" s="1">
        <f t="shared" si="17"/>
        <v>221.85999999999996</v>
      </c>
      <c r="AI231" s="1">
        <f t="shared" si="18"/>
        <v>221.85999999999996</v>
      </c>
      <c r="AK231" s="1">
        <v>8.1400000000000396</v>
      </c>
      <c r="AO231" s="1">
        <v>8.1400000000000396</v>
      </c>
      <c r="AS231" s="1">
        <v>8.1400000000000396</v>
      </c>
      <c r="AW231" s="1">
        <v>8.1400000000000396</v>
      </c>
      <c r="BA231" s="1">
        <v>8.1400000000000396</v>
      </c>
      <c r="BE231" s="1">
        <v>8.1400000000000396</v>
      </c>
      <c r="BI231" s="1">
        <v>8.1400000000000396</v>
      </c>
      <c r="BM231" s="1">
        <v>8.1400000000000396</v>
      </c>
      <c r="BQ231" s="1">
        <v>8.1400000000000396</v>
      </c>
      <c r="BU231" s="1">
        <v>8.1400000000000396</v>
      </c>
    </row>
    <row r="232" spans="33:73" hidden="1" x14ac:dyDescent="0.25">
      <c r="AG232" s="1">
        <v>8.1300000000000399</v>
      </c>
      <c r="AH232" s="1">
        <f t="shared" si="17"/>
        <v>221.86999999999995</v>
      </c>
      <c r="AI232" s="1">
        <f t="shared" si="18"/>
        <v>221.86999999999995</v>
      </c>
      <c r="AK232" s="1">
        <v>8.1300000000000399</v>
      </c>
      <c r="AO232" s="1">
        <v>8.1300000000000399</v>
      </c>
      <c r="AS232" s="1">
        <v>8.1300000000000399</v>
      </c>
      <c r="AW232" s="1">
        <v>8.1300000000000399</v>
      </c>
      <c r="BA232" s="1">
        <v>8.1300000000000399</v>
      </c>
      <c r="BE232" s="1">
        <v>8.1300000000000399</v>
      </c>
      <c r="BI232" s="1">
        <v>8.1300000000000399</v>
      </c>
      <c r="BM232" s="1">
        <v>8.1300000000000399</v>
      </c>
      <c r="BQ232" s="1">
        <v>8.1300000000000399</v>
      </c>
      <c r="BU232" s="1">
        <v>8.1300000000000399</v>
      </c>
    </row>
    <row r="233" spans="33:73" hidden="1" x14ac:dyDescent="0.25">
      <c r="AG233" s="1">
        <v>8.1200000000000401</v>
      </c>
      <c r="AH233" s="1">
        <f t="shared" si="17"/>
        <v>221.87999999999997</v>
      </c>
      <c r="AI233" s="1">
        <f t="shared" si="18"/>
        <v>221.87999999999997</v>
      </c>
      <c r="AK233" s="1">
        <v>8.1200000000000401</v>
      </c>
      <c r="AO233" s="1">
        <v>8.1200000000000401</v>
      </c>
      <c r="AS233" s="1">
        <v>8.1200000000000401</v>
      </c>
      <c r="AW233" s="1">
        <v>8.1200000000000401</v>
      </c>
      <c r="BA233" s="1">
        <v>8.1200000000000401</v>
      </c>
      <c r="BE233" s="1">
        <v>8.1200000000000401</v>
      </c>
      <c r="BI233" s="1">
        <v>8.1200000000000401</v>
      </c>
      <c r="BM233" s="1">
        <v>8.1200000000000401</v>
      </c>
      <c r="BQ233" s="1">
        <v>8.1200000000000401</v>
      </c>
      <c r="BU233" s="1">
        <v>8.1200000000000401</v>
      </c>
    </row>
    <row r="234" spans="33:73" hidden="1" x14ac:dyDescent="0.25">
      <c r="AG234" s="1">
        <v>8.1100000000000403</v>
      </c>
      <c r="AH234" s="1">
        <f t="shared" si="17"/>
        <v>221.88999999999996</v>
      </c>
      <c r="AI234" s="1">
        <f t="shared" si="18"/>
        <v>221.88999999999996</v>
      </c>
      <c r="AK234" s="1">
        <v>8.1100000000000403</v>
      </c>
      <c r="AO234" s="1">
        <v>8.1100000000000403</v>
      </c>
      <c r="AS234" s="1">
        <v>8.1100000000000403</v>
      </c>
      <c r="AW234" s="1">
        <v>8.1100000000000403</v>
      </c>
      <c r="BA234" s="1">
        <v>8.1100000000000403</v>
      </c>
      <c r="BE234" s="1">
        <v>8.1100000000000403</v>
      </c>
      <c r="BI234" s="1">
        <v>8.1100000000000403</v>
      </c>
      <c r="BM234" s="1">
        <v>8.1100000000000403</v>
      </c>
      <c r="BQ234" s="1">
        <v>8.1100000000000403</v>
      </c>
      <c r="BU234" s="1">
        <v>8.1100000000000403</v>
      </c>
    </row>
    <row r="235" spans="33:73" hidden="1" x14ac:dyDescent="0.25">
      <c r="AG235" s="1">
        <v>8.1000000000000405</v>
      </c>
      <c r="AH235" s="1">
        <f t="shared" si="17"/>
        <v>221.89999999999995</v>
      </c>
      <c r="AI235" s="1">
        <f t="shared" si="18"/>
        <v>221.89999999999995</v>
      </c>
      <c r="AK235" s="1">
        <v>8.1000000000000405</v>
      </c>
      <c r="AO235" s="1">
        <v>8.1000000000000405</v>
      </c>
      <c r="AS235" s="1">
        <v>8.1000000000000405</v>
      </c>
      <c r="AW235" s="1">
        <v>8.1000000000000405</v>
      </c>
      <c r="BA235" s="1">
        <v>8.1000000000000405</v>
      </c>
      <c r="BE235" s="1">
        <v>8.1000000000000405</v>
      </c>
      <c r="BI235" s="1">
        <v>8.1000000000000405</v>
      </c>
      <c r="BM235" s="1">
        <v>8.1000000000000405</v>
      </c>
      <c r="BQ235" s="1">
        <v>8.1000000000000405</v>
      </c>
      <c r="BU235" s="1">
        <v>8.1000000000000405</v>
      </c>
    </row>
    <row r="236" spans="33:73" hidden="1" x14ac:dyDescent="0.25">
      <c r="AG236" s="1">
        <v>8.0900000000000407</v>
      </c>
      <c r="AH236" s="1">
        <f t="shared" si="17"/>
        <v>221.90999999999997</v>
      </c>
      <c r="AI236" s="1">
        <f t="shared" si="18"/>
        <v>221.90999999999997</v>
      </c>
      <c r="AK236" s="1">
        <v>8.0900000000000407</v>
      </c>
      <c r="AO236" s="1">
        <v>8.0900000000000407</v>
      </c>
      <c r="AS236" s="1">
        <v>8.0900000000000407</v>
      </c>
      <c r="AW236" s="1">
        <v>8.0900000000000407</v>
      </c>
      <c r="BA236" s="1">
        <v>8.0900000000000407</v>
      </c>
      <c r="BE236" s="1">
        <v>8.0900000000000407</v>
      </c>
      <c r="BI236" s="1">
        <v>8.0900000000000407</v>
      </c>
      <c r="BM236" s="1">
        <v>8.0900000000000407</v>
      </c>
      <c r="BQ236" s="1">
        <v>8.0900000000000407</v>
      </c>
      <c r="BU236" s="1">
        <v>8.0900000000000407</v>
      </c>
    </row>
    <row r="237" spans="33:73" hidden="1" x14ac:dyDescent="0.25">
      <c r="AG237" s="1">
        <v>8.0800000000000392</v>
      </c>
      <c r="AH237" s="1">
        <f t="shared" si="17"/>
        <v>221.91999999999996</v>
      </c>
      <c r="AI237" s="1">
        <f t="shared" si="18"/>
        <v>221.91999999999996</v>
      </c>
      <c r="AK237" s="1">
        <v>8.0800000000000392</v>
      </c>
      <c r="AO237" s="1">
        <v>8.0800000000000392</v>
      </c>
      <c r="AS237" s="1">
        <v>8.0800000000000392</v>
      </c>
      <c r="AW237" s="1">
        <v>8.0800000000000392</v>
      </c>
      <c r="BA237" s="1">
        <v>8.0800000000000392</v>
      </c>
      <c r="BE237" s="1">
        <v>8.0800000000000392</v>
      </c>
      <c r="BI237" s="1">
        <v>8.0800000000000392</v>
      </c>
      <c r="BM237" s="1">
        <v>8.0800000000000392</v>
      </c>
      <c r="BQ237" s="1">
        <v>8.0800000000000392</v>
      </c>
      <c r="BU237" s="1">
        <v>8.0800000000000392</v>
      </c>
    </row>
    <row r="238" spans="33:73" hidden="1" x14ac:dyDescent="0.25">
      <c r="AG238" s="1">
        <v>8.0700000000000394</v>
      </c>
      <c r="AH238" s="1">
        <f t="shared" ref="AH238:AH301" si="19">SQRT((AI238+($AI$38*($AM$44*$AJ$44+$AN$44*$AK$44)))^2+($D$3*($AN$44*$AJ$44-$AM$44*$AK$44))^2)</f>
        <v>221.92999999999995</v>
      </c>
      <c r="AI238" s="1">
        <f t="shared" ref="AI238:AI301" si="20">$AI$40-AG238</f>
        <v>221.92999999999995</v>
      </c>
      <c r="AK238" s="1">
        <v>8.0700000000000394</v>
      </c>
      <c r="AO238" s="1">
        <v>8.0700000000000394</v>
      </c>
      <c r="AS238" s="1">
        <v>8.0700000000000394</v>
      </c>
      <c r="AW238" s="1">
        <v>8.0700000000000394</v>
      </c>
      <c r="BA238" s="1">
        <v>8.0700000000000394</v>
      </c>
      <c r="BE238" s="1">
        <v>8.0700000000000394</v>
      </c>
      <c r="BI238" s="1">
        <v>8.0700000000000394</v>
      </c>
      <c r="BM238" s="1">
        <v>8.0700000000000394</v>
      </c>
      <c r="BQ238" s="1">
        <v>8.0700000000000394</v>
      </c>
      <c r="BU238" s="1">
        <v>8.0700000000000394</v>
      </c>
    </row>
    <row r="239" spans="33:73" hidden="1" x14ac:dyDescent="0.25">
      <c r="AG239" s="1">
        <v>8.0600000000000396</v>
      </c>
      <c r="AH239" s="1">
        <f t="shared" si="19"/>
        <v>221.93999999999997</v>
      </c>
      <c r="AI239" s="1">
        <f t="shared" si="20"/>
        <v>221.93999999999997</v>
      </c>
      <c r="AK239" s="1">
        <v>8.0600000000000396</v>
      </c>
      <c r="AO239" s="1">
        <v>8.0600000000000396</v>
      </c>
      <c r="AS239" s="1">
        <v>8.0600000000000396</v>
      </c>
      <c r="AW239" s="1">
        <v>8.0600000000000396</v>
      </c>
      <c r="BA239" s="1">
        <v>8.0600000000000396</v>
      </c>
      <c r="BE239" s="1">
        <v>8.0600000000000396</v>
      </c>
      <c r="BI239" s="1">
        <v>8.0600000000000396</v>
      </c>
      <c r="BM239" s="1">
        <v>8.0600000000000396</v>
      </c>
      <c r="BQ239" s="1">
        <v>8.0600000000000396</v>
      </c>
      <c r="BU239" s="1">
        <v>8.0600000000000396</v>
      </c>
    </row>
    <row r="240" spans="33:73" hidden="1" x14ac:dyDescent="0.25">
      <c r="AG240" s="1">
        <v>8.0500000000000398</v>
      </c>
      <c r="AH240" s="1">
        <f t="shared" si="19"/>
        <v>221.94999999999996</v>
      </c>
      <c r="AI240" s="1">
        <f t="shared" si="20"/>
        <v>221.94999999999996</v>
      </c>
      <c r="AK240" s="1">
        <v>8.0500000000000398</v>
      </c>
      <c r="AO240" s="1">
        <v>8.0500000000000398</v>
      </c>
      <c r="AS240" s="1">
        <v>8.0500000000000398</v>
      </c>
      <c r="AW240" s="1">
        <v>8.0500000000000398</v>
      </c>
      <c r="BA240" s="1">
        <v>8.0500000000000398</v>
      </c>
      <c r="BE240" s="1">
        <v>8.0500000000000398</v>
      </c>
      <c r="BI240" s="1">
        <v>8.0500000000000398</v>
      </c>
      <c r="BM240" s="1">
        <v>8.0500000000000398</v>
      </c>
      <c r="BQ240" s="1">
        <v>8.0500000000000398</v>
      </c>
      <c r="BU240" s="1">
        <v>8.0500000000000398</v>
      </c>
    </row>
    <row r="241" spans="33:73" hidden="1" x14ac:dyDescent="0.25">
      <c r="AG241" s="1">
        <v>8.04000000000004</v>
      </c>
      <c r="AH241" s="1">
        <f t="shared" si="19"/>
        <v>221.95999999999995</v>
      </c>
      <c r="AI241" s="1">
        <f t="shared" si="20"/>
        <v>221.95999999999995</v>
      </c>
      <c r="AK241" s="1">
        <v>8.04000000000004</v>
      </c>
      <c r="AO241" s="1">
        <v>8.04000000000004</v>
      </c>
      <c r="AS241" s="1">
        <v>8.04000000000004</v>
      </c>
      <c r="AW241" s="1">
        <v>8.04000000000004</v>
      </c>
      <c r="BA241" s="1">
        <v>8.04000000000004</v>
      </c>
      <c r="BE241" s="1">
        <v>8.04000000000004</v>
      </c>
      <c r="BI241" s="1">
        <v>8.04000000000004</v>
      </c>
      <c r="BM241" s="1">
        <v>8.04000000000004</v>
      </c>
      <c r="BQ241" s="1">
        <v>8.04000000000004</v>
      </c>
      <c r="BU241" s="1">
        <v>8.04000000000004</v>
      </c>
    </row>
    <row r="242" spans="33:73" hidden="1" x14ac:dyDescent="0.25">
      <c r="AG242" s="1">
        <v>8.0300000000000402</v>
      </c>
      <c r="AH242" s="1">
        <f t="shared" si="19"/>
        <v>221.96999999999997</v>
      </c>
      <c r="AI242" s="1">
        <f t="shared" si="20"/>
        <v>221.96999999999997</v>
      </c>
      <c r="AK242" s="1">
        <v>8.0300000000000402</v>
      </c>
      <c r="AO242" s="1">
        <v>8.0300000000000402</v>
      </c>
      <c r="AS242" s="1">
        <v>8.0300000000000402</v>
      </c>
      <c r="AW242" s="1">
        <v>8.0300000000000402</v>
      </c>
      <c r="BA242" s="1">
        <v>8.0300000000000402</v>
      </c>
      <c r="BE242" s="1">
        <v>8.0300000000000402</v>
      </c>
      <c r="BI242" s="1">
        <v>8.0300000000000402</v>
      </c>
      <c r="BM242" s="1">
        <v>8.0300000000000402</v>
      </c>
      <c r="BQ242" s="1">
        <v>8.0300000000000402</v>
      </c>
      <c r="BU242" s="1">
        <v>8.0300000000000402</v>
      </c>
    </row>
    <row r="243" spans="33:73" hidden="1" x14ac:dyDescent="0.25">
      <c r="AG243" s="1">
        <v>8.0200000000000404</v>
      </c>
      <c r="AH243" s="1">
        <f t="shared" si="19"/>
        <v>221.97999999999996</v>
      </c>
      <c r="AI243" s="1">
        <f t="shared" si="20"/>
        <v>221.97999999999996</v>
      </c>
      <c r="AK243" s="1">
        <v>8.0200000000000404</v>
      </c>
      <c r="AO243" s="1">
        <v>8.0200000000000404</v>
      </c>
      <c r="AS243" s="1">
        <v>8.0200000000000404</v>
      </c>
      <c r="AW243" s="1">
        <v>8.0200000000000404</v>
      </c>
      <c r="BA243" s="1">
        <v>8.0200000000000404</v>
      </c>
      <c r="BE243" s="1">
        <v>8.0200000000000404</v>
      </c>
      <c r="BI243" s="1">
        <v>8.0200000000000404</v>
      </c>
      <c r="BM243" s="1">
        <v>8.0200000000000404</v>
      </c>
      <c r="BQ243" s="1">
        <v>8.0200000000000404</v>
      </c>
      <c r="BU243" s="1">
        <v>8.0200000000000404</v>
      </c>
    </row>
    <row r="244" spans="33:73" hidden="1" x14ac:dyDescent="0.25">
      <c r="AG244" s="1">
        <v>8.0100000000000406</v>
      </c>
      <c r="AH244" s="1">
        <f t="shared" si="19"/>
        <v>221.98999999999995</v>
      </c>
      <c r="AI244" s="1">
        <f t="shared" si="20"/>
        <v>221.98999999999995</v>
      </c>
      <c r="AK244" s="1">
        <v>8.0100000000000406</v>
      </c>
      <c r="AO244" s="1">
        <v>8.0100000000000406</v>
      </c>
      <c r="AS244" s="1">
        <v>8.0100000000000406</v>
      </c>
      <c r="AW244" s="1">
        <v>8.0100000000000406</v>
      </c>
      <c r="BA244" s="1">
        <v>8.0100000000000406</v>
      </c>
      <c r="BE244" s="1">
        <v>8.0100000000000406</v>
      </c>
      <c r="BI244" s="1">
        <v>8.0100000000000406</v>
      </c>
      <c r="BM244" s="1">
        <v>8.0100000000000406</v>
      </c>
      <c r="BQ244" s="1">
        <v>8.0100000000000406</v>
      </c>
      <c r="BU244" s="1">
        <v>8.0100000000000406</v>
      </c>
    </row>
    <row r="245" spans="33:73" hidden="1" x14ac:dyDescent="0.25">
      <c r="AG245" s="1">
        <v>8.0000000000000409</v>
      </c>
      <c r="AH245" s="1">
        <f t="shared" si="19"/>
        <v>221.99999999999997</v>
      </c>
      <c r="AI245" s="1">
        <f t="shared" si="20"/>
        <v>221.99999999999997</v>
      </c>
      <c r="AK245" s="1">
        <v>8.0000000000000409</v>
      </c>
      <c r="AO245" s="1">
        <v>8.0000000000000409</v>
      </c>
      <c r="AS245" s="1">
        <v>8.0000000000000409</v>
      </c>
      <c r="AW245" s="1">
        <v>8.0000000000000409</v>
      </c>
      <c r="BA245" s="1">
        <v>8.0000000000000409</v>
      </c>
      <c r="BE245" s="1">
        <v>8.0000000000000409</v>
      </c>
      <c r="BI245" s="1">
        <v>8.0000000000000409</v>
      </c>
      <c r="BM245" s="1">
        <v>8.0000000000000409</v>
      </c>
      <c r="BQ245" s="1">
        <v>8.0000000000000409</v>
      </c>
      <c r="BU245" s="1">
        <v>8.0000000000000409</v>
      </c>
    </row>
    <row r="246" spans="33:73" hidden="1" x14ac:dyDescent="0.25">
      <c r="AG246" s="1">
        <v>7.9900000000000402</v>
      </c>
      <c r="AH246" s="1">
        <f t="shared" si="19"/>
        <v>222.00999999999996</v>
      </c>
      <c r="AI246" s="1">
        <f t="shared" si="20"/>
        <v>222.00999999999996</v>
      </c>
      <c r="AK246" s="1">
        <v>7.9900000000000402</v>
      </c>
      <c r="AO246" s="1">
        <v>7.9900000000000402</v>
      </c>
      <c r="AS246" s="1">
        <v>7.9900000000000402</v>
      </c>
      <c r="AW246" s="1">
        <v>7.9900000000000402</v>
      </c>
      <c r="BA246" s="1">
        <v>7.9900000000000402</v>
      </c>
      <c r="BE246" s="1">
        <v>7.9900000000000402</v>
      </c>
      <c r="BI246" s="1">
        <v>7.9900000000000402</v>
      </c>
      <c r="BM246" s="1">
        <v>7.9900000000000402</v>
      </c>
      <c r="BQ246" s="1">
        <v>7.9900000000000402</v>
      </c>
      <c r="BU246" s="1">
        <v>7.9900000000000402</v>
      </c>
    </row>
    <row r="247" spans="33:73" hidden="1" x14ac:dyDescent="0.25">
      <c r="AG247" s="1">
        <v>7.9800000000000404</v>
      </c>
      <c r="AH247" s="1">
        <f t="shared" si="19"/>
        <v>222.01999999999995</v>
      </c>
      <c r="AI247" s="1">
        <f t="shared" si="20"/>
        <v>222.01999999999995</v>
      </c>
      <c r="AK247" s="1">
        <v>7.9800000000000404</v>
      </c>
      <c r="AO247" s="1">
        <v>7.9800000000000404</v>
      </c>
      <c r="AS247" s="1">
        <v>7.9800000000000404</v>
      </c>
      <c r="AW247" s="1">
        <v>7.9800000000000404</v>
      </c>
      <c r="BA247" s="1">
        <v>7.9800000000000404</v>
      </c>
      <c r="BE247" s="1">
        <v>7.9800000000000404</v>
      </c>
      <c r="BI247" s="1">
        <v>7.9800000000000404</v>
      </c>
      <c r="BM247" s="1">
        <v>7.9800000000000404</v>
      </c>
      <c r="BQ247" s="1">
        <v>7.9800000000000404</v>
      </c>
      <c r="BU247" s="1">
        <v>7.9800000000000404</v>
      </c>
    </row>
    <row r="248" spans="33:73" hidden="1" x14ac:dyDescent="0.25">
      <c r="AG248" s="1">
        <v>7.9700000000000397</v>
      </c>
      <c r="AH248" s="1">
        <f t="shared" si="19"/>
        <v>222.02999999999997</v>
      </c>
      <c r="AI248" s="1">
        <f t="shared" si="20"/>
        <v>222.02999999999997</v>
      </c>
      <c r="AK248" s="1">
        <v>7.9700000000000397</v>
      </c>
      <c r="AO248" s="1">
        <v>7.9700000000000397</v>
      </c>
      <c r="AS248" s="1">
        <v>7.9700000000000397</v>
      </c>
      <c r="AW248" s="1">
        <v>7.9700000000000397</v>
      </c>
      <c r="BA248" s="1">
        <v>7.9700000000000397</v>
      </c>
      <c r="BE248" s="1">
        <v>7.9700000000000397</v>
      </c>
      <c r="BI248" s="1">
        <v>7.9700000000000397</v>
      </c>
      <c r="BM248" s="1">
        <v>7.9700000000000397</v>
      </c>
      <c r="BQ248" s="1">
        <v>7.9700000000000397</v>
      </c>
      <c r="BU248" s="1">
        <v>7.9700000000000397</v>
      </c>
    </row>
    <row r="249" spans="33:73" hidden="1" x14ac:dyDescent="0.25">
      <c r="AG249" s="1">
        <v>7.9600000000000399</v>
      </c>
      <c r="AH249" s="1">
        <f t="shared" si="19"/>
        <v>222.03999999999996</v>
      </c>
      <c r="AI249" s="1">
        <f t="shared" si="20"/>
        <v>222.03999999999996</v>
      </c>
      <c r="AK249" s="1">
        <v>7.9600000000000399</v>
      </c>
      <c r="AO249" s="1">
        <v>7.9600000000000399</v>
      </c>
      <c r="AS249" s="1">
        <v>7.9600000000000399</v>
      </c>
      <c r="AW249" s="1">
        <v>7.9600000000000399</v>
      </c>
      <c r="BA249" s="1">
        <v>7.9600000000000399</v>
      </c>
      <c r="BE249" s="1">
        <v>7.9600000000000399</v>
      </c>
      <c r="BI249" s="1">
        <v>7.9600000000000399</v>
      </c>
      <c r="BM249" s="1">
        <v>7.9600000000000399</v>
      </c>
      <c r="BQ249" s="1">
        <v>7.9600000000000399</v>
      </c>
      <c r="BU249" s="1">
        <v>7.9600000000000399</v>
      </c>
    </row>
    <row r="250" spans="33:73" hidden="1" x14ac:dyDescent="0.25">
      <c r="AG250" s="1">
        <v>7.9500000000000401</v>
      </c>
      <c r="AH250" s="1">
        <f t="shared" si="19"/>
        <v>222.04999999999995</v>
      </c>
      <c r="AI250" s="1">
        <f t="shared" si="20"/>
        <v>222.04999999999995</v>
      </c>
      <c r="AK250" s="1">
        <v>7.9500000000000401</v>
      </c>
      <c r="AO250" s="1">
        <v>7.9500000000000401</v>
      </c>
      <c r="AS250" s="1">
        <v>7.9500000000000401</v>
      </c>
      <c r="AW250" s="1">
        <v>7.9500000000000401</v>
      </c>
      <c r="BA250" s="1">
        <v>7.9500000000000401</v>
      </c>
      <c r="BE250" s="1">
        <v>7.9500000000000401</v>
      </c>
      <c r="BI250" s="1">
        <v>7.9500000000000401</v>
      </c>
      <c r="BM250" s="1">
        <v>7.9500000000000401</v>
      </c>
      <c r="BQ250" s="1">
        <v>7.9500000000000401</v>
      </c>
      <c r="BU250" s="1">
        <v>7.9500000000000401</v>
      </c>
    </row>
    <row r="251" spans="33:73" hidden="1" x14ac:dyDescent="0.25">
      <c r="AG251" s="1">
        <v>7.9400000000000404</v>
      </c>
      <c r="AH251" s="1">
        <f t="shared" si="19"/>
        <v>222.05999999999995</v>
      </c>
      <c r="AI251" s="1">
        <f t="shared" si="20"/>
        <v>222.05999999999995</v>
      </c>
      <c r="AK251" s="1">
        <v>7.9400000000000404</v>
      </c>
      <c r="AO251" s="1">
        <v>7.9400000000000404</v>
      </c>
      <c r="AS251" s="1">
        <v>7.9400000000000404</v>
      </c>
      <c r="AW251" s="1">
        <v>7.9400000000000404</v>
      </c>
      <c r="BA251" s="1">
        <v>7.9400000000000404</v>
      </c>
      <c r="BE251" s="1">
        <v>7.9400000000000404</v>
      </c>
      <c r="BI251" s="1">
        <v>7.9400000000000404</v>
      </c>
      <c r="BM251" s="1">
        <v>7.9400000000000404</v>
      </c>
      <c r="BQ251" s="1">
        <v>7.9400000000000404</v>
      </c>
      <c r="BU251" s="1">
        <v>7.9400000000000404</v>
      </c>
    </row>
    <row r="252" spans="33:73" hidden="1" x14ac:dyDescent="0.25">
      <c r="AG252" s="1">
        <v>7.9300000000000397</v>
      </c>
      <c r="AH252" s="1">
        <f t="shared" si="19"/>
        <v>222.06999999999996</v>
      </c>
      <c r="AI252" s="1">
        <f t="shared" si="20"/>
        <v>222.06999999999996</v>
      </c>
      <c r="AK252" s="1">
        <v>7.9300000000000397</v>
      </c>
      <c r="AO252" s="1">
        <v>7.9300000000000397</v>
      </c>
      <c r="AS252" s="1">
        <v>7.9300000000000397</v>
      </c>
      <c r="AW252" s="1">
        <v>7.9300000000000397</v>
      </c>
      <c r="BA252" s="1">
        <v>7.9300000000000397</v>
      </c>
      <c r="BE252" s="1">
        <v>7.9300000000000397</v>
      </c>
      <c r="BI252" s="1">
        <v>7.9300000000000397</v>
      </c>
      <c r="BM252" s="1">
        <v>7.9300000000000397</v>
      </c>
      <c r="BQ252" s="1">
        <v>7.9300000000000397</v>
      </c>
      <c r="BU252" s="1">
        <v>7.9300000000000397</v>
      </c>
    </row>
    <row r="253" spans="33:73" hidden="1" x14ac:dyDescent="0.25">
      <c r="AG253" s="1">
        <v>7.9200000000000399</v>
      </c>
      <c r="AH253" s="1">
        <f t="shared" si="19"/>
        <v>222.07999999999996</v>
      </c>
      <c r="AI253" s="1">
        <f t="shared" si="20"/>
        <v>222.07999999999996</v>
      </c>
      <c r="AK253" s="1">
        <v>7.9200000000000399</v>
      </c>
      <c r="AO253" s="1">
        <v>7.9200000000000399</v>
      </c>
      <c r="AS253" s="1">
        <v>7.9200000000000399</v>
      </c>
      <c r="AW253" s="1">
        <v>7.9200000000000399</v>
      </c>
      <c r="BA253" s="1">
        <v>7.9200000000000399</v>
      </c>
      <c r="BE253" s="1">
        <v>7.9200000000000399</v>
      </c>
      <c r="BI253" s="1">
        <v>7.9200000000000399</v>
      </c>
      <c r="BM253" s="1">
        <v>7.9200000000000399</v>
      </c>
      <c r="BQ253" s="1">
        <v>7.9200000000000399</v>
      </c>
      <c r="BU253" s="1">
        <v>7.9200000000000399</v>
      </c>
    </row>
    <row r="254" spans="33:73" hidden="1" x14ac:dyDescent="0.25">
      <c r="AG254" s="1">
        <v>7.9100000000000401</v>
      </c>
      <c r="AH254" s="1">
        <f t="shared" si="19"/>
        <v>222.08999999999995</v>
      </c>
      <c r="AI254" s="1">
        <f t="shared" si="20"/>
        <v>222.08999999999995</v>
      </c>
      <c r="AK254" s="1">
        <v>7.9100000000000401</v>
      </c>
      <c r="AO254" s="1">
        <v>7.9100000000000401</v>
      </c>
      <c r="AS254" s="1">
        <v>7.9100000000000401</v>
      </c>
      <c r="AW254" s="1">
        <v>7.9100000000000401</v>
      </c>
      <c r="BA254" s="1">
        <v>7.9100000000000401</v>
      </c>
      <c r="BE254" s="1">
        <v>7.9100000000000401</v>
      </c>
      <c r="BI254" s="1">
        <v>7.9100000000000401</v>
      </c>
      <c r="BM254" s="1">
        <v>7.9100000000000401</v>
      </c>
      <c r="BQ254" s="1">
        <v>7.9100000000000401</v>
      </c>
      <c r="BU254" s="1">
        <v>7.9100000000000401</v>
      </c>
    </row>
    <row r="255" spans="33:73" hidden="1" x14ac:dyDescent="0.25">
      <c r="AG255" s="1">
        <v>7.9000000000000403</v>
      </c>
      <c r="AH255" s="1">
        <f t="shared" si="19"/>
        <v>222.09999999999997</v>
      </c>
      <c r="AI255" s="1">
        <f t="shared" si="20"/>
        <v>222.09999999999997</v>
      </c>
      <c r="AK255" s="1">
        <v>7.9000000000000403</v>
      </c>
      <c r="AO255" s="1">
        <v>7.9000000000000403</v>
      </c>
      <c r="AS255" s="1">
        <v>7.9000000000000403</v>
      </c>
      <c r="AW255" s="1">
        <v>7.9000000000000403</v>
      </c>
      <c r="BA255" s="1">
        <v>7.9000000000000403</v>
      </c>
      <c r="BE255" s="1">
        <v>7.9000000000000403</v>
      </c>
      <c r="BI255" s="1">
        <v>7.9000000000000403</v>
      </c>
      <c r="BM255" s="1">
        <v>7.9000000000000403</v>
      </c>
      <c r="BQ255" s="1">
        <v>7.9000000000000403</v>
      </c>
      <c r="BU255" s="1">
        <v>7.9000000000000403</v>
      </c>
    </row>
    <row r="256" spans="33:73" hidden="1" x14ac:dyDescent="0.25">
      <c r="AG256" s="1">
        <v>7.8900000000000396</v>
      </c>
      <c r="AH256" s="1">
        <f t="shared" si="19"/>
        <v>222.10999999999996</v>
      </c>
      <c r="AI256" s="1">
        <f t="shared" si="20"/>
        <v>222.10999999999996</v>
      </c>
      <c r="AK256" s="1">
        <v>7.8900000000000396</v>
      </c>
      <c r="AO256" s="1">
        <v>7.8900000000000396</v>
      </c>
      <c r="AS256" s="1">
        <v>7.8900000000000396</v>
      </c>
      <c r="AW256" s="1">
        <v>7.8900000000000396</v>
      </c>
      <c r="BA256" s="1">
        <v>7.8900000000000396</v>
      </c>
      <c r="BE256" s="1">
        <v>7.8900000000000396</v>
      </c>
      <c r="BI256" s="1">
        <v>7.8900000000000396</v>
      </c>
      <c r="BM256" s="1">
        <v>7.8900000000000396</v>
      </c>
      <c r="BQ256" s="1">
        <v>7.8900000000000396</v>
      </c>
      <c r="BU256" s="1">
        <v>7.8900000000000396</v>
      </c>
    </row>
    <row r="257" spans="33:73" hidden="1" x14ac:dyDescent="0.25">
      <c r="AG257" s="1">
        <v>7.8800000000000496</v>
      </c>
      <c r="AH257" s="1">
        <f t="shared" si="19"/>
        <v>222.11999999999995</v>
      </c>
      <c r="AI257" s="1">
        <f t="shared" si="20"/>
        <v>222.11999999999995</v>
      </c>
      <c r="AK257" s="1">
        <v>7.8800000000000496</v>
      </c>
      <c r="AO257" s="1">
        <v>7.8800000000000496</v>
      </c>
      <c r="AS257" s="1">
        <v>7.8800000000000496</v>
      </c>
      <c r="AW257" s="1">
        <v>7.8800000000000496</v>
      </c>
      <c r="BA257" s="1">
        <v>7.8800000000000496</v>
      </c>
      <c r="BE257" s="1">
        <v>7.8800000000000496</v>
      </c>
      <c r="BI257" s="1">
        <v>7.8800000000000496</v>
      </c>
      <c r="BM257" s="1">
        <v>7.8800000000000496</v>
      </c>
      <c r="BQ257" s="1">
        <v>7.8800000000000496</v>
      </c>
      <c r="BU257" s="1">
        <v>7.8800000000000496</v>
      </c>
    </row>
    <row r="258" spans="33:73" hidden="1" x14ac:dyDescent="0.25">
      <c r="AG258" s="1">
        <v>7.8700000000000498</v>
      </c>
      <c r="AH258" s="1">
        <f t="shared" si="19"/>
        <v>222.12999999999994</v>
      </c>
      <c r="AI258" s="1">
        <f t="shared" si="20"/>
        <v>222.12999999999994</v>
      </c>
      <c r="AK258" s="1">
        <v>7.8700000000000498</v>
      </c>
      <c r="AO258" s="1">
        <v>7.8700000000000498</v>
      </c>
      <c r="AS258" s="1">
        <v>7.8700000000000498</v>
      </c>
      <c r="AW258" s="1">
        <v>7.8700000000000498</v>
      </c>
      <c r="BA258" s="1">
        <v>7.8700000000000498</v>
      </c>
      <c r="BE258" s="1">
        <v>7.8700000000000498</v>
      </c>
      <c r="BI258" s="1">
        <v>7.8700000000000498</v>
      </c>
      <c r="BM258" s="1">
        <v>7.8700000000000498</v>
      </c>
      <c r="BQ258" s="1">
        <v>7.8700000000000498</v>
      </c>
      <c r="BU258" s="1">
        <v>7.8700000000000498</v>
      </c>
    </row>
    <row r="259" spans="33:73" hidden="1" x14ac:dyDescent="0.25">
      <c r="AG259" s="1">
        <v>7.8600000000000501</v>
      </c>
      <c r="AH259" s="1">
        <f t="shared" si="19"/>
        <v>222.13999999999996</v>
      </c>
      <c r="AI259" s="1">
        <f t="shared" si="20"/>
        <v>222.13999999999996</v>
      </c>
      <c r="AK259" s="1">
        <v>7.8600000000000501</v>
      </c>
      <c r="AO259" s="1">
        <v>7.8600000000000501</v>
      </c>
      <c r="AS259" s="1">
        <v>7.8600000000000501</v>
      </c>
      <c r="AW259" s="1">
        <v>7.8600000000000501</v>
      </c>
      <c r="BA259" s="1">
        <v>7.8600000000000501</v>
      </c>
      <c r="BE259" s="1">
        <v>7.8600000000000501</v>
      </c>
      <c r="BI259" s="1">
        <v>7.8600000000000501</v>
      </c>
      <c r="BM259" s="1">
        <v>7.8600000000000501</v>
      </c>
      <c r="BQ259" s="1">
        <v>7.8600000000000501</v>
      </c>
      <c r="BU259" s="1">
        <v>7.8600000000000501</v>
      </c>
    </row>
    <row r="260" spans="33:73" hidden="1" x14ac:dyDescent="0.25">
      <c r="AG260" s="1">
        <v>7.8500000000000503</v>
      </c>
      <c r="AH260" s="1">
        <f t="shared" si="19"/>
        <v>222.14999999999995</v>
      </c>
      <c r="AI260" s="1">
        <f t="shared" si="20"/>
        <v>222.14999999999995</v>
      </c>
      <c r="AK260" s="1">
        <v>7.8500000000000503</v>
      </c>
      <c r="AO260" s="1">
        <v>7.8500000000000503</v>
      </c>
      <c r="AS260" s="1">
        <v>7.8500000000000503</v>
      </c>
      <c r="AW260" s="1">
        <v>7.8500000000000503</v>
      </c>
      <c r="BA260" s="1">
        <v>7.8500000000000503</v>
      </c>
      <c r="BE260" s="1">
        <v>7.8500000000000503</v>
      </c>
      <c r="BI260" s="1">
        <v>7.8500000000000503</v>
      </c>
      <c r="BM260" s="1">
        <v>7.8500000000000503</v>
      </c>
      <c r="BQ260" s="1">
        <v>7.8500000000000503</v>
      </c>
      <c r="BU260" s="1">
        <v>7.8500000000000503</v>
      </c>
    </row>
    <row r="261" spans="33:73" hidden="1" x14ac:dyDescent="0.25">
      <c r="AG261" s="1">
        <v>7.8400000000000496</v>
      </c>
      <c r="AH261" s="1">
        <f t="shared" si="19"/>
        <v>222.15999999999994</v>
      </c>
      <c r="AI261" s="1">
        <f t="shared" si="20"/>
        <v>222.15999999999994</v>
      </c>
      <c r="AK261" s="1">
        <v>7.8400000000000496</v>
      </c>
      <c r="AO261" s="1">
        <v>7.8400000000000496</v>
      </c>
      <c r="AS261" s="1">
        <v>7.8400000000000496</v>
      </c>
      <c r="AW261" s="1">
        <v>7.8400000000000496</v>
      </c>
      <c r="BA261" s="1">
        <v>7.8400000000000496</v>
      </c>
      <c r="BE261" s="1">
        <v>7.8400000000000496</v>
      </c>
      <c r="BI261" s="1">
        <v>7.8400000000000496</v>
      </c>
      <c r="BM261" s="1">
        <v>7.8400000000000496</v>
      </c>
      <c r="BQ261" s="1">
        <v>7.8400000000000496</v>
      </c>
      <c r="BU261" s="1">
        <v>7.8400000000000496</v>
      </c>
    </row>
    <row r="262" spans="33:73" hidden="1" x14ac:dyDescent="0.25">
      <c r="AG262" s="1">
        <v>7.8300000000000498</v>
      </c>
      <c r="AH262" s="1">
        <f t="shared" si="19"/>
        <v>222.16999999999996</v>
      </c>
      <c r="AI262" s="1">
        <f t="shared" si="20"/>
        <v>222.16999999999996</v>
      </c>
      <c r="AK262" s="1">
        <v>7.8300000000000498</v>
      </c>
      <c r="AO262" s="1">
        <v>7.8300000000000498</v>
      </c>
      <c r="AS262" s="1">
        <v>7.8300000000000498</v>
      </c>
      <c r="AW262" s="1">
        <v>7.8300000000000498</v>
      </c>
      <c r="BA262" s="1">
        <v>7.8300000000000498</v>
      </c>
      <c r="BE262" s="1">
        <v>7.8300000000000498</v>
      </c>
      <c r="BI262" s="1">
        <v>7.8300000000000498</v>
      </c>
      <c r="BM262" s="1">
        <v>7.8300000000000498</v>
      </c>
      <c r="BQ262" s="1">
        <v>7.8300000000000498</v>
      </c>
      <c r="BU262" s="1">
        <v>7.8300000000000498</v>
      </c>
    </row>
    <row r="263" spans="33:73" hidden="1" x14ac:dyDescent="0.25">
      <c r="AG263" s="1">
        <v>7.82000000000005</v>
      </c>
      <c r="AH263" s="1">
        <f t="shared" si="19"/>
        <v>222.17999999999995</v>
      </c>
      <c r="AI263" s="1">
        <f t="shared" si="20"/>
        <v>222.17999999999995</v>
      </c>
      <c r="AK263" s="1">
        <v>7.82000000000005</v>
      </c>
      <c r="AO263" s="1">
        <v>7.82000000000005</v>
      </c>
      <c r="AS263" s="1">
        <v>7.82000000000005</v>
      </c>
      <c r="AW263" s="1">
        <v>7.82000000000005</v>
      </c>
      <c r="BA263" s="1">
        <v>7.82000000000005</v>
      </c>
      <c r="BE263" s="1">
        <v>7.82000000000005</v>
      </c>
      <c r="BI263" s="1">
        <v>7.82000000000005</v>
      </c>
      <c r="BM263" s="1">
        <v>7.82000000000005</v>
      </c>
      <c r="BQ263" s="1">
        <v>7.82000000000005</v>
      </c>
      <c r="BU263" s="1">
        <v>7.82000000000005</v>
      </c>
    </row>
    <row r="264" spans="33:73" hidden="1" x14ac:dyDescent="0.25">
      <c r="AG264" s="1">
        <v>7.8100000000000502</v>
      </c>
      <c r="AH264" s="1">
        <f t="shared" si="19"/>
        <v>222.18999999999994</v>
      </c>
      <c r="AI264" s="1">
        <f t="shared" si="20"/>
        <v>222.18999999999994</v>
      </c>
      <c r="AK264" s="1">
        <v>7.8100000000000502</v>
      </c>
      <c r="AO264" s="1">
        <v>7.8100000000000502</v>
      </c>
      <c r="AS264" s="1">
        <v>7.8100000000000502</v>
      </c>
      <c r="AW264" s="1">
        <v>7.8100000000000502</v>
      </c>
      <c r="BA264" s="1">
        <v>7.8100000000000502</v>
      </c>
      <c r="BE264" s="1">
        <v>7.8100000000000502</v>
      </c>
      <c r="BI264" s="1">
        <v>7.8100000000000502</v>
      </c>
      <c r="BM264" s="1">
        <v>7.8100000000000502</v>
      </c>
      <c r="BQ264" s="1">
        <v>7.8100000000000502</v>
      </c>
      <c r="BU264" s="1">
        <v>7.8100000000000502</v>
      </c>
    </row>
    <row r="265" spans="33:73" hidden="1" x14ac:dyDescent="0.25">
      <c r="AG265" s="1">
        <v>7.8000000000000496</v>
      </c>
      <c r="AH265" s="1">
        <f t="shared" si="19"/>
        <v>222.19999999999996</v>
      </c>
      <c r="AI265" s="1">
        <f t="shared" si="20"/>
        <v>222.19999999999996</v>
      </c>
      <c r="AK265" s="1">
        <v>7.8000000000000496</v>
      </c>
      <c r="AO265" s="1">
        <v>7.8000000000000496</v>
      </c>
      <c r="AS265" s="1">
        <v>7.8000000000000496</v>
      </c>
      <c r="AW265" s="1">
        <v>7.8000000000000496</v>
      </c>
      <c r="BA265" s="1">
        <v>7.8000000000000496</v>
      </c>
      <c r="BE265" s="1">
        <v>7.8000000000000496</v>
      </c>
      <c r="BI265" s="1">
        <v>7.8000000000000496</v>
      </c>
      <c r="BM265" s="1">
        <v>7.8000000000000496</v>
      </c>
      <c r="BQ265" s="1">
        <v>7.8000000000000496</v>
      </c>
      <c r="BU265" s="1">
        <v>7.8000000000000496</v>
      </c>
    </row>
    <row r="266" spans="33:73" hidden="1" x14ac:dyDescent="0.25">
      <c r="AG266" s="1">
        <v>7.7900000000000498</v>
      </c>
      <c r="AH266" s="1">
        <f t="shared" si="19"/>
        <v>222.20999999999995</v>
      </c>
      <c r="AI266" s="1">
        <f t="shared" si="20"/>
        <v>222.20999999999995</v>
      </c>
      <c r="AK266" s="1">
        <v>7.7900000000000498</v>
      </c>
      <c r="AO266" s="1">
        <v>7.7900000000000498</v>
      </c>
      <c r="AS266" s="1">
        <v>7.7900000000000498</v>
      </c>
      <c r="AW266" s="1">
        <v>7.7900000000000498</v>
      </c>
      <c r="BA266" s="1">
        <v>7.7900000000000498</v>
      </c>
      <c r="BE266" s="1">
        <v>7.7900000000000498</v>
      </c>
      <c r="BI266" s="1">
        <v>7.7900000000000498</v>
      </c>
      <c r="BM266" s="1">
        <v>7.7900000000000498</v>
      </c>
      <c r="BQ266" s="1">
        <v>7.7900000000000498</v>
      </c>
      <c r="BU266" s="1">
        <v>7.7900000000000498</v>
      </c>
    </row>
    <row r="267" spans="33:73" hidden="1" x14ac:dyDescent="0.25">
      <c r="AG267" s="1">
        <v>7.78000000000005</v>
      </c>
      <c r="AH267" s="1">
        <f t="shared" si="19"/>
        <v>222.21999999999994</v>
      </c>
      <c r="AI267" s="1">
        <f t="shared" si="20"/>
        <v>222.21999999999994</v>
      </c>
      <c r="AK267" s="1">
        <v>7.78000000000005</v>
      </c>
      <c r="AO267" s="1">
        <v>7.78000000000005</v>
      </c>
      <c r="AS267" s="1">
        <v>7.78000000000005</v>
      </c>
      <c r="AW267" s="1">
        <v>7.78000000000005</v>
      </c>
      <c r="BA267" s="1">
        <v>7.78000000000005</v>
      </c>
      <c r="BE267" s="1">
        <v>7.78000000000005</v>
      </c>
      <c r="BI267" s="1">
        <v>7.78000000000005</v>
      </c>
      <c r="BM267" s="1">
        <v>7.78000000000005</v>
      </c>
      <c r="BQ267" s="1">
        <v>7.78000000000005</v>
      </c>
      <c r="BU267" s="1">
        <v>7.78000000000005</v>
      </c>
    </row>
    <row r="268" spans="33:73" hidden="1" x14ac:dyDescent="0.25">
      <c r="AG268" s="1">
        <v>7.7700000000000502</v>
      </c>
      <c r="AH268" s="1">
        <f t="shared" si="19"/>
        <v>222.22999999999996</v>
      </c>
      <c r="AI268" s="1">
        <f t="shared" si="20"/>
        <v>222.22999999999996</v>
      </c>
      <c r="AK268" s="1">
        <v>7.7700000000000502</v>
      </c>
      <c r="AO268" s="1">
        <v>7.7700000000000502</v>
      </c>
      <c r="AS268" s="1">
        <v>7.7700000000000502</v>
      </c>
      <c r="AW268" s="1">
        <v>7.7700000000000502</v>
      </c>
      <c r="BA268" s="1">
        <v>7.7700000000000502</v>
      </c>
      <c r="BE268" s="1">
        <v>7.7700000000000502</v>
      </c>
      <c r="BI268" s="1">
        <v>7.7700000000000502</v>
      </c>
      <c r="BM268" s="1">
        <v>7.7700000000000502</v>
      </c>
      <c r="BQ268" s="1">
        <v>7.7700000000000502</v>
      </c>
      <c r="BU268" s="1">
        <v>7.7700000000000502</v>
      </c>
    </row>
    <row r="269" spans="33:73" hidden="1" x14ac:dyDescent="0.25">
      <c r="AG269" s="1">
        <v>7.7600000000000504</v>
      </c>
      <c r="AH269" s="1">
        <f t="shared" si="19"/>
        <v>222.23999999999995</v>
      </c>
      <c r="AI269" s="1">
        <f t="shared" si="20"/>
        <v>222.23999999999995</v>
      </c>
      <c r="AK269" s="1">
        <v>7.7600000000000504</v>
      </c>
      <c r="AO269" s="1">
        <v>7.7600000000000504</v>
      </c>
      <c r="AS269" s="1">
        <v>7.7600000000000504</v>
      </c>
      <c r="AW269" s="1">
        <v>7.7600000000000504</v>
      </c>
      <c r="BA269" s="1">
        <v>7.7600000000000504</v>
      </c>
      <c r="BE269" s="1">
        <v>7.7600000000000504</v>
      </c>
      <c r="BI269" s="1">
        <v>7.7600000000000504</v>
      </c>
      <c r="BM269" s="1">
        <v>7.7600000000000504</v>
      </c>
      <c r="BQ269" s="1">
        <v>7.7600000000000504</v>
      </c>
      <c r="BU269" s="1">
        <v>7.7600000000000504</v>
      </c>
    </row>
    <row r="270" spans="33:73" hidden="1" x14ac:dyDescent="0.25">
      <c r="AG270" s="1">
        <v>7.7500000000000497</v>
      </c>
      <c r="AH270" s="1">
        <f t="shared" si="19"/>
        <v>222.24999999999994</v>
      </c>
      <c r="AI270" s="1">
        <f t="shared" si="20"/>
        <v>222.24999999999994</v>
      </c>
      <c r="AK270" s="1">
        <v>7.7500000000000497</v>
      </c>
      <c r="AO270" s="1">
        <v>7.7500000000000497</v>
      </c>
      <c r="AS270" s="1">
        <v>7.7500000000000497</v>
      </c>
      <c r="AW270" s="1">
        <v>7.7500000000000497</v>
      </c>
      <c r="BA270" s="1">
        <v>7.7500000000000497</v>
      </c>
      <c r="BE270" s="1">
        <v>7.7500000000000497</v>
      </c>
      <c r="BI270" s="1">
        <v>7.7500000000000497</v>
      </c>
      <c r="BM270" s="1">
        <v>7.7500000000000497</v>
      </c>
      <c r="BQ270" s="1">
        <v>7.7500000000000497</v>
      </c>
      <c r="BU270" s="1">
        <v>7.7500000000000497</v>
      </c>
    </row>
    <row r="271" spans="33:73" hidden="1" x14ac:dyDescent="0.25">
      <c r="AG271" s="1">
        <v>7.74000000000005</v>
      </c>
      <c r="AH271" s="1">
        <f t="shared" si="19"/>
        <v>222.25999999999996</v>
      </c>
      <c r="AI271" s="1">
        <f t="shared" si="20"/>
        <v>222.25999999999996</v>
      </c>
      <c r="AK271" s="1">
        <v>7.74000000000005</v>
      </c>
      <c r="AO271" s="1">
        <v>7.74000000000005</v>
      </c>
      <c r="AS271" s="1">
        <v>7.74000000000005</v>
      </c>
      <c r="AW271" s="1">
        <v>7.74000000000005</v>
      </c>
      <c r="BA271" s="1">
        <v>7.74000000000005</v>
      </c>
      <c r="BE271" s="1">
        <v>7.74000000000005</v>
      </c>
      <c r="BI271" s="1">
        <v>7.74000000000005</v>
      </c>
      <c r="BM271" s="1">
        <v>7.74000000000005</v>
      </c>
      <c r="BQ271" s="1">
        <v>7.74000000000005</v>
      </c>
      <c r="BU271" s="1">
        <v>7.74000000000005</v>
      </c>
    </row>
    <row r="272" spans="33:73" hidden="1" x14ac:dyDescent="0.25">
      <c r="AG272" s="1">
        <v>7.7300000000000502</v>
      </c>
      <c r="AH272" s="1">
        <f t="shared" si="19"/>
        <v>222.26999999999995</v>
      </c>
      <c r="AI272" s="1">
        <f t="shared" si="20"/>
        <v>222.26999999999995</v>
      </c>
      <c r="AK272" s="1">
        <v>7.7300000000000502</v>
      </c>
      <c r="AO272" s="1">
        <v>7.7300000000000502</v>
      </c>
      <c r="AS272" s="1">
        <v>7.7300000000000502</v>
      </c>
      <c r="AW272" s="1">
        <v>7.7300000000000502</v>
      </c>
      <c r="BA272" s="1">
        <v>7.7300000000000502</v>
      </c>
      <c r="BE272" s="1">
        <v>7.7300000000000502</v>
      </c>
      <c r="BI272" s="1">
        <v>7.7300000000000502</v>
      </c>
      <c r="BM272" s="1">
        <v>7.7300000000000502</v>
      </c>
      <c r="BQ272" s="1">
        <v>7.7300000000000502</v>
      </c>
      <c r="BU272" s="1">
        <v>7.7300000000000502</v>
      </c>
    </row>
    <row r="273" spans="33:73" hidden="1" x14ac:dyDescent="0.25">
      <c r="AG273" s="1">
        <v>7.7200000000000504</v>
      </c>
      <c r="AH273" s="1">
        <f t="shared" si="19"/>
        <v>222.27999999999994</v>
      </c>
      <c r="AI273" s="1">
        <f t="shared" si="20"/>
        <v>222.27999999999994</v>
      </c>
      <c r="AK273" s="1">
        <v>7.7200000000000504</v>
      </c>
      <c r="AO273" s="1">
        <v>7.7200000000000504</v>
      </c>
      <c r="AS273" s="1">
        <v>7.7200000000000504</v>
      </c>
      <c r="AW273" s="1">
        <v>7.7200000000000504</v>
      </c>
      <c r="BA273" s="1">
        <v>7.7200000000000504</v>
      </c>
      <c r="BE273" s="1">
        <v>7.7200000000000504</v>
      </c>
      <c r="BI273" s="1">
        <v>7.7200000000000504</v>
      </c>
      <c r="BM273" s="1">
        <v>7.7200000000000504</v>
      </c>
      <c r="BQ273" s="1">
        <v>7.7200000000000504</v>
      </c>
      <c r="BU273" s="1">
        <v>7.7200000000000504</v>
      </c>
    </row>
    <row r="274" spans="33:73" hidden="1" x14ac:dyDescent="0.25">
      <c r="AG274" s="1">
        <v>7.7100000000000497</v>
      </c>
      <c r="AH274" s="1">
        <f t="shared" si="19"/>
        <v>222.28999999999996</v>
      </c>
      <c r="AI274" s="1">
        <f t="shared" si="20"/>
        <v>222.28999999999996</v>
      </c>
      <c r="AK274" s="1">
        <v>7.7100000000000497</v>
      </c>
      <c r="AO274" s="1">
        <v>7.7100000000000497</v>
      </c>
      <c r="AS274" s="1">
        <v>7.7100000000000497</v>
      </c>
      <c r="AW274" s="1">
        <v>7.7100000000000497</v>
      </c>
      <c r="BA274" s="1">
        <v>7.7100000000000497</v>
      </c>
      <c r="BE274" s="1">
        <v>7.7100000000000497</v>
      </c>
      <c r="BI274" s="1">
        <v>7.7100000000000497</v>
      </c>
      <c r="BM274" s="1">
        <v>7.7100000000000497</v>
      </c>
      <c r="BQ274" s="1">
        <v>7.7100000000000497</v>
      </c>
      <c r="BU274" s="1">
        <v>7.7100000000000497</v>
      </c>
    </row>
    <row r="275" spans="33:73" hidden="1" x14ac:dyDescent="0.25">
      <c r="AG275" s="1">
        <v>7.7000000000000499</v>
      </c>
      <c r="AH275" s="1">
        <f t="shared" si="19"/>
        <v>222.29999999999995</v>
      </c>
      <c r="AI275" s="1">
        <f t="shared" si="20"/>
        <v>222.29999999999995</v>
      </c>
      <c r="AK275" s="1">
        <v>7.7000000000000499</v>
      </c>
      <c r="AO275" s="1">
        <v>7.7000000000000499</v>
      </c>
      <c r="AS275" s="1">
        <v>7.7000000000000499</v>
      </c>
      <c r="AW275" s="1">
        <v>7.7000000000000499</v>
      </c>
      <c r="BA275" s="1">
        <v>7.7000000000000499</v>
      </c>
      <c r="BE275" s="1">
        <v>7.7000000000000499</v>
      </c>
      <c r="BI275" s="1">
        <v>7.7000000000000499</v>
      </c>
      <c r="BM275" s="1">
        <v>7.7000000000000499</v>
      </c>
      <c r="BQ275" s="1">
        <v>7.7000000000000499</v>
      </c>
      <c r="BU275" s="1">
        <v>7.7000000000000499</v>
      </c>
    </row>
    <row r="276" spans="33:73" hidden="1" x14ac:dyDescent="0.25">
      <c r="AG276" s="1">
        <v>7.6900000000000501</v>
      </c>
      <c r="AH276" s="1">
        <f t="shared" si="19"/>
        <v>222.30999999999995</v>
      </c>
      <c r="AI276" s="1">
        <f t="shared" si="20"/>
        <v>222.30999999999995</v>
      </c>
      <c r="AK276" s="1">
        <v>7.6900000000000501</v>
      </c>
      <c r="AO276" s="1">
        <v>7.6900000000000501</v>
      </c>
      <c r="AS276" s="1">
        <v>7.6900000000000501</v>
      </c>
      <c r="AW276" s="1">
        <v>7.6900000000000501</v>
      </c>
      <c r="BA276" s="1">
        <v>7.6900000000000501</v>
      </c>
      <c r="BE276" s="1">
        <v>7.6900000000000501</v>
      </c>
      <c r="BI276" s="1">
        <v>7.6900000000000501</v>
      </c>
      <c r="BM276" s="1">
        <v>7.6900000000000501</v>
      </c>
      <c r="BQ276" s="1">
        <v>7.6900000000000501</v>
      </c>
      <c r="BU276" s="1">
        <v>7.6900000000000501</v>
      </c>
    </row>
    <row r="277" spans="33:73" hidden="1" x14ac:dyDescent="0.25">
      <c r="AG277" s="1">
        <v>7.6800000000000503</v>
      </c>
      <c r="AH277" s="1">
        <f t="shared" si="19"/>
        <v>222.31999999999994</v>
      </c>
      <c r="AI277" s="1">
        <f t="shared" si="20"/>
        <v>222.31999999999994</v>
      </c>
      <c r="AK277" s="1">
        <v>7.6800000000000503</v>
      </c>
      <c r="AO277" s="1">
        <v>7.6800000000000503</v>
      </c>
      <c r="AS277" s="1">
        <v>7.6800000000000503</v>
      </c>
      <c r="AW277" s="1">
        <v>7.6800000000000503</v>
      </c>
      <c r="BA277" s="1">
        <v>7.6800000000000503</v>
      </c>
      <c r="BE277" s="1">
        <v>7.6800000000000503</v>
      </c>
      <c r="BI277" s="1">
        <v>7.6800000000000503</v>
      </c>
      <c r="BM277" s="1">
        <v>7.6800000000000503</v>
      </c>
      <c r="BQ277" s="1">
        <v>7.6800000000000503</v>
      </c>
      <c r="BU277" s="1">
        <v>7.6800000000000503</v>
      </c>
    </row>
    <row r="278" spans="33:73" hidden="1" x14ac:dyDescent="0.25">
      <c r="AG278" s="1">
        <v>7.6700000000000497</v>
      </c>
      <c r="AH278" s="1">
        <f t="shared" si="19"/>
        <v>222.32999999999996</v>
      </c>
      <c r="AI278" s="1">
        <f t="shared" si="20"/>
        <v>222.32999999999996</v>
      </c>
      <c r="AK278" s="1">
        <v>7.6700000000000497</v>
      </c>
      <c r="AO278" s="1">
        <v>7.6700000000000497</v>
      </c>
      <c r="AS278" s="1">
        <v>7.6700000000000497</v>
      </c>
      <c r="AW278" s="1">
        <v>7.6700000000000497</v>
      </c>
      <c r="BA278" s="1">
        <v>7.6700000000000497</v>
      </c>
      <c r="BE278" s="1">
        <v>7.6700000000000497</v>
      </c>
      <c r="BI278" s="1">
        <v>7.6700000000000497</v>
      </c>
      <c r="BM278" s="1">
        <v>7.6700000000000497</v>
      </c>
      <c r="BQ278" s="1">
        <v>7.6700000000000497</v>
      </c>
      <c r="BU278" s="1">
        <v>7.6700000000000497</v>
      </c>
    </row>
    <row r="279" spans="33:73" hidden="1" x14ac:dyDescent="0.25">
      <c r="AG279" s="1">
        <v>7.6600000000000499</v>
      </c>
      <c r="AH279" s="1">
        <f t="shared" si="19"/>
        <v>222.33999999999995</v>
      </c>
      <c r="AI279" s="1">
        <f t="shared" si="20"/>
        <v>222.33999999999995</v>
      </c>
      <c r="AK279" s="1">
        <v>7.6600000000000499</v>
      </c>
      <c r="AO279" s="1">
        <v>7.6600000000000499</v>
      </c>
      <c r="AS279" s="1">
        <v>7.6600000000000499</v>
      </c>
      <c r="AW279" s="1">
        <v>7.6600000000000499</v>
      </c>
      <c r="BA279" s="1">
        <v>7.6600000000000499</v>
      </c>
      <c r="BE279" s="1">
        <v>7.6600000000000499</v>
      </c>
      <c r="BI279" s="1">
        <v>7.6600000000000499</v>
      </c>
      <c r="BM279" s="1">
        <v>7.6600000000000499</v>
      </c>
      <c r="BQ279" s="1">
        <v>7.6600000000000499</v>
      </c>
      <c r="BU279" s="1">
        <v>7.6600000000000499</v>
      </c>
    </row>
    <row r="280" spans="33:73" hidden="1" x14ac:dyDescent="0.25">
      <c r="AG280" s="1">
        <v>7.6500000000000501</v>
      </c>
      <c r="AH280" s="1">
        <f t="shared" si="19"/>
        <v>222.34999999999994</v>
      </c>
      <c r="AI280" s="1">
        <f t="shared" si="20"/>
        <v>222.34999999999994</v>
      </c>
      <c r="AK280" s="1">
        <v>7.6500000000000501</v>
      </c>
      <c r="AO280" s="1">
        <v>7.6500000000000501</v>
      </c>
      <c r="AS280" s="1">
        <v>7.6500000000000501</v>
      </c>
      <c r="AW280" s="1">
        <v>7.6500000000000501</v>
      </c>
      <c r="BA280" s="1">
        <v>7.6500000000000501</v>
      </c>
      <c r="BE280" s="1">
        <v>7.6500000000000501</v>
      </c>
      <c r="BI280" s="1">
        <v>7.6500000000000501</v>
      </c>
      <c r="BM280" s="1">
        <v>7.6500000000000501</v>
      </c>
      <c r="BQ280" s="1">
        <v>7.6500000000000501</v>
      </c>
      <c r="BU280" s="1">
        <v>7.6500000000000501</v>
      </c>
    </row>
    <row r="281" spans="33:73" hidden="1" x14ac:dyDescent="0.25">
      <c r="AG281" s="1">
        <v>7.6400000000000503</v>
      </c>
      <c r="AH281" s="1">
        <f t="shared" si="19"/>
        <v>222.35999999999996</v>
      </c>
      <c r="AI281" s="1">
        <f t="shared" si="20"/>
        <v>222.35999999999996</v>
      </c>
      <c r="AK281" s="1">
        <v>7.6400000000000503</v>
      </c>
      <c r="AO281" s="1">
        <v>7.6400000000000503</v>
      </c>
      <c r="AS281" s="1">
        <v>7.6400000000000503</v>
      </c>
      <c r="AW281" s="1">
        <v>7.6400000000000503</v>
      </c>
      <c r="BA281" s="1">
        <v>7.6400000000000503</v>
      </c>
      <c r="BE281" s="1">
        <v>7.6400000000000503</v>
      </c>
      <c r="BI281" s="1">
        <v>7.6400000000000503</v>
      </c>
      <c r="BM281" s="1">
        <v>7.6400000000000503</v>
      </c>
      <c r="BQ281" s="1">
        <v>7.6400000000000503</v>
      </c>
      <c r="BU281" s="1">
        <v>7.6400000000000503</v>
      </c>
    </row>
    <row r="282" spans="33:73" hidden="1" x14ac:dyDescent="0.25">
      <c r="AG282" s="1">
        <v>7.6300000000000496</v>
      </c>
      <c r="AH282" s="1">
        <f t="shared" si="19"/>
        <v>222.36999999999995</v>
      </c>
      <c r="AI282" s="1">
        <f t="shared" si="20"/>
        <v>222.36999999999995</v>
      </c>
      <c r="AK282" s="1">
        <v>7.6300000000000496</v>
      </c>
      <c r="AO282" s="1">
        <v>7.6300000000000496</v>
      </c>
      <c r="AS282" s="1">
        <v>7.6300000000000496</v>
      </c>
      <c r="AW282" s="1">
        <v>7.6300000000000496</v>
      </c>
      <c r="BA282" s="1">
        <v>7.6300000000000496</v>
      </c>
      <c r="BE282" s="1">
        <v>7.6300000000000496</v>
      </c>
      <c r="BI282" s="1">
        <v>7.6300000000000496</v>
      </c>
      <c r="BM282" s="1">
        <v>7.6300000000000496</v>
      </c>
      <c r="BQ282" s="1">
        <v>7.6300000000000496</v>
      </c>
      <c r="BU282" s="1">
        <v>7.6300000000000496</v>
      </c>
    </row>
    <row r="283" spans="33:73" hidden="1" x14ac:dyDescent="0.25">
      <c r="AG283" s="1">
        <v>7.6200000000000498</v>
      </c>
      <c r="AH283" s="1">
        <f t="shared" si="19"/>
        <v>222.37999999999994</v>
      </c>
      <c r="AI283" s="1">
        <f t="shared" si="20"/>
        <v>222.37999999999994</v>
      </c>
      <c r="AK283" s="1">
        <v>7.6200000000000498</v>
      </c>
      <c r="AO283" s="1">
        <v>7.6200000000000498</v>
      </c>
      <c r="AS283" s="1">
        <v>7.6200000000000498</v>
      </c>
      <c r="AW283" s="1">
        <v>7.6200000000000498</v>
      </c>
      <c r="BA283" s="1">
        <v>7.6200000000000498</v>
      </c>
      <c r="BE283" s="1">
        <v>7.6200000000000498</v>
      </c>
      <c r="BI283" s="1">
        <v>7.6200000000000498</v>
      </c>
      <c r="BM283" s="1">
        <v>7.6200000000000498</v>
      </c>
      <c r="BQ283" s="1">
        <v>7.6200000000000498</v>
      </c>
      <c r="BU283" s="1">
        <v>7.6200000000000498</v>
      </c>
    </row>
    <row r="284" spans="33:73" hidden="1" x14ac:dyDescent="0.25">
      <c r="AG284" s="1">
        <v>7.6100000000000501</v>
      </c>
      <c r="AH284" s="1">
        <f t="shared" si="19"/>
        <v>222.38999999999996</v>
      </c>
      <c r="AI284" s="1">
        <f t="shared" si="20"/>
        <v>222.38999999999996</v>
      </c>
      <c r="AK284" s="1">
        <v>7.6100000000000501</v>
      </c>
      <c r="AO284" s="1">
        <v>7.6100000000000501</v>
      </c>
      <c r="AS284" s="1">
        <v>7.6100000000000501</v>
      </c>
      <c r="AW284" s="1">
        <v>7.6100000000000501</v>
      </c>
      <c r="BA284" s="1">
        <v>7.6100000000000501</v>
      </c>
      <c r="BE284" s="1">
        <v>7.6100000000000501</v>
      </c>
      <c r="BI284" s="1">
        <v>7.6100000000000501</v>
      </c>
      <c r="BM284" s="1">
        <v>7.6100000000000501</v>
      </c>
      <c r="BQ284" s="1">
        <v>7.6100000000000501</v>
      </c>
      <c r="BU284" s="1">
        <v>7.6100000000000501</v>
      </c>
    </row>
    <row r="285" spans="33:73" hidden="1" x14ac:dyDescent="0.25">
      <c r="AG285" s="1">
        <v>7.6000000000000503</v>
      </c>
      <c r="AH285" s="1">
        <f t="shared" si="19"/>
        <v>222.39999999999995</v>
      </c>
      <c r="AI285" s="1">
        <f t="shared" si="20"/>
        <v>222.39999999999995</v>
      </c>
      <c r="AK285" s="1">
        <v>7.6000000000000503</v>
      </c>
      <c r="AO285" s="1">
        <v>7.6000000000000503</v>
      </c>
      <c r="AS285" s="1">
        <v>7.6000000000000503</v>
      </c>
      <c r="AW285" s="1">
        <v>7.6000000000000503</v>
      </c>
      <c r="BA285" s="1">
        <v>7.6000000000000503</v>
      </c>
      <c r="BE285" s="1">
        <v>7.6000000000000503</v>
      </c>
      <c r="BI285" s="1">
        <v>7.6000000000000503</v>
      </c>
      <c r="BM285" s="1">
        <v>7.6000000000000503</v>
      </c>
      <c r="BQ285" s="1">
        <v>7.6000000000000503</v>
      </c>
      <c r="BU285" s="1">
        <v>7.6000000000000503</v>
      </c>
    </row>
    <row r="286" spans="33:73" hidden="1" x14ac:dyDescent="0.25">
      <c r="AG286" s="1">
        <v>7.5900000000000496</v>
      </c>
      <c r="AH286" s="1">
        <f t="shared" si="19"/>
        <v>222.40999999999994</v>
      </c>
      <c r="AI286" s="1">
        <f t="shared" si="20"/>
        <v>222.40999999999994</v>
      </c>
      <c r="AK286" s="1">
        <v>7.5900000000000496</v>
      </c>
      <c r="AO286" s="1">
        <v>7.5900000000000496</v>
      </c>
      <c r="AS286" s="1">
        <v>7.5900000000000496</v>
      </c>
      <c r="AW286" s="1">
        <v>7.5900000000000496</v>
      </c>
      <c r="BA286" s="1">
        <v>7.5900000000000496</v>
      </c>
      <c r="BE286" s="1">
        <v>7.5900000000000496</v>
      </c>
      <c r="BI286" s="1">
        <v>7.5900000000000496</v>
      </c>
      <c r="BM286" s="1">
        <v>7.5900000000000496</v>
      </c>
      <c r="BQ286" s="1">
        <v>7.5900000000000496</v>
      </c>
      <c r="BU286" s="1">
        <v>7.5900000000000496</v>
      </c>
    </row>
    <row r="287" spans="33:73" hidden="1" x14ac:dyDescent="0.25">
      <c r="AG287" s="1">
        <v>7.5800000000000498</v>
      </c>
      <c r="AH287" s="1">
        <f t="shared" si="19"/>
        <v>222.41999999999996</v>
      </c>
      <c r="AI287" s="1">
        <f t="shared" si="20"/>
        <v>222.41999999999996</v>
      </c>
      <c r="AK287" s="1">
        <v>7.5800000000000498</v>
      </c>
      <c r="AO287" s="1">
        <v>7.5800000000000498</v>
      </c>
      <c r="AS287" s="1">
        <v>7.5800000000000498</v>
      </c>
      <c r="AW287" s="1">
        <v>7.5800000000000498</v>
      </c>
      <c r="BA287" s="1">
        <v>7.5800000000000498</v>
      </c>
      <c r="BE287" s="1">
        <v>7.5800000000000498</v>
      </c>
      <c r="BI287" s="1">
        <v>7.5800000000000498</v>
      </c>
      <c r="BM287" s="1">
        <v>7.5800000000000498</v>
      </c>
      <c r="BQ287" s="1">
        <v>7.5800000000000498</v>
      </c>
      <c r="BU287" s="1">
        <v>7.5800000000000498</v>
      </c>
    </row>
    <row r="288" spans="33:73" hidden="1" x14ac:dyDescent="0.25">
      <c r="AG288" s="1">
        <v>7.57000000000005</v>
      </c>
      <c r="AH288" s="1">
        <f t="shared" si="19"/>
        <v>222.42999999999995</v>
      </c>
      <c r="AI288" s="1">
        <f t="shared" si="20"/>
        <v>222.42999999999995</v>
      </c>
      <c r="AK288" s="1">
        <v>7.57000000000005</v>
      </c>
      <c r="AO288" s="1">
        <v>7.57000000000005</v>
      </c>
      <c r="AS288" s="1">
        <v>7.57000000000005</v>
      </c>
      <c r="AW288" s="1">
        <v>7.57000000000005</v>
      </c>
      <c r="BA288" s="1">
        <v>7.57000000000005</v>
      </c>
      <c r="BE288" s="1">
        <v>7.57000000000005</v>
      </c>
      <c r="BI288" s="1">
        <v>7.57000000000005</v>
      </c>
      <c r="BM288" s="1">
        <v>7.57000000000005</v>
      </c>
      <c r="BQ288" s="1">
        <v>7.57000000000005</v>
      </c>
      <c r="BU288" s="1">
        <v>7.57000000000005</v>
      </c>
    </row>
    <row r="289" spans="33:73" hidden="1" x14ac:dyDescent="0.25">
      <c r="AG289" s="1">
        <v>7.5600000000000502</v>
      </c>
      <c r="AH289" s="1">
        <f t="shared" si="19"/>
        <v>222.43999999999994</v>
      </c>
      <c r="AI289" s="1">
        <f t="shared" si="20"/>
        <v>222.43999999999994</v>
      </c>
      <c r="AK289" s="1">
        <v>7.5600000000000502</v>
      </c>
      <c r="AO289" s="1">
        <v>7.5600000000000502</v>
      </c>
      <c r="AS289" s="1">
        <v>7.5600000000000502</v>
      </c>
      <c r="AW289" s="1">
        <v>7.5600000000000502</v>
      </c>
      <c r="BA289" s="1">
        <v>7.5600000000000502</v>
      </c>
      <c r="BE289" s="1">
        <v>7.5600000000000502</v>
      </c>
      <c r="BI289" s="1">
        <v>7.5600000000000502</v>
      </c>
      <c r="BM289" s="1">
        <v>7.5600000000000502</v>
      </c>
      <c r="BQ289" s="1">
        <v>7.5600000000000502</v>
      </c>
      <c r="BU289" s="1">
        <v>7.5600000000000502</v>
      </c>
    </row>
    <row r="290" spans="33:73" hidden="1" x14ac:dyDescent="0.25">
      <c r="AG290" s="1">
        <v>7.5500000000000496</v>
      </c>
      <c r="AH290" s="1">
        <f t="shared" si="19"/>
        <v>222.44999999999996</v>
      </c>
      <c r="AI290" s="1">
        <f t="shared" si="20"/>
        <v>222.44999999999996</v>
      </c>
      <c r="AK290" s="1">
        <v>7.5500000000000496</v>
      </c>
      <c r="AO290" s="1">
        <v>7.5500000000000496</v>
      </c>
      <c r="AS290" s="1">
        <v>7.5500000000000496</v>
      </c>
      <c r="AW290" s="1">
        <v>7.5500000000000496</v>
      </c>
      <c r="BA290" s="1">
        <v>7.5500000000000496</v>
      </c>
      <c r="BE290" s="1">
        <v>7.5500000000000496</v>
      </c>
      <c r="BI290" s="1">
        <v>7.5500000000000496</v>
      </c>
      <c r="BM290" s="1">
        <v>7.5500000000000496</v>
      </c>
      <c r="BQ290" s="1">
        <v>7.5500000000000496</v>
      </c>
      <c r="BU290" s="1">
        <v>7.5500000000000496</v>
      </c>
    </row>
    <row r="291" spans="33:73" hidden="1" x14ac:dyDescent="0.25">
      <c r="AG291" s="1">
        <v>7.5400000000000498</v>
      </c>
      <c r="AH291" s="1">
        <f t="shared" si="19"/>
        <v>222.45999999999995</v>
      </c>
      <c r="AI291" s="1">
        <f t="shared" si="20"/>
        <v>222.45999999999995</v>
      </c>
      <c r="AK291" s="1">
        <v>7.5400000000000498</v>
      </c>
      <c r="AO291" s="1">
        <v>7.5400000000000498</v>
      </c>
      <c r="AS291" s="1">
        <v>7.5400000000000498</v>
      </c>
      <c r="AW291" s="1">
        <v>7.5400000000000498</v>
      </c>
      <c r="BA291" s="1">
        <v>7.5400000000000498</v>
      </c>
      <c r="BE291" s="1">
        <v>7.5400000000000498</v>
      </c>
      <c r="BI291" s="1">
        <v>7.5400000000000498</v>
      </c>
      <c r="BM291" s="1">
        <v>7.5400000000000498</v>
      </c>
      <c r="BQ291" s="1">
        <v>7.5400000000000498</v>
      </c>
      <c r="BU291" s="1">
        <v>7.5400000000000498</v>
      </c>
    </row>
    <row r="292" spans="33:73" hidden="1" x14ac:dyDescent="0.25">
      <c r="AG292" s="1">
        <v>7.53000000000005</v>
      </c>
      <c r="AH292" s="1">
        <f t="shared" si="19"/>
        <v>222.46999999999994</v>
      </c>
      <c r="AI292" s="1">
        <f t="shared" si="20"/>
        <v>222.46999999999994</v>
      </c>
      <c r="AK292" s="1">
        <v>7.53000000000005</v>
      </c>
      <c r="AO292" s="1">
        <v>7.53000000000005</v>
      </c>
      <c r="AS292" s="1">
        <v>7.53000000000005</v>
      </c>
      <c r="AW292" s="1">
        <v>7.53000000000005</v>
      </c>
      <c r="BA292" s="1">
        <v>7.53000000000005</v>
      </c>
      <c r="BE292" s="1">
        <v>7.53000000000005</v>
      </c>
      <c r="BI292" s="1">
        <v>7.53000000000005</v>
      </c>
      <c r="BM292" s="1">
        <v>7.53000000000005</v>
      </c>
      <c r="BQ292" s="1">
        <v>7.53000000000005</v>
      </c>
      <c r="BU292" s="1">
        <v>7.53000000000005</v>
      </c>
    </row>
    <row r="293" spans="33:73" hidden="1" x14ac:dyDescent="0.25">
      <c r="AG293" s="1">
        <v>7.5200000000000502</v>
      </c>
      <c r="AH293" s="1">
        <f t="shared" si="19"/>
        <v>222.47999999999996</v>
      </c>
      <c r="AI293" s="1">
        <f t="shared" si="20"/>
        <v>222.47999999999996</v>
      </c>
      <c r="AK293" s="1">
        <v>7.5200000000000502</v>
      </c>
      <c r="AO293" s="1">
        <v>7.5200000000000502</v>
      </c>
      <c r="AS293" s="1">
        <v>7.5200000000000502</v>
      </c>
      <c r="AW293" s="1">
        <v>7.5200000000000502</v>
      </c>
      <c r="BA293" s="1">
        <v>7.5200000000000502</v>
      </c>
      <c r="BE293" s="1">
        <v>7.5200000000000502</v>
      </c>
      <c r="BI293" s="1">
        <v>7.5200000000000502</v>
      </c>
      <c r="BM293" s="1">
        <v>7.5200000000000502</v>
      </c>
      <c r="BQ293" s="1">
        <v>7.5200000000000502</v>
      </c>
      <c r="BU293" s="1">
        <v>7.5200000000000502</v>
      </c>
    </row>
    <row r="294" spans="33:73" hidden="1" x14ac:dyDescent="0.25">
      <c r="AG294" s="1">
        <v>7.5100000000000504</v>
      </c>
      <c r="AH294" s="1">
        <f t="shared" si="19"/>
        <v>222.48999999999995</v>
      </c>
      <c r="AI294" s="1">
        <f t="shared" si="20"/>
        <v>222.48999999999995</v>
      </c>
      <c r="AK294" s="1">
        <v>7.5100000000000504</v>
      </c>
      <c r="AO294" s="1">
        <v>7.5100000000000504</v>
      </c>
      <c r="AS294" s="1">
        <v>7.5100000000000504</v>
      </c>
      <c r="AW294" s="1">
        <v>7.5100000000000504</v>
      </c>
      <c r="BA294" s="1">
        <v>7.5100000000000504</v>
      </c>
      <c r="BE294" s="1">
        <v>7.5100000000000504</v>
      </c>
      <c r="BI294" s="1">
        <v>7.5100000000000504</v>
      </c>
      <c r="BM294" s="1">
        <v>7.5100000000000504</v>
      </c>
      <c r="BQ294" s="1">
        <v>7.5100000000000504</v>
      </c>
      <c r="BU294" s="1">
        <v>7.5100000000000504</v>
      </c>
    </row>
    <row r="295" spans="33:73" hidden="1" x14ac:dyDescent="0.25">
      <c r="AG295" s="1">
        <v>7.5000000000000497</v>
      </c>
      <c r="AH295" s="1">
        <f t="shared" si="19"/>
        <v>222.49999999999994</v>
      </c>
      <c r="AI295" s="1">
        <f t="shared" si="20"/>
        <v>222.49999999999994</v>
      </c>
      <c r="AK295" s="1">
        <v>7.5000000000000497</v>
      </c>
      <c r="AO295" s="1">
        <v>7.5000000000000497</v>
      </c>
      <c r="AS295" s="1">
        <v>7.5000000000000497</v>
      </c>
      <c r="AW295" s="1">
        <v>7.5000000000000497</v>
      </c>
      <c r="BA295" s="1">
        <v>7.5000000000000497</v>
      </c>
      <c r="BE295" s="1">
        <v>7.5000000000000497</v>
      </c>
      <c r="BI295" s="1">
        <v>7.5000000000000497</v>
      </c>
      <c r="BM295" s="1">
        <v>7.5000000000000497</v>
      </c>
      <c r="BQ295" s="1">
        <v>7.5000000000000497</v>
      </c>
      <c r="BU295" s="1">
        <v>7.5000000000000497</v>
      </c>
    </row>
    <row r="296" spans="33:73" hidden="1" x14ac:dyDescent="0.25">
      <c r="AG296" s="1">
        <v>7.49000000000005</v>
      </c>
      <c r="AH296" s="1">
        <f t="shared" si="19"/>
        <v>222.50999999999996</v>
      </c>
      <c r="AI296" s="1">
        <f t="shared" si="20"/>
        <v>222.50999999999996</v>
      </c>
      <c r="AK296" s="1">
        <v>7.49000000000005</v>
      </c>
      <c r="AO296" s="1">
        <v>7.49000000000005</v>
      </c>
      <c r="AS296" s="1">
        <v>7.49000000000005</v>
      </c>
      <c r="AW296" s="1">
        <v>7.49000000000005</v>
      </c>
      <c r="BA296" s="1">
        <v>7.49000000000005</v>
      </c>
      <c r="BE296" s="1">
        <v>7.49000000000005</v>
      </c>
      <c r="BI296" s="1">
        <v>7.49000000000005</v>
      </c>
      <c r="BM296" s="1">
        <v>7.49000000000005</v>
      </c>
      <c r="BQ296" s="1">
        <v>7.49000000000005</v>
      </c>
      <c r="BU296" s="1">
        <v>7.49000000000005</v>
      </c>
    </row>
    <row r="297" spans="33:73" hidden="1" x14ac:dyDescent="0.25">
      <c r="AG297" s="1">
        <v>7.4800000000000502</v>
      </c>
      <c r="AH297" s="1">
        <f t="shared" si="19"/>
        <v>222.51999999999995</v>
      </c>
      <c r="AI297" s="1">
        <f t="shared" si="20"/>
        <v>222.51999999999995</v>
      </c>
      <c r="AK297" s="1">
        <v>7.4800000000000502</v>
      </c>
      <c r="AO297" s="1">
        <v>7.4800000000000502</v>
      </c>
      <c r="AS297" s="1">
        <v>7.4800000000000502</v>
      </c>
      <c r="AW297" s="1">
        <v>7.4800000000000502</v>
      </c>
      <c r="BA297" s="1">
        <v>7.4800000000000502</v>
      </c>
      <c r="BE297" s="1">
        <v>7.4800000000000502</v>
      </c>
      <c r="BI297" s="1">
        <v>7.4800000000000502</v>
      </c>
      <c r="BM297" s="1">
        <v>7.4800000000000502</v>
      </c>
      <c r="BQ297" s="1">
        <v>7.4800000000000502</v>
      </c>
      <c r="BU297" s="1">
        <v>7.4800000000000502</v>
      </c>
    </row>
    <row r="298" spans="33:73" hidden="1" x14ac:dyDescent="0.25">
      <c r="AG298" s="1">
        <v>7.4700000000000504</v>
      </c>
      <c r="AH298" s="1">
        <f t="shared" si="19"/>
        <v>222.52999999999994</v>
      </c>
      <c r="AI298" s="1">
        <f t="shared" si="20"/>
        <v>222.52999999999994</v>
      </c>
      <c r="AK298" s="1">
        <v>7.4700000000000504</v>
      </c>
      <c r="AO298" s="1">
        <v>7.4700000000000504</v>
      </c>
      <c r="AS298" s="1">
        <v>7.4700000000000504</v>
      </c>
      <c r="AW298" s="1">
        <v>7.4700000000000504</v>
      </c>
      <c r="BA298" s="1">
        <v>7.4700000000000504</v>
      </c>
      <c r="BE298" s="1">
        <v>7.4700000000000504</v>
      </c>
      <c r="BI298" s="1">
        <v>7.4700000000000504</v>
      </c>
      <c r="BM298" s="1">
        <v>7.4700000000000504</v>
      </c>
      <c r="BQ298" s="1">
        <v>7.4700000000000504</v>
      </c>
      <c r="BU298" s="1">
        <v>7.4700000000000504</v>
      </c>
    </row>
    <row r="299" spans="33:73" hidden="1" x14ac:dyDescent="0.25">
      <c r="AG299" s="1">
        <v>7.4600000000000497</v>
      </c>
      <c r="AH299" s="1">
        <f t="shared" si="19"/>
        <v>222.53999999999996</v>
      </c>
      <c r="AI299" s="1">
        <f t="shared" si="20"/>
        <v>222.53999999999996</v>
      </c>
      <c r="AK299" s="1">
        <v>7.4600000000000497</v>
      </c>
      <c r="AO299" s="1">
        <v>7.4600000000000497</v>
      </c>
      <c r="AS299" s="1">
        <v>7.4600000000000497</v>
      </c>
      <c r="AW299" s="1">
        <v>7.4600000000000497</v>
      </c>
      <c r="BA299" s="1">
        <v>7.4600000000000497</v>
      </c>
      <c r="BE299" s="1">
        <v>7.4600000000000497</v>
      </c>
      <c r="BI299" s="1">
        <v>7.4600000000000497</v>
      </c>
      <c r="BM299" s="1">
        <v>7.4600000000000497</v>
      </c>
      <c r="BQ299" s="1">
        <v>7.4600000000000497</v>
      </c>
      <c r="BU299" s="1">
        <v>7.4600000000000497</v>
      </c>
    </row>
    <row r="300" spans="33:73" hidden="1" x14ac:dyDescent="0.25">
      <c r="AG300" s="1">
        <v>7.4500000000000499</v>
      </c>
      <c r="AH300" s="1">
        <f t="shared" si="19"/>
        <v>222.54999999999995</v>
      </c>
      <c r="AI300" s="1">
        <f t="shared" si="20"/>
        <v>222.54999999999995</v>
      </c>
      <c r="AK300" s="1">
        <v>7.4500000000000499</v>
      </c>
      <c r="AO300" s="1">
        <v>7.4500000000000499</v>
      </c>
      <c r="AS300" s="1">
        <v>7.4500000000000499</v>
      </c>
      <c r="AW300" s="1">
        <v>7.4500000000000499</v>
      </c>
      <c r="BA300" s="1">
        <v>7.4500000000000499</v>
      </c>
      <c r="BE300" s="1">
        <v>7.4500000000000499</v>
      </c>
      <c r="BI300" s="1">
        <v>7.4500000000000499</v>
      </c>
      <c r="BM300" s="1">
        <v>7.4500000000000499</v>
      </c>
      <c r="BQ300" s="1">
        <v>7.4500000000000499</v>
      </c>
      <c r="BU300" s="1">
        <v>7.4500000000000499</v>
      </c>
    </row>
    <row r="301" spans="33:73" hidden="1" x14ac:dyDescent="0.25">
      <c r="AG301" s="1">
        <v>7.4400000000000501</v>
      </c>
      <c r="AH301" s="1">
        <f t="shared" si="19"/>
        <v>222.55999999999995</v>
      </c>
      <c r="AI301" s="1">
        <f t="shared" si="20"/>
        <v>222.55999999999995</v>
      </c>
      <c r="AK301" s="1">
        <v>7.4400000000000501</v>
      </c>
      <c r="AO301" s="1">
        <v>7.4400000000000501</v>
      </c>
      <c r="AS301" s="1">
        <v>7.4400000000000501</v>
      </c>
      <c r="AW301" s="1">
        <v>7.4400000000000501</v>
      </c>
      <c r="BA301" s="1">
        <v>7.4400000000000501</v>
      </c>
      <c r="BE301" s="1">
        <v>7.4400000000000501</v>
      </c>
      <c r="BI301" s="1">
        <v>7.4400000000000501</v>
      </c>
      <c r="BM301" s="1">
        <v>7.4400000000000501</v>
      </c>
      <c r="BQ301" s="1">
        <v>7.4400000000000501</v>
      </c>
      <c r="BU301" s="1">
        <v>7.4400000000000501</v>
      </c>
    </row>
    <row r="302" spans="33:73" hidden="1" x14ac:dyDescent="0.25">
      <c r="AG302" s="1">
        <v>7.4300000000000503</v>
      </c>
      <c r="AH302" s="1">
        <f t="shared" ref="AH302:AH365" si="21">SQRT((AI302+($AI$38*($AM$44*$AJ$44+$AN$44*$AK$44)))^2+($D$3*($AN$44*$AJ$44-$AM$44*$AK$44))^2)</f>
        <v>222.56999999999994</v>
      </c>
      <c r="AI302" s="1">
        <f t="shared" ref="AI302:AI365" si="22">$AI$40-AG302</f>
        <v>222.56999999999994</v>
      </c>
      <c r="AK302" s="1">
        <v>7.4300000000000503</v>
      </c>
      <c r="AO302" s="1">
        <v>7.4300000000000503</v>
      </c>
      <c r="AS302" s="1">
        <v>7.4300000000000503</v>
      </c>
      <c r="AW302" s="1">
        <v>7.4300000000000503</v>
      </c>
      <c r="BA302" s="1">
        <v>7.4300000000000503</v>
      </c>
      <c r="BE302" s="1">
        <v>7.4300000000000503</v>
      </c>
      <c r="BI302" s="1">
        <v>7.4300000000000503</v>
      </c>
      <c r="BM302" s="1">
        <v>7.4300000000000503</v>
      </c>
      <c r="BQ302" s="1">
        <v>7.4300000000000503</v>
      </c>
      <c r="BU302" s="1">
        <v>7.4300000000000503</v>
      </c>
    </row>
    <row r="303" spans="33:73" hidden="1" x14ac:dyDescent="0.25">
      <c r="AG303" s="1">
        <v>7.4200000000000497</v>
      </c>
      <c r="AH303" s="1">
        <f t="shared" si="21"/>
        <v>222.57999999999996</v>
      </c>
      <c r="AI303" s="1">
        <f t="shared" si="22"/>
        <v>222.57999999999996</v>
      </c>
      <c r="AK303" s="1">
        <v>7.4200000000000497</v>
      </c>
      <c r="AO303" s="1">
        <v>7.4200000000000497</v>
      </c>
      <c r="AS303" s="1">
        <v>7.4200000000000497</v>
      </c>
      <c r="AW303" s="1">
        <v>7.4200000000000497</v>
      </c>
      <c r="BA303" s="1">
        <v>7.4200000000000497</v>
      </c>
      <c r="BE303" s="1">
        <v>7.4200000000000497</v>
      </c>
      <c r="BI303" s="1">
        <v>7.4200000000000497</v>
      </c>
      <c r="BM303" s="1">
        <v>7.4200000000000497</v>
      </c>
      <c r="BQ303" s="1">
        <v>7.4200000000000497</v>
      </c>
      <c r="BU303" s="1">
        <v>7.4200000000000497</v>
      </c>
    </row>
    <row r="304" spans="33:73" hidden="1" x14ac:dyDescent="0.25">
      <c r="AG304" s="1">
        <v>7.4100000000000597</v>
      </c>
      <c r="AH304" s="1">
        <f t="shared" si="21"/>
        <v>222.58999999999995</v>
      </c>
      <c r="AI304" s="1">
        <f t="shared" si="22"/>
        <v>222.58999999999995</v>
      </c>
      <c r="AK304" s="1">
        <v>7.4100000000000597</v>
      </c>
      <c r="AO304" s="1">
        <v>7.4100000000000597</v>
      </c>
      <c r="AS304" s="1">
        <v>7.4100000000000597</v>
      </c>
      <c r="AW304" s="1">
        <v>7.4100000000000597</v>
      </c>
      <c r="BA304" s="1">
        <v>7.4100000000000597</v>
      </c>
      <c r="BE304" s="1">
        <v>7.4100000000000597</v>
      </c>
      <c r="BI304" s="1">
        <v>7.4100000000000597</v>
      </c>
      <c r="BM304" s="1">
        <v>7.4100000000000597</v>
      </c>
      <c r="BQ304" s="1">
        <v>7.4100000000000597</v>
      </c>
      <c r="BU304" s="1">
        <v>7.4100000000000597</v>
      </c>
    </row>
    <row r="305" spans="33:73" hidden="1" x14ac:dyDescent="0.25">
      <c r="AG305" s="1">
        <v>7.4000000000000599</v>
      </c>
      <c r="AH305" s="1">
        <f t="shared" si="21"/>
        <v>222.59999999999994</v>
      </c>
      <c r="AI305" s="1">
        <f t="shared" si="22"/>
        <v>222.59999999999994</v>
      </c>
      <c r="AK305" s="1">
        <v>7.4000000000000599</v>
      </c>
      <c r="AO305" s="1">
        <v>7.4000000000000599</v>
      </c>
      <c r="AS305" s="1">
        <v>7.4000000000000599</v>
      </c>
      <c r="AW305" s="1">
        <v>7.4000000000000599</v>
      </c>
      <c r="BA305" s="1">
        <v>7.4000000000000599</v>
      </c>
      <c r="BE305" s="1">
        <v>7.4000000000000599</v>
      </c>
      <c r="BI305" s="1">
        <v>7.4000000000000599</v>
      </c>
      <c r="BM305" s="1">
        <v>7.4000000000000599</v>
      </c>
      <c r="BQ305" s="1">
        <v>7.4000000000000599</v>
      </c>
      <c r="BU305" s="1">
        <v>7.4000000000000599</v>
      </c>
    </row>
    <row r="306" spans="33:73" hidden="1" x14ac:dyDescent="0.25">
      <c r="AG306" s="1">
        <v>7.3900000000000601</v>
      </c>
      <c r="AH306" s="1">
        <f t="shared" si="21"/>
        <v>222.60999999999993</v>
      </c>
      <c r="AI306" s="1">
        <f t="shared" si="22"/>
        <v>222.60999999999993</v>
      </c>
      <c r="AK306" s="1">
        <v>7.3900000000000601</v>
      </c>
      <c r="AO306" s="1">
        <v>7.3900000000000601</v>
      </c>
      <c r="AS306" s="1">
        <v>7.3900000000000601</v>
      </c>
      <c r="AW306" s="1">
        <v>7.3900000000000601</v>
      </c>
      <c r="BA306" s="1">
        <v>7.3900000000000601</v>
      </c>
      <c r="BE306" s="1">
        <v>7.3900000000000601</v>
      </c>
      <c r="BI306" s="1">
        <v>7.3900000000000601</v>
      </c>
      <c r="BM306" s="1">
        <v>7.3900000000000601</v>
      </c>
      <c r="BQ306" s="1">
        <v>7.3900000000000601</v>
      </c>
      <c r="BU306" s="1">
        <v>7.3900000000000601</v>
      </c>
    </row>
    <row r="307" spans="33:73" hidden="1" x14ac:dyDescent="0.25">
      <c r="AG307" s="1">
        <v>7.3800000000000603</v>
      </c>
      <c r="AH307" s="1">
        <f t="shared" si="21"/>
        <v>222.61999999999995</v>
      </c>
      <c r="AI307" s="1">
        <f t="shared" si="22"/>
        <v>222.61999999999995</v>
      </c>
      <c r="AK307" s="1">
        <v>7.3800000000000603</v>
      </c>
      <c r="AO307" s="1">
        <v>7.3800000000000603</v>
      </c>
      <c r="AS307" s="1">
        <v>7.3800000000000603</v>
      </c>
      <c r="AW307" s="1">
        <v>7.3800000000000603</v>
      </c>
      <c r="BA307" s="1">
        <v>7.3800000000000603</v>
      </c>
      <c r="BE307" s="1">
        <v>7.3800000000000603</v>
      </c>
      <c r="BI307" s="1">
        <v>7.3800000000000603</v>
      </c>
      <c r="BM307" s="1">
        <v>7.3800000000000603</v>
      </c>
      <c r="BQ307" s="1">
        <v>7.3800000000000603</v>
      </c>
      <c r="BU307" s="1">
        <v>7.3800000000000603</v>
      </c>
    </row>
    <row r="308" spans="33:73" hidden="1" x14ac:dyDescent="0.25">
      <c r="AG308" s="1">
        <v>7.3700000000000596</v>
      </c>
      <c r="AH308" s="1">
        <f t="shared" si="21"/>
        <v>222.62999999999994</v>
      </c>
      <c r="AI308" s="1">
        <f t="shared" si="22"/>
        <v>222.62999999999994</v>
      </c>
      <c r="AK308" s="1">
        <v>7.3700000000000596</v>
      </c>
      <c r="AO308" s="1">
        <v>7.3700000000000596</v>
      </c>
      <c r="AS308" s="1">
        <v>7.3700000000000596</v>
      </c>
      <c r="AW308" s="1">
        <v>7.3700000000000596</v>
      </c>
      <c r="BA308" s="1">
        <v>7.3700000000000596</v>
      </c>
      <c r="BE308" s="1">
        <v>7.3700000000000596</v>
      </c>
      <c r="BI308" s="1">
        <v>7.3700000000000596</v>
      </c>
      <c r="BM308" s="1">
        <v>7.3700000000000596</v>
      </c>
      <c r="BQ308" s="1">
        <v>7.3700000000000596</v>
      </c>
      <c r="BU308" s="1">
        <v>7.3700000000000596</v>
      </c>
    </row>
    <row r="309" spans="33:73" hidden="1" x14ac:dyDescent="0.25">
      <c r="AG309" s="1">
        <v>7.3600000000000598</v>
      </c>
      <c r="AH309" s="1">
        <f t="shared" si="21"/>
        <v>222.63999999999993</v>
      </c>
      <c r="AI309" s="1">
        <f t="shared" si="22"/>
        <v>222.63999999999993</v>
      </c>
      <c r="AK309" s="1">
        <v>7.3600000000000598</v>
      </c>
      <c r="AO309" s="1">
        <v>7.3600000000000598</v>
      </c>
      <c r="AS309" s="1">
        <v>7.3600000000000598</v>
      </c>
      <c r="AW309" s="1">
        <v>7.3600000000000598</v>
      </c>
      <c r="BA309" s="1">
        <v>7.3600000000000598</v>
      </c>
      <c r="BE309" s="1">
        <v>7.3600000000000598</v>
      </c>
      <c r="BI309" s="1">
        <v>7.3600000000000598</v>
      </c>
      <c r="BM309" s="1">
        <v>7.3600000000000598</v>
      </c>
      <c r="BQ309" s="1">
        <v>7.3600000000000598</v>
      </c>
      <c r="BU309" s="1">
        <v>7.3600000000000598</v>
      </c>
    </row>
    <row r="310" spans="33:73" hidden="1" x14ac:dyDescent="0.25">
      <c r="AG310" s="1">
        <v>7.35000000000006</v>
      </c>
      <c r="AH310" s="1">
        <f t="shared" si="21"/>
        <v>222.64999999999995</v>
      </c>
      <c r="AI310" s="1">
        <f t="shared" si="22"/>
        <v>222.64999999999995</v>
      </c>
      <c r="AK310" s="1">
        <v>7.35000000000006</v>
      </c>
      <c r="AO310" s="1">
        <v>7.35000000000006</v>
      </c>
      <c r="AS310" s="1">
        <v>7.35000000000006</v>
      </c>
      <c r="AW310" s="1">
        <v>7.35000000000006</v>
      </c>
      <c r="BA310" s="1">
        <v>7.35000000000006</v>
      </c>
      <c r="BE310" s="1">
        <v>7.35000000000006</v>
      </c>
      <c r="BI310" s="1">
        <v>7.35000000000006</v>
      </c>
      <c r="BM310" s="1">
        <v>7.35000000000006</v>
      </c>
      <c r="BQ310" s="1">
        <v>7.35000000000006</v>
      </c>
      <c r="BU310" s="1">
        <v>7.35000000000006</v>
      </c>
    </row>
    <row r="311" spans="33:73" hidden="1" x14ac:dyDescent="0.25">
      <c r="AG311" s="1">
        <v>7.3400000000000603</v>
      </c>
      <c r="AH311" s="1">
        <f t="shared" si="21"/>
        <v>222.65999999999994</v>
      </c>
      <c r="AI311" s="1">
        <f t="shared" si="22"/>
        <v>222.65999999999994</v>
      </c>
      <c r="AK311" s="1">
        <v>7.3400000000000603</v>
      </c>
      <c r="AO311" s="1">
        <v>7.3400000000000603</v>
      </c>
      <c r="AS311" s="1">
        <v>7.3400000000000603</v>
      </c>
      <c r="AW311" s="1">
        <v>7.3400000000000603</v>
      </c>
      <c r="BA311" s="1">
        <v>7.3400000000000603</v>
      </c>
      <c r="BE311" s="1">
        <v>7.3400000000000603</v>
      </c>
      <c r="BI311" s="1">
        <v>7.3400000000000603</v>
      </c>
      <c r="BM311" s="1">
        <v>7.3400000000000603</v>
      </c>
      <c r="BQ311" s="1">
        <v>7.3400000000000603</v>
      </c>
      <c r="BU311" s="1">
        <v>7.3400000000000603</v>
      </c>
    </row>
    <row r="312" spans="33:73" hidden="1" x14ac:dyDescent="0.25">
      <c r="AG312" s="1">
        <v>7.3300000000000596</v>
      </c>
      <c r="AH312" s="1">
        <f t="shared" si="21"/>
        <v>222.66999999999993</v>
      </c>
      <c r="AI312" s="1">
        <f t="shared" si="22"/>
        <v>222.66999999999993</v>
      </c>
      <c r="AK312" s="1">
        <v>7.3300000000000596</v>
      </c>
      <c r="AO312" s="1">
        <v>7.3300000000000596</v>
      </c>
      <c r="AS312" s="1">
        <v>7.3300000000000596</v>
      </c>
      <c r="AW312" s="1">
        <v>7.3300000000000596</v>
      </c>
      <c r="BA312" s="1">
        <v>7.3300000000000596</v>
      </c>
      <c r="BE312" s="1">
        <v>7.3300000000000596</v>
      </c>
      <c r="BI312" s="1">
        <v>7.3300000000000596</v>
      </c>
      <c r="BM312" s="1">
        <v>7.3300000000000596</v>
      </c>
      <c r="BQ312" s="1">
        <v>7.3300000000000596</v>
      </c>
      <c r="BU312" s="1">
        <v>7.3300000000000596</v>
      </c>
    </row>
    <row r="313" spans="33:73" hidden="1" x14ac:dyDescent="0.25">
      <c r="AG313" s="1">
        <v>7.3200000000000598</v>
      </c>
      <c r="AH313" s="1">
        <f t="shared" si="21"/>
        <v>222.67999999999995</v>
      </c>
      <c r="AI313" s="1">
        <f t="shared" si="22"/>
        <v>222.67999999999995</v>
      </c>
      <c r="AK313" s="1">
        <v>7.3200000000000598</v>
      </c>
      <c r="AO313" s="1">
        <v>7.3200000000000598</v>
      </c>
      <c r="AS313" s="1">
        <v>7.3200000000000598</v>
      </c>
      <c r="AW313" s="1">
        <v>7.3200000000000598</v>
      </c>
      <c r="BA313" s="1">
        <v>7.3200000000000598</v>
      </c>
      <c r="BE313" s="1">
        <v>7.3200000000000598</v>
      </c>
      <c r="BI313" s="1">
        <v>7.3200000000000598</v>
      </c>
      <c r="BM313" s="1">
        <v>7.3200000000000598</v>
      </c>
      <c r="BQ313" s="1">
        <v>7.3200000000000598</v>
      </c>
      <c r="BU313" s="1">
        <v>7.3200000000000598</v>
      </c>
    </row>
    <row r="314" spans="33:73" hidden="1" x14ac:dyDescent="0.25">
      <c r="AG314" s="1">
        <v>7.31000000000006</v>
      </c>
      <c r="AH314" s="1">
        <f t="shared" si="21"/>
        <v>222.68999999999994</v>
      </c>
      <c r="AI314" s="1">
        <f t="shared" si="22"/>
        <v>222.68999999999994</v>
      </c>
      <c r="AK314" s="1">
        <v>7.31000000000006</v>
      </c>
      <c r="AO314" s="1">
        <v>7.31000000000006</v>
      </c>
      <c r="AS314" s="1">
        <v>7.31000000000006</v>
      </c>
      <c r="AW314" s="1">
        <v>7.31000000000006</v>
      </c>
      <c r="BA314" s="1">
        <v>7.31000000000006</v>
      </c>
      <c r="BE314" s="1">
        <v>7.31000000000006</v>
      </c>
      <c r="BI314" s="1">
        <v>7.31000000000006</v>
      </c>
      <c r="BM314" s="1">
        <v>7.31000000000006</v>
      </c>
      <c r="BQ314" s="1">
        <v>7.31000000000006</v>
      </c>
      <c r="BU314" s="1">
        <v>7.31000000000006</v>
      </c>
    </row>
    <row r="315" spans="33:73" hidden="1" x14ac:dyDescent="0.25">
      <c r="AG315" s="1">
        <v>7.3000000000000602</v>
      </c>
      <c r="AH315" s="1">
        <f t="shared" si="21"/>
        <v>222.69999999999993</v>
      </c>
      <c r="AI315" s="1">
        <f t="shared" si="22"/>
        <v>222.69999999999993</v>
      </c>
      <c r="AK315" s="1">
        <v>7.3000000000000602</v>
      </c>
      <c r="AO315" s="1">
        <v>7.3000000000000602</v>
      </c>
      <c r="AS315" s="1">
        <v>7.3000000000000602</v>
      </c>
      <c r="AW315" s="1">
        <v>7.3000000000000602</v>
      </c>
      <c r="BA315" s="1">
        <v>7.3000000000000602</v>
      </c>
      <c r="BE315" s="1">
        <v>7.3000000000000602</v>
      </c>
      <c r="BI315" s="1">
        <v>7.3000000000000602</v>
      </c>
      <c r="BM315" s="1">
        <v>7.3000000000000602</v>
      </c>
      <c r="BQ315" s="1">
        <v>7.3000000000000602</v>
      </c>
      <c r="BU315" s="1">
        <v>7.3000000000000602</v>
      </c>
    </row>
    <row r="316" spans="33:73" hidden="1" x14ac:dyDescent="0.25">
      <c r="AG316" s="1">
        <v>7.2900000000000604</v>
      </c>
      <c r="AH316" s="1">
        <f t="shared" si="21"/>
        <v>222.70999999999995</v>
      </c>
      <c r="AI316" s="1">
        <f t="shared" si="22"/>
        <v>222.70999999999995</v>
      </c>
      <c r="AK316" s="1">
        <v>7.2900000000000604</v>
      </c>
      <c r="AO316" s="1">
        <v>7.2900000000000604</v>
      </c>
      <c r="AS316" s="1">
        <v>7.2900000000000604</v>
      </c>
      <c r="AW316" s="1">
        <v>7.2900000000000604</v>
      </c>
      <c r="BA316" s="1">
        <v>7.2900000000000604</v>
      </c>
      <c r="BE316" s="1">
        <v>7.2900000000000604</v>
      </c>
      <c r="BI316" s="1">
        <v>7.2900000000000604</v>
      </c>
      <c r="BM316" s="1">
        <v>7.2900000000000604</v>
      </c>
      <c r="BQ316" s="1">
        <v>7.2900000000000604</v>
      </c>
      <c r="BU316" s="1">
        <v>7.2900000000000604</v>
      </c>
    </row>
    <row r="317" spans="33:73" hidden="1" x14ac:dyDescent="0.25">
      <c r="AG317" s="1">
        <v>7.2800000000000598</v>
      </c>
      <c r="AH317" s="1">
        <f t="shared" si="21"/>
        <v>222.71999999999994</v>
      </c>
      <c r="AI317" s="1">
        <f t="shared" si="22"/>
        <v>222.71999999999994</v>
      </c>
      <c r="AK317" s="1">
        <v>7.2800000000000598</v>
      </c>
      <c r="AO317" s="1">
        <v>7.2800000000000598</v>
      </c>
      <c r="AS317" s="1">
        <v>7.2800000000000598</v>
      </c>
      <c r="AW317" s="1">
        <v>7.2800000000000598</v>
      </c>
      <c r="BA317" s="1">
        <v>7.2800000000000598</v>
      </c>
      <c r="BE317" s="1">
        <v>7.2800000000000598</v>
      </c>
      <c r="BI317" s="1">
        <v>7.2800000000000598</v>
      </c>
      <c r="BM317" s="1">
        <v>7.2800000000000598</v>
      </c>
      <c r="BQ317" s="1">
        <v>7.2800000000000598</v>
      </c>
      <c r="BU317" s="1">
        <v>7.2800000000000598</v>
      </c>
    </row>
    <row r="318" spans="33:73" hidden="1" x14ac:dyDescent="0.25">
      <c r="AG318" s="1">
        <v>7.27000000000006</v>
      </c>
      <c r="AH318" s="1">
        <f t="shared" si="21"/>
        <v>222.72999999999993</v>
      </c>
      <c r="AI318" s="1">
        <f t="shared" si="22"/>
        <v>222.72999999999993</v>
      </c>
      <c r="AK318" s="1">
        <v>7.27000000000006</v>
      </c>
      <c r="AO318" s="1">
        <v>7.27000000000006</v>
      </c>
      <c r="AS318" s="1">
        <v>7.27000000000006</v>
      </c>
      <c r="AW318" s="1">
        <v>7.27000000000006</v>
      </c>
      <c r="BA318" s="1">
        <v>7.27000000000006</v>
      </c>
      <c r="BE318" s="1">
        <v>7.27000000000006</v>
      </c>
      <c r="BI318" s="1">
        <v>7.27000000000006</v>
      </c>
      <c r="BM318" s="1">
        <v>7.27000000000006</v>
      </c>
      <c r="BQ318" s="1">
        <v>7.27000000000006</v>
      </c>
      <c r="BU318" s="1">
        <v>7.27000000000006</v>
      </c>
    </row>
    <row r="319" spans="33:73" hidden="1" x14ac:dyDescent="0.25">
      <c r="AG319" s="1">
        <v>7.2600000000000602</v>
      </c>
      <c r="AH319" s="1">
        <f t="shared" si="21"/>
        <v>222.73999999999995</v>
      </c>
      <c r="AI319" s="1">
        <f t="shared" si="22"/>
        <v>222.73999999999995</v>
      </c>
      <c r="AK319" s="1">
        <v>7.2600000000000602</v>
      </c>
      <c r="AO319" s="1">
        <v>7.2600000000000602</v>
      </c>
      <c r="AS319" s="1">
        <v>7.2600000000000602</v>
      </c>
      <c r="AW319" s="1">
        <v>7.2600000000000602</v>
      </c>
      <c r="BA319" s="1">
        <v>7.2600000000000602</v>
      </c>
      <c r="BE319" s="1">
        <v>7.2600000000000602</v>
      </c>
      <c r="BI319" s="1">
        <v>7.2600000000000602</v>
      </c>
      <c r="BM319" s="1">
        <v>7.2600000000000602</v>
      </c>
      <c r="BQ319" s="1">
        <v>7.2600000000000602</v>
      </c>
      <c r="BU319" s="1">
        <v>7.2600000000000602</v>
      </c>
    </row>
    <row r="320" spans="33:73" hidden="1" x14ac:dyDescent="0.25">
      <c r="AG320" s="1">
        <v>7.2500000000000604</v>
      </c>
      <c r="AH320" s="1">
        <f t="shared" si="21"/>
        <v>222.74999999999994</v>
      </c>
      <c r="AI320" s="1">
        <f t="shared" si="22"/>
        <v>222.74999999999994</v>
      </c>
      <c r="AK320" s="1">
        <v>7.2500000000000604</v>
      </c>
      <c r="AO320" s="1">
        <v>7.2500000000000604</v>
      </c>
      <c r="AS320" s="1">
        <v>7.2500000000000604</v>
      </c>
      <c r="AW320" s="1">
        <v>7.2500000000000604</v>
      </c>
      <c r="BA320" s="1">
        <v>7.2500000000000604</v>
      </c>
      <c r="BE320" s="1">
        <v>7.2500000000000604</v>
      </c>
      <c r="BI320" s="1">
        <v>7.2500000000000604</v>
      </c>
      <c r="BM320" s="1">
        <v>7.2500000000000604</v>
      </c>
      <c r="BQ320" s="1">
        <v>7.2500000000000604</v>
      </c>
      <c r="BU320" s="1">
        <v>7.2500000000000604</v>
      </c>
    </row>
    <row r="321" spans="33:73" hidden="1" x14ac:dyDescent="0.25">
      <c r="AG321" s="1">
        <v>7.2400000000000597</v>
      </c>
      <c r="AH321" s="1">
        <f t="shared" si="21"/>
        <v>222.75999999999993</v>
      </c>
      <c r="AI321" s="1">
        <f t="shared" si="22"/>
        <v>222.75999999999993</v>
      </c>
      <c r="AK321" s="1">
        <v>7.2400000000000597</v>
      </c>
      <c r="AO321" s="1">
        <v>7.2400000000000597</v>
      </c>
      <c r="AS321" s="1">
        <v>7.2400000000000597</v>
      </c>
      <c r="AW321" s="1">
        <v>7.2400000000000597</v>
      </c>
      <c r="BA321" s="1">
        <v>7.2400000000000597</v>
      </c>
      <c r="BE321" s="1">
        <v>7.2400000000000597</v>
      </c>
      <c r="BI321" s="1">
        <v>7.2400000000000597</v>
      </c>
      <c r="BM321" s="1">
        <v>7.2400000000000597</v>
      </c>
      <c r="BQ321" s="1">
        <v>7.2400000000000597</v>
      </c>
      <c r="BU321" s="1">
        <v>7.2400000000000597</v>
      </c>
    </row>
    <row r="322" spans="33:73" hidden="1" x14ac:dyDescent="0.25">
      <c r="AG322" s="1">
        <v>7.2300000000000599</v>
      </c>
      <c r="AH322" s="1">
        <f t="shared" si="21"/>
        <v>222.76999999999995</v>
      </c>
      <c r="AI322" s="1">
        <f t="shared" si="22"/>
        <v>222.76999999999995</v>
      </c>
      <c r="AK322" s="1">
        <v>7.2300000000000599</v>
      </c>
      <c r="AO322" s="1">
        <v>7.2300000000000599</v>
      </c>
      <c r="AS322" s="1">
        <v>7.2300000000000599</v>
      </c>
      <c r="AW322" s="1">
        <v>7.2300000000000599</v>
      </c>
      <c r="BA322" s="1">
        <v>7.2300000000000599</v>
      </c>
      <c r="BE322" s="1">
        <v>7.2300000000000599</v>
      </c>
      <c r="BI322" s="1">
        <v>7.2300000000000599</v>
      </c>
      <c r="BM322" s="1">
        <v>7.2300000000000599</v>
      </c>
      <c r="BQ322" s="1">
        <v>7.2300000000000599</v>
      </c>
      <c r="BU322" s="1">
        <v>7.2300000000000599</v>
      </c>
    </row>
    <row r="323" spans="33:73" hidden="1" x14ac:dyDescent="0.25">
      <c r="AG323" s="1">
        <v>7.2200000000000601</v>
      </c>
      <c r="AH323" s="1">
        <f t="shared" si="21"/>
        <v>222.77999999999994</v>
      </c>
      <c r="AI323" s="1">
        <f t="shared" si="22"/>
        <v>222.77999999999994</v>
      </c>
      <c r="AK323" s="1">
        <v>7.2200000000000601</v>
      </c>
      <c r="AO323" s="1">
        <v>7.2200000000000601</v>
      </c>
      <c r="AS323" s="1">
        <v>7.2200000000000601</v>
      </c>
      <c r="AW323" s="1">
        <v>7.2200000000000601</v>
      </c>
      <c r="BA323" s="1">
        <v>7.2200000000000601</v>
      </c>
      <c r="BE323" s="1">
        <v>7.2200000000000601</v>
      </c>
      <c r="BI323" s="1">
        <v>7.2200000000000601</v>
      </c>
      <c r="BM323" s="1">
        <v>7.2200000000000601</v>
      </c>
      <c r="BQ323" s="1">
        <v>7.2200000000000601</v>
      </c>
      <c r="BU323" s="1">
        <v>7.2200000000000601</v>
      </c>
    </row>
    <row r="324" spans="33:73" hidden="1" x14ac:dyDescent="0.25">
      <c r="AG324" s="1">
        <v>7.2100000000000604</v>
      </c>
      <c r="AH324" s="1">
        <f t="shared" si="21"/>
        <v>222.78999999999994</v>
      </c>
      <c r="AI324" s="1">
        <f t="shared" si="22"/>
        <v>222.78999999999994</v>
      </c>
      <c r="AK324" s="1">
        <v>7.2100000000000604</v>
      </c>
      <c r="AO324" s="1">
        <v>7.2100000000000604</v>
      </c>
      <c r="AS324" s="1">
        <v>7.2100000000000604</v>
      </c>
      <c r="AW324" s="1">
        <v>7.2100000000000604</v>
      </c>
      <c r="BA324" s="1">
        <v>7.2100000000000604</v>
      </c>
      <c r="BE324" s="1">
        <v>7.2100000000000604</v>
      </c>
      <c r="BI324" s="1">
        <v>7.2100000000000604</v>
      </c>
      <c r="BM324" s="1">
        <v>7.2100000000000604</v>
      </c>
      <c r="BQ324" s="1">
        <v>7.2100000000000604</v>
      </c>
      <c r="BU324" s="1">
        <v>7.2100000000000604</v>
      </c>
    </row>
    <row r="325" spans="33:73" hidden="1" x14ac:dyDescent="0.25">
      <c r="AG325" s="1">
        <v>7.2000000000000597</v>
      </c>
      <c r="AH325" s="1">
        <f t="shared" si="21"/>
        <v>222.79999999999995</v>
      </c>
      <c r="AI325" s="1">
        <f t="shared" si="22"/>
        <v>222.79999999999995</v>
      </c>
      <c r="AK325" s="1">
        <v>7.2000000000000597</v>
      </c>
      <c r="AO325" s="1">
        <v>7.2000000000000597</v>
      </c>
      <c r="AS325" s="1">
        <v>7.2000000000000597</v>
      </c>
      <c r="AW325" s="1">
        <v>7.2000000000000597</v>
      </c>
      <c r="BA325" s="1">
        <v>7.2000000000000597</v>
      </c>
      <c r="BE325" s="1">
        <v>7.2000000000000597</v>
      </c>
      <c r="BI325" s="1">
        <v>7.2000000000000597</v>
      </c>
      <c r="BM325" s="1">
        <v>7.2000000000000597</v>
      </c>
      <c r="BQ325" s="1">
        <v>7.2000000000000597</v>
      </c>
      <c r="BU325" s="1">
        <v>7.2000000000000597</v>
      </c>
    </row>
    <row r="326" spans="33:73" hidden="1" x14ac:dyDescent="0.25">
      <c r="AG326" s="1">
        <v>7.1900000000000599</v>
      </c>
      <c r="AH326" s="1">
        <f t="shared" si="21"/>
        <v>222.80999999999995</v>
      </c>
      <c r="AI326" s="1">
        <f t="shared" si="22"/>
        <v>222.80999999999995</v>
      </c>
      <c r="AK326" s="1">
        <v>7.1900000000000599</v>
      </c>
      <c r="AO326" s="1">
        <v>7.1900000000000599</v>
      </c>
      <c r="AS326" s="1">
        <v>7.1900000000000599</v>
      </c>
      <c r="AW326" s="1">
        <v>7.1900000000000599</v>
      </c>
      <c r="BA326" s="1">
        <v>7.1900000000000599</v>
      </c>
      <c r="BE326" s="1">
        <v>7.1900000000000599</v>
      </c>
      <c r="BI326" s="1">
        <v>7.1900000000000599</v>
      </c>
      <c r="BM326" s="1">
        <v>7.1900000000000599</v>
      </c>
      <c r="BQ326" s="1">
        <v>7.1900000000000599</v>
      </c>
      <c r="BU326" s="1">
        <v>7.1900000000000599</v>
      </c>
    </row>
    <row r="327" spans="33:73" hidden="1" x14ac:dyDescent="0.25">
      <c r="AG327" s="1">
        <v>7.1800000000000601</v>
      </c>
      <c r="AH327" s="1">
        <f t="shared" si="21"/>
        <v>222.81999999999994</v>
      </c>
      <c r="AI327" s="1">
        <f t="shared" si="22"/>
        <v>222.81999999999994</v>
      </c>
      <c r="AK327" s="1">
        <v>7.1800000000000601</v>
      </c>
      <c r="AO327" s="1">
        <v>7.1800000000000601</v>
      </c>
      <c r="AS327" s="1">
        <v>7.1800000000000601</v>
      </c>
      <c r="AW327" s="1">
        <v>7.1800000000000601</v>
      </c>
      <c r="BA327" s="1">
        <v>7.1800000000000601</v>
      </c>
      <c r="BE327" s="1">
        <v>7.1800000000000601</v>
      </c>
      <c r="BI327" s="1">
        <v>7.1800000000000601</v>
      </c>
      <c r="BM327" s="1">
        <v>7.1800000000000601</v>
      </c>
      <c r="BQ327" s="1">
        <v>7.1800000000000601</v>
      </c>
      <c r="BU327" s="1">
        <v>7.1800000000000601</v>
      </c>
    </row>
    <row r="328" spans="33:73" hidden="1" x14ac:dyDescent="0.25">
      <c r="AG328" s="1">
        <v>7.1700000000000603</v>
      </c>
      <c r="AH328" s="1">
        <f t="shared" si="21"/>
        <v>222.82999999999993</v>
      </c>
      <c r="AI328" s="1">
        <f t="shared" si="22"/>
        <v>222.82999999999993</v>
      </c>
      <c r="AK328" s="1">
        <v>7.1700000000000603</v>
      </c>
      <c r="AO328" s="1">
        <v>7.1700000000000603</v>
      </c>
      <c r="AS328" s="1">
        <v>7.1700000000000603</v>
      </c>
      <c r="AW328" s="1">
        <v>7.1700000000000603</v>
      </c>
      <c r="BA328" s="1">
        <v>7.1700000000000603</v>
      </c>
      <c r="BE328" s="1">
        <v>7.1700000000000603</v>
      </c>
      <c r="BI328" s="1">
        <v>7.1700000000000603</v>
      </c>
      <c r="BM328" s="1">
        <v>7.1700000000000603</v>
      </c>
      <c r="BQ328" s="1">
        <v>7.1700000000000603</v>
      </c>
      <c r="BU328" s="1">
        <v>7.1700000000000603</v>
      </c>
    </row>
    <row r="329" spans="33:73" hidden="1" x14ac:dyDescent="0.25">
      <c r="AG329" s="1">
        <v>7.1600000000000597</v>
      </c>
      <c r="AH329" s="1">
        <f t="shared" si="21"/>
        <v>222.83999999999995</v>
      </c>
      <c r="AI329" s="1">
        <f t="shared" si="22"/>
        <v>222.83999999999995</v>
      </c>
      <c r="AK329" s="1">
        <v>7.1600000000000597</v>
      </c>
      <c r="AO329" s="1">
        <v>7.1600000000000597</v>
      </c>
      <c r="AS329" s="1">
        <v>7.1600000000000597</v>
      </c>
      <c r="AW329" s="1">
        <v>7.1600000000000597</v>
      </c>
      <c r="BA329" s="1">
        <v>7.1600000000000597</v>
      </c>
      <c r="BE329" s="1">
        <v>7.1600000000000597</v>
      </c>
      <c r="BI329" s="1">
        <v>7.1600000000000597</v>
      </c>
      <c r="BM329" s="1">
        <v>7.1600000000000597</v>
      </c>
      <c r="BQ329" s="1">
        <v>7.1600000000000597</v>
      </c>
      <c r="BU329" s="1">
        <v>7.1600000000000597</v>
      </c>
    </row>
    <row r="330" spans="33:73" hidden="1" x14ac:dyDescent="0.25">
      <c r="AG330" s="1">
        <v>7.1500000000000599</v>
      </c>
      <c r="AH330" s="1">
        <f t="shared" si="21"/>
        <v>222.84999999999994</v>
      </c>
      <c r="AI330" s="1">
        <f t="shared" si="22"/>
        <v>222.84999999999994</v>
      </c>
      <c r="AK330" s="1">
        <v>7.1500000000000599</v>
      </c>
      <c r="AO330" s="1">
        <v>7.1500000000000599</v>
      </c>
      <c r="AS330" s="1">
        <v>7.1500000000000599</v>
      </c>
      <c r="AW330" s="1">
        <v>7.1500000000000599</v>
      </c>
      <c r="BA330" s="1">
        <v>7.1500000000000599</v>
      </c>
      <c r="BE330" s="1">
        <v>7.1500000000000599</v>
      </c>
      <c r="BI330" s="1">
        <v>7.1500000000000599</v>
      </c>
      <c r="BM330" s="1">
        <v>7.1500000000000599</v>
      </c>
      <c r="BQ330" s="1">
        <v>7.1500000000000599</v>
      </c>
      <c r="BU330" s="1">
        <v>7.1500000000000599</v>
      </c>
    </row>
    <row r="331" spans="33:73" hidden="1" x14ac:dyDescent="0.25">
      <c r="AG331" s="1">
        <v>7.1400000000000601</v>
      </c>
      <c r="AH331" s="1">
        <f t="shared" si="21"/>
        <v>222.85999999999993</v>
      </c>
      <c r="AI331" s="1">
        <f t="shared" si="22"/>
        <v>222.85999999999993</v>
      </c>
      <c r="AK331" s="1">
        <v>7.1400000000000601</v>
      </c>
      <c r="AO331" s="1">
        <v>7.1400000000000601</v>
      </c>
      <c r="AS331" s="1">
        <v>7.1400000000000601</v>
      </c>
      <c r="AW331" s="1">
        <v>7.1400000000000601</v>
      </c>
      <c r="BA331" s="1">
        <v>7.1400000000000601</v>
      </c>
      <c r="BE331" s="1">
        <v>7.1400000000000601</v>
      </c>
      <c r="BI331" s="1">
        <v>7.1400000000000601</v>
      </c>
      <c r="BM331" s="1">
        <v>7.1400000000000601</v>
      </c>
      <c r="BQ331" s="1">
        <v>7.1400000000000601</v>
      </c>
      <c r="BU331" s="1">
        <v>7.1400000000000601</v>
      </c>
    </row>
    <row r="332" spans="33:73" hidden="1" x14ac:dyDescent="0.25">
      <c r="AG332" s="1">
        <v>7.1300000000000603</v>
      </c>
      <c r="AH332" s="1">
        <f t="shared" si="21"/>
        <v>222.86999999999995</v>
      </c>
      <c r="AI332" s="1">
        <f t="shared" si="22"/>
        <v>222.86999999999995</v>
      </c>
      <c r="AK332" s="1">
        <v>7.1300000000000603</v>
      </c>
      <c r="AO332" s="1">
        <v>7.1300000000000603</v>
      </c>
      <c r="AS332" s="1">
        <v>7.1300000000000603</v>
      </c>
      <c r="AW332" s="1">
        <v>7.1300000000000603</v>
      </c>
      <c r="BA332" s="1">
        <v>7.1300000000000603</v>
      </c>
      <c r="BE332" s="1">
        <v>7.1300000000000603</v>
      </c>
      <c r="BI332" s="1">
        <v>7.1300000000000603</v>
      </c>
      <c r="BM332" s="1">
        <v>7.1300000000000603</v>
      </c>
      <c r="BQ332" s="1">
        <v>7.1300000000000603</v>
      </c>
      <c r="BU332" s="1">
        <v>7.1300000000000603</v>
      </c>
    </row>
    <row r="333" spans="33:73" hidden="1" x14ac:dyDescent="0.25">
      <c r="AG333" s="1">
        <v>7.1200000000000596</v>
      </c>
      <c r="AH333" s="1">
        <f t="shared" si="21"/>
        <v>222.87999999999994</v>
      </c>
      <c r="AI333" s="1">
        <f t="shared" si="22"/>
        <v>222.87999999999994</v>
      </c>
      <c r="AK333" s="1">
        <v>7.1200000000000596</v>
      </c>
      <c r="AO333" s="1">
        <v>7.1200000000000596</v>
      </c>
      <c r="AS333" s="1">
        <v>7.1200000000000596</v>
      </c>
      <c r="AW333" s="1">
        <v>7.1200000000000596</v>
      </c>
      <c r="BA333" s="1">
        <v>7.1200000000000596</v>
      </c>
      <c r="BE333" s="1">
        <v>7.1200000000000596</v>
      </c>
      <c r="BI333" s="1">
        <v>7.1200000000000596</v>
      </c>
      <c r="BM333" s="1">
        <v>7.1200000000000596</v>
      </c>
      <c r="BQ333" s="1">
        <v>7.1200000000000596</v>
      </c>
      <c r="BU333" s="1">
        <v>7.1200000000000596</v>
      </c>
    </row>
    <row r="334" spans="33:73" hidden="1" x14ac:dyDescent="0.25">
      <c r="AG334" s="1">
        <v>7.1100000000000598</v>
      </c>
      <c r="AH334" s="1">
        <f t="shared" si="21"/>
        <v>222.88999999999993</v>
      </c>
      <c r="AI334" s="1">
        <f t="shared" si="22"/>
        <v>222.88999999999993</v>
      </c>
      <c r="AK334" s="1">
        <v>7.1100000000000598</v>
      </c>
      <c r="AO334" s="1">
        <v>7.1100000000000598</v>
      </c>
      <c r="AS334" s="1">
        <v>7.1100000000000598</v>
      </c>
      <c r="AW334" s="1">
        <v>7.1100000000000598</v>
      </c>
      <c r="BA334" s="1">
        <v>7.1100000000000598</v>
      </c>
      <c r="BE334" s="1">
        <v>7.1100000000000598</v>
      </c>
      <c r="BI334" s="1">
        <v>7.1100000000000598</v>
      </c>
      <c r="BM334" s="1">
        <v>7.1100000000000598</v>
      </c>
      <c r="BQ334" s="1">
        <v>7.1100000000000598</v>
      </c>
      <c r="BU334" s="1">
        <v>7.1100000000000598</v>
      </c>
    </row>
    <row r="335" spans="33:73" hidden="1" x14ac:dyDescent="0.25">
      <c r="AG335" s="1">
        <v>7.10000000000006</v>
      </c>
      <c r="AH335" s="1">
        <f t="shared" si="21"/>
        <v>222.89999999999995</v>
      </c>
      <c r="AI335" s="1">
        <f t="shared" si="22"/>
        <v>222.89999999999995</v>
      </c>
      <c r="AK335" s="1">
        <v>7.10000000000006</v>
      </c>
      <c r="AO335" s="1">
        <v>7.10000000000006</v>
      </c>
      <c r="AS335" s="1">
        <v>7.10000000000006</v>
      </c>
      <c r="AW335" s="1">
        <v>7.10000000000006</v>
      </c>
      <c r="BA335" s="1">
        <v>7.10000000000006</v>
      </c>
      <c r="BE335" s="1">
        <v>7.10000000000006</v>
      </c>
      <c r="BI335" s="1">
        <v>7.10000000000006</v>
      </c>
      <c r="BM335" s="1">
        <v>7.10000000000006</v>
      </c>
      <c r="BQ335" s="1">
        <v>7.10000000000006</v>
      </c>
      <c r="BU335" s="1">
        <v>7.10000000000006</v>
      </c>
    </row>
    <row r="336" spans="33:73" hidden="1" x14ac:dyDescent="0.25">
      <c r="AG336" s="1">
        <v>7.0900000000000603</v>
      </c>
      <c r="AH336" s="1">
        <f t="shared" si="21"/>
        <v>222.90999999999994</v>
      </c>
      <c r="AI336" s="1">
        <f t="shared" si="22"/>
        <v>222.90999999999994</v>
      </c>
      <c r="AK336" s="1">
        <v>7.0900000000000603</v>
      </c>
      <c r="AO336" s="1">
        <v>7.0900000000000603</v>
      </c>
      <c r="AS336" s="1">
        <v>7.0900000000000603</v>
      </c>
      <c r="AW336" s="1">
        <v>7.0900000000000603</v>
      </c>
      <c r="BA336" s="1">
        <v>7.0900000000000603</v>
      </c>
      <c r="BE336" s="1">
        <v>7.0900000000000603</v>
      </c>
      <c r="BI336" s="1">
        <v>7.0900000000000603</v>
      </c>
      <c r="BM336" s="1">
        <v>7.0900000000000603</v>
      </c>
      <c r="BQ336" s="1">
        <v>7.0900000000000603</v>
      </c>
      <c r="BU336" s="1">
        <v>7.0900000000000603</v>
      </c>
    </row>
    <row r="337" spans="33:73" hidden="1" x14ac:dyDescent="0.25">
      <c r="AG337" s="1">
        <v>7.0800000000000596</v>
      </c>
      <c r="AH337" s="1">
        <f t="shared" si="21"/>
        <v>222.91999999999993</v>
      </c>
      <c r="AI337" s="1">
        <f t="shared" si="22"/>
        <v>222.91999999999993</v>
      </c>
      <c r="AK337" s="1">
        <v>7.0800000000000596</v>
      </c>
      <c r="AO337" s="1">
        <v>7.0800000000000596</v>
      </c>
      <c r="AS337" s="1">
        <v>7.0800000000000596</v>
      </c>
      <c r="AW337" s="1">
        <v>7.0800000000000596</v>
      </c>
      <c r="BA337" s="1">
        <v>7.0800000000000596</v>
      </c>
      <c r="BE337" s="1">
        <v>7.0800000000000596</v>
      </c>
      <c r="BI337" s="1">
        <v>7.0800000000000596</v>
      </c>
      <c r="BM337" s="1">
        <v>7.0800000000000596</v>
      </c>
      <c r="BQ337" s="1">
        <v>7.0800000000000596</v>
      </c>
      <c r="BU337" s="1">
        <v>7.0800000000000596</v>
      </c>
    </row>
    <row r="338" spans="33:73" hidden="1" x14ac:dyDescent="0.25">
      <c r="AG338" s="1">
        <v>7.0700000000000598</v>
      </c>
      <c r="AH338" s="1">
        <f t="shared" si="21"/>
        <v>222.92999999999995</v>
      </c>
      <c r="AI338" s="1">
        <f t="shared" si="22"/>
        <v>222.92999999999995</v>
      </c>
      <c r="AK338" s="1">
        <v>7.0700000000000598</v>
      </c>
      <c r="AO338" s="1">
        <v>7.0700000000000598</v>
      </c>
      <c r="AS338" s="1">
        <v>7.0700000000000598</v>
      </c>
      <c r="AW338" s="1">
        <v>7.0700000000000598</v>
      </c>
      <c r="BA338" s="1">
        <v>7.0700000000000598</v>
      </c>
      <c r="BE338" s="1">
        <v>7.0700000000000598</v>
      </c>
      <c r="BI338" s="1">
        <v>7.0700000000000598</v>
      </c>
      <c r="BM338" s="1">
        <v>7.0700000000000598</v>
      </c>
      <c r="BQ338" s="1">
        <v>7.0700000000000598</v>
      </c>
      <c r="BU338" s="1">
        <v>7.0700000000000598</v>
      </c>
    </row>
    <row r="339" spans="33:73" hidden="1" x14ac:dyDescent="0.25">
      <c r="AG339" s="1">
        <v>7.06000000000006</v>
      </c>
      <c r="AH339" s="1">
        <f t="shared" si="21"/>
        <v>222.93999999999994</v>
      </c>
      <c r="AI339" s="1">
        <f t="shared" si="22"/>
        <v>222.93999999999994</v>
      </c>
      <c r="AK339" s="1">
        <v>7.06000000000006</v>
      </c>
      <c r="AO339" s="1">
        <v>7.06000000000006</v>
      </c>
      <c r="AS339" s="1">
        <v>7.06000000000006</v>
      </c>
      <c r="AW339" s="1">
        <v>7.06000000000006</v>
      </c>
      <c r="BA339" s="1">
        <v>7.06000000000006</v>
      </c>
      <c r="BE339" s="1">
        <v>7.06000000000006</v>
      </c>
      <c r="BI339" s="1">
        <v>7.06000000000006</v>
      </c>
      <c r="BM339" s="1">
        <v>7.06000000000006</v>
      </c>
      <c r="BQ339" s="1">
        <v>7.06000000000006</v>
      </c>
      <c r="BU339" s="1">
        <v>7.06000000000006</v>
      </c>
    </row>
    <row r="340" spans="33:73" hidden="1" x14ac:dyDescent="0.25">
      <c r="AG340" s="1">
        <v>7.0500000000000602</v>
      </c>
      <c r="AH340" s="1">
        <f t="shared" si="21"/>
        <v>222.94999999999993</v>
      </c>
      <c r="AI340" s="1">
        <f t="shared" si="22"/>
        <v>222.94999999999993</v>
      </c>
      <c r="AK340" s="1">
        <v>7.0500000000000602</v>
      </c>
      <c r="AO340" s="1">
        <v>7.0500000000000602</v>
      </c>
      <c r="AS340" s="1">
        <v>7.0500000000000602</v>
      </c>
      <c r="AW340" s="1">
        <v>7.0500000000000602</v>
      </c>
      <c r="BA340" s="1">
        <v>7.0500000000000602</v>
      </c>
      <c r="BE340" s="1">
        <v>7.0500000000000602</v>
      </c>
      <c r="BI340" s="1">
        <v>7.0500000000000602</v>
      </c>
      <c r="BM340" s="1">
        <v>7.0500000000000602</v>
      </c>
      <c r="BQ340" s="1">
        <v>7.0500000000000602</v>
      </c>
      <c r="BU340" s="1">
        <v>7.0500000000000602</v>
      </c>
    </row>
    <row r="341" spans="33:73" hidden="1" x14ac:dyDescent="0.25">
      <c r="AG341" s="1">
        <v>7.0400000000000604</v>
      </c>
      <c r="AH341" s="1">
        <f t="shared" si="21"/>
        <v>222.95999999999995</v>
      </c>
      <c r="AI341" s="1">
        <f t="shared" si="22"/>
        <v>222.95999999999995</v>
      </c>
      <c r="AK341" s="1">
        <v>7.0400000000000604</v>
      </c>
      <c r="AO341" s="1">
        <v>7.0400000000000604</v>
      </c>
      <c r="AS341" s="1">
        <v>7.0400000000000604</v>
      </c>
      <c r="AW341" s="1">
        <v>7.0400000000000604</v>
      </c>
      <c r="BA341" s="1">
        <v>7.0400000000000604</v>
      </c>
      <c r="BE341" s="1">
        <v>7.0400000000000604</v>
      </c>
      <c r="BI341" s="1">
        <v>7.0400000000000604</v>
      </c>
      <c r="BM341" s="1">
        <v>7.0400000000000604</v>
      </c>
      <c r="BQ341" s="1">
        <v>7.0400000000000604</v>
      </c>
      <c r="BU341" s="1">
        <v>7.0400000000000604</v>
      </c>
    </row>
    <row r="342" spans="33:73" hidden="1" x14ac:dyDescent="0.25">
      <c r="AG342" s="1">
        <v>7.0300000000000598</v>
      </c>
      <c r="AH342" s="1">
        <f t="shared" si="21"/>
        <v>222.96999999999994</v>
      </c>
      <c r="AI342" s="1">
        <f t="shared" si="22"/>
        <v>222.96999999999994</v>
      </c>
      <c r="AK342" s="1">
        <v>7.0300000000000598</v>
      </c>
      <c r="AO342" s="1">
        <v>7.0300000000000598</v>
      </c>
      <c r="AS342" s="1">
        <v>7.0300000000000598</v>
      </c>
      <c r="AW342" s="1">
        <v>7.0300000000000598</v>
      </c>
      <c r="BA342" s="1">
        <v>7.0300000000000598</v>
      </c>
      <c r="BE342" s="1">
        <v>7.0300000000000598</v>
      </c>
      <c r="BI342" s="1">
        <v>7.0300000000000598</v>
      </c>
      <c r="BM342" s="1">
        <v>7.0300000000000598</v>
      </c>
      <c r="BQ342" s="1">
        <v>7.0300000000000598</v>
      </c>
      <c r="BU342" s="1">
        <v>7.0300000000000598</v>
      </c>
    </row>
    <row r="343" spans="33:73" hidden="1" x14ac:dyDescent="0.25">
      <c r="AG343" s="1">
        <v>7.02000000000006</v>
      </c>
      <c r="AH343" s="1">
        <f t="shared" si="21"/>
        <v>222.97999999999993</v>
      </c>
      <c r="AI343" s="1">
        <f t="shared" si="22"/>
        <v>222.97999999999993</v>
      </c>
      <c r="AK343" s="1">
        <v>7.02000000000006</v>
      </c>
      <c r="AO343" s="1">
        <v>7.02000000000006</v>
      </c>
      <c r="AS343" s="1">
        <v>7.02000000000006</v>
      </c>
      <c r="AW343" s="1">
        <v>7.02000000000006</v>
      </c>
      <c r="BA343" s="1">
        <v>7.02000000000006</v>
      </c>
      <c r="BE343" s="1">
        <v>7.02000000000006</v>
      </c>
      <c r="BI343" s="1">
        <v>7.02000000000006</v>
      </c>
      <c r="BM343" s="1">
        <v>7.02000000000006</v>
      </c>
      <c r="BQ343" s="1">
        <v>7.02000000000006</v>
      </c>
      <c r="BU343" s="1">
        <v>7.02000000000006</v>
      </c>
    </row>
    <row r="344" spans="33:73" hidden="1" x14ac:dyDescent="0.25">
      <c r="AG344" s="1">
        <v>7.0100000000000602</v>
      </c>
      <c r="AH344" s="1">
        <f t="shared" si="21"/>
        <v>222.98999999999995</v>
      </c>
      <c r="AI344" s="1">
        <f t="shared" si="22"/>
        <v>222.98999999999995</v>
      </c>
      <c r="AK344" s="1">
        <v>7.0100000000000602</v>
      </c>
      <c r="AO344" s="1">
        <v>7.0100000000000602</v>
      </c>
      <c r="AS344" s="1">
        <v>7.0100000000000602</v>
      </c>
      <c r="AW344" s="1">
        <v>7.0100000000000602</v>
      </c>
      <c r="BA344" s="1">
        <v>7.0100000000000602</v>
      </c>
      <c r="BE344" s="1">
        <v>7.0100000000000602</v>
      </c>
      <c r="BI344" s="1">
        <v>7.0100000000000602</v>
      </c>
      <c r="BM344" s="1">
        <v>7.0100000000000602</v>
      </c>
      <c r="BQ344" s="1">
        <v>7.0100000000000602</v>
      </c>
      <c r="BU344" s="1">
        <v>7.0100000000000602</v>
      </c>
    </row>
    <row r="345" spans="33:73" hidden="1" x14ac:dyDescent="0.25">
      <c r="AG345" s="1">
        <v>7.0000000000000604</v>
      </c>
      <c r="AH345" s="1">
        <f t="shared" si="21"/>
        <v>222.99999999999994</v>
      </c>
      <c r="AI345" s="1">
        <f t="shared" si="22"/>
        <v>222.99999999999994</v>
      </c>
      <c r="AK345" s="1">
        <v>7.0000000000000604</v>
      </c>
      <c r="AO345" s="1">
        <v>7.0000000000000604</v>
      </c>
      <c r="AS345" s="1">
        <v>7.0000000000000604</v>
      </c>
      <c r="AW345" s="1">
        <v>7.0000000000000604</v>
      </c>
      <c r="BA345" s="1">
        <v>7.0000000000000604</v>
      </c>
      <c r="BE345" s="1">
        <v>7.0000000000000604</v>
      </c>
      <c r="BI345" s="1">
        <v>7.0000000000000604</v>
      </c>
      <c r="BM345" s="1">
        <v>7.0000000000000604</v>
      </c>
      <c r="BQ345" s="1">
        <v>7.0000000000000604</v>
      </c>
      <c r="BU345" s="1">
        <v>7.0000000000000604</v>
      </c>
    </row>
    <row r="346" spans="33:73" hidden="1" x14ac:dyDescent="0.25">
      <c r="AG346" s="1">
        <v>6.9900000000000597</v>
      </c>
      <c r="AH346" s="1">
        <f t="shared" si="21"/>
        <v>223.00999999999993</v>
      </c>
      <c r="AI346" s="1">
        <f t="shared" si="22"/>
        <v>223.00999999999993</v>
      </c>
      <c r="AK346" s="1">
        <v>6.9900000000000597</v>
      </c>
      <c r="AO346" s="1">
        <v>6.9900000000000597</v>
      </c>
      <c r="AS346" s="1">
        <v>6.9900000000000597</v>
      </c>
      <c r="AW346" s="1">
        <v>6.9900000000000597</v>
      </c>
      <c r="BA346" s="1">
        <v>6.9900000000000597</v>
      </c>
      <c r="BE346" s="1">
        <v>6.9900000000000597</v>
      </c>
      <c r="BI346" s="1">
        <v>6.9900000000000597</v>
      </c>
      <c r="BM346" s="1">
        <v>6.9900000000000597</v>
      </c>
      <c r="BQ346" s="1">
        <v>6.9900000000000597</v>
      </c>
      <c r="BU346" s="1">
        <v>6.9900000000000597</v>
      </c>
    </row>
    <row r="347" spans="33:73" hidden="1" x14ac:dyDescent="0.25">
      <c r="AG347" s="1">
        <v>6.9800000000000599</v>
      </c>
      <c r="AH347" s="1">
        <f t="shared" si="21"/>
        <v>223.01999999999995</v>
      </c>
      <c r="AI347" s="1">
        <f t="shared" si="22"/>
        <v>223.01999999999995</v>
      </c>
      <c r="AK347" s="1">
        <v>6.9800000000000599</v>
      </c>
      <c r="AO347" s="1">
        <v>6.9800000000000599</v>
      </c>
      <c r="AS347" s="1">
        <v>6.9800000000000599</v>
      </c>
      <c r="AW347" s="1">
        <v>6.9800000000000599</v>
      </c>
      <c r="BA347" s="1">
        <v>6.9800000000000599</v>
      </c>
      <c r="BE347" s="1">
        <v>6.9800000000000599</v>
      </c>
      <c r="BI347" s="1">
        <v>6.9800000000000599</v>
      </c>
      <c r="BM347" s="1">
        <v>6.9800000000000599</v>
      </c>
      <c r="BQ347" s="1">
        <v>6.9800000000000599</v>
      </c>
      <c r="BU347" s="1">
        <v>6.9800000000000599</v>
      </c>
    </row>
    <row r="348" spans="33:73" hidden="1" x14ac:dyDescent="0.25">
      <c r="AG348" s="1">
        <v>6.9700000000000601</v>
      </c>
      <c r="AH348" s="1">
        <f t="shared" si="21"/>
        <v>223.02999999999994</v>
      </c>
      <c r="AI348" s="1">
        <f t="shared" si="22"/>
        <v>223.02999999999994</v>
      </c>
      <c r="AK348" s="1">
        <v>6.9700000000000601</v>
      </c>
      <c r="AO348" s="1">
        <v>6.9700000000000601</v>
      </c>
      <c r="AS348" s="1">
        <v>6.9700000000000601</v>
      </c>
      <c r="AW348" s="1">
        <v>6.9700000000000601</v>
      </c>
      <c r="BA348" s="1">
        <v>6.9700000000000601</v>
      </c>
      <c r="BE348" s="1">
        <v>6.9700000000000601</v>
      </c>
      <c r="BI348" s="1">
        <v>6.9700000000000601</v>
      </c>
      <c r="BM348" s="1">
        <v>6.9700000000000601</v>
      </c>
      <c r="BQ348" s="1">
        <v>6.9700000000000601</v>
      </c>
      <c r="BU348" s="1">
        <v>6.9700000000000601</v>
      </c>
    </row>
    <row r="349" spans="33:73" hidden="1" x14ac:dyDescent="0.25">
      <c r="AG349" s="1">
        <v>6.9600000000000604</v>
      </c>
      <c r="AH349" s="1">
        <f t="shared" si="21"/>
        <v>223.03999999999994</v>
      </c>
      <c r="AI349" s="1">
        <f t="shared" si="22"/>
        <v>223.03999999999994</v>
      </c>
      <c r="AK349" s="1">
        <v>6.9600000000000604</v>
      </c>
      <c r="AO349" s="1">
        <v>6.9600000000000604</v>
      </c>
      <c r="AS349" s="1">
        <v>6.9600000000000604</v>
      </c>
      <c r="AW349" s="1">
        <v>6.9600000000000604</v>
      </c>
      <c r="BA349" s="1">
        <v>6.9600000000000604</v>
      </c>
      <c r="BE349" s="1">
        <v>6.9600000000000604</v>
      </c>
      <c r="BI349" s="1">
        <v>6.9600000000000604</v>
      </c>
      <c r="BM349" s="1">
        <v>6.9600000000000604</v>
      </c>
      <c r="BQ349" s="1">
        <v>6.9600000000000604</v>
      </c>
      <c r="BU349" s="1">
        <v>6.9600000000000604</v>
      </c>
    </row>
    <row r="350" spans="33:73" hidden="1" x14ac:dyDescent="0.25">
      <c r="AG350" s="1">
        <v>6.9500000000000703</v>
      </c>
      <c r="AH350" s="1">
        <f t="shared" si="21"/>
        <v>223.04999999999993</v>
      </c>
      <c r="AI350" s="1">
        <f t="shared" si="22"/>
        <v>223.04999999999993</v>
      </c>
      <c r="AK350" s="1">
        <v>6.9500000000000703</v>
      </c>
      <c r="AO350" s="1">
        <v>6.9500000000000703</v>
      </c>
      <c r="AS350" s="1">
        <v>6.9500000000000703</v>
      </c>
      <c r="AW350" s="1">
        <v>6.9500000000000703</v>
      </c>
      <c r="BA350" s="1">
        <v>6.9500000000000703</v>
      </c>
      <c r="BE350" s="1">
        <v>6.9500000000000703</v>
      </c>
      <c r="BI350" s="1">
        <v>6.9500000000000703</v>
      </c>
      <c r="BM350" s="1">
        <v>6.9500000000000703</v>
      </c>
      <c r="BQ350" s="1">
        <v>6.9500000000000703</v>
      </c>
      <c r="BU350" s="1">
        <v>6.9500000000000703</v>
      </c>
    </row>
    <row r="351" spans="33:73" hidden="1" x14ac:dyDescent="0.25">
      <c r="AG351" s="1">
        <v>6.9400000000000697</v>
      </c>
      <c r="AH351" s="1">
        <f t="shared" si="21"/>
        <v>223.05999999999992</v>
      </c>
      <c r="AI351" s="1">
        <f t="shared" si="22"/>
        <v>223.05999999999992</v>
      </c>
      <c r="AK351" s="1">
        <v>6.9400000000000697</v>
      </c>
      <c r="AO351" s="1">
        <v>6.9400000000000697</v>
      </c>
      <c r="AS351" s="1">
        <v>6.9400000000000697</v>
      </c>
      <c r="AW351" s="1">
        <v>6.9400000000000697</v>
      </c>
      <c r="BA351" s="1">
        <v>6.9400000000000697</v>
      </c>
      <c r="BE351" s="1">
        <v>6.9400000000000697</v>
      </c>
      <c r="BI351" s="1">
        <v>6.9400000000000697</v>
      </c>
      <c r="BM351" s="1">
        <v>6.9400000000000697</v>
      </c>
      <c r="BQ351" s="1">
        <v>6.9400000000000697</v>
      </c>
      <c r="BU351" s="1">
        <v>6.9400000000000697</v>
      </c>
    </row>
    <row r="352" spans="33:73" hidden="1" x14ac:dyDescent="0.25">
      <c r="AG352" s="1">
        <v>6.9300000000000699</v>
      </c>
      <c r="AH352" s="1">
        <f t="shared" si="21"/>
        <v>223.06999999999994</v>
      </c>
      <c r="AI352" s="1">
        <f t="shared" si="22"/>
        <v>223.06999999999994</v>
      </c>
      <c r="AK352" s="1">
        <v>6.9300000000000699</v>
      </c>
      <c r="AO352" s="1">
        <v>6.9300000000000699</v>
      </c>
      <c r="AS352" s="1">
        <v>6.9300000000000699</v>
      </c>
      <c r="AW352" s="1">
        <v>6.9300000000000699</v>
      </c>
      <c r="BA352" s="1">
        <v>6.9300000000000699</v>
      </c>
      <c r="BE352" s="1">
        <v>6.9300000000000699</v>
      </c>
      <c r="BI352" s="1">
        <v>6.9300000000000699</v>
      </c>
      <c r="BM352" s="1">
        <v>6.9300000000000699</v>
      </c>
      <c r="BQ352" s="1">
        <v>6.9300000000000699</v>
      </c>
      <c r="BU352" s="1">
        <v>6.9300000000000699</v>
      </c>
    </row>
    <row r="353" spans="33:73" hidden="1" x14ac:dyDescent="0.25">
      <c r="AG353" s="1">
        <v>6.9200000000000701</v>
      </c>
      <c r="AH353" s="1">
        <f t="shared" si="21"/>
        <v>223.07999999999993</v>
      </c>
      <c r="AI353" s="1">
        <f t="shared" si="22"/>
        <v>223.07999999999993</v>
      </c>
      <c r="AK353" s="1">
        <v>6.9200000000000701</v>
      </c>
      <c r="AO353" s="1">
        <v>6.9200000000000701</v>
      </c>
      <c r="AS353" s="1">
        <v>6.9200000000000701</v>
      </c>
      <c r="AW353" s="1">
        <v>6.9200000000000701</v>
      </c>
      <c r="BA353" s="1">
        <v>6.9200000000000701</v>
      </c>
      <c r="BE353" s="1">
        <v>6.9200000000000701</v>
      </c>
      <c r="BI353" s="1">
        <v>6.9200000000000701</v>
      </c>
      <c r="BM353" s="1">
        <v>6.9200000000000701</v>
      </c>
      <c r="BQ353" s="1">
        <v>6.9200000000000701</v>
      </c>
      <c r="BU353" s="1">
        <v>6.9200000000000701</v>
      </c>
    </row>
    <row r="354" spans="33:73" hidden="1" x14ac:dyDescent="0.25">
      <c r="AG354" s="1">
        <v>6.9100000000000703</v>
      </c>
      <c r="AH354" s="1">
        <f t="shared" si="21"/>
        <v>223.08999999999992</v>
      </c>
      <c r="AI354" s="1">
        <f t="shared" si="22"/>
        <v>223.08999999999992</v>
      </c>
      <c r="AK354" s="1">
        <v>6.9100000000000703</v>
      </c>
      <c r="AO354" s="1">
        <v>6.9100000000000703</v>
      </c>
      <c r="AS354" s="1">
        <v>6.9100000000000703</v>
      </c>
      <c r="AW354" s="1">
        <v>6.9100000000000703</v>
      </c>
      <c r="BA354" s="1">
        <v>6.9100000000000703</v>
      </c>
      <c r="BE354" s="1">
        <v>6.9100000000000703</v>
      </c>
      <c r="BI354" s="1">
        <v>6.9100000000000703</v>
      </c>
      <c r="BM354" s="1">
        <v>6.9100000000000703</v>
      </c>
      <c r="BQ354" s="1">
        <v>6.9100000000000703</v>
      </c>
      <c r="BU354" s="1">
        <v>6.9100000000000703</v>
      </c>
    </row>
    <row r="355" spans="33:73" hidden="1" x14ac:dyDescent="0.25">
      <c r="AG355" s="1">
        <v>6.9000000000000696</v>
      </c>
      <c r="AH355" s="1">
        <f t="shared" si="21"/>
        <v>223.09999999999994</v>
      </c>
      <c r="AI355" s="1">
        <f t="shared" si="22"/>
        <v>223.09999999999994</v>
      </c>
      <c r="AK355" s="1">
        <v>6.9000000000000696</v>
      </c>
      <c r="AO355" s="1">
        <v>6.9000000000000696</v>
      </c>
      <c r="AS355" s="1">
        <v>6.9000000000000696</v>
      </c>
      <c r="AW355" s="1">
        <v>6.9000000000000696</v>
      </c>
      <c r="BA355" s="1">
        <v>6.9000000000000696</v>
      </c>
      <c r="BE355" s="1">
        <v>6.9000000000000696</v>
      </c>
      <c r="BI355" s="1">
        <v>6.9000000000000696</v>
      </c>
      <c r="BM355" s="1">
        <v>6.9000000000000696</v>
      </c>
      <c r="BQ355" s="1">
        <v>6.9000000000000696</v>
      </c>
      <c r="BU355" s="1">
        <v>6.9000000000000696</v>
      </c>
    </row>
    <row r="356" spans="33:73" hidden="1" x14ac:dyDescent="0.25">
      <c r="AG356" s="1">
        <v>6.8900000000000698</v>
      </c>
      <c r="AH356" s="1">
        <f t="shared" si="21"/>
        <v>223.10999999999993</v>
      </c>
      <c r="AI356" s="1">
        <f t="shared" si="22"/>
        <v>223.10999999999993</v>
      </c>
      <c r="AK356" s="1">
        <v>6.8900000000000698</v>
      </c>
      <c r="AO356" s="1">
        <v>6.8900000000000698</v>
      </c>
      <c r="AS356" s="1">
        <v>6.8900000000000698</v>
      </c>
      <c r="AW356" s="1">
        <v>6.8900000000000698</v>
      </c>
      <c r="BA356" s="1">
        <v>6.8900000000000698</v>
      </c>
      <c r="BE356" s="1">
        <v>6.8900000000000698</v>
      </c>
      <c r="BI356" s="1">
        <v>6.8900000000000698</v>
      </c>
      <c r="BM356" s="1">
        <v>6.8900000000000698</v>
      </c>
      <c r="BQ356" s="1">
        <v>6.8900000000000698</v>
      </c>
      <c r="BU356" s="1">
        <v>6.8900000000000698</v>
      </c>
    </row>
    <row r="357" spans="33:73" hidden="1" x14ac:dyDescent="0.25">
      <c r="AG357" s="1">
        <v>6.8800000000000701</v>
      </c>
      <c r="AH357" s="1">
        <f t="shared" si="21"/>
        <v>223.11999999999992</v>
      </c>
      <c r="AI357" s="1">
        <f t="shared" si="22"/>
        <v>223.11999999999992</v>
      </c>
      <c r="AK357" s="1">
        <v>6.8800000000000701</v>
      </c>
      <c r="AO357" s="1">
        <v>6.8800000000000701</v>
      </c>
      <c r="AS357" s="1">
        <v>6.8800000000000701</v>
      </c>
      <c r="AW357" s="1">
        <v>6.8800000000000701</v>
      </c>
      <c r="BA357" s="1">
        <v>6.8800000000000701</v>
      </c>
      <c r="BE357" s="1">
        <v>6.8800000000000701</v>
      </c>
      <c r="BI357" s="1">
        <v>6.8800000000000701</v>
      </c>
      <c r="BM357" s="1">
        <v>6.8800000000000701</v>
      </c>
      <c r="BQ357" s="1">
        <v>6.8800000000000701</v>
      </c>
      <c r="BU357" s="1">
        <v>6.8800000000000701</v>
      </c>
    </row>
    <row r="358" spans="33:73" hidden="1" x14ac:dyDescent="0.25">
      <c r="AG358" s="1">
        <v>6.8700000000000703</v>
      </c>
      <c r="AH358" s="1">
        <f t="shared" si="21"/>
        <v>223.12999999999994</v>
      </c>
      <c r="AI358" s="1">
        <f t="shared" si="22"/>
        <v>223.12999999999994</v>
      </c>
      <c r="AK358" s="1">
        <v>6.8700000000000703</v>
      </c>
      <c r="AO358" s="1">
        <v>6.8700000000000703</v>
      </c>
      <c r="AS358" s="1">
        <v>6.8700000000000703</v>
      </c>
      <c r="AW358" s="1">
        <v>6.8700000000000703</v>
      </c>
      <c r="BA358" s="1">
        <v>6.8700000000000703</v>
      </c>
      <c r="BE358" s="1">
        <v>6.8700000000000703</v>
      </c>
      <c r="BI358" s="1">
        <v>6.8700000000000703</v>
      </c>
      <c r="BM358" s="1">
        <v>6.8700000000000703</v>
      </c>
      <c r="BQ358" s="1">
        <v>6.8700000000000703</v>
      </c>
      <c r="BU358" s="1">
        <v>6.8700000000000703</v>
      </c>
    </row>
    <row r="359" spans="33:73" hidden="1" x14ac:dyDescent="0.25">
      <c r="AG359" s="1">
        <v>6.8600000000000696</v>
      </c>
      <c r="AH359" s="1">
        <f t="shared" si="21"/>
        <v>223.13999999999993</v>
      </c>
      <c r="AI359" s="1">
        <f t="shared" si="22"/>
        <v>223.13999999999993</v>
      </c>
      <c r="AK359" s="1">
        <v>6.8600000000000696</v>
      </c>
      <c r="AO359" s="1">
        <v>6.8600000000000696</v>
      </c>
      <c r="AS359" s="1">
        <v>6.8600000000000696</v>
      </c>
      <c r="AW359" s="1">
        <v>6.8600000000000696</v>
      </c>
      <c r="BA359" s="1">
        <v>6.8600000000000696</v>
      </c>
      <c r="BE359" s="1">
        <v>6.8600000000000696</v>
      </c>
      <c r="BI359" s="1">
        <v>6.8600000000000696</v>
      </c>
      <c r="BM359" s="1">
        <v>6.8600000000000696</v>
      </c>
      <c r="BQ359" s="1">
        <v>6.8600000000000696</v>
      </c>
      <c r="BU359" s="1">
        <v>6.8600000000000696</v>
      </c>
    </row>
    <row r="360" spans="33:73" hidden="1" x14ac:dyDescent="0.25">
      <c r="AG360" s="1">
        <v>6.8500000000000698</v>
      </c>
      <c r="AH360" s="1">
        <f t="shared" si="21"/>
        <v>223.14999999999992</v>
      </c>
      <c r="AI360" s="1">
        <f t="shared" si="22"/>
        <v>223.14999999999992</v>
      </c>
      <c r="AK360" s="1">
        <v>6.8500000000000698</v>
      </c>
      <c r="AO360" s="1">
        <v>6.8500000000000698</v>
      </c>
      <c r="AS360" s="1">
        <v>6.8500000000000698</v>
      </c>
      <c r="AW360" s="1">
        <v>6.8500000000000698</v>
      </c>
      <c r="BA360" s="1">
        <v>6.8500000000000698</v>
      </c>
      <c r="BE360" s="1">
        <v>6.8500000000000698</v>
      </c>
      <c r="BI360" s="1">
        <v>6.8500000000000698</v>
      </c>
      <c r="BM360" s="1">
        <v>6.8500000000000698</v>
      </c>
      <c r="BQ360" s="1">
        <v>6.8500000000000698</v>
      </c>
      <c r="BU360" s="1">
        <v>6.8500000000000698</v>
      </c>
    </row>
    <row r="361" spans="33:73" hidden="1" x14ac:dyDescent="0.25">
      <c r="AG361" s="1">
        <v>6.84000000000007</v>
      </c>
      <c r="AH361" s="1">
        <f t="shared" si="21"/>
        <v>223.15999999999994</v>
      </c>
      <c r="AI361" s="1">
        <f t="shared" si="22"/>
        <v>223.15999999999994</v>
      </c>
      <c r="AK361" s="1">
        <v>6.84000000000007</v>
      </c>
      <c r="AO361" s="1">
        <v>6.84000000000007</v>
      </c>
      <c r="AS361" s="1">
        <v>6.84000000000007</v>
      </c>
      <c r="AW361" s="1">
        <v>6.84000000000007</v>
      </c>
      <c r="BA361" s="1">
        <v>6.84000000000007</v>
      </c>
      <c r="BE361" s="1">
        <v>6.84000000000007</v>
      </c>
      <c r="BI361" s="1">
        <v>6.84000000000007</v>
      </c>
      <c r="BM361" s="1">
        <v>6.84000000000007</v>
      </c>
      <c r="BQ361" s="1">
        <v>6.84000000000007</v>
      </c>
      <c r="BU361" s="1">
        <v>6.84000000000007</v>
      </c>
    </row>
    <row r="362" spans="33:73" hidden="1" x14ac:dyDescent="0.25">
      <c r="AG362" s="1">
        <v>6.8300000000000702</v>
      </c>
      <c r="AH362" s="1">
        <f t="shared" si="21"/>
        <v>223.16999999999993</v>
      </c>
      <c r="AI362" s="1">
        <f t="shared" si="22"/>
        <v>223.16999999999993</v>
      </c>
      <c r="AK362" s="1">
        <v>6.8300000000000702</v>
      </c>
      <c r="AO362" s="1">
        <v>6.8300000000000702</v>
      </c>
      <c r="AS362" s="1">
        <v>6.8300000000000702</v>
      </c>
      <c r="AW362" s="1">
        <v>6.8300000000000702</v>
      </c>
      <c r="BA362" s="1">
        <v>6.8300000000000702</v>
      </c>
      <c r="BE362" s="1">
        <v>6.8300000000000702</v>
      </c>
      <c r="BI362" s="1">
        <v>6.8300000000000702</v>
      </c>
      <c r="BM362" s="1">
        <v>6.8300000000000702</v>
      </c>
      <c r="BQ362" s="1">
        <v>6.8300000000000702</v>
      </c>
      <c r="BU362" s="1">
        <v>6.8300000000000702</v>
      </c>
    </row>
    <row r="363" spans="33:73" hidden="1" x14ac:dyDescent="0.25">
      <c r="AG363" s="1">
        <v>6.8200000000000696</v>
      </c>
      <c r="AH363" s="1">
        <f t="shared" si="21"/>
        <v>223.17999999999992</v>
      </c>
      <c r="AI363" s="1">
        <f t="shared" si="22"/>
        <v>223.17999999999992</v>
      </c>
      <c r="AK363" s="1">
        <v>6.8200000000000696</v>
      </c>
      <c r="AO363" s="1">
        <v>6.8200000000000696</v>
      </c>
      <c r="AS363" s="1">
        <v>6.8200000000000696</v>
      </c>
      <c r="AW363" s="1">
        <v>6.8200000000000696</v>
      </c>
      <c r="BA363" s="1">
        <v>6.8200000000000696</v>
      </c>
      <c r="BE363" s="1">
        <v>6.8200000000000696</v>
      </c>
      <c r="BI363" s="1">
        <v>6.8200000000000696</v>
      </c>
      <c r="BM363" s="1">
        <v>6.8200000000000696</v>
      </c>
      <c r="BQ363" s="1">
        <v>6.8200000000000696</v>
      </c>
      <c r="BU363" s="1">
        <v>6.8200000000000696</v>
      </c>
    </row>
    <row r="364" spans="33:73" hidden="1" x14ac:dyDescent="0.25">
      <c r="AG364" s="1">
        <v>6.8100000000000698</v>
      </c>
      <c r="AH364" s="1">
        <f t="shared" si="21"/>
        <v>223.18999999999994</v>
      </c>
      <c r="AI364" s="1">
        <f t="shared" si="22"/>
        <v>223.18999999999994</v>
      </c>
      <c r="AK364" s="1">
        <v>6.8100000000000698</v>
      </c>
      <c r="AO364" s="1">
        <v>6.8100000000000698</v>
      </c>
      <c r="AS364" s="1">
        <v>6.8100000000000698</v>
      </c>
      <c r="AW364" s="1">
        <v>6.8100000000000698</v>
      </c>
      <c r="BA364" s="1">
        <v>6.8100000000000698</v>
      </c>
      <c r="BE364" s="1">
        <v>6.8100000000000698</v>
      </c>
      <c r="BI364" s="1">
        <v>6.8100000000000698</v>
      </c>
      <c r="BM364" s="1">
        <v>6.8100000000000698</v>
      </c>
      <c r="BQ364" s="1">
        <v>6.8100000000000698</v>
      </c>
      <c r="BU364" s="1">
        <v>6.8100000000000698</v>
      </c>
    </row>
    <row r="365" spans="33:73" hidden="1" x14ac:dyDescent="0.25">
      <c r="AG365" s="1">
        <v>6.80000000000007</v>
      </c>
      <c r="AH365" s="1">
        <f t="shared" si="21"/>
        <v>223.19999999999993</v>
      </c>
      <c r="AI365" s="1">
        <f t="shared" si="22"/>
        <v>223.19999999999993</v>
      </c>
      <c r="AK365" s="1">
        <v>6.80000000000007</v>
      </c>
      <c r="AO365" s="1">
        <v>6.80000000000007</v>
      </c>
      <c r="AS365" s="1">
        <v>6.80000000000007</v>
      </c>
      <c r="AW365" s="1">
        <v>6.80000000000007</v>
      </c>
      <c r="BA365" s="1">
        <v>6.80000000000007</v>
      </c>
      <c r="BE365" s="1">
        <v>6.80000000000007</v>
      </c>
      <c r="BI365" s="1">
        <v>6.80000000000007</v>
      </c>
      <c r="BM365" s="1">
        <v>6.80000000000007</v>
      </c>
      <c r="BQ365" s="1">
        <v>6.80000000000007</v>
      </c>
      <c r="BU365" s="1">
        <v>6.80000000000007</v>
      </c>
    </row>
    <row r="366" spans="33:73" hidden="1" x14ac:dyDescent="0.25">
      <c r="AG366" s="1">
        <v>6.7900000000000702</v>
      </c>
      <c r="AH366" s="1">
        <f t="shared" ref="AH366:AH429" si="23">SQRT((AI366+($AI$38*($AM$44*$AJ$44+$AN$44*$AK$44)))^2+($D$3*($AN$44*$AJ$44-$AM$44*$AK$44))^2)</f>
        <v>223.20999999999992</v>
      </c>
      <c r="AI366" s="1">
        <f t="shared" ref="AI366:AI429" si="24">$AI$40-AG366</f>
        <v>223.20999999999992</v>
      </c>
      <c r="AK366" s="1">
        <v>6.7900000000000702</v>
      </c>
      <c r="AO366" s="1">
        <v>6.7900000000000702</v>
      </c>
      <c r="AS366" s="1">
        <v>6.7900000000000702</v>
      </c>
      <c r="AW366" s="1">
        <v>6.7900000000000702</v>
      </c>
      <c r="BA366" s="1">
        <v>6.7900000000000702</v>
      </c>
      <c r="BE366" s="1">
        <v>6.7900000000000702</v>
      </c>
      <c r="BI366" s="1">
        <v>6.7900000000000702</v>
      </c>
      <c r="BM366" s="1">
        <v>6.7900000000000702</v>
      </c>
      <c r="BQ366" s="1">
        <v>6.7900000000000702</v>
      </c>
      <c r="BU366" s="1">
        <v>6.7900000000000702</v>
      </c>
    </row>
    <row r="367" spans="33:73" hidden="1" x14ac:dyDescent="0.25">
      <c r="AG367" s="1">
        <v>6.7800000000000704</v>
      </c>
      <c r="AH367" s="1">
        <f t="shared" si="23"/>
        <v>223.21999999999994</v>
      </c>
      <c r="AI367" s="1">
        <f t="shared" si="24"/>
        <v>223.21999999999994</v>
      </c>
      <c r="AK367" s="1">
        <v>6.7800000000000704</v>
      </c>
      <c r="AO367" s="1">
        <v>6.7800000000000704</v>
      </c>
      <c r="AS367" s="1">
        <v>6.7800000000000704</v>
      </c>
      <c r="AW367" s="1">
        <v>6.7800000000000704</v>
      </c>
      <c r="BA367" s="1">
        <v>6.7800000000000704</v>
      </c>
      <c r="BE367" s="1">
        <v>6.7800000000000704</v>
      </c>
      <c r="BI367" s="1">
        <v>6.7800000000000704</v>
      </c>
      <c r="BM367" s="1">
        <v>6.7800000000000704</v>
      </c>
      <c r="BQ367" s="1">
        <v>6.7800000000000704</v>
      </c>
      <c r="BU367" s="1">
        <v>6.7800000000000704</v>
      </c>
    </row>
    <row r="368" spans="33:73" hidden="1" x14ac:dyDescent="0.25">
      <c r="AG368" s="1">
        <v>6.7700000000000697</v>
      </c>
      <c r="AH368" s="1">
        <f t="shared" si="23"/>
        <v>223.22999999999993</v>
      </c>
      <c r="AI368" s="1">
        <f t="shared" si="24"/>
        <v>223.22999999999993</v>
      </c>
      <c r="AK368" s="1">
        <v>6.7700000000000697</v>
      </c>
      <c r="AO368" s="1">
        <v>6.7700000000000697</v>
      </c>
      <c r="AS368" s="1">
        <v>6.7700000000000697</v>
      </c>
      <c r="AW368" s="1">
        <v>6.7700000000000697</v>
      </c>
      <c r="BA368" s="1">
        <v>6.7700000000000697</v>
      </c>
      <c r="BE368" s="1">
        <v>6.7700000000000697</v>
      </c>
      <c r="BI368" s="1">
        <v>6.7700000000000697</v>
      </c>
      <c r="BM368" s="1">
        <v>6.7700000000000697</v>
      </c>
      <c r="BQ368" s="1">
        <v>6.7700000000000697</v>
      </c>
      <c r="BU368" s="1">
        <v>6.7700000000000697</v>
      </c>
    </row>
    <row r="369" spans="33:73" hidden="1" x14ac:dyDescent="0.25">
      <c r="AG369" s="1">
        <v>6.76000000000007</v>
      </c>
      <c r="AH369" s="1">
        <f t="shared" si="23"/>
        <v>223.23999999999992</v>
      </c>
      <c r="AI369" s="1">
        <f t="shared" si="24"/>
        <v>223.23999999999992</v>
      </c>
      <c r="AK369" s="1">
        <v>6.76000000000007</v>
      </c>
      <c r="AO369" s="1">
        <v>6.76000000000007</v>
      </c>
      <c r="AS369" s="1">
        <v>6.76000000000007</v>
      </c>
      <c r="AW369" s="1">
        <v>6.76000000000007</v>
      </c>
      <c r="BA369" s="1">
        <v>6.76000000000007</v>
      </c>
      <c r="BE369" s="1">
        <v>6.76000000000007</v>
      </c>
      <c r="BI369" s="1">
        <v>6.76000000000007</v>
      </c>
      <c r="BM369" s="1">
        <v>6.76000000000007</v>
      </c>
      <c r="BQ369" s="1">
        <v>6.76000000000007</v>
      </c>
      <c r="BU369" s="1">
        <v>6.76000000000007</v>
      </c>
    </row>
    <row r="370" spans="33:73" hidden="1" x14ac:dyDescent="0.25">
      <c r="AG370" s="1">
        <v>6.7500000000000702</v>
      </c>
      <c r="AH370" s="1">
        <f t="shared" si="23"/>
        <v>223.24999999999994</v>
      </c>
      <c r="AI370" s="1">
        <f t="shared" si="24"/>
        <v>223.24999999999994</v>
      </c>
      <c r="AK370" s="1">
        <v>6.7500000000000702</v>
      </c>
      <c r="AO370" s="1">
        <v>6.7500000000000702</v>
      </c>
      <c r="AS370" s="1">
        <v>6.7500000000000702</v>
      </c>
      <c r="AW370" s="1">
        <v>6.7500000000000702</v>
      </c>
      <c r="BA370" s="1">
        <v>6.7500000000000702</v>
      </c>
      <c r="BE370" s="1">
        <v>6.7500000000000702</v>
      </c>
      <c r="BI370" s="1">
        <v>6.7500000000000702</v>
      </c>
      <c r="BM370" s="1">
        <v>6.7500000000000702</v>
      </c>
      <c r="BQ370" s="1">
        <v>6.7500000000000702</v>
      </c>
      <c r="BU370" s="1">
        <v>6.7500000000000702</v>
      </c>
    </row>
    <row r="371" spans="33:73" hidden="1" x14ac:dyDescent="0.25">
      <c r="AG371" s="1">
        <v>6.7400000000000704</v>
      </c>
      <c r="AH371" s="1">
        <f t="shared" si="23"/>
        <v>223.25999999999993</v>
      </c>
      <c r="AI371" s="1">
        <f t="shared" si="24"/>
        <v>223.25999999999993</v>
      </c>
      <c r="AK371" s="1">
        <v>6.7400000000000704</v>
      </c>
      <c r="AO371" s="1">
        <v>6.7400000000000704</v>
      </c>
      <c r="AS371" s="1">
        <v>6.7400000000000704</v>
      </c>
      <c r="AW371" s="1">
        <v>6.7400000000000704</v>
      </c>
      <c r="BA371" s="1">
        <v>6.7400000000000704</v>
      </c>
      <c r="BE371" s="1">
        <v>6.7400000000000704</v>
      </c>
      <c r="BI371" s="1">
        <v>6.7400000000000704</v>
      </c>
      <c r="BM371" s="1">
        <v>6.7400000000000704</v>
      </c>
      <c r="BQ371" s="1">
        <v>6.7400000000000704</v>
      </c>
      <c r="BU371" s="1">
        <v>6.7400000000000704</v>
      </c>
    </row>
    <row r="372" spans="33:73" hidden="1" x14ac:dyDescent="0.25">
      <c r="AG372" s="1">
        <v>6.7300000000000697</v>
      </c>
      <c r="AH372" s="1">
        <f t="shared" si="23"/>
        <v>223.26999999999992</v>
      </c>
      <c r="AI372" s="1">
        <f t="shared" si="24"/>
        <v>223.26999999999992</v>
      </c>
      <c r="AK372" s="1">
        <v>6.7300000000000697</v>
      </c>
      <c r="AO372" s="1">
        <v>6.7300000000000697</v>
      </c>
      <c r="AS372" s="1">
        <v>6.7300000000000697</v>
      </c>
      <c r="AW372" s="1">
        <v>6.7300000000000697</v>
      </c>
      <c r="BA372" s="1">
        <v>6.7300000000000697</v>
      </c>
      <c r="BE372" s="1">
        <v>6.7300000000000697</v>
      </c>
      <c r="BI372" s="1">
        <v>6.7300000000000697</v>
      </c>
      <c r="BM372" s="1">
        <v>6.7300000000000697</v>
      </c>
      <c r="BQ372" s="1">
        <v>6.7300000000000697</v>
      </c>
      <c r="BU372" s="1">
        <v>6.7300000000000697</v>
      </c>
    </row>
    <row r="373" spans="33:73" hidden="1" x14ac:dyDescent="0.25">
      <c r="AG373" s="1">
        <v>6.7200000000000699</v>
      </c>
      <c r="AH373" s="1">
        <f t="shared" si="23"/>
        <v>223.27999999999992</v>
      </c>
      <c r="AI373" s="1">
        <f t="shared" si="24"/>
        <v>223.27999999999992</v>
      </c>
      <c r="AK373" s="1">
        <v>6.7200000000000699</v>
      </c>
      <c r="AO373" s="1">
        <v>6.7200000000000699</v>
      </c>
      <c r="AS373" s="1">
        <v>6.7200000000000699</v>
      </c>
      <c r="AW373" s="1">
        <v>6.7200000000000699</v>
      </c>
      <c r="BA373" s="1">
        <v>6.7200000000000699</v>
      </c>
      <c r="BE373" s="1">
        <v>6.7200000000000699</v>
      </c>
      <c r="BI373" s="1">
        <v>6.7200000000000699</v>
      </c>
      <c r="BM373" s="1">
        <v>6.7200000000000699</v>
      </c>
      <c r="BQ373" s="1">
        <v>6.7200000000000699</v>
      </c>
      <c r="BU373" s="1">
        <v>6.7200000000000699</v>
      </c>
    </row>
    <row r="374" spans="33:73" hidden="1" x14ac:dyDescent="0.25">
      <c r="AG374" s="1">
        <v>6.7100000000000701</v>
      </c>
      <c r="AH374" s="1">
        <f t="shared" si="23"/>
        <v>223.28999999999994</v>
      </c>
      <c r="AI374" s="1">
        <f t="shared" si="24"/>
        <v>223.28999999999994</v>
      </c>
      <c r="AK374" s="1">
        <v>6.7100000000000701</v>
      </c>
      <c r="AO374" s="1">
        <v>6.7100000000000701</v>
      </c>
      <c r="AS374" s="1">
        <v>6.7100000000000701</v>
      </c>
      <c r="AW374" s="1">
        <v>6.7100000000000701</v>
      </c>
      <c r="BA374" s="1">
        <v>6.7100000000000701</v>
      </c>
      <c r="BE374" s="1">
        <v>6.7100000000000701</v>
      </c>
      <c r="BI374" s="1">
        <v>6.7100000000000701</v>
      </c>
      <c r="BM374" s="1">
        <v>6.7100000000000701</v>
      </c>
      <c r="BQ374" s="1">
        <v>6.7100000000000701</v>
      </c>
      <c r="BU374" s="1">
        <v>6.7100000000000701</v>
      </c>
    </row>
    <row r="375" spans="33:73" hidden="1" x14ac:dyDescent="0.25">
      <c r="AG375" s="1">
        <v>6.7000000000000703</v>
      </c>
      <c r="AH375" s="1">
        <f t="shared" si="23"/>
        <v>223.29999999999993</v>
      </c>
      <c r="AI375" s="1">
        <f t="shared" si="24"/>
        <v>223.29999999999993</v>
      </c>
      <c r="AK375" s="1">
        <v>6.7000000000000703</v>
      </c>
      <c r="AO375" s="1">
        <v>6.7000000000000703</v>
      </c>
      <c r="AS375" s="1">
        <v>6.7000000000000703</v>
      </c>
      <c r="AW375" s="1">
        <v>6.7000000000000703</v>
      </c>
      <c r="BA375" s="1">
        <v>6.7000000000000703</v>
      </c>
      <c r="BE375" s="1">
        <v>6.7000000000000703</v>
      </c>
      <c r="BI375" s="1">
        <v>6.7000000000000703</v>
      </c>
      <c r="BM375" s="1">
        <v>6.7000000000000703</v>
      </c>
      <c r="BQ375" s="1">
        <v>6.7000000000000703</v>
      </c>
      <c r="BU375" s="1">
        <v>6.7000000000000703</v>
      </c>
    </row>
    <row r="376" spans="33:73" hidden="1" x14ac:dyDescent="0.25">
      <c r="AG376" s="1">
        <v>6.6900000000000697</v>
      </c>
      <c r="AH376" s="1">
        <f t="shared" si="23"/>
        <v>223.30999999999992</v>
      </c>
      <c r="AI376" s="1">
        <f t="shared" si="24"/>
        <v>223.30999999999992</v>
      </c>
      <c r="AK376" s="1">
        <v>6.6900000000000697</v>
      </c>
      <c r="AO376" s="1">
        <v>6.6900000000000697</v>
      </c>
      <c r="AS376" s="1">
        <v>6.6900000000000697</v>
      </c>
      <c r="AW376" s="1">
        <v>6.6900000000000697</v>
      </c>
      <c r="BA376" s="1">
        <v>6.6900000000000697</v>
      </c>
      <c r="BE376" s="1">
        <v>6.6900000000000697</v>
      </c>
      <c r="BI376" s="1">
        <v>6.6900000000000697</v>
      </c>
      <c r="BM376" s="1">
        <v>6.6900000000000697</v>
      </c>
      <c r="BQ376" s="1">
        <v>6.6900000000000697</v>
      </c>
      <c r="BU376" s="1">
        <v>6.6900000000000697</v>
      </c>
    </row>
    <row r="377" spans="33:73" hidden="1" x14ac:dyDescent="0.25">
      <c r="AG377" s="1">
        <v>6.6800000000000699</v>
      </c>
      <c r="AH377" s="1">
        <f t="shared" si="23"/>
        <v>223.31999999999994</v>
      </c>
      <c r="AI377" s="1">
        <f t="shared" si="24"/>
        <v>223.31999999999994</v>
      </c>
      <c r="AK377" s="1">
        <v>6.6800000000000699</v>
      </c>
      <c r="AO377" s="1">
        <v>6.6800000000000699</v>
      </c>
      <c r="AS377" s="1">
        <v>6.6800000000000699</v>
      </c>
      <c r="AW377" s="1">
        <v>6.6800000000000699</v>
      </c>
      <c r="BA377" s="1">
        <v>6.6800000000000699</v>
      </c>
      <c r="BE377" s="1">
        <v>6.6800000000000699</v>
      </c>
      <c r="BI377" s="1">
        <v>6.6800000000000699</v>
      </c>
      <c r="BM377" s="1">
        <v>6.6800000000000699</v>
      </c>
      <c r="BQ377" s="1">
        <v>6.6800000000000699</v>
      </c>
      <c r="BU377" s="1">
        <v>6.6800000000000699</v>
      </c>
    </row>
    <row r="378" spans="33:73" hidden="1" x14ac:dyDescent="0.25">
      <c r="AG378" s="1">
        <v>6.6700000000000701</v>
      </c>
      <c r="AH378" s="1">
        <f t="shared" si="23"/>
        <v>223.32999999999993</v>
      </c>
      <c r="AI378" s="1">
        <f t="shared" si="24"/>
        <v>223.32999999999993</v>
      </c>
      <c r="AK378" s="1">
        <v>6.6700000000000701</v>
      </c>
      <c r="AO378" s="1">
        <v>6.6700000000000701</v>
      </c>
      <c r="AS378" s="1">
        <v>6.6700000000000701</v>
      </c>
      <c r="AW378" s="1">
        <v>6.6700000000000701</v>
      </c>
      <c r="BA378" s="1">
        <v>6.6700000000000701</v>
      </c>
      <c r="BE378" s="1">
        <v>6.6700000000000701</v>
      </c>
      <c r="BI378" s="1">
        <v>6.6700000000000701</v>
      </c>
      <c r="BM378" s="1">
        <v>6.6700000000000701</v>
      </c>
      <c r="BQ378" s="1">
        <v>6.6700000000000701</v>
      </c>
      <c r="BU378" s="1">
        <v>6.6700000000000701</v>
      </c>
    </row>
    <row r="379" spans="33:73" hidden="1" x14ac:dyDescent="0.25">
      <c r="AG379" s="1">
        <v>6.6600000000000703</v>
      </c>
      <c r="AH379" s="1">
        <f t="shared" si="23"/>
        <v>223.33999999999992</v>
      </c>
      <c r="AI379" s="1">
        <f t="shared" si="24"/>
        <v>223.33999999999992</v>
      </c>
      <c r="AK379" s="1">
        <v>6.6600000000000703</v>
      </c>
      <c r="AO379" s="1">
        <v>6.6600000000000703</v>
      </c>
      <c r="AS379" s="1">
        <v>6.6600000000000703</v>
      </c>
      <c r="AW379" s="1">
        <v>6.6600000000000703</v>
      </c>
      <c r="BA379" s="1">
        <v>6.6600000000000703</v>
      </c>
      <c r="BE379" s="1">
        <v>6.6600000000000703</v>
      </c>
      <c r="BI379" s="1">
        <v>6.6600000000000703</v>
      </c>
      <c r="BM379" s="1">
        <v>6.6600000000000703</v>
      </c>
      <c r="BQ379" s="1">
        <v>6.6600000000000703</v>
      </c>
      <c r="BU379" s="1">
        <v>6.6600000000000703</v>
      </c>
    </row>
    <row r="380" spans="33:73" hidden="1" x14ac:dyDescent="0.25">
      <c r="AG380" s="1">
        <v>6.6500000000000696</v>
      </c>
      <c r="AH380" s="1">
        <f t="shared" si="23"/>
        <v>223.34999999999994</v>
      </c>
      <c r="AI380" s="1">
        <f t="shared" si="24"/>
        <v>223.34999999999994</v>
      </c>
      <c r="AK380" s="1">
        <v>6.6500000000000696</v>
      </c>
      <c r="AO380" s="1">
        <v>6.6500000000000696</v>
      </c>
      <c r="AS380" s="1">
        <v>6.6500000000000696</v>
      </c>
      <c r="AW380" s="1">
        <v>6.6500000000000696</v>
      </c>
      <c r="BA380" s="1">
        <v>6.6500000000000696</v>
      </c>
      <c r="BE380" s="1">
        <v>6.6500000000000696</v>
      </c>
      <c r="BI380" s="1">
        <v>6.6500000000000696</v>
      </c>
      <c r="BM380" s="1">
        <v>6.6500000000000696</v>
      </c>
      <c r="BQ380" s="1">
        <v>6.6500000000000696</v>
      </c>
      <c r="BU380" s="1">
        <v>6.6500000000000696</v>
      </c>
    </row>
    <row r="381" spans="33:73" hidden="1" x14ac:dyDescent="0.25">
      <c r="AG381" s="1">
        <v>6.6400000000000698</v>
      </c>
      <c r="AH381" s="1">
        <f t="shared" si="23"/>
        <v>223.35999999999993</v>
      </c>
      <c r="AI381" s="1">
        <f t="shared" si="24"/>
        <v>223.35999999999993</v>
      </c>
      <c r="AK381" s="1">
        <v>6.6400000000000698</v>
      </c>
      <c r="AO381" s="1">
        <v>6.6400000000000698</v>
      </c>
      <c r="AS381" s="1">
        <v>6.6400000000000698</v>
      </c>
      <c r="AW381" s="1">
        <v>6.6400000000000698</v>
      </c>
      <c r="BA381" s="1">
        <v>6.6400000000000698</v>
      </c>
      <c r="BE381" s="1">
        <v>6.6400000000000698</v>
      </c>
      <c r="BI381" s="1">
        <v>6.6400000000000698</v>
      </c>
      <c r="BM381" s="1">
        <v>6.6400000000000698</v>
      </c>
      <c r="BQ381" s="1">
        <v>6.6400000000000698</v>
      </c>
      <c r="BU381" s="1">
        <v>6.6400000000000698</v>
      </c>
    </row>
    <row r="382" spans="33:73" hidden="1" x14ac:dyDescent="0.25">
      <c r="AG382" s="1">
        <v>6.6300000000000701</v>
      </c>
      <c r="AH382" s="1">
        <f t="shared" si="23"/>
        <v>223.36999999999992</v>
      </c>
      <c r="AI382" s="1">
        <f t="shared" si="24"/>
        <v>223.36999999999992</v>
      </c>
      <c r="AK382" s="1">
        <v>6.6300000000000701</v>
      </c>
      <c r="AO382" s="1">
        <v>6.6300000000000701</v>
      </c>
      <c r="AS382" s="1">
        <v>6.6300000000000701</v>
      </c>
      <c r="AW382" s="1">
        <v>6.6300000000000701</v>
      </c>
      <c r="BA382" s="1">
        <v>6.6300000000000701</v>
      </c>
      <c r="BE382" s="1">
        <v>6.6300000000000701</v>
      </c>
      <c r="BI382" s="1">
        <v>6.6300000000000701</v>
      </c>
      <c r="BM382" s="1">
        <v>6.6300000000000701</v>
      </c>
      <c r="BQ382" s="1">
        <v>6.6300000000000701</v>
      </c>
      <c r="BU382" s="1">
        <v>6.6300000000000701</v>
      </c>
    </row>
    <row r="383" spans="33:73" hidden="1" x14ac:dyDescent="0.25">
      <c r="AG383" s="1">
        <v>6.6200000000000703</v>
      </c>
      <c r="AH383" s="1">
        <f t="shared" si="23"/>
        <v>223.37999999999994</v>
      </c>
      <c r="AI383" s="1">
        <f t="shared" si="24"/>
        <v>223.37999999999994</v>
      </c>
      <c r="AK383" s="1">
        <v>6.6200000000000703</v>
      </c>
      <c r="AO383" s="1">
        <v>6.6200000000000703</v>
      </c>
      <c r="AS383" s="1">
        <v>6.6200000000000703</v>
      </c>
      <c r="AW383" s="1">
        <v>6.6200000000000703</v>
      </c>
      <c r="BA383" s="1">
        <v>6.6200000000000703</v>
      </c>
      <c r="BE383" s="1">
        <v>6.6200000000000703</v>
      </c>
      <c r="BI383" s="1">
        <v>6.6200000000000703</v>
      </c>
      <c r="BM383" s="1">
        <v>6.6200000000000703</v>
      </c>
      <c r="BQ383" s="1">
        <v>6.6200000000000703</v>
      </c>
      <c r="BU383" s="1">
        <v>6.6200000000000703</v>
      </c>
    </row>
    <row r="384" spans="33:73" hidden="1" x14ac:dyDescent="0.25">
      <c r="AG384" s="1">
        <v>6.6100000000000696</v>
      </c>
      <c r="AH384" s="1">
        <f t="shared" si="23"/>
        <v>223.38999999999993</v>
      </c>
      <c r="AI384" s="1">
        <f t="shared" si="24"/>
        <v>223.38999999999993</v>
      </c>
      <c r="AK384" s="1">
        <v>6.6100000000000696</v>
      </c>
      <c r="AO384" s="1">
        <v>6.6100000000000696</v>
      </c>
      <c r="AS384" s="1">
        <v>6.6100000000000696</v>
      </c>
      <c r="AW384" s="1">
        <v>6.6100000000000696</v>
      </c>
      <c r="BA384" s="1">
        <v>6.6100000000000696</v>
      </c>
      <c r="BE384" s="1">
        <v>6.6100000000000696</v>
      </c>
      <c r="BI384" s="1">
        <v>6.6100000000000696</v>
      </c>
      <c r="BM384" s="1">
        <v>6.6100000000000696</v>
      </c>
      <c r="BQ384" s="1">
        <v>6.6100000000000696</v>
      </c>
      <c r="BU384" s="1">
        <v>6.6100000000000696</v>
      </c>
    </row>
    <row r="385" spans="33:73" hidden="1" x14ac:dyDescent="0.25">
      <c r="AG385" s="1">
        <v>6.6000000000000698</v>
      </c>
      <c r="AH385" s="1">
        <f t="shared" si="23"/>
        <v>223.39999999999992</v>
      </c>
      <c r="AI385" s="1">
        <f t="shared" si="24"/>
        <v>223.39999999999992</v>
      </c>
      <c r="AK385" s="1">
        <v>6.6000000000000698</v>
      </c>
      <c r="AO385" s="1">
        <v>6.6000000000000698</v>
      </c>
      <c r="AS385" s="1">
        <v>6.6000000000000698</v>
      </c>
      <c r="AW385" s="1">
        <v>6.6000000000000698</v>
      </c>
      <c r="BA385" s="1">
        <v>6.6000000000000698</v>
      </c>
      <c r="BE385" s="1">
        <v>6.6000000000000698</v>
      </c>
      <c r="BI385" s="1">
        <v>6.6000000000000698</v>
      </c>
      <c r="BM385" s="1">
        <v>6.6000000000000698</v>
      </c>
      <c r="BQ385" s="1">
        <v>6.6000000000000698</v>
      </c>
      <c r="BU385" s="1">
        <v>6.6000000000000698</v>
      </c>
    </row>
    <row r="386" spans="33:73" hidden="1" x14ac:dyDescent="0.25">
      <c r="AG386" s="1">
        <v>6.59000000000007</v>
      </c>
      <c r="AH386" s="1">
        <f t="shared" si="23"/>
        <v>223.40999999999994</v>
      </c>
      <c r="AI386" s="1">
        <f t="shared" si="24"/>
        <v>223.40999999999994</v>
      </c>
      <c r="AK386" s="1">
        <v>6.59000000000007</v>
      </c>
      <c r="AO386" s="1">
        <v>6.59000000000007</v>
      </c>
      <c r="AS386" s="1">
        <v>6.59000000000007</v>
      </c>
      <c r="AW386" s="1">
        <v>6.59000000000007</v>
      </c>
      <c r="BA386" s="1">
        <v>6.59000000000007</v>
      </c>
      <c r="BE386" s="1">
        <v>6.59000000000007</v>
      </c>
      <c r="BI386" s="1">
        <v>6.59000000000007</v>
      </c>
      <c r="BM386" s="1">
        <v>6.59000000000007</v>
      </c>
      <c r="BQ386" s="1">
        <v>6.59000000000007</v>
      </c>
      <c r="BU386" s="1">
        <v>6.59000000000007</v>
      </c>
    </row>
    <row r="387" spans="33:73" hidden="1" x14ac:dyDescent="0.25">
      <c r="AG387" s="1">
        <v>6.5800000000000702</v>
      </c>
      <c r="AH387" s="1">
        <f t="shared" si="23"/>
        <v>223.41999999999993</v>
      </c>
      <c r="AI387" s="1">
        <f t="shared" si="24"/>
        <v>223.41999999999993</v>
      </c>
      <c r="AK387" s="1">
        <v>6.5800000000000702</v>
      </c>
      <c r="AO387" s="1">
        <v>6.5800000000000702</v>
      </c>
      <c r="AS387" s="1">
        <v>6.5800000000000702</v>
      </c>
      <c r="AW387" s="1">
        <v>6.5800000000000702</v>
      </c>
      <c r="BA387" s="1">
        <v>6.5800000000000702</v>
      </c>
      <c r="BE387" s="1">
        <v>6.5800000000000702</v>
      </c>
      <c r="BI387" s="1">
        <v>6.5800000000000702</v>
      </c>
      <c r="BM387" s="1">
        <v>6.5800000000000702</v>
      </c>
      <c r="BQ387" s="1">
        <v>6.5800000000000702</v>
      </c>
      <c r="BU387" s="1">
        <v>6.5800000000000702</v>
      </c>
    </row>
    <row r="388" spans="33:73" hidden="1" x14ac:dyDescent="0.25">
      <c r="AG388" s="1">
        <v>6.5700000000000696</v>
      </c>
      <c r="AH388" s="1">
        <f t="shared" si="23"/>
        <v>223.42999999999992</v>
      </c>
      <c r="AI388" s="1">
        <f t="shared" si="24"/>
        <v>223.42999999999992</v>
      </c>
      <c r="AK388" s="1">
        <v>6.5700000000000696</v>
      </c>
      <c r="AO388" s="1">
        <v>6.5700000000000696</v>
      </c>
      <c r="AS388" s="1">
        <v>6.5700000000000696</v>
      </c>
      <c r="AW388" s="1">
        <v>6.5700000000000696</v>
      </c>
      <c r="BA388" s="1">
        <v>6.5700000000000696</v>
      </c>
      <c r="BE388" s="1">
        <v>6.5700000000000696</v>
      </c>
      <c r="BI388" s="1">
        <v>6.5700000000000696</v>
      </c>
      <c r="BM388" s="1">
        <v>6.5700000000000696</v>
      </c>
      <c r="BQ388" s="1">
        <v>6.5700000000000696</v>
      </c>
      <c r="BU388" s="1">
        <v>6.5700000000000696</v>
      </c>
    </row>
    <row r="389" spans="33:73" hidden="1" x14ac:dyDescent="0.25">
      <c r="AG389" s="1">
        <v>6.5600000000000698</v>
      </c>
      <c r="AH389" s="1">
        <f t="shared" si="23"/>
        <v>223.43999999999994</v>
      </c>
      <c r="AI389" s="1">
        <f t="shared" si="24"/>
        <v>223.43999999999994</v>
      </c>
      <c r="AK389" s="1">
        <v>6.5600000000000698</v>
      </c>
      <c r="AO389" s="1">
        <v>6.5600000000000698</v>
      </c>
      <c r="AS389" s="1">
        <v>6.5600000000000698</v>
      </c>
      <c r="AW389" s="1">
        <v>6.5600000000000698</v>
      </c>
      <c r="BA389" s="1">
        <v>6.5600000000000698</v>
      </c>
      <c r="BE389" s="1">
        <v>6.5600000000000698</v>
      </c>
      <c r="BI389" s="1">
        <v>6.5600000000000698</v>
      </c>
      <c r="BM389" s="1">
        <v>6.5600000000000698</v>
      </c>
      <c r="BQ389" s="1">
        <v>6.5600000000000698</v>
      </c>
      <c r="BU389" s="1">
        <v>6.5600000000000698</v>
      </c>
    </row>
    <row r="390" spans="33:73" hidden="1" x14ac:dyDescent="0.25">
      <c r="AG390" s="1">
        <v>6.55000000000007</v>
      </c>
      <c r="AH390" s="1">
        <f t="shared" si="23"/>
        <v>223.44999999999993</v>
      </c>
      <c r="AI390" s="1">
        <f t="shared" si="24"/>
        <v>223.44999999999993</v>
      </c>
      <c r="AK390" s="1">
        <v>6.55000000000007</v>
      </c>
      <c r="AO390" s="1">
        <v>6.55000000000007</v>
      </c>
      <c r="AS390" s="1">
        <v>6.55000000000007</v>
      </c>
      <c r="AW390" s="1">
        <v>6.55000000000007</v>
      </c>
      <c r="BA390" s="1">
        <v>6.55000000000007</v>
      </c>
      <c r="BE390" s="1">
        <v>6.55000000000007</v>
      </c>
      <c r="BI390" s="1">
        <v>6.55000000000007</v>
      </c>
      <c r="BM390" s="1">
        <v>6.55000000000007</v>
      </c>
      <c r="BQ390" s="1">
        <v>6.55000000000007</v>
      </c>
      <c r="BU390" s="1">
        <v>6.55000000000007</v>
      </c>
    </row>
    <row r="391" spans="33:73" hidden="1" x14ac:dyDescent="0.25">
      <c r="AG391" s="1">
        <v>6.5400000000000702</v>
      </c>
      <c r="AH391" s="1">
        <f t="shared" si="23"/>
        <v>223.45999999999992</v>
      </c>
      <c r="AI391" s="1">
        <f t="shared" si="24"/>
        <v>223.45999999999992</v>
      </c>
      <c r="AK391" s="1">
        <v>6.5400000000000702</v>
      </c>
      <c r="AO391" s="1">
        <v>6.5400000000000702</v>
      </c>
      <c r="AS391" s="1">
        <v>6.5400000000000702</v>
      </c>
      <c r="AW391" s="1">
        <v>6.5400000000000702</v>
      </c>
      <c r="BA391" s="1">
        <v>6.5400000000000702</v>
      </c>
      <c r="BE391" s="1">
        <v>6.5400000000000702</v>
      </c>
      <c r="BI391" s="1">
        <v>6.5400000000000702</v>
      </c>
      <c r="BM391" s="1">
        <v>6.5400000000000702</v>
      </c>
      <c r="BQ391" s="1">
        <v>6.5400000000000702</v>
      </c>
      <c r="BU391" s="1">
        <v>6.5400000000000702</v>
      </c>
    </row>
    <row r="392" spans="33:73" hidden="1" x14ac:dyDescent="0.25">
      <c r="AG392" s="1">
        <v>6.5300000000000704</v>
      </c>
      <c r="AH392" s="1">
        <f t="shared" si="23"/>
        <v>223.46999999999994</v>
      </c>
      <c r="AI392" s="1">
        <f t="shared" si="24"/>
        <v>223.46999999999994</v>
      </c>
      <c r="AK392" s="1">
        <v>6.5300000000000704</v>
      </c>
      <c r="AO392" s="1">
        <v>6.5300000000000704</v>
      </c>
      <c r="AS392" s="1">
        <v>6.5300000000000704</v>
      </c>
      <c r="AW392" s="1">
        <v>6.5300000000000704</v>
      </c>
      <c r="BA392" s="1">
        <v>6.5300000000000704</v>
      </c>
      <c r="BE392" s="1">
        <v>6.5300000000000704</v>
      </c>
      <c r="BI392" s="1">
        <v>6.5300000000000704</v>
      </c>
      <c r="BM392" s="1">
        <v>6.5300000000000704</v>
      </c>
      <c r="BQ392" s="1">
        <v>6.5300000000000704</v>
      </c>
      <c r="BU392" s="1">
        <v>6.5300000000000704</v>
      </c>
    </row>
    <row r="393" spans="33:73" hidden="1" x14ac:dyDescent="0.25">
      <c r="AG393" s="1">
        <v>6.5200000000000697</v>
      </c>
      <c r="AH393" s="1">
        <f t="shared" si="23"/>
        <v>223.47999999999993</v>
      </c>
      <c r="AI393" s="1">
        <f t="shared" si="24"/>
        <v>223.47999999999993</v>
      </c>
      <c r="AK393" s="1">
        <v>6.5200000000000697</v>
      </c>
      <c r="AO393" s="1">
        <v>6.5200000000000697</v>
      </c>
      <c r="AS393" s="1">
        <v>6.5200000000000697</v>
      </c>
      <c r="AW393" s="1">
        <v>6.5200000000000697</v>
      </c>
      <c r="BA393" s="1">
        <v>6.5200000000000697</v>
      </c>
      <c r="BE393" s="1">
        <v>6.5200000000000697</v>
      </c>
      <c r="BI393" s="1">
        <v>6.5200000000000697</v>
      </c>
      <c r="BM393" s="1">
        <v>6.5200000000000697</v>
      </c>
      <c r="BQ393" s="1">
        <v>6.5200000000000697</v>
      </c>
      <c r="BU393" s="1">
        <v>6.5200000000000697</v>
      </c>
    </row>
    <row r="394" spans="33:73" hidden="1" x14ac:dyDescent="0.25">
      <c r="AG394" s="1">
        <v>6.51000000000007</v>
      </c>
      <c r="AH394" s="1">
        <f t="shared" si="23"/>
        <v>223.48999999999992</v>
      </c>
      <c r="AI394" s="1">
        <f t="shared" si="24"/>
        <v>223.48999999999992</v>
      </c>
      <c r="AK394" s="1">
        <v>6.51000000000007</v>
      </c>
      <c r="AO394" s="1">
        <v>6.51000000000007</v>
      </c>
      <c r="AS394" s="1">
        <v>6.51000000000007</v>
      </c>
      <c r="AW394" s="1">
        <v>6.51000000000007</v>
      </c>
      <c r="BA394" s="1">
        <v>6.51000000000007</v>
      </c>
      <c r="BE394" s="1">
        <v>6.51000000000007</v>
      </c>
      <c r="BI394" s="1">
        <v>6.51000000000007</v>
      </c>
      <c r="BM394" s="1">
        <v>6.51000000000007</v>
      </c>
      <c r="BQ394" s="1">
        <v>6.51000000000007</v>
      </c>
      <c r="BU394" s="1">
        <v>6.51000000000007</v>
      </c>
    </row>
    <row r="395" spans="33:73" hidden="1" x14ac:dyDescent="0.25">
      <c r="AG395" s="1">
        <v>6.5000000000000702</v>
      </c>
      <c r="AH395" s="1">
        <f t="shared" si="23"/>
        <v>223.49999999999994</v>
      </c>
      <c r="AI395" s="1">
        <f t="shared" si="24"/>
        <v>223.49999999999994</v>
      </c>
      <c r="AK395" s="1">
        <v>6.5000000000000702</v>
      </c>
      <c r="AO395" s="1">
        <v>6.5000000000000702</v>
      </c>
      <c r="AS395" s="1">
        <v>6.5000000000000702</v>
      </c>
      <c r="AW395" s="1">
        <v>6.5000000000000702</v>
      </c>
      <c r="BA395" s="1">
        <v>6.5000000000000702</v>
      </c>
      <c r="BE395" s="1">
        <v>6.5000000000000702</v>
      </c>
      <c r="BI395" s="1">
        <v>6.5000000000000702</v>
      </c>
      <c r="BM395" s="1">
        <v>6.5000000000000702</v>
      </c>
      <c r="BQ395" s="1">
        <v>6.5000000000000702</v>
      </c>
      <c r="BU395" s="1">
        <v>6.5000000000000702</v>
      </c>
    </row>
    <row r="396" spans="33:73" hidden="1" x14ac:dyDescent="0.25">
      <c r="AG396" s="1">
        <v>6.4900000000000704</v>
      </c>
      <c r="AH396" s="1">
        <f t="shared" si="23"/>
        <v>223.50999999999993</v>
      </c>
      <c r="AI396" s="1">
        <f t="shared" si="24"/>
        <v>223.50999999999993</v>
      </c>
      <c r="AK396" s="1">
        <v>6.4900000000000704</v>
      </c>
      <c r="AO396" s="1">
        <v>6.4900000000000704</v>
      </c>
      <c r="AS396" s="1">
        <v>6.4900000000000704</v>
      </c>
      <c r="AW396" s="1">
        <v>6.4900000000000704</v>
      </c>
      <c r="BA396" s="1">
        <v>6.4900000000000704</v>
      </c>
      <c r="BE396" s="1">
        <v>6.4900000000000704</v>
      </c>
      <c r="BI396" s="1">
        <v>6.4900000000000704</v>
      </c>
      <c r="BM396" s="1">
        <v>6.4900000000000704</v>
      </c>
      <c r="BQ396" s="1">
        <v>6.4900000000000704</v>
      </c>
      <c r="BU396" s="1">
        <v>6.4900000000000704</v>
      </c>
    </row>
    <row r="397" spans="33:73" hidden="1" x14ac:dyDescent="0.25">
      <c r="AG397" s="1">
        <v>6.4800000000000804</v>
      </c>
      <c r="AH397" s="1">
        <f t="shared" si="23"/>
        <v>223.51999999999992</v>
      </c>
      <c r="AI397" s="1">
        <f t="shared" si="24"/>
        <v>223.51999999999992</v>
      </c>
      <c r="AK397" s="1">
        <v>6.4800000000000804</v>
      </c>
      <c r="AO397" s="1">
        <v>6.4800000000000804</v>
      </c>
      <c r="AS397" s="1">
        <v>6.4800000000000804</v>
      </c>
      <c r="AW397" s="1">
        <v>6.4800000000000804</v>
      </c>
      <c r="BA397" s="1">
        <v>6.4800000000000804</v>
      </c>
      <c r="BE397" s="1">
        <v>6.4800000000000804</v>
      </c>
      <c r="BI397" s="1">
        <v>6.4800000000000804</v>
      </c>
      <c r="BM397" s="1">
        <v>6.4800000000000804</v>
      </c>
      <c r="BQ397" s="1">
        <v>6.4800000000000804</v>
      </c>
      <c r="BU397" s="1">
        <v>6.4800000000000804</v>
      </c>
    </row>
    <row r="398" spans="33:73" hidden="1" x14ac:dyDescent="0.25">
      <c r="AG398" s="1">
        <v>6.4700000000000797</v>
      </c>
      <c r="AH398" s="1">
        <f t="shared" si="23"/>
        <v>223.52999999999992</v>
      </c>
      <c r="AI398" s="1">
        <f t="shared" si="24"/>
        <v>223.52999999999992</v>
      </c>
      <c r="AK398" s="1">
        <v>6.4700000000000797</v>
      </c>
      <c r="AO398" s="1">
        <v>6.4700000000000797</v>
      </c>
      <c r="AS398" s="1">
        <v>6.4700000000000797</v>
      </c>
      <c r="AW398" s="1">
        <v>6.4700000000000797</v>
      </c>
      <c r="BA398" s="1">
        <v>6.4700000000000797</v>
      </c>
      <c r="BE398" s="1">
        <v>6.4700000000000797</v>
      </c>
      <c r="BI398" s="1">
        <v>6.4700000000000797</v>
      </c>
      <c r="BM398" s="1">
        <v>6.4700000000000797</v>
      </c>
      <c r="BQ398" s="1">
        <v>6.4700000000000797</v>
      </c>
      <c r="BU398" s="1">
        <v>6.4700000000000797</v>
      </c>
    </row>
    <row r="399" spans="33:73" hidden="1" x14ac:dyDescent="0.25">
      <c r="AG399" s="1">
        <v>6.4600000000000799</v>
      </c>
      <c r="AH399" s="1">
        <f t="shared" si="23"/>
        <v>223.53999999999991</v>
      </c>
      <c r="AI399" s="1">
        <f t="shared" si="24"/>
        <v>223.53999999999991</v>
      </c>
      <c r="AK399" s="1">
        <v>6.4600000000000799</v>
      </c>
      <c r="AO399" s="1">
        <v>6.4600000000000799</v>
      </c>
      <c r="AS399" s="1">
        <v>6.4600000000000799</v>
      </c>
      <c r="AW399" s="1">
        <v>6.4600000000000799</v>
      </c>
      <c r="BA399" s="1">
        <v>6.4600000000000799</v>
      </c>
      <c r="BE399" s="1">
        <v>6.4600000000000799</v>
      </c>
      <c r="BI399" s="1">
        <v>6.4600000000000799</v>
      </c>
      <c r="BM399" s="1">
        <v>6.4600000000000799</v>
      </c>
      <c r="BQ399" s="1">
        <v>6.4600000000000799</v>
      </c>
      <c r="BU399" s="1">
        <v>6.4600000000000799</v>
      </c>
    </row>
    <row r="400" spans="33:73" hidden="1" x14ac:dyDescent="0.25">
      <c r="AG400" s="1">
        <v>6.4500000000000801</v>
      </c>
      <c r="AH400" s="1">
        <f t="shared" si="23"/>
        <v>223.54999999999993</v>
      </c>
      <c r="AI400" s="1">
        <f t="shared" si="24"/>
        <v>223.54999999999993</v>
      </c>
      <c r="AK400" s="1">
        <v>6.4500000000000801</v>
      </c>
      <c r="AO400" s="1">
        <v>6.4500000000000801</v>
      </c>
      <c r="AS400" s="1">
        <v>6.4500000000000801</v>
      </c>
      <c r="AW400" s="1">
        <v>6.4500000000000801</v>
      </c>
      <c r="BA400" s="1">
        <v>6.4500000000000801</v>
      </c>
      <c r="BE400" s="1">
        <v>6.4500000000000801</v>
      </c>
      <c r="BI400" s="1">
        <v>6.4500000000000801</v>
      </c>
      <c r="BM400" s="1">
        <v>6.4500000000000801</v>
      </c>
      <c r="BQ400" s="1">
        <v>6.4500000000000801</v>
      </c>
      <c r="BU400" s="1">
        <v>6.4500000000000801</v>
      </c>
    </row>
    <row r="401" spans="33:73" hidden="1" x14ac:dyDescent="0.25">
      <c r="AG401" s="1">
        <v>6.4400000000000803</v>
      </c>
      <c r="AH401" s="1">
        <f t="shared" si="23"/>
        <v>223.55999999999992</v>
      </c>
      <c r="AI401" s="1">
        <f t="shared" si="24"/>
        <v>223.55999999999992</v>
      </c>
      <c r="AK401" s="1">
        <v>6.4400000000000803</v>
      </c>
      <c r="AO401" s="1">
        <v>6.4400000000000803</v>
      </c>
      <c r="AS401" s="1">
        <v>6.4400000000000803</v>
      </c>
      <c r="AW401" s="1">
        <v>6.4400000000000803</v>
      </c>
      <c r="BA401" s="1">
        <v>6.4400000000000803</v>
      </c>
      <c r="BE401" s="1">
        <v>6.4400000000000803</v>
      </c>
      <c r="BI401" s="1">
        <v>6.4400000000000803</v>
      </c>
      <c r="BM401" s="1">
        <v>6.4400000000000803</v>
      </c>
      <c r="BQ401" s="1">
        <v>6.4400000000000803</v>
      </c>
      <c r="BU401" s="1">
        <v>6.4400000000000803</v>
      </c>
    </row>
    <row r="402" spans="33:73" hidden="1" x14ac:dyDescent="0.25">
      <c r="AG402" s="1">
        <v>6.4300000000000797</v>
      </c>
      <c r="AH402" s="1">
        <f t="shared" si="23"/>
        <v>223.56999999999991</v>
      </c>
      <c r="AI402" s="1">
        <f t="shared" si="24"/>
        <v>223.56999999999991</v>
      </c>
      <c r="AK402" s="1">
        <v>6.4300000000000797</v>
      </c>
      <c r="AO402" s="1">
        <v>6.4300000000000797</v>
      </c>
      <c r="AS402" s="1">
        <v>6.4300000000000797</v>
      </c>
      <c r="AW402" s="1">
        <v>6.4300000000000797</v>
      </c>
      <c r="BA402" s="1">
        <v>6.4300000000000797</v>
      </c>
      <c r="BE402" s="1">
        <v>6.4300000000000797</v>
      </c>
      <c r="BI402" s="1">
        <v>6.4300000000000797</v>
      </c>
      <c r="BM402" s="1">
        <v>6.4300000000000797</v>
      </c>
      <c r="BQ402" s="1">
        <v>6.4300000000000797</v>
      </c>
      <c r="BU402" s="1">
        <v>6.4300000000000797</v>
      </c>
    </row>
    <row r="403" spans="33:73" hidden="1" x14ac:dyDescent="0.25">
      <c r="AG403" s="1">
        <v>6.4200000000000799</v>
      </c>
      <c r="AH403" s="1">
        <f t="shared" si="23"/>
        <v>223.57999999999993</v>
      </c>
      <c r="AI403" s="1">
        <f t="shared" si="24"/>
        <v>223.57999999999993</v>
      </c>
      <c r="AK403" s="1">
        <v>6.4200000000000799</v>
      </c>
      <c r="AO403" s="1">
        <v>6.4200000000000799</v>
      </c>
      <c r="AS403" s="1">
        <v>6.4200000000000799</v>
      </c>
      <c r="AW403" s="1">
        <v>6.4200000000000799</v>
      </c>
      <c r="BA403" s="1">
        <v>6.4200000000000799</v>
      </c>
      <c r="BE403" s="1">
        <v>6.4200000000000799</v>
      </c>
      <c r="BI403" s="1">
        <v>6.4200000000000799</v>
      </c>
      <c r="BM403" s="1">
        <v>6.4200000000000799</v>
      </c>
      <c r="BQ403" s="1">
        <v>6.4200000000000799</v>
      </c>
      <c r="BU403" s="1">
        <v>6.4200000000000799</v>
      </c>
    </row>
    <row r="404" spans="33:73" hidden="1" x14ac:dyDescent="0.25">
      <c r="AG404" s="1">
        <v>6.4100000000000801</v>
      </c>
      <c r="AH404" s="1">
        <f t="shared" si="23"/>
        <v>223.58999999999992</v>
      </c>
      <c r="AI404" s="1">
        <f t="shared" si="24"/>
        <v>223.58999999999992</v>
      </c>
      <c r="AK404" s="1">
        <v>6.4100000000000801</v>
      </c>
      <c r="AO404" s="1">
        <v>6.4100000000000801</v>
      </c>
      <c r="AS404" s="1">
        <v>6.4100000000000801</v>
      </c>
      <c r="AW404" s="1">
        <v>6.4100000000000801</v>
      </c>
      <c r="BA404" s="1">
        <v>6.4100000000000801</v>
      </c>
      <c r="BE404" s="1">
        <v>6.4100000000000801</v>
      </c>
      <c r="BI404" s="1">
        <v>6.4100000000000801</v>
      </c>
      <c r="BM404" s="1">
        <v>6.4100000000000801</v>
      </c>
      <c r="BQ404" s="1">
        <v>6.4100000000000801</v>
      </c>
      <c r="BU404" s="1">
        <v>6.4100000000000801</v>
      </c>
    </row>
    <row r="405" spans="33:73" hidden="1" x14ac:dyDescent="0.25">
      <c r="AG405" s="1">
        <v>6.4000000000000803</v>
      </c>
      <c r="AH405" s="1">
        <f t="shared" si="23"/>
        <v>223.59999999999991</v>
      </c>
      <c r="AI405" s="1">
        <f t="shared" si="24"/>
        <v>223.59999999999991</v>
      </c>
      <c r="AK405" s="1">
        <v>6.4000000000000803</v>
      </c>
      <c r="AO405" s="1">
        <v>6.4000000000000803</v>
      </c>
      <c r="AS405" s="1">
        <v>6.4000000000000803</v>
      </c>
      <c r="AW405" s="1">
        <v>6.4000000000000803</v>
      </c>
      <c r="BA405" s="1">
        <v>6.4000000000000803</v>
      </c>
      <c r="BE405" s="1">
        <v>6.4000000000000803</v>
      </c>
      <c r="BI405" s="1">
        <v>6.4000000000000803</v>
      </c>
      <c r="BM405" s="1">
        <v>6.4000000000000803</v>
      </c>
      <c r="BQ405" s="1">
        <v>6.4000000000000803</v>
      </c>
      <c r="BU405" s="1">
        <v>6.4000000000000803</v>
      </c>
    </row>
    <row r="406" spans="33:73" hidden="1" x14ac:dyDescent="0.25">
      <c r="AG406" s="1">
        <v>6.3900000000000796</v>
      </c>
      <c r="AH406" s="1">
        <f t="shared" si="23"/>
        <v>223.60999999999993</v>
      </c>
      <c r="AI406" s="1">
        <f t="shared" si="24"/>
        <v>223.60999999999993</v>
      </c>
      <c r="AK406" s="1">
        <v>6.3900000000000796</v>
      </c>
      <c r="AO406" s="1">
        <v>6.3900000000000796</v>
      </c>
      <c r="AS406" s="1">
        <v>6.3900000000000796</v>
      </c>
      <c r="AW406" s="1">
        <v>6.3900000000000796</v>
      </c>
      <c r="BA406" s="1">
        <v>6.3900000000000796</v>
      </c>
      <c r="BE406" s="1">
        <v>6.3900000000000796</v>
      </c>
      <c r="BI406" s="1">
        <v>6.3900000000000796</v>
      </c>
      <c r="BM406" s="1">
        <v>6.3900000000000796</v>
      </c>
      <c r="BQ406" s="1">
        <v>6.3900000000000796</v>
      </c>
      <c r="BU406" s="1">
        <v>6.3900000000000796</v>
      </c>
    </row>
    <row r="407" spans="33:73" hidden="1" x14ac:dyDescent="0.25">
      <c r="AG407" s="1">
        <v>6.3800000000000798</v>
      </c>
      <c r="AH407" s="1">
        <f t="shared" si="23"/>
        <v>223.61999999999992</v>
      </c>
      <c r="AI407" s="1">
        <f t="shared" si="24"/>
        <v>223.61999999999992</v>
      </c>
      <c r="AK407" s="1">
        <v>6.3800000000000798</v>
      </c>
      <c r="AO407" s="1">
        <v>6.3800000000000798</v>
      </c>
      <c r="AS407" s="1">
        <v>6.3800000000000798</v>
      </c>
      <c r="AW407" s="1">
        <v>6.3800000000000798</v>
      </c>
      <c r="BA407" s="1">
        <v>6.3800000000000798</v>
      </c>
      <c r="BE407" s="1">
        <v>6.3800000000000798</v>
      </c>
      <c r="BI407" s="1">
        <v>6.3800000000000798</v>
      </c>
      <c r="BM407" s="1">
        <v>6.3800000000000798</v>
      </c>
      <c r="BQ407" s="1">
        <v>6.3800000000000798</v>
      </c>
      <c r="BU407" s="1">
        <v>6.3800000000000798</v>
      </c>
    </row>
    <row r="408" spans="33:73" hidden="1" x14ac:dyDescent="0.25">
      <c r="AG408" s="1">
        <v>6.37000000000008</v>
      </c>
      <c r="AH408" s="1">
        <f t="shared" si="23"/>
        <v>223.62999999999991</v>
      </c>
      <c r="AI408" s="1">
        <f t="shared" si="24"/>
        <v>223.62999999999991</v>
      </c>
      <c r="AK408" s="1">
        <v>6.37000000000008</v>
      </c>
      <c r="AO408" s="1">
        <v>6.37000000000008</v>
      </c>
      <c r="AS408" s="1">
        <v>6.37000000000008</v>
      </c>
      <c r="AW408" s="1">
        <v>6.37000000000008</v>
      </c>
      <c r="BA408" s="1">
        <v>6.37000000000008</v>
      </c>
      <c r="BE408" s="1">
        <v>6.37000000000008</v>
      </c>
      <c r="BI408" s="1">
        <v>6.37000000000008</v>
      </c>
      <c r="BM408" s="1">
        <v>6.37000000000008</v>
      </c>
      <c r="BQ408" s="1">
        <v>6.37000000000008</v>
      </c>
      <c r="BU408" s="1">
        <v>6.37000000000008</v>
      </c>
    </row>
    <row r="409" spans="33:73" hidden="1" x14ac:dyDescent="0.25">
      <c r="AG409" s="1">
        <v>6.3600000000000803</v>
      </c>
      <c r="AH409" s="1">
        <f t="shared" si="23"/>
        <v>223.63999999999993</v>
      </c>
      <c r="AI409" s="1">
        <f t="shared" si="24"/>
        <v>223.63999999999993</v>
      </c>
      <c r="AK409" s="1">
        <v>6.3600000000000803</v>
      </c>
      <c r="AO409" s="1">
        <v>6.3600000000000803</v>
      </c>
      <c r="AS409" s="1">
        <v>6.3600000000000803</v>
      </c>
      <c r="AW409" s="1">
        <v>6.3600000000000803</v>
      </c>
      <c r="BA409" s="1">
        <v>6.3600000000000803</v>
      </c>
      <c r="BE409" s="1">
        <v>6.3600000000000803</v>
      </c>
      <c r="BI409" s="1">
        <v>6.3600000000000803</v>
      </c>
      <c r="BM409" s="1">
        <v>6.3600000000000803</v>
      </c>
      <c r="BQ409" s="1">
        <v>6.3600000000000803</v>
      </c>
      <c r="BU409" s="1">
        <v>6.3600000000000803</v>
      </c>
    </row>
    <row r="410" spans="33:73" hidden="1" x14ac:dyDescent="0.25">
      <c r="AG410" s="1">
        <v>6.3500000000000796</v>
      </c>
      <c r="AH410" s="1">
        <f t="shared" si="23"/>
        <v>223.64999999999992</v>
      </c>
      <c r="AI410" s="1">
        <f t="shared" si="24"/>
        <v>223.64999999999992</v>
      </c>
      <c r="AK410" s="1">
        <v>6.3500000000000796</v>
      </c>
      <c r="AO410" s="1">
        <v>6.3500000000000796</v>
      </c>
      <c r="AS410" s="1">
        <v>6.3500000000000796</v>
      </c>
      <c r="AW410" s="1">
        <v>6.3500000000000796</v>
      </c>
      <c r="BA410" s="1">
        <v>6.3500000000000796</v>
      </c>
      <c r="BE410" s="1">
        <v>6.3500000000000796</v>
      </c>
      <c r="BI410" s="1">
        <v>6.3500000000000796</v>
      </c>
      <c r="BM410" s="1">
        <v>6.3500000000000796</v>
      </c>
      <c r="BQ410" s="1">
        <v>6.3500000000000796</v>
      </c>
      <c r="BU410" s="1">
        <v>6.3500000000000796</v>
      </c>
    </row>
    <row r="411" spans="33:73" hidden="1" x14ac:dyDescent="0.25">
      <c r="AG411" s="1">
        <v>6.3400000000000798</v>
      </c>
      <c r="AH411" s="1">
        <f t="shared" si="23"/>
        <v>223.65999999999991</v>
      </c>
      <c r="AI411" s="1">
        <f t="shared" si="24"/>
        <v>223.65999999999991</v>
      </c>
      <c r="AK411" s="1">
        <v>6.3400000000000798</v>
      </c>
      <c r="AO411" s="1">
        <v>6.3400000000000798</v>
      </c>
      <c r="AS411" s="1">
        <v>6.3400000000000798</v>
      </c>
      <c r="AW411" s="1">
        <v>6.3400000000000798</v>
      </c>
      <c r="BA411" s="1">
        <v>6.3400000000000798</v>
      </c>
      <c r="BE411" s="1">
        <v>6.3400000000000798</v>
      </c>
      <c r="BI411" s="1">
        <v>6.3400000000000798</v>
      </c>
      <c r="BM411" s="1">
        <v>6.3400000000000798</v>
      </c>
      <c r="BQ411" s="1">
        <v>6.3400000000000798</v>
      </c>
      <c r="BU411" s="1">
        <v>6.3400000000000798</v>
      </c>
    </row>
    <row r="412" spans="33:73" hidden="1" x14ac:dyDescent="0.25">
      <c r="AG412" s="1">
        <v>6.33000000000008</v>
      </c>
      <c r="AH412" s="1">
        <f t="shared" si="23"/>
        <v>223.66999999999993</v>
      </c>
      <c r="AI412" s="1">
        <f t="shared" si="24"/>
        <v>223.66999999999993</v>
      </c>
      <c r="AK412" s="1">
        <v>6.33000000000008</v>
      </c>
      <c r="AO412" s="1">
        <v>6.33000000000008</v>
      </c>
      <c r="AS412" s="1">
        <v>6.33000000000008</v>
      </c>
      <c r="AW412" s="1">
        <v>6.33000000000008</v>
      </c>
      <c r="BA412" s="1">
        <v>6.33000000000008</v>
      </c>
      <c r="BE412" s="1">
        <v>6.33000000000008</v>
      </c>
      <c r="BI412" s="1">
        <v>6.33000000000008</v>
      </c>
      <c r="BM412" s="1">
        <v>6.33000000000008</v>
      </c>
      <c r="BQ412" s="1">
        <v>6.33000000000008</v>
      </c>
      <c r="BU412" s="1">
        <v>6.33000000000008</v>
      </c>
    </row>
    <row r="413" spans="33:73" hidden="1" x14ac:dyDescent="0.25">
      <c r="AG413" s="1">
        <v>6.3200000000000802</v>
      </c>
      <c r="AH413" s="1">
        <f t="shared" si="23"/>
        <v>223.67999999999992</v>
      </c>
      <c r="AI413" s="1">
        <f t="shared" si="24"/>
        <v>223.67999999999992</v>
      </c>
      <c r="AK413" s="1">
        <v>6.3200000000000802</v>
      </c>
      <c r="AO413" s="1">
        <v>6.3200000000000802</v>
      </c>
      <c r="AS413" s="1">
        <v>6.3200000000000802</v>
      </c>
      <c r="AW413" s="1">
        <v>6.3200000000000802</v>
      </c>
      <c r="BA413" s="1">
        <v>6.3200000000000802</v>
      </c>
      <c r="BE413" s="1">
        <v>6.3200000000000802</v>
      </c>
      <c r="BI413" s="1">
        <v>6.3200000000000802</v>
      </c>
      <c r="BM413" s="1">
        <v>6.3200000000000802</v>
      </c>
      <c r="BQ413" s="1">
        <v>6.3200000000000802</v>
      </c>
      <c r="BU413" s="1">
        <v>6.3200000000000802</v>
      </c>
    </row>
    <row r="414" spans="33:73" hidden="1" x14ac:dyDescent="0.25">
      <c r="AG414" s="1">
        <v>6.3100000000000804</v>
      </c>
      <c r="AH414" s="1">
        <f t="shared" si="23"/>
        <v>223.68999999999991</v>
      </c>
      <c r="AI414" s="1">
        <f t="shared" si="24"/>
        <v>223.68999999999991</v>
      </c>
      <c r="AK414" s="1">
        <v>6.3100000000000804</v>
      </c>
      <c r="AO414" s="1">
        <v>6.3100000000000804</v>
      </c>
      <c r="AS414" s="1">
        <v>6.3100000000000804</v>
      </c>
      <c r="AW414" s="1">
        <v>6.3100000000000804</v>
      </c>
      <c r="BA414" s="1">
        <v>6.3100000000000804</v>
      </c>
      <c r="BE414" s="1">
        <v>6.3100000000000804</v>
      </c>
      <c r="BI414" s="1">
        <v>6.3100000000000804</v>
      </c>
      <c r="BM414" s="1">
        <v>6.3100000000000804</v>
      </c>
      <c r="BQ414" s="1">
        <v>6.3100000000000804</v>
      </c>
      <c r="BU414" s="1">
        <v>6.3100000000000804</v>
      </c>
    </row>
    <row r="415" spans="33:73" hidden="1" x14ac:dyDescent="0.25">
      <c r="AG415" s="1">
        <v>6.3000000000000798</v>
      </c>
      <c r="AH415" s="1">
        <f t="shared" si="23"/>
        <v>223.69999999999993</v>
      </c>
      <c r="AI415" s="1">
        <f t="shared" si="24"/>
        <v>223.69999999999993</v>
      </c>
      <c r="AK415" s="1">
        <v>6.3000000000000798</v>
      </c>
      <c r="AO415" s="1">
        <v>6.3000000000000798</v>
      </c>
      <c r="AS415" s="1">
        <v>6.3000000000000798</v>
      </c>
      <c r="AW415" s="1">
        <v>6.3000000000000798</v>
      </c>
      <c r="BA415" s="1">
        <v>6.3000000000000798</v>
      </c>
      <c r="BE415" s="1">
        <v>6.3000000000000798</v>
      </c>
      <c r="BI415" s="1">
        <v>6.3000000000000798</v>
      </c>
      <c r="BM415" s="1">
        <v>6.3000000000000798</v>
      </c>
      <c r="BQ415" s="1">
        <v>6.3000000000000798</v>
      </c>
      <c r="BU415" s="1">
        <v>6.3000000000000798</v>
      </c>
    </row>
    <row r="416" spans="33:73" hidden="1" x14ac:dyDescent="0.25">
      <c r="AG416" s="1">
        <v>6.29000000000008</v>
      </c>
      <c r="AH416" s="1">
        <f t="shared" si="23"/>
        <v>223.70999999999992</v>
      </c>
      <c r="AI416" s="1">
        <f t="shared" si="24"/>
        <v>223.70999999999992</v>
      </c>
      <c r="AK416" s="1">
        <v>6.29000000000008</v>
      </c>
      <c r="AO416" s="1">
        <v>6.29000000000008</v>
      </c>
      <c r="AS416" s="1">
        <v>6.29000000000008</v>
      </c>
      <c r="AW416" s="1">
        <v>6.29000000000008</v>
      </c>
      <c r="BA416" s="1">
        <v>6.29000000000008</v>
      </c>
      <c r="BE416" s="1">
        <v>6.29000000000008</v>
      </c>
      <c r="BI416" s="1">
        <v>6.29000000000008</v>
      </c>
      <c r="BM416" s="1">
        <v>6.29000000000008</v>
      </c>
      <c r="BQ416" s="1">
        <v>6.29000000000008</v>
      </c>
      <c r="BU416" s="1">
        <v>6.29000000000008</v>
      </c>
    </row>
    <row r="417" spans="33:73" hidden="1" x14ac:dyDescent="0.25">
      <c r="AG417" s="1">
        <v>6.2800000000000802</v>
      </c>
      <c r="AH417" s="1">
        <f t="shared" si="23"/>
        <v>223.71999999999991</v>
      </c>
      <c r="AI417" s="1">
        <f t="shared" si="24"/>
        <v>223.71999999999991</v>
      </c>
      <c r="AK417" s="1">
        <v>6.2800000000000802</v>
      </c>
      <c r="AO417" s="1">
        <v>6.2800000000000802</v>
      </c>
      <c r="AS417" s="1">
        <v>6.2800000000000802</v>
      </c>
      <c r="AW417" s="1">
        <v>6.2800000000000802</v>
      </c>
      <c r="BA417" s="1">
        <v>6.2800000000000802</v>
      </c>
      <c r="BE417" s="1">
        <v>6.2800000000000802</v>
      </c>
      <c r="BI417" s="1">
        <v>6.2800000000000802</v>
      </c>
      <c r="BM417" s="1">
        <v>6.2800000000000802</v>
      </c>
      <c r="BQ417" s="1">
        <v>6.2800000000000802</v>
      </c>
      <c r="BU417" s="1">
        <v>6.2800000000000802</v>
      </c>
    </row>
    <row r="418" spans="33:73" hidden="1" x14ac:dyDescent="0.25">
      <c r="AG418" s="1">
        <v>6.2700000000000804</v>
      </c>
      <c r="AH418" s="1">
        <f t="shared" si="23"/>
        <v>223.72999999999993</v>
      </c>
      <c r="AI418" s="1">
        <f t="shared" si="24"/>
        <v>223.72999999999993</v>
      </c>
      <c r="AK418" s="1">
        <v>6.2700000000000804</v>
      </c>
      <c r="AO418" s="1">
        <v>6.2700000000000804</v>
      </c>
      <c r="AS418" s="1">
        <v>6.2700000000000804</v>
      </c>
      <c r="AW418" s="1">
        <v>6.2700000000000804</v>
      </c>
      <c r="BA418" s="1">
        <v>6.2700000000000804</v>
      </c>
      <c r="BE418" s="1">
        <v>6.2700000000000804</v>
      </c>
      <c r="BI418" s="1">
        <v>6.2700000000000804</v>
      </c>
      <c r="BM418" s="1">
        <v>6.2700000000000804</v>
      </c>
      <c r="BQ418" s="1">
        <v>6.2700000000000804</v>
      </c>
      <c r="BU418" s="1">
        <v>6.2700000000000804</v>
      </c>
    </row>
    <row r="419" spans="33:73" hidden="1" x14ac:dyDescent="0.25">
      <c r="AG419" s="1">
        <v>6.2600000000000797</v>
      </c>
      <c r="AH419" s="1">
        <f t="shared" si="23"/>
        <v>223.73999999999992</v>
      </c>
      <c r="AI419" s="1">
        <f t="shared" si="24"/>
        <v>223.73999999999992</v>
      </c>
      <c r="AK419" s="1">
        <v>6.2600000000000797</v>
      </c>
      <c r="AO419" s="1">
        <v>6.2600000000000797</v>
      </c>
      <c r="AS419" s="1">
        <v>6.2600000000000797</v>
      </c>
      <c r="AW419" s="1">
        <v>6.2600000000000797</v>
      </c>
      <c r="BA419" s="1">
        <v>6.2600000000000797</v>
      </c>
      <c r="BE419" s="1">
        <v>6.2600000000000797</v>
      </c>
      <c r="BI419" s="1">
        <v>6.2600000000000797</v>
      </c>
      <c r="BM419" s="1">
        <v>6.2600000000000797</v>
      </c>
      <c r="BQ419" s="1">
        <v>6.2600000000000797</v>
      </c>
      <c r="BU419" s="1">
        <v>6.2600000000000797</v>
      </c>
    </row>
    <row r="420" spans="33:73" hidden="1" x14ac:dyDescent="0.25">
      <c r="AG420" s="1">
        <v>6.2500000000000799</v>
      </c>
      <c r="AH420" s="1">
        <f t="shared" si="23"/>
        <v>223.74999999999991</v>
      </c>
      <c r="AI420" s="1">
        <f t="shared" si="24"/>
        <v>223.74999999999991</v>
      </c>
      <c r="AK420" s="1">
        <v>6.2500000000000799</v>
      </c>
      <c r="AO420" s="1">
        <v>6.2500000000000799</v>
      </c>
      <c r="AS420" s="1">
        <v>6.2500000000000799</v>
      </c>
      <c r="AW420" s="1">
        <v>6.2500000000000799</v>
      </c>
      <c r="BA420" s="1">
        <v>6.2500000000000799</v>
      </c>
      <c r="BE420" s="1">
        <v>6.2500000000000799</v>
      </c>
      <c r="BI420" s="1">
        <v>6.2500000000000799</v>
      </c>
      <c r="BM420" s="1">
        <v>6.2500000000000799</v>
      </c>
      <c r="BQ420" s="1">
        <v>6.2500000000000799</v>
      </c>
      <c r="BU420" s="1">
        <v>6.2500000000000799</v>
      </c>
    </row>
    <row r="421" spans="33:73" hidden="1" x14ac:dyDescent="0.25">
      <c r="AG421" s="1">
        <v>6.2400000000000801</v>
      </c>
      <c r="AH421" s="1">
        <f t="shared" si="23"/>
        <v>223.75999999999993</v>
      </c>
      <c r="AI421" s="1">
        <f t="shared" si="24"/>
        <v>223.75999999999993</v>
      </c>
      <c r="AK421" s="1">
        <v>6.2400000000000801</v>
      </c>
      <c r="AO421" s="1">
        <v>6.2400000000000801</v>
      </c>
      <c r="AS421" s="1">
        <v>6.2400000000000801</v>
      </c>
      <c r="AW421" s="1">
        <v>6.2400000000000801</v>
      </c>
      <c r="BA421" s="1">
        <v>6.2400000000000801</v>
      </c>
      <c r="BE421" s="1">
        <v>6.2400000000000801</v>
      </c>
      <c r="BI421" s="1">
        <v>6.2400000000000801</v>
      </c>
      <c r="BM421" s="1">
        <v>6.2400000000000801</v>
      </c>
      <c r="BQ421" s="1">
        <v>6.2400000000000801</v>
      </c>
      <c r="BU421" s="1">
        <v>6.2400000000000801</v>
      </c>
    </row>
    <row r="422" spans="33:73" hidden="1" x14ac:dyDescent="0.25">
      <c r="AG422" s="1">
        <v>6.2300000000000804</v>
      </c>
      <c r="AH422" s="1">
        <f t="shared" si="23"/>
        <v>223.76999999999992</v>
      </c>
      <c r="AI422" s="1">
        <f t="shared" si="24"/>
        <v>223.76999999999992</v>
      </c>
      <c r="AK422" s="1">
        <v>6.2300000000000804</v>
      </c>
      <c r="AO422" s="1">
        <v>6.2300000000000804</v>
      </c>
      <c r="AS422" s="1">
        <v>6.2300000000000804</v>
      </c>
      <c r="AW422" s="1">
        <v>6.2300000000000804</v>
      </c>
      <c r="BA422" s="1">
        <v>6.2300000000000804</v>
      </c>
      <c r="BE422" s="1">
        <v>6.2300000000000804</v>
      </c>
      <c r="BI422" s="1">
        <v>6.2300000000000804</v>
      </c>
      <c r="BM422" s="1">
        <v>6.2300000000000804</v>
      </c>
      <c r="BQ422" s="1">
        <v>6.2300000000000804</v>
      </c>
      <c r="BU422" s="1">
        <v>6.2300000000000804</v>
      </c>
    </row>
    <row r="423" spans="33:73" hidden="1" x14ac:dyDescent="0.25">
      <c r="AG423" s="1">
        <v>6.2200000000000797</v>
      </c>
      <c r="AH423" s="1">
        <f t="shared" si="23"/>
        <v>223.77999999999992</v>
      </c>
      <c r="AI423" s="1">
        <f t="shared" si="24"/>
        <v>223.77999999999992</v>
      </c>
      <c r="AK423" s="1">
        <v>6.2200000000000797</v>
      </c>
      <c r="AO423" s="1">
        <v>6.2200000000000797</v>
      </c>
      <c r="AS423" s="1">
        <v>6.2200000000000797</v>
      </c>
      <c r="AW423" s="1">
        <v>6.2200000000000797</v>
      </c>
      <c r="BA423" s="1">
        <v>6.2200000000000797</v>
      </c>
      <c r="BE423" s="1">
        <v>6.2200000000000797</v>
      </c>
      <c r="BI423" s="1">
        <v>6.2200000000000797</v>
      </c>
      <c r="BM423" s="1">
        <v>6.2200000000000797</v>
      </c>
      <c r="BQ423" s="1">
        <v>6.2200000000000797</v>
      </c>
      <c r="BU423" s="1">
        <v>6.2200000000000797</v>
      </c>
    </row>
    <row r="424" spans="33:73" hidden="1" x14ac:dyDescent="0.25">
      <c r="AG424" s="1">
        <v>6.2100000000000799</v>
      </c>
      <c r="AH424" s="1">
        <f t="shared" si="23"/>
        <v>223.78999999999991</v>
      </c>
      <c r="AI424" s="1">
        <f t="shared" si="24"/>
        <v>223.78999999999991</v>
      </c>
      <c r="AK424" s="1">
        <v>6.2100000000000799</v>
      </c>
      <c r="AO424" s="1">
        <v>6.2100000000000799</v>
      </c>
      <c r="AS424" s="1">
        <v>6.2100000000000799</v>
      </c>
      <c r="AW424" s="1">
        <v>6.2100000000000799</v>
      </c>
      <c r="BA424" s="1">
        <v>6.2100000000000799</v>
      </c>
      <c r="BE424" s="1">
        <v>6.2100000000000799</v>
      </c>
      <c r="BI424" s="1">
        <v>6.2100000000000799</v>
      </c>
      <c r="BM424" s="1">
        <v>6.2100000000000799</v>
      </c>
      <c r="BQ424" s="1">
        <v>6.2100000000000799</v>
      </c>
      <c r="BU424" s="1">
        <v>6.2100000000000799</v>
      </c>
    </row>
    <row r="425" spans="33:73" hidden="1" x14ac:dyDescent="0.25">
      <c r="AG425" s="1">
        <v>6.2000000000000801</v>
      </c>
      <c r="AH425" s="1">
        <f t="shared" si="23"/>
        <v>223.79999999999993</v>
      </c>
      <c r="AI425" s="1">
        <f t="shared" si="24"/>
        <v>223.79999999999993</v>
      </c>
      <c r="AK425" s="1">
        <v>6.2000000000000801</v>
      </c>
      <c r="AO425" s="1">
        <v>6.2000000000000801</v>
      </c>
      <c r="AS425" s="1">
        <v>6.2000000000000801</v>
      </c>
      <c r="AW425" s="1">
        <v>6.2000000000000801</v>
      </c>
      <c r="BA425" s="1">
        <v>6.2000000000000801</v>
      </c>
      <c r="BE425" s="1">
        <v>6.2000000000000801</v>
      </c>
      <c r="BI425" s="1">
        <v>6.2000000000000801</v>
      </c>
      <c r="BM425" s="1">
        <v>6.2000000000000801</v>
      </c>
      <c r="BQ425" s="1">
        <v>6.2000000000000801</v>
      </c>
      <c r="BU425" s="1">
        <v>6.2000000000000801</v>
      </c>
    </row>
    <row r="426" spans="33:73" hidden="1" x14ac:dyDescent="0.25">
      <c r="AG426" s="1">
        <v>6.1900000000000803</v>
      </c>
      <c r="AH426" s="1">
        <f t="shared" si="23"/>
        <v>223.80999999999992</v>
      </c>
      <c r="AI426" s="1">
        <f t="shared" si="24"/>
        <v>223.80999999999992</v>
      </c>
      <c r="AK426" s="1">
        <v>6.1900000000000803</v>
      </c>
      <c r="AO426" s="1">
        <v>6.1900000000000803</v>
      </c>
      <c r="AS426" s="1">
        <v>6.1900000000000803</v>
      </c>
      <c r="AW426" s="1">
        <v>6.1900000000000803</v>
      </c>
      <c r="BA426" s="1">
        <v>6.1900000000000803</v>
      </c>
      <c r="BE426" s="1">
        <v>6.1900000000000803</v>
      </c>
      <c r="BI426" s="1">
        <v>6.1900000000000803</v>
      </c>
      <c r="BM426" s="1">
        <v>6.1900000000000803</v>
      </c>
      <c r="BQ426" s="1">
        <v>6.1900000000000803</v>
      </c>
      <c r="BU426" s="1">
        <v>6.1900000000000803</v>
      </c>
    </row>
    <row r="427" spans="33:73" hidden="1" x14ac:dyDescent="0.25">
      <c r="AG427" s="1">
        <v>6.1800000000000797</v>
      </c>
      <c r="AH427" s="1">
        <f t="shared" si="23"/>
        <v>223.81999999999991</v>
      </c>
      <c r="AI427" s="1">
        <f t="shared" si="24"/>
        <v>223.81999999999991</v>
      </c>
      <c r="AK427" s="1">
        <v>6.1800000000000797</v>
      </c>
      <c r="AO427" s="1">
        <v>6.1800000000000797</v>
      </c>
      <c r="AS427" s="1">
        <v>6.1800000000000797</v>
      </c>
      <c r="AW427" s="1">
        <v>6.1800000000000797</v>
      </c>
      <c r="BA427" s="1">
        <v>6.1800000000000797</v>
      </c>
      <c r="BE427" s="1">
        <v>6.1800000000000797</v>
      </c>
      <c r="BI427" s="1">
        <v>6.1800000000000797</v>
      </c>
      <c r="BM427" s="1">
        <v>6.1800000000000797</v>
      </c>
      <c r="BQ427" s="1">
        <v>6.1800000000000797</v>
      </c>
      <c r="BU427" s="1">
        <v>6.1800000000000797</v>
      </c>
    </row>
    <row r="428" spans="33:73" hidden="1" x14ac:dyDescent="0.25">
      <c r="AG428" s="1">
        <v>6.1700000000000799</v>
      </c>
      <c r="AH428" s="1">
        <f t="shared" si="23"/>
        <v>223.82999999999993</v>
      </c>
      <c r="AI428" s="1">
        <f t="shared" si="24"/>
        <v>223.82999999999993</v>
      </c>
      <c r="AK428" s="1">
        <v>6.1700000000000799</v>
      </c>
      <c r="AO428" s="1">
        <v>6.1700000000000799</v>
      </c>
      <c r="AS428" s="1">
        <v>6.1700000000000799</v>
      </c>
      <c r="AW428" s="1">
        <v>6.1700000000000799</v>
      </c>
      <c r="BA428" s="1">
        <v>6.1700000000000799</v>
      </c>
      <c r="BE428" s="1">
        <v>6.1700000000000799</v>
      </c>
      <c r="BI428" s="1">
        <v>6.1700000000000799</v>
      </c>
      <c r="BM428" s="1">
        <v>6.1700000000000799</v>
      </c>
      <c r="BQ428" s="1">
        <v>6.1700000000000799</v>
      </c>
      <c r="BU428" s="1">
        <v>6.1700000000000799</v>
      </c>
    </row>
    <row r="429" spans="33:73" hidden="1" x14ac:dyDescent="0.25">
      <c r="AG429" s="1">
        <v>6.1600000000000801</v>
      </c>
      <c r="AH429" s="1">
        <f t="shared" si="23"/>
        <v>223.83999999999992</v>
      </c>
      <c r="AI429" s="1">
        <f t="shared" si="24"/>
        <v>223.83999999999992</v>
      </c>
      <c r="AK429" s="1">
        <v>6.1600000000000801</v>
      </c>
      <c r="AO429" s="1">
        <v>6.1600000000000801</v>
      </c>
      <c r="AS429" s="1">
        <v>6.1600000000000801</v>
      </c>
      <c r="AW429" s="1">
        <v>6.1600000000000801</v>
      </c>
      <c r="BA429" s="1">
        <v>6.1600000000000801</v>
      </c>
      <c r="BE429" s="1">
        <v>6.1600000000000801</v>
      </c>
      <c r="BI429" s="1">
        <v>6.1600000000000801</v>
      </c>
      <c r="BM429" s="1">
        <v>6.1600000000000801</v>
      </c>
      <c r="BQ429" s="1">
        <v>6.1600000000000801</v>
      </c>
      <c r="BU429" s="1">
        <v>6.1600000000000801</v>
      </c>
    </row>
    <row r="430" spans="33:73" hidden="1" x14ac:dyDescent="0.25">
      <c r="AG430" s="1">
        <v>6.1500000000000803</v>
      </c>
      <c r="AH430" s="1">
        <f t="shared" ref="AH430:AH493" si="25">SQRT((AI430+($AI$38*($AM$44*$AJ$44+$AN$44*$AK$44)))^2+($D$3*($AN$44*$AJ$44-$AM$44*$AK$44))^2)</f>
        <v>223.84999999999991</v>
      </c>
      <c r="AI430" s="1">
        <f t="shared" ref="AI430:AI493" si="26">$AI$40-AG430</f>
        <v>223.84999999999991</v>
      </c>
      <c r="AK430" s="1">
        <v>6.1500000000000803</v>
      </c>
      <c r="AO430" s="1">
        <v>6.1500000000000803</v>
      </c>
      <c r="AS430" s="1">
        <v>6.1500000000000803</v>
      </c>
      <c r="AW430" s="1">
        <v>6.1500000000000803</v>
      </c>
      <c r="BA430" s="1">
        <v>6.1500000000000803</v>
      </c>
      <c r="BE430" s="1">
        <v>6.1500000000000803</v>
      </c>
      <c r="BI430" s="1">
        <v>6.1500000000000803</v>
      </c>
      <c r="BM430" s="1">
        <v>6.1500000000000803</v>
      </c>
      <c r="BQ430" s="1">
        <v>6.1500000000000803</v>
      </c>
      <c r="BU430" s="1">
        <v>6.1500000000000803</v>
      </c>
    </row>
    <row r="431" spans="33:73" hidden="1" x14ac:dyDescent="0.25">
      <c r="AG431" s="1">
        <v>6.1400000000000796</v>
      </c>
      <c r="AH431" s="1">
        <f t="shared" si="25"/>
        <v>223.85999999999993</v>
      </c>
      <c r="AI431" s="1">
        <f t="shared" si="26"/>
        <v>223.85999999999993</v>
      </c>
      <c r="AK431" s="1">
        <v>6.1400000000000796</v>
      </c>
      <c r="AO431" s="1">
        <v>6.1400000000000796</v>
      </c>
      <c r="AS431" s="1">
        <v>6.1400000000000796</v>
      </c>
      <c r="AW431" s="1">
        <v>6.1400000000000796</v>
      </c>
      <c r="BA431" s="1">
        <v>6.1400000000000796</v>
      </c>
      <c r="BE431" s="1">
        <v>6.1400000000000796</v>
      </c>
      <c r="BI431" s="1">
        <v>6.1400000000000796</v>
      </c>
      <c r="BM431" s="1">
        <v>6.1400000000000796</v>
      </c>
      <c r="BQ431" s="1">
        <v>6.1400000000000796</v>
      </c>
      <c r="BU431" s="1">
        <v>6.1400000000000796</v>
      </c>
    </row>
    <row r="432" spans="33:73" hidden="1" x14ac:dyDescent="0.25">
      <c r="AG432" s="1">
        <v>6.1300000000000798</v>
      </c>
      <c r="AH432" s="1">
        <f t="shared" si="25"/>
        <v>223.86999999999992</v>
      </c>
      <c r="AI432" s="1">
        <f t="shared" si="26"/>
        <v>223.86999999999992</v>
      </c>
      <c r="AK432" s="1">
        <v>6.1300000000000798</v>
      </c>
      <c r="AO432" s="1">
        <v>6.1300000000000798</v>
      </c>
      <c r="AS432" s="1">
        <v>6.1300000000000798</v>
      </c>
      <c r="AW432" s="1">
        <v>6.1300000000000798</v>
      </c>
      <c r="BA432" s="1">
        <v>6.1300000000000798</v>
      </c>
      <c r="BE432" s="1">
        <v>6.1300000000000798</v>
      </c>
      <c r="BI432" s="1">
        <v>6.1300000000000798</v>
      </c>
      <c r="BM432" s="1">
        <v>6.1300000000000798</v>
      </c>
      <c r="BQ432" s="1">
        <v>6.1300000000000798</v>
      </c>
      <c r="BU432" s="1">
        <v>6.1300000000000798</v>
      </c>
    </row>
    <row r="433" spans="33:73" hidden="1" x14ac:dyDescent="0.25">
      <c r="AG433" s="1">
        <v>6.12000000000008</v>
      </c>
      <c r="AH433" s="1">
        <f t="shared" si="25"/>
        <v>223.87999999999991</v>
      </c>
      <c r="AI433" s="1">
        <f t="shared" si="26"/>
        <v>223.87999999999991</v>
      </c>
      <c r="AK433" s="1">
        <v>6.12000000000008</v>
      </c>
      <c r="AO433" s="1">
        <v>6.12000000000008</v>
      </c>
      <c r="AS433" s="1">
        <v>6.12000000000008</v>
      </c>
      <c r="AW433" s="1">
        <v>6.12000000000008</v>
      </c>
      <c r="BA433" s="1">
        <v>6.12000000000008</v>
      </c>
      <c r="BE433" s="1">
        <v>6.12000000000008</v>
      </c>
      <c r="BI433" s="1">
        <v>6.12000000000008</v>
      </c>
      <c r="BM433" s="1">
        <v>6.12000000000008</v>
      </c>
      <c r="BQ433" s="1">
        <v>6.12000000000008</v>
      </c>
      <c r="BU433" s="1">
        <v>6.12000000000008</v>
      </c>
    </row>
    <row r="434" spans="33:73" hidden="1" x14ac:dyDescent="0.25">
      <c r="AG434" s="1">
        <v>6.1100000000000803</v>
      </c>
      <c r="AH434" s="1">
        <f t="shared" si="25"/>
        <v>223.88999999999993</v>
      </c>
      <c r="AI434" s="1">
        <f t="shared" si="26"/>
        <v>223.88999999999993</v>
      </c>
      <c r="AK434" s="1">
        <v>6.1100000000000803</v>
      </c>
      <c r="AO434" s="1">
        <v>6.1100000000000803</v>
      </c>
      <c r="AS434" s="1">
        <v>6.1100000000000803</v>
      </c>
      <c r="AW434" s="1">
        <v>6.1100000000000803</v>
      </c>
      <c r="BA434" s="1">
        <v>6.1100000000000803</v>
      </c>
      <c r="BE434" s="1">
        <v>6.1100000000000803</v>
      </c>
      <c r="BI434" s="1">
        <v>6.1100000000000803</v>
      </c>
      <c r="BM434" s="1">
        <v>6.1100000000000803</v>
      </c>
      <c r="BQ434" s="1">
        <v>6.1100000000000803</v>
      </c>
      <c r="BU434" s="1">
        <v>6.1100000000000803</v>
      </c>
    </row>
    <row r="435" spans="33:73" hidden="1" x14ac:dyDescent="0.25">
      <c r="AG435" s="1">
        <v>6.1000000000000796</v>
      </c>
      <c r="AH435" s="1">
        <f t="shared" si="25"/>
        <v>223.89999999999992</v>
      </c>
      <c r="AI435" s="1">
        <f t="shared" si="26"/>
        <v>223.89999999999992</v>
      </c>
      <c r="AK435" s="1">
        <v>6.1000000000000796</v>
      </c>
      <c r="AO435" s="1">
        <v>6.1000000000000796</v>
      </c>
      <c r="AS435" s="1">
        <v>6.1000000000000796</v>
      </c>
      <c r="AW435" s="1">
        <v>6.1000000000000796</v>
      </c>
      <c r="BA435" s="1">
        <v>6.1000000000000796</v>
      </c>
      <c r="BE435" s="1">
        <v>6.1000000000000796</v>
      </c>
      <c r="BI435" s="1">
        <v>6.1000000000000796</v>
      </c>
      <c r="BM435" s="1">
        <v>6.1000000000000796</v>
      </c>
      <c r="BQ435" s="1">
        <v>6.1000000000000796</v>
      </c>
      <c r="BU435" s="1">
        <v>6.1000000000000796</v>
      </c>
    </row>
    <row r="436" spans="33:73" hidden="1" x14ac:dyDescent="0.25">
      <c r="AG436" s="1">
        <v>6.0900000000000798</v>
      </c>
      <c r="AH436" s="1">
        <f t="shared" si="25"/>
        <v>223.90999999999991</v>
      </c>
      <c r="AI436" s="1">
        <f t="shared" si="26"/>
        <v>223.90999999999991</v>
      </c>
      <c r="AK436" s="1">
        <v>6.0900000000000798</v>
      </c>
      <c r="AO436" s="1">
        <v>6.0900000000000798</v>
      </c>
      <c r="AS436" s="1">
        <v>6.0900000000000798</v>
      </c>
      <c r="AW436" s="1">
        <v>6.0900000000000798</v>
      </c>
      <c r="BA436" s="1">
        <v>6.0900000000000798</v>
      </c>
      <c r="BE436" s="1">
        <v>6.0900000000000798</v>
      </c>
      <c r="BI436" s="1">
        <v>6.0900000000000798</v>
      </c>
      <c r="BM436" s="1">
        <v>6.0900000000000798</v>
      </c>
      <c r="BQ436" s="1">
        <v>6.0900000000000798</v>
      </c>
      <c r="BU436" s="1">
        <v>6.0900000000000798</v>
      </c>
    </row>
    <row r="437" spans="33:73" hidden="1" x14ac:dyDescent="0.25">
      <c r="AG437" s="1">
        <v>6.08000000000008</v>
      </c>
      <c r="AH437" s="1">
        <f t="shared" si="25"/>
        <v>223.91999999999993</v>
      </c>
      <c r="AI437" s="1">
        <f t="shared" si="26"/>
        <v>223.91999999999993</v>
      </c>
      <c r="AK437" s="1">
        <v>6.08000000000008</v>
      </c>
      <c r="AO437" s="1">
        <v>6.08000000000008</v>
      </c>
      <c r="AS437" s="1">
        <v>6.08000000000008</v>
      </c>
      <c r="AW437" s="1">
        <v>6.08000000000008</v>
      </c>
      <c r="BA437" s="1">
        <v>6.08000000000008</v>
      </c>
      <c r="BE437" s="1">
        <v>6.08000000000008</v>
      </c>
      <c r="BI437" s="1">
        <v>6.08000000000008</v>
      </c>
      <c r="BM437" s="1">
        <v>6.08000000000008</v>
      </c>
      <c r="BQ437" s="1">
        <v>6.08000000000008</v>
      </c>
      <c r="BU437" s="1">
        <v>6.08000000000008</v>
      </c>
    </row>
    <row r="438" spans="33:73" hidden="1" x14ac:dyDescent="0.25">
      <c r="AG438" s="1">
        <v>6.0700000000000802</v>
      </c>
      <c r="AH438" s="1">
        <f t="shared" si="25"/>
        <v>223.92999999999992</v>
      </c>
      <c r="AI438" s="1">
        <f t="shared" si="26"/>
        <v>223.92999999999992</v>
      </c>
      <c r="AK438" s="1">
        <v>6.0700000000000802</v>
      </c>
      <c r="AO438" s="1">
        <v>6.0700000000000802</v>
      </c>
      <c r="AS438" s="1">
        <v>6.0700000000000802</v>
      </c>
      <c r="AW438" s="1">
        <v>6.0700000000000802</v>
      </c>
      <c r="BA438" s="1">
        <v>6.0700000000000802</v>
      </c>
      <c r="BE438" s="1">
        <v>6.0700000000000802</v>
      </c>
      <c r="BI438" s="1">
        <v>6.0700000000000802</v>
      </c>
      <c r="BM438" s="1">
        <v>6.0700000000000802</v>
      </c>
      <c r="BQ438" s="1">
        <v>6.0700000000000802</v>
      </c>
      <c r="BU438" s="1">
        <v>6.0700000000000802</v>
      </c>
    </row>
    <row r="439" spans="33:73" hidden="1" x14ac:dyDescent="0.25">
      <c r="AG439" s="1">
        <v>6.0600000000000804</v>
      </c>
      <c r="AH439" s="1">
        <f t="shared" si="25"/>
        <v>223.93999999999991</v>
      </c>
      <c r="AI439" s="1">
        <f t="shared" si="26"/>
        <v>223.93999999999991</v>
      </c>
      <c r="AK439" s="1">
        <v>6.0600000000000804</v>
      </c>
      <c r="AO439" s="1">
        <v>6.0600000000000804</v>
      </c>
      <c r="AS439" s="1">
        <v>6.0600000000000804</v>
      </c>
      <c r="AW439" s="1">
        <v>6.0600000000000804</v>
      </c>
      <c r="BA439" s="1">
        <v>6.0600000000000804</v>
      </c>
      <c r="BE439" s="1">
        <v>6.0600000000000804</v>
      </c>
      <c r="BI439" s="1">
        <v>6.0600000000000804</v>
      </c>
      <c r="BM439" s="1">
        <v>6.0600000000000804</v>
      </c>
      <c r="BQ439" s="1">
        <v>6.0600000000000804</v>
      </c>
      <c r="BU439" s="1">
        <v>6.0600000000000804</v>
      </c>
    </row>
    <row r="440" spans="33:73" hidden="1" x14ac:dyDescent="0.25">
      <c r="AG440" s="1">
        <v>6.0500000000000798</v>
      </c>
      <c r="AH440" s="1">
        <f t="shared" si="25"/>
        <v>223.94999999999993</v>
      </c>
      <c r="AI440" s="1">
        <f t="shared" si="26"/>
        <v>223.94999999999993</v>
      </c>
      <c r="AK440" s="1">
        <v>6.0500000000000798</v>
      </c>
      <c r="AO440" s="1">
        <v>6.0500000000000798</v>
      </c>
      <c r="AS440" s="1">
        <v>6.0500000000000798</v>
      </c>
      <c r="AW440" s="1">
        <v>6.0500000000000798</v>
      </c>
      <c r="BA440" s="1">
        <v>6.0500000000000798</v>
      </c>
      <c r="BE440" s="1">
        <v>6.0500000000000798</v>
      </c>
      <c r="BI440" s="1">
        <v>6.0500000000000798</v>
      </c>
      <c r="BM440" s="1">
        <v>6.0500000000000798</v>
      </c>
      <c r="BQ440" s="1">
        <v>6.0500000000000798</v>
      </c>
      <c r="BU440" s="1">
        <v>6.0500000000000798</v>
      </c>
    </row>
    <row r="441" spans="33:73" hidden="1" x14ac:dyDescent="0.25">
      <c r="AG441" s="1">
        <v>6.04000000000008</v>
      </c>
      <c r="AH441" s="1">
        <f t="shared" si="25"/>
        <v>223.95999999999992</v>
      </c>
      <c r="AI441" s="1">
        <f t="shared" si="26"/>
        <v>223.95999999999992</v>
      </c>
      <c r="AK441" s="1">
        <v>6.04000000000008</v>
      </c>
      <c r="AO441" s="1">
        <v>6.04000000000008</v>
      </c>
      <c r="AS441" s="1">
        <v>6.04000000000008</v>
      </c>
      <c r="AW441" s="1">
        <v>6.04000000000008</v>
      </c>
      <c r="BA441" s="1">
        <v>6.04000000000008</v>
      </c>
      <c r="BE441" s="1">
        <v>6.04000000000008</v>
      </c>
      <c r="BI441" s="1">
        <v>6.04000000000008</v>
      </c>
      <c r="BM441" s="1">
        <v>6.04000000000008</v>
      </c>
      <c r="BQ441" s="1">
        <v>6.04000000000008</v>
      </c>
      <c r="BU441" s="1">
        <v>6.04000000000008</v>
      </c>
    </row>
    <row r="442" spans="33:73" hidden="1" x14ac:dyDescent="0.25">
      <c r="AG442" s="1">
        <v>6.0300000000000802</v>
      </c>
      <c r="AH442" s="1">
        <f t="shared" si="25"/>
        <v>223.96999999999991</v>
      </c>
      <c r="AI442" s="1">
        <f t="shared" si="26"/>
        <v>223.96999999999991</v>
      </c>
      <c r="AK442" s="1">
        <v>6.0300000000000802</v>
      </c>
      <c r="AO442" s="1">
        <v>6.0300000000000802</v>
      </c>
      <c r="AS442" s="1">
        <v>6.0300000000000802</v>
      </c>
      <c r="AW442" s="1">
        <v>6.0300000000000802</v>
      </c>
      <c r="BA442" s="1">
        <v>6.0300000000000802</v>
      </c>
      <c r="BE442" s="1">
        <v>6.0300000000000802</v>
      </c>
      <c r="BI442" s="1">
        <v>6.0300000000000802</v>
      </c>
      <c r="BM442" s="1">
        <v>6.0300000000000802</v>
      </c>
      <c r="BQ442" s="1">
        <v>6.0300000000000802</v>
      </c>
      <c r="BU442" s="1">
        <v>6.0300000000000802</v>
      </c>
    </row>
    <row r="443" spans="33:73" hidden="1" x14ac:dyDescent="0.25">
      <c r="AG443" s="1">
        <v>6.0200000000000804</v>
      </c>
      <c r="AH443" s="1">
        <f t="shared" si="25"/>
        <v>223.97999999999993</v>
      </c>
      <c r="AI443" s="1">
        <f t="shared" si="26"/>
        <v>223.97999999999993</v>
      </c>
      <c r="AK443" s="1">
        <v>6.0200000000000804</v>
      </c>
      <c r="AO443" s="1">
        <v>6.0200000000000804</v>
      </c>
      <c r="AS443" s="1">
        <v>6.0200000000000804</v>
      </c>
      <c r="AW443" s="1">
        <v>6.0200000000000804</v>
      </c>
      <c r="BA443" s="1">
        <v>6.0200000000000804</v>
      </c>
      <c r="BE443" s="1">
        <v>6.0200000000000804</v>
      </c>
      <c r="BI443" s="1">
        <v>6.0200000000000804</v>
      </c>
      <c r="BM443" s="1">
        <v>6.0200000000000804</v>
      </c>
      <c r="BQ443" s="1">
        <v>6.0200000000000804</v>
      </c>
      <c r="BU443" s="1">
        <v>6.0200000000000804</v>
      </c>
    </row>
    <row r="444" spans="33:73" hidden="1" x14ac:dyDescent="0.25">
      <c r="AG444" s="1">
        <v>6.0100000000000904</v>
      </c>
      <c r="AH444" s="1">
        <f t="shared" si="25"/>
        <v>223.9899999999999</v>
      </c>
      <c r="AI444" s="1">
        <f t="shared" si="26"/>
        <v>223.9899999999999</v>
      </c>
      <c r="AK444" s="1">
        <v>6.0100000000000904</v>
      </c>
      <c r="AO444" s="1">
        <v>6.0100000000000904</v>
      </c>
      <c r="AS444" s="1">
        <v>6.0100000000000904</v>
      </c>
      <c r="AW444" s="1">
        <v>6.0100000000000904</v>
      </c>
      <c r="BA444" s="1">
        <v>6.0100000000000904</v>
      </c>
      <c r="BE444" s="1">
        <v>6.0100000000000904</v>
      </c>
      <c r="BI444" s="1">
        <v>6.0100000000000904</v>
      </c>
      <c r="BM444" s="1">
        <v>6.0100000000000904</v>
      </c>
      <c r="BQ444" s="1">
        <v>6.0100000000000904</v>
      </c>
      <c r="BU444" s="1">
        <v>6.0100000000000904</v>
      </c>
    </row>
    <row r="445" spans="33:73" hidden="1" x14ac:dyDescent="0.25">
      <c r="AG445" s="1">
        <v>6.0000000000000897</v>
      </c>
      <c r="AH445" s="1">
        <f t="shared" si="25"/>
        <v>223.99999999999991</v>
      </c>
      <c r="AI445" s="1">
        <f t="shared" si="26"/>
        <v>223.99999999999991</v>
      </c>
      <c r="AK445" s="1">
        <v>6.0000000000000897</v>
      </c>
      <c r="AO445" s="1">
        <v>6.0000000000000897</v>
      </c>
      <c r="AS445" s="1">
        <v>6.0000000000000897</v>
      </c>
      <c r="AW445" s="1">
        <v>6.0000000000000897</v>
      </c>
      <c r="BA445" s="1">
        <v>6.0000000000000897</v>
      </c>
      <c r="BE445" s="1">
        <v>6.0000000000000897</v>
      </c>
      <c r="BI445" s="1">
        <v>6.0000000000000897</v>
      </c>
      <c r="BM445" s="1">
        <v>6.0000000000000897</v>
      </c>
      <c r="BQ445" s="1">
        <v>6.0000000000000897</v>
      </c>
      <c r="BU445" s="1">
        <v>6.0000000000000897</v>
      </c>
    </row>
    <row r="446" spans="33:73" hidden="1" x14ac:dyDescent="0.25">
      <c r="AG446" s="1">
        <v>5.9900000000000899</v>
      </c>
      <c r="AH446" s="1">
        <f t="shared" si="25"/>
        <v>224.00999999999991</v>
      </c>
      <c r="AI446" s="1">
        <f t="shared" si="26"/>
        <v>224.00999999999991</v>
      </c>
      <c r="AK446" s="1">
        <v>5.9900000000000899</v>
      </c>
      <c r="AO446" s="1">
        <v>5.9900000000000899</v>
      </c>
      <c r="AS446" s="1">
        <v>5.9900000000000899</v>
      </c>
      <c r="AW446" s="1">
        <v>5.9900000000000899</v>
      </c>
      <c r="BA446" s="1">
        <v>5.9900000000000899</v>
      </c>
      <c r="BE446" s="1">
        <v>5.9900000000000899</v>
      </c>
      <c r="BI446" s="1">
        <v>5.9900000000000899</v>
      </c>
      <c r="BM446" s="1">
        <v>5.9900000000000899</v>
      </c>
      <c r="BQ446" s="1">
        <v>5.9900000000000899</v>
      </c>
      <c r="BU446" s="1">
        <v>5.9900000000000899</v>
      </c>
    </row>
    <row r="447" spans="33:73" hidden="1" x14ac:dyDescent="0.25">
      <c r="AG447" s="1">
        <v>5.9800000000000901</v>
      </c>
      <c r="AH447" s="1">
        <f t="shared" si="25"/>
        <v>224.0199999999999</v>
      </c>
      <c r="AI447" s="1">
        <f t="shared" si="26"/>
        <v>224.0199999999999</v>
      </c>
      <c r="AK447" s="1">
        <v>5.9800000000000901</v>
      </c>
      <c r="AO447" s="1">
        <v>5.9800000000000901</v>
      </c>
      <c r="AS447" s="1">
        <v>5.9800000000000901</v>
      </c>
      <c r="AW447" s="1">
        <v>5.9800000000000901</v>
      </c>
      <c r="BA447" s="1">
        <v>5.9800000000000901</v>
      </c>
      <c r="BE447" s="1">
        <v>5.9800000000000901</v>
      </c>
      <c r="BI447" s="1">
        <v>5.9800000000000901</v>
      </c>
      <c r="BM447" s="1">
        <v>5.9800000000000901</v>
      </c>
      <c r="BQ447" s="1">
        <v>5.9800000000000901</v>
      </c>
      <c r="BU447" s="1">
        <v>5.9800000000000901</v>
      </c>
    </row>
    <row r="448" spans="33:73" hidden="1" x14ac:dyDescent="0.25">
      <c r="AG448" s="1">
        <v>5.9700000000000903</v>
      </c>
      <c r="AH448" s="1">
        <f t="shared" si="25"/>
        <v>224.02999999999992</v>
      </c>
      <c r="AI448" s="1">
        <f t="shared" si="26"/>
        <v>224.02999999999992</v>
      </c>
      <c r="AK448" s="1">
        <v>5.9700000000000903</v>
      </c>
      <c r="AO448" s="1">
        <v>5.9700000000000903</v>
      </c>
      <c r="AS448" s="1">
        <v>5.9700000000000903</v>
      </c>
      <c r="AW448" s="1">
        <v>5.9700000000000903</v>
      </c>
      <c r="BA448" s="1">
        <v>5.9700000000000903</v>
      </c>
      <c r="BE448" s="1">
        <v>5.9700000000000903</v>
      </c>
      <c r="BI448" s="1">
        <v>5.9700000000000903</v>
      </c>
      <c r="BM448" s="1">
        <v>5.9700000000000903</v>
      </c>
      <c r="BQ448" s="1">
        <v>5.9700000000000903</v>
      </c>
      <c r="BU448" s="1">
        <v>5.9700000000000903</v>
      </c>
    </row>
    <row r="449" spans="33:73" hidden="1" x14ac:dyDescent="0.25">
      <c r="AG449" s="1">
        <v>5.9600000000000897</v>
      </c>
      <c r="AH449" s="1">
        <f t="shared" si="25"/>
        <v>224.03999999999991</v>
      </c>
      <c r="AI449" s="1">
        <f t="shared" si="26"/>
        <v>224.03999999999991</v>
      </c>
      <c r="AK449" s="1">
        <v>5.9600000000000897</v>
      </c>
      <c r="AO449" s="1">
        <v>5.9600000000000897</v>
      </c>
      <c r="AS449" s="1">
        <v>5.9600000000000897</v>
      </c>
      <c r="AW449" s="1">
        <v>5.9600000000000897</v>
      </c>
      <c r="BA449" s="1">
        <v>5.9600000000000897</v>
      </c>
      <c r="BE449" s="1">
        <v>5.9600000000000897</v>
      </c>
      <c r="BI449" s="1">
        <v>5.9600000000000897</v>
      </c>
      <c r="BM449" s="1">
        <v>5.9600000000000897</v>
      </c>
      <c r="BQ449" s="1">
        <v>5.9600000000000897</v>
      </c>
      <c r="BU449" s="1">
        <v>5.9600000000000897</v>
      </c>
    </row>
    <row r="450" spans="33:73" hidden="1" x14ac:dyDescent="0.25">
      <c r="AG450" s="1">
        <v>5.9500000000000899</v>
      </c>
      <c r="AH450" s="1">
        <f t="shared" si="25"/>
        <v>224.0499999999999</v>
      </c>
      <c r="AI450" s="1">
        <f t="shared" si="26"/>
        <v>224.0499999999999</v>
      </c>
      <c r="AK450" s="1">
        <v>5.9500000000000899</v>
      </c>
      <c r="AO450" s="1">
        <v>5.9500000000000899</v>
      </c>
      <c r="AS450" s="1">
        <v>5.9500000000000899</v>
      </c>
      <c r="AW450" s="1">
        <v>5.9500000000000899</v>
      </c>
      <c r="BA450" s="1">
        <v>5.9500000000000899</v>
      </c>
      <c r="BE450" s="1">
        <v>5.9500000000000899</v>
      </c>
      <c r="BI450" s="1">
        <v>5.9500000000000899</v>
      </c>
      <c r="BM450" s="1">
        <v>5.9500000000000899</v>
      </c>
      <c r="BQ450" s="1">
        <v>5.9500000000000899</v>
      </c>
      <c r="BU450" s="1">
        <v>5.9500000000000899</v>
      </c>
    </row>
    <row r="451" spans="33:73" hidden="1" x14ac:dyDescent="0.25">
      <c r="AG451" s="1">
        <v>5.9400000000000901</v>
      </c>
      <c r="AH451" s="1">
        <f t="shared" si="25"/>
        <v>224.05999999999992</v>
      </c>
      <c r="AI451" s="1">
        <f t="shared" si="26"/>
        <v>224.05999999999992</v>
      </c>
      <c r="AK451" s="1">
        <v>5.9400000000000901</v>
      </c>
      <c r="AO451" s="1">
        <v>5.9400000000000901</v>
      </c>
      <c r="AS451" s="1">
        <v>5.9400000000000901</v>
      </c>
      <c r="AW451" s="1">
        <v>5.9400000000000901</v>
      </c>
      <c r="BA451" s="1">
        <v>5.9400000000000901</v>
      </c>
      <c r="BE451" s="1">
        <v>5.9400000000000901</v>
      </c>
      <c r="BI451" s="1">
        <v>5.9400000000000901</v>
      </c>
      <c r="BM451" s="1">
        <v>5.9400000000000901</v>
      </c>
      <c r="BQ451" s="1">
        <v>5.9400000000000901</v>
      </c>
      <c r="BU451" s="1">
        <v>5.9400000000000901</v>
      </c>
    </row>
    <row r="452" spans="33:73" hidden="1" x14ac:dyDescent="0.25">
      <c r="AG452" s="1">
        <v>5.9300000000000903</v>
      </c>
      <c r="AH452" s="1">
        <f t="shared" si="25"/>
        <v>224.06999999999991</v>
      </c>
      <c r="AI452" s="1">
        <f t="shared" si="26"/>
        <v>224.06999999999991</v>
      </c>
      <c r="AK452" s="1">
        <v>5.9300000000000903</v>
      </c>
      <c r="AO452" s="1">
        <v>5.9300000000000903</v>
      </c>
      <c r="AS452" s="1">
        <v>5.9300000000000903</v>
      </c>
      <c r="AW452" s="1">
        <v>5.9300000000000903</v>
      </c>
      <c r="BA452" s="1">
        <v>5.9300000000000903</v>
      </c>
      <c r="BE452" s="1">
        <v>5.9300000000000903</v>
      </c>
      <c r="BI452" s="1">
        <v>5.9300000000000903</v>
      </c>
      <c r="BM452" s="1">
        <v>5.9300000000000903</v>
      </c>
      <c r="BQ452" s="1">
        <v>5.9300000000000903</v>
      </c>
      <c r="BU452" s="1">
        <v>5.9300000000000903</v>
      </c>
    </row>
    <row r="453" spans="33:73" hidden="1" x14ac:dyDescent="0.25">
      <c r="AG453" s="1">
        <v>5.9200000000000896</v>
      </c>
      <c r="AH453" s="1">
        <f t="shared" si="25"/>
        <v>224.0799999999999</v>
      </c>
      <c r="AI453" s="1">
        <f t="shared" si="26"/>
        <v>224.0799999999999</v>
      </c>
      <c r="AK453" s="1">
        <v>5.9200000000000896</v>
      </c>
      <c r="AO453" s="1">
        <v>5.9200000000000896</v>
      </c>
      <c r="AS453" s="1">
        <v>5.9200000000000896</v>
      </c>
      <c r="AW453" s="1">
        <v>5.9200000000000896</v>
      </c>
      <c r="BA453" s="1">
        <v>5.9200000000000896</v>
      </c>
      <c r="BE453" s="1">
        <v>5.9200000000000896</v>
      </c>
      <c r="BI453" s="1">
        <v>5.9200000000000896</v>
      </c>
      <c r="BM453" s="1">
        <v>5.9200000000000896</v>
      </c>
      <c r="BQ453" s="1">
        <v>5.9200000000000896</v>
      </c>
      <c r="BU453" s="1">
        <v>5.9200000000000896</v>
      </c>
    </row>
    <row r="454" spans="33:73" hidden="1" x14ac:dyDescent="0.25">
      <c r="AG454" s="1">
        <v>5.9100000000000898</v>
      </c>
      <c r="AH454" s="1">
        <f t="shared" si="25"/>
        <v>224.08999999999992</v>
      </c>
      <c r="AI454" s="1">
        <f t="shared" si="26"/>
        <v>224.08999999999992</v>
      </c>
      <c r="AK454" s="1">
        <v>5.9100000000000898</v>
      </c>
      <c r="AO454" s="1">
        <v>5.9100000000000898</v>
      </c>
      <c r="AS454" s="1">
        <v>5.9100000000000898</v>
      </c>
      <c r="AW454" s="1">
        <v>5.9100000000000898</v>
      </c>
      <c r="BA454" s="1">
        <v>5.9100000000000898</v>
      </c>
      <c r="BE454" s="1">
        <v>5.9100000000000898</v>
      </c>
      <c r="BI454" s="1">
        <v>5.9100000000000898</v>
      </c>
      <c r="BM454" s="1">
        <v>5.9100000000000898</v>
      </c>
      <c r="BQ454" s="1">
        <v>5.9100000000000898</v>
      </c>
      <c r="BU454" s="1">
        <v>5.9100000000000898</v>
      </c>
    </row>
    <row r="455" spans="33:73" hidden="1" x14ac:dyDescent="0.25">
      <c r="AG455" s="1">
        <v>5.9000000000000901</v>
      </c>
      <c r="AH455" s="1">
        <f t="shared" si="25"/>
        <v>224.09999999999991</v>
      </c>
      <c r="AI455" s="1">
        <f t="shared" si="26"/>
        <v>224.09999999999991</v>
      </c>
      <c r="AK455" s="1">
        <v>5.9000000000000901</v>
      </c>
      <c r="AO455" s="1">
        <v>5.9000000000000901</v>
      </c>
      <c r="AS455" s="1">
        <v>5.9000000000000901</v>
      </c>
      <c r="AW455" s="1">
        <v>5.9000000000000901</v>
      </c>
      <c r="BA455" s="1">
        <v>5.9000000000000901</v>
      </c>
      <c r="BE455" s="1">
        <v>5.9000000000000901</v>
      </c>
      <c r="BI455" s="1">
        <v>5.9000000000000901</v>
      </c>
      <c r="BM455" s="1">
        <v>5.9000000000000901</v>
      </c>
      <c r="BQ455" s="1">
        <v>5.9000000000000901</v>
      </c>
      <c r="BU455" s="1">
        <v>5.9000000000000901</v>
      </c>
    </row>
    <row r="456" spans="33:73" hidden="1" x14ac:dyDescent="0.25">
      <c r="AG456" s="1">
        <v>5.8900000000000903</v>
      </c>
      <c r="AH456" s="1">
        <f t="shared" si="25"/>
        <v>224.1099999999999</v>
      </c>
      <c r="AI456" s="1">
        <f t="shared" si="26"/>
        <v>224.1099999999999</v>
      </c>
      <c r="AK456" s="1">
        <v>5.8900000000000903</v>
      </c>
      <c r="AO456" s="1">
        <v>5.8900000000000903</v>
      </c>
      <c r="AS456" s="1">
        <v>5.8900000000000903</v>
      </c>
      <c r="AW456" s="1">
        <v>5.8900000000000903</v>
      </c>
      <c r="BA456" s="1">
        <v>5.8900000000000903</v>
      </c>
      <c r="BE456" s="1">
        <v>5.8900000000000903</v>
      </c>
      <c r="BI456" s="1">
        <v>5.8900000000000903</v>
      </c>
      <c r="BM456" s="1">
        <v>5.8900000000000903</v>
      </c>
      <c r="BQ456" s="1">
        <v>5.8900000000000903</v>
      </c>
      <c r="BU456" s="1">
        <v>5.8900000000000903</v>
      </c>
    </row>
    <row r="457" spans="33:73" hidden="1" x14ac:dyDescent="0.25">
      <c r="AG457" s="1">
        <v>5.8800000000000896</v>
      </c>
      <c r="AH457" s="1">
        <f t="shared" si="25"/>
        <v>224.11999999999992</v>
      </c>
      <c r="AI457" s="1">
        <f t="shared" si="26"/>
        <v>224.11999999999992</v>
      </c>
      <c r="AK457" s="1">
        <v>5.8800000000000896</v>
      </c>
      <c r="AO457" s="1">
        <v>5.8800000000000896</v>
      </c>
      <c r="AS457" s="1">
        <v>5.8800000000000896</v>
      </c>
      <c r="AW457" s="1">
        <v>5.8800000000000896</v>
      </c>
      <c r="BA457" s="1">
        <v>5.8800000000000896</v>
      </c>
      <c r="BE457" s="1">
        <v>5.8800000000000896</v>
      </c>
      <c r="BI457" s="1">
        <v>5.8800000000000896</v>
      </c>
      <c r="BM457" s="1">
        <v>5.8800000000000896</v>
      </c>
      <c r="BQ457" s="1">
        <v>5.8800000000000896</v>
      </c>
      <c r="BU457" s="1">
        <v>5.8800000000000896</v>
      </c>
    </row>
    <row r="458" spans="33:73" hidden="1" x14ac:dyDescent="0.25">
      <c r="AG458" s="1">
        <v>5.8700000000000898</v>
      </c>
      <c r="AH458" s="1">
        <f t="shared" si="25"/>
        <v>224.12999999999991</v>
      </c>
      <c r="AI458" s="1">
        <f t="shared" si="26"/>
        <v>224.12999999999991</v>
      </c>
      <c r="AK458" s="1">
        <v>5.8700000000000898</v>
      </c>
      <c r="AO458" s="1">
        <v>5.8700000000000898</v>
      </c>
      <c r="AS458" s="1">
        <v>5.8700000000000898</v>
      </c>
      <c r="AW458" s="1">
        <v>5.8700000000000898</v>
      </c>
      <c r="BA458" s="1">
        <v>5.8700000000000898</v>
      </c>
      <c r="BE458" s="1">
        <v>5.8700000000000898</v>
      </c>
      <c r="BI458" s="1">
        <v>5.8700000000000898</v>
      </c>
      <c r="BM458" s="1">
        <v>5.8700000000000898</v>
      </c>
      <c r="BQ458" s="1">
        <v>5.8700000000000898</v>
      </c>
      <c r="BU458" s="1">
        <v>5.8700000000000898</v>
      </c>
    </row>
    <row r="459" spans="33:73" hidden="1" x14ac:dyDescent="0.25">
      <c r="AG459" s="1">
        <v>5.86000000000009</v>
      </c>
      <c r="AH459" s="1">
        <f t="shared" si="25"/>
        <v>224.1399999999999</v>
      </c>
      <c r="AI459" s="1">
        <f t="shared" si="26"/>
        <v>224.1399999999999</v>
      </c>
      <c r="AK459" s="1">
        <v>5.86000000000009</v>
      </c>
      <c r="AO459" s="1">
        <v>5.86000000000009</v>
      </c>
      <c r="AS459" s="1">
        <v>5.86000000000009</v>
      </c>
      <c r="AW459" s="1">
        <v>5.86000000000009</v>
      </c>
      <c r="BA459" s="1">
        <v>5.86000000000009</v>
      </c>
      <c r="BE459" s="1">
        <v>5.86000000000009</v>
      </c>
      <c r="BI459" s="1">
        <v>5.86000000000009</v>
      </c>
      <c r="BM459" s="1">
        <v>5.86000000000009</v>
      </c>
      <c r="BQ459" s="1">
        <v>5.86000000000009</v>
      </c>
      <c r="BU459" s="1">
        <v>5.86000000000009</v>
      </c>
    </row>
    <row r="460" spans="33:73" hidden="1" x14ac:dyDescent="0.25">
      <c r="AG460" s="1">
        <v>5.8500000000000902</v>
      </c>
      <c r="AH460" s="1">
        <f t="shared" si="25"/>
        <v>224.14999999999992</v>
      </c>
      <c r="AI460" s="1">
        <f t="shared" si="26"/>
        <v>224.14999999999992</v>
      </c>
      <c r="AK460" s="1">
        <v>5.8500000000000902</v>
      </c>
      <c r="AO460" s="1">
        <v>5.8500000000000902</v>
      </c>
      <c r="AS460" s="1">
        <v>5.8500000000000902</v>
      </c>
      <c r="AW460" s="1">
        <v>5.8500000000000902</v>
      </c>
      <c r="BA460" s="1">
        <v>5.8500000000000902</v>
      </c>
      <c r="BE460" s="1">
        <v>5.8500000000000902</v>
      </c>
      <c r="BI460" s="1">
        <v>5.8500000000000902</v>
      </c>
      <c r="BM460" s="1">
        <v>5.8500000000000902</v>
      </c>
      <c r="BQ460" s="1">
        <v>5.8500000000000902</v>
      </c>
      <c r="BU460" s="1">
        <v>5.8500000000000902</v>
      </c>
    </row>
    <row r="461" spans="33:73" hidden="1" x14ac:dyDescent="0.25">
      <c r="AG461" s="1">
        <v>5.8400000000000896</v>
      </c>
      <c r="AH461" s="1">
        <f t="shared" si="25"/>
        <v>224.15999999999991</v>
      </c>
      <c r="AI461" s="1">
        <f t="shared" si="26"/>
        <v>224.15999999999991</v>
      </c>
      <c r="AK461" s="1">
        <v>5.8400000000000896</v>
      </c>
      <c r="AO461" s="1">
        <v>5.8400000000000896</v>
      </c>
      <c r="AS461" s="1">
        <v>5.8400000000000896</v>
      </c>
      <c r="AW461" s="1">
        <v>5.8400000000000896</v>
      </c>
      <c r="BA461" s="1">
        <v>5.8400000000000896</v>
      </c>
      <c r="BE461" s="1">
        <v>5.8400000000000896</v>
      </c>
      <c r="BI461" s="1">
        <v>5.8400000000000896</v>
      </c>
      <c r="BM461" s="1">
        <v>5.8400000000000896</v>
      </c>
      <c r="BQ461" s="1">
        <v>5.8400000000000896</v>
      </c>
      <c r="BU461" s="1">
        <v>5.8400000000000896</v>
      </c>
    </row>
    <row r="462" spans="33:73" hidden="1" x14ac:dyDescent="0.25">
      <c r="AG462" s="1">
        <v>5.8300000000000898</v>
      </c>
      <c r="AH462" s="1">
        <f t="shared" si="25"/>
        <v>224.1699999999999</v>
      </c>
      <c r="AI462" s="1">
        <f t="shared" si="26"/>
        <v>224.1699999999999</v>
      </c>
      <c r="AK462" s="1">
        <v>5.8300000000000898</v>
      </c>
      <c r="AO462" s="1">
        <v>5.8300000000000898</v>
      </c>
      <c r="AS462" s="1">
        <v>5.8300000000000898</v>
      </c>
      <c r="AW462" s="1">
        <v>5.8300000000000898</v>
      </c>
      <c r="BA462" s="1">
        <v>5.8300000000000898</v>
      </c>
      <c r="BE462" s="1">
        <v>5.8300000000000898</v>
      </c>
      <c r="BI462" s="1">
        <v>5.8300000000000898</v>
      </c>
      <c r="BM462" s="1">
        <v>5.8300000000000898</v>
      </c>
      <c r="BQ462" s="1">
        <v>5.8300000000000898</v>
      </c>
      <c r="BU462" s="1">
        <v>5.8300000000000898</v>
      </c>
    </row>
    <row r="463" spans="33:73" hidden="1" x14ac:dyDescent="0.25">
      <c r="AG463" s="1">
        <v>5.82000000000009</v>
      </c>
      <c r="AH463" s="1">
        <f t="shared" si="25"/>
        <v>224.17999999999992</v>
      </c>
      <c r="AI463" s="1">
        <f t="shared" si="26"/>
        <v>224.17999999999992</v>
      </c>
      <c r="AK463" s="1">
        <v>5.82000000000009</v>
      </c>
      <c r="AO463" s="1">
        <v>5.82000000000009</v>
      </c>
      <c r="AS463" s="1">
        <v>5.82000000000009</v>
      </c>
      <c r="AW463" s="1">
        <v>5.82000000000009</v>
      </c>
      <c r="BA463" s="1">
        <v>5.82000000000009</v>
      </c>
      <c r="BE463" s="1">
        <v>5.82000000000009</v>
      </c>
      <c r="BI463" s="1">
        <v>5.82000000000009</v>
      </c>
      <c r="BM463" s="1">
        <v>5.82000000000009</v>
      </c>
      <c r="BQ463" s="1">
        <v>5.82000000000009</v>
      </c>
      <c r="BU463" s="1">
        <v>5.82000000000009</v>
      </c>
    </row>
    <row r="464" spans="33:73" hidden="1" x14ac:dyDescent="0.25">
      <c r="AG464" s="1">
        <v>5.8100000000000902</v>
      </c>
      <c r="AH464" s="1">
        <f t="shared" si="25"/>
        <v>224.18999999999991</v>
      </c>
      <c r="AI464" s="1">
        <f t="shared" si="26"/>
        <v>224.18999999999991</v>
      </c>
      <c r="AK464" s="1">
        <v>5.8100000000000902</v>
      </c>
      <c r="AO464" s="1">
        <v>5.8100000000000902</v>
      </c>
      <c r="AS464" s="1">
        <v>5.8100000000000902</v>
      </c>
      <c r="AW464" s="1">
        <v>5.8100000000000902</v>
      </c>
      <c r="BA464" s="1">
        <v>5.8100000000000902</v>
      </c>
      <c r="BE464" s="1">
        <v>5.8100000000000902</v>
      </c>
      <c r="BI464" s="1">
        <v>5.8100000000000902</v>
      </c>
      <c r="BM464" s="1">
        <v>5.8100000000000902</v>
      </c>
      <c r="BQ464" s="1">
        <v>5.8100000000000902</v>
      </c>
      <c r="BU464" s="1">
        <v>5.8100000000000902</v>
      </c>
    </row>
    <row r="465" spans="33:73" hidden="1" x14ac:dyDescent="0.25">
      <c r="AG465" s="1">
        <v>5.8000000000000904</v>
      </c>
      <c r="AH465" s="1">
        <f t="shared" si="25"/>
        <v>224.1999999999999</v>
      </c>
      <c r="AI465" s="1">
        <f t="shared" si="26"/>
        <v>224.1999999999999</v>
      </c>
      <c r="AK465" s="1">
        <v>5.8000000000000904</v>
      </c>
      <c r="AO465" s="1">
        <v>5.8000000000000904</v>
      </c>
      <c r="AS465" s="1">
        <v>5.8000000000000904</v>
      </c>
      <c r="AW465" s="1">
        <v>5.8000000000000904</v>
      </c>
      <c r="BA465" s="1">
        <v>5.8000000000000904</v>
      </c>
      <c r="BE465" s="1">
        <v>5.8000000000000904</v>
      </c>
      <c r="BI465" s="1">
        <v>5.8000000000000904</v>
      </c>
      <c r="BM465" s="1">
        <v>5.8000000000000904</v>
      </c>
      <c r="BQ465" s="1">
        <v>5.8000000000000904</v>
      </c>
      <c r="BU465" s="1">
        <v>5.8000000000000904</v>
      </c>
    </row>
    <row r="466" spans="33:73" hidden="1" x14ac:dyDescent="0.25">
      <c r="AG466" s="1">
        <v>5.7900000000000897</v>
      </c>
      <c r="AH466" s="1">
        <f t="shared" si="25"/>
        <v>224.20999999999992</v>
      </c>
      <c r="AI466" s="1">
        <f t="shared" si="26"/>
        <v>224.20999999999992</v>
      </c>
      <c r="AK466" s="1">
        <v>5.7900000000000897</v>
      </c>
      <c r="AO466" s="1">
        <v>5.7900000000000897</v>
      </c>
      <c r="AS466" s="1">
        <v>5.7900000000000897</v>
      </c>
      <c r="AW466" s="1">
        <v>5.7900000000000897</v>
      </c>
      <c r="BA466" s="1">
        <v>5.7900000000000897</v>
      </c>
      <c r="BE466" s="1">
        <v>5.7900000000000897</v>
      </c>
      <c r="BI466" s="1">
        <v>5.7900000000000897</v>
      </c>
      <c r="BM466" s="1">
        <v>5.7900000000000897</v>
      </c>
      <c r="BQ466" s="1">
        <v>5.7900000000000897</v>
      </c>
      <c r="BU466" s="1">
        <v>5.7900000000000897</v>
      </c>
    </row>
    <row r="467" spans="33:73" hidden="1" x14ac:dyDescent="0.25">
      <c r="AG467" s="1">
        <v>5.78000000000009</v>
      </c>
      <c r="AH467" s="1">
        <f t="shared" si="25"/>
        <v>224.21999999999991</v>
      </c>
      <c r="AI467" s="1">
        <f t="shared" si="26"/>
        <v>224.21999999999991</v>
      </c>
      <c r="AK467" s="1">
        <v>5.78000000000009</v>
      </c>
      <c r="AO467" s="1">
        <v>5.78000000000009</v>
      </c>
      <c r="AS467" s="1">
        <v>5.78000000000009</v>
      </c>
      <c r="AW467" s="1">
        <v>5.78000000000009</v>
      </c>
      <c r="BA467" s="1">
        <v>5.78000000000009</v>
      </c>
      <c r="BE467" s="1">
        <v>5.78000000000009</v>
      </c>
      <c r="BI467" s="1">
        <v>5.78000000000009</v>
      </c>
      <c r="BM467" s="1">
        <v>5.78000000000009</v>
      </c>
      <c r="BQ467" s="1">
        <v>5.78000000000009</v>
      </c>
      <c r="BU467" s="1">
        <v>5.78000000000009</v>
      </c>
    </row>
    <row r="468" spans="33:73" hidden="1" x14ac:dyDescent="0.25">
      <c r="AG468" s="1">
        <v>5.7700000000000902</v>
      </c>
      <c r="AH468" s="1">
        <f t="shared" si="25"/>
        <v>224.2299999999999</v>
      </c>
      <c r="AI468" s="1">
        <f t="shared" si="26"/>
        <v>224.2299999999999</v>
      </c>
      <c r="AK468" s="1">
        <v>5.7700000000000902</v>
      </c>
      <c r="AO468" s="1">
        <v>5.7700000000000902</v>
      </c>
      <c r="AS468" s="1">
        <v>5.7700000000000902</v>
      </c>
      <c r="AW468" s="1">
        <v>5.7700000000000902</v>
      </c>
      <c r="BA468" s="1">
        <v>5.7700000000000902</v>
      </c>
      <c r="BE468" s="1">
        <v>5.7700000000000902</v>
      </c>
      <c r="BI468" s="1">
        <v>5.7700000000000902</v>
      </c>
      <c r="BM468" s="1">
        <v>5.7700000000000902</v>
      </c>
      <c r="BQ468" s="1">
        <v>5.7700000000000902</v>
      </c>
      <c r="BU468" s="1">
        <v>5.7700000000000902</v>
      </c>
    </row>
    <row r="469" spans="33:73" hidden="1" x14ac:dyDescent="0.25">
      <c r="AG469" s="1">
        <v>5.7600000000000904</v>
      </c>
      <c r="AH469" s="1">
        <f t="shared" si="25"/>
        <v>224.2399999999999</v>
      </c>
      <c r="AI469" s="1">
        <f t="shared" si="26"/>
        <v>224.2399999999999</v>
      </c>
      <c r="AK469" s="1">
        <v>5.7600000000000904</v>
      </c>
      <c r="AO469" s="1">
        <v>5.7600000000000904</v>
      </c>
      <c r="AS469" s="1">
        <v>5.7600000000000904</v>
      </c>
      <c r="AW469" s="1">
        <v>5.7600000000000904</v>
      </c>
      <c r="BA469" s="1">
        <v>5.7600000000000904</v>
      </c>
      <c r="BE469" s="1">
        <v>5.7600000000000904</v>
      </c>
      <c r="BI469" s="1">
        <v>5.7600000000000904</v>
      </c>
      <c r="BM469" s="1">
        <v>5.7600000000000904</v>
      </c>
      <c r="BQ469" s="1">
        <v>5.7600000000000904</v>
      </c>
      <c r="BU469" s="1">
        <v>5.7600000000000904</v>
      </c>
    </row>
    <row r="470" spans="33:73" hidden="1" x14ac:dyDescent="0.25">
      <c r="AG470" s="1">
        <v>5.7500000000000897</v>
      </c>
      <c r="AH470" s="1">
        <f t="shared" si="25"/>
        <v>224.24999999999991</v>
      </c>
      <c r="AI470" s="1">
        <f t="shared" si="26"/>
        <v>224.24999999999991</v>
      </c>
      <c r="AK470" s="1">
        <v>5.7500000000000897</v>
      </c>
      <c r="AO470" s="1">
        <v>5.7500000000000897</v>
      </c>
      <c r="AS470" s="1">
        <v>5.7500000000000897</v>
      </c>
      <c r="AW470" s="1">
        <v>5.7500000000000897</v>
      </c>
      <c r="BA470" s="1">
        <v>5.7500000000000897</v>
      </c>
      <c r="BE470" s="1">
        <v>5.7500000000000897</v>
      </c>
      <c r="BI470" s="1">
        <v>5.7500000000000897</v>
      </c>
      <c r="BM470" s="1">
        <v>5.7500000000000897</v>
      </c>
      <c r="BQ470" s="1">
        <v>5.7500000000000897</v>
      </c>
      <c r="BU470" s="1">
        <v>5.7500000000000897</v>
      </c>
    </row>
    <row r="471" spans="33:73" hidden="1" x14ac:dyDescent="0.25">
      <c r="AG471" s="1">
        <v>5.7400000000000899</v>
      </c>
      <c r="AH471" s="1">
        <f t="shared" si="25"/>
        <v>224.25999999999991</v>
      </c>
      <c r="AI471" s="1">
        <f t="shared" si="26"/>
        <v>224.25999999999991</v>
      </c>
      <c r="AK471" s="1">
        <v>5.7400000000000899</v>
      </c>
      <c r="AO471" s="1">
        <v>5.7400000000000899</v>
      </c>
      <c r="AS471" s="1">
        <v>5.7400000000000899</v>
      </c>
      <c r="AW471" s="1">
        <v>5.7400000000000899</v>
      </c>
      <c r="BA471" s="1">
        <v>5.7400000000000899</v>
      </c>
      <c r="BE471" s="1">
        <v>5.7400000000000899</v>
      </c>
      <c r="BI471" s="1">
        <v>5.7400000000000899</v>
      </c>
      <c r="BM471" s="1">
        <v>5.7400000000000899</v>
      </c>
      <c r="BQ471" s="1">
        <v>5.7400000000000899</v>
      </c>
      <c r="BU471" s="1">
        <v>5.7400000000000899</v>
      </c>
    </row>
    <row r="472" spans="33:73" hidden="1" x14ac:dyDescent="0.25">
      <c r="AG472" s="1">
        <v>5.7300000000000901</v>
      </c>
      <c r="AH472" s="1">
        <f t="shared" si="25"/>
        <v>224.2699999999999</v>
      </c>
      <c r="AI472" s="1">
        <f t="shared" si="26"/>
        <v>224.2699999999999</v>
      </c>
      <c r="AK472" s="1">
        <v>5.7300000000000901</v>
      </c>
      <c r="AO472" s="1">
        <v>5.7300000000000901</v>
      </c>
      <c r="AS472" s="1">
        <v>5.7300000000000901</v>
      </c>
      <c r="AW472" s="1">
        <v>5.7300000000000901</v>
      </c>
      <c r="BA472" s="1">
        <v>5.7300000000000901</v>
      </c>
      <c r="BE472" s="1">
        <v>5.7300000000000901</v>
      </c>
      <c r="BI472" s="1">
        <v>5.7300000000000901</v>
      </c>
      <c r="BM472" s="1">
        <v>5.7300000000000901</v>
      </c>
      <c r="BQ472" s="1">
        <v>5.7300000000000901</v>
      </c>
      <c r="BU472" s="1">
        <v>5.7300000000000901</v>
      </c>
    </row>
    <row r="473" spans="33:73" hidden="1" x14ac:dyDescent="0.25">
      <c r="AG473" s="1">
        <v>5.7200000000000903</v>
      </c>
      <c r="AH473" s="1">
        <f t="shared" si="25"/>
        <v>224.27999999999992</v>
      </c>
      <c r="AI473" s="1">
        <f t="shared" si="26"/>
        <v>224.27999999999992</v>
      </c>
      <c r="AK473" s="1">
        <v>5.7200000000000903</v>
      </c>
      <c r="AO473" s="1">
        <v>5.7200000000000903</v>
      </c>
      <c r="AS473" s="1">
        <v>5.7200000000000903</v>
      </c>
      <c r="AW473" s="1">
        <v>5.7200000000000903</v>
      </c>
      <c r="BA473" s="1">
        <v>5.7200000000000903</v>
      </c>
      <c r="BE473" s="1">
        <v>5.7200000000000903</v>
      </c>
      <c r="BI473" s="1">
        <v>5.7200000000000903</v>
      </c>
      <c r="BM473" s="1">
        <v>5.7200000000000903</v>
      </c>
      <c r="BQ473" s="1">
        <v>5.7200000000000903</v>
      </c>
      <c r="BU473" s="1">
        <v>5.7200000000000903</v>
      </c>
    </row>
    <row r="474" spans="33:73" hidden="1" x14ac:dyDescent="0.25">
      <c r="AG474" s="1">
        <v>5.7100000000000897</v>
      </c>
      <c r="AH474" s="1">
        <f t="shared" si="25"/>
        <v>224.28999999999991</v>
      </c>
      <c r="AI474" s="1">
        <f t="shared" si="26"/>
        <v>224.28999999999991</v>
      </c>
      <c r="AK474" s="1">
        <v>5.7100000000000897</v>
      </c>
      <c r="AO474" s="1">
        <v>5.7100000000000897</v>
      </c>
      <c r="AS474" s="1">
        <v>5.7100000000000897</v>
      </c>
      <c r="AW474" s="1">
        <v>5.7100000000000897</v>
      </c>
      <c r="BA474" s="1">
        <v>5.7100000000000897</v>
      </c>
      <c r="BE474" s="1">
        <v>5.7100000000000897</v>
      </c>
      <c r="BI474" s="1">
        <v>5.7100000000000897</v>
      </c>
      <c r="BM474" s="1">
        <v>5.7100000000000897</v>
      </c>
      <c r="BQ474" s="1">
        <v>5.7100000000000897</v>
      </c>
      <c r="BU474" s="1">
        <v>5.7100000000000897</v>
      </c>
    </row>
    <row r="475" spans="33:73" hidden="1" x14ac:dyDescent="0.25">
      <c r="AG475" s="1">
        <v>5.7000000000000899</v>
      </c>
      <c r="AH475" s="1">
        <f t="shared" si="25"/>
        <v>224.2999999999999</v>
      </c>
      <c r="AI475" s="1">
        <f t="shared" si="26"/>
        <v>224.2999999999999</v>
      </c>
      <c r="AK475" s="1">
        <v>5.7000000000000899</v>
      </c>
      <c r="AO475" s="1">
        <v>5.7000000000000899</v>
      </c>
      <c r="AS475" s="1">
        <v>5.7000000000000899</v>
      </c>
      <c r="AW475" s="1">
        <v>5.7000000000000899</v>
      </c>
      <c r="BA475" s="1">
        <v>5.7000000000000899</v>
      </c>
      <c r="BE475" s="1">
        <v>5.7000000000000899</v>
      </c>
      <c r="BI475" s="1">
        <v>5.7000000000000899</v>
      </c>
      <c r="BM475" s="1">
        <v>5.7000000000000899</v>
      </c>
      <c r="BQ475" s="1">
        <v>5.7000000000000899</v>
      </c>
      <c r="BU475" s="1">
        <v>5.7000000000000899</v>
      </c>
    </row>
    <row r="476" spans="33:73" hidden="1" x14ac:dyDescent="0.25">
      <c r="AG476" s="1">
        <v>5.6900000000000901</v>
      </c>
      <c r="AH476" s="1">
        <f t="shared" si="25"/>
        <v>224.30999999999992</v>
      </c>
      <c r="AI476" s="1">
        <f t="shared" si="26"/>
        <v>224.30999999999992</v>
      </c>
      <c r="AK476" s="1">
        <v>5.6900000000000901</v>
      </c>
      <c r="AO476" s="1">
        <v>5.6900000000000901</v>
      </c>
      <c r="AS476" s="1">
        <v>5.6900000000000901</v>
      </c>
      <c r="AW476" s="1">
        <v>5.6900000000000901</v>
      </c>
      <c r="BA476" s="1">
        <v>5.6900000000000901</v>
      </c>
      <c r="BE476" s="1">
        <v>5.6900000000000901</v>
      </c>
      <c r="BI476" s="1">
        <v>5.6900000000000901</v>
      </c>
      <c r="BM476" s="1">
        <v>5.6900000000000901</v>
      </c>
      <c r="BQ476" s="1">
        <v>5.6900000000000901</v>
      </c>
      <c r="BU476" s="1">
        <v>5.6900000000000901</v>
      </c>
    </row>
    <row r="477" spans="33:73" hidden="1" x14ac:dyDescent="0.25">
      <c r="AG477" s="1">
        <v>5.6800000000000903</v>
      </c>
      <c r="AH477" s="1">
        <f t="shared" si="25"/>
        <v>224.31999999999991</v>
      </c>
      <c r="AI477" s="1">
        <f t="shared" si="26"/>
        <v>224.31999999999991</v>
      </c>
      <c r="AK477" s="1">
        <v>5.6800000000000903</v>
      </c>
      <c r="AO477" s="1">
        <v>5.6800000000000903</v>
      </c>
      <c r="AS477" s="1">
        <v>5.6800000000000903</v>
      </c>
      <c r="AW477" s="1">
        <v>5.6800000000000903</v>
      </c>
      <c r="BA477" s="1">
        <v>5.6800000000000903</v>
      </c>
      <c r="BE477" s="1">
        <v>5.6800000000000903</v>
      </c>
      <c r="BI477" s="1">
        <v>5.6800000000000903</v>
      </c>
      <c r="BM477" s="1">
        <v>5.6800000000000903</v>
      </c>
      <c r="BQ477" s="1">
        <v>5.6800000000000903</v>
      </c>
      <c r="BU477" s="1">
        <v>5.6800000000000903</v>
      </c>
    </row>
    <row r="478" spans="33:73" hidden="1" x14ac:dyDescent="0.25">
      <c r="AG478" s="1">
        <v>5.6700000000000896</v>
      </c>
      <c r="AH478" s="1">
        <f t="shared" si="25"/>
        <v>224.3299999999999</v>
      </c>
      <c r="AI478" s="1">
        <f t="shared" si="26"/>
        <v>224.3299999999999</v>
      </c>
      <c r="AK478" s="1">
        <v>5.6700000000000896</v>
      </c>
      <c r="AO478" s="1">
        <v>5.6700000000000896</v>
      </c>
      <c r="AS478" s="1">
        <v>5.6700000000000896</v>
      </c>
      <c r="AW478" s="1">
        <v>5.6700000000000896</v>
      </c>
      <c r="BA478" s="1">
        <v>5.6700000000000896</v>
      </c>
      <c r="BE478" s="1">
        <v>5.6700000000000896</v>
      </c>
      <c r="BI478" s="1">
        <v>5.6700000000000896</v>
      </c>
      <c r="BM478" s="1">
        <v>5.6700000000000896</v>
      </c>
      <c r="BQ478" s="1">
        <v>5.6700000000000896</v>
      </c>
      <c r="BU478" s="1">
        <v>5.6700000000000896</v>
      </c>
    </row>
    <row r="479" spans="33:73" hidden="1" x14ac:dyDescent="0.25">
      <c r="AG479" s="1">
        <v>5.6600000000000898</v>
      </c>
      <c r="AH479" s="1">
        <f t="shared" si="25"/>
        <v>224.33999999999992</v>
      </c>
      <c r="AI479" s="1">
        <f t="shared" si="26"/>
        <v>224.33999999999992</v>
      </c>
      <c r="AK479" s="1">
        <v>5.6600000000000898</v>
      </c>
      <c r="AO479" s="1">
        <v>5.6600000000000898</v>
      </c>
      <c r="AS479" s="1">
        <v>5.6600000000000898</v>
      </c>
      <c r="AW479" s="1">
        <v>5.6600000000000898</v>
      </c>
      <c r="BA479" s="1">
        <v>5.6600000000000898</v>
      </c>
      <c r="BE479" s="1">
        <v>5.6600000000000898</v>
      </c>
      <c r="BI479" s="1">
        <v>5.6600000000000898</v>
      </c>
      <c r="BM479" s="1">
        <v>5.6600000000000898</v>
      </c>
      <c r="BQ479" s="1">
        <v>5.6600000000000898</v>
      </c>
      <c r="BU479" s="1">
        <v>5.6600000000000898</v>
      </c>
    </row>
    <row r="480" spans="33:73" hidden="1" x14ac:dyDescent="0.25">
      <c r="AG480" s="1">
        <v>5.6500000000000901</v>
      </c>
      <c r="AH480" s="1">
        <f t="shared" si="25"/>
        <v>224.34999999999991</v>
      </c>
      <c r="AI480" s="1">
        <f t="shared" si="26"/>
        <v>224.34999999999991</v>
      </c>
      <c r="AK480" s="1">
        <v>5.6500000000000901</v>
      </c>
      <c r="AO480" s="1">
        <v>5.6500000000000901</v>
      </c>
      <c r="AS480" s="1">
        <v>5.6500000000000901</v>
      </c>
      <c r="AW480" s="1">
        <v>5.6500000000000901</v>
      </c>
      <c r="BA480" s="1">
        <v>5.6500000000000901</v>
      </c>
      <c r="BE480" s="1">
        <v>5.6500000000000901</v>
      </c>
      <c r="BI480" s="1">
        <v>5.6500000000000901</v>
      </c>
      <c r="BM480" s="1">
        <v>5.6500000000000901</v>
      </c>
      <c r="BQ480" s="1">
        <v>5.6500000000000901</v>
      </c>
      <c r="BU480" s="1">
        <v>5.6500000000000901</v>
      </c>
    </row>
    <row r="481" spans="33:73" hidden="1" x14ac:dyDescent="0.25">
      <c r="AG481" s="1">
        <v>5.6400000000000903</v>
      </c>
      <c r="AH481" s="1">
        <f t="shared" si="25"/>
        <v>224.3599999999999</v>
      </c>
      <c r="AI481" s="1">
        <f t="shared" si="26"/>
        <v>224.3599999999999</v>
      </c>
      <c r="AK481" s="1">
        <v>5.6400000000000903</v>
      </c>
      <c r="AO481" s="1">
        <v>5.6400000000000903</v>
      </c>
      <c r="AS481" s="1">
        <v>5.6400000000000903</v>
      </c>
      <c r="AW481" s="1">
        <v>5.6400000000000903</v>
      </c>
      <c r="BA481" s="1">
        <v>5.6400000000000903</v>
      </c>
      <c r="BE481" s="1">
        <v>5.6400000000000903</v>
      </c>
      <c r="BI481" s="1">
        <v>5.6400000000000903</v>
      </c>
      <c r="BM481" s="1">
        <v>5.6400000000000903</v>
      </c>
      <c r="BQ481" s="1">
        <v>5.6400000000000903</v>
      </c>
      <c r="BU481" s="1">
        <v>5.6400000000000903</v>
      </c>
    </row>
    <row r="482" spans="33:73" hidden="1" x14ac:dyDescent="0.25">
      <c r="AG482" s="1">
        <v>5.6300000000000896</v>
      </c>
      <c r="AH482" s="1">
        <f t="shared" si="25"/>
        <v>224.36999999999992</v>
      </c>
      <c r="AI482" s="1">
        <f t="shared" si="26"/>
        <v>224.36999999999992</v>
      </c>
      <c r="AK482" s="1">
        <v>5.6300000000000896</v>
      </c>
      <c r="AO482" s="1">
        <v>5.6300000000000896</v>
      </c>
      <c r="AS482" s="1">
        <v>5.6300000000000896</v>
      </c>
      <c r="AW482" s="1">
        <v>5.6300000000000896</v>
      </c>
      <c r="BA482" s="1">
        <v>5.6300000000000896</v>
      </c>
      <c r="BE482" s="1">
        <v>5.6300000000000896</v>
      </c>
      <c r="BI482" s="1">
        <v>5.6300000000000896</v>
      </c>
      <c r="BM482" s="1">
        <v>5.6300000000000896</v>
      </c>
      <c r="BQ482" s="1">
        <v>5.6300000000000896</v>
      </c>
      <c r="BU482" s="1">
        <v>5.6300000000000896</v>
      </c>
    </row>
    <row r="483" spans="33:73" hidden="1" x14ac:dyDescent="0.25">
      <c r="AG483" s="1">
        <v>5.6200000000000898</v>
      </c>
      <c r="AH483" s="1">
        <f t="shared" si="25"/>
        <v>224.37999999999991</v>
      </c>
      <c r="AI483" s="1">
        <f t="shared" si="26"/>
        <v>224.37999999999991</v>
      </c>
      <c r="AK483" s="1">
        <v>5.6200000000000898</v>
      </c>
      <c r="AO483" s="1">
        <v>5.6200000000000898</v>
      </c>
      <c r="AS483" s="1">
        <v>5.6200000000000898</v>
      </c>
      <c r="AW483" s="1">
        <v>5.6200000000000898</v>
      </c>
      <c r="BA483" s="1">
        <v>5.6200000000000898</v>
      </c>
      <c r="BE483" s="1">
        <v>5.6200000000000898</v>
      </c>
      <c r="BI483" s="1">
        <v>5.6200000000000898</v>
      </c>
      <c r="BM483" s="1">
        <v>5.6200000000000898</v>
      </c>
      <c r="BQ483" s="1">
        <v>5.6200000000000898</v>
      </c>
      <c r="BU483" s="1">
        <v>5.6200000000000898</v>
      </c>
    </row>
    <row r="484" spans="33:73" hidden="1" x14ac:dyDescent="0.25">
      <c r="AG484" s="1">
        <v>5.61000000000009</v>
      </c>
      <c r="AH484" s="1">
        <f t="shared" si="25"/>
        <v>224.3899999999999</v>
      </c>
      <c r="AI484" s="1">
        <f t="shared" si="26"/>
        <v>224.3899999999999</v>
      </c>
      <c r="AK484" s="1">
        <v>5.61000000000009</v>
      </c>
      <c r="AO484" s="1">
        <v>5.61000000000009</v>
      </c>
      <c r="AS484" s="1">
        <v>5.61000000000009</v>
      </c>
      <c r="AW484" s="1">
        <v>5.61000000000009</v>
      </c>
      <c r="BA484" s="1">
        <v>5.61000000000009</v>
      </c>
      <c r="BE484" s="1">
        <v>5.61000000000009</v>
      </c>
      <c r="BI484" s="1">
        <v>5.61000000000009</v>
      </c>
      <c r="BM484" s="1">
        <v>5.61000000000009</v>
      </c>
      <c r="BQ484" s="1">
        <v>5.61000000000009</v>
      </c>
      <c r="BU484" s="1">
        <v>5.61000000000009</v>
      </c>
    </row>
    <row r="485" spans="33:73" hidden="1" x14ac:dyDescent="0.25">
      <c r="AG485" s="1">
        <v>5.6000000000000902</v>
      </c>
      <c r="AH485" s="1">
        <f t="shared" si="25"/>
        <v>224.39999999999992</v>
      </c>
      <c r="AI485" s="1">
        <f t="shared" si="26"/>
        <v>224.39999999999992</v>
      </c>
      <c r="AK485" s="1">
        <v>5.6000000000000902</v>
      </c>
      <c r="AO485" s="1">
        <v>5.6000000000000902</v>
      </c>
      <c r="AS485" s="1">
        <v>5.6000000000000902</v>
      </c>
      <c r="AW485" s="1">
        <v>5.6000000000000902</v>
      </c>
      <c r="BA485" s="1">
        <v>5.6000000000000902</v>
      </c>
      <c r="BE485" s="1">
        <v>5.6000000000000902</v>
      </c>
      <c r="BI485" s="1">
        <v>5.6000000000000902</v>
      </c>
      <c r="BM485" s="1">
        <v>5.6000000000000902</v>
      </c>
      <c r="BQ485" s="1">
        <v>5.6000000000000902</v>
      </c>
      <c r="BU485" s="1">
        <v>5.6000000000000902</v>
      </c>
    </row>
    <row r="486" spans="33:73" hidden="1" x14ac:dyDescent="0.25">
      <c r="AG486" s="1">
        <v>5.5900000000000896</v>
      </c>
      <c r="AH486" s="1">
        <f t="shared" si="25"/>
        <v>224.40999999999991</v>
      </c>
      <c r="AI486" s="1">
        <f t="shared" si="26"/>
        <v>224.40999999999991</v>
      </c>
      <c r="AK486" s="1">
        <v>5.5900000000000896</v>
      </c>
      <c r="AO486" s="1">
        <v>5.5900000000000896</v>
      </c>
      <c r="AS486" s="1">
        <v>5.5900000000000896</v>
      </c>
      <c r="AW486" s="1">
        <v>5.5900000000000896</v>
      </c>
      <c r="BA486" s="1">
        <v>5.5900000000000896</v>
      </c>
      <c r="BE486" s="1">
        <v>5.5900000000000896</v>
      </c>
      <c r="BI486" s="1">
        <v>5.5900000000000896</v>
      </c>
      <c r="BM486" s="1">
        <v>5.5900000000000896</v>
      </c>
      <c r="BQ486" s="1">
        <v>5.5900000000000896</v>
      </c>
      <c r="BU486" s="1">
        <v>5.5900000000000896</v>
      </c>
    </row>
    <row r="487" spans="33:73" hidden="1" x14ac:dyDescent="0.25">
      <c r="AG487" s="1">
        <v>5.5800000000000898</v>
      </c>
      <c r="AH487" s="1">
        <f t="shared" si="25"/>
        <v>224.4199999999999</v>
      </c>
      <c r="AI487" s="1">
        <f t="shared" si="26"/>
        <v>224.4199999999999</v>
      </c>
      <c r="AK487" s="1">
        <v>5.5800000000000898</v>
      </c>
      <c r="AO487" s="1">
        <v>5.5800000000000898</v>
      </c>
      <c r="AS487" s="1">
        <v>5.5800000000000898</v>
      </c>
      <c r="AW487" s="1">
        <v>5.5800000000000898</v>
      </c>
      <c r="BA487" s="1">
        <v>5.5800000000000898</v>
      </c>
      <c r="BE487" s="1">
        <v>5.5800000000000898</v>
      </c>
      <c r="BI487" s="1">
        <v>5.5800000000000898</v>
      </c>
      <c r="BM487" s="1">
        <v>5.5800000000000898</v>
      </c>
      <c r="BQ487" s="1">
        <v>5.5800000000000898</v>
      </c>
      <c r="BU487" s="1">
        <v>5.5800000000000898</v>
      </c>
    </row>
    <row r="488" spans="33:73" hidden="1" x14ac:dyDescent="0.25">
      <c r="AG488" s="1">
        <v>5.57000000000009</v>
      </c>
      <c r="AH488" s="1">
        <f t="shared" si="25"/>
        <v>224.42999999999992</v>
      </c>
      <c r="AI488" s="1">
        <f t="shared" si="26"/>
        <v>224.42999999999992</v>
      </c>
      <c r="AK488" s="1">
        <v>5.57000000000009</v>
      </c>
      <c r="AO488" s="1">
        <v>5.57000000000009</v>
      </c>
      <c r="AS488" s="1">
        <v>5.57000000000009</v>
      </c>
      <c r="AW488" s="1">
        <v>5.57000000000009</v>
      </c>
      <c r="BA488" s="1">
        <v>5.57000000000009</v>
      </c>
      <c r="BE488" s="1">
        <v>5.57000000000009</v>
      </c>
      <c r="BI488" s="1">
        <v>5.57000000000009</v>
      </c>
      <c r="BM488" s="1">
        <v>5.57000000000009</v>
      </c>
      <c r="BQ488" s="1">
        <v>5.57000000000009</v>
      </c>
      <c r="BU488" s="1">
        <v>5.57000000000009</v>
      </c>
    </row>
    <row r="489" spans="33:73" hidden="1" x14ac:dyDescent="0.25">
      <c r="AG489" s="1">
        <v>5.5600000000000902</v>
      </c>
      <c r="AH489" s="1">
        <f t="shared" si="25"/>
        <v>224.43999999999991</v>
      </c>
      <c r="AI489" s="1">
        <f t="shared" si="26"/>
        <v>224.43999999999991</v>
      </c>
      <c r="AK489" s="1">
        <v>5.5600000000000902</v>
      </c>
      <c r="AO489" s="1">
        <v>5.5600000000000902</v>
      </c>
      <c r="AS489" s="1">
        <v>5.5600000000000902</v>
      </c>
      <c r="AW489" s="1">
        <v>5.5600000000000902</v>
      </c>
      <c r="BA489" s="1">
        <v>5.5600000000000902</v>
      </c>
      <c r="BE489" s="1">
        <v>5.5600000000000902</v>
      </c>
      <c r="BI489" s="1">
        <v>5.5600000000000902</v>
      </c>
      <c r="BM489" s="1">
        <v>5.5600000000000902</v>
      </c>
      <c r="BQ489" s="1">
        <v>5.5600000000000902</v>
      </c>
      <c r="BU489" s="1">
        <v>5.5600000000000902</v>
      </c>
    </row>
    <row r="490" spans="33:73" hidden="1" x14ac:dyDescent="0.25">
      <c r="AG490" s="1">
        <v>5.5500000000000904</v>
      </c>
      <c r="AH490" s="1">
        <f t="shared" si="25"/>
        <v>224.4499999999999</v>
      </c>
      <c r="AI490" s="1">
        <f t="shared" si="26"/>
        <v>224.4499999999999</v>
      </c>
      <c r="AK490" s="1">
        <v>5.5500000000000904</v>
      </c>
      <c r="AO490" s="1">
        <v>5.5500000000000904</v>
      </c>
      <c r="AS490" s="1">
        <v>5.5500000000000904</v>
      </c>
      <c r="AW490" s="1">
        <v>5.5500000000000904</v>
      </c>
      <c r="BA490" s="1">
        <v>5.5500000000000904</v>
      </c>
      <c r="BE490" s="1">
        <v>5.5500000000000904</v>
      </c>
      <c r="BI490" s="1">
        <v>5.5500000000000904</v>
      </c>
      <c r="BM490" s="1">
        <v>5.5500000000000904</v>
      </c>
      <c r="BQ490" s="1">
        <v>5.5500000000000904</v>
      </c>
      <c r="BU490" s="1">
        <v>5.5500000000000904</v>
      </c>
    </row>
    <row r="491" spans="33:73" hidden="1" x14ac:dyDescent="0.25">
      <c r="AG491" s="1">
        <v>5.5400000000001004</v>
      </c>
      <c r="AH491" s="1">
        <f t="shared" si="25"/>
        <v>224.45999999999989</v>
      </c>
      <c r="AI491" s="1">
        <f t="shared" si="26"/>
        <v>224.45999999999989</v>
      </c>
      <c r="AK491" s="1">
        <v>5.5400000000001004</v>
      </c>
      <c r="AO491" s="1">
        <v>5.5400000000001004</v>
      </c>
      <c r="AS491" s="1">
        <v>5.5400000000001004</v>
      </c>
      <c r="AW491" s="1">
        <v>5.5400000000001004</v>
      </c>
      <c r="BA491" s="1">
        <v>5.5400000000001004</v>
      </c>
      <c r="BE491" s="1">
        <v>5.5400000000001004</v>
      </c>
      <c r="BI491" s="1">
        <v>5.5400000000001004</v>
      </c>
      <c r="BM491" s="1">
        <v>5.5400000000001004</v>
      </c>
      <c r="BQ491" s="1">
        <v>5.5400000000001004</v>
      </c>
      <c r="BU491" s="1">
        <v>5.5400000000001004</v>
      </c>
    </row>
    <row r="492" spans="33:73" hidden="1" x14ac:dyDescent="0.25">
      <c r="AG492" s="1">
        <v>5.5300000000000997</v>
      </c>
      <c r="AH492" s="1">
        <f t="shared" si="25"/>
        <v>224.46999999999991</v>
      </c>
      <c r="AI492" s="1">
        <f t="shared" si="26"/>
        <v>224.46999999999991</v>
      </c>
      <c r="AK492" s="1">
        <v>5.5300000000000997</v>
      </c>
      <c r="AO492" s="1">
        <v>5.5300000000000997</v>
      </c>
      <c r="AS492" s="1">
        <v>5.5300000000000997</v>
      </c>
      <c r="AW492" s="1">
        <v>5.5300000000000997</v>
      </c>
      <c r="BA492" s="1">
        <v>5.5300000000000997</v>
      </c>
      <c r="BE492" s="1">
        <v>5.5300000000000997</v>
      </c>
      <c r="BI492" s="1">
        <v>5.5300000000000997</v>
      </c>
      <c r="BM492" s="1">
        <v>5.5300000000000997</v>
      </c>
      <c r="BQ492" s="1">
        <v>5.5300000000000997</v>
      </c>
      <c r="BU492" s="1">
        <v>5.5300000000000997</v>
      </c>
    </row>
    <row r="493" spans="33:73" hidden="1" x14ac:dyDescent="0.25">
      <c r="AG493" s="1">
        <v>5.5200000000000999</v>
      </c>
      <c r="AH493" s="1">
        <f t="shared" si="25"/>
        <v>224.4799999999999</v>
      </c>
      <c r="AI493" s="1">
        <f t="shared" si="26"/>
        <v>224.4799999999999</v>
      </c>
      <c r="AK493" s="1">
        <v>5.5200000000000999</v>
      </c>
      <c r="AO493" s="1">
        <v>5.5200000000000999</v>
      </c>
      <c r="AS493" s="1">
        <v>5.5200000000000999</v>
      </c>
      <c r="AW493" s="1">
        <v>5.5200000000000999</v>
      </c>
      <c r="BA493" s="1">
        <v>5.5200000000000999</v>
      </c>
      <c r="BE493" s="1">
        <v>5.5200000000000999</v>
      </c>
      <c r="BI493" s="1">
        <v>5.5200000000000999</v>
      </c>
      <c r="BM493" s="1">
        <v>5.5200000000000999</v>
      </c>
      <c r="BQ493" s="1">
        <v>5.5200000000000999</v>
      </c>
      <c r="BU493" s="1">
        <v>5.5200000000000999</v>
      </c>
    </row>
    <row r="494" spans="33:73" hidden="1" x14ac:dyDescent="0.25">
      <c r="AG494" s="1">
        <v>5.5100000000001002</v>
      </c>
      <c r="AH494" s="1">
        <f t="shared" ref="AH494:AH557" si="27">SQRT((AI494+($AI$38*($AM$44*$AJ$44+$AN$44*$AK$44)))^2+($D$3*($AN$44*$AJ$44-$AM$44*$AK$44))^2)</f>
        <v>224.4899999999999</v>
      </c>
      <c r="AI494" s="1">
        <f t="shared" ref="AI494:AI557" si="28">$AI$40-AG494</f>
        <v>224.4899999999999</v>
      </c>
      <c r="AK494" s="1">
        <v>5.5100000000001002</v>
      </c>
      <c r="AO494" s="1">
        <v>5.5100000000001002</v>
      </c>
      <c r="AS494" s="1">
        <v>5.5100000000001002</v>
      </c>
      <c r="AW494" s="1">
        <v>5.5100000000001002</v>
      </c>
      <c r="BA494" s="1">
        <v>5.5100000000001002</v>
      </c>
      <c r="BE494" s="1">
        <v>5.5100000000001002</v>
      </c>
      <c r="BI494" s="1">
        <v>5.5100000000001002</v>
      </c>
      <c r="BM494" s="1">
        <v>5.5100000000001002</v>
      </c>
      <c r="BQ494" s="1">
        <v>5.5100000000001002</v>
      </c>
      <c r="BU494" s="1">
        <v>5.5100000000001002</v>
      </c>
    </row>
    <row r="495" spans="33:73" hidden="1" x14ac:dyDescent="0.25">
      <c r="AG495" s="1">
        <v>5.5000000000001004</v>
      </c>
      <c r="AH495" s="1">
        <f t="shared" si="27"/>
        <v>224.49999999999989</v>
      </c>
      <c r="AI495" s="1">
        <f t="shared" si="28"/>
        <v>224.49999999999989</v>
      </c>
      <c r="AK495" s="1">
        <v>5.5000000000001004</v>
      </c>
      <c r="AO495" s="1">
        <v>5.5000000000001004</v>
      </c>
      <c r="AS495" s="1">
        <v>5.5000000000001004</v>
      </c>
      <c r="AW495" s="1">
        <v>5.5000000000001004</v>
      </c>
      <c r="BA495" s="1">
        <v>5.5000000000001004</v>
      </c>
      <c r="BE495" s="1">
        <v>5.5000000000001004</v>
      </c>
      <c r="BI495" s="1">
        <v>5.5000000000001004</v>
      </c>
      <c r="BM495" s="1">
        <v>5.5000000000001004</v>
      </c>
      <c r="BQ495" s="1">
        <v>5.5000000000001004</v>
      </c>
      <c r="BU495" s="1">
        <v>5.5000000000001004</v>
      </c>
    </row>
    <row r="496" spans="33:73" hidden="1" x14ac:dyDescent="0.25">
      <c r="AG496" s="1">
        <v>5.4900000000000997</v>
      </c>
      <c r="AH496" s="1">
        <f t="shared" si="27"/>
        <v>224.50999999999991</v>
      </c>
      <c r="AI496" s="1">
        <f t="shared" si="28"/>
        <v>224.50999999999991</v>
      </c>
      <c r="AK496" s="1">
        <v>5.4900000000000997</v>
      </c>
      <c r="AO496" s="1">
        <v>5.4900000000000997</v>
      </c>
      <c r="AS496" s="1">
        <v>5.4900000000000997</v>
      </c>
      <c r="AW496" s="1">
        <v>5.4900000000000997</v>
      </c>
      <c r="BA496" s="1">
        <v>5.4900000000000997</v>
      </c>
      <c r="BE496" s="1">
        <v>5.4900000000000997</v>
      </c>
      <c r="BI496" s="1">
        <v>5.4900000000000997</v>
      </c>
      <c r="BM496" s="1">
        <v>5.4900000000000997</v>
      </c>
      <c r="BQ496" s="1">
        <v>5.4900000000000997</v>
      </c>
      <c r="BU496" s="1">
        <v>5.4900000000000997</v>
      </c>
    </row>
    <row r="497" spans="33:73" hidden="1" x14ac:dyDescent="0.25">
      <c r="AG497" s="1">
        <v>5.4800000000000999</v>
      </c>
      <c r="AH497" s="1">
        <f t="shared" si="27"/>
        <v>224.5199999999999</v>
      </c>
      <c r="AI497" s="1">
        <f t="shared" si="28"/>
        <v>224.5199999999999</v>
      </c>
      <c r="AK497" s="1">
        <v>5.4800000000000999</v>
      </c>
      <c r="AO497" s="1">
        <v>5.4800000000000999</v>
      </c>
      <c r="AS497" s="1">
        <v>5.4800000000000999</v>
      </c>
      <c r="AW497" s="1">
        <v>5.4800000000000999</v>
      </c>
      <c r="BA497" s="1">
        <v>5.4800000000000999</v>
      </c>
      <c r="BE497" s="1">
        <v>5.4800000000000999</v>
      </c>
      <c r="BI497" s="1">
        <v>5.4800000000000999</v>
      </c>
      <c r="BM497" s="1">
        <v>5.4800000000000999</v>
      </c>
      <c r="BQ497" s="1">
        <v>5.4800000000000999</v>
      </c>
      <c r="BU497" s="1">
        <v>5.4800000000000999</v>
      </c>
    </row>
    <row r="498" spans="33:73" hidden="1" x14ac:dyDescent="0.25">
      <c r="AG498" s="1">
        <v>5.4700000000001001</v>
      </c>
      <c r="AH498" s="1">
        <f t="shared" si="27"/>
        <v>224.52999999999989</v>
      </c>
      <c r="AI498" s="1">
        <f t="shared" si="28"/>
        <v>224.52999999999989</v>
      </c>
      <c r="AK498" s="1">
        <v>5.4700000000001001</v>
      </c>
      <c r="AO498" s="1">
        <v>5.4700000000001001</v>
      </c>
      <c r="AS498" s="1">
        <v>5.4700000000001001</v>
      </c>
      <c r="AW498" s="1">
        <v>5.4700000000001001</v>
      </c>
      <c r="BA498" s="1">
        <v>5.4700000000001001</v>
      </c>
      <c r="BE498" s="1">
        <v>5.4700000000001001</v>
      </c>
      <c r="BI498" s="1">
        <v>5.4700000000001001</v>
      </c>
      <c r="BM498" s="1">
        <v>5.4700000000001001</v>
      </c>
      <c r="BQ498" s="1">
        <v>5.4700000000001001</v>
      </c>
      <c r="BU498" s="1">
        <v>5.4700000000001001</v>
      </c>
    </row>
    <row r="499" spans="33:73" hidden="1" x14ac:dyDescent="0.25">
      <c r="AG499" s="1">
        <v>5.4600000000001003</v>
      </c>
      <c r="AH499" s="1">
        <f t="shared" si="27"/>
        <v>224.53999999999991</v>
      </c>
      <c r="AI499" s="1">
        <f t="shared" si="28"/>
        <v>224.53999999999991</v>
      </c>
      <c r="AK499" s="1">
        <v>5.4600000000001003</v>
      </c>
      <c r="AO499" s="1">
        <v>5.4600000000001003</v>
      </c>
      <c r="AS499" s="1">
        <v>5.4600000000001003</v>
      </c>
      <c r="AW499" s="1">
        <v>5.4600000000001003</v>
      </c>
      <c r="BA499" s="1">
        <v>5.4600000000001003</v>
      </c>
      <c r="BE499" s="1">
        <v>5.4600000000001003</v>
      </c>
      <c r="BI499" s="1">
        <v>5.4600000000001003</v>
      </c>
      <c r="BM499" s="1">
        <v>5.4600000000001003</v>
      </c>
      <c r="BQ499" s="1">
        <v>5.4600000000001003</v>
      </c>
      <c r="BU499" s="1">
        <v>5.4600000000001003</v>
      </c>
    </row>
    <row r="500" spans="33:73" hidden="1" x14ac:dyDescent="0.25">
      <c r="AG500" s="1">
        <v>5.4500000000000997</v>
      </c>
      <c r="AH500" s="1">
        <f t="shared" si="27"/>
        <v>224.5499999999999</v>
      </c>
      <c r="AI500" s="1">
        <f t="shared" si="28"/>
        <v>224.5499999999999</v>
      </c>
      <c r="AK500" s="1">
        <v>5.4500000000000997</v>
      </c>
      <c r="AO500" s="1">
        <v>5.4500000000000997</v>
      </c>
      <c r="AS500" s="1">
        <v>5.4500000000000997</v>
      </c>
      <c r="AW500" s="1">
        <v>5.4500000000000997</v>
      </c>
      <c r="BA500" s="1">
        <v>5.4500000000000997</v>
      </c>
      <c r="BE500" s="1">
        <v>5.4500000000000997</v>
      </c>
      <c r="BI500" s="1">
        <v>5.4500000000000997</v>
      </c>
      <c r="BM500" s="1">
        <v>5.4500000000000997</v>
      </c>
      <c r="BQ500" s="1">
        <v>5.4500000000000997</v>
      </c>
      <c r="BU500" s="1">
        <v>5.4500000000000997</v>
      </c>
    </row>
    <row r="501" spans="33:73" hidden="1" x14ac:dyDescent="0.25">
      <c r="AG501" s="1">
        <v>5.4400000000000999</v>
      </c>
      <c r="AH501" s="1">
        <f t="shared" si="27"/>
        <v>224.55999999999989</v>
      </c>
      <c r="AI501" s="1">
        <f t="shared" si="28"/>
        <v>224.55999999999989</v>
      </c>
      <c r="AK501" s="1">
        <v>5.4400000000000999</v>
      </c>
      <c r="AO501" s="1">
        <v>5.4400000000000999</v>
      </c>
      <c r="AS501" s="1">
        <v>5.4400000000000999</v>
      </c>
      <c r="AW501" s="1">
        <v>5.4400000000000999</v>
      </c>
      <c r="BA501" s="1">
        <v>5.4400000000000999</v>
      </c>
      <c r="BE501" s="1">
        <v>5.4400000000000999</v>
      </c>
      <c r="BI501" s="1">
        <v>5.4400000000000999</v>
      </c>
      <c r="BM501" s="1">
        <v>5.4400000000000999</v>
      </c>
      <c r="BQ501" s="1">
        <v>5.4400000000000999</v>
      </c>
      <c r="BU501" s="1">
        <v>5.4400000000000999</v>
      </c>
    </row>
    <row r="502" spans="33:73" hidden="1" x14ac:dyDescent="0.25">
      <c r="AG502" s="1">
        <v>5.4300000000001001</v>
      </c>
      <c r="AH502" s="1">
        <f t="shared" si="27"/>
        <v>224.56999999999991</v>
      </c>
      <c r="AI502" s="1">
        <f t="shared" si="28"/>
        <v>224.56999999999991</v>
      </c>
      <c r="AK502" s="1">
        <v>5.4300000000001001</v>
      </c>
      <c r="AO502" s="1">
        <v>5.4300000000001001</v>
      </c>
      <c r="AS502" s="1">
        <v>5.4300000000001001</v>
      </c>
      <c r="AW502" s="1">
        <v>5.4300000000001001</v>
      </c>
      <c r="BA502" s="1">
        <v>5.4300000000001001</v>
      </c>
      <c r="BE502" s="1">
        <v>5.4300000000001001</v>
      </c>
      <c r="BI502" s="1">
        <v>5.4300000000001001</v>
      </c>
      <c r="BM502" s="1">
        <v>5.4300000000001001</v>
      </c>
      <c r="BQ502" s="1">
        <v>5.4300000000001001</v>
      </c>
      <c r="BU502" s="1">
        <v>5.4300000000001001</v>
      </c>
    </row>
    <row r="503" spans="33:73" hidden="1" x14ac:dyDescent="0.25">
      <c r="AG503" s="1">
        <v>5.4200000000001003</v>
      </c>
      <c r="AH503" s="1">
        <f t="shared" si="27"/>
        <v>224.5799999999999</v>
      </c>
      <c r="AI503" s="1">
        <f t="shared" si="28"/>
        <v>224.5799999999999</v>
      </c>
      <c r="AK503" s="1">
        <v>5.4200000000001003</v>
      </c>
      <c r="AO503" s="1">
        <v>5.4200000000001003</v>
      </c>
      <c r="AS503" s="1">
        <v>5.4200000000001003</v>
      </c>
      <c r="AW503" s="1">
        <v>5.4200000000001003</v>
      </c>
      <c r="BA503" s="1">
        <v>5.4200000000001003</v>
      </c>
      <c r="BE503" s="1">
        <v>5.4200000000001003</v>
      </c>
      <c r="BI503" s="1">
        <v>5.4200000000001003</v>
      </c>
      <c r="BM503" s="1">
        <v>5.4200000000001003</v>
      </c>
      <c r="BQ503" s="1">
        <v>5.4200000000001003</v>
      </c>
      <c r="BU503" s="1">
        <v>5.4200000000001003</v>
      </c>
    </row>
    <row r="504" spans="33:73" hidden="1" x14ac:dyDescent="0.25">
      <c r="AG504" s="1">
        <v>5.4100000000000996</v>
      </c>
      <c r="AH504" s="1">
        <f t="shared" si="27"/>
        <v>224.58999999999989</v>
      </c>
      <c r="AI504" s="1">
        <f t="shared" si="28"/>
        <v>224.58999999999989</v>
      </c>
      <c r="AK504" s="1">
        <v>5.4100000000000996</v>
      </c>
      <c r="AO504" s="1">
        <v>5.4100000000000996</v>
      </c>
      <c r="AS504" s="1">
        <v>5.4100000000000996</v>
      </c>
      <c r="AW504" s="1">
        <v>5.4100000000000996</v>
      </c>
      <c r="BA504" s="1">
        <v>5.4100000000000996</v>
      </c>
      <c r="BE504" s="1">
        <v>5.4100000000000996</v>
      </c>
      <c r="BI504" s="1">
        <v>5.4100000000000996</v>
      </c>
      <c r="BM504" s="1">
        <v>5.4100000000000996</v>
      </c>
      <c r="BQ504" s="1">
        <v>5.4100000000000996</v>
      </c>
      <c r="BU504" s="1">
        <v>5.4100000000000996</v>
      </c>
    </row>
    <row r="505" spans="33:73" hidden="1" x14ac:dyDescent="0.25">
      <c r="AG505" s="1">
        <v>5.4000000000000998</v>
      </c>
      <c r="AH505" s="1">
        <f t="shared" si="27"/>
        <v>224.59999999999991</v>
      </c>
      <c r="AI505" s="1">
        <f t="shared" si="28"/>
        <v>224.59999999999991</v>
      </c>
      <c r="AK505" s="1">
        <v>5.4000000000000998</v>
      </c>
      <c r="AO505" s="1">
        <v>5.4000000000000998</v>
      </c>
      <c r="AS505" s="1">
        <v>5.4000000000000998</v>
      </c>
      <c r="AW505" s="1">
        <v>5.4000000000000998</v>
      </c>
      <c r="BA505" s="1">
        <v>5.4000000000000998</v>
      </c>
      <c r="BE505" s="1">
        <v>5.4000000000000998</v>
      </c>
      <c r="BI505" s="1">
        <v>5.4000000000000998</v>
      </c>
      <c r="BM505" s="1">
        <v>5.4000000000000998</v>
      </c>
      <c r="BQ505" s="1">
        <v>5.4000000000000998</v>
      </c>
      <c r="BU505" s="1">
        <v>5.4000000000000998</v>
      </c>
    </row>
    <row r="506" spans="33:73" hidden="1" x14ac:dyDescent="0.25">
      <c r="AG506" s="1">
        <v>5.3900000000001</v>
      </c>
      <c r="AH506" s="1">
        <f t="shared" si="27"/>
        <v>224.6099999999999</v>
      </c>
      <c r="AI506" s="1">
        <f t="shared" si="28"/>
        <v>224.6099999999999</v>
      </c>
      <c r="AK506" s="1">
        <v>5.3900000000001</v>
      </c>
      <c r="AO506" s="1">
        <v>5.3900000000001</v>
      </c>
      <c r="AS506" s="1">
        <v>5.3900000000001</v>
      </c>
      <c r="AW506" s="1">
        <v>5.3900000000001</v>
      </c>
      <c r="BA506" s="1">
        <v>5.3900000000001</v>
      </c>
      <c r="BE506" s="1">
        <v>5.3900000000001</v>
      </c>
      <c r="BI506" s="1">
        <v>5.3900000000001</v>
      </c>
      <c r="BM506" s="1">
        <v>5.3900000000001</v>
      </c>
      <c r="BQ506" s="1">
        <v>5.3900000000001</v>
      </c>
      <c r="BU506" s="1">
        <v>5.3900000000001</v>
      </c>
    </row>
    <row r="507" spans="33:73" hidden="1" x14ac:dyDescent="0.25">
      <c r="AG507" s="1">
        <v>5.3800000000001003</v>
      </c>
      <c r="AH507" s="1">
        <f t="shared" si="27"/>
        <v>224.61999999999989</v>
      </c>
      <c r="AI507" s="1">
        <f t="shared" si="28"/>
        <v>224.61999999999989</v>
      </c>
      <c r="AK507" s="1">
        <v>5.3800000000001003</v>
      </c>
      <c r="AO507" s="1">
        <v>5.3800000000001003</v>
      </c>
      <c r="AS507" s="1">
        <v>5.3800000000001003</v>
      </c>
      <c r="AW507" s="1">
        <v>5.3800000000001003</v>
      </c>
      <c r="BA507" s="1">
        <v>5.3800000000001003</v>
      </c>
      <c r="BE507" s="1">
        <v>5.3800000000001003</v>
      </c>
      <c r="BI507" s="1">
        <v>5.3800000000001003</v>
      </c>
      <c r="BM507" s="1">
        <v>5.3800000000001003</v>
      </c>
      <c r="BQ507" s="1">
        <v>5.3800000000001003</v>
      </c>
      <c r="BU507" s="1">
        <v>5.3800000000001003</v>
      </c>
    </row>
    <row r="508" spans="33:73" hidden="1" x14ac:dyDescent="0.25">
      <c r="AG508" s="1">
        <v>5.3700000000000996</v>
      </c>
      <c r="AH508" s="1">
        <f t="shared" si="27"/>
        <v>224.62999999999991</v>
      </c>
      <c r="AI508" s="1">
        <f t="shared" si="28"/>
        <v>224.62999999999991</v>
      </c>
      <c r="AK508" s="1">
        <v>5.3700000000000996</v>
      </c>
      <c r="AO508" s="1">
        <v>5.3700000000000996</v>
      </c>
      <c r="AS508" s="1">
        <v>5.3700000000000996</v>
      </c>
      <c r="AW508" s="1">
        <v>5.3700000000000996</v>
      </c>
      <c r="BA508" s="1">
        <v>5.3700000000000996</v>
      </c>
      <c r="BE508" s="1">
        <v>5.3700000000000996</v>
      </c>
      <c r="BI508" s="1">
        <v>5.3700000000000996</v>
      </c>
      <c r="BM508" s="1">
        <v>5.3700000000000996</v>
      </c>
      <c r="BQ508" s="1">
        <v>5.3700000000000996</v>
      </c>
      <c r="BU508" s="1">
        <v>5.3700000000000996</v>
      </c>
    </row>
    <row r="509" spans="33:73" hidden="1" x14ac:dyDescent="0.25">
      <c r="AG509" s="1">
        <v>5.3600000000000998</v>
      </c>
      <c r="AH509" s="1">
        <f t="shared" si="27"/>
        <v>224.6399999999999</v>
      </c>
      <c r="AI509" s="1">
        <f t="shared" si="28"/>
        <v>224.6399999999999</v>
      </c>
      <c r="AK509" s="1">
        <v>5.3600000000000998</v>
      </c>
      <c r="AO509" s="1">
        <v>5.3600000000000998</v>
      </c>
      <c r="AS509" s="1">
        <v>5.3600000000000998</v>
      </c>
      <c r="AW509" s="1">
        <v>5.3600000000000998</v>
      </c>
      <c r="BA509" s="1">
        <v>5.3600000000000998</v>
      </c>
      <c r="BE509" s="1">
        <v>5.3600000000000998</v>
      </c>
      <c r="BI509" s="1">
        <v>5.3600000000000998</v>
      </c>
      <c r="BM509" s="1">
        <v>5.3600000000000998</v>
      </c>
      <c r="BQ509" s="1">
        <v>5.3600000000000998</v>
      </c>
      <c r="BU509" s="1">
        <v>5.3600000000000998</v>
      </c>
    </row>
    <row r="510" spans="33:73" hidden="1" x14ac:dyDescent="0.25">
      <c r="AG510" s="1">
        <v>5.3500000000001</v>
      </c>
      <c r="AH510" s="1">
        <f t="shared" si="27"/>
        <v>224.64999999999989</v>
      </c>
      <c r="AI510" s="1">
        <f t="shared" si="28"/>
        <v>224.64999999999989</v>
      </c>
      <c r="AK510" s="1">
        <v>5.3500000000001</v>
      </c>
      <c r="AO510" s="1">
        <v>5.3500000000001</v>
      </c>
      <c r="AS510" s="1">
        <v>5.3500000000001</v>
      </c>
      <c r="AW510" s="1">
        <v>5.3500000000001</v>
      </c>
      <c r="BA510" s="1">
        <v>5.3500000000001</v>
      </c>
      <c r="BE510" s="1">
        <v>5.3500000000001</v>
      </c>
      <c r="BI510" s="1">
        <v>5.3500000000001</v>
      </c>
      <c r="BM510" s="1">
        <v>5.3500000000001</v>
      </c>
      <c r="BQ510" s="1">
        <v>5.3500000000001</v>
      </c>
      <c r="BU510" s="1">
        <v>5.3500000000001</v>
      </c>
    </row>
    <row r="511" spans="33:73" hidden="1" x14ac:dyDescent="0.25">
      <c r="AG511" s="1">
        <v>5.3400000000001002</v>
      </c>
      <c r="AH511" s="1">
        <f t="shared" si="27"/>
        <v>224.65999999999991</v>
      </c>
      <c r="AI511" s="1">
        <f t="shared" si="28"/>
        <v>224.65999999999991</v>
      </c>
      <c r="AK511" s="1">
        <v>5.3400000000001002</v>
      </c>
      <c r="AO511" s="1">
        <v>5.3400000000001002</v>
      </c>
      <c r="AS511" s="1">
        <v>5.3400000000001002</v>
      </c>
      <c r="AW511" s="1">
        <v>5.3400000000001002</v>
      </c>
      <c r="BA511" s="1">
        <v>5.3400000000001002</v>
      </c>
      <c r="BE511" s="1">
        <v>5.3400000000001002</v>
      </c>
      <c r="BI511" s="1">
        <v>5.3400000000001002</v>
      </c>
      <c r="BM511" s="1">
        <v>5.3400000000001002</v>
      </c>
      <c r="BQ511" s="1">
        <v>5.3400000000001002</v>
      </c>
      <c r="BU511" s="1">
        <v>5.3400000000001002</v>
      </c>
    </row>
    <row r="512" spans="33:73" hidden="1" x14ac:dyDescent="0.25">
      <c r="AG512" s="1">
        <v>5.3300000000001004</v>
      </c>
      <c r="AH512" s="1">
        <f t="shared" si="27"/>
        <v>224.6699999999999</v>
      </c>
      <c r="AI512" s="1">
        <f t="shared" si="28"/>
        <v>224.6699999999999</v>
      </c>
      <c r="AK512" s="1">
        <v>5.3300000000001004</v>
      </c>
      <c r="AO512" s="1">
        <v>5.3300000000001004</v>
      </c>
      <c r="AS512" s="1">
        <v>5.3300000000001004</v>
      </c>
      <c r="AW512" s="1">
        <v>5.3300000000001004</v>
      </c>
      <c r="BA512" s="1">
        <v>5.3300000000001004</v>
      </c>
      <c r="BE512" s="1">
        <v>5.3300000000001004</v>
      </c>
      <c r="BI512" s="1">
        <v>5.3300000000001004</v>
      </c>
      <c r="BM512" s="1">
        <v>5.3300000000001004</v>
      </c>
      <c r="BQ512" s="1">
        <v>5.3300000000001004</v>
      </c>
      <c r="BU512" s="1">
        <v>5.3300000000001004</v>
      </c>
    </row>
    <row r="513" spans="33:73" hidden="1" x14ac:dyDescent="0.25">
      <c r="AG513" s="1">
        <v>5.3200000000000998</v>
      </c>
      <c r="AH513" s="1">
        <f t="shared" si="27"/>
        <v>224.67999999999989</v>
      </c>
      <c r="AI513" s="1">
        <f t="shared" si="28"/>
        <v>224.67999999999989</v>
      </c>
      <c r="AK513" s="1">
        <v>5.3200000000000998</v>
      </c>
      <c r="AO513" s="1">
        <v>5.3200000000000998</v>
      </c>
      <c r="AS513" s="1">
        <v>5.3200000000000998</v>
      </c>
      <c r="AW513" s="1">
        <v>5.3200000000000998</v>
      </c>
      <c r="BA513" s="1">
        <v>5.3200000000000998</v>
      </c>
      <c r="BE513" s="1">
        <v>5.3200000000000998</v>
      </c>
      <c r="BI513" s="1">
        <v>5.3200000000000998</v>
      </c>
      <c r="BM513" s="1">
        <v>5.3200000000000998</v>
      </c>
      <c r="BQ513" s="1">
        <v>5.3200000000000998</v>
      </c>
      <c r="BU513" s="1">
        <v>5.3200000000000998</v>
      </c>
    </row>
    <row r="514" spans="33:73" hidden="1" x14ac:dyDescent="0.25">
      <c r="AG514" s="1">
        <v>5.3100000000001</v>
      </c>
      <c r="AH514" s="1">
        <f t="shared" si="27"/>
        <v>224.68999999999991</v>
      </c>
      <c r="AI514" s="1">
        <f t="shared" si="28"/>
        <v>224.68999999999991</v>
      </c>
      <c r="AK514" s="1">
        <v>5.3100000000001</v>
      </c>
      <c r="AO514" s="1">
        <v>5.3100000000001</v>
      </c>
      <c r="AS514" s="1">
        <v>5.3100000000001</v>
      </c>
      <c r="AW514" s="1">
        <v>5.3100000000001</v>
      </c>
      <c r="BA514" s="1">
        <v>5.3100000000001</v>
      </c>
      <c r="BE514" s="1">
        <v>5.3100000000001</v>
      </c>
      <c r="BI514" s="1">
        <v>5.3100000000001</v>
      </c>
      <c r="BM514" s="1">
        <v>5.3100000000001</v>
      </c>
      <c r="BQ514" s="1">
        <v>5.3100000000001</v>
      </c>
      <c r="BU514" s="1">
        <v>5.3100000000001</v>
      </c>
    </row>
    <row r="515" spans="33:73" hidden="1" x14ac:dyDescent="0.25">
      <c r="AG515" s="1">
        <v>5.3000000000001002</v>
      </c>
      <c r="AH515" s="1">
        <f t="shared" si="27"/>
        <v>224.6999999999999</v>
      </c>
      <c r="AI515" s="1">
        <f t="shared" si="28"/>
        <v>224.6999999999999</v>
      </c>
      <c r="AK515" s="1">
        <v>5.3000000000001002</v>
      </c>
      <c r="AO515" s="1">
        <v>5.3000000000001002</v>
      </c>
      <c r="AS515" s="1">
        <v>5.3000000000001002</v>
      </c>
      <c r="AW515" s="1">
        <v>5.3000000000001002</v>
      </c>
      <c r="BA515" s="1">
        <v>5.3000000000001002</v>
      </c>
      <c r="BE515" s="1">
        <v>5.3000000000001002</v>
      </c>
      <c r="BI515" s="1">
        <v>5.3000000000001002</v>
      </c>
      <c r="BM515" s="1">
        <v>5.3000000000001002</v>
      </c>
      <c r="BQ515" s="1">
        <v>5.3000000000001002</v>
      </c>
      <c r="BU515" s="1">
        <v>5.3000000000001002</v>
      </c>
    </row>
    <row r="516" spans="33:73" hidden="1" x14ac:dyDescent="0.25">
      <c r="AG516" s="1">
        <v>5.2900000000001004</v>
      </c>
      <c r="AH516" s="1">
        <f t="shared" si="27"/>
        <v>224.70999999999989</v>
      </c>
      <c r="AI516" s="1">
        <f t="shared" si="28"/>
        <v>224.70999999999989</v>
      </c>
      <c r="AK516" s="1">
        <v>5.2900000000001004</v>
      </c>
      <c r="AO516" s="1">
        <v>5.2900000000001004</v>
      </c>
      <c r="AS516" s="1">
        <v>5.2900000000001004</v>
      </c>
      <c r="AW516" s="1">
        <v>5.2900000000001004</v>
      </c>
      <c r="BA516" s="1">
        <v>5.2900000000001004</v>
      </c>
      <c r="BE516" s="1">
        <v>5.2900000000001004</v>
      </c>
      <c r="BI516" s="1">
        <v>5.2900000000001004</v>
      </c>
      <c r="BM516" s="1">
        <v>5.2900000000001004</v>
      </c>
      <c r="BQ516" s="1">
        <v>5.2900000000001004</v>
      </c>
      <c r="BU516" s="1">
        <v>5.2900000000001004</v>
      </c>
    </row>
    <row r="517" spans="33:73" hidden="1" x14ac:dyDescent="0.25">
      <c r="AG517" s="1">
        <v>5.2800000000000997</v>
      </c>
      <c r="AH517" s="1">
        <f t="shared" si="27"/>
        <v>224.71999999999991</v>
      </c>
      <c r="AI517" s="1">
        <f t="shared" si="28"/>
        <v>224.71999999999991</v>
      </c>
      <c r="AK517" s="1">
        <v>5.2800000000000997</v>
      </c>
      <c r="AO517" s="1">
        <v>5.2800000000000997</v>
      </c>
      <c r="AS517" s="1">
        <v>5.2800000000000997</v>
      </c>
      <c r="AW517" s="1">
        <v>5.2800000000000997</v>
      </c>
      <c r="BA517" s="1">
        <v>5.2800000000000997</v>
      </c>
      <c r="BE517" s="1">
        <v>5.2800000000000997</v>
      </c>
      <c r="BI517" s="1">
        <v>5.2800000000000997</v>
      </c>
      <c r="BM517" s="1">
        <v>5.2800000000000997</v>
      </c>
      <c r="BQ517" s="1">
        <v>5.2800000000000997</v>
      </c>
      <c r="BU517" s="1">
        <v>5.2800000000000997</v>
      </c>
    </row>
    <row r="518" spans="33:73" hidden="1" x14ac:dyDescent="0.25">
      <c r="AG518" s="1">
        <v>5.2700000000000999</v>
      </c>
      <c r="AH518" s="1">
        <f t="shared" si="27"/>
        <v>224.7299999999999</v>
      </c>
      <c r="AI518" s="1">
        <f t="shared" si="28"/>
        <v>224.7299999999999</v>
      </c>
      <c r="AK518" s="1">
        <v>5.2700000000000999</v>
      </c>
      <c r="AO518" s="1">
        <v>5.2700000000000999</v>
      </c>
      <c r="AS518" s="1">
        <v>5.2700000000000999</v>
      </c>
      <c r="AW518" s="1">
        <v>5.2700000000000999</v>
      </c>
      <c r="BA518" s="1">
        <v>5.2700000000000999</v>
      </c>
      <c r="BE518" s="1">
        <v>5.2700000000000999</v>
      </c>
      <c r="BI518" s="1">
        <v>5.2700000000000999</v>
      </c>
      <c r="BM518" s="1">
        <v>5.2700000000000999</v>
      </c>
      <c r="BQ518" s="1">
        <v>5.2700000000000999</v>
      </c>
      <c r="BU518" s="1">
        <v>5.2700000000000999</v>
      </c>
    </row>
    <row r="519" spans="33:73" hidden="1" x14ac:dyDescent="0.25">
      <c r="AG519" s="1">
        <v>5.2600000000001002</v>
      </c>
      <c r="AH519" s="1">
        <f t="shared" si="27"/>
        <v>224.7399999999999</v>
      </c>
      <c r="AI519" s="1">
        <f t="shared" si="28"/>
        <v>224.7399999999999</v>
      </c>
      <c r="AK519" s="1">
        <v>5.2600000000001002</v>
      </c>
      <c r="AO519" s="1">
        <v>5.2600000000001002</v>
      </c>
      <c r="AS519" s="1">
        <v>5.2600000000001002</v>
      </c>
      <c r="AW519" s="1">
        <v>5.2600000000001002</v>
      </c>
      <c r="BA519" s="1">
        <v>5.2600000000001002</v>
      </c>
      <c r="BE519" s="1">
        <v>5.2600000000001002</v>
      </c>
      <c r="BI519" s="1">
        <v>5.2600000000001002</v>
      </c>
      <c r="BM519" s="1">
        <v>5.2600000000001002</v>
      </c>
      <c r="BQ519" s="1">
        <v>5.2600000000001002</v>
      </c>
      <c r="BU519" s="1">
        <v>5.2600000000001002</v>
      </c>
    </row>
    <row r="520" spans="33:73" hidden="1" x14ac:dyDescent="0.25">
      <c r="AG520" s="1">
        <v>5.2500000000001004</v>
      </c>
      <c r="AH520" s="1">
        <f t="shared" si="27"/>
        <v>224.74999999999989</v>
      </c>
      <c r="AI520" s="1">
        <f t="shared" si="28"/>
        <v>224.74999999999989</v>
      </c>
      <c r="AK520" s="1">
        <v>5.2500000000001004</v>
      </c>
      <c r="AO520" s="1">
        <v>5.2500000000001004</v>
      </c>
      <c r="AS520" s="1">
        <v>5.2500000000001004</v>
      </c>
      <c r="AW520" s="1">
        <v>5.2500000000001004</v>
      </c>
      <c r="BA520" s="1">
        <v>5.2500000000001004</v>
      </c>
      <c r="BE520" s="1">
        <v>5.2500000000001004</v>
      </c>
      <c r="BI520" s="1">
        <v>5.2500000000001004</v>
      </c>
      <c r="BM520" s="1">
        <v>5.2500000000001004</v>
      </c>
      <c r="BQ520" s="1">
        <v>5.2500000000001004</v>
      </c>
      <c r="BU520" s="1">
        <v>5.2500000000001004</v>
      </c>
    </row>
    <row r="521" spans="33:73" hidden="1" x14ac:dyDescent="0.25">
      <c r="AG521" s="1">
        <v>5.2400000000000997</v>
      </c>
      <c r="AH521" s="1">
        <f t="shared" si="27"/>
        <v>224.75999999999991</v>
      </c>
      <c r="AI521" s="1">
        <f t="shared" si="28"/>
        <v>224.75999999999991</v>
      </c>
      <c r="AK521" s="1">
        <v>5.2400000000000997</v>
      </c>
      <c r="AO521" s="1">
        <v>5.2400000000000997</v>
      </c>
      <c r="AS521" s="1">
        <v>5.2400000000000997</v>
      </c>
      <c r="AW521" s="1">
        <v>5.2400000000000997</v>
      </c>
      <c r="BA521" s="1">
        <v>5.2400000000000997</v>
      </c>
      <c r="BE521" s="1">
        <v>5.2400000000000997</v>
      </c>
      <c r="BI521" s="1">
        <v>5.2400000000000997</v>
      </c>
      <c r="BM521" s="1">
        <v>5.2400000000000997</v>
      </c>
      <c r="BQ521" s="1">
        <v>5.2400000000000997</v>
      </c>
      <c r="BU521" s="1">
        <v>5.2400000000000997</v>
      </c>
    </row>
    <row r="522" spans="33:73" hidden="1" x14ac:dyDescent="0.25">
      <c r="AG522" s="1">
        <v>5.2300000000000999</v>
      </c>
      <c r="AH522" s="1">
        <f t="shared" si="27"/>
        <v>224.7699999999999</v>
      </c>
      <c r="AI522" s="1">
        <f t="shared" si="28"/>
        <v>224.7699999999999</v>
      </c>
      <c r="AK522" s="1">
        <v>5.2300000000000999</v>
      </c>
      <c r="AO522" s="1">
        <v>5.2300000000000999</v>
      </c>
      <c r="AS522" s="1">
        <v>5.2300000000000999</v>
      </c>
      <c r="AW522" s="1">
        <v>5.2300000000000999</v>
      </c>
      <c r="BA522" s="1">
        <v>5.2300000000000999</v>
      </c>
      <c r="BE522" s="1">
        <v>5.2300000000000999</v>
      </c>
      <c r="BI522" s="1">
        <v>5.2300000000000999</v>
      </c>
      <c r="BM522" s="1">
        <v>5.2300000000000999</v>
      </c>
      <c r="BQ522" s="1">
        <v>5.2300000000000999</v>
      </c>
      <c r="BU522" s="1">
        <v>5.2300000000000999</v>
      </c>
    </row>
    <row r="523" spans="33:73" hidden="1" x14ac:dyDescent="0.25">
      <c r="AG523" s="1">
        <v>5.2200000000001001</v>
      </c>
      <c r="AH523" s="1">
        <f t="shared" si="27"/>
        <v>224.77999999999989</v>
      </c>
      <c r="AI523" s="1">
        <f t="shared" si="28"/>
        <v>224.77999999999989</v>
      </c>
      <c r="AK523" s="1">
        <v>5.2200000000001001</v>
      </c>
      <c r="AO523" s="1">
        <v>5.2200000000001001</v>
      </c>
      <c r="AS523" s="1">
        <v>5.2200000000001001</v>
      </c>
      <c r="AW523" s="1">
        <v>5.2200000000001001</v>
      </c>
      <c r="BA523" s="1">
        <v>5.2200000000001001</v>
      </c>
      <c r="BE523" s="1">
        <v>5.2200000000001001</v>
      </c>
      <c r="BI523" s="1">
        <v>5.2200000000001001</v>
      </c>
      <c r="BM523" s="1">
        <v>5.2200000000001001</v>
      </c>
      <c r="BQ523" s="1">
        <v>5.2200000000001001</v>
      </c>
      <c r="BU523" s="1">
        <v>5.2200000000001001</v>
      </c>
    </row>
    <row r="524" spans="33:73" hidden="1" x14ac:dyDescent="0.25">
      <c r="AG524" s="1">
        <v>5.2100000000001003</v>
      </c>
      <c r="AH524" s="1">
        <f t="shared" si="27"/>
        <v>224.78999999999991</v>
      </c>
      <c r="AI524" s="1">
        <f t="shared" si="28"/>
        <v>224.78999999999991</v>
      </c>
      <c r="AK524" s="1">
        <v>5.2100000000001003</v>
      </c>
      <c r="AO524" s="1">
        <v>5.2100000000001003</v>
      </c>
      <c r="AS524" s="1">
        <v>5.2100000000001003</v>
      </c>
      <c r="AW524" s="1">
        <v>5.2100000000001003</v>
      </c>
      <c r="BA524" s="1">
        <v>5.2100000000001003</v>
      </c>
      <c r="BE524" s="1">
        <v>5.2100000000001003</v>
      </c>
      <c r="BI524" s="1">
        <v>5.2100000000001003</v>
      </c>
      <c r="BM524" s="1">
        <v>5.2100000000001003</v>
      </c>
      <c r="BQ524" s="1">
        <v>5.2100000000001003</v>
      </c>
      <c r="BU524" s="1">
        <v>5.2100000000001003</v>
      </c>
    </row>
    <row r="525" spans="33:73" hidden="1" x14ac:dyDescent="0.25">
      <c r="AG525" s="1">
        <v>5.2000000000000997</v>
      </c>
      <c r="AH525" s="1">
        <f t="shared" si="27"/>
        <v>224.7999999999999</v>
      </c>
      <c r="AI525" s="1">
        <f t="shared" si="28"/>
        <v>224.7999999999999</v>
      </c>
      <c r="AK525" s="1">
        <v>5.2000000000000997</v>
      </c>
      <c r="AO525" s="1">
        <v>5.2000000000000997</v>
      </c>
      <c r="AS525" s="1">
        <v>5.2000000000000997</v>
      </c>
      <c r="AW525" s="1">
        <v>5.2000000000000997</v>
      </c>
      <c r="BA525" s="1">
        <v>5.2000000000000997</v>
      </c>
      <c r="BE525" s="1">
        <v>5.2000000000000997</v>
      </c>
      <c r="BI525" s="1">
        <v>5.2000000000000997</v>
      </c>
      <c r="BM525" s="1">
        <v>5.2000000000000997</v>
      </c>
      <c r="BQ525" s="1">
        <v>5.2000000000000997</v>
      </c>
      <c r="BU525" s="1">
        <v>5.2000000000000997</v>
      </c>
    </row>
    <row r="526" spans="33:73" hidden="1" x14ac:dyDescent="0.25">
      <c r="AG526" s="1">
        <v>5.1900000000000999</v>
      </c>
      <c r="AH526" s="1">
        <f t="shared" si="27"/>
        <v>224.80999999999989</v>
      </c>
      <c r="AI526" s="1">
        <f t="shared" si="28"/>
        <v>224.80999999999989</v>
      </c>
      <c r="AK526" s="1">
        <v>5.1900000000000999</v>
      </c>
      <c r="AO526" s="1">
        <v>5.1900000000000999</v>
      </c>
      <c r="AS526" s="1">
        <v>5.1900000000000999</v>
      </c>
      <c r="AW526" s="1">
        <v>5.1900000000000999</v>
      </c>
      <c r="BA526" s="1">
        <v>5.1900000000000999</v>
      </c>
      <c r="BE526" s="1">
        <v>5.1900000000000999</v>
      </c>
      <c r="BI526" s="1">
        <v>5.1900000000000999</v>
      </c>
      <c r="BM526" s="1">
        <v>5.1900000000000999</v>
      </c>
      <c r="BQ526" s="1">
        <v>5.1900000000000999</v>
      </c>
      <c r="BU526" s="1">
        <v>5.1900000000000999</v>
      </c>
    </row>
    <row r="527" spans="33:73" hidden="1" x14ac:dyDescent="0.25">
      <c r="AG527" s="1">
        <v>5.1800000000001001</v>
      </c>
      <c r="AH527" s="1">
        <f t="shared" si="27"/>
        <v>224.81999999999991</v>
      </c>
      <c r="AI527" s="1">
        <f t="shared" si="28"/>
        <v>224.81999999999991</v>
      </c>
      <c r="AK527" s="1">
        <v>5.1800000000001001</v>
      </c>
      <c r="AO527" s="1">
        <v>5.1800000000001001</v>
      </c>
      <c r="AS527" s="1">
        <v>5.1800000000001001</v>
      </c>
      <c r="AW527" s="1">
        <v>5.1800000000001001</v>
      </c>
      <c r="BA527" s="1">
        <v>5.1800000000001001</v>
      </c>
      <c r="BE527" s="1">
        <v>5.1800000000001001</v>
      </c>
      <c r="BI527" s="1">
        <v>5.1800000000001001</v>
      </c>
      <c r="BM527" s="1">
        <v>5.1800000000001001</v>
      </c>
      <c r="BQ527" s="1">
        <v>5.1800000000001001</v>
      </c>
      <c r="BU527" s="1">
        <v>5.1800000000001001</v>
      </c>
    </row>
    <row r="528" spans="33:73" hidden="1" x14ac:dyDescent="0.25">
      <c r="AG528" s="1">
        <v>5.1700000000001003</v>
      </c>
      <c r="AH528" s="1">
        <f t="shared" si="27"/>
        <v>224.8299999999999</v>
      </c>
      <c r="AI528" s="1">
        <f t="shared" si="28"/>
        <v>224.8299999999999</v>
      </c>
      <c r="AK528" s="1">
        <v>5.1700000000001003</v>
      </c>
      <c r="AO528" s="1">
        <v>5.1700000000001003</v>
      </c>
      <c r="AS528" s="1">
        <v>5.1700000000001003</v>
      </c>
      <c r="AW528" s="1">
        <v>5.1700000000001003</v>
      </c>
      <c r="BA528" s="1">
        <v>5.1700000000001003</v>
      </c>
      <c r="BE528" s="1">
        <v>5.1700000000001003</v>
      </c>
      <c r="BI528" s="1">
        <v>5.1700000000001003</v>
      </c>
      <c r="BM528" s="1">
        <v>5.1700000000001003</v>
      </c>
      <c r="BQ528" s="1">
        <v>5.1700000000001003</v>
      </c>
      <c r="BU528" s="1">
        <v>5.1700000000001003</v>
      </c>
    </row>
    <row r="529" spans="33:73" hidden="1" x14ac:dyDescent="0.25">
      <c r="AG529" s="1">
        <v>5.1600000000000996</v>
      </c>
      <c r="AH529" s="1">
        <f t="shared" si="27"/>
        <v>224.83999999999989</v>
      </c>
      <c r="AI529" s="1">
        <f t="shared" si="28"/>
        <v>224.83999999999989</v>
      </c>
      <c r="AK529" s="1">
        <v>5.1600000000000996</v>
      </c>
      <c r="AO529" s="1">
        <v>5.1600000000000996</v>
      </c>
      <c r="AS529" s="1">
        <v>5.1600000000000996</v>
      </c>
      <c r="AW529" s="1">
        <v>5.1600000000000996</v>
      </c>
      <c r="BA529" s="1">
        <v>5.1600000000000996</v>
      </c>
      <c r="BE529" s="1">
        <v>5.1600000000000996</v>
      </c>
      <c r="BI529" s="1">
        <v>5.1600000000000996</v>
      </c>
      <c r="BM529" s="1">
        <v>5.1600000000000996</v>
      </c>
      <c r="BQ529" s="1">
        <v>5.1600000000000996</v>
      </c>
      <c r="BU529" s="1">
        <v>5.1600000000000996</v>
      </c>
    </row>
    <row r="530" spans="33:73" hidden="1" x14ac:dyDescent="0.25">
      <c r="AG530" s="1">
        <v>5.1500000000000998</v>
      </c>
      <c r="AH530" s="1">
        <f t="shared" si="27"/>
        <v>224.84999999999991</v>
      </c>
      <c r="AI530" s="1">
        <f t="shared" si="28"/>
        <v>224.84999999999991</v>
      </c>
      <c r="AK530" s="1">
        <v>5.1500000000000998</v>
      </c>
      <c r="AO530" s="1">
        <v>5.1500000000000998</v>
      </c>
      <c r="AS530" s="1">
        <v>5.1500000000000998</v>
      </c>
      <c r="AW530" s="1">
        <v>5.1500000000000998</v>
      </c>
      <c r="BA530" s="1">
        <v>5.1500000000000998</v>
      </c>
      <c r="BE530" s="1">
        <v>5.1500000000000998</v>
      </c>
      <c r="BI530" s="1">
        <v>5.1500000000000998</v>
      </c>
      <c r="BM530" s="1">
        <v>5.1500000000000998</v>
      </c>
      <c r="BQ530" s="1">
        <v>5.1500000000000998</v>
      </c>
      <c r="BU530" s="1">
        <v>5.1500000000000998</v>
      </c>
    </row>
    <row r="531" spans="33:73" hidden="1" x14ac:dyDescent="0.25">
      <c r="AG531" s="1">
        <v>5.1400000000001</v>
      </c>
      <c r="AH531" s="1">
        <f t="shared" si="27"/>
        <v>224.8599999999999</v>
      </c>
      <c r="AI531" s="1">
        <f t="shared" si="28"/>
        <v>224.8599999999999</v>
      </c>
      <c r="AK531" s="1">
        <v>5.1400000000001</v>
      </c>
      <c r="AO531" s="1">
        <v>5.1400000000001</v>
      </c>
      <c r="AS531" s="1">
        <v>5.1400000000001</v>
      </c>
      <c r="AW531" s="1">
        <v>5.1400000000001</v>
      </c>
      <c r="BA531" s="1">
        <v>5.1400000000001</v>
      </c>
      <c r="BE531" s="1">
        <v>5.1400000000001</v>
      </c>
      <c r="BI531" s="1">
        <v>5.1400000000001</v>
      </c>
      <c r="BM531" s="1">
        <v>5.1400000000001</v>
      </c>
      <c r="BQ531" s="1">
        <v>5.1400000000001</v>
      </c>
      <c r="BU531" s="1">
        <v>5.1400000000001</v>
      </c>
    </row>
    <row r="532" spans="33:73" hidden="1" x14ac:dyDescent="0.25">
      <c r="AG532" s="1">
        <v>5.1300000000001003</v>
      </c>
      <c r="AH532" s="1">
        <f t="shared" si="27"/>
        <v>224.86999999999989</v>
      </c>
      <c r="AI532" s="1">
        <f t="shared" si="28"/>
        <v>224.86999999999989</v>
      </c>
      <c r="AK532" s="1">
        <v>5.1300000000001003</v>
      </c>
      <c r="AO532" s="1">
        <v>5.1300000000001003</v>
      </c>
      <c r="AS532" s="1">
        <v>5.1300000000001003</v>
      </c>
      <c r="AW532" s="1">
        <v>5.1300000000001003</v>
      </c>
      <c r="BA532" s="1">
        <v>5.1300000000001003</v>
      </c>
      <c r="BE532" s="1">
        <v>5.1300000000001003</v>
      </c>
      <c r="BI532" s="1">
        <v>5.1300000000001003</v>
      </c>
      <c r="BM532" s="1">
        <v>5.1300000000001003</v>
      </c>
      <c r="BQ532" s="1">
        <v>5.1300000000001003</v>
      </c>
      <c r="BU532" s="1">
        <v>5.1300000000001003</v>
      </c>
    </row>
    <row r="533" spans="33:73" hidden="1" x14ac:dyDescent="0.25">
      <c r="AG533" s="1">
        <v>5.1200000000000996</v>
      </c>
      <c r="AH533" s="1">
        <f t="shared" si="27"/>
        <v>224.87999999999991</v>
      </c>
      <c r="AI533" s="1">
        <f t="shared" si="28"/>
        <v>224.87999999999991</v>
      </c>
      <c r="AK533" s="1">
        <v>5.1200000000000996</v>
      </c>
      <c r="AO533" s="1">
        <v>5.1200000000000996</v>
      </c>
      <c r="AS533" s="1">
        <v>5.1200000000000996</v>
      </c>
      <c r="AW533" s="1">
        <v>5.1200000000000996</v>
      </c>
      <c r="BA533" s="1">
        <v>5.1200000000000996</v>
      </c>
      <c r="BE533" s="1">
        <v>5.1200000000000996</v>
      </c>
      <c r="BI533" s="1">
        <v>5.1200000000000996</v>
      </c>
      <c r="BM533" s="1">
        <v>5.1200000000000996</v>
      </c>
      <c r="BQ533" s="1">
        <v>5.1200000000000996</v>
      </c>
      <c r="BU533" s="1">
        <v>5.1200000000000996</v>
      </c>
    </row>
    <row r="534" spans="33:73" hidden="1" x14ac:dyDescent="0.25">
      <c r="AG534" s="1">
        <v>5.1100000000000998</v>
      </c>
      <c r="AH534" s="1">
        <f t="shared" si="27"/>
        <v>224.8899999999999</v>
      </c>
      <c r="AI534" s="1">
        <f t="shared" si="28"/>
        <v>224.8899999999999</v>
      </c>
      <c r="AK534" s="1">
        <v>5.1100000000000998</v>
      </c>
      <c r="AO534" s="1">
        <v>5.1100000000000998</v>
      </c>
      <c r="AS534" s="1">
        <v>5.1100000000000998</v>
      </c>
      <c r="AW534" s="1">
        <v>5.1100000000000998</v>
      </c>
      <c r="BA534" s="1">
        <v>5.1100000000000998</v>
      </c>
      <c r="BE534" s="1">
        <v>5.1100000000000998</v>
      </c>
      <c r="BI534" s="1">
        <v>5.1100000000000998</v>
      </c>
      <c r="BM534" s="1">
        <v>5.1100000000000998</v>
      </c>
      <c r="BQ534" s="1">
        <v>5.1100000000000998</v>
      </c>
      <c r="BU534" s="1">
        <v>5.1100000000000998</v>
      </c>
    </row>
    <row r="535" spans="33:73" hidden="1" x14ac:dyDescent="0.25">
      <c r="AG535" s="1">
        <v>5.1000000000001</v>
      </c>
      <c r="AH535" s="1">
        <f t="shared" si="27"/>
        <v>224.89999999999989</v>
      </c>
      <c r="AI535" s="1">
        <f t="shared" si="28"/>
        <v>224.89999999999989</v>
      </c>
      <c r="AK535" s="1">
        <v>5.1000000000001</v>
      </c>
      <c r="AO535" s="1">
        <v>5.1000000000001</v>
      </c>
      <c r="AS535" s="1">
        <v>5.1000000000001</v>
      </c>
      <c r="AW535" s="1">
        <v>5.1000000000001</v>
      </c>
      <c r="BA535" s="1">
        <v>5.1000000000001</v>
      </c>
      <c r="BE535" s="1">
        <v>5.1000000000001</v>
      </c>
      <c r="BI535" s="1">
        <v>5.1000000000001</v>
      </c>
      <c r="BM535" s="1">
        <v>5.1000000000001</v>
      </c>
      <c r="BQ535" s="1">
        <v>5.1000000000001</v>
      </c>
      <c r="BU535" s="1">
        <v>5.1000000000001</v>
      </c>
    </row>
    <row r="536" spans="33:73" hidden="1" x14ac:dyDescent="0.25">
      <c r="AG536" s="1">
        <v>5.0900000000001002</v>
      </c>
      <c r="AH536" s="1">
        <f t="shared" si="27"/>
        <v>224.90999999999991</v>
      </c>
      <c r="AI536" s="1">
        <f t="shared" si="28"/>
        <v>224.90999999999991</v>
      </c>
      <c r="AK536" s="1">
        <v>5.0900000000001002</v>
      </c>
      <c r="AO536" s="1">
        <v>5.0900000000001002</v>
      </c>
      <c r="AS536" s="1">
        <v>5.0900000000001002</v>
      </c>
      <c r="AW536" s="1">
        <v>5.0900000000001002</v>
      </c>
      <c r="BA536" s="1">
        <v>5.0900000000001002</v>
      </c>
      <c r="BE536" s="1">
        <v>5.0900000000001002</v>
      </c>
      <c r="BI536" s="1">
        <v>5.0900000000001002</v>
      </c>
      <c r="BM536" s="1">
        <v>5.0900000000001002</v>
      </c>
      <c r="BQ536" s="1">
        <v>5.0900000000001002</v>
      </c>
      <c r="BU536" s="1">
        <v>5.0900000000001002</v>
      </c>
    </row>
    <row r="537" spans="33:73" hidden="1" x14ac:dyDescent="0.25">
      <c r="AG537" s="1">
        <v>5.0800000000001004</v>
      </c>
      <c r="AH537" s="1">
        <f t="shared" si="27"/>
        <v>224.9199999999999</v>
      </c>
      <c r="AI537" s="1">
        <f t="shared" si="28"/>
        <v>224.9199999999999</v>
      </c>
      <c r="AK537" s="1">
        <v>5.0800000000001004</v>
      </c>
      <c r="AO537" s="1">
        <v>5.0800000000001004</v>
      </c>
      <c r="AS537" s="1">
        <v>5.0800000000001004</v>
      </c>
      <c r="AW537" s="1">
        <v>5.0800000000001004</v>
      </c>
      <c r="BA537" s="1">
        <v>5.0800000000001004</v>
      </c>
      <c r="BE537" s="1">
        <v>5.0800000000001004</v>
      </c>
      <c r="BI537" s="1">
        <v>5.0800000000001004</v>
      </c>
      <c r="BM537" s="1">
        <v>5.0800000000001004</v>
      </c>
      <c r="BQ537" s="1">
        <v>5.0800000000001004</v>
      </c>
      <c r="BU537" s="1">
        <v>5.0800000000001004</v>
      </c>
    </row>
    <row r="538" spans="33:73" hidden="1" x14ac:dyDescent="0.25">
      <c r="AG538" s="1">
        <v>5.0700000000001104</v>
      </c>
      <c r="AH538" s="1">
        <f t="shared" si="27"/>
        <v>224.92999999999989</v>
      </c>
      <c r="AI538" s="1">
        <f t="shared" si="28"/>
        <v>224.92999999999989</v>
      </c>
      <c r="AK538" s="1">
        <v>5.0700000000001104</v>
      </c>
      <c r="AO538" s="1">
        <v>5.0700000000001104</v>
      </c>
      <c r="AS538" s="1">
        <v>5.0700000000001104</v>
      </c>
      <c r="AW538" s="1">
        <v>5.0700000000001104</v>
      </c>
      <c r="BA538" s="1">
        <v>5.0700000000001104</v>
      </c>
      <c r="BE538" s="1">
        <v>5.0700000000001104</v>
      </c>
      <c r="BI538" s="1">
        <v>5.0700000000001104</v>
      </c>
      <c r="BM538" s="1">
        <v>5.0700000000001104</v>
      </c>
      <c r="BQ538" s="1">
        <v>5.0700000000001104</v>
      </c>
      <c r="BU538" s="1">
        <v>5.0700000000001104</v>
      </c>
    </row>
    <row r="539" spans="33:73" hidden="1" x14ac:dyDescent="0.25">
      <c r="AG539" s="1">
        <v>5.0600000000001097</v>
      </c>
      <c r="AH539" s="1">
        <f t="shared" si="27"/>
        <v>224.93999999999988</v>
      </c>
      <c r="AI539" s="1">
        <f t="shared" si="28"/>
        <v>224.93999999999988</v>
      </c>
      <c r="AK539" s="1">
        <v>5.0600000000001097</v>
      </c>
      <c r="AO539" s="1">
        <v>5.0600000000001097</v>
      </c>
      <c r="AS539" s="1">
        <v>5.0600000000001097</v>
      </c>
      <c r="AW539" s="1">
        <v>5.0600000000001097</v>
      </c>
      <c r="BA539" s="1">
        <v>5.0600000000001097</v>
      </c>
      <c r="BE539" s="1">
        <v>5.0600000000001097</v>
      </c>
      <c r="BI539" s="1">
        <v>5.0600000000001097</v>
      </c>
      <c r="BM539" s="1">
        <v>5.0600000000001097</v>
      </c>
      <c r="BQ539" s="1">
        <v>5.0600000000001097</v>
      </c>
      <c r="BU539" s="1">
        <v>5.0600000000001097</v>
      </c>
    </row>
    <row r="540" spans="33:73" hidden="1" x14ac:dyDescent="0.25">
      <c r="AG540" s="1">
        <v>5.05000000000011</v>
      </c>
      <c r="AH540" s="1">
        <f t="shared" si="27"/>
        <v>224.9499999999999</v>
      </c>
      <c r="AI540" s="1">
        <f t="shared" si="28"/>
        <v>224.9499999999999</v>
      </c>
      <c r="AK540" s="1">
        <v>5.05000000000011</v>
      </c>
      <c r="AO540" s="1">
        <v>5.05000000000011</v>
      </c>
      <c r="AS540" s="1">
        <v>5.05000000000011</v>
      </c>
      <c r="AW540" s="1">
        <v>5.05000000000011</v>
      </c>
      <c r="BA540" s="1">
        <v>5.05000000000011</v>
      </c>
      <c r="BE540" s="1">
        <v>5.05000000000011</v>
      </c>
      <c r="BI540" s="1">
        <v>5.05000000000011</v>
      </c>
      <c r="BM540" s="1">
        <v>5.05000000000011</v>
      </c>
      <c r="BQ540" s="1">
        <v>5.05000000000011</v>
      </c>
      <c r="BU540" s="1">
        <v>5.05000000000011</v>
      </c>
    </row>
    <row r="541" spans="33:73" hidden="1" x14ac:dyDescent="0.25">
      <c r="AG541" s="1">
        <v>5.0400000000001102</v>
      </c>
      <c r="AH541" s="1">
        <f t="shared" si="27"/>
        <v>224.95999999999989</v>
      </c>
      <c r="AI541" s="1">
        <f t="shared" si="28"/>
        <v>224.95999999999989</v>
      </c>
      <c r="AK541" s="1">
        <v>5.0400000000001102</v>
      </c>
      <c r="AO541" s="1">
        <v>5.0400000000001102</v>
      </c>
      <c r="AS541" s="1">
        <v>5.0400000000001102</v>
      </c>
      <c r="AW541" s="1">
        <v>5.0400000000001102</v>
      </c>
      <c r="BA541" s="1">
        <v>5.0400000000001102</v>
      </c>
      <c r="BE541" s="1">
        <v>5.0400000000001102</v>
      </c>
      <c r="BI541" s="1">
        <v>5.0400000000001102</v>
      </c>
      <c r="BM541" s="1">
        <v>5.0400000000001102</v>
      </c>
      <c r="BQ541" s="1">
        <v>5.0400000000001102</v>
      </c>
      <c r="BU541" s="1">
        <v>5.0400000000001102</v>
      </c>
    </row>
    <row r="542" spans="33:73" hidden="1" x14ac:dyDescent="0.25">
      <c r="AG542" s="1">
        <v>5.0300000000001104</v>
      </c>
      <c r="AH542" s="1">
        <f t="shared" si="27"/>
        <v>224.96999999999989</v>
      </c>
      <c r="AI542" s="1">
        <f t="shared" si="28"/>
        <v>224.96999999999989</v>
      </c>
      <c r="AK542" s="1">
        <v>5.0300000000001104</v>
      </c>
      <c r="AO542" s="1">
        <v>5.0300000000001104</v>
      </c>
      <c r="AS542" s="1">
        <v>5.0300000000001104</v>
      </c>
      <c r="AW542" s="1">
        <v>5.0300000000001104</v>
      </c>
      <c r="BA542" s="1">
        <v>5.0300000000001104</v>
      </c>
      <c r="BE542" s="1">
        <v>5.0300000000001104</v>
      </c>
      <c r="BI542" s="1">
        <v>5.0300000000001104</v>
      </c>
      <c r="BM542" s="1">
        <v>5.0300000000001104</v>
      </c>
      <c r="BQ542" s="1">
        <v>5.0300000000001104</v>
      </c>
      <c r="BU542" s="1">
        <v>5.0300000000001104</v>
      </c>
    </row>
    <row r="543" spans="33:73" hidden="1" x14ac:dyDescent="0.25">
      <c r="AG543" s="1">
        <v>5.0200000000001097</v>
      </c>
      <c r="AH543" s="1">
        <f t="shared" si="27"/>
        <v>224.9799999999999</v>
      </c>
      <c r="AI543" s="1">
        <f t="shared" si="28"/>
        <v>224.9799999999999</v>
      </c>
      <c r="AK543" s="1">
        <v>5.0200000000001097</v>
      </c>
      <c r="AO543" s="1">
        <v>5.0200000000001097</v>
      </c>
      <c r="AS543" s="1">
        <v>5.0200000000001097</v>
      </c>
      <c r="AW543" s="1">
        <v>5.0200000000001097</v>
      </c>
      <c r="BA543" s="1">
        <v>5.0200000000001097</v>
      </c>
      <c r="BE543" s="1">
        <v>5.0200000000001097</v>
      </c>
      <c r="BI543" s="1">
        <v>5.0200000000001097</v>
      </c>
      <c r="BM543" s="1">
        <v>5.0200000000001097</v>
      </c>
      <c r="BQ543" s="1">
        <v>5.0200000000001097</v>
      </c>
      <c r="BU543" s="1">
        <v>5.0200000000001097</v>
      </c>
    </row>
    <row r="544" spans="33:73" hidden="1" x14ac:dyDescent="0.25">
      <c r="AG544" s="1">
        <v>5.0100000000001099</v>
      </c>
      <c r="AH544" s="1">
        <f t="shared" si="27"/>
        <v>224.9899999999999</v>
      </c>
      <c r="AI544" s="1">
        <f t="shared" si="28"/>
        <v>224.9899999999999</v>
      </c>
      <c r="AK544" s="1">
        <v>5.0100000000001099</v>
      </c>
      <c r="AO544" s="1">
        <v>5.0100000000001099</v>
      </c>
      <c r="AS544" s="1">
        <v>5.0100000000001099</v>
      </c>
      <c r="AW544" s="1">
        <v>5.0100000000001099</v>
      </c>
      <c r="BA544" s="1">
        <v>5.0100000000001099</v>
      </c>
      <c r="BE544" s="1">
        <v>5.0100000000001099</v>
      </c>
      <c r="BI544" s="1">
        <v>5.0100000000001099</v>
      </c>
      <c r="BM544" s="1">
        <v>5.0100000000001099</v>
      </c>
      <c r="BQ544" s="1">
        <v>5.0100000000001099</v>
      </c>
      <c r="BU544" s="1">
        <v>5.0100000000001099</v>
      </c>
    </row>
    <row r="545" spans="33:73" hidden="1" x14ac:dyDescent="0.25">
      <c r="AG545" s="1">
        <v>5.0000000000001101</v>
      </c>
      <c r="AH545" s="1">
        <f t="shared" si="27"/>
        <v>224.99999999999989</v>
      </c>
      <c r="AI545" s="1">
        <f t="shared" si="28"/>
        <v>224.99999999999989</v>
      </c>
      <c r="AK545" s="1">
        <v>5.0000000000001101</v>
      </c>
      <c r="AO545" s="1">
        <v>5.0000000000001101</v>
      </c>
      <c r="AS545" s="1">
        <v>5.0000000000001101</v>
      </c>
      <c r="AW545" s="1">
        <v>5.0000000000001101</v>
      </c>
      <c r="BA545" s="1">
        <v>5.0000000000001101</v>
      </c>
      <c r="BE545" s="1">
        <v>5.0000000000001101</v>
      </c>
      <c r="BI545" s="1">
        <v>5.0000000000001101</v>
      </c>
      <c r="BM545" s="1">
        <v>5.0000000000001101</v>
      </c>
      <c r="BQ545" s="1">
        <v>5.0000000000001101</v>
      </c>
      <c r="BU545" s="1">
        <v>5.0000000000001101</v>
      </c>
    </row>
    <row r="546" spans="33:73" hidden="1" x14ac:dyDescent="0.25">
      <c r="AG546" s="1">
        <v>4.9900000000001103</v>
      </c>
      <c r="AH546" s="1">
        <f t="shared" si="27"/>
        <v>225.00999999999988</v>
      </c>
      <c r="AI546" s="1">
        <f t="shared" si="28"/>
        <v>225.00999999999988</v>
      </c>
      <c r="AK546" s="1">
        <v>4.9900000000001103</v>
      </c>
      <c r="AO546" s="1">
        <v>4.9900000000001103</v>
      </c>
      <c r="AS546" s="1">
        <v>4.9900000000001103</v>
      </c>
      <c r="AW546" s="1">
        <v>4.9900000000001103</v>
      </c>
      <c r="BA546" s="1">
        <v>4.9900000000001103</v>
      </c>
      <c r="BE546" s="1">
        <v>4.9900000000001103</v>
      </c>
      <c r="BI546" s="1">
        <v>4.9900000000001103</v>
      </c>
      <c r="BM546" s="1">
        <v>4.9900000000001103</v>
      </c>
      <c r="BQ546" s="1">
        <v>4.9900000000001103</v>
      </c>
      <c r="BU546" s="1">
        <v>4.9900000000001103</v>
      </c>
    </row>
    <row r="547" spans="33:73" hidden="1" x14ac:dyDescent="0.25">
      <c r="AG547" s="1">
        <v>4.9800000000001097</v>
      </c>
      <c r="AH547" s="1">
        <f t="shared" si="27"/>
        <v>225.0199999999999</v>
      </c>
      <c r="AI547" s="1">
        <f t="shared" si="28"/>
        <v>225.0199999999999</v>
      </c>
      <c r="AK547" s="1">
        <v>4.9800000000001097</v>
      </c>
      <c r="AO547" s="1">
        <v>4.9800000000001097</v>
      </c>
      <c r="AS547" s="1">
        <v>4.9800000000001097</v>
      </c>
      <c r="AW547" s="1">
        <v>4.9800000000001097</v>
      </c>
      <c r="BA547" s="1">
        <v>4.9800000000001097</v>
      </c>
      <c r="BE547" s="1">
        <v>4.9800000000001097</v>
      </c>
      <c r="BI547" s="1">
        <v>4.9800000000001097</v>
      </c>
      <c r="BM547" s="1">
        <v>4.9800000000001097</v>
      </c>
      <c r="BQ547" s="1">
        <v>4.9800000000001097</v>
      </c>
      <c r="BU547" s="1">
        <v>4.9800000000001097</v>
      </c>
    </row>
    <row r="548" spans="33:73" hidden="1" x14ac:dyDescent="0.25">
      <c r="AG548" s="1">
        <v>4.9700000000001099</v>
      </c>
      <c r="AH548" s="1">
        <f t="shared" si="27"/>
        <v>225.02999999999989</v>
      </c>
      <c r="AI548" s="1">
        <f t="shared" si="28"/>
        <v>225.02999999999989</v>
      </c>
      <c r="AK548" s="1">
        <v>4.9700000000001099</v>
      </c>
      <c r="AO548" s="1">
        <v>4.9700000000001099</v>
      </c>
      <c r="AS548" s="1">
        <v>4.9700000000001099</v>
      </c>
      <c r="AW548" s="1">
        <v>4.9700000000001099</v>
      </c>
      <c r="BA548" s="1">
        <v>4.9700000000001099</v>
      </c>
      <c r="BE548" s="1">
        <v>4.9700000000001099</v>
      </c>
      <c r="BI548" s="1">
        <v>4.9700000000001099</v>
      </c>
      <c r="BM548" s="1">
        <v>4.9700000000001099</v>
      </c>
      <c r="BQ548" s="1">
        <v>4.9700000000001099</v>
      </c>
      <c r="BU548" s="1">
        <v>4.9700000000001099</v>
      </c>
    </row>
    <row r="549" spans="33:73" hidden="1" x14ac:dyDescent="0.25">
      <c r="AG549" s="1">
        <v>4.9600000000001101</v>
      </c>
      <c r="AH549" s="1">
        <f t="shared" si="27"/>
        <v>225.03999999999988</v>
      </c>
      <c r="AI549" s="1">
        <f t="shared" si="28"/>
        <v>225.03999999999988</v>
      </c>
      <c r="AK549" s="1">
        <v>4.9600000000001101</v>
      </c>
      <c r="AO549" s="1">
        <v>4.9600000000001101</v>
      </c>
      <c r="AS549" s="1">
        <v>4.9600000000001101</v>
      </c>
      <c r="AW549" s="1">
        <v>4.9600000000001101</v>
      </c>
      <c r="BA549" s="1">
        <v>4.9600000000001101</v>
      </c>
      <c r="BE549" s="1">
        <v>4.9600000000001101</v>
      </c>
      <c r="BI549" s="1">
        <v>4.9600000000001101</v>
      </c>
      <c r="BM549" s="1">
        <v>4.9600000000001101</v>
      </c>
      <c r="BQ549" s="1">
        <v>4.9600000000001101</v>
      </c>
      <c r="BU549" s="1">
        <v>4.9600000000001101</v>
      </c>
    </row>
    <row r="550" spans="33:73" hidden="1" x14ac:dyDescent="0.25">
      <c r="AG550" s="1">
        <v>4.9500000000001103</v>
      </c>
      <c r="AH550" s="1">
        <f t="shared" si="27"/>
        <v>225.0499999999999</v>
      </c>
      <c r="AI550" s="1">
        <f t="shared" si="28"/>
        <v>225.0499999999999</v>
      </c>
      <c r="AK550" s="1">
        <v>4.9500000000001103</v>
      </c>
      <c r="AO550" s="1">
        <v>4.9500000000001103</v>
      </c>
      <c r="AS550" s="1">
        <v>4.9500000000001103</v>
      </c>
      <c r="AW550" s="1">
        <v>4.9500000000001103</v>
      </c>
      <c r="BA550" s="1">
        <v>4.9500000000001103</v>
      </c>
      <c r="BE550" s="1">
        <v>4.9500000000001103</v>
      </c>
      <c r="BI550" s="1">
        <v>4.9500000000001103</v>
      </c>
      <c r="BM550" s="1">
        <v>4.9500000000001103</v>
      </c>
      <c r="BQ550" s="1">
        <v>4.9500000000001103</v>
      </c>
      <c r="BU550" s="1">
        <v>4.9500000000001103</v>
      </c>
    </row>
    <row r="551" spans="33:73" hidden="1" x14ac:dyDescent="0.25">
      <c r="AG551" s="1">
        <v>4.9400000000001096</v>
      </c>
      <c r="AH551" s="1">
        <f t="shared" si="27"/>
        <v>225.05999999999989</v>
      </c>
      <c r="AI551" s="1">
        <f t="shared" si="28"/>
        <v>225.05999999999989</v>
      </c>
      <c r="AK551" s="1">
        <v>4.9400000000001096</v>
      </c>
      <c r="AO551" s="1">
        <v>4.9400000000001096</v>
      </c>
      <c r="AS551" s="1">
        <v>4.9400000000001096</v>
      </c>
      <c r="AW551" s="1">
        <v>4.9400000000001096</v>
      </c>
      <c r="BA551" s="1">
        <v>4.9400000000001096</v>
      </c>
      <c r="BE551" s="1">
        <v>4.9400000000001096</v>
      </c>
      <c r="BI551" s="1">
        <v>4.9400000000001096</v>
      </c>
      <c r="BM551" s="1">
        <v>4.9400000000001096</v>
      </c>
      <c r="BQ551" s="1">
        <v>4.9400000000001096</v>
      </c>
      <c r="BU551" s="1">
        <v>4.9400000000001096</v>
      </c>
    </row>
    <row r="552" spans="33:73" hidden="1" x14ac:dyDescent="0.25">
      <c r="AG552" s="1">
        <v>4.9300000000001098</v>
      </c>
      <c r="AH552" s="1">
        <f t="shared" si="27"/>
        <v>225.06999999999988</v>
      </c>
      <c r="AI552" s="1">
        <f t="shared" si="28"/>
        <v>225.06999999999988</v>
      </c>
      <c r="AK552" s="1">
        <v>4.9300000000001098</v>
      </c>
      <c r="AO552" s="1">
        <v>4.9300000000001098</v>
      </c>
      <c r="AS552" s="1">
        <v>4.9300000000001098</v>
      </c>
      <c r="AW552" s="1">
        <v>4.9300000000001098</v>
      </c>
      <c r="BA552" s="1">
        <v>4.9300000000001098</v>
      </c>
      <c r="BE552" s="1">
        <v>4.9300000000001098</v>
      </c>
      <c r="BI552" s="1">
        <v>4.9300000000001098</v>
      </c>
      <c r="BM552" s="1">
        <v>4.9300000000001098</v>
      </c>
      <c r="BQ552" s="1">
        <v>4.9300000000001098</v>
      </c>
      <c r="BU552" s="1">
        <v>4.9300000000001098</v>
      </c>
    </row>
    <row r="553" spans="33:73" hidden="1" x14ac:dyDescent="0.25">
      <c r="AG553" s="1">
        <v>4.9200000000001101</v>
      </c>
      <c r="AH553" s="1">
        <f t="shared" si="27"/>
        <v>225.0799999999999</v>
      </c>
      <c r="AI553" s="1">
        <f t="shared" si="28"/>
        <v>225.0799999999999</v>
      </c>
      <c r="AK553" s="1">
        <v>4.9200000000001101</v>
      </c>
      <c r="AO553" s="1">
        <v>4.9200000000001101</v>
      </c>
      <c r="AS553" s="1">
        <v>4.9200000000001101</v>
      </c>
      <c r="AW553" s="1">
        <v>4.9200000000001101</v>
      </c>
      <c r="BA553" s="1">
        <v>4.9200000000001101</v>
      </c>
      <c r="BE553" s="1">
        <v>4.9200000000001101</v>
      </c>
      <c r="BI553" s="1">
        <v>4.9200000000001101</v>
      </c>
      <c r="BM553" s="1">
        <v>4.9200000000001101</v>
      </c>
      <c r="BQ553" s="1">
        <v>4.9200000000001101</v>
      </c>
      <c r="BU553" s="1">
        <v>4.9200000000001101</v>
      </c>
    </row>
    <row r="554" spans="33:73" hidden="1" x14ac:dyDescent="0.25">
      <c r="AG554" s="1">
        <v>4.9100000000001103</v>
      </c>
      <c r="AH554" s="1">
        <f t="shared" si="27"/>
        <v>225.08999999999989</v>
      </c>
      <c r="AI554" s="1">
        <f t="shared" si="28"/>
        <v>225.08999999999989</v>
      </c>
      <c r="AK554" s="1">
        <v>4.9100000000001103</v>
      </c>
      <c r="AO554" s="1">
        <v>4.9100000000001103</v>
      </c>
      <c r="AS554" s="1">
        <v>4.9100000000001103</v>
      </c>
      <c r="AW554" s="1">
        <v>4.9100000000001103</v>
      </c>
      <c r="BA554" s="1">
        <v>4.9100000000001103</v>
      </c>
      <c r="BE554" s="1">
        <v>4.9100000000001103</v>
      </c>
      <c r="BI554" s="1">
        <v>4.9100000000001103</v>
      </c>
      <c r="BM554" s="1">
        <v>4.9100000000001103</v>
      </c>
      <c r="BQ554" s="1">
        <v>4.9100000000001103</v>
      </c>
      <c r="BU554" s="1">
        <v>4.9100000000001103</v>
      </c>
    </row>
    <row r="555" spans="33:73" hidden="1" x14ac:dyDescent="0.25">
      <c r="AG555" s="1">
        <v>4.9000000000001096</v>
      </c>
      <c r="AH555" s="1">
        <f t="shared" si="27"/>
        <v>225.09999999999988</v>
      </c>
      <c r="AI555" s="1">
        <f t="shared" si="28"/>
        <v>225.09999999999988</v>
      </c>
      <c r="AK555" s="1">
        <v>4.9000000000001096</v>
      </c>
      <c r="AO555" s="1">
        <v>4.9000000000001096</v>
      </c>
      <c r="AS555" s="1">
        <v>4.9000000000001096</v>
      </c>
      <c r="AW555" s="1">
        <v>4.9000000000001096</v>
      </c>
      <c r="BA555" s="1">
        <v>4.9000000000001096</v>
      </c>
      <c r="BE555" s="1">
        <v>4.9000000000001096</v>
      </c>
      <c r="BI555" s="1">
        <v>4.9000000000001096</v>
      </c>
      <c r="BM555" s="1">
        <v>4.9000000000001096</v>
      </c>
      <c r="BQ555" s="1">
        <v>4.9000000000001096</v>
      </c>
      <c r="BU555" s="1">
        <v>4.9000000000001096</v>
      </c>
    </row>
    <row r="556" spans="33:73" hidden="1" x14ac:dyDescent="0.25">
      <c r="AG556" s="1">
        <v>4.8900000000001098</v>
      </c>
      <c r="AH556" s="1">
        <f t="shared" si="27"/>
        <v>225.1099999999999</v>
      </c>
      <c r="AI556" s="1">
        <f t="shared" si="28"/>
        <v>225.1099999999999</v>
      </c>
      <c r="AK556" s="1">
        <v>4.8900000000001098</v>
      </c>
      <c r="AO556" s="1">
        <v>4.8900000000001098</v>
      </c>
      <c r="AS556" s="1">
        <v>4.8900000000001098</v>
      </c>
      <c r="AW556" s="1">
        <v>4.8900000000001098</v>
      </c>
      <c r="BA556" s="1">
        <v>4.8900000000001098</v>
      </c>
      <c r="BE556" s="1">
        <v>4.8900000000001098</v>
      </c>
      <c r="BI556" s="1">
        <v>4.8900000000001098</v>
      </c>
      <c r="BM556" s="1">
        <v>4.8900000000001098</v>
      </c>
      <c r="BQ556" s="1">
        <v>4.8900000000001098</v>
      </c>
      <c r="BU556" s="1">
        <v>4.8900000000001098</v>
      </c>
    </row>
    <row r="557" spans="33:73" hidden="1" x14ac:dyDescent="0.25">
      <c r="AG557" s="1">
        <v>4.88000000000011</v>
      </c>
      <c r="AH557" s="1">
        <f t="shared" si="27"/>
        <v>225.11999999999989</v>
      </c>
      <c r="AI557" s="1">
        <f t="shared" si="28"/>
        <v>225.11999999999989</v>
      </c>
      <c r="AK557" s="1">
        <v>4.88000000000011</v>
      </c>
      <c r="AO557" s="1">
        <v>4.88000000000011</v>
      </c>
      <c r="AS557" s="1">
        <v>4.88000000000011</v>
      </c>
      <c r="AW557" s="1">
        <v>4.88000000000011</v>
      </c>
      <c r="BA557" s="1">
        <v>4.88000000000011</v>
      </c>
      <c r="BE557" s="1">
        <v>4.88000000000011</v>
      </c>
      <c r="BI557" s="1">
        <v>4.88000000000011</v>
      </c>
      <c r="BM557" s="1">
        <v>4.88000000000011</v>
      </c>
      <c r="BQ557" s="1">
        <v>4.88000000000011</v>
      </c>
      <c r="BU557" s="1">
        <v>4.88000000000011</v>
      </c>
    </row>
    <row r="558" spans="33:73" hidden="1" x14ac:dyDescent="0.25">
      <c r="AG558" s="1">
        <v>4.8700000000001102</v>
      </c>
      <c r="AH558" s="1">
        <f t="shared" ref="AH558:AH621" si="29">SQRT((AI558+($AI$38*($AM$44*$AJ$44+$AN$44*$AK$44)))^2+($D$3*($AN$44*$AJ$44-$AM$44*$AK$44))^2)</f>
        <v>225.12999999999988</v>
      </c>
      <c r="AI558" s="1">
        <f t="shared" ref="AI558:AI621" si="30">$AI$40-AG558</f>
        <v>225.12999999999988</v>
      </c>
      <c r="AK558" s="1">
        <v>4.8700000000001102</v>
      </c>
      <c r="AO558" s="1">
        <v>4.8700000000001102</v>
      </c>
      <c r="AS558" s="1">
        <v>4.8700000000001102</v>
      </c>
      <c r="AW558" s="1">
        <v>4.8700000000001102</v>
      </c>
      <c r="BA558" s="1">
        <v>4.8700000000001102</v>
      </c>
      <c r="BE558" s="1">
        <v>4.8700000000001102</v>
      </c>
      <c r="BI558" s="1">
        <v>4.8700000000001102</v>
      </c>
      <c r="BM558" s="1">
        <v>4.8700000000001102</v>
      </c>
      <c r="BQ558" s="1">
        <v>4.8700000000001102</v>
      </c>
      <c r="BU558" s="1">
        <v>4.8700000000001102</v>
      </c>
    </row>
    <row r="559" spans="33:73" hidden="1" x14ac:dyDescent="0.25">
      <c r="AG559" s="1">
        <v>4.8600000000001096</v>
      </c>
      <c r="AH559" s="1">
        <f t="shared" si="29"/>
        <v>225.1399999999999</v>
      </c>
      <c r="AI559" s="1">
        <f t="shared" si="30"/>
        <v>225.1399999999999</v>
      </c>
      <c r="AK559" s="1">
        <v>4.8600000000001096</v>
      </c>
      <c r="AO559" s="1">
        <v>4.8600000000001096</v>
      </c>
      <c r="AS559" s="1">
        <v>4.8600000000001096</v>
      </c>
      <c r="AW559" s="1">
        <v>4.8600000000001096</v>
      </c>
      <c r="BA559" s="1">
        <v>4.8600000000001096</v>
      </c>
      <c r="BE559" s="1">
        <v>4.8600000000001096</v>
      </c>
      <c r="BI559" s="1">
        <v>4.8600000000001096</v>
      </c>
      <c r="BM559" s="1">
        <v>4.8600000000001096</v>
      </c>
      <c r="BQ559" s="1">
        <v>4.8600000000001096</v>
      </c>
      <c r="BU559" s="1">
        <v>4.8600000000001096</v>
      </c>
    </row>
    <row r="560" spans="33:73" hidden="1" x14ac:dyDescent="0.25">
      <c r="AG560" s="1">
        <v>4.8500000000001098</v>
      </c>
      <c r="AH560" s="1">
        <f t="shared" si="29"/>
        <v>225.14999999999989</v>
      </c>
      <c r="AI560" s="1">
        <f t="shared" si="30"/>
        <v>225.14999999999989</v>
      </c>
      <c r="AK560" s="1">
        <v>4.8500000000001098</v>
      </c>
      <c r="AO560" s="1">
        <v>4.8500000000001098</v>
      </c>
      <c r="AS560" s="1">
        <v>4.8500000000001098</v>
      </c>
      <c r="AW560" s="1">
        <v>4.8500000000001098</v>
      </c>
      <c r="BA560" s="1">
        <v>4.8500000000001098</v>
      </c>
      <c r="BE560" s="1">
        <v>4.8500000000001098</v>
      </c>
      <c r="BI560" s="1">
        <v>4.8500000000001098</v>
      </c>
      <c r="BM560" s="1">
        <v>4.8500000000001098</v>
      </c>
      <c r="BQ560" s="1">
        <v>4.8500000000001098</v>
      </c>
      <c r="BU560" s="1">
        <v>4.8500000000001098</v>
      </c>
    </row>
    <row r="561" spans="33:73" hidden="1" x14ac:dyDescent="0.25">
      <c r="AG561" s="1">
        <v>4.84000000000011</v>
      </c>
      <c r="AH561" s="1">
        <f t="shared" si="29"/>
        <v>225.15999999999988</v>
      </c>
      <c r="AI561" s="1">
        <f t="shared" si="30"/>
        <v>225.15999999999988</v>
      </c>
      <c r="AK561" s="1">
        <v>4.84000000000011</v>
      </c>
      <c r="AO561" s="1">
        <v>4.84000000000011</v>
      </c>
      <c r="AS561" s="1">
        <v>4.84000000000011</v>
      </c>
      <c r="AW561" s="1">
        <v>4.84000000000011</v>
      </c>
      <c r="BA561" s="1">
        <v>4.84000000000011</v>
      </c>
      <c r="BE561" s="1">
        <v>4.84000000000011</v>
      </c>
      <c r="BI561" s="1">
        <v>4.84000000000011</v>
      </c>
      <c r="BM561" s="1">
        <v>4.84000000000011</v>
      </c>
      <c r="BQ561" s="1">
        <v>4.84000000000011</v>
      </c>
      <c r="BU561" s="1">
        <v>4.84000000000011</v>
      </c>
    </row>
    <row r="562" spans="33:73" hidden="1" x14ac:dyDescent="0.25">
      <c r="AG562" s="1">
        <v>4.8300000000001102</v>
      </c>
      <c r="AH562" s="1">
        <f t="shared" si="29"/>
        <v>225.1699999999999</v>
      </c>
      <c r="AI562" s="1">
        <f t="shared" si="30"/>
        <v>225.1699999999999</v>
      </c>
      <c r="AK562" s="1">
        <v>4.8300000000001102</v>
      </c>
      <c r="AO562" s="1">
        <v>4.8300000000001102</v>
      </c>
      <c r="AS562" s="1">
        <v>4.8300000000001102</v>
      </c>
      <c r="AW562" s="1">
        <v>4.8300000000001102</v>
      </c>
      <c r="BA562" s="1">
        <v>4.8300000000001102</v>
      </c>
      <c r="BE562" s="1">
        <v>4.8300000000001102</v>
      </c>
      <c r="BI562" s="1">
        <v>4.8300000000001102</v>
      </c>
      <c r="BM562" s="1">
        <v>4.8300000000001102</v>
      </c>
      <c r="BQ562" s="1">
        <v>4.8300000000001102</v>
      </c>
      <c r="BU562" s="1">
        <v>4.8300000000001102</v>
      </c>
    </row>
    <row r="563" spans="33:73" hidden="1" x14ac:dyDescent="0.25">
      <c r="AG563" s="1">
        <v>4.8200000000001104</v>
      </c>
      <c r="AH563" s="1">
        <f t="shared" si="29"/>
        <v>225.17999999999989</v>
      </c>
      <c r="AI563" s="1">
        <f t="shared" si="30"/>
        <v>225.17999999999989</v>
      </c>
      <c r="AK563" s="1">
        <v>4.8200000000001104</v>
      </c>
      <c r="AO563" s="1">
        <v>4.8200000000001104</v>
      </c>
      <c r="AS563" s="1">
        <v>4.8200000000001104</v>
      </c>
      <c r="AW563" s="1">
        <v>4.8200000000001104</v>
      </c>
      <c r="BA563" s="1">
        <v>4.8200000000001104</v>
      </c>
      <c r="BE563" s="1">
        <v>4.8200000000001104</v>
      </c>
      <c r="BI563" s="1">
        <v>4.8200000000001104</v>
      </c>
      <c r="BM563" s="1">
        <v>4.8200000000001104</v>
      </c>
      <c r="BQ563" s="1">
        <v>4.8200000000001104</v>
      </c>
      <c r="BU563" s="1">
        <v>4.8200000000001104</v>
      </c>
    </row>
    <row r="564" spans="33:73" hidden="1" x14ac:dyDescent="0.25">
      <c r="AG564" s="1">
        <v>4.8100000000001097</v>
      </c>
      <c r="AH564" s="1">
        <f t="shared" si="29"/>
        <v>225.18999999999988</v>
      </c>
      <c r="AI564" s="1">
        <f t="shared" si="30"/>
        <v>225.18999999999988</v>
      </c>
      <c r="AK564" s="1">
        <v>4.8100000000001097</v>
      </c>
      <c r="AO564" s="1">
        <v>4.8100000000001097</v>
      </c>
      <c r="AS564" s="1">
        <v>4.8100000000001097</v>
      </c>
      <c r="AW564" s="1">
        <v>4.8100000000001097</v>
      </c>
      <c r="BA564" s="1">
        <v>4.8100000000001097</v>
      </c>
      <c r="BE564" s="1">
        <v>4.8100000000001097</v>
      </c>
      <c r="BI564" s="1">
        <v>4.8100000000001097</v>
      </c>
      <c r="BM564" s="1">
        <v>4.8100000000001097</v>
      </c>
      <c r="BQ564" s="1">
        <v>4.8100000000001097</v>
      </c>
      <c r="BU564" s="1">
        <v>4.8100000000001097</v>
      </c>
    </row>
    <row r="565" spans="33:73" hidden="1" x14ac:dyDescent="0.25">
      <c r="AG565" s="1">
        <v>4.80000000000011</v>
      </c>
      <c r="AH565" s="1">
        <f t="shared" si="29"/>
        <v>225.1999999999999</v>
      </c>
      <c r="AI565" s="1">
        <f t="shared" si="30"/>
        <v>225.1999999999999</v>
      </c>
      <c r="AK565" s="1">
        <v>4.80000000000011</v>
      </c>
      <c r="AO565" s="1">
        <v>4.80000000000011</v>
      </c>
      <c r="AS565" s="1">
        <v>4.80000000000011</v>
      </c>
      <c r="AW565" s="1">
        <v>4.80000000000011</v>
      </c>
      <c r="BA565" s="1">
        <v>4.80000000000011</v>
      </c>
      <c r="BE565" s="1">
        <v>4.80000000000011</v>
      </c>
      <c r="BI565" s="1">
        <v>4.80000000000011</v>
      </c>
      <c r="BM565" s="1">
        <v>4.80000000000011</v>
      </c>
      <c r="BQ565" s="1">
        <v>4.80000000000011</v>
      </c>
      <c r="BU565" s="1">
        <v>4.80000000000011</v>
      </c>
    </row>
    <row r="566" spans="33:73" hidden="1" x14ac:dyDescent="0.25">
      <c r="AG566" s="1">
        <v>4.7900000000001102</v>
      </c>
      <c r="AH566" s="1">
        <f t="shared" si="29"/>
        <v>225.20999999999989</v>
      </c>
      <c r="AI566" s="1">
        <f t="shared" si="30"/>
        <v>225.20999999999989</v>
      </c>
      <c r="AK566" s="1">
        <v>4.7900000000001102</v>
      </c>
      <c r="AO566" s="1">
        <v>4.7900000000001102</v>
      </c>
      <c r="AS566" s="1">
        <v>4.7900000000001102</v>
      </c>
      <c r="AW566" s="1">
        <v>4.7900000000001102</v>
      </c>
      <c r="BA566" s="1">
        <v>4.7900000000001102</v>
      </c>
      <c r="BE566" s="1">
        <v>4.7900000000001102</v>
      </c>
      <c r="BI566" s="1">
        <v>4.7900000000001102</v>
      </c>
      <c r="BM566" s="1">
        <v>4.7900000000001102</v>
      </c>
      <c r="BQ566" s="1">
        <v>4.7900000000001102</v>
      </c>
      <c r="BU566" s="1">
        <v>4.7900000000001102</v>
      </c>
    </row>
    <row r="567" spans="33:73" hidden="1" x14ac:dyDescent="0.25">
      <c r="AG567" s="1">
        <v>4.7800000000001104</v>
      </c>
      <c r="AH567" s="1">
        <f t="shared" si="29"/>
        <v>225.21999999999989</v>
      </c>
      <c r="AI567" s="1">
        <f t="shared" si="30"/>
        <v>225.21999999999989</v>
      </c>
      <c r="AK567" s="1">
        <v>4.7800000000001104</v>
      </c>
      <c r="AO567" s="1">
        <v>4.7800000000001104</v>
      </c>
      <c r="AS567" s="1">
        <v>4.7800000000001104</v>
      </c>
      <c r="AW567" s="1">
        <v>4.7800000000001104</v>
      </c>
      <c r="BA567" s="1">
        <v>4.7800000000001104</v>
      </c>
      <c r="BE567" s="1">
        <v>4.7800000000001104</v>
      </c>
      <c r="BI567" s="1">
        <v>4.7800000000001104</v>
      </c>
      <c r="BM567" s="1">
        <v>4.7800000000001104</v>
      </c>
      <c r="BQ567" s="1">
        <v>4.7800000000001104</v>
      </c>
      <c r="BU567" s="1">
        <v>4.7800000000001104</v>
      </c>
    </row>
    <row r="568" spans="33:73" hidden="1" x14ac:dyDescent="0.25">
      <c r="AG568" s="1">
        <v>4.7700000000001097</v>
      </c>
      <c r="AH568" s="1">
        <f t="shared" si="29"/>
        <v>225.2299999999999</v>
      </c>
      <c r="AI568" s="1">
        <f t="shared" si="30"/>
        <v>225.2299999999999</v>
      </c>
      <c r="AK568" s="1">
        <v>4.7700000000001097</v>
      </c>
      <c r="AO568" s="1">
        <v>4.7700000000001097</v>
      </c>
      <c r="AS568" s="1">
        <v>4.7700000000001097</v>
      </c>
      <c r="AW568" s="1">
        <v>4.7700000000001097</v>
      </c>
      <c r="BA568" s="1">
        <v>4.7700000000001097</v>
      </c>
      <c r="BE568" s="1">
        <v>4.7700000000001097</v>
      </c>
      <c r="BI568" s="1">
        <v>4.7700000000001097</v>
      </c>
      <c r="BM568" s="1">
        <v>4.7700000000001097</v>
      </c>
      <c r="BQ568" s="1">
        <v>4.7700000000001097</v>
      </c>
      <c r="BU568" s="1">
        <v>4.7700000000001097</v>
      </c>
    </row>
    <row r="569" spans="33:73" hidden="1" x14ac:dyDescent="0.25">
      <c r="AG569" s="1">
        <v>4.7600000000001099</v>
      </c>
      <c r="AH569" s="1">
        <f t="shared" si="29"/>
        <v>225.2399999999999</v>
      </c>
      <c r="AI569" s="1">
        <f t="shared" si="30"/>
        <v>225.2399999999999</v>
      </c>
      <c r="AK569" s="1">
        <v>4.7600000000001099</v>
      </c>
      <c r="AO569" s="1">
        <v>4.7600000000001099</v>
      </c>
      <c r="AS569" s="1">
        <v>4.7600000000001099</v>
      </c>
      <c r="AW569" s="1">
        <v>4.7600000000001099</v>
      </c>
      <c r="BA569" s="1">
        <v>4.7600000000001099</v>
      </c>
      <c r="BE569" s="1">
        <v>4.7600000000001099</v>
      </c>
      <c r="BI569" s="1">
        <v>4.7600000000001099</v>
      </c>
      <c r="BM569" s="1">
        <v>4.7600000000001099</v>
      </c>
      <c r="BQ569" s="1">
        <v>4.7600000000001099</v>
      </c>
      <c r="BU569" s="1">
        <v>4.7600000000001099</v>
      </c>
    </row>
    <row r="570" spans="33:73" hidden="1" x14ac:dyDescent="0.25">
      <c r="AG570" s="1">
        <v>4.7500000000001101</v>
      </c>
      <c r="AH570" s="1">
        <f t="shared" si="29"/>
        <v>225.24999999999989</v>
      </c>
      <c r="AI570" s="1">
        <f t="shared" si="30"/>
        <v>225.24999999999989</v>
      </c>
      <c r="AK570" s="1">
        <v>4.7500000000001101</v>
      </c>
      <c r="AO570" s="1">
        <v>4.7500000000001101</v>
      </c>
      <c r="AS570" s="1">
        <v>4.7500000000001101</v>
      </c>
      <c r="AW570" s="1">
        <v>4.7500000000001101</v>
      </c>
      <c r="BA570" s="1">
        <v>4.7500000000001101</v>
      </c>
      <c r="BE570" s="1">
        <v>4.7500000000001101</v>
      </c>
      <c r="BI570" s="1">
        <v>4.7500000000001101</v>
      </c>
      <c r="BM570" s="1">
        <v>4.7500000000001101</v>
      </c>
      <c r="BQ570" s="1">
        <v>4.7500000000001101</v>
      </c>
      <c r="BU570" s="1">
        <v>4.7500000000001101</v>
      </c>
    </row>
    <row r="571" spans="33:73" hidden="1" x14ac:dyDescent="0.25">
      <c r="AG571" s="1">
        <v>4.7400000000001103</v>
      </c>
      <c r="AH571" s="1">
        <f t="shared" si="29"/>
        <v>225.25999999999988</v>
      </c>
      <c r="AI571" s="1">
        <f t="shared" si="30"/>
        <v>225.25999999999988</v>
      </c>
      <c r="AK571" s="1">
        <v>4.7400000000001103</v>
      </c>
      <c r="AO571" s="1">
        <v>4.7400000000001103</v>
      </c>
      <c r="AS571" s="1">
        <v>4.7400000000001103</v>
      </c>
      <c r="AW571" s="1">
        <v>4.7400000000001103</v>
      </c>
      <c r="BA571" s="1">
        <v>4.7400000000001103</v>
      </c>
      <c r="BE571" s="1">
        <v>4.7400000000001103</v>
      </c>
      <c r="BI571" s="1">
        <v>4.7400000000001103</v>
      </c>
      <c r="BM571" s="1">
        <v>4.7400000000001103</v>
      </c>
      <c r="BQ571" s="1">
        <v>4.7400000000001103</v>
      </c>
      <c r="BU571" s="1">
        <v>4.7400000000001103</v>
      </c>
    </row>
    <row r="572" spans="33:73" hidden="1" x14ac:dyDescent="0.25">
      <c r="AG572" s="1">
        <v>4.7300000000001097</v>
      </c>
      <c r="AH572" s="1">
        <f t="shared" si="29"/>
        <v>225.2699999999999</v>
      </c>
      <c r="AI572" s="1">
        <f t="shared" si="30"/>
        <v>225.2699999999999</v>
      </c>
      <c r="AK572" s="1">
        <v>4.7300000000001097</v>
      </c>
      <c r="AO572" s="1">
        <v>4.7300000000001097</v>
      </c>
      <c r="AS572" s="1">
        <v>4.7300000000001097</v>
      </c>
      <c r="AW572" s="1">
        <v>4.7300000000001097</v>
      </c>
      <c r="BA572" s="1">
        <v>4.7300000000001097</v>
      </c>
      <c r="BE572" s="1">
        <v>4.7300000000001097</v>
      </c>
      <c r="BI572" s="1">
        <v>4.7300000000001097</v>
      </c>
      <c r="BM572" s="1">
        <v>4.7300000000001097</v>
      </c>
      <c r="BQ572" s="1">
        <v>4.7300000000001097</v>
      </c>
      <c r="BU572" s="1">
        <v>4.7300000000001097</v>
      </c>
    </row>
    <row r="573" spans="33:73" hidden="1" x14ac:dyDescent="0.25">
      <c r="AG573" s="1">
        <v>4.7200000000001099</v>
      </c>
      <c r="AH573" s="1">
        <f t="shared" si="29"/>
        <v>225.27999999999989</v>
      </c>
      <c r="AI573" s="1">
        <f t="shared" si="30"/>
        <v>225.27999999999989</v>
      </c>
      <c r="AK573" s="1">
        <v>4.7200000000001099</v>
      </c>
      <c r="AO573" s="1">
        <v>4.7200000000001099</v>
      </c>
      <c r="AS573" s="1">
        <v>4.7200000000001099</v>
      </c>
      <c r="AW573" s="1">
        <v>4.7200000000001099</v>
      </c>
      <c r="BA573" s="1">
        <v>4.7200000000001099</v>
      </c>
      <c r="BE573" s="1">
        <v>4.7200000000001099</v>
      </c>
      <c r="BI573" s="1">
        <v>4.7200000000001099</v>
      </c>
      <c r="BM573" s="1">
        <v>4.7200000000001099</v>
      </c>
      <c r="BQ573" s="1">
        <v>4.7200000000001099</v>
      </c>
      <c r="BU573" s="1">
        <v>4.7200000000001099</v>
      </c>
    </row>
    <row r="574" spans="33:73" hidden="1" x14ac:dyDescent="0.25">
      <c r="AG574" s="1">
        <v>4.7100000000001101</v>
      </c>
      <c r="AH574" s="1">
        <f t="shared" si="29"/>
        <v>225.28999999999988</v>
      </c>
      <c r="AI574" s="1">
        <f t="shared" si="30"/>
        <v>225.28999999999988</v>
      </c>
      <c r="AK574" s="1">
        <v>4.7100000000001101</v>
      </c>
      <c r="AO574" s="1">
        <v>4.7100000000001101</v>
      </c>
      <c r="AS574" s="1">
        <v>4.7100000000001101</v>
      </c>
      <c r="AW574" s="1">
        <v>4.7100000000001101</v>
      </c>
      <c r="BA574" s="1">
        <v>4.7100000000001101</v>
      </c>
      <c r="BE574" s="1">
        <v>4.7100000000001101</v>
      </c>
      <c r="BI574" s="1">
        <v>4.7100000000001101</v>
      </c>
      <c r="BM574" s="1">
        <v>4.7100000000001101</v>
      </c>
      <c r="BQ574" s="1">
        <v>4.7100000000001101</v>
      </c>
      <c r="BU574" s="1">
        <v>4.7100000000001101</v>
      </c>
    </row>
    <row r="575" spans="33:73" hidden="1" x14ac:dyDescent="0.25">
      <c r="AG575" s="1">
        <v>4.7000000000001103</v>
      </c>
      <c r="AH575" s="1">
        <f t="shared" si="29"/>
        <v>225.2999999999999</v>
      </c>
      <c r="AI575" s="1">
        <f t="shared" si="30"/>
        <v>225.2999999999999</v>
      </c>
      <c r="AK575" s="1">
        <v>4.7000000000001103</v>
      </c>
      <c r="AO575" s="1">
        <v>4.7000000000001103</v>
      </c>
      <c r="AS575" s="1">
        <v>4.7000000000001103</v>
      </c>
      <c r="AW575" s="1">
        <v>4.7000000000001103</v>
      </c>
      <c r="BA575" s="1">
        <v>4.7000000000001103</v>
      </c>
      <c r="BE575" s="1">
        <v>4.7000000000001103</v>
      </c>
      <c r="BI575" s="1">
        <v>4.7000000000001103</v>
      </c>
      <c r="BM575" s="1">
        <v>4.7000000000001103</v>
      </c>
      <c r="BQ575" s="1">
        <v>4.7000000000001103</v>
      </c>
      <c r="BU575" s="1">
        <v>4.7000000000001103</v>
      </c>
    </row>
    <row r="576" spans="33:73" hidden="1" x14ac:dyDescent="0.25">
      <c r="AG576" s="1">
        <v>4.6900000000001096</v>
      </c>
      <c r="AH576" s="1">
        <f t="shared" si="29"/>
        <v>225.30999999999989</v>
      </c>
      <c r="AI576" s="1">
        <f t="shared" si="30"/>
        <v>225.30999999999989</v>
      </c>
      <c r="AK576" s="1">
        <v>4.6900000000001096</v>
      </c>
      <c r="AO576" s="1">
        <v>4.6900000000001096</v>
      </c>
      <c r="AS576" s="1">
        <v>4.6900000000001096</v>
      </c>
      <c r="AW576" s="1">
        <v>4.6900000000001096</v>
      </c>
      <c r="BA576" s="1">
        <v>4.6900000000001096</v>
      </c>
      <c r="BE576" s="1">
        <v>4.6900000000001096</v>
      </c>
      <c r="BI576" s="1">
        <v>4.6900000000001096</v>
      </c>
      <c r="BM576" s="1">
        <v>4.6900000000001096</v>
      </c>
      <c r="BQ576" s="1">
        <v>4.6900000000001096</v>
      </c>
      <c r="BU576" s="1">
        <v>4.6900000000001096</v>
      </c>
    </row>
    <row r="577" spans="33:73" hidden="1" x14ac:dyDescent="0.25">
      <c r="AG577" s="1">
        <v>4.6800000000001098</v>
      </c>
      <c r="AH577" s="1">
        <f t="shared" si="29"/>
        <v>225.31999999999988</v>
      </c>
      <c r="AI577" s="1">
        <f t="shared" si="30"/>
        <v>225.31999999999988</v>
      </c>
      <c r="AK577" s="1">
        <v>4.6800000000001098</v>
      </c>
      <c r="AO577" s="1">
        <v>4.6800000000001098</v>
      </c>
      <c r="AS577" s="1">
        <v>4.6800000000001098</v>
      </c>
      <c r="AW577" s="1">
        <v>4.6800000000001098</v>
      </c>
      <c r="BA577" s="1">
        <v>4.6800000000001098</v>
      </c>
      <c r="BE577" s="1">
        <v>4.6800000000001098</v>
      </c>
      <c r="BI577" s="1">
        <v>4.6800000000001098</v>
      </c>
      <c r="BM577" s="1">
        <v>4.6800000000001098</v>
      </c>
      <c r="BQ577" s="1">
        <v>4.6800000000001098</v>
      </c>
      <c r="BU577" s="1">
        <v>4.6800000000001098</v>
      </c>
    </row>
    <row r="578" spans="33:73" hidden="1" x14ac:dyDescent="0.25">
      <c r="AG578" s="1">
        <v>4.6700000000001101</v>
      </c>
      <c r="AH578" s="1">
        <f t="shared" si="29"/>
        <v>225.3299999999999</v>
      </c>
      <c r="AI578" s="1">
        <f t="shared" si="30"/>
        <v>225.3299999999999</v>
      </c>
      <c r="AK578" s="1">
        <v>4.6700000000001101</v>
      </c>
      <c r="AO578" s="1">
        <v>4.6700000000001101</v>
      </c>
      <c r="AS578" s="1">
        <v>4.6700000000001101</v>
      </c>
      <c r="AW578" s="1">
        <v>4.6700000000001101</v>
      </c>
      <c r="BA578" s="1">
        <v>4.6700000000001101</v>
      </c>
      <c r="BE578" s="1">
        <v>4.6700000000001101</v>
      </c>
      <c r="BI578" s="1">
        <v>4.6700000000001101</v>
      </c>
      <c r="BM578" s="1">
        <v>4.6700000000001101</v>
      </c>
      <c r="BQ578" s="1">
        <v>4.6700000000001101</v>
      </c>
      <c r="BU578" s="1">
        <v>4.6700000000001101</v>
      </c>
    </row>
    <row r="579" spans="33:73" hidden="1" x14ac:dyDescent="0.25">
      <c r="AG579" s="1">
        <v>4.6600000000001103</v>
      </c>
      <c r="AH579" s="1">
        <f t="shared" si="29"/>
        <v>225.33999999999989</v>
      </c>
      <c r="AI579" s="1">
        <f t="shared" si="30"/>
        <v>225.33999999999989</v>
      </c>
      <c r="AK579" s="1">
        <v>4.6600000000001103</v>
      </c>
      <c r="AO579" s="1">
        <v>4.6600000000001103</v>
      </c>
      <c r="AS579" s="1">
        <v>4.6600000000001103</v>
      </c>
      <c r="AW579" s="1">
        <v>4.6600000000001103</v>
      </c>
      <c r="BA579" s="1">
        <v>4.6600000000001103</v>
      </c>
      <c r="BE579" s="1">
        <v>4.6600000000001103</v>
      </c>
      <c r="BI579" s="1">
        <v>4.6600000000001103</v>
      </c>
      <c r="BM579" s="1">
        <v>4.6600000000001103</v>
      </c>
      <c r="BQ579" s="1">
        <v>4.6600000000001103</v>
      </c>
      <c r="BU579" s="1">
        <v>4.6600000000001103</v>
      </c>
    </row>
    <row r="580" spans="33:73" hidden="1" x14ac:dyDescent="0.25">
      <c r="AG580" s="1">
        <v>4.6500000000001096</v>
      </c>
      <c r="AH580" s="1">
        <f t="shared" si="29"/>
        <v>225.34999999999988</v>
      </c>
      <c r="AI580" s="1">
        <f t="shared" si="30"/>
        <v>225.34999999999988</v>
      </c>
      <c r="AK580" s="1">
        <v>4.6500000000001096</v>
      </c>
      <c r="AO580" s="1">
        <v>4.6500000000001096</v>
      </c>
      <c r="AS580" s="1">
        <v>4.6500000000001096</v>
      </c>
      <c r="AW580" s="1">
        <v>4.6500000000001096</v>
      </c>
      <c r="BA580" s="1">
        <v>4.6500000000001096</v>
      </c>
      <c r="BE580" s="1">
        <v>4.6500000000001096</v>
      </c>
      <c r="BI580" s="1">
        <v>4.6500000000001096</v>
      </c>
      <c r="BM580" s="1">
        <v>4.6500000000001096</v>
      </c>
      <c r="BQ580" s="1">
        <v>4.6500000000001096</v>
      </c>
      <c r="BU580" s="1">
        <v>4.6500000000001096</v>
      </c>
    </row>
    <row r="581" spans="33:73" hidden="1" x14ac:dyDescent="0.25">
      <c r="AG581" s="1">
        <v>4.6400000000001098</v>
      </c>
      <c r="AH581" s="1">
        <f t="shared" si="29"/>
        <v>225.3599999999999</v>
      </c>
      <c r="AI581" s="1">
        <f t="shared" si="30"/>
        <v>225.3599999999999</v>
      </c>
      <c r="AK581" s="1">
        <v>4.6400000000001098</v>
      </c>
      <c r="AO581" s="1">
        <v>4.6400000000001098</v>
      </c>
      <c r="AS581" s="1">
        <v>4.6400000000001098</v>
      </c>
      <c r="AW581" s="1">
        <v>4.6400000000001098</v>
      </c>
      <c r="BA581" s="1">
        <v>4.6400000000001098</v>
      </c>
      <c r="BE581" s="1">
        <v>4.6400000000001098</v>
      </c>
      <c r="BI581" s="1">
        <v>4.6400000000001098</v>
      </c>
      <c r="BM581" s="1">
        <v>4.6400000000001098</v>
      </c>
      <c r="BQ581" s="1">
        <v>4.6400000000001098</v>
      </c>
      <c r="BU581" s="1">
        <v>4.6400000000001098</v>
      </c>
    </row>
    <row r="582" spans="33:73" hidden="1" x14ac:dyDescent="0.25">
      <c r="AG582" s="1">
        <v>4.63000000000011</v>
      </c>
      <c r="AH582" s="1">
        <f t="shared" si="29"/>
        <v>225.36999999999989</v>
      </c>
      <c r="AI582" s="1">
        <f t="shared" si="30"/>
        <v>225.36999999999989</v>
      </c>
      <c r="AK582" s="1">
        <v>4.63000000000011</v>
      </c>
      <c r="AO582" s="1">
        <v>4.63000000000011</v>
      </c>
      <c r="AS582" s="1">
        <v>4.63000000000011</v>
      </c>
      <c r="AW582" s="1">
        <v>4.63000000000011</v>
      </c>
      <c r="BA582" s="1">
        <v>4.63000000000011</v>
      </c>
      <c r="BE582" s="1">
        <v>4.63000000000011</v>
      </c>
      <c r="BI582" s="1">
        <v>4.63000000000011</v>
      </c>
      <c r="BM582" s="1">
        <v>4.63000000000011</v>
      </c>
      <c r="BQ582" s="1">
        <v>4.63000000000011</v>
      </c>
      <c r="BU582" s="1">
        <v>4.63000000000011</v>
      </c>
    </row>
    <row r="583" spans="33:73" hidden="1" x14ac:dyDescent="0.25">
      <c r="AG583" s="1">
        <v>4.6200000000001102</v>
      </c>
      <c r="AH583" s="1">
        <f t="shared" si="29"/>
        <v>225.37999999999988</v>
      </c>
      <c r="AI583" s="1">
        <f t="shared" si="30"/>
        <v>225.37999999999988</v>
      </c>
      <c r="AK583" s="1">
        <v>4.6200000000001102</v>
      </c>
      <c r="AO583" s="1">
        <v>4.6200000000001102</v>
      </c>
      <c r="AS583" s="1">
        <v>4.6200000000001102</v>
      </c>
      <c r="AW583" s="1">
        <v>4.6200000000001102</v>
      </c>
      <c r="BA583" s="1">
        <v>4.6200000000001102</v>
      </c>
      <c r="BE583" s="1">
        <v>4.6200000000001102</v>
      </c>
      <c r="BI583" s="1">
        <v>4.6200000000001102</v>
      </c>
      <c r="BM583" s="1">
        <v>4.6200000000001102</v>
      </c>
      <c r="BQ583" s="1">
        <v>4.6200000000001102</v>
      </c>
      <c r="BU583" s="1">
        <v>4.6200000000001102</v>
      </c>
    </row>
    <row r="584" spans="33:73" hidden="1" x14ac:dyDescent="0.25">
      <c r="AG584" s="1">
        <v>4.6100000000001096</v>
      </c>
      <c r="AH584" s="1">
        <f t="shared" si="29"/>
        <v>225.3899999999999</v>
      </c>
      <c r="AI584" s="1">
        <f t="shared" si="30"/>
        <v>225.3899999999999</v>
      </c>
      <c r="AK584" s="1">
        <v>4.6100000000001096</v>
      </c>
      <c r="AO584" s="1">
        <v>4.6100000000001096</v>
      </c>
      <c r="AS584" s="1">
        <v>4.6100000000001096</v>
      </c>
      <c r="AW584" s="1">
        <v>4.6100000000001096</v>
      </c>
      <c r="BA584" s="1">
        <v>4.6100000000001096</v>
      </c>
      <c r="BE584" s="1">
        <v>4.6100000000001096</v>
      </c>
      <c r="BI584" s="1">
        <v>4.6100000000001096</v>
      </c>
      <c r="BM584" s="1">
        <v>4.6100000000001096</v>
      </c>
      <c r="BQ584" s="1">
        <v>4.6100000000001096</v>
      </c>
      <c r="BU584" s="1">
        <v>4.6100000000001096</v>
      </c>
    </row>
    <row r="585" spans="33:73" hidden="1" x14ac:dyDescent="0.25">
      <c r="AG585" s="1">
        <v>4.6000000000001204</v>
      </c>
      <c r="AH585" s="1">
        <f t="shared" si="29"/>
        <v>225.39999999999989</v>
      </c>
      <c r="AI585" s="1">
        <f t="shared" si="30"/>
        <v>225.39999999999989</v>
      </c>
      <c r="AK585" s="1">
        <v>4.6000000000001204</v>
      </c>
      <c r="AO585" s="1">
        <v>4.6000000000001204</v>
      </c>
      <c r="AS585" s="1">
        <v>4.6000000000001204</v>
      </c>
      <c r="AW585" s="1">
        <v>4.6000000000001204</v>
      </c>
      <c r="BA585" s="1">
        <v>4.6000000000001204</v>
      </c>
      <c r="BE585" s="1">
        <v>4.6000000000001204</v>
      </c>
      <c r="BI585" s="1">
        <v>4.6000000000001204</v>
      </c>
      <c r="BM585" s="1">
        <v>4.6000000000001204</v>
      </c>
      <c r="BQ585" s="1">
        <v>4.6000000000001204</v>
      </c>
      <c r="BU585" s="1">
        <v>4.6000000000001204</v>
      </c>
    </row>
    <row r="586" spans="33:73" hidden="1" x14ac:dyDescent="0.25">
      <c r="AG586" s="1">
        <v>4.5900000000001198</v>
      </c>
      <c r="AH586" s="1">
        <f t="shared" si="29"/>
        <v>225.40999999999988</v>
      </c>
      <c r="AI586" s="1">
        <f t="shared" si="30"/>
        <v>225.40999999999988</v>
      </c>
      <c r="AK586" s="1">
        <v>4.5900000000001198</v>
      </c>
      <c r="AO586" s="1">
        <v>4.5900000000001198</v>
      </c>
      <c r="AS586" s="1">
        <v>4.5900000000001198</v>
      </c>
      <c r="AW586" s="1">
        <v>4.5900000000001198</v>
      </c>
      <c r="BA586" s="1">
        <v>4.5900000000001198</v>
      </c>
      <c r="BE586" s="1">
        <v>4.5900000000001198</v>
      </c>
      <c r="BI586" s="1">
        <v>4.5900000000001198</v>
      </c>
      <c r="BM586" s="1">
        <v>4.5900000000001198</v>
      </c>
      <c r="BQ586" s="1">
        <v>4.5900000000001198</v>
      </c>
      <c r="BU586" s="1">
        <v>4.5900000000001198</v>
      </c>
    </row>
    <row r="587" spans="33:73" hidden="1" x14ac:dyDescent="0.25">
      <c r="AG587" s="1">
        <v>4.58000000000012</v>
      </c>
      <c r="AH587" s="1">
        <f t="shared" si="29"/>
        <v>225.41999999999987</v>
      </c>
      <c r="AI587" s="1">
        <f t="shared" si="30"/>
        <v>225.41999999999987</v>
      </c>
      <c r="AK587" s="1">
        <v>4.58000000000012</v>
      </c>
      <c r="AO587" s="1">
        <v>4.58000000000012</v>
      </c>
      <c r="AS587" s="1">
        <v>4.58000000000012</v>
      </c>
      <c r="AW587" s="1">
        <v>4.58000000000012</v>
      </c>
      <c r="BA587" s="1">
        <v>4.58000000000012</v>
      </c>
      <c r="BE587" s="1">
        <v>4.58000000000012</v>
      </c>
      <c r="BI587" s="1">
        <v>4.58000000000012</v>
      </c>
      <c r="BM587" s="1">
        <v>4.58000000000012</v>
      </c>
      <c r="BQ587" s="1">
        <v>4.58000000000012</v>
      </c>
      <c r="BU587" s="1">
        <v>4.58000000000012</v>
      </c>
    </row>
    <row r="588" spans="33:73" hidden="1" x14ac:dyDescent="0.25">
      <c r="AG588" s="1">
        <v>4.5700000000001202</v>
      </c>
      <c r="AH588" s="1">
        <f t="shared" si="29"/>
        <v>225.42999999999989</v>
      </c>
      <c r="AI588" s="1">
        <f t="shared" si="30"/>
        <v>225.42999999999989</v>
      </c>
      <c r="AK588" s="1">
        <v>4.5700000000001202</v>
      </c>
      <c r="AO588" s="1">
        <v>4.5700000000001202</v>
      </c>
      <c r="AS588" s="1">
        <v>4.5700000000001202</v>
      </c>
      <c r="AW588" s="1">
        <v>4.5700000000001202</v>
      </c>
      <c r="BA588" s="1">
        <v>4.5700000000001202</v>
      </c>
      <c r="BE588" s="1">
        <v>4.5700000000001202</v>
      </c>
      <c r="BI588" s="1">
        <v>4.5700000000001202</v>
      </c>
      <c r="BM588" s="1">
        <v>4.5700000000001202</v>
      </c>
      <c r="BQ588" s="1">
        <v>4.5700000000001202</v>
      </c>
      <c r="BU588" s="1">
        <v>4.5700000000001202</v>
      </c>
    </row>
    <row r="589" spans="33:73" hidden="1" x14ac:dyDescent="0.25">
      <c r="AG589" s="1">
        <v>4.5600000000001204</v>
      </c>
      <c r="AH589" s="1">
        <f t="shared" si="29"/>
        <v>225.43999999999988</v>
      </c>
      <c r="AI589" s="1">
        <f t="shared" si="30"/>
        <v>225.43999999999988</v>
      </c>
      <c r="AK589" s="1">
        <v>4.5600000000001204</v>
      </c>
      <c r="AO589" s="1">
        <v>4.5600000000001204</v>
      </c>
      <c r="AS589" s="1">
        <v>4.5600000000001204</v>
      </c>
      <c r="AW589" s="1">
        <v>4.5600000000001204</v>
      </c>
      <c r="BA589" s="1">
        <v>4.5600000000001204</v>
      </c>
      <c r="BE589" s="1">
        <v>4.5600000000001204</v>
      </c>
      <c r="BI589" s="1">
        <v>4.5600000000001204</v>
      </c>
      <c r="BM589" s="1">
        <v>4.5600000000001204</v>
      </c>
      <c r="BQ589" s="1">
        <v>4.5600000000001204</v>
      </c>
      <c r="BU589" s="1">
        <v>4.5600000000001204</v>
      </c>
    </row>
    <row r="590" spans="33:73" hidden="1" x14ac:dyDescent="0.25">
      <c r="AG590" s="1">
        <v>4.5500000000001197</v>
      </c>
      <c r="AH590" s="1">
        <f t="shared" si="29"/>
        <v>225.44999999999987</v>
      </c>
      <c r="AI590" s="1">
        <f t="shared" si="30"/>
        <v>225.44999999999987</v>
      </c>
      <c r="AK590" s="1">
        <v>4.5500000000001197</v>
      </c>
      <c r="AO590" s="1">
        <v>4.5500000000001197</v>
      </c>
      <c r="AS590" s="1">
        <v>4.5500000000001197</v>
      </c>
      <c r="AW590" s="1">
        <v>4.5500000000001197</v>
      </c>
      <c r="BA590" s="1">
        <v>4.5500000000001197</v>
      </c>
      <c r="BE590" s="1">
        <v>4.5500000000001197</v>
      </c>
      <c r="BI590" s="1">
        <v>4.5500000000001197</v>
      </c>
      <c r="BM590" s="1">
        <v>4.5500000000001197</v>
      </c>
      <c r="BQ590" s="1">
        <v>4.5500000000001197</v>
      </c>
      <c r="BU590" s="1">
        <v>4.5500000000001197</v>
      </c>
    </row>
    <row r="591" spans="33:73" hidden="1" x14ac:dyDescent="0.25">
      <c r="AG591" s="1">
        <v>4.5400000000001199</v>
      </c>
      <c r="AH591" s="1">
        <f t="shared" si="29"/>
        <v>225.45999999999987</v>
      </c>
      <c r="AI591" s="1">
        <f t="shared" si="30"/>
        <v>225.45999999999987</v>
      </c>
      <c r="AK591" s="1">
        <v>4.5400000000001199</v>
      </c>
      <c r="AO591" s="1">
        <v>4.5400000000001199</v>
      </c>
      <c r="AS591" s="1">
        <v>4.5400000000001199</v>
      </c>
      <c r="AW591" s="1">
        <v>4.5400000000001199</v>
      </c>
      <c r="BA591" s="1">
        <v>4.5400000000001199</v>
      </c>
      <c r="BE591" s="1">
        <v>4.5400000000001199</v>
      </c>
      <c r="BI591" s="1">
        <v>4.5400000000001199</v>
      </c>
      <c r="BM591" s="1">
        <v>4.5400000000001199</v>
      </c>
      <c r="BQ591" s="1">
        <v>4.5400000000001199</v>
      </c>
      <c r="BU591" s="1">
        <v>4.5400000000001199</v>
      </c>
    </row>
    <row r="592" spans="33:73" hidden="1" x14ac:dyDescent="0.25">
      <c r="AG592" s="1">
        <v>4.5300000000001202</v>
      </c>
      <c r="AH592" s="1">
        <f t="shared" si="29"/>
        <v>225.46999999999989</v>
      </c>
      <c r="AI592" s="1">
        <f t="shared" si="30"/>
        <v>225.46999999999989</v>
      </c>
      <c r="AK592" s="1">
        <v>4.5300000000001202</v>
      </c>
      <c r="AO592" s="1">
        <v>4.5300000000001202</v>
      </c>
      <c r="AS592" s="1">
        <v>4.5300000000001202</v>
      </c>
      <c r="AW592" s="1">
        <v>4.5300000000001202</v>
      </c>
      <c r="BA592" s="1">
        <v>4.5300000000001202</v>
      </c>
      <c r="BE592" s="1">
        <v>4.5300000000001202</v>
      </c>
      <c r="BI592" s="1">
        <v>4.5300000000001202</v>
      </c>
      <c r="BM592" s="1">
        <v>4.5300000000001202</v>
      </c>
      <c r="BQ592" s="1">
        <v>4.5300000000001202</v>
      </c>
      <c r="BU592" s="1">
        <v>4.5300000000001202</v>
      </c>
    </row>
    <row r="593" spans="33:73" hidden="1" x14ac:dyDescent="0.25">
      <c r="AG593" s="1">
        <v>4.5200000000001204</v>
      </c>
      <c r="AH593" s="1">
        <f t="shared" si="29"/>
        <v>225.47999999999988</v>
      </c>
      <c r="AI593" s="1">
        <f t="shared" si="30"/>
        <v>225.47999999999988</v>
      </c>
      <c r="AK593" s="1">
        <v>4.5200000000001204</v>
      </c>
      <c r="AO593" s="1">
        <v>4.5200000000001204</v>
      </c>
      <c r="AS593" s="1">
        <v>4.5200000000001204</v>
      </c>
      <c r="AW593" s="1">
        <v>4.5200000000001204</v>
      </c>
      <c r="BA593" s="1">
        <v>4.5200000000001204</v>
      </c>
      <c r="BE593" s="1">
        <v>4.5200000000001204</v>
      </c>
      <c r="BI593" s="1">
        <v>4.5200000000001204</v>
      </c>
      <c r="BM593" s="1">
        <v>4.5200000000001204</v>
      </c>
      <c r="BQ593" s="1">
        <v>4.5200000000001204</v>
      </c>
      <c r="BU593" s="1">
        <v>4.5200000000001204</v>
      </c>
    </row>
    <row r="594" spans="33:73" hidden="1" x14ac:dyDescent="0.25">
      <c r="AG594" s="1">
        <v>4.5100000000001197</v>
      </c>
      <c r="AH594" s="1">
        <f t="shared" si="29"/>
        <v>225.48999999999987</v>
      </c>
      <c r="AI594" s="1">
        <f t="shared" si="30"/>
        <v>225.48999999999987</v>
      </c>
      <c r="AK594" s="1">
        <v>4.5100000000001197</v>
      </c>
      <c r="AO594" s="1">
        <v>4.5100000000001197</v>
      </c>
      <c r="AS594" s="1">
        <v>4.5100000000001197</v>
      </c>
      <c r="AW594" s="1">
        <v>4.5100000000001197</v>
      </c>
      <c r="BA594" s="1">
        <v>4.5100000000001197</v>
      </c>
      <c r="BE594" s="1">
        <v>4.5100000000001197</v>
      </c>
      <c r="BI594" s="1">
        <v>4.5100000000001197</v>
      </c>
      <c r="BM594" s="1">
        <v>4.5100000000001197</v>
      </c>
      <c r="BQ594" s="1">
        <v>4.5100000000001197</v>
      </c>
      <c r="BU594" s="1">
        <v>4.5100000000001197</v>
      </c>
    </row>
    <row r="595" spans="33:73" hidden="1" x14ac:dyDescent="0.25">
      <c r="AG595" s="1">
        <v>4.5000000000001199</v>
      </c>
      <c r="AH595" s="1">
        <f t="shared" si="29"/>
        <v>225.49999999999989</v>
      </c>
      <c r="AI595" s="1">
        <f t="shared" si="30"/>
        <v>225.49999999999989</v>
      </c>
      <c r="AK595" s="1">
        <v>4.5000000000001199</v>
      </c>
      <c r="AO595" s="1">
        <v>4.5000000000001199</v>
      </c>
      <c r="AS595" s="1">
        <v>4.5000000000001199</v>
      </c>
      <c r="AW595" s="1">
        <v>4.5000000000001199</v>
      </c>
      <c r="BA595" s="1">
        <v>4.5000000000001199</v>
      </c>
      <c r="BE595" s="1">
        <v>4.5000000000001199</v>
      </c>
      <c r="BI595" s="1">
        <v>4.5000000000001199</v>
      </c>
      <c r="BM595" s="1">
        <v>4.5000000000001199</v>
      </c>
      <c r="BQ595" s="1">
        <v>4.5000000000001199</v>
      </c>
      <c r="BU595" s="1">
        <v>4.5000000000001199</v>
      </c>
    </row>
    <row r="596" spans="33:73" hidden="1" x14ac:dyDescent="0.25">
      <c r="AG596" s="1">
        <v>4.4900000000001201</v>
      </c>
      <c r="AH596" s="1">
        <f t="shared" si="29"/>
        <v>225.50999999999988</v>
      </c>
      <c r="AI596" s="1">
        <f t="shared" si="30"/>
        <v>225.50999999999988</v>
      </c>
      <c r="AK596" s="1">
        <v>4.4900000000001201</v>
      </c>
      <c r="AO596" s="1">
        <v>4.4900000000001201</v>
      </c>
      <c r="AS596" s="1">
        <v>4.4900000000001201</v>
      </c>
      <c r="AW596" s="1">
        <v>4.4900000000001201</v>
      </c>
      <c r="BA596" s="1">
        <v>4.4900000000001201</v>
      </c>
      <c r="BE596" s="1">
        <v>4.4900000000001201</v>
      </c>
      <c r="BI596" s="1">
        <v>4.4900000000001201</v>
      </c>
      <c r="BM596" s="1">
        <v>4.4900000000001201</v>
      </c>
      <c r="BQ596" s="1">
        <v>4.4900000000001201</v>
      </c>
      <c r="BU596" s="1">
        <v>4.4900000000001201</v>
      </c>
    </row>
    <row r="597" spans="33:73" hidden="1" x14ac:dyDescent="0.25">
      <c r="AG597" s="1">
        <v>4.4800000000001203</v>
      </c>
      <c r="AH597" s="1">
        <f t="shared" si="29"/>
        <v>225.51999999999987</v>
      </c>
      <c r="AI597" s="1">
        <f t="shared" si="30"/>
        <v>225.51999999999987</v>
      </c>
      <c r="AK597" s="1">
        <v>4.4800000000001203</v>
      </c>
      <c r="AO597" s="1">
        <v>4.4800000000001203</v>
      </c>
      <c r="AS597" s="1">
        <v>4.4800000000001203</v>
      </c>
      <c r="AW597" s="1">
        <v>4.4800000000001203</v>
      </c>
      <c r="BA597" s="1">
        <v>4.4800000000001203</v>
      </c>
      <c r="BE597" s="1">
        <v>4.4800000000001203</v>
      </c>
      <c r="BI597" s="1">
        <v>4.4800000000001203</v>
      </c>
      <c r="BM597" s="1">
        <v>4.4800000000001203</v>
      </c>
      <c r="BQ597" s="1">
        <v>4.4800000000001203</v>
      </c>
      <c r="BU597" s="1">
        <v>4.4800000000001203</v>
      </c>
    </row>
    <row r="598" spans="33:73" hidden="1" x14ac:dyDescent="0.25">
      <c r="AG598" s="1">
        <v>4.4700000000001197</v>
      </c>
      <c r="AH598" s="1">
        <f t="shared" si="29"/>
        <v>225.52999999999989</v>
      </c>
      <c r="AI598" s="1">
        <f t="shared" si="30"/>
        <v>225.52999999999989</v>
      </c>
      <c r="AK598" s="1">
        <v>4.4700000000001197</v>
      </c>
      <c r="AO598" s="1">
        <v>4.4700000000001197</v>
      </c>
      <c r="AS598" s="1">
        <v>4.4700000000001197</v>
      </c>
      <c r="AW598" s="1">
        <v>4.4700000000001197</v>
      </c>
      <c r="BA598" s="1">
        <v>4.4700000000001197</v>
      </c>
      <c r="BE598" s="1">
        <v>4.4700000000001197</v>
      </c>
      <c r="BI598" s="1">
        <v>4.4700000000001197</v>
      </c>
      <c r="BM598" s="1">
        <v>4.4700000000001197</v>
      </c>
      <c r="BQ598" s="1">
        <v>4.4700000000001197</v>
      </c>
      <c r="BU598" s="1">
        <v>4.4700000000001197</v>
      </c>
    </row>
    <row r="599" spans="33:73" hidden="1" x14ac:dyDescent="0.25">
      <c r="AG599" s="1">
        <v>4.4600000000001199</v>
      </c>
      <c r="AH599" s="1">
        <f t="shared" si="29"/>
        <v>225.53999999999988</v>
      </c>
      <c r="AI599" s="1">
        <f t="shared" si="30"/>
        <v>225.53999999999988</v>
      </c>
      <c r="AK599" s="1">
        <v>4.4600000000001199</v>
      </c>
      <c r="AO599" s="1">
        <v>4.4600000000001199</v>
      </c>
      <c r="AS599" s="1">
        <v>4.4600000000001199</v>
      </c>
      <c r="AW599" s="1">
        <v>4.4600000000001199</v>
      </c>
      <c r="BA599" s="1">
        <v>4.4600000000001199</v>
      </c>
      <c r="BE599" s="1">
        <v>4.4600000000001199</v>
      </c>
      <c r="BI599" s="1">
        <v>4.4600000000001199</v>
      </c>
      <c r="BM599" s="1">
        <v>4.4600000000001199</v>
      </c>
      <c r="BQ599" s="1">
        <v>4.4600000000001199</v>
      </c>
      <c r="BU599" s="1">
        <v>4.4600000000001199</v>
      </c>
    </row>
    <row r="600" spans="33:73" hidden="1" x14ac:dyDescent="0.25">
      <c r="AG600" s="1">
        <v>4.4500000000001201</v>
      </c>
      <c r="AH600" s="1">
        <f t="shared" si="29"/>
        <v>225.54999999999987</v>
      </c>
      <c r="AI600" s="1">
        <f t="shared" si="30"/>
        <v>225.54999999999987</v>
      </c>
      <c r="AK600" s="1">
        <v>4.4500000000001201</v>
      </c>
      <c r="AO600" s="1">
        <v>4.4500000000001201</v>
      </c>
      <c r="AS600" s="1">
        <v>4.4500000000001201</v>
      </c>
      <c r="AW600" s="1">
        <v>4.4500000000001201</v>
      </c>
      <c r="BA600" s="1">
        <v>4.4500000000001201</v>
      </c>
      <c r="BE600" s="1">
        <v>4.4500000000001201</v>
      </c>
      <c r="BI600" s="1">
        <v>4.4500000000001201</v>
      </c>
      <c r="BM600" s="1">
        <v>4.4500000000001201</v>
      </c>
      <c r="BQ600" s="1">
        <v>4.4500000000001201</v>
      </c>
      <c r="BU600" s="1">
        <v>4.4500000000001201</v>
      </c>
    </row>
    <row r="601" spans="33:73" hidden="1" x14ac:dyDescent="0.25">
      <c r="AG601" s="1">
        <v>4.4400000000001203</v>
      </c>
      <c r="AH601" s="1">
        <f t="shared" si="29"/>
        <v>225.55999999999989</v>
      </c>
      <c r="AI601" s="1">
        <f t="shared" si="30"/>
        <v>225.55999999999989</v>
      </c>
      <c r="AK601" s="1">
        <v>4.4400000000001203</v>
      </c>
      <c r="AO601" s="1">
        <v>4.4400000000001203</v>
      </c>
      <c r="AS601" s="1">
        <v>4.4400000000001203</v>
      </c>
      <c r="AW601" s="1">
        <v>4.4400000000001203</v>
      </c>
      <c r="BA601" s="1">
        <v>4.4400000000001203</v>
      </c>
      <c r="BE601" s="1">
        <v>4.4400000000001203</v>
      </c>
      <c r="BI601" s="1">
        <v>4.4400000000001203</v>
      </c>
      <c r="BM601" s="1">
        <v>4.4400000000001203</v>
      </c>
      <c r="BQ601" s="1">
        <v>4.4400000000001203</v>
      </c>
      <c r="BU601" s="1">
        <v>4.4400000000001203</v>
      </c>
    </row>
    <row r="602" spans="33:73" hidden="1" x14ac:dyDescent="0.25">
      <c r="AG602" s="1">
        <v>4.4300000000001196</v>
      </c>
      <c r="AH602" s="1">
        <f t="shared" si="29"/>
        <v>225.56999999999988</v>
      </c>
      <c r="AI602" s="1">
        <f t="shared" si="30"/>
        <v>225.56999999999988</v>
      </c>
      <c r="AK602" s="1">
        <v>4.4300000000001196</v>
      </c>
      <c r="AO602" s="1">
        <v>4.4300000000001196</v>
      </c>
      <c r="AS602" s="1">
        <v>4.4300000000001196</v>
      </c>
      <c r="AW602" s="1">
        <v>4.4300000000001196</v>
      </c>
      <c r="BA602" s="1">
        <v>4.4300000000001196</v>
      </c>
      <c r="BE602" s="1">
        <v>4.4300000000001196</v>
      </c>
      <c r="BI602" s="1">
        <v>4.4300000000001196</v>
      </c>
      <c r="BM602" s="1">
        <v>4.4300000000001196</v>
      </c>
      <c r="BQ602" s="1">
        <v>4.4300000000001196</v>
      </c>
      <c r="BU602" s="1">
        <v>4.4300000000001196</v>
      </c>
    </row>
    <row r="603" spans="33:73" hidden="1" x14ac:dyDescent="0.25">
      <c r="AG603" s="1">
        <v>4.4200000000001198</v>
      </c>
      <c r="AH603" s="1">
        <f t="shared" si="29"/>
        <v>225.57999999999987</v>
      </c>
      <c r="AI603" s="1">
        <f t="shared" si="30"/>
        <v>225.57999999999987</v>
      </c>
      <c r="AK603" s="1">
        <v>4.4200000000001198</v>
      </c>
      <c r="AO603" s="1">
        <v>4.4200000000001198</v>
      </c>
      <c r="AS603" s="1">
        <v>4.4200000000001198</v>
      </c>
      <c r="AW603" s="1">
        <v>4.4200000000001198</v>
      </c>
      <c r="BA603" s="1">
        <v>4.4200000000001198</v>
      </c>
      <c r="BE603" s="1">
        <v>4.4200000000001198</v>
      </c>
      <c r="BI603" s="1">
        <v>4.4200000000001198</v>
      </c>
      <c r="BM603" s="1">
        <v>4.4200000000001198</v>
      </c>
      <c r="BQ603" s="1">
        <v>4.4200000000001198</v>
      </c>
      <c r="BU603" s="1">
        <v>4.4200000000001198</v>
      </c>
    </row>
    <row r="604" spans="33:73" hidden="1" x14ac:dyDescent="0.25">
      <c r="AG604" s="1">
        <v>4.41000000000012</v>
      </c>
      <c r="AH604" s="1">
        <f t="shared" si="29"/>
        <v>225.58999999999989</v>
      </c>
      <c r="AI604" s="1">
        <f t="shared" si="30"/>
        <v>225.58999999999989</v>
      </c>
      <c r="AK604" s="1">
        <v>4.41000000000012</v>
      </c>
      <c r="AO604" s="1">
        <v>4.41000000000012</v>
      </c>
      <c r="AS604" s="1">
        <v>4.41000000000012</v>
      </c>
      <c r="AW604" s="1">
        <v>4.41000000000012</v>
      </c>
      <c r="BA604" s="1">
        <v>4.41000000000012</v>
      </c>
      <c r="BE604" s="1">
        <v>4.41000000000012</v>
      </c>
      <c r="BI604" s="1">
        <v>4.41000000000012</v>
      </c>
      <c r="BM604" s="1">
        <v>4.41000000000012</v>
      </c>
      <c r="BQ604" s="1">
        <v>4.41000000000012</v>
      </c>
      <c r="BU604" s="1">
        <v>4.41000000000012</v>
      </c>
    </row>
    <row r="605" spans="33:73" hidden="1" x14ac:dyDescent="0.25">
      <c r="AG605" s="1">
        <v>4.4000000000001203</v>
      </c>
      <c r="AH605" s="1">
        <f t="shared" si="29"/>
        <v>225.59999999999988</v>
      </c>
      <c r="AI605" s="1">
        <f t="shared" si="30"/>
        <v>225.59999999999988</v>
      </c>
      <c r="AK605" s="1">
        <v>4.4000000000001203</v>
      </c>
      <c r="AO605" s="1">
        <v>4.4000000000001203</v>
      </c>
      <c r="AS605" s="1">
        <v>4.4000000000001203</v>
      </c>
      <c r="AW605" s="1">
        <v>4.4000000000001203</v>
      </c>
      <c r="BA605" s="1">
        <v>4.4000000000001203</v>
      </c>
      <c r="BE605" s="1">
        <v>4.4000000000001203</v>
      </c>
      <c r="BI605" s="1">
        <v>4.4000000000001203</v>
      </c>
      <c r="BM605" s="1">
        <v>4.4000000000001203</v>
      </c>
      <c r="BQ605" s="1">
        <v>4.4000000000001203</v>
      </c>
      <c r="BU605" s="1">
        <v>4.4000000000001203</v>
      </c>
    </row>
    <row r="606" spans="33:73" hidden="1" x14ac:dyDescent="0.25">
      <c r="AG606" s="1">
        <v>4.3900000000001196</v>
      </c>
      <c r="AH606" s="1">
        <f t="shared" si="29"/>
        <v>225.60999999999987</v>
      </c>
      <c r="AI606" s="1">
        <f t="shared" si="30"/>
        <v>225.60999999999987</v>
      </c>
      <c r="AK606" s="1">
        <v>4.3900000000001196</v>
      </c>
      <c r="AO606" s="1">
        <v>4.3900000000001196</v>
      </c>
      <c r="AS606" s="1">
        <v>4.3900000000001196</v>
      </c>
      <c r="AW606" s="1">
        <v>4.3900000000001196</v>
      </c>
      <c r="BA606" s="1">
        <v>4.3900000000001196</v>
      </c>
      <c r="BE606" s="1">
        <v>4.3900000000001196</v>
      </c>
      <c r="BI606" s="1">
        <v>4.3900000000001196</v>
      </c>
      <c r="BM606" s="1">
        <v>4.3900000000001196</v>
      </c>
      <c r="BQ606" s="1">
        <v>4.3900000000001196</v>
      </c>
      <c r="BU606" s="1">
        <v>4.3900000000001196</v>
      </c>
    </row>
    <row r="607" spans="33:73" hidden="1" x14ac:dyDescent="0.25">
      <c r="AG607" s="1">
        <v>4.3800000000001198</v>
      </c>
      <c r="AH607" s="1">
        <f t="shared" si="29"/>
        <v>225.61999999999989</v>
      </c>
      <c r="AI607" s="1">
        <f t="shared" si="30"/>
        <v>225.61999999999989</v>
      </c>
      <c r="AK607" s="1">
        <v>4.3800000000001198</v>
      </c>
      <c r="AO607" s="1">
        <v>4.3800000000001198</v>
      </c>
      <c r="AS607" s="1">
        <v>4.3800000000001198</v>
      </c>
      <c r="AW607" s="1">
        <v>4.3800000000001198</v>
      </c>
      <c r="BA607" s="1">
        <v>4.3800000000001198</v>
      </c>
      <c r="BE607" s="1">
        <v>4.3800000000001198</v>
      </c>
      <c r="BI607" s="1">
        <v>4.3800000000001198</v>
      </c>
      <c r="BM607" s="1">
        <v>4.3800000000001198</v>
      </c>
      <c r="BQ607" s="1">
        <v>4.3800000000001198</v>
      </c>
      <c r="BU607" s="1">
        <v>4.3800000000001198</v>
      </c>
    </row>
    <row r="608" spans="33:73" hidden="1" x14ac:dyDescent="0.25">
      <c r="AG608" s="1">
        <v>4.37000000000012</v>
      </c>
      <c r="AH608" s="1">
        <f t="shared" si="29"/>
        <v>225.62999999999988</v>
      </c>
      <c r="AI608" s="1">
        <f t="shared" si="30"/>
        <v>225.62999999999988</v>
      </c>
      <c r="AK608" s="1">
        <v>4.37000000000012</v>
      </c>
      <c r="AO608" s="1">
        <v>4.37000000000012</v>
      </c>
      <c r="AS608" s="1">
        <v>4.37000000000012</v>
      </c>
      <c r="AW608" s="1">
        <v>4.37000000000012</v>
      </c>
      <c r="BA608" s="1">
        <v>4.37000000000012</v>
      </c>
      <c r="BE608" s="1">
        <v>4.37000000000012</v>
      </c>
      <c r="BI608" s="1">
        <v>4.37000000000012</v>
      </c>
      <c r="BM608" s="1">
        <v>4.37000000000012</v>
      </c>
      <c r="BQ608" s="1">
        <v>4.37000000000012</v>
      </c>
      <c r="BU608" s="1">
        <v>4.37000000000012</v>
      </c>
    </row>
    <row r="609" spans="33:73" hidden="1" x14ac:dyDescent="0.25">
      <c r="AG609" s="1">
        <v>4.3600000000001202</v>
      </c>
      <c r="AH609" s="1">
        <f t="shared" si="29"/>
        <v>225.63999999999987</v>
      </c>
      <c r="AI609" s="1">
        <f t="shared" si="30"/>
        <v>225.63999999999987</v>
      </c>
      <c r="AK609" s="1">
        <v>4.3600000000001202</v>
      </c>
      <c r="AO609" s="1">
        <v>4.3600000000001202</v>
      </c>
      <c r="AS609" s="1">
        <v>4.3600000000001202</v>
      </c>
      <c r="AW609" s="1">
        <v>4.3600000000001202</v>
      </c>
      <c r="BA609" s="1">
        <v>4.3600000000001202</v>
      </c>
      <c r="BE609" s="1">
        <v>4.3600000000001202</v>
      </c>
      <c r="BI609" s="1">
        <v>4.3600000000001202</v>
      </c>
      <c r="BM609" s="1">
        <v>4.3600000000001202</v>
      </c>
      <c r="BQ609" s="1">
        <v>4.3600000000001202</v>
      </c>
      <c r="BU609" s="1">
        <v>4.3600000000001202</v>
      </c>
    </row>
    <row r="610" spans="33:73" hidden="1" x14ac:dyDescent="0.25">
      <c r="AG610" s="1">
        <v>4.3500000000001204</v>
      </c>
      <c r="AH610" s="1">
        <f t="shared" si="29"/>
        <v>225.64999999999989</v>
      </c>
      <c r="AI610" s="1">
        <f t="shared" si="30"/>
        <v>225.64999999999989</v>
      </c>
      <c r="AK610" s="1">
        <v>4.3500000000001204</v>
      </c>
      <c r="AO610" s="1">
        <v>4.3500000000001204</v>
      </c>
      <c r="AS610" s="1">
        <v>4.3500000000001204</v>
      </c>
      <c r="AW610" s="1">
        <v>4.3500000000001204</v>
      </c>
      <c r="BA610" s="1">
        <v>4.3500000000001204</v>
      </c>
      <c r="BE610" s="1">
        <v>4.3500000000001204</v>
      </c>
      <c r="BI610" s="1">
        <v>4.3500000000001204</v>
      </c>
      <c r="BM610" s="1">
        <v>4.3500000000001204</v>
      </c>
      <c r="BQ610" s="1">
        <v>4.3500000000001204</v>
      </c>
      <c r="BU610" s="1">
        <v>4.3500000000001204</v>
      </c>
    </row>
    <row r="611" spans="33:73" hidden="1" x14ac:dyDescent="0.25">
      <c r="AG611" s="1">
        <v>4.3400000000001198</v>
      </c>
      <c r="AH611" s="1">
        <f t="shared" si="29"/>
        <v>225.65999999999988</v>
      </c>
      <c r="AI611" s="1">
        <f t="shared" si="30"/>
        <v>225.65999999999988</v>
      </c>
      <c r="AK611" s="1">
        <v>4.3400000000001198</v>
      </c>
      <c r="AO611" s="1">
        <v>4.3400000000001198</v>
      </c>
      <c r="AS611" s="1">
        <v>4.3400000000001198</v>
      </c>
      <c r="AW611" s="1">
        <v>4.3400000000001198</v>
      </c>
      <c r="BA611" s="1">
        <v>4.3400000000001198</v>
      </c>
      <c r="BE611" s="1">
        <v>4.3400000000001198</v>
      </c>
      <c r="BI611" s="1">
        <v>4.3400000000001198</v>
      </c>
      <c r="BM611" s="1">
        <v>4.3400000000001198</v>
      </c>
      <c r="BQ611" s="1">
        <v>4.3400000000001198</v>
      </c>
      <c r="BU611" s="1">
        <v>4.3400000000001198</v>
      </c>
    </row>
    <row r="612" spans="33:73" hidden="1" x14ac:dyDescent="0.25">
      <c r="AG612" s="1">
        <v>4.33000000000012</v>
      </c>
      <c r="AH612" s="1">
        <f t="shared" si="29"/>
        <v>225.66999999999987</v>
      </c>
      <c r="AI612" s="1">
        <f t="shared" si="30"/>
        <v>225.66999999999987</v>
      </c>
      <c r="AK612" s="1">
        <v>4.33000000000012</v>
      </c>
      <c r="AO612" s="1">
        <v>4.33000000000012</v>
      </c>
      <c r="AS612" s="1">
        <v>4.33000000000012</v>
      </c>
      <c r="AW612" s="1">
        <v>4.33000000000012</v>
      </c>
      <c r="BA612" s="1">
        <v>4.33000000000012</v>
      </c>
      <c r="BE612" s="1">
        <v>4.33000000000012</v>
      </c>
      <c r="BI612" s="1">
        <v>4.33000000000012</v>
      </c>
      <c r="BM612" s="1">
        <v>4.33000000000012</v>
      </c>
      <c r="BQ612" s="1">
        <v>4.33000000000012</v>
      </c>
      <c r="BU612" s="1">
        <v>4.33000000000012</v>
      </c>
    </row>
    <row r="613" spans="33:73" hidden="1" x14ac:dyDescent="0.25">
      <c r="AG613" s="1">
        <v>4.3200000000001202</v>
      </c>
      <c r="AH613" s="1">
        <f t="shared" si="29"/>
        <v>225.67999999999989</v>
      </c>
      <c r="AI613" s="1">
        <f t="shared" si="30"/>
        <v>225.67999999999989</v>
      </c>
      <c r="AK613" s="1">
        <v>4.3200000000001202</v>
      </c>
      <c r="AO613" s="1">
        <v>4.3200000000001202</v>
      </c>
      <c r="AS613" s="1">
        <v>4.3200000000001202</v>
      </c>
      <c r="AW613" s="1">
        <v>4.3200000000001202</v>
      </c>
      <c r="BA613" s="1">
        <v>4.3200000000001202</v>
      </c>
      <c r="BE613" s="1">
        <v>4.3200000000001202</v>
      </c>
      <c r="BI613" s="1">
        <v>4.3200000000001202</v>
      </c>
      <c r="BM613" s="1">
        <v>4.3200000000001202</v>
      </c>
      <c r="BQ613" s="1">
        <v>4.3200000000001202</v>
      </c>
      <c r="BU613" s="1">
        <v>4.3200000000001202</v>
      </c>
    </row>
    <row r="614" spans="33:73" hidden="1" x14ac:dyDescent="0.25">
      <c r="AG614" s="1">
        <v>4.3100000000001204</v>
      </c>
      <c r="AH614" s="1">
        <f t="shared" si="29"/>
        <v>225.68999999999988</v>
      </c>
      <c r="AI614" s="1">
        <f t="shared" si="30"/>
        <v>225.68999999999988</v>
      </c>
      <c r="AK614" s="1">
        <v>4.3100000000001204</v>
      </c>
      <c r="AO614" s="1">
        <v>4.3100000000001204</v>
      </c>
      <c r="AS614" s="1">
        <v>4.3100000000001204</v>
      </c>
      <c r="AW614" s="1">
        <v>4.3100000000001204</v>
      </c>
      <c r="BA614" s="1">
        <v>4.3100000000001204</v>
      </c>
      <c r="BE614" s="1">
        <v>4.3100000000001204</v>
      </c>
      <c r="BI614" s="1">
        <v>4.3100000000001204</v>
      </c>
      <c r="BM614" s="1">
        <v>4.3100000000001204</v>
      </c>
      <c r="BQ614" s="1">
        <v>4.3100000000001204</v>
      </c>
      <c r="BU614" s="1">
        <v>4.3100000000001204</v>
      </c>
    </row>
    <row r="615" spans="33:73" hidden="1" x14ac:dyDescent="0.25">
      <c r="AG615" s="1">
        <v>4.3000000000001197</v>
      </c>
      <c r="AH615" s="1">
        <f t="shared" si="29"/>
        <v>225.69999999999987</v>
      </c>
      <c r="AI615" s="1">
        <f t="shared" si="30"/>
        <v>225.69999999999987</v>
      </c>
      <c r="AK615" s="1">
        <v>4.3000000000001197</v>
      </c>
      <c r="AO615" s="1">
        <v>4.3000000000001197</v>
      </c>
      <c r="AS615" s="1">
        <v>4.3000000000001197</v>
      </c>
      <c r="AW615" s="1">
        <v>4.3000000000001197</v>
      </c>
      <c r="BA615" s="1">
        <v>4.3000000000001197</v>
      </c>
      <c r="BE615" s="1">
        <v>4.3000000000001197</v>
      </c>
      <c r="BI615" s="1">
        <v>4.3000000000001197</v>
      </c>
      <c r="BM615" s="1">
        <v>4.3000000000001197</v>
      </c>
      <c r="BQ615" s="1">
        <v>4.3000000000001197</v>
      </c>
      <c r="BU615" s="1">
        <v>4.3000000000001197</v>
      </c>
    </row>
    <row r="616" spans="33:73" hidden="1" x14ac:dyDescent="0.25">
      <c r="AG616" s="1">
        <v>4.2900000000001199</v>
      </c>
      <c r="AH616" s="1">
        <f t="shared" si="29"/>
        <v>225.70999999999987</v>
      </c>
      <c r="AI616" s="1">
        <f t="shared" si="30"/>
        <v>225.70999999999987</v>
      </c>
      <c r="AK616" s="1">
        <v>4.2900000000001199</v>
      </c>
      <c r="AO616" s="1">
        <v>4.2900000000001199</v>
      </c>
      <c r="AS616" s="1">
        <v>4.2900000000001199</v>
      </c>
      <c r="AW616" s="1">
        <v>4.2900000000001199</v>
      </c>
      <c r="BA616" s="1">
        <v>4.2900000000001199</v>
      </c>
      <c r="BE616" s="1">
        <v>4.2900000000001199</v>
      </c>
      <c r="BI616" s="1">
        <v>4.2900000000001199</v>
      </c>
      <c r="BM616" s="1">
        <v>4.2900000000001199</v>
      </c>
      <c r="BQ616" s="1">
        <v>4.2900000000001199</v>
      </c>
      <c r="BU616" s="1">
        <v>4.2900000000001199</v>
      </c>
    </row>
    <row r="617" spans="33:73" hidden="1" x14ac:dyDescent="0.25">
      <c r="AG617" s="1">
        <v>4.2800000000001202</v>
      </c>
      <c r="AH617" s="1">
        <f t="shared" si="29"/>
        <v>225.71999999999989</v>
      </c>
      <c r="AI617" s="1">
        <f t="shared" si="30"/>
        <v>225.71999999999989</v>
      </c>
      <c r="AK617" s="1">
        <v>4.2800000000001202</v>
      </c>
      <c r="AO617" s="1">
        <v>4.2800000000001202</v>
      </c>
      <c r="AS617" s="1">
        <v>4.2800000000001202</v>
      </c>
      <c r="AW617" s="1">
        <v>4.2800000000001202</v>
      </c>
      <c r="BA617" s="1">
        <v>4.2800000000001202</v>
      </c>
      <c r="BE617" s="1">
        <v>4.2800000000001202</v>
      </c>
      <c r="BI617" s="1">
        <v>4.2800000000001202</v>
      </c>
      <c r="BM617" s="1">
        <v>4.2800000000001202</v>
      </c>
      <c r="BQ617" s="1">
        <v>4.2800000000001202</v>
      </c>
      <c r="BU617" s="1">
        <v>4.2800000000001202</v>
      </c>
    </row>
    <row r="618" spans="33:73" hidden="1" x14ac:dyDescent="0.25">
      <c r="AG618" s="1">
        <v>4.2700000000001204</v>
      </c>
      <c r="AH618" s="1">
        <f t="shared" si="29"/>
        <v>225.72999999999988</v>
      </c>
      <c r="AI618" s="1">
        <f t="shared" si="30"/>
        <v>225.72999999999988</v>
      </c>
      <c r="AK618" s="1">
        <v>4.2700000000001204</v>
      </c>
      <c r="AO618" s="1">
        <v>4.2700000000001204</v>
      </c>
      <c r="AS618" s="1">
        <v>4.2700000000001204</v>
      </c>
      <c r="AW618" s="1">
        <v>4.2700000000001204</v>
      </c>
      <c r="BA618" s="1">
        <v>4.2700000000001204</v>
      </c>
      <c r="BE618" s="1">
        <v>4.2700000000001204</v>
      </c>
      <c r="BI618" s="1">
        <v>4.2700000000001204</v>
      </c>
      <c r="BM618" s="1">
        <v>4.2700000000001204</v>
      </c>
      <c r="BQ618" s="1">
        <v>4.2700000000001204</v>
      </c>
      <c r="BU618" s="1">
        <v>4.2700000000001204</v>
      </c>
    </row>
    <row r="619" spans="33:73" hidden="1" x14ac:dyDescent="0.25">
      <c r="AG619" s="1">
        <v>4.2600000000001197</v>
      </c>
      <c r="AH619" s="1">
        <f t="shared" si="29"/>
        <v>225.73999999999987</v>
      </c>
      <c r="AI619" s="1">
        <f t="shared" si="30"/>
        <v>225.73999999999987</v>
      </c>
      <c r="AK619" s="1">
        <v>4.2600000000001197</v>
      </c>
      <c r="AO619" s="1">
        <v>4.2600000000001197</v>
      </c>
      <c r="AS619" s="1">
        <v>4.2600000000001197</v>
      </c>
      <c r="AW619" s="1">
        <v>4.2600000000001197</v>
      </c>
      <c r="BA619" s="1">
        <v>4.2600000000001197</v>
      </c>
      <c r="BE619" s="1">
        <v>4.2600000000001197</v>
      </c>
      <c r="BI619" s="1">
        <v>4.2600000000001197</v>
      </c>
      <c r="BM619" s="1">
        <v>4.2600000000001197</v>
      </c>
      <c r="BQ619" s="1">
        <v>4.2600000000001197</v>
      </c>
      <c r="BU619" s="1">
        <v>4.2600000000001197</v>
      </c>
    </row>
    <row r="620" spans="33:73" hidden="1" x14ac:dyDescent="0.25">
      <c r="AG620" s="1">
        <v>4.2500000000001199</v>
      </c>
      <c r="AH620" s="1">
        <f t="shared" si="29"/>
        <v>225.74999999999989</v>
      </c>
      <c r="AI620" s="1">
        <f t="shared" si="30"/>
        <v>225.74999999999989</v>
      </c>
      <c r="AK620" s="1">
        <v>4.2500000000001199</v>
      </c>
      <c r="AO620" s="1">
        <v>4.2500000000001199</v>
      </c>
      <c r="AS620" s="1">
        <v>4.2500000000001199</v>
      </c>
      <c r="AW620" s="1">
        <v>4.2500000000001199</v>
      </c>
      <c r="BA620" s="1">
        <v>4.2500000000001199</v>
      </c>
      <c r="BE620" s="1">
        <v>4.2500000000001199</v>
      </c>
      <c r="BI620" s="1">
        <v>4.2500000000001199</v>
      </c>
      <c r="BM620" s="1">
        <v>4.2500000000001199</v>
      </c>
      <c r="BQ620" s="1">
        <v>4.2500000000001199</v>
      </c>
      <c r="BU620" s="1">
        <v>4.2500000000001199</v>
      </c>
    </row>
    <row r="621" spans="33:73" hidden="1" x14ac:dyDescent="0.25">
      <c r="AG621" s="1">
        <v>4.2400000000001201</v>
      </c>
      <c r="AH621" s="1">
        <f t="shared" si="29"/>
        <v>225.75999999999988</v>
      </c>
      <c r="AI621" s="1">
        <f t="shared" si="30"/>
        <v>225.75999999999988</v>
      </c>
      <c r="AK621" s="1">
        <v>4.2400000000001201</v>
      </c>
      <c r="AO621" s="1">
        <v>4.2400000000001201</v>
      </c>
      <c r="AS621" s="1">
        <v>4.2400000000001201</v>
      </c>
      <c r="AW621" s="1">
        <v>4.2400000000001201</v>
      </c>
      <c r="BA621" s="1">
        <v>4.2400000000001201</v>
      </c>
      <c r="BE621" s="1">
        <v>4.2400000000001201</v>
      </c>
      <c r="BI621" s="1">
        <v>4.2400000000001201</v>
      </c>
      <c r="BM621" s="1">
        <v>4.2400000000001201</v>
      </c>
      <c r="BQ621" s="1">
        <v>4.2400000000001201</v>
      </c>
      <c r="BU621" s="1">
        <v>4.2400000000001201</v>
      </c>
    </row>
    <row r="622" spans="33:73" hidden="1" x14ac:dyDescent="0.25">
      <c r="AG622" s="1">
        <v>4.2300000000001203</v>
      </c>
      <c r="AH622" s="1">
        <f t="shared" ref="AH622:AH685" si="31">SQRT((AI622+($AI$38*($AM$44*$AJ$44+$AN$44*$AK$44)))^2+($D$3*($AN$44*$AJ$44-$AM$44*$AK$44))^2)</f>
        <v>225.76999999999987</v>
      </c>
      <c r="AI622" s="1">
        <f t="shared" ref="AI622:AI685" si="32">$AI$40-AG622</f>
        <v>225.76999999999987</v>
      </c>
      <c r="AK622" s="1">
        <v>4.2300000000001203</v>
      </c>
      <c r="AO622" s="1">
        <v>4.2300000000001203</v>
      </c>
      <c r="AS622" s="1">
        <v>4.2300000000001203</v>
      </c>
      <c r="AW622" s="1">
        <v>4.2300000000001203</v>
      </c>
      <c r="BA622" s="1">
        <v>4.2300000000001203</v>
      </c>
      <c r="BE622" s="1">
        <v>4.2300000000001203</v>
      </c>
      <c r="BI622" s="1">
        <v>4.2300000000001203</v>
      </c>
      <c r="BM622" s="1">
        <v>4.2300000000001203</v>
      </c>
      <c r="BQ622" s="1">
        <v>4.2300000000001203</v>
      </c>
      <c r="BU622" s="1">
        <v>4.2300000000001203</v>
      </c>
    </row>
    <row r="623" spans="33:73" hidden="1" x14ac:dyDescent="0.25">
      <c r="AG623" s="1">
        <v>4.2200000000001197</v>
      </c>
      <c r="AH623" s="1">
        <f t="shared" si="31"/>
        <v>225.77999999999989</v>
      </c>
      <c r="AI623" s="1">
        <f t="shared" si="32"/>
        <v>225.77999999999989</v>
      </c>
      <c r="AK623" s="1">
        <v>4.2200000000001197</v>
      </c>
      <c r="AO623" s="1">
        <v>4.2200000000001197</v>
      </c>
      <c r="AS623" s="1">
        <v>4.2200000000001197</v>
      </c>
      <c r="AW623" s="1">
        <v>4.2200000000001197</v>
      </c>
      <c r="BA623" s="1">
        <v>4.2200000000001197</v>
      </c>
      <c r="BE623" s="1">
        <v>4.2200000000001197</v>
      </c>
      <c r="BI623" s="1">
        <v>4.2200000000001197</v>
      </c>
      <c r="BM623" s="1">
        <v>4.2200000000001197</v>
      </c>
      <c r="BQ623" s="1">
        <v>4.2200000000001197</v>
      </c>
      <c r="BU623" s="1">
        <v>4.2200000000001197</v>
      </c>
    </row>
    <row r="624" spans="33:73" hidden="1" x14ac:dyDescent="0.25">
      <c r="AG624" s="1">
        <v>4.2100000000001199</v>
      </c>
      <c r="AH624" s="1">
        <f t="shared" si="31"/>
        <v>225.78999999999988</v>
      </c>
      <c r="AI624" s="1">
        <f t="shared" si="32"/>
        <v>225.78999999999988</v>
      </c>
      <c r="AK624" s="1">
        <v>4.2100000000001199</v>
      </c>
      <c r="AO624" s="1">
        <v>4.2100000000001199</v>
      </c>
      <c r="AS624" s="1">
        <v>4.2100000000001199</v>
      </c>
      <c r="AW624" s="1">
        <v>4.2100000000001199</v>
      </c>
      <c r="BA624" s="1">
        <v>4.2100000000001199</v>
      </c>
      <c r="BE624" s="1">
        <v>4.2100000000001199</v>
      </c>
      <c r="BI624" s="1">
        <v>4.2100000000001199</v>
      </c>
      <c r="BM624" s="1">
        <v>4.2100000000001199</v>
      </c>
      <c r="BQ624" s="1">
        <v>4.2100000000001199</v>
      </c>
      <c r="BU624" s="1">
        <v>4.2100000000001199</v>
      </c>
    </row>
    <row r="625" spans="33:73" hidden="1" x14ac:dyDescent="0.25">
      <c r="AG625" s="1">
        <v>4.2000000000001201</v>
      </c>
      <c r="AH625" s="1">
        <f t="shared" si="31"/>
        <v>225.79999999999987</v>
      </c>
      <c r="AI625" s="1">
        <f t="shared" si="32"/>
        <v>225.79999999999987</v>
      </c>
      <c r="AK625" s="1">
        <v>4.2000000000001201</v>
      </c>
      <c r="AO625" s="1">
        <v>4.2000000000001201</v>
      </c>
      <c r="AS625" s="1">
        <v>4.2000000000001201</v>
      </c>
      <c r="AW625" s="1">
        <v>4.2000000000001201</v>
      </c>
      <c r="BA625" s="1">
        <v>4.2000000000001201</v>
      </c>
      <c r="BE625" s="1">
        <v>4.2000000000001201</v>
      </c>
      <c r="BI625" s="1">
        <v>4.2000000000001201</v>
      </c>
      <c r="BM625" s="1">
        <v>4.2000000000001201</v>
      </c>
      <c r="BQ625" s="1">
        <v>4.2000000000001201</v>
      </c>
      <c r="BU625" s="1">
        <v>4.2000000000001201</v>
      </c>
    </row>
    <row r="626" spans="33:73" hidden="1" x14ac:dyDescent="0.25">
      <c r="AG626" s="1">
        <v>4.1900000000001203</v>
      </c>
      <c r="AH626" s="1">
        <f t="shared" si="31"/>
        <v>225.80999999999989</v>
      </c>
      <c r="AI626" s="1">
        <f t="shared" si="32"/>
        <v>225.80999999999989</v>
      </c>
      <c r="AK626" s="1">
        <v>4.1900000000001203</v>
      </c>
      <c r="AO626" s="1">
        <v>4.1900000000001203</v>
      </c>
      <c r="AS626" s="1">
        <v>4.1900000000001203</v>
      </c>
      <c r="AW626" s="1">
        <v>4.1900000000001203</v>
      </c>
      <c r="BA626" s="1">
        <v>4.1900000000001203</v>
      </c>
      <c r="BE626" s="1">
        <v>4.1900000000001203</v>
      </c>
      <c r="BI626" s="1">
        <v>4.1900000000001203</v>
      </c>
      <c r="BM626" s="1">
        <v>4.1900000000001203</v>
      </c>
      <c r="BQ626" s="1">
        <v>4.1900000000001203</v>
      </c>
      <c r="BU626" s="1">
        <v>4.1900000000001203</v>
      </c>
    </row>
    <row r="627" spans="33:73" hidden="1" x14ac:dyDescent="0.25">
      <c r="AG627" s="1">
        <v>4.1800000000001196</v>
      </c>
      <c r="AH627" s="1">
        <f t="shared" si="31"/>
        <v>225.81999999999988</v>
      </c>
      <c r="AI627" s="1">
        <f t="shared" si="32"/>
        <v>225.81999999999988</v>
      </c>
      <c r="AK627" s="1">
        <v>4.1800000000001196</v>
      </c>
      <c r="AO627" s="1">
        <v>4.1800000000001196</v>
      </c>
      <c r="AS627" s="1">
        <v>4.1800000000001196</v>
      </c>
      <c r="AW627" s="1">
        <v>4.1800000000001196</v>
      </c>
      <c r="BA627" s="1">
        <v>4.1800000000001196</v>
      </c>
      <c r="BE627" s="1">
        <v>4.1800000000001196</v>
      </c>
      <c r="BI627" s="1">
        <v>4.1800000000001196</v>
      </c>
      <c r="BM627" s="1">
        <v>4.1800000000001196</v>
      </c>
      <c r="BQ627" s="1">
        <v>4.1800000000001196</v>
      </c>
      <c r="BU627" s="1">
        <v>4.1800000000001196</v>
      </c>
    </row>
    <row r="628" spans="33:73" hidden="1" x14ac:dyDescent="0.25">
      <c r="AG628" s="1">
        <v>4.1700000000001198</v>
      </c>
      <c r="AH628" s="1">
        <f t="shared" si="31"/>
        <v>225.82999999999987</v>
      </c>
      <c r="AI628" s="1">
        <f t="shared" si="32"/>
        <v>225.82999999999987</v>
      </c>
      <c r="AK628" s="1">
        <v>4.1700000000001198</v>
      </c>
      <c r="AO628" s="1">
        <v>4.1700000000001198</v>
      </c>
      <c r="AS628" s="1">
        <v>4.1700000000001198</v>
      </c>
      <c r="AW628" s="1">
        <v>4.1700000000001198</v>
      </c>
      <c r="BA628" s="1">
        <v>4.1700000000001198</v>
      </c>
      <c r="BE628" s="1">
        <v>4.1700000000001198</v>
      </c>
      <c r="BI628" s="1">
        <v>4.1700000000001198</v>
      </c>
      <c r="BM628" s="1">
        <v>4.1700000000001198</v>
      </c>
      <c r="BQ628" s="1">
        <v>4.1700000000001198</v>
      </c>
      <c r="BU628" s="1">
        <v>4.1700000000001198</v>
      </c>
    </row>
    <row r="629" spans="33:73" hidden="1" x14ac:dyDescent="0.25">
      <c r="AG629" s="1">
        <v>4.16000000000012</v>
      </c>
      <c r="AH629" s="1">
        <f t="shared" si="31"/>
        <v>225.83999999999989</v>
      </c>
      <c r="AI629" s="1">
        <f t="shared" si="32"/>
        <v>225.83999999999989</v>
      </c>
      <c r="AK629" s="1">
        <v>4.16000000000012</v>
      </c>
      <c r="AO629" s="1">
        <v>4.16000000000012</v>
      </c>
      <c r="AS629" s="1">
        <v>4.16000000000012</v>
      </c>
      <c r="AW629" s="1">
        <v>4.16000000000012</v>
      </c>
      <c r="BA629" s="1">
        <v>4.16000000000012</v>
      </c>
      <c r="BE629" s="1">
        <v>4.16000000000012</v>
      </c>
      <c r="BI629" s="1">
        <v>4.16000000000012</v>
      </c>
      <c r="BM629" s="1">
        <v>4.16000000000012</v>
      </c>
      <c r="BQ629" s="1">
        <v>4.16000000000012</v>
      </c>
      <c r="BU629" s="1">
        <v>4.16000000000012</v>
      </c>
    </row>
    <row r="630" spans="33:73" hidden="1" x14ac:dyDescent="0.25">
      <c r="AG630" s="1">
        <v>4.1500000000001203</v>
      </c>
      <c r="AH630" s="1">
        <f t="shared" si="31"/>
        <v>225.84999999999988</v>
      </c>
      <c r="AI630" s="1">
        <f t="shared" si="32"/>
        <v>225.84999999999988</v>
      </c>
      <c r="AK630" s="1">
        <v>4.1500000000001203</v>
      </c>
      <c r="AO630" s="1">
        <v>4.1500000000001203</v>
      </c>
      <c r="AS630" s="1">
        <v>4.1500000000001203</v>
      </c>
      <c r="AW630" s="1">
        <v>4.1500000000001203</v>
      </c>
      <c r="BA630" s="1">
        <v>4.1500000000001203</v>
      </c>
      <c r="BE630" s="1">
        <v>4.1500000000001203</v>
      </c>
      <c r="BI630" s="1">
        <v>4.1500000000001203</v>
      </c>
      <c r="BM630" s="1">
        <v>4.1500000000001203</v>
      </c>
      <c r="BQ630" s="1">
        <v>4.1500000000001203</v>
      </c>
      <c r="BU630" s="1">
        <v>4.1500000000001203</v>
      </c>
    </row>
    <row r="631" spans="33:73" hidden="1" x14ac:dyDescent="0.25">
      <c r="AG631" s="1">
        <v>4.1400000000001196</v>
      </c>
      <c r="AH631" s="1">
        <f t="shared" si="31"/>
        <v>225.85999999999987</v>
      </c>
      <c r="AI631" s="1">
        <f t="shared" si="32"/>
        <v>225.85999999999987</v>
      </c>
      <c r="AK631" s="1">
        <v>4.1400000000001196</v>
      </c>
      <c r="AO631" s="1">
        <v>4.1400000000001196</v>
      </c>
      <c r="AS631" s="1">
        <v>4.1400000000001196</v>
      </c>
      <c r="AW631" s="1">
        <v>4.1400000000001196</v>
      </c>
      <c r="BA631" s="1">
        <v>4.1400000000001196</v>
      </c>
      <c r="BE631" s="1">
        <v>4.1400000000001196</v>
      </c>
      <c r="BI631" s="1">
        <v>4.1400000000001196</v>
      </c>
      <c r="BM631" s="1">
        <v>4.1400000000001196</v>
      </c>
      <c r="BQ631" s="1">
        <v>4.1400000000001196</v>
      </c>
      <c r="BU631" s="1">
        <v>4.1400000000001196</v>
      </c>
    </row>
    <row r="632" spans="33:73" hidden="1" x14ac:dyDescent="0.25">
      <c r="AG632" s="1">
        <v>4.1300000000001296</v>
      </c>
      <c r="AH632" s="1">
        <f t="shared" si="31"/>
        <v>225.86999999999986</v>
      </c>
      <c r="AI632" s="1">
        <f t="shared" si="32"/>
        <v>225.86999999999986</v>
      </c>
      <c r="AK632" s="1">
        <v>4.1300000000001296</v>
      </c>
      <c r="AO632" s="1">
        <v>4.1300000000001296</v>
      </c>
      <c r="AS632" s="1">
        <v>4.1300000000001296</v>
      </c>
      <c r="AW632" s="1">
        <v>4.1300000000001296</v>
      </c>
      <c r="BA632" s="1">
        <v>4.1300000000001296</v>
      </c>
      <c r="BE632" s="1">
        <v>4.1300000000001296</v>
      </c>
      <c r="BI632" s="1">
        <v>4.1300000000001296</v>
      </c>
      <c r="BM632" s="1">
        <v>4.1300000000001296</v>
      </c>
      <c r="BQ632" s="1">
        <v>4.1300000000001296</v>
      </c>
      <c r="BU632" s="1">
        <v>4.1300000000001296</v>
      </c>
    </row>
    <row r="633" spans="33:73" hidden="1" x14ac:dyDescent="0.25">
      <c r="AG633" s="1">
        <v>4.1200000000001298</v>
      </c>
      <c r="AH633" s="1">
        <f t="shared" si="31"/>
        <v>225.87999999999988</v>
      </c>
      <c r="AI633" s="1">
        <f t="shared" si="32"/>
        <v>225.87999999999988</v>
      </c>
      <c r="AK633" s="1">
        <v>4.1200000000001298</v>
      </c>
      <c r="AO633" s="1">
        <v>4.1200000000001298</v>
      </c>
      <c r="AS633" s="1">
        <v>4.1200000000001298</v>
      </c>
      <c r="AW633" s="1">
        <v>4.1200000000001298</v>
      </c>
      <c r="BA633" s="1">
        <v>4.1200000000001298</v>
      </c>
      <c r="BE633" s="1">
        <v>4.1200000000001298</v>
      </c>
      <c r="BI633" s="1">
        <v>4.1200000000001298</v>
      </c>
      <c r="BM633" s="1">
        <v>4.1200000000001298</v>
      </c>
      <c r="BQ633" s="1">
        <v>4.1200000000001298</v>
      </c>
      <c r="BU633" s="1">
        <v>4.1200000000001298</v>
      </c>
    </row>
    <row r="634" spans="33:73" hidden="1" x14ac:dyDescent="0.25">
      <c r="AG634" s="1">
        <v>4.11000000000013</v>
      </c>
      <c r="AH634" s="1">
        <f t="shared" si="31"/>
        <v>225.88999999999987</v>
      </c>
      <c r="AI634" s="1">
        <f t="shared" si="32"/>
        <v>225.88999999999987</v>
      </c>
      <c r="AK634" s="1">
        <v>4.11000000000013</v>
      </c>
      <c r="AO634" s="1">
        <v>4.11000000000013</v>
      </c>
      <c r="AS634" s="1">
        <v>4.11000000000013</v>
      </c>
      <c r="AW634" s="1">
        <v>4.11000000000013</v>
      </c>
      <c r="BA634" s="1">
        <v>4.11000000000013</v>
      </c>
      <c r="BE634" s="1">
        <v>4.11000000000013</v>
      </c>
      <c r="BI634" s="1">
        <v>4.11000000000013</v>
      </c>
      <c r="BM634" s="1">
        <v>4.11000000000013</v>
      </c>
      <c r="BQ634" s="1">
        <v>4.11000000000013</v>
      </c>
      <c r="BU634" s="1">
        <v>4.11000000000013</v>
      </c>
    </row>
    <row r="635" spans="33:73" hidden="1" x14ac:dyDescent="0.25">
      <c r="AG635" s="1">
        <v>4.1000000000001302</v>
      </c>
      <c r="AH635" s="1">
        <f t="shared" si="31"/>
        <v>225.89999999999986</v>
      </c>
      <c r="AI635" s="1">
        <f t="shared" si="32"/>
        <v>225.89999999999986</v>
      </c>
      <c r="AK635" s="1">
        <v>4.1000000000001302</v>
      </c>
      <c r="AO635" s="1">
        <v>4.1000000000001302</v>
      </c>
      <c r="AS635" s="1">
        <v>4.1000000000001302</v>
      </c>
      <c r="AW635" s="1">
        <v>4.1000000000001302</v>
      </c>
      <c r="BA635" s="1">
        <v>4.1000000000001302</v>
      </c>
      <c r="BE635" s="1">
        <v>4.1000000000001302</v>
      </c>
      <c r="BI635" s="1">
        <v>4.1000000000001302</v>
      </c>
      <c r="BM635" s="1">
        <v>4.1000000000001302</v>
      </c>
      <c r="BQ635" s="1">
        <v>4.1000000000001302</v>
      </c>
      <c r="BU635" s="1">
        <v>4.1000000000001302</v>
      </c>
    </row>
    <row r="636" spans="33:73" hidden="1" x14ac:dyDescent="0.25">
      <c r="AG636" s="1">
        <v>4.0900000000001304</v>
      </c>
      <c r="AH636" s="1">
        <f t="shared" si="31"/>
        <v>225.90999999999988</v>
      </c>
      <c r="AI636" s="1">
        <f t="shared" si="32"/>
        <v>225.90999999999988</v>
      </c>
      <c r="AK636" s="1">
        <v>4.0900000000001304</v>
      </c>
      <c r="AO636" s="1">
        <v>4.0900000000001304</v>
      </c>
      <c r="AS636" s="1">
        <v>4.0900000000001304</v>
      </c>
      <c r="AW636" s="1">
        <v>4.0900000000001304</v>
      </c>
      <c r="BA636" s="1">
        <v>4.0900000000001304</v>
      </c>
      <c r="BE636" s="1">
        <v>4.0900000000001304</v>
      </c>
      <c r="BI636" s="1">
        <v>4.0900000000001304</v>
      </c>
      <c r="BM636" s="1">
        <v>4.0900000000001304</v>
      </c>
      <c r="BQ636" s="1">
        <v>4.0900000000001304</v>
      </c>
      <c r="BU636" s="1">
        <v>4.0900000000001304</v>
      </c>
    </row>
    <row r="637" spans="33:73" hidden="1" x14ac:dyDescent="0.25">
      <c r="AG637" s="1">
        <v>4.0800000000001297</v>
      </c>
      <c r="AH637" s="1">
        <f t="shared" si="31"/>
        <v>225.91999999999987</v>
      </c>
      <c r="AI637" s="1">
        <f t="shared" si="32"/>
        <v>225.91999999999987</v>
      </c>
      <c r="AK637" s="1">
        <v>4.0800000000001297</v>
      </c>
      <c r="AO637" s="1">
        <v>4.0800000000001297</v>
      </c>
      <c r="AS637" s="1">
        <v>4.0800000000001297</v>
      </c>
      <c r="AW637" s="1">
        <v>4.0800000000001297</v>
      </c>
      <c r="BA637" s="1">
        <v>4.0800000000001297</v>
      </c>
      <c r="BE637" s="1">
        <v>4.0800000000001297</v>
      </c>
      <c r="BI637" s="1">
        <v>4.0800000000001297</v>
      </c>
      <c r="BM637" s="1">
        <v>4.0800000000001297</v>
      </c>
      <c r="BQ637" s="1">
        <v>4.0800000000001297</v>
      </c>
      <c r="BU637" s="1">
        <v>4.0800000000001297</v>
      </c>
    </row>
    <row r="638" spans="33:73" hidden="1" x14ac:dyDescent="0.25">
      <c r="AG638" s="1">
        <v>4.07000000000013</v>
      </c>
      <c r="AH638" s="1">
        <f t="shared" si="31"/>
        <v>225.92999999999986</v>
      </c>
      <c r="AI638" s="1">
        <f t="shared" si="32"/>
        <v>225.92999999999986</v>
      </c>
      <c r="AK638" s="1">
        <v>4.07000000000013</v>
      </c>
      <c r="AO638" s="1">
        <v>4.07000000000013</v>
      </c>
      <c r="AS638" s="1">
        <v>4.07000000000013</v>
      </c>
      <c r="AW638" s="1">
        <v>4.07000000000013</v>
      </c>
      <c r="BA638" s="1">
        <v>4.07000000000013</v>
      </c>
      <c r="BE638" s="1">
        <v>4.07000000000013</v>
      </c>
      <c r="BI638" s="1">
        <v>4.07000000000013</v>
      </c>
      <c r="BM638" s="1">
        <v>4.07000000000013</v>
      </c>
      <c r="BQ638" s="1">
        <v>4.07000000000013</v>
      </c>
      <c r="BU638" s="1">
        <v>4.07000000000013</v>
      </c>
    </row>
    <row r="639" spans="33:73" hidden="1" x14ac:dyDescent="0.25">
      <c r="AG639" s="1">
        <v>4.0600000000001302</v>
      </c>
      <c r="AH639" s="1">
        <f t="shared" si="31"/>
        <v>225.93999999999988</v>
      </c>
      <c r="AI639" s="1">
        <f t="shared" si="32"/>
        <v>225.93999999999988</v>
      </c>
      <c r="AK639" s="1">
        <v>4.0600000000001302</v>
      </c>
      <c r="AO639" s="1">
        <v>4.0600000000001302</v>
      </c>
      <c r="AS639" s="1">
        <v>4.0600000000001302</v>
      </c>
      <c r="AW639" s="1">
        <v>4.0600000000001302</v>
      </c>
      <c r="BA639" s="1">
        <v>4.0600000000001302</v>
      </c>
      <c r="BE639" s="1">
        <v>4.0600000000001302</v>
      </c>
      <c r="BI639" s="1">
        <v>4.0600000000001302</v>
      </c>
      <c r="BM639" s="1">
        <v>4.0600000000001302</v>
      </c>
      <c r="BQ639" s="1">
        <v>4.0600000000001302</v>
      </c>
      <c r="BU639" s="1">
        <v>4.0600000000001302</v>
      </c>
    </row>
    <row r="640" spans="33:73" hidden="1" x14ac:dyDescent="0.25">
      <c r="AG640" s="1">
        <v>4.0500000000001304</v>
      </c>
      <c r="AH640" s="1">
        <f t="shared" si="31"/>
        <v>225.94999999999987</v>
      </c>
      <c r="AI640" s="1">
        <f t="shared" si="32"/>
        <v>225.94999999999987</v>
      </c>
      <c r="AK640" s="1">
        <v>4.0500000000001304</v>
      </c>
      <c r="AO640" s="1">
        <v>4.0500000000001304</v>
      </c>
      <c r="AS640" s="1">
        <v>4.0500000000001304</v>
      </c>
      <c r="AW640" s="1">
        <v>4.0500000000001304</v>
      </c>
      <c r="BA640" s="1">
        <v>4.0500000000001304</v>
      </c>
      <c r="BE640" s="1">
        <v>4.0500000000001304</v>
      </c>
      <c r="BI640" s="1">
        <v>4.0500000000001304</v>
      </c>
      <c r="BM640" s="1">
        <v>4.0500000000001304</v>
      </c>
      <c r="BQ640" s="1">
        <v>4.0500000000001304</v>
      </c>
      <c r="BU640" s="1">
        <v>4.0500000000001304</v>
      </c>
    </row>
    <row r="641" spans="33:73" hidden="1" x14ac:dyDescent="0.25">
      <c r="AG641" s="1">
        <v>4.0400000000001297</v>
      </c>
      <c r="AH641" s="1">
        <f t="shared" si="31"/>
        <v>225.95999999999987</v>
      </c>
      <c r="AI641" s="1">
        <f t="shared" si="32"/>
        <v>225.95999999999987</v>
      </c>
      <c r="AK641" s="1">
        <v>4.0400000000001297</v>
      </c>
      <c r="AO641" s="1">
        <v>4.0400000000001297</v>
      </c>
      <c r="AS641" s="1">
        <v>4.0400000000001297</v>
      </c>
      <c r="AW641" s="1">
        <v>4.0400000000001297</v>
      </c>
      <c r="BA641" s="1">
        <v>4.0400000000001297</v>
      </c>
      <c r="BE641" s="1">
        <v>4.0400000000001297</v>
      </c>
      <c r="BI641" s="1">
        <v>4.0400000000001297</v>
      </c>
      <c r="BM641" s="1">
        <v>4.0400000000001297</v>
      </c>
      <c r="BQ641" s="1">
        <v>4.0400000000001297</v>
      </c>
      <c r="BU641" s="1">
        <v>4.0400000000001297</v>
      </c>
    </row>
    <row r="642" spans="33:73" hidden="1" x14ac:dyDescent="0.25">
      <c r="AG642" s="1">
        <v>4.0300000000001299</v>
      </c>
      <c r="AH642" s="1">
        <f t="shared" si="31"/>
        <v>225.96999999999986</v>
      </c>
      <c r="AI642" s="1">
        <f t="shared" si="32"/>
        <v>225.96999999999986</v>
      </c>
      <c r="AK642" s="1">
        <v>4.0300000000001299</v>
      </c>
      <c r="AO642" s="1">
        <v>4.0300000000001299</v>
      </c>
      <c r="AS642" s="1">
        <v>4.0300000000001299</v>
      </c>
      <c r="AW642" s="1">
        <v>4.0300000000001299</v>
      </c>
      <c r="BA642" s="1">
        <v>4.0300000000001299</v>
      </c>
      <c r="BE642" s="1">
        <v>4.0300000000001299</v>
      </c>
      <c r="BI642" s="1">
        <v>4.0300000000001299</v>
      </c>
      <c r="BM642" s="1">
        <v>4.0300000000001299</v>
      </c>
      <c r="BQ642" s="1">
        <v>4.0300000000001299</v>
      </c>
      <c r="BU642" s="1">
        <v>4.0300000000001299</v>
      </c>
    </row>
    <row r="643" spans="33:73" hidden="1" x14ac:dyDescent="0.25">
      <c r="AG643" s="1">
        <v>4.0200000000001301</v>
      </c>
      <c r="AH643" s="1">
        <f t="shared" si="31"/>
        <v>225.97999999999988</v>
      </c>
      <c r="AI643" s="1">
        <f t="shared" si="32"/>
        <v>225.97999999999988</v>
      </c>
      <c r="AK643" s="1">
        <v>4.0200000000001301</v>
      </c>
      <c r="AO643" s="1">
        <v>4.0200000000001301</v>
      </c>
      <c r="AS643" s="1">
        <v>4.0200000000001301</v>
      </c>
      <c r="AW643" s="1">
        <v>4.0200000000001301</v>
      </c>
      <c r="BA643" s="1">
        <v>4.0200000000001301</v>
      </c>
      <c r="BE643" s="1">
        <v>4.0200000000001301</v>
      </c>
      <c r="BI643" s="1">
        <v>4.0200000000001301</v>
      </c>
      <c r="BM643" s="1">
        <v>4.0200000000001301</v>
      </c>
      <c r="BQ643" s="1">
        <v>4.0200000000001301</v>
      </c>
      <c r="BU643" s="1">
        <v>4.0200000000001301</v>
      </c>
    </row>
    <row r="644" spans="33:73" hidden="1" x14ac:dyDescent="0.25">
      <c r="AG644" s="1">
        <v>4.0100000000001303</v>
      </c>
      <c r="AH644" s="1">
        <f t="shared" si="31"/>
        <v>225.98999999999987</v>
      </c>
      <c r="AI644" s="1">
        <f t="shared" si="32"/>
        <v>225.98999999999987</v>
      </c>
      <c r="AK644" s="1">
        <v>4.0100000000001303</v>
      </c>
      <c r="AO644" s="1">
        <v>4.0100000000001303</v>
      </c>
      <c r="AS644" s="1">
        <v>4.0100000000001303</v>
      </c>
      <c r="AW644" s="1">
        <v>4.0100000000001303</v>
      </c>
      <c r="BA644" s="1">
        <v>4.0100000000001303</v>
      </c>
      <c r="BE644" s="1">
        <v>4.0100000000001303</v>
      </c>
      <c r="BI644" s="1">
        <v>4.0100000000001303</v>
      </c>
      <c r="BM644" s="1">
        <v>4.0100000000001303</v>
      </c>
      <c r="BQ644" s="1">
        <v>4.0100000000001303</v>
      </c>
      <c r="BU644" s="1">
        <v>4.0100000000001303</v>
      </c>
    </row>
    <row r="645" spans="33:73" hidden="1" x14ac:dyDescent="0.25">
      <c r="AG645" s="1">
        <v>4.0000000000001297</v>
      </c>
      <c r="AH645" s="1">
        <f t="shared" si="31"/>
        <v>225.99999999999986</v>
      </c>
      <c r="AI645" s="1">
        <f t="shared" si="32"/>
        <v>225.99999999999986</v>
      </c>
      <c r="AK645" s="1">
        <v>4.0000000000001297</v>
      </c>
      <c r="AO645" s="1">
        <v>4.0000000000001297</v>
      </c>
      <c r="AS645" s="1">
        <v>4.0000000000001297</v>
      </c>
      <c r="AW645" s="1">
        <v>4.0000000000001297</v>
      </c>
      <c r="BA645" s="1">
        <v>4.0000000000001297</v>
      </c>
      <c r="BE645" s="1">
        <v>4.0000000000001297</v>
      </c>
      <c r="BI645" s="1">
        <v>4.0000000000001297</v>
      </c>
      <c r="BM645" s="1">
        <v>4.0000000000001297</v>
      </c>
      <c r="BQ645" s="1">
        <v>4.0000000000001297</v>
      </c>
      <c r="BU645" s="1">
        <v>4.0000000000001297</v>
      </c>
    </row>
    <row r="646" spans="33:73" hidden="1" x14ac:dyDescent="0.25">
      <c r="AG646" s="1">
        <v>3.9900000000001299</v>
      </c>
      <c r="AH646" s="1">
        <f t="shared" si="31"/>
        <v>226.00999999999988</v>
      </c>
      <c r="AI646" s="1">
        <f t="shared" si="32"/>
        <v>226.00999999999988</v>
      </c>
      <c r="AK646" s="1">
        <v>3.9900000000001299</v>
      </c>
      <c r="AO646" s="1">
        <v>3.9900000000001299</v>
      </c>
      <c r="AS646" s="1">
        <v>3.9900000000001299</v>
      </c>
      <c r="AW646" s="1">
        <v>3.9900000000001299</v>
      </c>
      <c r="BA646" s="1">
        <v>3.9900000000001299</v>
      </c>
      <c r="BE646" s="1">
        <v>3.9900000000001299</v>
      </c>
      <c r="BI646" s="1">
        <v>3.9900000000001299</v>
      </c>
      <c r="BM646" s="1">
        <v>3.9900000000001299</v>
      </c>
      <c r="BQ646" s="1">
        <v>3.9900000000001299</v>
      </c>
      <c r="BU646" s="1">
        <v>3.9900000000001299</v>
      </c>
    </row>
    <row r="647" spans="33:73" hidden="1" x14ac:dyDescent="0.25">
      <c r="AG647" s="1">
        <v>3.9800000000001301</v>
      </c>
      <c r="AH647" s="1">
        <f t="shared" si="31"/>
        <v>226.01999999999987</v>
      </c>
      <c r="AI647" s="1">
        <f t="shared" si="32"/>
        <v>226.01999999999987</v>
      </c>
      <c r="AK647" s="1">
        <v>3.9800000000001301</v>
      </c>
      <c r="AO647" s="1">
        <v>3.9800000000001301</v>
      </c>
      <c r="AS647" s="1">
        <v>3.9800000000001301</v>
      </c>
      <c r="AW647" s="1">
        <v>3.9800000000001301</v>
      </c>
      <c r="BA647" s="1">
        <v>3.9800000000001301</v>
      </c>
      <c r="BE647" s="1">
        <v>3.9800000000001301</v>
      </c>
      <c r="BI647" s="1">
        <v>3.9800000000001301</v>
      </c>
      <c r="BM647" s="1">
        <v>3.9800000000001301</v>
      </c>
      <c r="BQ647" s="1">
        <v>3.9800000000001301</v>
      </c>
      <c r="BU647" s="1">
        <v>3.9800000000001301</v>
      </c>
    </row>
    <row r="648" spans="33:73" hidden="1" x14ac:dyDescent="0.25">
      <c r="AG648" s="1">
        <v>3.9700000000001299</v>
      </c>
      <c r="AH648" s="1">
        <f t="shared" si="31"/>
        <v>226.02999999999986</v>
      </c>
      <c r="AI648" s="1">
        <f t="shared" si="32"/>
        <v>226.02999999999986</v>
      </c>
      <c r="AK648" s="1">
        <v>3.9700000000001299</v>
      </c>
      <c r="AO648" s="1">
        <v>3.9700000000001299</v>
      </c>
      <c r="AS648" s="1">
        <v>3.9700000000001299</v>
      </c>
      <c r="AW648" s="1">
        <v>3.9700000000001299</v>
      </c>
      <c r="BA648" s="1">
        <v>3.9700000000001299</v>
      </c>
      <c r="BE648" s="1">
        <v>3.9700000000001299</v>
      </c>
      <c r="BI648" s="1">
        <v>3.9700000000001299</v>
      </c>
      <c r="BM648" s="1">
        <v>3.9700000000001299</v>
      </c>
      <c r="BQ648" s="1">
        <v>3.9700000000001299</v>
      </c>
      <c r="BU648" s="1">
        <v>3.9700000000001299</v>
      </c>
    </row>
    <row r="649" spans="33:73" hidden="1" x14ac:dyDescent="0.25">
      <c r="AG649" s="1">
        <v>3.9600000000001301</v>
      </c>
      <c r="AH649" s="1">
        <f t="shared" si="31"/>
        <v>226.03999999999988</v>
      </c>
      <c r="AI649" s="1">
        <f t="shared" si="32"/>
        <v>226.03999999999988</v>
      </c>
      <c r="AK649" s="1">
        <v>3.9600000000001301</v>
      </c>
      <c r="AO649" s="1">
        <v>3.9600000000001301</v>
      </c>
      <c r="AS649" s="1">
        <v>3.9600000000001301</v>
      </c>
      <c r="AW649" s="1">
        <v>3.9600000000001301</v>
      </c>
      <c r="BA649" s="1">
        <v>3.9600000000001301</v>
      </c>
      <c r="BE649" s="1">
        <v>3.9600000000001301</v>
      </c>
      <c r="BI649" s="1">
        <v>3.9600000000001301</v>
      </c>
      <c r="BM649" s="1">
        <v>3.9600000000001301</v>
      </c>
      <c r="BQ649" s="1">
        <v>3.9600000000001301</v>
      </c>
      <c r="BU649" s="1">
        <v>3.9600000000001301</v>
      </c>
    </row>
    <row r="650" spans="33:73" hidden="1" x14ac:dyDescent="0.25">
      <c r="AG650" s="1">
        <v>3.9500000000001299</v>
      </c>
      <c r="AH650" s="1">
        <f t="shared" si="31"/>
        <v>226.04999999999987</v>
      </c>
      <c r="AI650" s="1">
        <f t="shared" si="32"/>
        <v>226.04999999999987</v>
      </c>
      <c r="AK650" s="1">
        <v>3.9500000000001299</v>
      </c>
      <c r="AO650" s="1">
        <v>3.9500000000001299</v>
      </c>
      <c r="AS650" s="1">
        <v>3.9500000000001299</v>
      </c>
      <c r="AW650" s="1">
        <v>3.9500000000001299</v>
      </c>
      <c r="BA650" s="1">
        <v>3.9500000000001299</v>
      </c>
      <c r="BE650" s="1">
        <v>3.9500000000001299</v>
      </c>
      <c r="BI650" s="1">
        <v>3.9500000000001299</v>
      </c>
      <c r="BM650" s="1">
        <v>3.9500000000001299</v>
      </c>
      <c r="BQ650" s="1">
        <v>3.9500000000001299</v>
      </c>
      <c r="BU650" s="1">
        <v>3.9500000000001299</v>
      </c>
    </row>
    <row r="651" spans="33:73" hidden="1" x14ac:dyDescent="0.25">
      <c r="AG651" s="1">
        <v>3.9400000000001301</v>
      </c>
      <c r="AH651" s="1">
        <f t="shared" si="31"/>
        <v>226.05999999999986</v>
      </c>
      <c r="AI651" s="1">
        <f t="shared" si="32"/>
        <v>226.05999999999986</v>
      </c>
      <c r="AK651" s="1">
        <v>3.9400000000001301</v>
      </c>
      <c r="AO651" s="1">
        <v>3.9400000000001301</v>
      </c>
      <c r="AS651" s="1">
        <v>3.9400000000001301</v>
      </c>
      <c r="AW651" s="1">
        <v>3.9400000000001301</v>
      </c>
      <c r="BA651" s="1">
        <v>3.9400000000001301</v>
      </c>
      <c r="BE651" s="1">
        <v>3.9400000000001301</v>
      </c>
      <c r="BI651" s="1">
        <v>3.9400000000001301</v>
      </c>
      <c r="BM651" s="1">
        <v>3.9400000000001301</v>
      </c>
      <c r="BQ651" s="1">
        <v>3.9400000000001301</v>
      </c>
      <c r="BU651" s="1">
        <v>3.9400000000001301</v>
      </c>
    </row>
    <row r="652" spans="33:73" hidden="1" x14ac:dyDescent="0.25">
      <c r="AG652" s="1">
        <v>3.9300000000001298</v>
      </c>
      <c r="AH652" s="1">
        <f t="shared" si="31"/>
        <v>226.06999999999988</v>
      </c>
      <c r="AI652" s="1">
        <f t="shared" si="32"/>
        <v>226.06999999999988</v>
      </c>
      <c r="AK652" s="1">
        <v>3.9300000000001298</v>
      </c>
      <c r="AO652" s="1">
        <v>3.9300000000001298</v>
      </c>
      <c r="AS652" s="1">
        <v>3.9300000000001298</v>
      </c>
      <c r="AW652" s="1">
        <v>3.9300000000001298</v>
      </c>
      <c r="BA652" s="1">
        <v>3.9300000000001298</v>
      </c>
      <c r="BE652" s="1">
        <v>3.9300000000001298</v>
      </c>
      <c r="BI652" s="1">
        <v>3.9300000000001298</v>
      </c>
      <c r="BM652" s="1">
        <v>3.9300000000001298</v>
      </c>
      <c r="BQ652" s="1">
        <v>3.9300000000001298</v>
      </c>
      <c r="BU652" s="1">
        <v>3.9300000000001298</v>
      </c>
    </row>
    <row r="653" spans="33:73" hidden="1" x14ac:dyDescent="0.25">
      <c r="AG653" s="1">
        <v>3.92000000000013</v>
      </c>
      <c r="AH653" s="1">
        <f t="shared" si="31"/>
        <v>226.07999999999987</v>
      </c>
      <c r="AI653" s="1">
        <f t="shared" si="32"/>
        <v>226.07999999999987</v>
      </c>
      <c r="AK653" s="1">
        <v>3.92000000000013</v>
      </c>
      <c r="AO653" s="1">
        <v>3.92000000000013</v>
      </c>
      <c r="AS653" s="1">
        <v>3.92000000000013</v>
      </c>
      <c r="AW653" s="1">
        <v>3.92000000000013</v>
      </c>
      <c r="BA653" s="1">
        <v>3.92000000000013</v>
      </c>
      <c r="BE653" s="1">
        <v>3.92000000000013</v>
      </c>
      <c r="BI653" s="1">
        <v>3.92000000000013</v>
      </c>
      <c r="BM653" s="1">
        <v>3.92000000000013</v>
      </c>
      <c r="BQ653" s="1">
        <v>3.92000000000013</v>
      </c>
      <c r="BU653" s="1">
        <v>3.92000000000013</v>
      </c>
    </row>
    <row r="654" spans="33:73" hidden="1" x14ac:dyDescent="0.25">
      <c r="AG654" s="1">
        <v>3.9100000000001298</v>
      </c>
      <c r="AH654" s="1">
        <f t="shared" si="31"/>
        <v>226.08999999999986</v>
      </c>
      <c r="AI654" s="1">
        <f t="shared" si="32"/>
        <v>226.08999999999986</v>
      </c>
      <c r="AK654" s="1">
        <v>3.9100000000001298</v>
      </c>
      <c r="AO654" s="1">
        <v>3.9100000000001298</v>
      </c>
      <c r="AS654" s="1">
        <v>3.9100000000001298</v>
      </c>
      <c r="AW654" s="1">
        <v>3.9100000000001298</v>
      </c>
      <c r="BA654" s="1">
        <v>3.9100000000001298</v>
      </c>
      <c r="BE654" s="1">
        <v>3.9100000000001298</v>
      </c>
      <c r="BI654" s="1">
        <v>3.9100000000001298</v>
      </c>
      <c r="BM654" s="1">
        <v>3.9100000000001298</v>
      </c>
      <c r="BQ654" s="1">
        <v>3.9100000000001298</v>
      </c>
      <c r="BU654" s="1">
        <v>3.9100000000001298</v>
      </c>
    </row>
    <row r="655" spans="33:73" hidden="1" x14ac:dyDescent="0.25">
      <c r="AG655" s="1">
        <v>3.90000000000013</v>
      </c>
      <c r="AH655" s="1">
        <f t="shared" si="31"/>
        <v>226.09999999999988</v>
      </c>
      <c r="AI655" s="1">
        <f t="shared" si="32"/>
        <v>226.09999999999988</v>
      </c>
      <c r="AK655" s="1">
        <v>3.90000000000013</v>
      </c>
      <c r="AO655" s="1">
        <v>3.90000000000013</v>
      </c>
      <c r="AS655" s="1">
        <v>3.90000000000013</v>
      </c>
      <c r="AW655" s="1">
        <v>3.90000000000013</v>
      </c>
      <c r="BA655" s="1">
        <v>3.90000000000013</v>
      </c>
      <c r="BE655" s="1">
        <v>3.90000000000013</v>
      </c>
      <c r="BI655" s="1">
        <v>3.90000000000013</v>
      </c>
      <c r="BM655" s="1">
        <v>3.90000000000013</v>
      </c>
      <c r="BQ655" s="1">
        <v>3.90000000000013</v>
      </c>
      <c r="BU655" s="1">
        <v>3.90000000000013</v>
      </c>
    </row>
    <row r="656" spans="33:73" hidden="1" x14ac:dyDescent="0.25">
      <c r="AG656" s="1">
        <v>3.8900000000001298</v>
      </c>
      <c r="AH656" s="1">
        <f t="shared" si="31"/>
        <v>226.10999999999987</v>
      </c>
      <c r="AI656" s="1">
        <f t="shared" si="32"/>
        <v>226.10999999999987</v>
      </c>
      <c r="AK656" s="1">
        <v>3.8900000000001298</v>
      </c>
      <c r="AO656" s="1">
        <v>3.8900000000001298</v>
      </c>
      <c r="AS656" s="1">
        <v>3.8900000000001298</v>
      </c>
      <c r="AW656" s="1">
        <v>3.8900000000001298</v>
      </c>
      <c r="BA656" s="1">
        <v>3.8900000000001298</v>
      </c>
      <c r="BE656" s="1">
        <v>3.8900000000001298</v>
      </c>
      <c r="BI656" s="1">
        <v>3.8900000000001298</v>
      </c>
      <c r="BM656" s="1">
        <v>3.8900000000001298</v>
      </c>
      <c r="BQ656" s="1">
        <v>3.8900000000001298</v>
      </c>
      <c r="BU656" s="1">
        <v>3.8900000000001298</v>
      </c>
    </row>
    <row r="657" spans="33:73" hidden="1" x14ac:dyDescent="0.25">
      <c r="AG657" s="1">
        <v>3.88000000000013</v>
      </c>
      <c r="AH657" s="1">
        <f t="shared" si="31"/>
        <v>226.11999999999986</v>
      </c>
      <c r="AI657" s="1">
        <f t="shared" si="32"/>
        <v>226.11999999999986</v>
      </c>
      <c r="AK657" s="1">
        <v>3.88000000000013</v>
      </c>
      <c r="AO657" s="1">
        <v>3.88000000000013</v>
      </c>
      <c r="AS657" s="1">
        <v>3.88000000000013</v>
      </c>
      <c r="AW657" s="1">
        <v>3.88000000000013</v>
      </c>
      <c r="BA657" s="1">
        <v>3.88000000000013</v>
      </c>
      <c r="BE657" s="1">
        <v>3.88000000000013</v>
      </c>
      <c r="BI657" s="1">
        <v>3.88000000000013</v>
      </c>
      <c r="BM657" s="1">
        <v>3.88000000000013</v>
      </c>
      <c r="BQ657" s="1">
        <v>3.88000000000013</v>
      </c>
      <c r="BU657" s="1">
        <v>3.88000000000013</v>
      </c>
    </row>
    <row r="658" spans="33:73" hidden="1" x14ac:dyDescent="0.25">
      <c r="AG658" s="1">
        <v>3.8700000000001298</v>
      </c>
      <c r="AH658" s="1">
        <f t="shared" si="31"/>
        <v>226.12999999999988</v>
      </c>
      <c r="AI658" s="1">
        <f t="shared" si="32"/>
        <v>226.12999999999988</v>
      </c>
      <c r="AK658" s="1">
        <v>3.8700000000001298</v>
      </c>
      <c r="AO658" s="1">
        <v>3.8700000000001298</v>
      </c>
      <c r="AS658" s="1">
        <v>3.8700000000001298</v>
      </c>
      <c r="AW658" s="1">
        <v>3.8700000000001298</v>
      </c>
      <c r="BA658" s="1">
        <v>3.8700000000001298</v>
      </c>
      <c r="BE658" s="1">
        <v>3.8700000000001298</v>
      </c>
      <c r="BI658" s="1">
        <v>3.8700000000001298</v>
      </c>
      <c r="BM658" s="1">
        <v>3.8700000000001298</v>
      </c>
      <c r="BQ658" s="1">
        <v>3.8700000000001298</v>
      </c>
      <c r="BU658" s="1">
        <v>3.8700000000001298</v>
      </c>
    </row>
    <row r="659" spans="33:73" hidden="1" x14ac:dyDescent="0.25">
      <c r="AG659" s="1">
        <v>3.86000000000013</v>
      </c>
      <c r="AH659" s="1">
        <f t="shared" si="31"/>
        <v>226.13999999999987</v>
      </c>
      <c r="AI659" s="1">
        <f t="shared" si="32"/>
        <v>226.13999999999987</v>
      </c>
      <c r="AK659" s="1">
        <v>3.86000000000013</v>
      </c>
      <c r="AO659" s="1">
        <v>3.86000000000013</v>
      </c>
      <c r="AS659" s="1">
        <v>3.86000000000013</v>
      </c>
      <c r="AW659" s="1">
        <v>3.86000000000013</v>
      </c>
      <c r="BA659" s="1">
        <v>3.86000000000013</v>
      </c>
      <c r="BE659" s="1">
        <v>3.86000000000013</v>
      </c>
      <c r="BI659" s="1">
        <v>3.86000000000013</v>
      </c>
      <c r="BM659" s="1">
        <v>3.86000000000013</v>
      </c>
      <c r="BQ659" s="1">
        <v>3.86000000000013</v>
      </c>
      <c r="BU659" s="1">
        <v>3.86000000000013</v>
      </c>
    </row>
    <row r="660" spans="33:73" hidden="1" x14ac:dyDescent="0.25">
      <c r="AG660" s="1">
        <v>3.8500000000001302</v>
      </c>
      <c r="AH660" s="1">
        <f t="shared" si="31"/>
        <v>226.14999999999986</v>
      </c>
      <c r="AI660" s="1">
        <f t="shared" si="32"/>
        <v>226.14999999999986</v>
      </c>
      <c r="AK660" s="1">
        <v>3.8500000000001302</v>
      </c>
      <c r="AO660" s="1">
        <v>3.8500000000001302</v>
      </c>
      <c r="AS660" s="1">
        <v>3.8500000000001302</v>
      </c>
      <c r="AW660" s="1">
        <v>3.8500000000001302</v>
      </c>
      <c r="BA660" s="1">
        <v>3.8500000000001302</v>
      </c>
      <c r="BE660" s="1">
        <v>3.8500000000001302</v>
      </c>
      <c r="BI660" s="1">
        <v>3.8500000000001302</v>
      </c>
      <c r="BM660" s="1">
        <v>3.8500000000001302</v>
      </c>
      <c r="BQ660" s="1">
        <v>3.8500000000001302</v>
      </c>
      <c r="BU660" s="1">
        <v>3.8500000000001302</v>
      </c>
    </row>
    <row r="661" spans="33:73" hidden="1" x14ac:dyDescent="0.25">
      <c r="AG661" s="1">
        <v>3.84000000000013</v>
      </c>
      <c r="AH661" s="1">
        <f t="shared" si="31"/>
        <v>226.15999999999988</v>
      </c>
      <c r="AI661" s="1">
        <f t="shared" si="32"/>
        <v>226.15999999999988</v>
      </c>
      <c r="AK661" s="1">
        <v>3.84000000000013</v>
      </c>
      <c r="AO661" s="1">
        <v>3.84000000000013</v>
      </c>
      <c r="AS661" s="1">
        <v>3.84000000000013</v>
      </c>
      <c r="AW661" s="1">
        <v>3.84000000000013</v>
      </c>
      <c r="BA661" s="1">
        <v>3.84000000000013</v>
      </c>
      <c r="BE661" s="1">
        <v>3.84000000000013</v>
      </c>
      <c r="BI661" s="1">
        <v>3.84000000000013</v>
      </c>
      <c r="BM661" s="1">
        <v>3.84000000000013</v>
      </c>
      <c r="BQ661" s="1">
        <v>3.84000000000013</v>
      </c>
      <c r="BU661" s="1">
        <v>3.84000000000013</v>
      </c>
    </row>
    <row r="662" spans="33:73" hidden="1" x14ac:dyDescent="0.25">
      <c r="AG662" s="1">
        <v>3.8300000000001302</v>
      </c>
      <c r="AH662" s="1">
        <f t="shared" si="31"/>
        <v>226.16999999999987</v>
      </c>
      <c r="AI662" s="1">
        <f t="shared" si="32"/>
        <v>226.16999999999987</v>
      </c>
      <c r="AK662" s="1">
        <v>3.8300000000001302</v>
      </c>
      <c r="AO662" s="1">
        <v>3.8300000000001302</v>
      </c>
      <c r="AS662" s="1">
        <v>3.8300000000001302</v>
      </c>
      <c r="AW662" s="1">
        <v>3.8300000000001302</v>
      </c>
      <c r="BA662" s="1">
        <v>3.8300000000001302</v>
      </c>
      <c r="BE662" s="1">
        <v>3.8300000000001302</v>
      </c>
      <c r="BI662" s="1">
        <v>3.8300000000001302</v>
      </c>
      <c r="BM662" s="1">
        <v>3.8300000000001302</v>
      </c>
      <c r="BQ662" s="1">
        <v>3.8300000000001302</v>
      </c>
      <c r="BU662" s="1">
        <v>3.8300000000001302</v>
      </c>
    </row>
    <row r="663" spans="33:73" hidden="1" x14ac:dyDescent="0.25">
      <c r="AG663" s="1">
        <v>3.82000000000013</v>
      </c>
      <c r="AH663" s="1">
        <f t="shared" si="31"/>
        <v>226.17999999999986</v>
      </c>
      <c r="AI663" s="1">
        <f t="shared" si="32"/>
        <v>226.17999999999986</v>
      </c>
      <c r="AK663" s="1">
        <v>3.82000000000013</v>
      </c>
      <c r="AO663" s="1">
        <v>3.82000000000013</v>
      </c>
      <c r="AS663" s="1">
        <v>3.82000000000013</v>
      </c>
      <c r="AW663" s="1">
        <v>3.82000000000013</v>
      </c>
      <c r="BA663" s="1">
        <v>3.82000000000013</v>
      </c>
      <c r="BE663" s="1">
        <v>3.82000000000013</v>
      </c>
      <c r="BI663" s="1">
        <v>3.82000000000013</v>
      </c>
      <c r="BM663" s="1">
        <v>3.82000000000013</v>
      </c>
      <c r="BQ663" s="1">
        <v>3.82000000000013</v>
      </c>
      <c r="BU663" s="1">
        <v>3.82000000000013</v>
      </c>
    </row>
    <row r="664" spans="33:73" hidden="1" x14ac:dyDescent="0.25">
      <c r="AG664" s="1">
        <v>3.8100000000001302</v>
      </c>
      <c r="AH664" s="1">
        <f t="shared" si="31"/>
        <v>226.18999999999988</v>
      </c>
      <c r="AI664" s="1">
        <f t="shared" si="32"/>
        <v>226.18999999999988</v>
      </c>
      <c r="AK664" s="1">
        <v>3.8100000000001302</v>
      </c>
      <c r="AO664" s="1">
        <v>3.8100000000001302</v>
      </c>
      <c r="AS664" s="1">
        <v>3.8100000000001302</v>
      </c>
      <c r="AW664" s="1">
        <v>3.8100000000001302</v>
      </c>
      <c r="BA664" s="1">
        <v>3.8100000000001302</v>
      </c>
      <c r="BE664" s="1">
        <v>3.8100000000001302</v>
      </c>
      <c r="BI664" s="1">
        <v>3.8100000000001302</v>
      </c>
      <c r="BM664" s="1">
        <v>3.8100000000001302</v>
      </c>
      <c r="BQ664" s="1">
        <v>3.8100000000001302</v>
      </c>
      <c r="BU664" s="1">
        <v>3.8100000000001302</v>
      </c>
    </row>
    <row r="665" spans="33:73" hidden="1" x14ac:dyDescent="0.25">
      <c r="AG665" s="1">
        <v>3.8000000000001299</v>
      </c>
      <c r="AH665" s="1">
        <f t="shared" si="31"/>
        <v>226.19999999999987</v>
      </c>
      <c r="AI665" s="1">
        <f t="shared" si="32"/>
        <v>226.19999999999987</v>
      </c>
      <c r="AK665" s="1">
        <v>3.8000000000001299</v>
      </c>
      <c r="AO665" s="1">
        <v>3.8000000000001299</v>
      </c>
      <c r="AS665" s="1">
        <v>3.8000000000001299</v>
      </c>
      <c r="AW665" s="1">
        <v>3.8000000000001299</v>
      </c>
      <c r="BA665" s="1">
        <v>3.8000000000001299</v>
      </c>
      <c r="BE665" s="1">
        <v>3.8000000000001299</v>
      </c>
      <c r="BI665" s="1">
        <v>3.8000000000001299</v>
      </c>
      <c r="BM665" s="1">
        <v>3.8000000000001299</v>
      </c>
      <c r="BQ665" s="1">
        <v>3.8000000000001299</v>
      </c>
      <c r="BU665" s="1">
        <v>3.8000000000001299</v>
      </c>
    </row>
    <row r="666" spans="33:73" hidden="1" x14ac:dyDescent="0.25">
      <c r="AG666" s="1">
        <v>3.7900000000001302</v>
      </c>
      <c r="AH666" s="1">
        <f t="shared" si="31"/>
        <v>226.20999999999987</v>
      </c>
      <c r="AI666" s="1">
        <f t="shared" si="32"/>
        <v>226.20999999999987</v>
      </c>
      <c r="AK666" s="1">
        <v>3.7900000000001302</v>
      </c>
      <c r="AO666" s="1">
        <v>3.7900000000001302</v>
      </c>
      <c r="AS666" s="1">
        <v>3.7900000000001302</v>
      </c>
      <c r="AW666" s="1">
        <v>3.7900000000001302</v>
      </c>
      <c r="BA666" s="1">
        <v>3.7900000000001302</v>
      </c>
      <c r="BE666" s="1">
        <v>3.7900000000001302</v>
      </c>
      <c r="BI666" s="1">
        <v>3.7900000000001302</v>
      </c>
      <c r="BM666" s="1">
        <v>3.7900000000001302</v>
      </c>
      <c r="BQ666" s="1">
        <v>3.7900000000001302</v>
      </c>
      <c r="BU666" s="1">
        <v>3.7900000000001302</v>
      </c>
    </row>
    <row r="667" spans="33:73" hidden="1" x14ac:dyDescent="0.25">
      <c r="AG667" s="1">
        <v>3.7800000000001299</v>
      </c>
      <c r="AH667" s="1">
        <f t="shared" si="31"/>
        <v>226.21999999999986</v>
      </c>
      <c r="AI667" s="1">
        <f t="shared" si="32"/>
        <v>226.21999999999986</v>
      </c>
      <c r="AK667" s="1">
        <v>3.7800000000001299</v>
      </c>
      <c r="AO667" s="1">
        <v>3.7800000000001299</v>
      </c>
      <c r="AS667" s="1">
        <v>3.7800000000001299</v>
      </c>
      <c r="AW667" s="1">
        <v>3.7800000000001299</v>
      </c>
      <c r="BA667" s="1">
        <v>3.7800000000001299</v>
      </c>
      <c r="BE667" s="1">
        <v>3.7800000000001299</v>
      </c>
      <c r="BI667" s="1">
        <v>3.7800000000001299</v>
      </c>
      <c r="BM667" s="1">
        <v>3.7800000000001299</v>
      </c>
      <c r="BQ667" s="1">
        <v>3.7800000000001299</v>
      </c>
      <c r="BU667" s="1">
        <v>3.7800000000001299</v>
      </c>
    </row>
    <row r="668" spans="33:73" hidden="1" x14ac:dyDescent="0.25">
      <c r="AG668" s="1">
        <v>3.7700000000001301</v>
      </c>
      <c r="AH668" s="1">
        <f t="shared" si="31"/>
        <v>226.22999999999988</v>
      </c>
      <c r="AI668" s="1">
        <f t="shared" si="32"/>
        <v>226.22999999999988</v>
      </c>
      <c r="AK668" s="1">
        <v>3.7700000000001301</v>
      </c>
      <c r="AO668" s="1">
        <v>3.7700000000001301</v>
      </c>
      <c r="AS668" s="1">
        <v>3.7700000000001301</v>
      </c>
      <c r="AW668" s="1">
        <v>3.7700000000001301</v>
      </c>
      <c r="BA668" s="1">
        <v>3.7700000000001301</v>
      </c>
      <c r="BE668" s="1">
        <v>3.7700000000001301</v>
      </c>
      <c r="BI668" s="1">
        <v>3.7700000000001301</v>
      </c>
      <c r="BM668" s="1">
        <v>3.7700000000001301</v>
      </c>
      <c r="BQ668" s="1">
        <v>3.7700000000001301</v>
      </c>
      <c r="BU668" s="1">
        <v>3.7700000000001301</v>
      </c>
    </row>
    <row r="669" spans="33:73" hidden="1" x14ac:dyDescent="0.25">
      <c r="AG669" s="1">
        <v>3.7600000000001299</v>
      </c>
      <c r="AH669" s="1">
        <f t="shared" si="31"/>
        <v>226.23999999999987</v>
      </c>
      <c r="AI669" s="1">
        <f t="shared" si="32"/>
        <v>226.23999999999987</v>
      </c>
      <c r="AK669" s="1">
        <v>3.7600000000001299</v>
      </c>
      <c r="AO669" s="1">
        <v>3.7600000000001299</v>
      </c>
      <c r="AS669" s="1">
        <v>3.7600000000001299</v>
      </c>
      <c r="AW669" s="1">
        <v>3.7600000000001299</v>
      </c>
      <c r="BA669" s="1">
        <v>3.7600000000001299</v>
      </c>
      <c r="BE669" s="1">
        <v>3.7600000000001299</v>
      </c>
      <c r="BI669" s="1">
        <v>3.7600000000001299</v>
      </c>
      <c r="BM669" s="1">
        <v>3.7600000000001299</v>
      </c>
      <c r="BQ669" s="1">
        <v>3.7600000000001299</v>
      </c>
      <c r="BU669" s="1">
        <v>3.7600000000001299</v>
      </c>
    </row>
    <row r="670" spans="33:73" hidden="1" x14ac:dyDescent="0.25">
      <c r="AG670" s="1">
        <v>3.7500000000001301</v>
      </c>
      <c r="AH670" s="1">
        <f t="shared" si="31"/>
        <v>226.24999999999986</v>
      </c>
      <c r="AI670" s="1">
        <f t="shared" si="32"/>
        <v>226.24999999999986</v>
      </c>
      <c r="AK670" s="1">
        <v>3.7500000000001301</v>
      </c>
      <c r="AO670" s="1">
        <v>3.7500000000001301</v>
      </c>
      <c r="AS670" s="1">
        <v>3.7500000000001301</v>
      </c>
      <c r="AW670" s="1">
        <v>3.7500000000001301</v>
      </c>
      <c r="BA670" s="1">
        <v>3.7500000000001301</v>
      </c>
      <c r="BE670" s="1">
        <v>3.7500000000001301</v>
      </c>
      <c r="BI670" s="1">
        <v>3.7500000000001301</v>
      </c>
      <c r="BM670" s="1">
        <v>3.7500000000001301</v>
      </c>
      <c r="BQ670" s="1">
        <v>3.7500000000001301</v>
      </c>
      <c r="BU670" s="1">
        <v>3.7500000000001301</v>
      </c>
    </row>
    <row r="671" spans="33:73" hidden="1" x14ac:dyDescent="0.25">
      <c r="AG671" s="1">
        <v>3.7400000000001299</v>
      </c>
      <c r="AH671" s="1">
        <f t="shared" si="31"/>
        <v>226.25999999999988</v>
      </c>
      <c r="AI671" s="1">
        <f t="shared" si="32"/>
        <v>226.25999999999988</v>
      </c>
      <c r="AK671" s="1">
        <v>3.7400000000001299</v>
      </c>
      <c r="AO671" s="1">
        <v>3.7400000000001299</v>
      </c>
      <c r="AS671" s="1">
        <v>3.7400000000001299</v>
      </c>
      <c r="AW671" s="1">
        <v>3.7400000000001299</v>
      </c>
      <c r="BA671" s="1">
        <v>3.7400000000001299</v>
      </c>
      <c r="BE671" s="1">
        <v>3.7400000000001299</v>
      </c>
      <c r="BI671" s="1">
        <v>3.7400000000001299</v>
      </c>
      <c r="BM671" s="1">
        <v>3.7400000000001299</v>
      </c>
      <c r="BQ671" s="1">
        <v>3.7400000000001299</v>
      </c>
      <c r="BU671" s="1">
        <v>3.7400000000001299</v>
      </c>
    </row>
    <row r="672" spans="33:73" hidden="1" x14ac:dyDescent="0.25">
      <c r="AG672" s="1">
        <v>3.7300000000001301</v>
      </c>
      <c r="AH672" s="1">
        <f t="shared" si="31"/>
        <v>226.26999999999987</v>
      </c>
      <c r="AI672" s="1">
        <f t="shared" si="32"/>
        <v>226.26999999999987</v>
      </c>
      <c r="AK672" s="1">
        <v>3.7300000000001301</v>
      </c>
      <c r="AO672" s="1">
        <v>3.7300000000001301</v>
      </c>
      <c r="AS672" s="1">
        <v>3.7300000000001301</v>
      </c>
      <c r="AW672" s="1">
        <v>3.7300000000001301</v>
      </c>
      <c r="BA672" s="1">
        <v>3.7300000000001301</v>
      </c>
      <c r="BE672" s="1">
        <v>3.7300000000001301</v>
      </c>
      <c r="BI672" s="1">
        <v>3.7300000000001301</v>
      </c>
      <c r="BM672" s="1">
        <v>3.7300000000001301</v>
      </c>
      <c r="BQ672" s="1">
        <v>3.7300000000001301</v>
      </c>
      <c r="BU672" s="1">
        <v>3.7300000000001301</v>
      </c>
    </row>
    <row r="673" spans="33:73" hidden="1" x14ac:dyDescent="0.25">
      <c r="AG673" s="1">
        <v>3.7200000000001299</v>
      </c>
      <c r="AH673" s="1">
        <f t="shared" si="31"/>
        <v>226.27999999999986</v>
      </c>
      <c r="AI673" s="1">
        <f t="shared" si="32"/>
        <v>226.27999999999986</v>
      </c>
      <c r="AK673" s="1">
        <v>3.7200000000001299</v>
      </c>
      <c r="AO673" s="1">
        <v>3.7200000000001299</v>
      </c>
      <c r="AS673" s="1">
        <v>3.7200000000001299</v>
      </c>
      <c r="AW673" s="1">
        <v>3.7200000000001299</v>
      </c>
      <c r="BA673" s="1">
        <v>3.7200000000001299</v>
      </c>
      <c r="BE673" s="1">
        <v>3.7200000000001299</v>
      </c>
      <c r="BI673" s="1">
        <v>3.7200000000001299</v>
      </c>
      <c r="BM673" s="1">
        <v>3.7200000000001299</v>
      </c>
      <c r="BQ673" s="1">
        <v>3.7200000000001299</v>
      </c>
      <c r="BU673" s="1">
        <v>3.7200000000001299</v>
      </c>
    </row>
    <row r="674" spans="33:73" hidden="1" x14ac:dyDescent="0.25">
      <c r="AG674" s="1">
        <v>3.7100000000001301</v>
      </c>
      <c r="AH674" s="1">
        <f t="shared" si="31"/>
        <v>226.28999999999988</v>
      </c>
      <c r="AI674" s="1">
        <f t="shared" si="32"/>
        <v>226.28999999999988</v>
      </c>
      <c r="AK674" s="1">
        <v>3.7100000000001301</v>
      </c>
      <c r="AO674" s="1">
        <v>3.7100000000001301</v>
      </c>
      <c r="AS674" s="1">
        <v>3.7100000000001301</v>
      </c>
      <c r="AW674" s="1">
        <v>3.7100000000001301</v>
      </c>
      <c r="BA674" s="1">
        <v>3.7100000000001301</v>
      </c>
      <c r="BE674" s="1">
        <v>3.7100000000001301</v>
      </c>
      <c r="BI674" s="1">
        <v>3.7100000000001301</v>
      </c>
      <c r="BM674" s="1">
        <v>3.7100000000001301</v>
      </c>
      <c r="BQ674" s="1">
        <v>3.7100000000001301</v>
      </c>
      <c r="BU674" s="1">
        <v>3.7100000000001301</v>
      </c>
    </row>
    <row r="675" spans="33:73" hidden="1" x14ac:dyDescent="0.25">
      <c r="AG675" s="1">
        <v>3.7000000000001299</v>
      </c>
      <c r="AH675" s="1">
        <f t="shared" si="31"/>
        <v>226.29999999999987</v>
      </c>
      <c r="AI675" s="1">
        <f t="shared" si="32"/>
        <v>226.29999999999987</v>
      </c>
      <c r="AK675" s="1">
        <v>3.7000000000001299</v>
      </c>
      <c r="AO675" s="1">
        <v>3.7000000000001299</v>
      </c>
      <c r="AS675" s="1">
        <v>3.7000000000001299</v>
      </c>
      <c r="AW675" s="1">
        <v>3.7000000000001299</v>
      </c>
      <c r="BA675" s="1">
        <v>3.7000000000001299</v>
      </c>
      <c r="BE675" s="1">
        <v>3.7000000000001299</v>
      </c>
      <c r="BI675" s="1">
        <v>3.7000000000001299</v>
      </c>
      <c r="BM675" s="1">
        <v>3.7000000000001299</v>
      </c>
      <c r="BQ675" s="1">
        <v>3.7000000000001299</v>
      </c>
      <c r="BU675" s="1">
        <v>3.7000000000001299</v>
      </c>
    </row>
    <row r="676" spans="33:73" hidden="1" x14ac:dyDescent="0.25">
      <c r="AG676" s="1">
        <v>3.6900000000001301</v>
      </c>
      <c r="AH676" s="1">
        <f t="shared" si="31"/>
        <v>226.30999999999986</v>
      </c>
      <c r="AI676" s="1">
        <f t="shared" si="32"/>
        <v>226.30999999999986</v>
      </c>
      <c r="AK676" s="1">
        <v>3.6900000000001301</v>
      </c>
      <c r="AO676" s="1">
        <v>3.6900000000001301</v>
      </c>
      <c r="AS676" s="1">
        <v>3.6900000000001301</v>
      </c>
      <c r="AW676" s="1">
        <v>3.6900000000001301</v>
      </c>
      <c r="BA676" s="1">
        <v>3.6900000000001301</v>
      </c>
      <c r="BE676" s="1">
        <v>3.6900000000001301</v>
      </c>
      <c r="BI676" s="1">
        <v>3.6900000000001301</v>
      </c>
      <c r="BM676" s="1">
        <v>3.6900000000001301</v>
      </c>
      <c r="BQ676" s="1">
        <v>3.6900000000001301</v>
      </c>
      <c r="BU676" s="1">
        <v>3.6900000000001301</v>
      </c>
    </row>
    <row r="677" spans="33:73" hidden="1" x14ac:dyDescent="0.25">
      <c r="AG677" s="1">
        <v>3.6800000000001298</v>
      </c>
      <c r="AH677" s="1">
        <f t="shared" si="31"/>
        <v>226.31999999999988</v>
      </c>
      <c r="AI677" s="1">
        <f t="shared" si="32"/>
        <v>226.31999999999988</v>
      </c>
      <c r="AK677" s="1">
        <v>3.6800000000001298</v>
      </c>
      <c r="AO677" s="1">
        <v>3.6800000000001298</v>
      </c>
      <c r="AS677" s="1">
        <v>3.6800000000001298</v>
      </c>
      <c r="AW677" s="1">
        <v>3.6800000000001298</v>
      </c>
      <c r="BA677" s="1">
        <v>3.6800000000001298</v>
      </c>
      <c r="BE677" s="1">
        <v>3.6800000000001298</v>
      </c>
      <c r="BI677" s="1">
        <v>3.6800000000001298</v>
      </c>
      <c r="BM677" s="1">
        <v>3.6800000000001298</v>
      </c>
      <c r="BQ677" s="1">
        <v>3.6800000000001298</v>
      </c>
      <c r="BU677" s="1">
        <v>3.6800000000001298</v>
      </c>
    </row>
    <row r="678" spans="33:73" hidden="1" x14ac:dyDescent="0.25">
      <c r="AG678" s="1">
        <v>3.67000000000013</v>
      </c>
      <c r="AH678" s="1">
        <f t="shared" si="31"/>
        <v>226.32999999999987</v>
      </c>
      <c r="AI678" s="1">
        <f t="shared" si="32"/>
        <v>226.32999999999987</v>
      </c>
      <c r="AK678" s="1">
        <v>3.67000000000013</v>
      </c>
      <c r="AO678" s="1">
        <v>3.67000000000013</v>
      </c>
      <c r="AS678" s="1">
        <v>3.67000000000013</v>
      </c>
      <c r="AW678" s="1">
        <v>3.67000000000013</v>
      </c>
      <c r="BA678" s="1">
        <v>3.67000000000013</v>
      </c>
      <c r="BE678" s="1">
        <v>3.67000000000013</v>
      </c>
      <c r="BI678" s="1">
        <v>3.67000000000013</v>
      </c>
      <c r="BM678" s="1">
        <v>3.67000000000013</v>
      </c>
      <c r="BQ678" s="1">
        <v>3.67000000000013</v>
      </c>
      <c r="BU678" s="1">
        <v>3.67000000000013</v>
      </c>
    </row>
    <row r="679" spans="33:73" hidden="1" x14ac:dyDescent="0.25">
      <c r="AG679" s="1">
        <v>3.66000000000014</v>
      </c>
      <c r="AH679" s="1">
        <f t="shared" si="31"/>
        <v>226.33999999999986</v>
      </c>
      <c r="AI679" s="1">
        <f t="shared" si="32"/>
        <v>226.33999999999986</v>
      </c>
      <c r="AK679" s="1">
        <v>3.66000000000014</v>
      </c>
      <c r="AO679" s="1">
        <v>3.66000000000014</v>
      </c>
      <c r="AS679" s="1">
        <v>3.66000000000014</v>
      </c>
      <c r="AW679" s="1">
        <v>3.66000000000014</v>
      </c>
      <c r="BA679" s="1">
        <v>3.66000000000014</v>
      </c>
      <c r="BE679" s="1">
        <v>3.66000000000014</v>
      </c>
      <c r="BI679" s="1">
        <v>3.66000000000014</v>
      </c>
      <c r="BM679" s="1">
        <v>3.66000000000014</v>
      </c>
      <c r="BQ679" s="1">
        <v>3.66000000000014</v>
      </c>
      <c r="BU679" s="1">
        <v>3.66000000000014</v>
      </c>
    </row>
    <row r="680" spans="33:73" hidden="1" x14ac:dyDescent="0.25">
      <c r="AG680" s="1">
        <v>3.6500000000001398</v>
      </c>
      <c r="AH680" s="1">
        <f t="shared" si="31"/>
        <v>226.34999999999985</v>
      </c>
      <c r="AI680" s="1">
        <f t="shared" si="32"/>
        <v>226.34999999999985</v>
      </c>
      <c r="AK680" s="1">
        <v>3.6500000000001398</v>
      </c>
      <c r="AO680" s="1">
        <v>3.6500000000001398</v>
      </c>
      <c r="AS680" s="1">
        <v>3.6500000000001398</v>
      </c>
      <c r="AW680" s="1">
        <v>3.6500000000001398</v>
      </c>
      <c r="BA680" s="1">
        <v>3.6500000000001398</v>
      </c>
      <c r="BE680" s="1">
        <v>3.6500000000001398</v>
      </c>
      <c r="BI680" s="1">
        <v>3.6500000000001398</v>
      </c>
      <c r="BM680" s="1">
        <v>3.6500000000001398</v>
      </c>
      <c r="BQ680" s="1">
        <v>3.6500000000001398</v>
      </c>
      <c r="BU680" s="1">
        <v>3.6500000000001398</v>
      </c>
    </row>
    <row r="681" spans="33:73" hidden="1" x14ac:dyDescent="0.25">
      <c r="AG681" s="1">
        <v>3.64000000000014</v>
      </c>
      <c r="AH681" s="1">
        <f t="shared" si="31"/>
        <v>226.35999999999987</v>
      </c>
      <c r="AI681" s="1">
        <f t="shared" si="32"/>
        <v>226.35999999999987</v>
      </c>
      <c r="AK681" s="1">
        <v>3.64000000000014</v>
      </c>
      <c r="AO681" s="1">
        <v>3.64000000000014</v>
      </c>
      <c r="AS681" s="1">
        <v>3.64000000000014</v>
      </c>
      <c r="AW681" s="1">
        <v>3.64000000000014</v>
      </c>
      <c r="BA681" s="1">
        <v>3.64000000000014</v>
      </c>
      <c r="BE681" s="1">
        <v>3.64000000000014</v>
      </c>
      <c r="BI681" s="1">
        <v>3.64000000000014</v>
      </c>
      <c r="BM681" s="1">
        <v>3.64000000000014</v>
      </c>
      <c r="BQ681" s="1">
        <v>3.64000000000014</v>
      </c>
      <c r="BU681" s="1">
        <v>3.64000000000014</v>
      </c>
    </row>
    <row r="682" spans="33:73" hidden="1" x14ac:dyDescent="0.25">
      <c r="AG682" s="1">
        <v>3.6300000000001398</v>
      </c>
      <c r="AH682" s="1">
        <f t="shared" si="31"/>
        <v>226.36999999999986</v>
      </c>
      <c r="AI682" s="1">
        <f t="shared" si="32"/>
        <v>226.36999999999986</v>
      </c>
      <c r="AK682" s="1">
        <v>3.6300000000001398</v>
      </c>
      <c r="AO682" s="1">
        <v>3.6300000000001398</v>
      </c>
      <c r="AS682" s="1">
        <v>3.6300000000001398</v>
      </c>
      <c r="AW682" s="1">
        <v>3.6300000000001398</v>
      </c>
      <c r="BA682" s="1">
        <v>3.6300000000001398</v>
      </c>
      <c r="BE682" s="1">
        <v>3.6300000000001398</v>
      </c>
      <c r="BI682" s="1">
        <v>3.6300000000001398</v>
      </c>
      <c r="BM682" s="1">
        <v>3.6300000000001398</v>
      </c>
      <c r="BQ682" s="1">
        <v>3.6300000000001398</v>
      </c>
      <c r="BU682" s="1">
        <v>3.6300000000001398</v>
      </c>
    </row>
    <row r="683" spans="33:73" hidden="1" x14ac:dyDescent="0.25">
      <c r="AG683" s="1">
        <v>3.62000000000014</v>
      </c>
      <c r="AH683" s="1">
        <f t="shared" si="31"/>
        <v>226.37999999999985</v>
      </c>
      <c r="AI683" s="1">
        <f t="shared" si="32"/>
        <v>226.37999999999985</v>
      </c>
      <c r="AK683" s="1">
        <v>3.62000000000014</v>
      </c>
      <c r="AO683" s="1">
        <v>3.62000000000014</v>
      </c>
      <c r="AS683" s="1">
        <v>3.62000000000014</v>
      </c>
      <c r="AW683" s="1">
        <v>3.62000000000014</v>
      </c>
      <c r="BA683" s="1">
        <v>3.62000000000014</v>
      </c>
      <c r="BE683" s="1">
        <v>3.62000000000014</v>
      </c>
      <c r="BI683" s="1">
        <v>3.62000000000014</v>
      </c>
      <c r="BM683" s="1">
        <v>3.62000000000014</v>
      </c>
      <c r="BQ683" s="1">
        <v>3.62000000000014</v>
      </c>
      <c r="BU683" s="1">
        <v>3.62000000000014</v>
      </c>
    </row>
    <row r="684" spans="33:73" hidden="1" x14ac:dyDescent="0.25">
      <c r="AG684" s="1">
        <v>3.6100000000001402</v>
      </c>
      <c r="AH684" s="1">
        <f t="shared" si="31"/>
        <v>226.38999999999987</v>
      </c>
      <c r="AI684" s="1">
        <f t="shared" si="32"/>
        <v>226.38999999999987</v>
      </c>
      <c r="AK684" s="1">
        <v>3.6100000000001402</v>
      </c>
      <c r="AO684" s="1">
        <v>3.6100000000001402</v>
      </c>
      <c r="AS684" s="1">
        <v>3.6100000000001402</v>
      </c>
      <c r="AW684" s="1">
        <v>3.6100000000001402</v>
      </c>
      <c r="BA684" s="1">
        <v>3.6100000000001402</v>
      </c>
      <c r="BE684" s="1">
        <v>3.6100000000001402</v>
      </c>
      <c r="BI684" s="1">
        <v>3.6100000000001402</v>
      </c>
      <c r="BM684" s="1">
        <v>3.6100000000001402</v>
      </c>
      <c r="BQ684" s="1">
        <v>3.6100000000001402</v>
      </c>
      <c r="BU684" s="1">
        <v>3.6100000000001402</v>
      </c>
    </row>
    <row r="685" spans="33:73" hidden="1" x14ac:dyDescent="0.25">
      <c r="AG685" s="1">
        <v>3.60000000000014</v>
      </c>
      <c r="AH685" s="1">
        <f t="shared" si="31"/>
        <v>226.39999999999986</v>
      </c>
      <c r="AI685" s="1">
        <f t="shared" si="32"/>
        <v>226.39999999999986</v>
      </c>
      <c r="AK685" s="1">
        <v>3.60000000000014</v>
      </c>
      <c r="AO685" s="1">
        <v>3.60000000000014</v>
      </c>
      <c r="AS685" s="1">
        <v>3.60000000000014</v>
      </c>
      <c r="AW685" s="1">
        <v>3.60000000000014</v>
      </c>
      <c r="BA685" s="1">
        <v>3.60000000000014</v>
      </c>
      <c r="BE685" s="1">
        <v>3.60000000000014</v>
      </c>
      <c r="BI685" s="1">
        <v>3.60000000000014</v>
      </c>
      <c r="BM685" s="1">
        <v>3.60000000000014</v>
      </c>
      <c r="BQ685" s="1">
        <v>3.60000000000014</v>
      </c>
      <c r="BU685" s="1">
        <v>3.60000000000014</v>
      </c>
    </row>
    <row r="686" spans="33:73" hidden="1" x14ac:dyDescent="0.25">
      <c r="AG686" s="1">
        <v>3.5900000000001402</v>
      </c>
      <c r="AH686" s="1">
        <f t="shared" ref="AH686:AH749" si="33">SQRT((AI686+($AI$38*($AM$44*$AJ$44+$AN$44*$AK$44)))^2+($D$3*($AN$44*$AJ$44-$AM$44*$AK$44))^2)</f>
        <v>226.40999999999985</v>
      </c>
      <c r="AI686" s="1">
        <f t="shared" ref="AI686:AI749" si="34">$AI$40-AG686</f>
        <v>226.40999999999985</v>
      </c>
      <c r="AK686" s="1">
        <v>3.5900000000001402</v>
      </c>
      <c r="AO686" s="1">
        <v>3.5900000000001402</v>
      </c>
      <c r="AS686" s="1">
        <v>3.5900000000001402</v>
      </c>
      <c r="AW686" s="1">
        <v>3.5900000000001402</v>
      </c>
      <c r="BA686" s="1">
        <v>3.5900000000001402</v>
      </c>
      <c r="BE686" s="1">
        <v>3.5900000000001402</v>
      </c>
      <c r="BI686" s="1">
        <v>3.5900000000001402</v>
      </c>
      <c r="BM686" s="1">
        <v>3.5900000000001402</v>
      </c>
      <c r="BQ686" s="1">
        <v>3.5900000000001402</v>
      </c>
      <c r="BU686" s="1">
        <v>3.5900000000001402</v>
      </c>
    </row>
    <row r="687" spans="33:73" hidden="1" x14ac:dyDescent="0.25">
      <c r="AG687" s="1">
        <v>3.58000000000014</v>
      </c>
      <c r="AH687" s="1">
        <f t="shared" si="33"/>
        <v>226.41999999999987</v>
      </c>
      <c r="AI687" s="1">
        <f t="shared" si="34"/>
        <v>226.41999999999987</v>
      </c>
      <c r="AK687" s="1">
        <v>3.58000000000014</v>
      </c>
      <c r="AO687" s="1">
        <v>3.58000000000014</v>
      </c>
      <c r="AS687" s="1">
        <v>3.58000000000014</v>
      </c>
      <c r="AW687" s="1">
        <v>3.58000000000014</v>
      </c>
      <c r="BA687" s="1">
        <v>3.58000000000014</v>
      </c>
      <c r="BE687" s="1">
        <v>3.58000000000014</v>
      </c>
      <c r="BI687" s="1">
        <v>3.58000000000014</v>
      </c>
      <c r="BM687" s="1">
        <v>3.58000000000014</v>
      </c>
      <c r="BQ687" s="1">
        <v>3.58000000000014</v>
      </c>
      <c r="BU687" s="1">
        <v>3.58000000000014</v>
      </c>
    </row>
    <row r="688" spans="33:73" hidden="1" x14ac:dyDescent="0.25">
      <c r="AG688" s="1">
        <v>3.5700000000001402</v>
      </c>
      <c r="AH688" s="1">
        <f t="shared" si="33"/>
        <v>226.42999999999986</v>
      </c>
      <c r="AI688" s="1">
        <f t="shared" si="34"/>
        <v>226.42999999999986</v>
      </c>
      <c r="AK688" s="1">
        <v>3.5700000000001402</v>
      </c>
      <c r="AO688" s="1">
        <v>3.5700000000001402</v>
      </c>
      <c r="AS688" s="1">
        <v>3.5700000000001402</v>
      </c>
      <c r="AW688" s="1">
        <v>3.5700000000001402</v>
      </c>
      <c r="BA688" s="1">
        <v>3.5700000000001402</v>
      </c>
      <c r="BE688" s="1">
        <v>3.5700000000001402</v>
      </c>
      <c r="BI688" s="1">
        <v>3.5700000000001402</v>
      </c>
      <c r="BM688" s="1">
        <v>3.5700000000001402</v>
      </c>
      <c r="BQ688" s="1">
        <v>3.5700000000001402</v>
      </c>
      <c r="BU688" s="1">
        <v>3.5700000000001402</v>
      </c>
    </row>
    <row r="689" spans="33:73" hidden="1" x14ac:dyDescent="0.25">
      <c r="AG689" s="1">
        <v>3.5600000000001399</v>
      </c>
      <c r="AH689" s="1">
        <f t="shared" si="33"/>
        <v>226.43999999999986</v>
      </c>
      <c r="AI689" s="1">
        <f t="shared" si="34"/>
        <v>226.43999999999986</v>
      </c>
      <c r="AK689" s="1">
        <v>3.5600000000001399</v>
      </c>
      <c r="AO689" s="1">
        <v>3.5600000000001399</v>
      </c>
      <c r="AS689" s="1">
        <v>3.5600000000001399</v>
      </c>
      <c r="AW689" s="1">
        <v>3.5600000000001399</v>
      </c>
      <c r="BA689" s="1">
        <v>3.5600000000001399</v>
      </c>
      <c r="BE689" s="1">
        <v>3.5600000000001399</v>
      </c>
      <c r="BI689" s="1">
        <v>3.5600000000001399</v>
      </c>
      <c r="BM689" s="1">
        <v>3.5600000000001399</v>
      </c>
      <c r="BQ689" s="1">
        <v>3.5600000000001399</v>
      </c>
      <c r="BU689" s="1">
        <v>3.5600000000001399</v>
      </c>
    </row>
    <row r="690" spans="33:73" hidden="1" x14ac:dyDescent="0.25">
      <c r="AG690" s="1">
        <v>3.5500000000001402</v>
      </c>
      <c r="AH690" s="1">
        <f t="shared" si="33"/>
        <v>226.44999999999985</v>
      </c>
      <c r="AI690" s="1">
        <f t="shared" si="34"/>
        <v>226.44999999999985</v>
      </c>
      <c r="AK690" s="1">
        <v>3.5500000000001402</v>
      </c>
      <c r="AO690" s="1">
        <v>3.5500000000001402</v>
      </c>
      <c r="AS690" s="1">
        <v>3.5500000000001402</v>
      </c>
      <c r="AW690" s="1">
        <v>3.5500000000001402</v>
      </c>
      <c r="BA690" s="1">
        <v>3.5500000000001402</v>
      </c>
      <c r="BE690" s="1">
        <v>3.5500000000001402</v>
      </c>
      <c r="BI690" s="1">
        <v>3.5500000000001402</v>
      </c>
      <c r="BM690" s="1">
        <v>3.5500000000001402</v>
      </c>
      <c r="BQ690" s="1">
        <v>3.5500000000001402</v>
      </c>
      <c r="BU690" s="1">
        <v>3.5500000000001402</v>
      </c>
    </row>
    <row r="691" spans="33:73" hidden="1" x14ac:dyDescent="0.25">
      <c r="AG691" s="1">
        <v>3.5400000000001399</v>
      </c>
      <c r="AH691" s="1">
        <f t="shared" si="33"/>
        <v>226.45999999999987</v>
      </c>
      <c r="AI691" s="1">
        <f t="shared" si="34"/>
        <v>226.45999999999987</v>
      </c>
      <c r="AK691" s="1">
        <v>3.5400000000001399</v>
      </c>
      <c r="AO691" s="1">
        <v>3.5400000000001399</v>
      </c>
      <c r="AS691" s="1">
        <v>3.5400000000001399</v>
      </c>
      <c r="AW691" s="1">
        <v>3.5400000000001399</v>
      </c>
      <c r="BA691" s="1">
        <v>3.5400000000001399</v>
      </c>
      <c r="BE691" s="1">
        <v>3.5400000000001399</v>
      </c>
      <c r="BI691" s="1">
        <v>3.5400000000001399</v>
      </c>
      <c r="BM691" s="1">
        <v>3.5400000000001399</v>
      </c>
      <c r="BQ691" s="1">
        <v>3.5400000000001399</v>
      </c>
      <c r="BU691" s="1">
        <v>3.5400000000001399</v>
      </c>
    </row>
    <row r="692" spans="33:73" hidden="1" x14ac:dyDescent="0.25">
      <c r="AG692" s="1">
        <v>3.5300000000001401</v>
      </c>
      <c r="AH692" s="1">
        <f t="shared" si="33"/>
        <v>226.46999999999986</v>
      </c>
      <c r="AI692" s="1">
        <f t="shared" si="34"/>
        <v>226.46999999999986</v>
      </c>
      <c r="AK692" s="1">
        <v>3.5300000000001401</v>
      </c>
      <c r="AO692" s="1">
        <v>3.5300000000001401</v>
      </c>
      <c r="AS692" s="1">
        <v>3.5300000000001401</v>
      </c>
      <c r="AW692" s="1">
        <v>3.5300000000001401</v>
      </c>
      <c r="BA692" s="1">
        <v>3.5300000000001401</v>
      </c>
      <c r="BE692" s="1">
        <v>3.5300000000001401</v>
      </c>
      <c r="BI692" s="1">
        <v>3.5300000000001401</v>
      </c>
      <c r="BM692" s="1">
        <v>3.5300000000001401</v>
      </c>
      <c r="BQ692" s="1">
        <v>3.5300000000001401</v>
      </c>
      <c r="BU692" s="1">
        <v>3.5300000000001401</v>
      </c>
    </row>
    <row r="693" spans="33:73" hidden="1" x14ac:dyDescent="0.25">
      <c r="AG693" s="1">
        <v>3.5200000000001399</v>
      </c>
      <c r="AH693" s="1">
        <f t="shared" si="33"/>
        <v>226.47999999999985</v>
      </c>
      <c r="AI693" s="1">
        <f t="shared" si="34"/>
        <v>226.47999999999985</v>
      </c>
      <c r="AK693" s="1">
        <v>3.5200000000001399</v>
      </c>
      <c r="AO693" s="1">
        <v>3.5200000000001399</v>
      </c>
      <c r="AS693" s="1">
        <v>3.5200000000001399</v>
      </c>
      <c r="AW693" s="1">
        <v>3.5200000000001399</v>
      </c>
      <c r="BA693" s="1">
        <v>3.5200000000001399</v>
      </c>
      <c r="BE693" s="1">
        <v>3.5200000000001399</v>
      </c>
      <c r="BI693" s="1">
        <v>3.5200000000001399</v>
      </c>
      <c r="BM693" s="1">
        <v>3.5200000000001399</v>
      </c>
      <c r="BQ693" s="1">
        <v>3.5200000000001399</v>
      </c>
      <c r="BU693" s="1">
        <v>3.5200000000001399</v>
      </c>
    </row>
    <row r="694" spans="33:73" hidden="1" x14ac:dyDescent="0.25">
      <c r="AG694" s="1">
        <v>3.5100000000001401</v>
      </c>
      <c r="AH694" s="1">
        <f t="shared" si="33"/>
        <v>226.48999999999987</v>
      </c>
      <c r="AI694" s="1">
        <f t="shared" si="34"/>
        <v>226.48999999999987</v>
      </c>
      <c r="AK694" s="1">
        <v>3.5100000000001401</v>
      </c>
      <c r="AO694" s="1">
        <v>3.5100000000001401</v>
      </c>
      <c r="AS694" s="1">
        <v>3.5100000000001401</v>
      </c>
      <c r="AW694" s="1">
        <v>3.5100000000001401</v>
      </c>
      <c r="BA694" s="1">
        <v>3.5100000000001401</v>
      </c>
      <c r="BE694" s="1">
        <v>3.5100000000001401</v>
      </c>
      <c r="BI694" s="1">
        <v>3.5100000000001401</v>
      </c>
      <c r="BM694" s="1">
        <v>3.5100000000001401</v>
      </c>
      <c r="BQ694" s="1">
        <v>3.5100000000001401</v>
      </c>
      <c r="BU694" s="1">
        <v>3.5100000000001401</v>
      </c>
    </row>
    <row r="695" spans="33:73" hidden="1" x14ac:dyDescent="0.25">
      <c r="AG695" s="1">
        <v>3.5000000000001399</v>
      </c>
      <c r="AH695" s="1">
        <f t="shared" si="33"/>
        <v>226.49999999999986</v>
      </c>
      <c r="AI695" s="1">
        <f t="shared" si="34"/>
        <v>226.49999999999986</v>
      </c>
      <c r="AK695" s="1">
        <v>3.5000000000001399</v>
      </c>
      <c r="AO695" s="1">
        <v>3.5000000000001399</v>
      </c>
      <c r="AS695" s="1">
        <v>3.5000000000001399</v>
      </c>
      <c r="AW695" s="1">
        <v>3.5000000000001399</v>
      </c>
      <c r="BA695" s="1">
        <v>3.5000000000001399</v>
      </c>
      <c r="BE695" s="1">
        <v>3.5000000000001399</v>
      </c>
      <c r="BI695" s="1">
        <v>3.5000000000001399</v>
      </c>
      <c r="BM695" s="1">
        <v>3.5000000000001399</v>
      </c>
      <c r="BQ695" s="1">
        <v>3.5000000000001399</v>
      </c>
      <c r="BU695" s="1">
        <v>3.5000000000001399</v>
      </c>
    </row>
    <row r="696" spans="33:73" hidden="1" x14ac:dyDescent="0.25">
      <c r="AG696" s="1">
        <v>3.4900000000001401</v>
      </c>
      <c r="AH696" s="1">
        <f t="shared" si="33"/>
        <v>226.50999999999985</v>
      </c>
      <c r="AI696" s="1">
        <f t="shared" si="34"/>
        <v>226.50999999999985</v>
      </c>
      <c r="AK696" s="1">
        <v>3.4900000000001401</v>
      </c>
      <c r="AO696" s="1">
        <v>3.4900000000001401</v>
      </c>
      <c r="AS696" s="1">
        <v>3.4900000000001401</v>
      </c>
      <c r="AW696" s="1">
        <v>3.4900000000001401</v>
      </c>
      <c r="BA696" s="1">
        <v>3.4900000000001401</v>
      </c>
      <c r="BE696" s="1">
        <v>3.4900000000001401</v>
      </c>
      <c r="BI696" s="1">
        <v>3.4900000000001401</v>
      </c>
      <c r="BM696" s="1">
        <v>3.4900000000001401</v>
      </c>
      <c r="BQ696" s="1">
        <v>3.4900000000001401</v>
      </c>
      <c r="BU696" s="1">
        <v>3.4900000000001401</v>
      </c>
    </row>
    <row r="697" spans="33:73" hidden="1" x14ac:dyDescent="0.25">
      <c r="AG697" s="1">
        <v>3.4800000000001399</v>
      </c>
      <c r="AH697" s="1">
        <f t="shared" si="33"/>
        <v>226.51999999999987</v>
      </c>
      <c r="AI697" s="1">
        <f t="shared" si="34"/>
        <v>226.51999999999987</v>
      </c>
      <c r="AK697" s="1">
        <v>3.4800000000001399</v>
      </c>
      <c r="AO697" s="1">
        <v>3.4800000000001399</v>
      </c>
      <c r="AS697" s="1">
        <v>3.4800000000001399</v>
      </c>
      <c r="AW697" s="1">
        <v>3.4800000000001399</v>
      </c>
      <c r="BA697" s="1">
        <v>3.4800000000001399</v>
      </c>
      <c r="BE697" s="1">
        <v>3.4800000000001399</v>
      </c>
      <c r="BI697" s="1">
        <v>3.4800000000001399</v>
      </c>
      <c r="BM697" s="1">
        <v>3.4800000000001399</v>
      </c>
      <c r="BQ697" s="1">
        <v>3.4800000000001399</v>
      </c>
      <c r="BU697" s="1">
        <v>3.4800000000001399</v>
      </c>
    </row>
    <row r="698" spans="33:73" hidden="1" x14ac:dyDescent="0.25">
      <c r="AG698" s="1">
        <v>3.4700000000001401</v>
      </c>
      <c r="AH698" s="1">
        <f t="shared" si="33"/>
        <v>226.52999999999986</v>
      </c>
      <c r="AI698" s="1">
        <f t="shared" si="34"/>
        <v>226.52999999999986</v>
      </c>
      <c r="AK698" s="1">
        <v>3.4700000000001401</v>
      </c>
      <c r="AO698" s="1">
        <v>3.4700000000001401</v>
      </c>
      <c r="AS698" s="1">
        <v>3.4700000000001401</v>
      </c>
      <c r="AW698" s="1">
        <v>3.4700000000001401</v>
      </c>
      <c r="BA698" s="1">
        <v>3.4700000000001401</v>
      </c>
      <c r="BE698" s="1">
        <v>3.4700000000001401</v>
      </c>
      <c r="BI698" s="1">
        <v>3.4700000000001401</v>
      </c>
      <c r="BM698" s="1">
        <v>3.4700000000001401</v>
      </c>
      <c r="BQ698" s="1">
        <v>3.4700000000001401</v>
      </c>
      <c r="BU698" s="1">
        <v>3.4700000000001401</v>
      </c>
    </row>
    <row r="699" spans="33:73" hidden="1" x14ac:dyDescent="0.25">
      <c r="AG699" s="1">
        <v>3.4600000000001399</v>
      </c>
      <c r="AH699" s="1">
        <f t="shared" si="33"/>
        <v>226.53999999999985</v>
      </c>
      <c r="AI699" s="1">
        <f t="shared" si="34"/>
        <v>226.53999999999985</v>
      </c>
      <c r="AK699" s="1">
        <v>3.4600000000001399</v>
      </c>
      <c r="AO699" s="1">
        <v>3.4600000000001399</v>
      </c>
      <c r="AS699" s="1">
        <v>3.4600000000001399</v>
      </c>
      <c r="AW699" s="1">
        <v>3.4600000000001399</v>
      </c>
      <c r="BA699" s="1">
        <v>3.4600000000001399</v>
      </c>
      <c r="BE699" s="1">
        <v>3.4600000000001399</v>
      </c>
      <c r="BI699" s="1">
        <v>3.4600000000001399</v>
      </c>
      <c r="BM699" s="1">
        <v>3.4600000000001399</v>
      </c>
      <c r="BQ699" s="1">
        <v>3.4600000000001399</v>
      </c>
      <c r="BU699" s="1">
        <v>3.4600000000001399</v>
      </c>
    </row>
    <row r="700" spans="33:73" hidden="1" x14ac:dyDescent="0.25">
      <c r="AG700" s="1">
        <v>3.4500000000001401</v>
      </c>
      <c r="AH700" s="1">
        <f t="shared" si="33"/>
        <v>226.54999999999987</v>
      </c>
      <c r="AI700" s="1">
        <f t="shared" si="34"/>
        <v>226.54999999999987</v>
      </c>
      <c r="AK700" s="1">
        <v>3.4500000000001401</v>
      </c>
      <c r="AO700" s="1">
        <v>3.4500000000001401</v>
      </c>
      <c r="AS700" s="1">
        <v>3.4500000000001401</v>
      </c>
      <c r="AW700" s="1">
        <v>3.4500000000001401</v>
      </c>
      <c r="BA700" s="1">
        <v>3.4500000000001401</v>
      </c>
      <c r="BE700" s="1">
        <v>3.4500000000001401</v>
      </c>
      <c r="BI700" s="1">
        <v>3.4500000000001401</v>
      </c>
      <c r="BM700" s="1">
        <v>3.4500000000001401</v>
      </c>
      <c r="BQ700" s="1">
        <v>3.4500000000001401</v>
      </c>
      <c r="BU700" s="1">
        <v>3.4500000000001401</v>
      </c>
    </row>
    <row r="701" spans="33:73" hidden="1" x14ac:dyDescent="0.25">
      <c r="AG701" s="1">
        <v>3.4400000000001398</v>
      </c>
      <c r="AH701" s="1">
        <f t="shared" si="33"/>
        <v>226.55999999999986</v>
      </c>
      <c r="AI701" s="1">
        <f t="shared" si="34"/>
        <v>226.55999999999986</v>
      </c>
      <c r="AK701" s="1">
        <v>3.4400000000001398</v>
      </c>
      <c r="AO701" s="1">
        <v>3.4400000000001398</v>
      </c>
      <c r="AS701" s="1">
        <v>3.4400000000001398</v>
      </c>
      <c r="AW701" s="1">
        <v>3.4400000000001398</v>
      </c>
      <c r="BA701" s="1">
        <v>3.4400000000001398</v>
      </c>
      <c r="BE701" s="1">
        <v>3.4400000000001398</v>
      </c>
      <c r="BI701" s="1">
        <v>3.4400000000001398</v>
      </c>
      <c r="BM701" s="1">
        <v>3.4400000000001398</v>
      </c>
      <c r="BQ701" s="1">
        <v>3.4400000000001398</v>
      </c>
      <c r="BU701" s="1">
        <v>3.4400000000001398</v>
      </c>
    </row>
    <row r="702" spans="33:73" hidden="1" x14ac:dyDescent="0.25">
      <c r="AG702" s="1">
        <v>3.43000000000014</v>
      </c>
      <c r="AH702" s="1">
        <f t="shared" si="33"/>
        <v>226.56999999999985</v>
      </c>
      <c r="AI702" s="1">
        <f t="shared" si="34"/>
        <v>226.56999999999985</v>
      </c>
      <c r="AK702" s="1">
        <v>3.43000000000014</v>
      </c>
      <c r="AO702" s="1">
        <v>3.43000000000014</v>
      </c>
      <c r="AS702" s="1">
        <v>3.43000000000014</v>
      </c>
      <c r="AW702" s="1">
        <v>3.43000000000014</v>
      </c>
      <c r="BA702" s="1">
        <v>3.43000000000014</v>
      </c>
      <c r="BE702" s="1">
        <v>3.43000000000014</v>
      </c>
      <c r="BI702" s="1">
        <v>3.43000000000014</v>
      </c>
      <c r="BM702" s="1">
        <v>3.43000000000014</v>
      </c>
      <c r="BQ702" s="1">
        <v>3.43000000000014</v>
      </c>
      <c r="BU702" s="1">
        <v>3.43000000000014</v>
      </c>
    </row>
    <row r="703" spans="33:73" hidden="1" x14ac:dyDescent="0.25">
      <c r="AG703" s="1">
        <v>3.4200000000001398</v>
      </c>
      <c r="AH703" s="1">
        <f t="shared" si="33"/>
        <v>226.57999999999987</v>
      </c>
      <c r="AI703" s="1">
        <f t="shared" si="34"/>
        <v>226.57999999999987</v>
      </c>
      <c r="AK703" s="1">
        <v>3.4200000000001398</v>
      </c>
      <c r="AO703" s="1">
        <v>3.4200000000001398</v>
      </c>
      <c r="AS703" s="1">
        <v>3.4200000000001398</v>
      </c>
      <c r="AW703" s="1">
        <v>3.4200000000001398</v>
      </c>
      <c r="BA703" s="1">
        <v>3.4200000000001398</v>
      </c>
      <c r="BE703" s="1">
        <v>3.4200000000001398</v>
      </c>
      <c r="BI703" s="1">
        <v>3.4200000000001398</v>
      </c>
      <c r="BM703" s="1">
        <v>3.4200000000001398</v>
      </c>
      <c r="BQ703" s="1">
        <v>3.4200000000001398</v>
      </c>
      <c r="BU703" s="1">
        <v>3.4200000000001398</v>
      </c>
    </row>
    <row r="704" spans="33:73" hidden="1" x14ac:dyDescent="0.25">
      <c r="AG704" s="1">
        <v>3.41000000000014</v>
      </c>
      <c r="AH704" s="1">
        <f t="shared" si="33"/>
        <v>226.58999999999986</v>
      </c>
      <c r="AI704" s="1">
        <f t="shared" si="34"/>
        <v>226.58999999999986</v>
      </c>
      <c r="AK704" s="1">
        <v>3.41000000000014</v>
      </c>
      <c r="AO704" s="1">
        <v>3.41000000000014</v>
      </c>
      <c r="AS704" s="1">
        <v>3.41000000000014</v>
      </c>
      <c r="AW704" s="1">
        <v>3.41000000000014</v>
      </c>
      <c r="BA704" s="1">
        <v>3.41000000000014</v>
      </c>
      <c r="BE704" s="1">
        <v>3.41000000000014</v>
      </c>
      <c r="BI704" s="1">
        <v>3.41000000000014</v>
      </c>
      <c r="BM704" s="1">
        <v>3.41000000000014</v>
      </c>
      <c r="BQ704" s="1">
        <v>3.41000000000014</v>
      </c>
      <c r="BU704" s="1">
        <v>3.41000000000014</v>
      </c>
    </row>
    <row r="705" spans="33:73" hidden="1" x14ac:dyDescent="0.25">
      <c r="AG705" s="1">
        <v>3.4000000000001398</v>
      </c>
      <c r="AH705" s="1">
        <f t="shared" si="33"/>
        <v>226.59999999999985</v>
      </c>
      <c r="AI705" s="1">
        <f t="shared" si="34"/>
        <v>226.59999999999985</v>
      </c>
      <c r="AK705" s="1">
        <v>3.4000000000001398</v>
      </c>
      <c r="AO705" s="1">
        <v>3.4000000000001398</v>
      </c>
      <c r="AS705" s="1">
        <v>3.4000000000001398</v>
      </c>
      <c r="AW705" s="1">
        <v>3.4000000000001398</v>
      </c>
      <c r="BA705" s="1">
        <v>3.4000000000001398</v>
      </c>
      <c r="BE705" s="1">
        <v>3.4000000000001398</v>
      </c>
      <c r="BI705" s="1">
        <v>3.4000000000001398</v>
      </c>
      <c r="BM705" s="1">
        <v>3.4000000000001398</v>
      </c>
      <c r="BQ705" s="1">
        <v>3.4000000000001398</v>
      </c>
      <c r="BU705" s="1">
        <v>3.4000000000001398</v>
      </c>
    </row>
    <row r="706" spans="33:73" hidden="1" x14ac:dyDescent="0.25">
      <c r="AG706" s="1">
        <v>3.39000000000014</v>
      </c>
      <c r="AH706" s="1">
        <f t="shared" si="33"/>
        <v>226.60999999999987</v>
      </c>
      <c r="AI706" s="1">
        <f t="shared" si="34"/>
        <v>226.60999999999987</v>
      </c>
      <c r="AK706" s="1">
        <v>3.39000000000014</v>
      </c>
      <c r="AO706" s="1">
        <v>3.39000000000014</v>
      </c>
      <c r="AS706" s="1">
        <v>3.39000000000014</v>
      </c>
      <c r="AW706" s="1">
        <v>3.39000000000014</v>
      </c>
      <c r="BA706" s="1">
        <v>3.39000000000014</v>
      </c>
      <c r="BE706" s="1">
        <v>3.39000000000014</v>
      </c>
      <c r="BI706" s="1">
        <v>3.39000000000014</v>
      </c>
      <c r="BM706" s="1">
        <v>3.39000000000014</v>
      </c>
      <c r="BQ706" s="1">
        <v>3.39000000000014</v>
      </c>
      <c r="BU706" s="1">
        <v>3.39000000000014</v>
      </c>
    </row>
    <row r="707" spans="33:73" hidden="1" x14ac:dyDescent="0.25">
      <c r="AG707" s="1">
        <v>3.3800000000001398</v>
      </c>
      <c r="AH707" s="1">
        <f t="shared" si="33"/>
        <v>226.61999999999986</v>
      </c>
      <c r="AI707" s="1">
        <f t="shared" si="34"/>
        <v>226.61999999999986</v>
      </c>
      <c r="AK707" s="1">
        <v>3.3800000000001398</v>
      </c>
      <c r="AO707" s="1">
        <v>3.3800000000001398</v>
      </c>
      <c r="AS707" s="1">
        <v>3.3800000000001398</v>
      </c>
      <c r="AW707" s="1">
        <v>3.3800000000001398</v>
      </c>
      <c r="BA707" s="1">
        <v>3.3800000000001398</v>
      </c>
      <c r="BE707" s="1">
        <v>3.3800000000001398</v>
      </c>
      <c r="BI707" s="1">
        <v>3.3800000000001398</v>
      </c>
      <c r="BM707" s="1">
        <v>3.3800000000001398</v>
      </c>
      <c r="BQ707" s="1">
        <v>3.3800000000001398</v>
      </c>
      <c r="BU707" s="1">
        <v>3.3800000000001398</v>
      </c>
    </row>
    <row r="708" spans="33:73" hidden="1" x14ac:dyDescent="0.25">
      <c r="AG708" s="1">
        <v>3.37000000000014</v>
      </c>
      <c r="AH708" s="1">
        <f t="shared" si="33"/>
        <v>226.62999999999985</v>
      </c>
      <c r="AI708" s="1">
        <f t="shared" si="34"/>
        <v>226.62999999999985</v>
      </c>
      <c r="AK708" s="1">
        <v>3.37000000000014</v>
      </c>
      <c r="AO708" s="1">
        <v>3.37000000000014</v>
      </c>
      <c r="AS708" s="1">
        <v>3.37000000000014</v>
      </c>
      <c r="AW708" s="1">
        <v>3.37000000000014</v>
      </c>
      <c r="BA708" s="1">
        <v>3.37000000000014</v>
      </c>
      <c r="BE708" s="1">
        <v>3.37000000000014</v>
      </c>
      <c r="BI708" s="1">
        <v>3.37000000000014</v>
      </c>
      <c r="BM708" s="1">
        <v>3.37000000000014</v>
      </c>
      <c r="BQ708" s="1">
        <v>3.37000000000014</v>
      </c>
      <c r="BU708" s="1">
        <v>3.37000000000014</v>
      </c>
    </row>
    <row r="709" spans="33:73" hidden="1" x14ac:dyDescent="0.25">
      <c r="AG709" s="1">
        <v>3.3600000000001402</v>
      </c>
      <c r="AH709" s="1">
        <f t="shared" si="33"/>
        <v>226.63999999999987</v>
      </c>
      <c r="AI709" s="1">
        <f t="shared" si="34"/>
        <v>226.63999999999987</v>
      </c>
      <c r="AK709" s="1">
        <v>3.3600000000001402</v>
      </c>
      <c r="AO709" s="1">
        <v>3.3600000000001402</v>
      </c>
      <c r="AS709" s="1">
        <v>3.3600000000001402</v>
      </c>
      <c r="AW709" s="1">
        <v>3.3600000000001402</v>
      </c>
      <c r="BA709" s="1">
        <v>3.3600000000001402</v>
      </c>
      <c r="BE709" s="1">
        <v>3.3600000000001402</v>
      </c>
      <c r="BI709" s="1">
        <v>3.3600000000001402</v>
      </c>
      <c r="BM709" s="1">
        <v>3.3600000000001402</v>
      </c>
      <c r="BQ709" s="1">
        <v>3.3600000000001402</v>
      </c>
      <c r="BU709" s="1">
        <v>3.3600000000001402</v>
      </c>
    </row>
    <row r="710" spans="33:73" hidden="1" x14ac:dyDescent="0.25">
      <c r="AG710" s="1">
        <v>3.35000000000014</v>
      </c>
      <c r="AH710" s="1">
        <f t="shared" si="33"/>
        <v>226.64999999999986</v>
      </c>
      <c r="AI710" s="1">
        <f t="shared" si="34"/>
        <v>226.64999999999986</v>
      </c>
      <c r="AK710" s="1">
        <v>3.35000000000014</v>
      </c>
      <c r="AO710" s="1">
        <v>3.35000000000014</v>
      </c>
      <c r="AS710" s="1">
        <v>3.35000000000014</v>
      </c>
      <c r="AW710" s="1">
        <v>3.35000000000014</v>
      </c>
      <c r="BA710" s="1">
        <v>3.35000000000014</v>
      </c>
      <c r="BE710" s="1">
        <v>3.35000000000014</v>
      </c>
      <c r="BI710" s="1">
        <v>3.35000000000014</v>
      </c>
      <c r="BM710" s="1">
        <v>3.35000000000014</v>
      </c>
      <c r="BQ710" s="1">
        <v>3.35000000000014</v>
      </c>
      <c r="BU710" s="1">
        <v>3.35000000000014</v>
      </c>
    </row>
    <row r="711" spans="33:73" hidden="1" x14ac:dyDescent="0.25">
      <c r="AG711" s="1">
        <v>3.3400000000001402</v>
      </c>
      <c r="AH711" s="1">
        <f t="shared" si="33"/>
        <v>226.65999999999985</v>
      </c>
      <c r="AI711" s="1">
        <f t="shared" si="34"/>
        <v>226.65999999999985</v>
      </c>
      <c r="AK711" s="1">
        <v>3.3400000000001402</v>
      </c>
      <c r="AO711" s="1">
        <v>3.3400000000001402</v>
      </c>
      <c r="AS711" s="1">
        <v>3.3400000000001402</v>
      </c>
      <c r="AW711" s="1">
        <v>3.3400000000001402</v>
      </c>
      <c r="BA711" s="1">
        <v>3.3400000000001402</v>
      </c>
      <c r="BE711" s="1">
        <v>3.3400000000001402</v>
      </c>
      <c r="BI711" s="1">
        <v>3.3400000000001402</v>
      </c>
      <c r="BM711" s="1">
        <v>3.3400000000001402</v>
      </c>
      <c r="BQ711" s="1">
        <v>3.3400000000001402</v>
      </c>
      <c r="BU711" s="1">
        <v>3.3400000000001402</v>
      </c>
    </row>
    <row r="712" spans="33:73" hidden="1" x14ac:dyDescent="0.25">
      <c r="AG712" s="1">
        <v>3.33000000000014</v>
      </c>
      <c r="AH712" s="1">
        <f t="shared" si="33"/>
        <v>226.66999999999987</v>
      </c>
      <c r="AI712" s="1">
        <f t="shared" si="34"/>
        <v>226.66999999999987</v>
      </c>
      <c r="AK712" s="1">
        <v>3.33000000000014</v>
      </c>
      <c r="AO712" s="1">
        <v>3.33000000000014</v>
      </c>
      <c r="AS712" s="1">
        <v>3.33000000000014</v>
      </c>
      <c r="AW712" s="1">
        <v>3.33000000000014</v>
      </c>
      <c r="BA712" s="1">
        <v>3.33000000000014</v>
      </c>
      <c r="BE712" s="1">
        <v>3.33000000000014</v>
      </c>
      <c r="BI712" s="1">
        <v>3.33000000000014</v>
      </c>
      <c r="BM712" s="1">
        <v>3.33000000000014</v>
      </c>
      <c r="BQ712" s="1">
        <v>3.33000000000014</v>
      </c>
      <c r="BU712" s="1">
        <v>3.33000000000014</v>
      </c>
    </row>
    <row r="713" spans="33:73" hidden="1" x14ac:dyDescent="0.25">
      <c r="AG713" s="1">
        <v>3.3200000000001402</v>
      </c>
      <c r="AH713" s="1">
        <f t="shared" si="33"/>
        <v>226.67999999999986</v>
      </c>
      <c r="AI713" s="1">
        <f t="shared" si="34"/>
        <v>226.67999999999986</v>
      </c>
      <c r="AK713" s="1">
        <v>3.3200000000001402</v>
      </c>
      <c r="AO713" s="1">
        <v>3.3200000000001402</v>
      </c>
      <c r="AS713" s="1">
        <v>3.3200000000001402</v>
      </c>
      <c r="AW713" s="1">
        <v>3.3200000000001402</v>
      </c>
      <c r="BA713" s="1">
        <v>3.3200000000001402</v>
      </c>
      <c r="BE713" s="1">
        <v>3.3200000000001402</v>
      </c>
      <c r="BI713" s="1">
        <v>3.3200000000001402</v>
      </c>
      <c r="BM713" s="1">
        <v>3.3200000000001402</v>
      </c>
      <c r="BQ713" s="1">
        <v>3.3200000000001402</v>
      </c>
      <c r="BU713" s="1">
        <v>3.3200000000001402</v>
      </c>
    </row>
    <row r="714" spans="33:73" hidden="1" x14ac:dyDescent="0.25">
      <c r="AG714" s="1">
        <v>3.3100000000001399</v>
      </c>
      <c r="AH714" s="1">
        <f t="shared" si="33"/>
        <v>226.68999999999986</v>
      </c>
      <c r="AI714" s="1">
        <f t="shared" si="34"/>
        <v>226.68999999999986</v>
      </c>
      <c r="AK714" s="1">
        <v>3.3100000000001399</v>
      </c>
      <c r="AO714" s="1">
        <v>3.3100000000001399</v>
      </c>
      <c r="AS714" s="1">
        <v>3.3100000000001399</v>
      </c>
      <c r="AW714" s="1">
        <v>3.3100000000001399</v>
      </c>
      <c r="BA714" s="1">
        <v>3.3100000000001399</v>
      </c>
      <c r="BE714" s="1">
        <v>3.3100000000001399</v>
      </c>
      <c r="BI714" s="1">
        <v>3.3100000000001399</v>
      </c>
      <c r="BM714" s="1">
        <v>3.3100000000001399</v>
      </c>
      <c r="BQ714" s="1">
        <v>3.3100000000001399</v>
      </c>
      <c r="BU714" s="1">
        <v>3.3100000000001399</v>
      </c>
    </row>
    <row r="715" spans="33:73" hidden="1" x14ac:dyDescent="0.25">
      <c r="AG715" s="1">
        <v>3.3000000000001402</v>
      </c>
      <c r="AH715" s="1">
        <f t="shared" si="33"/>
        <v>226.69999999999985</v>
      </c>
      <c r="AI715" s="1">
        <f t="shared" si="34"/>
        <v>226.69999999999985</v>
      </c>
      <c r="AK715" s="1">
        <v>3.3000000000001402</v>
      </c>
      <c r="AO715" s="1">
        <v>3.3000000000001402</v>
      </c>
      <c r="AS715" s="1">
        <v>3.3000000000001402</v>
      </c>
      <c r="AW715" s="1">
        <v>3.3000000000001402</v>
      </c>
      <c r="BA715" s="1">
        <v>3.3000000000001402</v>
      </c>
      <c r="BE715" s="1">
        <v>3.3000000000001402</v>
      </c>
      <c r="BI715" s="1">
        <v>3.3000000000001402</v>
      </c>
      <c r="BM715" s="1">
        <v>3.3000000000001402</v>
      </c>
      <c r="BQ715" s="1">
        <v>3.3000000000001402</v>
      </c>
      <c r="BU715" s="1">
        <v>3.3000000000001402</v>
      </c>
    </row>
    <row r="716" spans="33:73" hidden="1" x14ac:dyDescent="0.25">
      <c r="AG716" s="1">
        <v>3.2900000000001399</v>
      </c>
      <c r="AH716" s="1">
        <f t="shared" si="33"/>
        <v>226.70999999999987</v>
      </c>
      <c r="AI716" s="1">
        <f t="shared" si="34"/>
        <v>226.70999999999987</v>
      </c>
      <c r="AK716" s="1">
        <v>3.2900000000001399</v>
      </c>
      <c r="AO716" s="1">
        <v>3.2900000000001399</v>
      </c>
      <c r="AS716" s="1">
        <v>3.2900000000001399</v>
      </c>
      <c r="AW716" s="1">
        <v>3.2900000000001399</v>
      </c>
      <c r="BA716" s="1">
        <v>3.2900000000001399</v>
      </c>
      <c r="BE716" s="1">
        <v>3.2900000000001399</v>
      </c>
      <c r="BI716" s="1">
        <v>3.2900000000001399</v>
      </c>
      <c r="BM716" s="1">
        <v>3.2900000000001399</v>
      </c>
      <c r="BQ716" s="1">
        <v>3.2900000000001399</v>
      </c>
      <c r="BU716" s="1">
        <v>3.2900000000001399</v>
      </c>
    </row>
    <row r="717" spans="33:73" hidden="1" x14ac:dyDescent="0.25">
      <c r="AG717" s="1">
        <v>3.2800000000001401</v>
      </c>
      <c r="AH717" s="1">
        <f t="shared" si="33"/>
        <v>226.71999999999986</v>
      </c>
      <c r="AI717" s="1">
        <f t="shared" si="34"/>
        <v>226.71999999999986</v>
      </c>
      <c r="AK717" s="1">
        <v>3.2800000000001401</v>
      </c>
      <c r="AO717" s="1">
        <v>3.2800000000001401</v>
      </c>
      <c r="AS717" s="1">
        <v>3.2800000000001401</v>
      </c>
      <c r="AW717" s="1">
        <v>3.2800000000001401</v>
      </c>
      <c r="BA717" s="1">
        <v>3.2800000000001401</v>
      </c>
      <c r="BE717" s="1">
        <v>3.2800000000001401</v>
      </c>
      <c r="BI717" s="1">
        <v>3.2800000000001401</v>
      </c>
      <c r="BM717" s="1">
        <v>3.2800000000001401</v>
      </c>
      <c r="BQ717" s="1">
        <v>3.2800000000001401</v>
      </c>
      <c r="BU717" s="1">
        <v>3.2800000000001401</v>
      </c>
    </row>
    <row r="718" spans="33:73" hidden="1" x14ac:dyDescent="0.25">
      <c r="AG718" s="1">
        <v>3.2700000000001399</v>
      </c>
      <c r="AH718" s="1">
        <f t="shared" si="33"/>
        <v>226.72999999999985</v>
      </c>
      <c r="AI718" s="1">
        <f t="shared" si="34"/>
        <v>226.72999999999985</v>
      </c>
      <c r="AK718" s="1">
        <v>3.2700000000001399</v>
      </c>
      <c r="AO718" s="1">
        <v>3.2700000000001399</v>
      </c>
      <c r="AS718" s="1">
        <v>3.2700000000001399</v>
      </c>
      <c r="AW718" s="1">
        <v>3.2700000000001399</v>
      </c>
      <c r="BA718" s="1">
        <v>3.2700000000001399</v>
      </c>
      <c r="BE718" s="1">
        <v>3.2700000000001399</v>
      </c>
      <c r="BI718" s="1">
        <v>3.2700000000001399</v>
      </c>
      <c r="BM718" s="1">
        <v>3.2700000000001399</v>
      </c>
      <c r="BQ718" s="1">
        <v>3.2700000000001399</v>
      </c>
      <c r="BU718" s="1">
        <v>3.2700000000001399</v>
      </c>
    </row>
    <row r="719" spans="33:73" hidden="1" x14ac:dyDescent="0.25">
      <c r="AG719" s="1">
        <v>3.2600000000001401</v>
      </c>
      <c r="AH719" s="1">
        <f t="shared" si="33"/>
        <v>226.73999999999987</v>
      </c>
      <c r="AI719" s="1">
        <f t="shared" si="34"/>
        <v>226.73999999999987</v>
      </c>
      <c r="AK719" s="1">
        <v>3.2600000000001401</v>
      </c>
      <c r="AO719" s="1">
        <v>3.2600000000001401</v>
      </c>
      <c r="AS719" s="1">
        <v>3.2600000000001401</v>
      </c>
      <c r="AW719" s="1">
        <v>3.2600000000001401</v>
      </c>
      <c r="BA719" s="1">
        <v>3.2600000000001401</v>
      </c>
      <c r="BE719" s="1">
        <v>3.2600000000001401</v>
      </c>
      <c r="BI719" s="1">
        <v>3.2600000000001401</v>
      </c>
      <c r="BM719" s="1">
        <v>3.2600000000001401</v>
      </c>
      <c r="BQ719" s="1">
        <v>3.2600000000001401</v>
      </c>
      <c r="BU719" s="1">
        <v>3.2600000000001401</v>
      </c>
    </row>
    <row r="720" spans="33:73" hidden="1" x14ac:dyDescent="0.25">
      <c r="AG720" s="1">
        <v>3.2500000000001399</v>
      </c>
      <c r="AH720" s="1">
        <f t="shared" si="33"/>
        <v>226.74999999999986</v>
      </c>
      <c r="AI720" s="1">
        <f t="shared" si="34"/>
        <v>226.74999999999986</v>
      </c>
      <c r="AK720" s="1">
        <v>3.2500000000001399</v>
      </c>
      <c r="AO720" s="1">
        <v>3.2500000000001399</v>
      </c>
      <c r="AS720" s="1">
        <v>3.2500000000001399</v>
      </c>
      <c r="AW720" s="1">
        <v>3.2500000000001399</v>
      </c>
      <c r="BA720" s="1">
        <v>3.2500000000001399</v>
      </c>
      <c r="BE720" s="1">
        <v>3.2500000000001399</v>
      </c>
      <c r="BI720" s="1">
        <v>3.2500000000001399</v>
      </c>
      <c r="BM720" s="1">
        <v>3.2500000000001399</v>
      </c>
      <c r="BQ720" s="1">
        <v>3.2500000000001399</v>
      </c>
      <c r="BU720" s="1">
        <v>3.2500000000001399</v>
      </c>
    </row>
    <row r="721" spans="33:73" hidden="1" x14ac:dyDescent="0.25">
      <c r="AG721" s="1">
        <v>3.2400000000001401</v>
      </c>
      <c r="AH721" s="1">
        <f t="shared" si="33"/>
        <v>226.75999999999985</v>
      </c>
      <c r="AI721" s="1">
        <f t="shared" si="34"/>
        <v>226.75999999999985</v>
      </c>
      <c r="AK721" s="1">
        <v>3.2400000000001401</v>
      </c>
      <c r="AO721" s="1">
        <v>3.2400000000001401</v>
      </c>
      <c r="AS721" s="1">
        <v>3.2400000000001401</v>
      </c>
      <c r="AW721" s="1">
        <v>3.2400000000001401</v>
      </c>
      <c r="BA721" s="1">
        <v>3.2400000000001401</v>
      </c>
      <c r="BE721" s="1">
        <v>3.2400000000001401</v>
      </c>
      <c r="BI721" s="1">
        <v>3.2400000000001401</v>
      </c>
      <c r="BM721" s="1">
        <v>3.2400000000001401</v>
      </c>
      <c r="BQ721" s="1">
        <v>3.2400000000001401</v>
      </c>
      <c r="BU721" s="1">
        <v>3.2400000000001401</v>
      </c>
    </row>
    <row r="722" spans="33:73" hidden="1" x14ac:dyDescent="0.25">
      <c r="AG722" s="1">
        <v>3.2300000000001399</v>
      </c>
      <c r="AH722" s="1">
        <f t="shared" si="33"/>
        <v>226.76999999999987</v>
      </c>
      <c r="AI722" s="1">
        <f t="shared" si="34"/>
        <v>226.76999999999987</v>
      </c>
      <c r="AK722" s="1">
        <v>3.2300000000001399</v>
      </c>
      <c r="AO722" s="1">
        <v>3.2300000000001399</v>
      </c>
      <c r="AS722" s="1">
        <v>3.2300000000001399</v>
      </c>
      <c r="AW722" s="1">
        <v>3.2300000000001399</v>
      </c>
      <c r="BA722" s="1">
        <v>3.2300000000001399</v>
      </c>
      <c r="BE722" s="1">
        <v>3.2300000000001399</v>
      </c>
      <c r="BI722" s="1">
        <v>3.2300000000001399</v>
      </c>
      <c r="BM722" s="1">
        <v>3.2300000000001399</v>
      </c>
      <c r="BQ722" s="1">
        <v>3.2300000000001399</v>
      </c>
      <c r="BU722" s="1">
        <v>3.2300000000001399</v>
      </c>
    </row>
    <row r="723" spans="33:73" hidden="1" x14ac:dyDescent="0.25">
      <c r="AG723" s="1">
        <v>3.2200000000001401</v>
      </c>
      <c r="AH723" s="1">
        <f t="shared" si="33"/>
        <v>226.77999999999986</v>
      </c>
      <c r="AI723" s="1">
        <f t="shared" si="34"/>
        <v>226.77999999999986</v>
      </c>
      <c r="AK723" s="1">
        <v>3.2200000000001401</v>
      </c>
      <c r="AO723" s="1">
        <v>3.2200000000001401</v>
      </c>
      <c r="AS723" s="1">
        <v>3.2200000000001401</v>
      </c>
      <c r="AW723" s="1">
        <v>3.2200000000001401</v>
      </c>
      <c r="BA723" s="1">
        <v>3.2200000000001401</v>
      </c>
      <c r="BE723" s="1">
        <v>3.2200000000001401</v>
      </c>
      <c r="BI723" s="1">
        <v>3.2200000000001401</v>
      </c>
      <c r="BM723" s="1">
        <v>3.2200000000001401</v>
      </c>
      <c r="BQ723" s="1">
        <v>3.2200000000001401</v>
      </c>
      <c r="BU723" s="1">
        <v>3.2200000000001401</v>
      </c>
    </row>
    <row r="724" spans="33:73" hidden="1" x14ac:dyDescent="0.25">
      <c r="AG724" s="1">
        <v>3.2100000000001399</v>
      </c>
      <c r="AH724" s="1">
        <f t="shared" si="33"/>
        <v>226.78999999999985</v>
      </c>
      <c r="AI724" s="1">
        <f t="shared" si="34"/>
        <v>226.78999999999985</v>
      </c>
      <c r="AK724" s="1">
        <v>3.2100000000001399</v>
      </c>
      <c r="AO724" s="1">
        <v>3.2100000000001399</v>
      </c>
      <c r="AS724" s="1">
        <v>3.2100000000001399</v>
      </c>
      <c r="AW724" s="1">
        <v>3.2100000000001399</v>
      </c>
      <c r="BA724" s="1">
        <v>3.2100000000001399</v>
      </c>
      <c r="BE724" s="1">
        <v>3.2100000000001399</v>
      </c>
      <c r="BI724" s="1">
        <v>3.2100000000001399</v>
      </c>
      <c r="BM724" s="1">
        <v>3.2100000000001399</v>
      </c>
      <c r="BQ724" s="1">
        <v>3.2100000000001399</v>
      </c>
      <c r="BU724" s="1">
        <v>3.2100000000001399</v>
      </c>
    </row>
    <row r="725" spans="33:73" hidden="1" x14ac:dyDescent="0.25">
      <c r="AG725" s="1">
        <v>3.2000000000001401</v>
      </c>
      <c r="AH725" s="1">
        <f t="shared" si="33"/>
        <v>226.79999999999987</v>
      </c>
      <c r="AI725" s="1">
        <f t="shared" si="34"/>
        <v>226.79999999999987</v>
      </c>
      <c r="AK725" s="1">
        <v>3.2000000000001401</v>
      </c>
      <c r="AO725" s="1">
        <v>3.2000000000001401</v>
      </c>
      <c r="AS725" s="1">
        <v>3.2000000000001401</v>
      </c>
      <c r="AW725" s="1">
        <v>3.2000000000001401</v>
      </c>
      <c r="BA725" s="1">
        <v>3.2000000000001401</v>
      </c>
      <c r="BE725" s="1">
        <v>3.2000000000001401</v>
      </c>
      <c r="BI725" s="1">
        <v>3.2000000000001401</v>
      </c>
      <c r="BM725" s="1">
        <v>3.2000000000001401</v>
      </c>
      <c r="BQ725" s="1">
        <v>3.2000000000001401</v>
      </c>
      <c r="BU725" s="1">
        <v>3.2000000000001401</v>
      </c>
    </row>
    <row r="726" spans="33:73" hidden="1" x14ac:dyDescent="0.25">
      <c r="AG726" s="1">
        <v>3.19000000000015</v>
      </c>
      <c r="AH726" s="1">
        <f t="shared" si="33"/>
        <v>226.80999999999986</v>
      </c>
      <c r="AI726" s="1">
        <f t="shared" si="34"/>
        <v>226.80999999999986</v>
      </c>
      <c r="AK726" s="1">
        <v>3.19000000000015</v>
      </c>
      <c r="AO726" s="1">
        <v>3.19000000000015</v>
      </c>
      <c r="AS726" s="1">
        <v>3.19000000000015</v>
      </c>
      <c r="AW726" s="1">
        <v>3.19000000000015</v>
      </c>
      <c r="BA726" s="1">
        <v>3.19000000000015</v>
      </c>
      <c r="BE726" s="1">
        <v>3.19000000000015</v>
      </c>
      <c r="BI726" s="1">
        <v>3.19000000000015</v>
      </c>
      <c r="BM726" s="1">
        <v>3.19000000000015</v>
      </c>
      <c r="BQ726" s="1">
        <v>3.19000000000015</v>
      </c>
      <c r="BU726" s="1">
        <v>3.19000000000015</v>
      </c>
    </row>
    <row r="727" spans="33:73" hidden="1" x14ac:dyDescent="0.25">
      <c r="AG727" s="1">
        <v>3.1800000000001498</v>
      </c>
      <c r="AH727" s="1">
        <f t="shared" si="33"/>
        <v>226.81999999999985</v>
      </c>
      <c r="AI727" s="1">
        <f t="shared" si="34"/>
        <v>226.81999999999985</v>
      </c>
      <c r="AK727" s="1">
        <v>3.1800000000001498</v>
      </c>
      <c r="AO727" s="1">
        <v>3.1800000000001498</v>
      </c>
      <c r="AS727" s="1">
        <v>3.1800000000001498</v>
      </c>
      <c r="AW727" s="1">
        <v>3.1800000000001498</v>
      </c>
      <c r="BA727" s="1">
        <v>3.1800000000001498</v>
      </c>
      <c r="BE727" s="1">
        <v>3.1800000000001498</v>
      </c>
      <c r="BI727" s="1">
        <v>3.1800000000001498</v>
      </c>
      <c r="BM727" s="1">
        <v>3.1800000000001498</v>
      </c>
      <c r="BQ727" s="1">
        <v>3.1800000000001498</v>
      </c>
      <c r="BU727" s="1">
        <v>3.1800000000001498</v>
      </c>
    </row>
    <row r="728" spans="33:73" hidden="1" x14ac:dyDescent="0.25">
      <c r="AG728" s="1">
        <v>3.17000000000015</v>
      </c>
      <c r="AH728" s="1">
        <f t="shared" si="33"/>
        <v>226.82999999999984</v>
      </c>
      <c r="AI728" s="1">
        <f t="shared" si="34"/>
        <v>226.82999999999984</v>
      </c>
      <c r="AK728" s="1">
        <v>3.17000000000015</v>
      </c>
      <c r="AO728" s="1">
        <v>3.17000000000015</v>
      </c>
      <c r="AS728" s="1">
        <v>3.17000000000015</v>
      </c>
      <c r="AW728" s="1">
        <v>3.17000000000015</v>
      </c>
      <c r="BA728" s="1">
        <v>3.17000000000015</v>
      </c>
      <c r="BE728" s="1">
        <v>3.17000000000015</v>
      </c>
      <c r="BI728" s="1">
        <v>3.17000000000015</v>
      </c>
      <c r="BM728" s="1">
        <v>3.17000000000015</v>
      </c>
      <c r="BQ728" s="1">
        <v>3.17000000000015</v>
      </c>
      <c r="BU728" s="1">
        <v>3.17000000000015</v>
      </c>
    </row>
    <row r="729" spans="33:73" hidden="1" x14ac:dyDescent="0.25">
      <c r="AG729" s="1">
        <v>3.1600000000001498</v>
      </c>
      <c r="AH729" s="1">
        <f t="shared" si="33"/>
        <v>226.83999999999986</v>
      </c>
      <c r="AI729" s="1">
        <f t="shared" si="34"/>
        <v>226.83999999999986</v>
      </c>
      <c r="AK729" s="1">
        <v>3.1600000000001498</v>
      </c>
      <c r="AO729" s="1">
        <v>3.1600000000001498</v>
      </c>
      <c r="AS729" s="1">
        <v>3.1600000000001498</v>
      </c>
      <c r="AW729" s="1">
        <v>3.1600000000001498</v>
      </c>
      <c r="BA729" s="1">
        <v>3.1600000000001498</v>
      </c>
      <c r="BE729" s="1">
        <v>3.1600000000001498</v>
      </c>
      <c r="BI729" s="1">
        <v>3.1600000000001498</v>
      </c>
      <c r="BM729" s="1">
        <v>3.1600000000001498</v>
      </c>
      <c r="BQ729" s="1">
        <v>3.1600000000001498</v>
      </c>
      <c r="BU729" s="1">
        <v>3.1600000000001498</v>
      </c>
    </row>
    <row r="730" spans="33:73" hidden="1" x14ac:dyDescent="0.25">
      <c r="AG730" s="1">
        <v>3.15000000000015</v>
      </c>
      <c r="AH730" s="1">
        <f t="shared" si="33"/>
        <v>226.84999999999985</v>
      </c>
      <c r="AI730" s="1">
        <f t="shared" si="34"/>
        <v>226.84999999999985</v>
      </c>
      <c r="AK730" s="1">
        <v>3.15000000000015</v>
      </c>
      <c r="AO730" s="1">
        <v>3.15000000000015</v>
      </c>
      <c r="AS730" s="1">
        <v>3.15000000000015</v>
      </c>
      <c r="AW730" s="1">
        <v>3.15000000000015</v>
      </c>
      <c r="BA730" s="1">
        <v>3.15000000000015</v>
      </c>
      <c r="BE730" s="1">
        <v>3.15000000000015</v>
      </c>
      <c r="BI730" s="1">
        <v>3.15000000000015</v>
      </c>
      <c r="BM730" s="1">
        <v>3.15000000000015</v>
      </c>
      <c r="BQ730" s="1">
        <v>3.15000000000015</v>
      </c>
      <c r="BU730" s="1">
        <v>3.15000000000015</v>
      </c>
    </row>
    <row r="731" spans="33:73" hidden="1" x14ac:dyDescent="0.25">
      <c r="AG731" s="1">
        <v>3.1400000000001498</v>
      </c>
      <c r="AH731" s="1">
        <f t="shared" si="33"/>
        <v>226.85999999999984</v>
      </c>
      <c r="AI731" s="1">
        <f t="shared" si="34"/>
        <v>226.85999999999984</v>
      </c>
      <c r="AK731" s="1">
        <v>3.1400000000001498</v>
      </c>
      <c r="AO731" s="1">
        <v>3.1400000000001498</v>
      </c>
      <c r="AS731" s="1">
        <v>3.1400000000001498</v>
      </c>
      <c r="AW731" s="1">
        <v>3.1400000000001498</v>
      </c>
      <c r="BA731" s="1">
        <v>3.1400000000001498</v>
      </c>
      <c r="BE731" s="1">
        <v>3.1400000000001498</v>
      </c>
      <c r="BI731" s="1">
        <v>3.1400000000001498</v>
      </c>
      <c r="BM731" s="1">
        <v>3.1400000000001498</v>
      </c>
      <c r="BQ731" s="1">
        <v>3.1400000000001498</v>
      </c>
      <c r="BU731" s="1">
        <v>3.1400000000001498</v>
      </c>
    </row>
    <row r="732" spans="33:73" hidden="1" x14ac:dyDescent="0.25">
      <c r="AG732" s="1">
        <v>3.13000000000015</v>
      </c>
      <c r="AH732" s="1">
        <f t="shared" si="33"/>
        <v>226.86999999999986</v>
      </c>
      <c r="AI732" s="1">
        <f t="shared" si="34"/>
        <v>226.86999999999986</v>
      </c>
      <c r="AK732" s="1">
        <v>3.13000000000015</v>
      </c>
      <c r="AO732" s="1">
        <v>3.13000000000015</v>
      </c>
      <c r="AS732" s="1">
        <v>3.13000000000015</v>
      </c>
      <c r="AW732" s="1">
        <v>3.13000000000015</v>
      </c>
      <c r="BA732" s="1">
        <v>3.13000000000015</v>
      </c>
      <c r="BE732" s="1">
        <v>3.13000000000015</v>
      </c>
      <c r="BI732" s="1">
        <v>3.13000000000015</v>
      </c>
      <c r="BM732" s="1">
        <v>3.13000000000015</v>
      </c>
      <c r="BQ732" s="1">
        <v>3.13000000000015</v>
      </c>
      <c r="BU732" s="1">
        <v>3.13000000000015</v>
      </c>
    </row>
    <row r="733" spans="33:73" hidden="1" x14ac:dyDescent="0.25">
      <c r="AG733" s="1">
        <v>3.1200000000001502</v>
      </c>
      <c r="AH733" s="1">
        <f t="shared" si="33"/>
        <v>226.87999999999985</v>
      </c>
      <c r="AI733" s="1">
        <f t="shared" si="34"/>
        <v>226.87999999999985</v>
      </c>
      <c r="AK733" s="1">
        <v>3.1200000000001502</v>
      </c>
      <c r="AO733" s="1">
        <v>3.1200000000001502</v>
      </c>
      <c r="AS733" s="1">
        <v>3.1200000000001502</v>
      </c>
      <c r="AW733" s="1">
        <v>3.1200000000001502</v>
      </c>
      <c r="BA733" s="1">
        <v>3.1200000000001502</v>
      </c>
      <c r="BE733" s="1">
        <v>3.1200000000001502</v>
      </c>
      <c r="BI733" s="1">
        <v>3.1200000000001502</v>
      </c>
      <c r="BM733" s="1">
        <v>3.1200000000001502</v>
      </c>
      <c r="BQ733" s="1">
        <v>3.1200000000001502</v>
      </c>
      <c r="BU733" s="1">
        <v>3.1200000000001502</v>
      </c>
    </row>
    <row r="734" spans="33:73" hidden="1" x14ac:dyDescent="0.25">
      <c r="AG734" s="1">
        <v>3.11000000000015</v>
      </c>
      <c r="AH734" s="1">
        <f t="shared" si="33"/>
        <v>226.88999999999984</v>
      </c>
      <c r="AI734" s="1">
        <f t="shared" si="34"/>
        <v>226.88999999999984</v>
      </c>
      <c r="AK734" s="1">
        <v>3.11000000000015</v>
      </c>
      <c r="AO734" s="1">
        <v>3.11000000000015</v>
      </c>
      <c r="AS734" s="1">
        <v>3.11000000000015</v>
      </c>
      <c r="AW734" s="1">
        <v>3.11000000000015</v>
      </c>
      <c r="BA734" s="1">
        <v>3.11000000000015</v>
      </c>
      <c r="BE734" s="1">
        <v>3.11000000000015</v>
      </c>
      <c r="BI734" s="1">
        <v>3.11000000000015</v>
      </c>
      <c r="BM734" s="1">
        <v>3.11000000000015</v>
      </c>
      <c r="BQ734" s="1">
        <v>3.11000000000015</v>
      </c>
      <c r="BU734" s="1">
        <v>3.11000000000015</v>
      </c>
    </row>
    <row r="735" spans="33:73" hidden="1" x14ac:dyDescent="0.25">
      <c r="AG735" s="1">
        <v>3.1000000000001502</v>
      </c>
      <c r="AH735" s="1">
        <f t="shared" si="33"/>
        <v>226.89999999999986</v>
      </c>
      <c r="AI735" s="1">
        <f t="shared" si="34"/>
        <v>226.89999999999986</v>
      </c>
      <c r="AK735" s="1">
        <v>3.1000000000001502</v>
      </c>
      <c r="AO735" s="1">
        <v>3.1000000000001502</v>
      </c>
      <c r="AS735" s="1">
        <v>3.1000000000001502</v>
      </c>
      <c r="AW735" s="1">
        <v>3.1000000000001502</v>
      </c>
      <c r="BA735" s="1">
        <v>3.1000000000001502</v>
      </c>
      <c r="BE735" s="1">
        <v>3.1000000000001502</v>
      </c>
      <c r="BI735" s="1">
        <v>3.1000000000001502</v>
      </c>
      <c r="BM735" s="1">
        <v>3.1000000000001502</v>
      </c>
      <c r="BQ735" s="1">
        <v>3.1000000000001502</v>
      </c>
      <c r="BU735" s="1">
        <v>3.1000000000001502</v>
      </c>
    </row>
    <row r="736" spans="33:73" hidden="1" x14ac:dyDescent="0.25">
      <c r="AG736" s="1">
        <v>3.09000000000015</v>
      </c>
      <c r="AH736" s="1">
        <f t="shared" si="33"/>
        <v>226.90999999999985</v>
      </c>
      <c r="AI736" s="1">
        <f t="shared" si="34"/>
        <v>226.90999999999985</v>
      </c>
      <c r="AK736" s="1">
        <v>3.09000000000015</v>
      </c>
      <c r="AO736" s="1">
        <v>3.09000000000015</v>
      </c>
      <c r="AS736" s="1">
        <v>3.09000000000015</v>
      </c>
      <c r="AW736" s="1">
        <v>3.09000000000015</v>
      </c>
      <c r="BA736" s="1">
        <v>3.09000000000015</v>
      </c>
      <c r="BE736" s="1">
        <v>3.09000000000015</v>
      </c>
      <c r="BI736" s="1">
        <v>3.09000000000015</v>
      </c>
      <c r="BM736" s="1">
        <v>3.09000000000015</v>
      </c>
      <c r="BQ736" s="1">
        <v>3.09000000000015</v>
      </c>
      <c r="BU736" s="1">
        <v>3.09000000000015</v>
      </c>
    </row>
    <row r="737" spans="33:73" hidden="1" x14ac:dyDescent="0.25">
      <c r="AG737" s="1">
        <v>3.0800000000001502</v>
      </c>
      <c r="AH737" s="1">
        <f t="shared" si="33"/>
        <v>226.91999999999985</v>
      </c>
      <c r="AI737" s="1">
        <f t="shared" si="34"/>
        <v>226.91999999999985</v>
      </c>
      <c r="AK737" s="1">
        <v>3.0800000000001502</v>
      </c>
      <c r="AO737" s="1">
        <v>3.0800000000001502</v>
      </c>
      <c r="AS737" s="1">
        <v>3.0800000000001502</v>
      </c>
      <c r="AW737" s="1">
        <v>3.0800000000001502</v>
      </c>
      <c r="BA737" s="1">
        <v>3.0800000000001502</v>
      </c>
      <c r="BE737" s="1">
        <v>3.0800000000001502</v>
      </c>
      <c r="BI737" s="1">
        <v>3.0800000000001502</v>
      </c>
      <c r="BM737" s="1">
        <v>3.0800000000001502</v>
      </c>
      <c r="BQ737" s="1">
        <v>3.0800000000001502</v>
      </c>
      <c r="BU737" s="1">
        <v>3.0800000000001502</v>
      </c>
    </row>
    <row r="738" spans="33:73" hidden="1" x14ac:dyDescent="0.25">
      <c r="AG738" s="1">
        <v>3.0700000000001499</v>
      </c>
      <c r="AH738" s="1">
        <f t="shared" si="33"/>
        <v>226.92999999999984</v>
      </c>
      <c r="AI738" s="1">
        <f t="shared" si="34"/>
        <v>226.92999999999984</v>
      </c>
      <c r="AK738" s="1">
        <v>3.0700000000001499</v>
      </c>
      <c r="AO738" s="1">
        <v>3.0700000000001499</v>
      </c>
      <c r="AS738" s="1">
        <v>3.0700000000001499</v>
      </c>
      <c r="AW738" s="1">
        <v>3.0700000000001499</v>
      </c>
      <c r="BA738" s="1">
        <v>3.0700000000001499</v>
      </c>
      <c r="BE738" s="1">
        <v>3.0700000000001499</v>
      </c>
      <c r="BI738" s="1">
        <v>3.0700000000001499</v>
      </c>
      <c r="BM738" s="1">
        <v>3.0700000000001499</v>
      </c>
      <c r="BQ738" s="1">
        <v>3.0700000000001499</v>
      </c>
      <c r="BU738" s="1">
        <v>3.0700000000001499</v>
      </c>
    </row>
    <row r="739" spans="33:73" hidden="1" x14ac:dyDescent="0.25">
      <c r="AG739" s="1">
        <v>3.0600000000001502</v>
      </c>
      <c r="AH739" s="1">
        <f t="shared" si="33"/>
        <v>226.93999999999986</v>
      </c>
      <c r="AI739" s="1">
        <f t="shared" si="34"/>
        <v>226.93999999999986</v>
      </c>
      <c r="AK739" s="1">
        <v>3.0600000000001502</v>
      </c>
      <c r="AO739" s="1">
        <v>3.0600000000001502</v>
      </c>
      <c r="AS739" s="1">
        <v>3.0600000000001502</v>
      </c>
      <c r="AW739" s="1">
        <v>3.0600000000001502</v>
      </c>
      <c r="BA739" s="1">
        <v>3.0600000000001502</v>
      </c>
      <c r="BE739" s="1">
        <v>3.0600000000001502</v>
      </c>
      <c r="BI739" s="1">
        <v>3.0600000000001502</v>
      </c>
      <c r="BM739" s="1">
        <v>3.0600000000001502</v>
      </c>
      <c r="BQ739" s="1">
        <v>3.0600000000001502</v>
      </c>
      <c r="BU739" s="1">
        <v>3.0600000000001502</v>
      </c>
    </row>
    <row r="740" spans="33:73" hidden="1" x14ac:dyDescent="0.25">
      <c r="AG740" s="1">
        <v>3.0500000000001499</v>
      </c>
      <c r="AH740" s="1">
        <f t="shared" si="33"/>
        <v>226.94999999999985</v>
      </c>
      <c r="AI740" s="1">
        <f t="shared" si="34"/>
        <v>226.94999999999985</v>
      </c>
      <c r="AK740" s="1">
        <v>3.0500000000001499</v>
      </c>
      <c r="AO740" s="1">
        <v>3.0500000000001499</v>
      </c>
      <c r="AS740" s="1">
        <v>3.0500000000001499</v>
      </c>
      <c r="AW740" s="1">
        <v>3.0500000000001499</v>
      </c>
      <c r="BA740" s="1">
        <v>3.0500000000001499</v>
      </c>
      <c r="BE740" s="1">
        <v>3.0500000000001499</v>
      </c>
      <c r="BI740" s="1">
        <v>3.0500000000001499</v>
      </c>
      <c r="BM740" s="1">
        <v>3.0500000000001499</v>
      </c>
      <c r="BQ740" s="1">
        <v>3.0500000000001499</v>
      </c>
      <c r="BU740" s="1">
        <v>3.0500000000001499</v>
      </c>
    </row>
    <row r="741" spans="33:73" hidden="1" x14ac:dyDescent="0.25">
      <c r="AG741" s="1">
        <v>3.0400000000001501</v>
      </c>
      <c r="AH741" s="1">
        <f t="shared" si="33"/>
        <v>226.95999999999984</v>
      </c>
      <c r="AI741" s="1">
        <f t="shared" si="34"/>
        <v>226.95999999999984</v>
      </c>
      <c r="AK741" s="1">
        <v>3.0400000000001501</v>
      </c>
      <c r="AO741" s="1">
        <v>3.0400000000001501</v>
      </c>
      <c r="AS741" s="1">
        <v>3.0400000000001501</v>
      </c>
      <c r="AW741" s="1">
        <v>3.0400000000001501</v>
      </c>
      <c r="BA741" s="1">
        <v>3.0400000000001501</v>
      </c>
      <c r="BE741" s="1">
        <v>3.0400000000001501</v>
      </c>
      <c r="BI741" s="1">
        <v>3.0400000000001501</v>
      </c>
      <c r="BM741" s="1">
        <v>3.0400000000001501</v>
      </c>
      <c r="BQ741" s="1">
        <v>3.0400000000001501</v>
      </c>
      <c r="BU741" s="1">
        <v>3.0400000000001501</v>
      </c>
    </row>
    <row r="742" spans="33:73" hidden="1" x14ac:dyDescent="0.25">
      <c r="AG742" s="1">
        <v>3.0300000000001499</v>
      </c>
      <c r="AH742" s="1">
        <f t="shared" si="33"/>
        <v>226.96999999999986</v>
      </c>
      <c r="AI742" s="1">
        <f t="shared" si="34"/>
        <v>226.96999999999986</v>
      </c>
      <c r="AK742" s="1">
        <v>3.0300000000001499</v>
      </c>
      <c r="AO742" s="1">
        <v>3.0300000000001499</v>
      </c>
      <c r="AS742" s="1">
        <v>3.0300000000001499</v>
      </c>
      <c r="AW742" s="1">
        <v>3.0300000000001499</v>
      </c>
      <c r="BA742" s="1">
        <v>3.0300000000001499</v>
      </c>
      <c r="BE742" s="1">
        <v>3.0300000000001499</v>
      </c>
      <c r="BI742" s="1">
        <v>3.0300000000001499</v>
      </c>
      <c r="BM742" s="1">
        <v>3.0300000000001499</v>
      </c>
      <c r="BQ742" s="1">
        <v>3.0300000000001499</v>
      </c>
      <c r="BU742" s="1">
        <v>3.0300000000001499</v>
      </c>
    </row>
    <row r="743" spans="33:73" hidden="1" x14ac:dyDescent="0.25">
      <c r="AG743" s="1">
        <v>3.0200000000001501</v>
      </c>
      <c r="AH743" s="1">
        <f t="shared" si="33"/>
        <v>226.97999999999985</v>
      </c>
      <c r="AI743" s="1">
        <f t="shared" si="34"/>
        <v>226.97999999999985</v>
      </c>
      <c r="AK743" s="1">
        <v>3.0200000000001501</v>
      </c>
      <c r="AO743" s="1">
        <v>3.0200000000001501</v>
      </c>
      <c r="AS743" s="1">
        <v>3.0200000000001501</v>
      </c>
      <c r="AW743" s="1">
        <v>3.0200000000001501</v>
      </c>
      <c r="BA743" s="1">
        <v>3.0200000000001501</v>
      </c>
      <c r="BE743" s="1">
        <v>3.0200000000001501</v>
      </c>
      <c r="BI743" s="1">
        <v>3.0200000000001501</v>
      </c>
      <c r="BM743" s="1">
        <v>3.0200000000001501</v>
      </c>
      <c r="BQ743" s="1">
        <v>3.0200000000001501</v>
      </c>
      <c r="BU743" s="1">
        <v>3.0200000000001501</v>
      </c>
    </row>
    <row r="744" spans="33:73" hidden="1" x14ac:dyDescent="0.25">
      <c r="AG744" s="1">
        <v>3.0100000000001499</v>
      </c>
      <c r="AH744" s="1">
        <f t="shared" si="33"/>
        <v>226.98999999999984</v>
      </c>
      <c r="AI744" s="1">
        <f t="shared" si="34"/>
        <v>226.98999999999984</v>
      </c>
      <c r="AK744" s="1">
        <v>3.0100000000001499</v>
      </c>
      <c r="AO744" s="1">
        <v>3.0100000000001499</v>
      </c>
      <c r="AS744" s="1">
        <v>3.0100000000001499</v>
      </c>
      <c r="AW744" s="1">
        <v>3.0100000000001499</v>
      </c>
      <c r="BA744" s="1">
        <v>3.0100000000001499</v>
      </c>
      <c r="BE744" s="1">
        <v>3.0100000000001499</v>
      </c>
      <c r="BI744" s="1">
        <v>3.0100000000001499</v>
      </c>
      <c r="BM744" s="1">
        <v>3.0100000000001499</v>
      </c>
      <c r="BQ744" s="1">
        <v>3.0100000000001499</v>
      </c>
      <c r="BU744" s="1">
        <v>3.0100000000001499</v>
      </c>
    </row>
    <row r="745" spans="33:73" hidden="1" x14ac:dyDescent="0.25">
      <c r="AG745" s="1">
        <v>3.0000000000001501</v>
      </c>
      <c r="AH745" s="1">
        <f t="shared" si="33"/>
        <v>226.99999999999986</v>
      </c>
      <c r="AI745" s="1">
        <f t="shared" si="34"/>
        <v>226.99999999999986</v>
      </c>
      <c r="AK745" s="1">
        <v>3.0000000000001501</v>
      </c>
      <c r="AO745" s="1">
        <v>3.0000000000001501</v>
      </c>
      <c r="AS745" s="1">
        <v>3.0000000000001501</v>
      </c>
      <c r="AW745" s="1">
        <v>3.0000000000001501</v>
      </c>
      <c r="BA745" s="1">
        <v>3.0000000000001501</v>
      </c>
      <c r="BE745" s="1">
        <v>3.0000000000001501</v>
      </c>
      <c r="BI745" s="1">
        <v>3.0000000000001501</v>
      </c>
      <c r="BM745" s="1">
        <v>3.0000000000001501</v>
      </c>
      <c r="BQ745" s="1">
        <v>3.0000000000001501</v>
      </c>
      <c r="BU745" s="1">
        <v>3.0000000000001501</v>
      </c>
    </row>
    <row r="746" spans="33:73" hidden="1" x14ac:dyDescent="0.25">
      <c r="AG746" s="1">
        <v>2.9900000000001499</v>
      </c>
      <c r="AH746" s="1">
        <f t="shared" si="33"/>
        <v>227.00999999999985</v>
      </c>
      <c r="AI746" s="1">
        <f t="shared" si="34"/>
        <v>227.00999999999985</v>
      </c>
      <c r="AK746" s="1">
        <v>2.9900000000001499</v>
      </c>
      <c r="AO746" s="1">
        <v>2.9900000000001499</v>
      </c>
      <c r="AS746" s="1">
        <v>2.9900000000001499</v>
      </c>
      <c r="AW746" s="1">
        <v>2.9900000000001499</v>
      </c>
      <c r="BA746" s="1">
        <v>2.9900000000001499</v>
      </c>
      <c r="BE746" s="1">
        <v>2.9900000000001499</v>
      </c>
      <c r="BI746" s="1">
        <v>2.9900000000001499</v>
      </c>
      <c r="BM746" s="1">
        <v>2.9900000000001499</v>
      </c>
      <c r="BQ746" s="1">
        <v>2.9900000000001499</v>
      </c>
      <c r="BU746" s="1">
        <v>2.9900000000001499</v>
      </c>
    </row>
    <row r="747" spans="33:73" hidden="1" x14ac:dyDescent="0.25">
      <c r="AG747" s="1">
        <v>2.9800000000001501</v>
      </c>
      <c r="AH747" s="1">
        <f t="shared" si="33"/>
        <v>227.01999999999984</v>
      </c>
      <c r="AI747" s="1">
        <f t="shared" si="34"/>
        <v>227.01999999999984</v>
      </c>
      <c r="AK747" s="1">
        <v>2.9800000000001501</v>
      </c>
      <c r="AO747" s="1">
        <v>2.9800000000001501</v>
      </c>
      <c r="AS747" s="1">
        <v>2.9800000000001501</v>
      </c>
      <c r="AW747" s="1">
        <v>2.9800000000001501</v>
      </c>
      <c r="BA747" s="1">
        <v>2.9800000000001501</v>
      </c>
      <c r="BE747" s="1">
        <v>2.9800000000001501</v>
      </c>
      <c r="BI747" s="1">
        <v>2.9800000000001501</v>
      </c>
      <c r="BM747" s="1">
        <v>2.9800000000001501</v>
      </c>
      <c r="BQ747" s="1">
        <v>2.9800000000001501</v>
      </c>
      <c r="BU747" s="1">
        <v>2.9800000000001501</v>
      </c>
    </row>
    <row r="748" spans="33:73" hidden="1" x14ac:dyDescent="0.25">
      <c r="AG748" s="1">
        <v>2.9700000000001499</v>
      </c>
      <c r="AH748" s="1">
        <f t="shared" si="33"/>
        <v>227.02999999999986</v>
      </c>
      <c r="AI748" s="1">
        <f t="shared" si="34"/>
        <v>227.02999999999986</v>
      </c>
      <c r="AK748" s="1">
        <v>2.9700000000001499</v>
      </c>
      <c r="AO748" s="1">
        <v>2.9700000000001499</v>
      </c>
      <c r="AS748" s="1">
        <v>2.9700000000001499</v>
      </c>
      <c r="AW748" s="1">
        <v>2.9700000000001499</v>
      </c>
      <c r="BA748" s="1">
        <v>2.9700000000001499</v>
      </c>
      <c r="BE748" s="1">
        <v>2.9700000000001499</v>
      </c>
      <c r="BI748" s="1">
        <v>2.9700000000001499</v>
      </c>
      <c r="BM748" s="1">
        <v>2.9700000000001499</v>
      </c>
      <c r="BQ748" s="1">
        <v>2.9700000000001499</v>
      </c>
      <c r="BU748" s="1">
        <v>2.9700000000001499</v>
      </c>
    </row>
    <row r="749" spans="33:73" hidden="1" x14ac:dyDescent="0.25">
      <c r="AG749" s="1">
        <v>2.9600000000001501</v>
      </c>
      <c r="AH749" s="1">
        <f t="shared" si="33"/>
        <v>227.03999999999985</v>
      </c>
      <c r="AI749" s="1">
        <f t="shared" si="34"/>
        <v>227.03999999999985</v>
      </c>
      <c r="AK749" s="1">
        <v>2.9600000000001501</v>
      </c>
      <c r="AO749" s="1">
        <v>2.9600000000001501</v>
      </c>
      <c r="AS749" s="1">
        <v>2.9600000000001501</v>
      </c>
      <c r="AW749" s="1">
        <v>2.9600000000001501</v>
      </c>
      <c r="BA749" s="1">
        <v>2.9600000000001501</v>
      </c>
      <c r="BE749" s="1">
        <v>2.9600000000001501</v>
      </c>
      <c r="BI749" s="1">
        <v>2.9600000000001501</v>
      </c>
      <c r="BM749" s="1">
        <v>2.9600000000001501</v>
      </c>
      <c r="BQ749" s="1">
        <v>2.9600000000001501</v>
      </c>
      <c r="BU749" s="1">
        <v>2.9600000000001501</v>
      </c>
    </row>
    <row r="750" spans="33:73" hidden="1" x14ac:dyDescent="0.25">
      <c r="AG750" s="1">
        <v>2.9500000000001498</v>
      </c>
      <c r="AH750" s="1">
        <f t="shared" ref="AH750:AH813" si="35">SQRT((AI750+($AI$38*($AM$44*$AJ$44+$AN$44*$AK$44)))^2+($D$3*($AN$44*$AJ$44-$AM$44*$AK$44))^2)</f>
        <v>227.04999999999984</v>
      </c>
      <c r="AI750" s="1">
        <f t="shared" ref="AI750:AI813" si="36">$AI$40-AG750</f>
        <v>227.04999999999984</v>
      </c>
      <c r="AK750" s="1">
        <v>2.9500000000001498</v>
      </c>
      <c r="AO750" s="1">
        <v>2.9500000000001498</v>
      </c>
      <c r="AS750" s="1">
        <v>2.9500000000001498</v>
      </c>
      <c r="AW750" s="1">
        <v>2.9500000000001498</v>
      </c>
      <c r="BA750" s="1">
        <v>2.9500000000001498</v>
      </c>
      <c r="BE750" s="1">
        <v>2.9500000000001498</v>
      </c>
      <c r="BI750" s="1">
        <v>2.9500000000001498</v>
      </c>
      <c r="BM750" s="1">
        <v>2.9500000000001498</v>
      </c>
      <c r="BQ750" s="1">
        <v>2.9500000000001498</v>
      </c>
      <c r="BU750" s="1">
        <v>2.9500000000001498</v>
      </c>
    </row>
    <row r="751" spans="33:73" hidden="1" x14ac:dyDescent="0.25">
      <c r="AG751" s="1">
        <v>2.94000000000015</v>
      </c>
      <c r="AH751" s="1">
        <f t="shared" si="35"/>
        <v>227.05999999999986</v>
      </c>
      <c r="AI751" s="1">
        <f t="shared" si="36"/>
        <v>227.05999999999986</v>
      </c>
      <c r="AK751" s="1">
        <v>2.94000000000015</v>
      </c>
      <c r="AO751" s="1">
        <v>2.94000000000015</v>
      </c>
      <c r="AS751" s="1">
        <v>2.94000000000015</v>
      </c>
      <c r="AW751" s="1">
        <v>2.94000000000015</v>
      </c>
      <c r="BA751" s="1">
        <v>2.94000000000015</v>
      </c>
      <c r="BE751" s="1">
        <v>2.94000000000015</v>
      </c>
      <c r="BI751" s="1">
        <v>2.94000000000015</v>
      </c>
      <c r="BM751" s="1">
        <v>2.94000000000015</v>
      </c>
      <c r="BQ751" s="1">
        <v>2.94000000000015</v>
      </c>
      <c r="BU751" s="1">
        <v>2.94000000000015</v>
      </c>
    </row>
    <row r="752" spans="33:73" hidden="1" x14ac:dyDescent="0.25">
      <c r="AG752" s="1">
        <v>2.9300000000001498</v>
      </c>
      <c r="AH752" s="1">
        <f t="shared" si="35"/>
        <v>227.06999999999985</v>
      </c>
      <c r="AI752" s="1">
        <f t="shared" si="36"/>
        <v>227.06999999999985</v>
      </c>
      <c r="AK752" s="1">
        <v>2.9300000000001498</v>
      </c>
      <c r="AO752" s="1">
        <v>2.9300000000001498</v>
      </c>
      <c r="AS752" s="1">
        <v>2.9300000000001498</v>
      </c>
      <c r="AW752" s="1">
        <v>2.9300000000001498</v>
      </c>
      <c r="BA752" s="1">
        <v>2.9300000000001498</v>
      </c>
      <c r="BE752" s="1">
        <v>2.9300000000001498</v>
      </c>
      <c r="BI752" s="1">
        <v>2.9300000000001498</v>
      </c>
      <c r="BM752" s="1">
        <v>2.9300000000001498</v>
      </c>
      <c r="BQ752" s="1">
        <v>2.9300000000001498</v>
      </c>
      <c r="BU752" s="1">
        <v>2.9300000000001498</v>
      </c>
    </row>
    <row r="753" spans="33:73" hidden="1" x14ac:dyDescent="0.25">
      <c r="AG753" s="1">
        <v>2.92000000000015</v>
      </c>
      <c r="AH753" s="1">
        <f t="shared" si="35"/>
        <v>227.07999999999984</v>
      </c>
      <c r="AI753" s="1">
        <f t="shared" si="36"/>
        <v>227.07999999999984</v>
      </c>
      <c r="AK753" s="1">
        <v>2.92000000000015</v>
      </c>
      <c r="AO753" s="1">
        <v>2.92000000000015</v>
      </c>
      <c r="AS753" s="1">
        <v>2.92000000000015</v>
      </c>
      <c r="AW753" s="1">
        <v>2.92000000000015</v>
      </c>
      <c r="BA753" s="1">
        <v>2.92000000000015</v>
      </c>
      <c r="BE753" s="1">
        <v>2.92000000000015</v>
      </c>
      <c r="BI753" s="1">
        <v>2.92000000000015</v>
      </c>
      <c r="BM753" s="1">
        <v>2.92000000000015</v>
      </c>
      <c r="BQ753" s="1">
        <v>2.92000000000015</v>
      </c>
      <c r="BU753" s="1">
        <v>2.92000000000015</v>
      </c>
    </row>
    <row r="754" spans="33:73" hidden="1" x14ac:dyDescent="0.25">
      <c r="AG754" s="1">
        <v>2.9100000000001498</v>
      </c>
      <c r="AH754" s="1">
        <f t="shared" si="35"/>
        <v>227.08999999999986</v>
      </c>
      <c r="AI754" s="1">
        <f t="shared" si="36"/>
        <v>227.08999999999986</v>
      </c>
      <c r="AK754" s="1">
        <v>2.9100000000001498</v>
      </c>
      <c r="AO754" s="1">
        <v>2.9100000000001498</v>
      </c>
      <c r="AS754" s="1">
        <v>2.9100000000001498</v>
      </c>
      <c r="AW754" s="1">
        <v>2.9100000000001498</v>
      </c>
      <c r="BA754" s="1">
        <v>2.9100000000001498</v>
      </c>
      <c r="BE754" s="1">
        <v>2.9100000000001498</v>
      </c>
      <c r="BI754" s="1">
        <v>2.9100000000001498</v>
      </c>
      <c r="BM754" s="1">
        <v>2.9100000000001498</v>
      </c>
      <c r="BQ754" s="1">
        <v>2.9100000000001498</v>
      </c>
      <c r="BU754" s="1">
        <v>2.9100000000001498</v>
      </c>
    </row>
    <row r="755" spans="33:73" hidden="1" x14ac:dyDescent="0.25">
      <c r="AG755" s="1">
        <v>2.90000000000015</v>
      </c>
      <c r="AH755" s="1">
        <f t="shared" si="35"/>
        <v>227.09999999999985</v>
      </c>
      <c r="AI755" s="1">
        <f t="shared" si="36"/>
        <v>227.09999999999985</v>
      </c>
      <c r="AK755" s="1">
        <v>2.90000000000015</v>
      </c>
      <c r="AO755" s="1">
        <v>2.90000000000015</v>
      </c>
      <c r="AS755" s="1">
        <v>2.90000000000015</v>
      </c>
      <c r="AW755" s="1">
        <v>2.90000000000015</v>
      </c>
      <c r="BA755" s="1">
        <v>2.90000000000015</v>
      </c>
      <c r="BE755" s="1">
        <v>2.90000000000015</v>
      </c>
      <c r="BI755" s="1">
        <v>2.90000000000015</v>
      </c>
      <c r="BM755" s="1">
        <v>2.90000000000015</v>
      </c>
      <c r="BQ755" s="1">
        <v>2.90000000000015</v>
      </c>
      <c r="BU755" s="1">
        <v>2.90000000000015</v>
      </c>
    </row>
    <row r="756" spans="33:73" hidden="1" x14ac:dyDescent="0.25">
      <c r="AG756" s="1">
        <v>2.8900000000001498</v>
      </c>
      <c r="AH756" s="1">
        <f t="shared" si="35"/>
        <v>227.10999999999984</v>
      </c>
      <c r="AI756" s="1">
        <f t="shared" si="36"/>
        <v>227.10999999999984</v>
      </c>
      <c r="AK756" s="1">
        <v>2.8900000000001498</v>
      </c>
      <c r="AO756" s="1">
        <v>2.8900000000001498</v>
      </c>
      <c r="AS756" s="1">
        <v>2.8900000000001498</v>
      </c>
      <c r="AW756" s="1">
        <v>2.8900000000001498</v>
      </c>
      <c r="BA756" s="1">
        <v>2.8900000000001498</v>
      </c>
      <c r="BE756" s="1">
        <v>2.8900000000001498</v>
      </c>
      <c r="BI756" s="1">
        <v>2.8900000000001498</v>
      </c>
      <c r="BM756" s="1">
        <v>2.8900000000001498</v>
      </c>
      <c r="BQ756" s="1">
        <v>2.8900000000001498</v>
      </c>
      <c r="BU756" s="1">
        <v>2.8900000000001498</v>
      </c>
    </row>
    <row r="757" spans="33:73" hidden="1" x14ac:dyDescent="0.25">
      <c r="AG757" s="1">
        <v>2.88000000000015</v>
      </c>
      <c r="AH757" s="1">
        <f t="shared" si="35"/>
        <v>227.11999999999986</v>
      </c>
      <c r="AI757" s="1">
        <f t="shared" si="36"/>
        <v>227.11999999999986</v>
      </c>
      <c r="AK757" s="1">
        <v>2.88000000000015</v>
      </c>
      <c r="AO757" s="1">
        <v>2.88000000000015</v>
      </c>
      <c r="AS757" s="1">
        <v>2.88000000000015</v>
      </c>
      <c r="AW757" s="1">
        <v>2.88000000000015</v>
      </c>
      <c r="BA757" s="1">
        <v>2.88000000000015</v>
      </c>
      <c r="BE757" s="1">
        <v>2.88000000000015</v>
      </c>
      <c r="BI757" s="1">
        <v>2.88000000000015</v>
      </c>
      <c r="BM757" s="1">
        <v>2.88000000000015</v>
      </c>
      <c r="BQ757" s="1">
        <v>2.88000000000015</v>
      </c>
      <c r="BU757" s="1">
        <v>2.88000000000015</v>
      </c>
    </row>
    <row r="758" spans="33:73" hidden="1" x14ac:dyDescent="0.25">
      <c r="AG758" s="1">
        <v>2.8700000000001502</v>
      </c>
      <c r="AH758" s="1">
        <f t="shared" si="35"/>
        <v>227.12999999999985</v>
      </c>
      <c r="AI758" s="1">
        <f t="shared" si="36"/>
        <v>227.12999999999985</v>
      </c>
      <c r="AK758" s="1">
        <v>2.8700000000001502</v>
      </c>
      <c r="AO758" s="1">
        <v>2.8700000000001502</v>
      </c>
      <c r="AS758" s="1">
        <v>2.8700000000001502</v>
      </c>
      <c r="AW758" s="1">
        <v>2.8700000000001502</v>
      </c>
      <c r="BA758" s="1">
        <v>2.8700000000001502</v>
      </c>
      <c r="BE758" s="1">
        <v>2.8700000000001502</v>
      </c>
      <c r="BI758" s="1">
        <v>2.8700000000001502</v>
      </c>
      <c r="BM758" s="1">
        <v>2.8700000000001502</v>
      </c>
      <c r="BQ758" s="1">
        <v>2.8700000000001502</v>
      </c>
      <c r="BU758" s="1">
        <v>2.8700000000001502</v>
      </c>
    </row>
    <row r="759" spans="33:73" hidden="1" x14ac:dyDescent="0.25">
      <c r="AG759" s="1">
        <v>2.86000000000015</v>
      </c>
      <c r="AH759" s="1">
        <f t="shared" si="35"/>
        <v>227.13999999999984</v>
      </c>
      <c r="AI759" s="1">
        <f t="shared" si="36"/>
        <v>227.13999999999984</v>
      </c>
      <c r="AK759" s="1">
        <v>2.86000000000015</v>
      </c>
      <c r="AO759" s="1">
        <v>2.86000000000015</v>
      </c>
      <c r="AS759" s="1">
        <v>2.86000000000015</v>
      </c>
      <c r="AW759" s="1">
        <v>2.86000000000015</v>
      </c>
      <c r="BA759" s="1">
        <v>2.86000000000015</v>
      </c>
      <c r="BE759" s="1">
        <v>2.86000000000015</v>
      </c>
      <c r="BI759" s="1">
        <v>2.86000000000015</v>
      </c>
      <c r="BM759" s="1">
        <v>2.86000000000015</v>
      </c>
      <c r="BQ759" s="1">
        <v>2.86000000000015</v>
      </c>
      <c r="BU759" s="1">
        <v>2.86000000000015</v>
      </c>
    </row>
    <row r="760" spans="33:73" hidden="1" x14ac:dyDescent="0.25">
      <c r="AG760" s="1">
        <v>2.8500000000001502</v>
      </c>
      <c r="AH760" s="1">
        <f t="shared" si="35"/>
        <v>227.14999999999986</v>
      </c>
      <c r="AI760" s="1">
        <f t="shared" si="36"/>
        <v>227.14999999999986</v>
      </c>
      <c r="AK760" s="1">
        <v>2.8500000000001502</v>
      </c>
      <c r="AO760" s="1">
        <v>2.8500000000001502</v>
      </c>
      <c r="AS760" s="1">
        <v>2.8500000000001502</v>
      </c>
      <c r="AW760" s="1">
        <v>2.8500000000001502</v>
      </c>
      <c r="BA760" s="1">
        <v>2.8500000000001502</v>
      </c>
      <c r="BE760" s="1">
        <v>2.8500000000001502</v>
      </c>
      <c r="BI760" s="1">
        <v>2.8500000000001502</v>
      </c>
      <c r="BM760" s="1">
        <v>2.8500000000001502</v>
      </c>
      <c r="BQ760" s="1">
        <v>2.8500000000001502</v>
      </c>
      <c r="BU760" s="1">
        <v>2.8500000000001502</v>
      </c>
    </row>
    <row r="761" spans="33:73" hidden="1" x14ac:dyDescent="0.25">
      <c r="AG761" s="1">
        <v>2.84000000000015</v>
      </c>
      <c r="AH761" s="1">
        <f t="shared" si="35"/>
        <v>227.15999999999985</v>
      </c>
      <c r="AI761" s="1">
        <f t="shared" si="36"/>
        <v>227.15999999999985</v>
      </c>
      <c r="AK761" s="1">
        <v>2.84000000000015</v>
      </c>
      <c r="AO761" s="1">
        <v>2.84000000000015</v>
      </c>
      <c r="AS761" s="1">
        <v>2.84000000000015</v>
      </c>
      <c r="AW761" s="1">
        <v>2.84000000000015</v>
      </c>
      <c r="BA761" s="1">
        <v>2.84000000000015</v>
      </c>
      <c r="BE761" s="1">
        <v>2.84000000000015</v>
      </c>
      <c r="BI761" s="1">
        <v>2.84000000000015</v>
      </c>
      <c r="BM761" s="1">
        <v>2.84000000000015</v>
      </c>
      <c r="BQ761" s="1">
        <v>2.84000000000015</v>
      </c>
      <c r="BU761" s="1">
        <v>2.84000000000015</v>
      </c>
    </row>
    <row r="762" spans="33:73" hidden="1" x14ac:dyDescent="0.25">
      <c r="AG762" s="1">
        <v>2.8300000000001502</v>
      </c>
      <c r="AH762" s="1">
        <f t="shared" si="35"/>
        <v>227.16999999999985</v>
      </c>
      <c r="AI762" s="1">
        <f t="shared" si="36"/>
        <v>227.16999999999985</v>
      </c>
      <c r="AK762" s="1">
        <v>2.8300000000001502</v>
      </c>
      <c r="AO762" s="1">
        <v>2.8300000000001502</v>
      </c>
      <c r="AS762" s="1">
        <v>2.8300000000001502</v>
      </c>
      <c r="AW762" s="1">
        <v>2.8300000000001502</v>
      </c>
      <c r="BA762" s="1">
        <v>2.8300000000001502</v>
      </c>
      <c r="BE762" s="1">
        <v>2.8300000000001502</v>
      </c>
      <c r="BI762" s="1">
        <v>2.8300000000001502</v>
      </c>
      <c r="BM762" s="1">
        <v>2.8300000000001502</v>
      </c>
      <c r="BQ762" s="1">
        <v>2.8300000000001502</v>
      </c>
      <c r="BU762" s="1">
        <v>2.8300000000001502</v>
      </c>
    </row>
    <row r="763" spans="33:73" hidden="1" x14ac:dyDescent="0.25">
      <c r="AG763" s="1">
        <v>2.8200000000001499</v>
      </c>
      <c r="AH763" s="1">
        <f t="shared" si="35"/>
        <v>227.17999999999984</v>
      </c>
      <c r="AI763" s="1">
        <f t="shared" si="36"/>
        <v>227.17999999999984</v>
      </c>
      <c r="AK763" s="1">
        <v>2.8200000000001499</v>
      </c>
      <c r="AO763" s="1">
        <v>2.8200000000001499</v>
      </c>
      <c r="AS763" s="1">
        <v>2.8200000000001499</v>
      </c>
      <c r="AW763" s="1">
        <v>2.8200000000001499</v>
      </c>
      <c r="BA763" s="1">
        <v>2.8200000000001499</v>
      </c>
      <c r="BE763" s="1">
        <v>2.8200000000001499</v>
      </c>
      <c r="BI763" s="1">
        <v>2.8200000000001499</v>
      </c>
      <c r="BM763" s="1">
        <v>2.8200000000001499</v>
      </c>
      <c r="BQ763" s="1">
        <v>2.8200000000001499</v>
      </c>
      <c r="BU763" s="1">
        <v>2.8200000000001499</v>
      </c>
    </row>
    <row r="764" spans="33:73" hidden="1" x14ac:dyDescent="0.25">
      <c r="AG764" s="1">
        <v>2.8100000000001502</v>
      </c>
      <c r="AH764" s="1">
        <f t="shared" si="35"/>
        <v>227.18999999999986</v>
      </c>
      <c r="AI764" s="1">
        <f t="shared" si="36"/>
        <v>227.18999999999986</v>
      </c>
      <c r="AK764" s="1">
        <v>2.8100000000001502</v>
      </c>
      <c r="AO764" s="1">
        <v>2.8100000000001502</v>
      </c>
      <c r="AS764" s="1">
        <v>2.8100000000001502</v>
      </c>
      <c r="AW764" s="1">
        <v>2.8100000000001502</v>
      </c>
      <c r="BA764" s="1">
        <v>2.8100000000001502</v>
      </c>
      <c r="BE764" s="1">
        <v>2.8100000000001502</v>
      </c>
      <c r="BI764" s="1">
        <v>2.8100000000001502</v>
      </c>
      <c r="BM764" s="1">
        <v>2.8100000000001502</v>
      </c>
      <c r="BQ764" s="1">
        <v>2.8100000000001502</v>
      </c>
      <c r="BU764" s="1">
        <v>2.8100000000001502</v>
      </c>
    </row>
    <row r="765" spans="33:73" hidden="1" x14ac:dyDescent="0.25">
      <c r="AG765" s="1">
        <v>2.8000000000001499</v>
      </c>
      <c r="AH765" s="1">
        <f t="shared" si="35"/>
        <v>227.19999999999985</v>
      </c>
      <c r="AI765" s="1">
        <f t="shared" si="36"/>
        <v>227.19999999999985</v>
      </c>
      <c r="AK765" s="1">
        <v>2.8000000000001499</v>
      </c>
      <c r="AO765" s="1">
        <v>2.8000000000001499</v>
      </c>
      <c r="AS765" s="1">
        <v>2.8000000000001499</v>
      </c>
      <c r="AW765" s="1">
        <v>2.8000000000001499</v>
      </c>
      <c r="BA765" s="1">
        <v>2.8000000000001499</v>
      </c>
      <c r="BE765" s="1">
        <v>2.8000000000001499</v>
      </c>
      <c r="BI765" s="1">
        <v>2.8000000000001499</v>
      </c>
      <c r="BM765" s="1">
        <v>2.8000000000001499</v>
      </c>
      <c r="BQ765" s="1">
        <v>2.8000000000001499</v>
      </c>
      <c r="BU765" s="1">
        <v>2.8000000000001499</v>
      </c>
    </row>
    <row r="766" spans="33:73" hidden="1" x14ac:dyDescent="0.25">
      <c r="AG766" s="1">
        <v>2.7900000000001501</v>
      </c>
      <c r="AH766" s="1">
        <f t="shared" si="35"/>
        <v>227.20999999999984</v>
      </c>
      <c r="AI766" s="1">
        <f t="shared" si="36"/>
        <v>227.20999999999984</v>
      </c>
      <c r="AK766" s="1">
        <v>2.7900000000001501</v>
      </c>
      <c r="AO766" s="1">
        <v>2.7900000000001501</v>
      </c>
      <c r="AS766" s="1">
        <v>2.7900000000001501</v>
      </c>
      <c r="AW766" s="1">
        <v>2.7900000000001501</v>
      </c>
      <c r="BA766" s="1">
        <v>2.7900000000001501</v>
      </c>
      <c r="BE766" s="1">
        <v>2.7900000000001501</v>
      </c>
      <c r="BI766" s="1">
        <v>2.7900000000001501</v>
      </c>
      <c r="BM766" s="1">
        <v>2.7900000000001501</v>
      </c>
      <c r="BQ766" s="1">
        <v>2.7900000000001501</v>
      </c>
      <c r="BU766" s="1">
        <v>2.7900000000001501</v>
      </c>
    </row>
    <row r="767" spans="33:73" hidden="1" x14ac:dyDescent="0.25">
      <c r="AG767" s="1">
        <v>2.7800000000001499</v>
      </c>
      <c r="AH767" s="1">
        <f t="shared" si="35"/>
        <v>227.21999999999986</v>
      </c>
      <c r="AI767" s="1">
        <f t="shared" si="36"/>
        <v>227.21999999999986</v>
      </c>
      <c r="AK767" s="1">
        <v>2.7800000000001499</v>
      </c>
      <c r="AO767" s="1">
        <v>2.7800000000001499</v>
      </c>
      <c r="AS767" s="1">
        <v>2.7800000000001499</v>
      </c>
      <c r="AW767" s="1">
        <v>2.7800000000001499</v>
      </c>
      <c r="BA767" s="1">
        <v>2.7800000000001499</v>
      </c>
      <c r="BE767" s="1">
        <v>2.7800000000001499</v>
      </c>
      <c r="BI767" s="1">
        <v>2.7800000000001499</v>
      </c>
      <c r="BM767" s="1">
        <v>2.7800000000001499</v>
      </c>
      <c r="BQ767" s="1">
        <v>2.7800000000001499</v>
      </c>
      <c r="BU767" s="1">
        <v>2.7800000000001499</v>
      </c>
    </row>
    <row r="768" spans="33:73" hidden="1" x14ac:dyDescent="0.25">
      <c r="AG768" s="1">
        <v>2.7700000000001501</v>
      </c>
      <c r="AH768" s="1">
        <f t="shared" si="35"/>
        <v>227.22999999999985</v>
      </c>
      <c r="AI768" s="1">
        <f t="shared" si="36"/>
        <v>227.22999999999985</v>
      </c>
      <c r="AK768" s="1">
        <v>2.7700000000001501</v>
      </c>
      <c r="AO768" s="1">
        <v>2.7700000000001501</v>
      </c>
      <c r="AS768" s="1">
        <v>2.7700000000001501</v>
      </c>
      <c r="AW768" s="1">
        <v>2.7700000000001501</v>
      </c>
      <c r="BA768" s="1">
        <v>2.7700000000001501</v>
      </c>
      <c r="BE768" s="1">
        <v>2.7700000000001501</v>
      </c>
      <c r="BI768" s="1">
        <v>2.7700000000001501</v>
      </c>
      <c r="BM768" s="1">
        <v>2.7700000000001501</v>
      </c>
      <c r="BQ768" s="1">
        <v>2.7700000000001501</v>
      </c>
      <c r="BU768" s="1">
        <v>2.7700000000001501</v>
      </c>
    </row>
    <row r="769" spans="33:73" hidden="1" x14ac:dyDescent="0.25">
      <c r="AG769" s="1">
        <v>2.7600000000001499</v>
      </c>
      <c r="AH769" s="1">
        <f t="shared" si="35"/>
        <v>227.23999999999984</v>
      </c>
      <c r="AI769" s="1">
        <f t="shared" si="36"/>
        <v>227.23999999999984</v>
      </c>
      <c r="AK769" s="1">
        <v>2.7600000000001499</v>
      </c>
      <c r="AO769" s="1">
        <v>2.7600000000001499</v>
      </c>
      <c r="AS769" s="1">
        <v>2.7600000000001499</v>
      </c>
      <c r="AW769" s="1">
        <v>2.7600000000001499</v>
      </c>
      <c r="BA769" s="1">
        <v>2.7600000000001499</v>
      </c>
      <c r="BE769" s="1">
        <v>2.7600000000001499</v>
      </c>
      <c r="BI769" s="1">
        <v>2.7600000000001499</v>
      </c>
      <c r="BM769" s="1">
        <v>2.7600000000001499</v>
      </c>
      <c r="BQ769" s="1">
        <v>2.7600000000001499</v>
      </c>
      <c r="BU769" s="1">
        <v>2.7600000000001499</v>
      </c>
    </row>
    <row r="770" spans="33:73" hidden="1" x14ac:dyDescent="0.25">
      <c r="AG770" s="1">
        <v>2.7500000000001501</v>
      </c>
      <c r="AH770" s="1">
        <f t="shared" si="35"/>
        <v>227.24999999999986</v>
      </c>
      <c r="AI770" s="1">
        <f t="shared" si="36"/>
        <v>227.24999999999986</v>
      </c>
      <c r="AK770" s="1">
        <v>2.7500000000001501</v>
      </c>
      <c r="AO770" s="1">
        <v>2.7500000000001501</v>
      </c>
      <c r="AS770" s="1">
        <v>2.7500000000001501</v>
      </c>
      <c r="AW770" s="1">
        <v>2.7500000000001501</v>
      </c>
      <c r="BA770" s="1">
        <v>2.7500000000001501</v>
      </c>
      <c r="BE770" s="1">
        <v>2.7500000000001501</v>
      </c>
      <c r="BI770" s="1">
        <v>2.7500000000001501</v>
      </c>
      <c r="BM770" s="1">
        <v>2.7500000000001501</v>
      </c>
      <c r="BQ770" s="1">
        <v>2.7500000000001501</v>
      </c>
      <c r="BU770" s="1">
        <v>2.7500000000001501</v>
      </c>
    </row>
    <row r="771" spans="33:73" hidden="1" x14ac:dyDescent="0.25">
      <c r="AG771" s="1">
        <v>2.7400000000001499</v>
      </c>
      <c r="AH771" s="1">
        <f t="shared" si="35"/>
        <v>227.25999999999985</v>
      </c>
      <c r="AI771" s="1">
        <f t="shared" si="36"/>
        <v>227.25999999999985</v>
      </c>
      <c r="AK771" s="1">
        <v>2.7400000000001499</v>
      </c>
      <c r="AO771" s="1">
        <v>2.7400000000001499</v>
      </c>
      <c r="AS771" s="1">
        <v>2.7400000000001499</v>
      </c>
      <c r="AW771" s="1">
        <v>2.7400000000001499</v>
      </c>
      <c r="BA771" s="1">
        <v>2.7400000000001499</v>
      </c>
      <c r="BE771" s="1">
        <v>2.7400000000001499</v>
      </c>
      <c r="BI771" s="1">
        <v>2.7400000000001499</v>
      </c>
      <c r="BM771" s="1">
        <v>2.7400000000001499</v>
      </c>
      <c r="BQ771" s="1">
        <v>2.7400000000001499</v>
      </c>
      <c r="BU771" s="1">
        <v>2.7400000000001499</v>
      </c>
    </row>
    <row r="772" spans="33:73" hidden="1" x14ac:dyDescent="0.25">
      <c r="AG772" s="1">
        <v>2.7300000000001501</v>
      </c>
      <c r="AH772" s="1">
        <f t="shared" si="35"/>
        <v>227.26999999999984</v>
      </c>
      <c r="AI772" s="1">
        <f t="shared" si="36"/>
        <v>227.26999999999984</v>
      </c>
      <c r="AK772" s="1">
        <v>2.7300000000001501</v>
      </c>
      <c r="AO772" s="1">
        <v>2.7300000000001501</v>
      </c>
      <c r="AS772" s="1">
        <v>2.7300000000001501</v>
      </c>
      <c r="AW772" s="1">
        <v>2.7300000000001501</v>
      </c>
      <c r="BA772" s="1">
        <v>2.7300000000001501</v>
      </c>
      <c r="BE772" s="1">
        <v>2.7300000000001501</v>
      </c>
      <c r="BI772" s="1">
        <v>2.7300000000001501</v>
      </c>
      <c r="BM772" s="1">
        <v>2.7300000000001501</v>
      </c>
      <c r="BQ772" s="1">
        <v>2.7300000000001501</v>
      </c>
      <c r="BU772" s="1">
        <v>2.7300000000001501</v>
      </c>
    </row>
    <row r="773" spans="33:73" hidden="1" x14ac:dyDescent="0.25">
      <c r="AG773" s="1">
        <v>2.7200000000001601</v>
      </c>
      <c r="AH773" s="1">
        <f t="shared" si="35"/>
        <v>227.27999999999983</v>
      </c>
      <c r="AI773" s="1">
        <f t="shared" si="36"/>
        <v>227.27999999999983</v>
      </c>
      <c r="AK773" s="1">
        <v>2.7200000000001601</v>
      </c>
      <c r="AO773" s="1">
        <v>2.7200000000001601</v>
      </c>
      <c r="AS773" s="1">
        <v>2.7200000000001601</v>
      </c>
      <c r="AW773" s="1">
        <v>2.7200000000001601</v>
      </c>
      <c r="BA773" s="1">
        <v>2.7200000000001601</v>
      </c>
      <c r="BE773" s="1">
        <v>2.7200000000001601</v>
      </c>
      <c r="BI773" s="1">
        <v>2.7200000000001601</v>
      </c>
      <c r="BM773" s="1">
        <v>2.7200000000001601</v>
      </c>
      <c r="BQ773" s="1">
        <v>2.7200000000001601</v>
      </c>
      <c r="BU773" s="1">
        <v>2.7200000000001601</v>
      </c>
    </row>
    <row r="774" spans="33:73" hidden="1" x14ac:dyDescent="0.25">
      <c r="AG774" s="1">
        <v>2.7100000000001598</v>
      </c>
      <c r="AH774" s="1">
        <f t="shared" si="35"/>
        <v>227.28999999999985</v>
      </c>
      <c r="AI774" s="1">
        <f t="shared" si="36"/>
        <v>227.28999999999985</v>
      </c>
      <c r="AK774" s="1">
        <v>2.7100000000001598</v>
      </c>
      <c r="AO774" s="1">
        <v>2.7100000000001598</v>
      </c>
      <c r="AS774" s="1">
        <v>2.7100000000001598</v>
      </c>
      <c r="AW774" s="1">
        <v>2.7100000000001598</v>
      </c>
      <c r="BA774" s="1">
        <v>2.7100000000001598</v>
      </c>
      <c r="BE774" s="1">
        <v>2.7100000000001598</v>
      </c>
      <c r="BI774" s="1">
        <v>2.7100000000001598</v>
      </c>
      <c r="BM774" s="1">
        <v>2.7100000000001598</v>
      </c>
      <c r="BQ774" s="1">
        <v>2.7100000000001598</v>
      </c>
      <c r="BU774" s="1">
        <v>2.7100000000001598</v>
      </c>
    </row>
    <row r="775" spans="33:73" hidden="1" x14ac:dyDescent="0.25">
      <c r="AG775" s="1">
        <v>2.70000000000016</v>
      </c>
      <c r="AH775" s="1">
        <f t="shared" si="35"/>
        <v>227.29999999999984</v>
      </c>
      <c r="AI775" s="1">
        <f t="shared" si="36"/>
        <v>227.29999999999984</v>
      </c>
      <c r="AK775" s="1">
        <v>2.70000000000016</v>
      </c>
      <c r="AO775" s="1">
        <v>2.70000000000016</v>
      </c>
      <c r="AS775" s="1">
        <v>2.70000000000016</v>
      </c>
      <c r="AW775" s="1">
        <v>2.70000000000016</v>
      </c>
      <c r="BA775" s="1">
        <v>2.70000000000016</v>
      </c>
      <c r="BE775" s="1">
        <v>2.70000000000016</v>
      </c>
      <c r="BI775" s="1">
        <v>2.70000000000016</v>
      </c>
      <c r="BM775" s="1">
        <v>2.70000000000016</v>
      </c>
      <c r="BQ775" s="1">
        <v>2.70000000000016</v>
      </c>
      <c r="BU775" s="1">
        <v>2.70000000000016</v>
      </c>
    </row>
    <row r="776" spans="33:73" hidden="1" x14ac:dyDescent="0.25">
      <c r="AG776" s="1">
        <v>2.6900000000001598</v>
      </c>
      <c r="AH776" s="1">
        <f t="shared" si="35"/>
        <v>227.30999999999983</v>
      </c>
      <c r="AI776" s="1">
        <f t="shared" si="36"/>
        <v>227.30999999999983</v>
      </c>
      <c r="AK776" s="1">
        <v>2.6900000000001598</v>
      </c>
      <c r="AO776" s="1">
        <v>2.6900000000001598</v>
      </c>
      <c r="AS776" s="1">
        <v>2.6900000000001598</v>
      </c>
      <c r="AW776" s="1">
        <v>2.6900000000001598</v>
      </c>
      <c r="BA776" s="1">
        <v>2.6900000000001598</v>
      </c>
      <c r="BE776" s="1">
        <v>2.6900000000001598</v>
      </c>
      <c r="BI776" s="1">
        <v>2.6900000000001598</v>
      </c>
      <c r="BM776" s="1">
        <v>2.6900000000001598</v>
      </c>
      <c r="BQ776" s="1">
        <v>2.6900000000001598</v>
      </c>
      <c r="BU776" s="1">
        <v>2.6900000000001598</v>
      </c>
    </row>
    <row r="777" spans="33:73" hidden="1" x14ac:dyDescent="0.25">
      <c r="AG777" s="1">
        <v>2.68000000000016</v>
      </c>
      <c r="AH777" s="1">
        <f t="shared" si="35"/>
        <v>227.31999999999985</v>
      </c>
      <c r="AI777" s="1">
        <f t="shared" si="36"/>
        <v>227.31999999999985</v>
      </c>
      <c r="AK777" s="1">
        <v>2.68000000000016</v>
      </c>
      <c r="AO777" s="1">
        <v>2.68000000000016</v>
      </c>
      <c r="AS777" s="1">
        <v>2.68000000000016</v>
      </c>
      <c r="AW777" s="1">
        <v>2.68000000000016</v>
      </c>
      <c r="BA777" s="1">
        <v>2.68000000000016</v>
      </c>
      <c r="BE777" s="1">
        <v>2.68000000000016</v>
      </c>
      <c r="BI777" s="1">
        <v>2.68000000000016</v>
      </c>
      <c r="BM777" s="1">
        <v>2.68000000000016</v>
      </c>
      <c r="BQ777" s="1">
        <v>2.68000000000016</v>
      </c>
      <c r="BU777" s="1">
        <v>2.68000000000016</v>
      </c>
    </row>
    <row r="778" spans="33:73" hidden="1" x14ac:dyDescent="0.25">
      <c r="AG778" s="1">
        <v>2.6700000000001598</v>
      </c>
      <c r="AH778" s="1">
        <f t="shared" si="35"/>
        <v>227.32999999999984</v>
      </c>
      <c r="AI778" s="1">
        <f t="shared" si="36"/>
        <v>227.32999999999984</v>
      </c>
      <c r="AK778" s="1">
        <v>2.6700000000001598</v>
      </c>
      <c r="AO778" s="1">
        <v>2.6700000000001598</v>
      </c>
      <c r="AS778" s="1">
        <v>2.6700000000001598</v>
      </c>
      <c r="AW778" s="1">
        <v>2.6700000000001598</v>
      </c>
      <c r="BA778" s="1">
        <v>2.6700000000001598</v>
      </c>
      <c r="BE778" s="1">
        <v>2.6700000000001598</v>
      </c>
      <c r="BI778" s="1">
        <v>2.6700000000001598</v>
      </c>
      <c r="BM778" s="1">
        <v>2.6700000000001598</v>
      </c>
      <c r="BQ778" s="1">
        <v>2.6700000000001598</v>
      </c>
      <c r="BU778" s="1">
        <v>2.6700000000001598</v>
      </c>
    </row>
    <row r="779" spans="33:73" hidden="1" x14ac:dyDescent="0.25">
      <c r="AG779" s="1">
        <v>2.66000000000016</v>
      </c>
      <c r="AH779" s="1">
        <f t="shared" si="35"/>
        <v>227.33999999999983</v>
      </c>
      <c r="AI779" s="1">
        <f t="shared" si="36"/>
        <v>227.33999999999983</v>
      </c>
      <c r="AK779" s="1">
        <v>2.66000000000016</v>
      </c>
      <c r="AO779" s="1">
        <v>2.66000000000016</v>
      </c>
      <c r="AS779" s="1">
        <v>2.66000000000016</v>
      </c>
      <c r="AW779" s="1">
        <v>2.66000000000016</v>
      </c>
      <c r="BA779" s="1">
        <v>2.66000000000016</v>
      </c>
      <c r="BE779" s="1">
        <v>2.66000000000016</v>
      </c>
      <c r="BI779" s="1">
        <v>2.66000000000016</v>
      </c>
      <c r="BM779" s="1">
        <v>2.66000000000016</v>
      </c>
      <c r="BQ779" s="1">
        <v>2.66000000000016</v>
      </c>
      <c r="BU779" s="1">
        <v>2.66000000000016</v>
      </c>
    </row>
    <row r="780" spans="33:73" hidden="1" x14ac:dyDescent="0.25">
      <c r="AG780" s="1">
        <v>2.6500000000001598</v>
      </c>
      <c r="AH780" s="1">
        <f t="shared" si="35"/>
        <v>227.34999999999985</v>
      </c>
      <c r="AI780" s="1">
        <f t="shared" si="36"/>
        <v>227.34999999999985</v>
      </c>
      <c r="AK780" s="1">
        <v>2.6500000000001598</v>
      </c>
      <c r="AO780" s="1">
        <v>2.6500000000001598</v>
      </c>
      <c r="AS780" s="1">
        <v>2.6500000000001598</v>
      </c>
      <c r="AW780" s="1">
        <v>2.6500000000001598</v>
      </c>
      <c r="BA780" s="1">
        <v>2.6500000000001598</v>
      </c>
      <c r="BE780" s="1">
        <v>2.6500000000001598</v>
      </c>
      <c r="BI780" s="1">
        <v>2.6500000000001598</v>
      </c>
      <c r="BM780" s="1">
        <v>2.6500000000001598</v>
      </c>
      <c r="BQ780" s="1">
        <v>2.6500000000001598</v>
      </c>
      <c r="BU780" s="1">
        <v>2.6500000000001598</v>
      </c>
    </row>
    <row r="781" spans="33:73" hidden="1" x14ac:dyDescent="0.25">
      <c r="AG781" s="1">
        <v>2.64000000000016</v>
      </c>
      <c r="AH781" s="1">
        <f t="shared" si="35"/>
        <v>227.35999999999984</v>
      </c>
      <c r="AI781" s="1">
        <f t="shared" si="36"/>
        <v>227.35999999999984</v>
      </c>
      <c r="AK781" s="1">
        <v>2.64000000000016</v>
      </c>
      <c r="AO781" s="1">
        <v>2.64000000000016</v>
      </c>
      <c r="AS781" s="1">
        <v>2.64000000000016</v>
      </c>
      <c r="AW781" s="1">
        <v>2.64000000000016</v>
      </c>
      <c r="BA781" s="1">
        <v>2.64000000000016</v>
      </c>
      <c r="BE781" s="1">
        <v>2.64000000000016</v>
      </c>
      <c r="BI781" s="1">
        <v>2.64000000000016</v>
      </c>
      <c r="BM781" s="1">
        <v>2.64000000000016</v>
      </c>
      <c r="BQ781" s="1">
        <v>2.64000000000016</v>
      </c>
      <c r="BU781" s="1">
        <v>2.64000000000016</v>
      </c>
    </row>
    <row r="782" spans="33:73" hidden="1" x14ac:dyDescent="0.25">
      <c r="AG782" s="1">
        <v>2.6300000000001602</v>
      </c>
      <c r="AH782" s="1">
        <f t="shared" si="35"/>
        <v>227.36999999999983</v>
      </c>
      <c r="AI782" s="1">
        <f t="shared" si="36"/>
        <v>227.36999999999983</v>
      </c>
      <c r="AK782" s="1">
        <v>2.6300000000001602</v>
      </c>
      <c r="AO782" s="1">
        <v>2.6300000000001602</v>
      </c>
      <c r="AS782" s="1">
        <v>2.6300000000001602</v>
      </c>
      <c r="AW782" s="1">
        <v>2.6300000000001602</v>
      </c>
      <c r="BA782" s="1">
        <v>2.6300000000001602</v>
      </c>
      <c r="BE782" s="1">
        <v>2.6300000000001602</v>
      </c>
      <c r="BI782" s="1">
        <v>2.6300000000001602</v>
      </c>
      <c r="BM782" s="1">
        <v>2.6300000000001602</v>
      </c>
      <c r="BQ782" s="1">
        <v>2.6300000000001602</v>
      </c>
      <c r="BU782" s="1">
        <v>2.6300000000001602</v>
      </c>
    </row>
    <row r="783" spans="33:73" hidden="1" x14ac:dyDescent="0.25">
      <c r="AG783" s="1">
        <v>2.62000000000016</v>
      </c>
      <c r="AH783" s="1">
        <f t="shared" si="35"/>
        <v>227.37999999999985</v>
      </c>
      <c r="AI783" s="1">
        <f t="shared" si="36"/>
        <v>227.37999999999985</v>
      </c>
      <c r="AK783" s="1">
        <v>2.62000000000016</v>
      </c>
      <c r="AO783" s="1">
        <v>2.62000000000016</v>
      </c>
      <c r="AS783" s="1">
        <v>2.62000000000016</v>
      </c>
      <c r="AW783" s="1">
        <v>2.62000000000016</v>
      </c>
      <c r="BA783" s="1">
        <v>2.62000000000016</v>
      </c>
      <c r="BE783" s="1">
        <v>2.62000000000016</v>
      </c>
      <c r="BI783" s="1">
        <v>2.62000000000016</v>
      </c>
      <c r="BM783" s="1">
        <v>2.62000000000016</v>
      </c>
      <c r="BQ783" s="1">
        <v>2.62000000000016</v>
      </c>
      <c r="BU783" s="1">
        <v>2.62000000000016</v>
      </c>
    </row>
    <row r="784" spans="33:73" hidden="1" x14ac:dyDescent="0.25">
      <c r="AG784" s="1">
        <v>2.6100000000001602</v>
      </c>
      <c r="AH784" s="1">
        <f t="shared" si="35"/>
        <v>227.38999999999984</v>
      </c>
      <c r="AI784" s="1">
        <f t="shared" si="36"/>
        <v>227.38999999999984</v>
      </c>
      <c r="AK784" s="1">
        <v>2.6100000000001602</v>
      </c>
      <c r="AO784" s="1">
        <v>2.6100000000001602</v>
      </c>
      <c r="AS784" s="1">
        <v>2.6100000000001602</v>
      </c>
      <c r="AW784" s="1">
        <v>2.6100000000001602</v>
      </c>
      <c r="BA784" s="1">
        <v>2.6100000000001602</v>
      </c>
      <c r="BE784" s="1">
        <v>2.6100000000001602</v>
      </c>
      <c r="BI784" s="1">
        <v>2.6100000000001602</v>
      </c>
      <c r="BM784" s="1">
        <v>2.6100000000001602</v>
      </c>
      <c r="BQ784" s="1">
        <v>2.6100000000001602</v>
      </c>
      <c r="BU784" s="1">
        <v>2.6100000000001602</v>
      </c>
    </row>
    <row r="785" spans="33:73" hidden="1" x14ac:dyDescent="0.25">
      <c r="AG785" s="1">
        <v>2.60000000000016</v>
      </c>
      <c r="AH785" s="1">
        <f t="shared" si="35"/>
        <v>227.39999999999984</v>
      </c>
      <c r="AI785" s="1">
        <f t="shared" si="36"/>
        <v>227.39999999999984</v>
      </c>
      <c r="AK785" s="1">
        <v>2.60000000000016</v>
      </c>
      <c r="AO785" s="1">
        <v>2.60000000000016</v>
      </c>
      <c r="AS785" s="1">
        <v>2.60000000000016</v>
      </c>
      <c r="AW785" s="1">
        <v>2.60000000000016</v>
      </c>
      <c r="BA785" s="1">
        <v>2.60000000000016</v>
      </c>
      <c r="BE785" s="1">
        <v>2.60000000000016</v>
      </c>
      <c r="BI785" s="1">
        <v>2.60000000000016</v>
      </c>
      <c r="BM785" s="1">
        <v>2.60000000000016</v>
      </c>
      <c r="BQ785" s="1">
        <v>2.60000000000016</v>
      </c>
      <c r="BU785" s="1">
        <v>2.60000000000016</v>
      </c>
    </row>
    <row r="786" spans="33:73" hidden="1" x14ac:dyDescent="0.25">
      <c r="AG786" s="1">
        <v>2.5900000000001602</v>
      </c>
      <c r="AH786" s="1">
        <f t="shared" si="35"/>
        <v>227.40999999999983</v>
      </c>
      <c r="AI786" s="1">
        <f t="shared" si="36"/>
        <v>227.40999999999983</v>
      </c>
      <c r="AK786" s="1">
        <v>2.5900000000001602</v>
      </c>
      <c r="AO786" s="1">
        <v>2.5900000000001602</v>
      </c>
      <c r="AS786" s="1">
        <v>2.5900000000001602</v>
      </c>
      <c r="AW786" s="1">
        <v>2.5900000000001602</v>
      </c>
      <c r="BA786" s="1">
        <v>2.5900000000001602</v>
      </c>
      <c r="BE786" s="1">
        <v>2.5900000000001602</v>
      </c>
      <c r="BI786" s="1">
        <v>2.5900000000001602</v>
      </c>
      <c r="BM786" s="1">
        <v>2.5900000000001602</v>
      </c>
      <c r="BQ786" s="1">
        <v>2.5900000000001602</v>
      </c>
      <c r="BU786" s="1">
        <v>2.5900000000001602</v>
      </c>
    </row>
    <row r="787" spans="33:73" hidden="1" x14ac:dyDescent="0.25">
      <c r="AG787" s="1">
        <v>2.5800000000001599</v>
      </c>
      <c r="AH787" s="1">
        <f t="shared" si="35"/>
        <v>227.41999999999985</v>
      </c>
      <c r="AI787" s="1">
        <f t="shared" si="36"/>
        <v>227.41999999999985</v>
      </c>
      <c r="AK787" s="1">
        <v>2.5800000000001599</v>
      </c>
      <c r="AO787" s="1">
        <v>2.5800000000001599</v>
      </c>
      <c r="AS787" s="1">
        <v>2.5800000000001599</v>
      </c>
      <c r="AW787" s="1">
        <v>2.5800000000001599</v>
      </c>
      <c r="BA787" s="1">
        <v>2.5800000000001599</v>
      </c>
      <c r="BE787" s="1">
        <v>2.5800000000001599</v>
      </c>
      <c r="BI787" s="1">
        <v>2.5800000000001599</v>
      </c>
      <c r="BM787" s="1">
        <v>2.5800000000001599</v>
      </c>
      <c r="BQ787" s="1">
        <v>2.5800000000001599</v>
      </c>
      <c r="BU787" s="1">
        <v>2.5800000000001599</v>
      </c>
    </row>
    <row r="788" spans="33:73" hidden="1" x14ac:dyDescent="0.25">
      <c r="AG788" s="1">
        <v>2.5700000000001602</v>
      </c>
      <c r="AH788" s="1">
        <f t="shared" si="35"/>
        <v>227.42999999999984</v>
      </c>
      <c r="AI788" s="1">
        <f t="shared" si="36"/>
        <v>227.42999999999984</v>
      </c>
      <c r="AK788" s="1">
        <v>2.5700000000001602</v>
      </c>
      <c r="AO788" s="1">
        <v>2.5700000000001602</v>
      </c>
      <c r="AS788" s="1">
        <v>2.5700000000001602</v>
      </c>
      <c r="AW788" s="1">
        <v>2.5700000000001602</v>
      </c>
      <c r="BA788" s="1">
        <v>2.5700000000001602</v>
      </c>
      <c r="BE788" s="1">
        <v>2.5700000000001602</v>
      </c>
      <c r="BI788" s="1">
        <v>2.5700000000001602</v>
      </c>
      <c r="BM788" s="1">
        <v>2.5700000000001602</v>
      </c>
      <c r="BQ788" s="1">
        <v>2.5700000000001602</v>
      </c>
      <c r="BU788" s="1">
        <v>2.5700000000001602</v>
      </c>
    </row>
    <row r="789" spans="33:73" hidden="1" x14ac:dyDescent="0.25">
      <c r="AG789" s="1">
        <v>2.5600000000001599</v>
      </c>
      <c r="AH789" s="1">
        <f t="shared" si="35"/>
        <v>227.43999999999983</v>
      </c>
      <c r="AI789" s="1">
        <f t="shared" si="36"/>
        <v>227.43999999999983</v>
      </c>
      <c r="AK789" s="1">
        <v>2.5600000000001599</v>
      </c>
      <c r="AO789" s="1">
        <v>2.5600000000001599</v>
      </c>
      <c r="AS789" s="1">
        <v>2.5600000000001599</v>
      </c>
      <c r="AW789" s="1">
        <v>2.5600000000001599</v>
      </c>
      <c r="BA789" s="1">
        <v>2.5600000000001599</v>
      </c>
      <c r="BE789" s="1">
        <v>2.5600000000001599</v>
      </c>
      <c r="BI789" s="1">
        <v>2.5600000000001599</v>
      </c>
      <c r="BM789" s="1">
        <v>2.5600000000001599</v>
      </c>
      <c r="BQ789" s="1">
        <v>2.5600000000001599</v>
      </c>
      <c r="BU789" s="1">
        <v>2.5600000000001599</v>
      </c>
    </row>
    <row r="790" spans="33:73" hidden="1" x14ac:dyDescent="0.25">
      <c r="AG790" s="1">
        <v>2.5500000000001601</v>
      </c>
      <c r="AH790" s="1">
        <f t="shared" si="35"/>
        <v>227.44999999999985</v>
      </c>
      <c r="AI790" s="1">
        <f t="shared" si="36"/>
        <v>227.44999999999985</v>
      </c>
      <c r="AK790" s="1">
        <v>2.5500000000001601</v>
      </c>
      <c r="AO790" s="1">
        <v>2.5500000000001601</v>
      </c>
      <c r="AS790" s="1">
        <v>2.5500000000001601</v>
      </c>
      <c r="AW790" s="1">
        <v>2.5500000000001601</v>
      </c>
      <c r="BA790" s="1">
        <v>2.5500000000001601</v>
      </c>
      <c r="BE790" s="1">
        <v>2.5500000000001601</v>
      </c>
      <c r="BI790" s="1">
        <v>2.5500000000001601</v>
      </c>
      <c r="BM790" s="1">
        <v>2.5500000000001601</v>
      </c>
      <c r="BQ790" s="1">
        <v>2.5500000000001601</v>
      </c>
      <c r="BU790" s="1">
        <v>2.5500000000001601</v>
      </c>
    </row>
    <row r="791" spans="33:73" hidden="1" x14ac:dyDescent="0.25">
      <c r="AG791" s="1">
        <v>2.5400000000001599</v>
      </c>
      <c r="AH791" s="1">
        <f t="shared" si="35"/>
        <v>227.45999999999984</v>
      </c>
      <c r="AI791" s="1">
        <f t="shared" si="36"/>
        <v>227.45999999999984</v>
      </c>
      <c r="AK791" s="1">
        <v>2.5400000000001599</v>
      </c>
      <c r="AO791" s="1">
        <v>2.5400000000001599</v>
      </c>
      <c r="AS791" s="1">
        <v>2.5400000000001599</v>
      </c>
      <c r="AW791" s="1">
        <v>2.5400000000001599</v>
      </c>
      <c r="BA791" s="1">
        <v>2.5400000000001599</v>
      </c>
      <c r="BE791" s="1">
        <v>2.5400000000001599</v>
      </c>
      <c r="BI791" s="1">
        <v>2.5400000000001599</v>
      </c>
      <c r="BM791" s="1">
        <v>2.5400000000001599</v>
      </c>
      <c r="BQ791" s="1">
        <v>2.5400000000001599</v>
      </c>
      <c r="BU791" s="1">
        <v>2.5400000000001599</v>
      </c>
    </row>
    <row r="792" spans="33:73" hidden="1" x14ac:dyDescent="0.25">
      <c r="AG792" s="1">
        <v>2.5300000000001601</v>
      </c>
      <c r="AH792" s="1">
        <f t="shared" si="35"/>
        <v>227.46999999999983</v>
      </c>
      <c r="AI792" s="1">
        <f t="shared" si="36"/>
        <v>227.46999999999983</v>
      </c>
      <c r="AK792" s="1">
        <v>2.5300000000001601</v>
      </c>
      <c r="AO792" s="1">
        <v>2.5300000000001601</v>
      </c>
      <c r="AS792" s="1">
        <v>2.5300000000001601</v>
      </c>
      <c r="AW792" s="1">
        <v>2.5300000000001601</v>
      </c>
      <c r="BA792" s="1">
        <v>2.5300000000001601</v>
      </c>
      <c r="BE792" s="1">
        <v>2.5300000000001601</v>
      </c>
      <c r="BI792" s="1">
        <v>2.5300000000001601</v>
      </c>
      <c r="BM792" s="1">
        <v>2.5300000000001601</v>
      </c>
      <c r="BQ792" s="1">
        <v>2.5300000000001601</v>
      </c>
      <c r="BU792" s="1">
        <v>2.5300000000001601</v>
      </c>
    </row>
    <row r="793" spans="33:73" hidden="1" x14ac:dyDescent="0.25">
      <c r="AG793" s="1">
        <v>2.5200000000001599</v>
      </c>
      <c r="AH793" s="1">
        <f t="shared" si="35"/>
        <v>227.47999999999985</v>
      </c>
      <c r="AI793" s="1">
        <f t="shared" si="36"/>
        <v>227.47999999999985</v>
      </c>
      <c r="AK793" s="1">
        <v>2.5200000000001599</v>
      </c>
      <c r="AO793" s="1">
        <v>2.5200000000001599</v>
      </c>
      <c r="AS793" s="1">
        <v>2.5200000000001599</v>
      </c>
      <c r="AW793" s="1">
        <v>2.5200000000001599</v>
      </c>
      <c r="BA793" s="1">
        <v>2.5200000000001599</v>
      </c>
      <c r="BE793" s="1">
        <v>2.5200000000001599</v>
      </c>
      <c r="BI793" s="1">
        <v>2.5200000000001599</v>
      </c>
      <c r="BM793" s="1">
        <v>2.5200000000001599</v>
      </c>
      <c r="BQ793" s="1">
        <v>2.5200000000001599</v>
      </c>
      <c r="BU793" s="1">
        <v>2.5200000000001599</v>
      </c>
    </row>
    <row r="794" spans="33:73" hidden="1" x14ac:dyDescent="0.25">
      <c r="AG794" s="1">
        <v>2.5100000000001601</v>
      </c>
      <c r="AH794" s="1">
        <f t="shared" si="35"/>
        <v>227.48999999999984</v>
      </c>
      <c r="AI794" s="1">
        <f t="shared" si="36"/>
        <v>227.48999999999984</v>
      </c>
      <c r="AK794" s="1">
        <v>2.5100000000001601</v>
      </c>
      <c r="AO794" s="1">
        <v>2.5100000000001601</v>
      </c>
      <c r="AS794" s="1">
        <v>2.5100000000001601</v>
      </c>
      <c r="AW794" s="1">
        <v>2.5100000000001601</v>
      </c>
      <c r="BA794" s="1">
        <v>2.5100000000001601</v>
      </c>
      <c r="BE794" s="1">
        <v>2.5100000000001601</v>
      </c>
      <c r="BI794" s="1">
        <v>2.5100000000001601</v>
      </c>
      <c r="BM794" s="1">
        <v>2.5100000000001601</v>
      </c>
      <c r="BQ794" s="1">
        <v>2.5100000000001601</v>
      </c>
      <c r="BU794" s="1">
        <v>2.5100000000001601</v>
      </c>
    </row>
    <row r="795" spans="33:73" hidden="1" x14ac:dyDescent="0.25">
      <c r="AG795" s="1">
        <v>2.5000000000001599</v>
      </c>
      <c r="AH795" s="1">
        <f t="shared" si="35"/>
        <v>227.49999999999983</v>
      </c>
      <c r="AI795" s="1">
        <f t="shared" si="36"/>
        <v>227.49999999999983</v>
      </c>
      <c r="AK795" s="1">
        <v>2.5000000000001599</v>
      </c>
      <c r="AO795" s="1">
        <v>2.5000000000001599</v>
      </c>
      <c r="AS795" s="1">
        <v>2.5000000000001599</v>
      </c>
      <c r="AW795" s="1">
        <v>2.5000000000001599</v>
      </c>
      <c r="BA795" s="1">
        <v>2.5000000000001599</v>
      </c>
      <c r="BE795" s="1">
        <v>2.5000000000001599</v>
      </c>
      <c r="BI795" s="1">
        <v>2.5000000000001599</v>
      </c>
      <c r="BM795" s="1">
        <v>2.5000000000001599</v>
      </c>
      <c r="BQ795" s="1">
        <v>2.5000000000001599</v>
      </c>
      <c r="BU795" s="1">
        <v>2.5000000000001599</v>
      </c>
    </row>
    <row r="796" spans="33:73" hidden="1" x14ac:dyDescent="0.25">
      <c r="AG796" s="1">
        <v>2.4900000000001601</v>
      </c>
      <c r="AH796" s="1">
        <f t="shared" si="35"/>
        <v>227.50999999999985</v>
      </c>
      <c r="AI796" s="1">
        <f t="shared" si="36"/>
        <v>227.50999999999985</v>
      </c>
      <c r="AK796" s="1">
        <v>2.4900000000001601</v>
      </c>
      <c r="AO796" s="1">
        <v>2.4900000000001601</v>
      </c>
      <c r="AS796" s="1">
        <v>2.4900000000001601</v>
      </c>
      <c r="AW796" s="1">
        <v>2.4900000000001601</v>
      </c>
      <c r="BA796" s="1">
        <v>2.4900000000001601</v>
      </c>
      <c r="BE796" s="1">
        <v>2.4900000000001601</v>
      </c>
      <c r="BI796" s="1">
        <v>2.4900000000001601</v>
      </c>
      <c r="BM796" s="1">
        <v>2.4900000000001601</v>
      </c>
      <c r="BQ796" s="1">
        <v>2.4900000000001601</v>
      </c>
      <c r="BU796" s="1">
        <v>2.4900000000001601</v>
      </c>
    </row>
    <row r="797" spans="33:73" hidden="1" x14ac:dyDescent="0.25">
      <c r="AG797" s="1">
        <v>2.4800000000001599</v>
      </c>
      <c r="AH797" s="1">
        <f t="shared" si="35"/>
        <v>227.51999999999984</v>
      </c>
      <c r="AI797" s="1">
        <f t="shared" si="36"/>
        <v>227.51999999999984</v>
      </c>
      <c r="AK797" s="1">
        <v>2.4800000000001599</v>
      </c>
      <c r="AO797" s="1">
        <v>2.4800000000001599</v>
      </c>
      <c r="AS797" s="1">
        <v>2.4800000000001599</v>
      </c>
      <c r="AW797" s="1">
        <v>2.4800000000001599</v>
      </c>
      <c r="BA797" s="1">
        <v>2.4800000000001599</v>
      </c>
      <c r="BE797" s="1">
        <v>2.4800000000001599</v>
      </c>
      <c r="BI797" s="1">
        <v>2.4800000000001599</v>
      </c>
      <c r="BM797" s="1">
        <v>2.4800000000001599</v>
      </c>
      <c r="BQ797" s="1">
        <v>2.4800000000001599</v>
      </c>
      <c r="BU797" s="1">
        <v>2.4800000000001599</v>
      </c>
    </row>
    <row r="798" spans="33:73" hidden="1" x14ac:dyDescent="0.25">
      <c r="AG798" s="1">
        <v>2.4700000000001601</v>
      </c>
      <c r="AH798" s="1">
        <f t="shared" si="35"/>
        <v>227.52999999999983</v>
      </c>
      <c r="AI798" s="1">
        <f t="shared" si="36"/>
        <v>227.52999999999983</v>
      </c>
      <c r="AK798" s="1">
        <v>2.4700000000001601</v>
      </c>
      <c r="AO798" s="1">
        <v>2.4700000000001601</v>
      </c>
      <c r="AS798" s="1">
        <v>2.4700000000001601</v>
      </c>
      <c r="AW798" s="1">
        <v>2.4700000000001601</v>
      </c>
      <c r="BA798" s="1">
        <v>2.4700000000001601</v>
      </c>
      <c r="BE798" s="1">
        <v>2.4700000000001601</v>
      </c>
      <c r="BI798" s="1">
        <v>2.4700000000001601</v>
      </c>
      <c r="BM798" s="1">
        <v>2.4700000000001601</v>
      </c>
      <c r="BQ798" s="1">
        <v>2.4700000000001601</v>
      </c>
      <c r="BU798" s="1">
        <v>2.4700000000001601</v>
      </c>
    </row>
    <row r="799" spans="33:73" hidden="1" x14ac:dyDescent="0.25">
      <c r="AG799" s="1">
        <v>2.4600000000001598</v>
      </c>
      <c r="AH799" s="1">
        <f t="shared" si="35"/>
        <v>227.53999999999985</v>
      </c>
      <c r="AI799" s="1">
        <f t="shared" si="36"/>
        <v>227.53999999999985</v>
      </c>
      <c r="AK799" s="1">
        <v>2.4600000000001598</v>
      </c>
      <c r="AO799" s="1">
        <v>2.4600000000001598</v>
      </c>
      <c r="AS799" s="1">
        <v>2.4600000000001598</v>
      </c>
      <c r="AW799" s="1">
        <v>2.4600000000001598</v>
      </c>
      <c r="BA799" s="1">
        <v>2.4600000000001598</v>
      </c>
      <c r="BE799" s="1">
        <v>2.4600000000001598</v>
      </c>
      <c r="BI799" s="1">
        <v>2.4600000000001598</v>
      </c>
      <c r="BM799" s="1">
        <v>2.4600000000001598</v>
      </c>
      <c r="BQ799" s="1">
        <v>2.4600000000001598</v>
      </c>
      <c r="BU799" s="1">
        <v>2.4600000000001598</v>
      </c>
    </row>
    <row r="800" spans="33:73" hidden="1" x14ac:dyDescent="0.25">
      <c r="AG800" s="1">
        <v>2.45000000000016</v>
      </c>
      <c r="AH800" s="1">
        <f t="shared" si="35"/>
        <v>227.54999999999984</v>
      </c>
      <c r="AI800" s="1">
        <f t="shared" si="36"/>
        <v>227.54999999999984</v>
      </c>
      <c r="AK800" s="1">
        <v>2.45000000000016</v>
      </c>
      <c r="AO800" s="1">
        <v>2.45000000000016</v>
      </c>
      <c r="AS800" s="1">
        <v>2.45000000000016</v>
      </c>
      <c r="AW800" s="1">
        <v>2.45000000000016</v>
      </c>
      <c r="BA800" s="1">
        <v>2.45000000000016</v>
      </c>
      <c r="BE800" s="1">
        <v>2.45000000000016</v>
      </c>
      <c r="BI800" s="1">
        <v>2.45000000000016</v>
      </c>
      <c r="BM800" s="1">
        <v>2.45000000000016</v>
      </c>
      <c r="BQ800" s="1">
        <v>2.45000000000016</v>
      </c>
      <c r="BU800" s="1">
        <v>2.45000000000016</v>
      </c>
    </row>
    <row r="801" spans="33:73" hidden="1" x14ac:dyDescent="0.25">
      <c r="AG801" s="1">
        <v>2.4400000000001598</v>
      </c>
      <c r="AH801" s="1">
        <f t="shared" si="35"/>
        <v>227.55999999999983</v>
      </c>
      <c r="AI801" s="1">
        <f t="shared" si="36"/>
        <v>227.55999999999983</v>
      </c>
      <c r="AK801" s="1">
        <v>2.4400000000001598</v>
      </c>
      <c r="AO801" s="1">
        <v>2.4400000000001598</v>
      </c>
      <c r="AS801" s="1">
        <v>2.4400000000001598</v>
      </c>
      <c r="AW801" s="1">
        <v>2.4400000000001598</v>
      </c>
      <c r="BA801" s="1">
        <v>2.4400000000001598</v>
      </c>
      <c r="BE801" s="1">
        <v>2.4400000000001598</v>
      </c>
      <c r="BI801" s="1">
        <v>2.4400000000001598</v>
      </c>
      <c r="BM801" s="1">
        <v>2.4400000000001598</v>
      </c>
      <c r="BQ801" s="1">
        <v>2.4400000000001598</v>
      </c>
      <c r="BU801" s="1">
        <v>2.4400000000001598</v>
      </c>
    </row>
    <row r="802" spans="33:73" hidden="1" x14ac:dyDescent="0.25">
      <c r="AG802" s="1">
        <v>2.43000000000016</v>
      </c>
      <c r="AH802" s="1">
        <f t="shared" si="35"/>
        <v>227.56999999999985</v>
      </c>
      <c r="AI802" s="1">
        <f t="shared" si="36"/>
        <v>227.56999999999985</v>
      </c>
      <c r="AK802" s="1">
        <v>2.43000000000016</v>
      </c>
      <c r="AO802" s="1">
        <v>2.43000000000016</v>
      </c>
      <c r="AS802" s="1">
        <v>2.43000000000016</v>
      </c>
      <c r="AW802" s="1">
        <v>2.43000000000016</v>
      </c>
      <c r="BA802" s="1">
        <v>2.43000000000016</v>
      </c>
      <c r="BE802" s="1">
        <v>2.43000000000016</v>
      </c>
      <c r="BI802" s="1">
        <v>2.43000000000016</v>
      </c>
      <c r="BM802" s="1">
        <v>2.43000000000016</v>
      </c>
      <c r="BQ802" s="1">
        <v>2.43000000000016</v>
      </c>
      <c r="BU802" s="1">
        <v>2.43000000000016</v>
      </c>
    </row>
    <row r="803" spans="33:73" hidden="1" x14ac:dyDescent="0.25">
      <c r="AG803" s="1">
        <v>2.4200000000001598</v>
      </c>
      <c r="AH803" s="1">
        <f t="shared" si="35"/>
        <v>227.57999999999984</v>
      </c>
      <c r="AI803" s="1">
        <f t="shared" si="36"/>
        <v>227.57999999999984</v>
      </c>
      <c r="AK803" s="1">
        <v>2.4200000000001598</v>
      </c>
      <c r="AO803" s="1">
        <v>2.4200000000001598</v>
      </c>
      <c r="AS803" s="1">
        <v>2.4200000000001598</v>
      </c>
      <c r="AW803" s="1">
        <v>2.4200000000001598</v>
      </c>
      <c r="BA803" s="1">
        <v>2.4200000000001598</v>
      </c>
      <c r="BE803" s="1">
        <v>2.4200000000001598</v>
      </c>
      <c r="BI803" s="1">
        <v>2.4200000000001598</v>
      </c>
      <c r="BM803" s="1">
        <v>2.4200000000001598</v>
      </c>
      <c r="BQ803" s="1">
        <v>2.4200000000001598</v>
      </c>
      <c r="BU803" s="1">
        <v>2.4200000000001598</v>
      </c>
    </row>
    <row r="804" spans="33:73" hidden="1" x14ac:dyDescent="0.25">
      <c r="AG804" s="1">
        <v>2.41000000000016</v>
      </c>
      <c r="AH804" s="1">
        <f t="shared" si="35"/>
        <v>227.58999999999983</v>
      </c>
      <c r="AI804" s="1">
        <f t="shared" si="36"/>
        <v>227.58999999999983</v>
      </c>
      <c r="AK804" s="1">
        <v>2.41000000000016</v>
      </c>
      <c r="AO804" s="1">
        <v>2.41000000000016</v>
      </c>
      <c r="AS804" s="1">
        <v>2.41000000000016</v>
      </c>
      <c r="AW804" s="1">
        <v>2.41000000000016</v>
      </c>
      <c r="BA804" s="1">
        <v>2.41000000000016</v>
      </c>
      <c r="BE804" s="1">
        <v>2.41000000000016</v>
      </c>
      <c r="BI804" s="1">
        <v>2.41000000000016</v>
      </c>
      <c r="BM804" s="1">
        <v>2.41000000000016</v>
      </c>
      <c r="BQ804" s="1">
        <v>2.41000000000016</v>
      </c>
      <c r="BU804" s="1">
        <v>2.41000000000016</v>
      </c>
    </row>
    <row r="805" spans="33:73" hidden="1" x14ac:dyDescent="0.25">
      <c r="AG805" s="1">
        <v>2.4000000000001598</v>
      </c>
      <c r="AH805" s="1">
        <f t="shared" si="35"/>
        <v>227.59999999999985</v>
      </c>
      <c r="AI805" s="1">
        <f t="shared" si="36"/>
        <v>227.59999999999985</v>
      </c>
      <c r="AK805" s="1">
        <v>2.4000000000001598</v>
      </c>
      <c r="AO805" s="1">
        <v>2.4000000000001598</v>
      </c>
      <c r="AS805" s="1">
        <v>2.4000000000001598</v>
      </c>
      <c r="AW805" s="1">
        <v>2.4000000000001598</v>
      </c>
      <c r="BA805" s="1">
        <v>2.4000000000001598</v>
      </c>
      <c r="BE805" s="1">
        <v>2.4000000000001598</v>
      </c>
      <c r="BI805" s="1">
        <v>2.4000000000001598</v>
      </c>
      <c r="BM805" s="1">
        <v>2.4000000000001598</v>
      </c>
      <c r="BQ805" s="1">
        <v>2.4000000000001598</v>
      </c>
      <c r="BU805" s="1">
        <v>2.4000000000001598</v>
      </c>
    </row>
    <row r="806" spans="33:73" hidden="1" x14ac:dyDescent="0.25">
      <c r="AG806" s="1">
        <v>2.39000000000016</v>
      </c>
      <c r="AH806" s="1">
        <f t="shared" si="35"/>
        <v>227.60999999999984</v>
      </c>
      <c r="AI806" s="1">
        <f t="shared" si="36"/>
        <v>227.60999999999984</v>
      </c>
      <c r="AK806" s="1">
        <v>2.39000000000016</v>
      </c>
      <c r="AO806" s="1">
        <v>2.39000000000016</v>
      </c>
      <c r="AS806" s="1">
        <v>2.39000000000016</v>
      </c>
      <c r="AW806" s="1">
        <v>2.39000000000016</v>
      </c>
      <c r="BA806" s="1">
        <v>2.39000000000016</v>
      </c>
      <c r="BE806" s="1">
        <v>2.39000000000016</v>
      </c>
      <c r="BI806" s="1">
        <v>2.39000000000016</v>
      </c>
      <c r="BM806" s="1">
        <v>2.39000000000016</v>
      </c>
      <c r="BQ806" s="1">
        <v>2.39000000000016</v>
      </c>
      <c r="BU806" s="1">
        <v>2.39000000000016</v>
      </c>
    </row>
    <row r="807" spans="33:73" hidden="1" x14ac:dyDescent="0.25">
      <c r="AG807" s="1">
        <v>2.3800000000001602</v>
      </c>
      <c r="AH807" s="1">
        <f t="shared" si="35"/>
        <v>227.61999999999983</v>
      </c>
      <c r="AI807" s="1">
        <f t="shared" si="36"/>
        <v>227.61999999999983</v>
      </c>
      <c r="AK807" s="1">
        <v>2.3800000000001602</v>
      </c>
      <c r="AO807" s="1">
        <v>2.3800000000001602</v>
      </c>
      <c r="AS807" s="1">
        <v>2.3800000000001602</v>
      </c>
      <c r="AW807" s="1">
        <v>2.3800000000001602</v>
      </c>
      <c r="BA807" s="1">
        <v>2.3800000000001602</v>
      </c>
      <c r="BE807" s="1">
        <v>2.3800000000001602</v>
      </c>
      <c r="BI807" s="1">
        <v>2.3800000000001602</v>
      </c>
      <c r="BM807" s="1">
        <v>2.3800000000001602</v>
      </c>
      <c r="BQ807" s="1">
        <v>2.3800000000001602</v>
      </c>
      <c r="BU807" s="1">
        <v>2.3800000000001602</v>
      </c>
    </row>
    <row r="808" spans="33:73" hidden="1" x14ac:dyDescent="0.25">
      <c r="AG808" s="1">
        <v>2.37000000000016</v>
      </c>
      <c r="AH808" s="1">
        <f t="shared" si="35"/>
        <v>227.62999999999985</v>
      </c>
      <c r="AI808" s="1">
        <f t="shared" si="36"/>
        <v>227.62999999999985</v>
      </c>
      <c r="AK808" s="1">
        <v>2.37000000000016</v>
      </c>
      <c r="AO808" s="1">
        <v>2.37000000000016</v>
      </c>
      <c r="AS808" s="1">
        <v>2.37000000000016</v>
      </c>
      <c r="AW808" s="1">
        <v>2.37000000000016</v>
      </c>
      <c r="BA808" s="1">
        <v>2.37000000000016</v>
      </c>
      <c r="BE808" s="1">
        <v>2.37000000000016</v>
      </c>
      <c r="BI808" s="1">
        <v>2.37000000000016</v>
      </c>
      <c r="BM808" s="1">
        <v>2.37000000000016</v>
      </c>
      <c r="BQ808" s="1">
        <v>2.37000000000016</v>
      </c>
      <c r="BU808" s="1">
        <v>2.37000000000016</v>
      </c>
    </row>
    <row r="809" spans="33:73" hidden="1" x14ac:dyDescent="0.25">
      <c r="AG809" s="1">
        <v>2.3600000000001602</v>
      </c>
      <c r="AH809" s="1">
        <f t="shared" si="35"/>
        <v>227.63999999999984</v>
      </c>
      <c r="AI809" s="1">
        <f t="shared" si="36"/>
        <v>227.63999999999984</v>
      </c>
      <c r="AK809" s="1">
        <v>2.3600000000001602</v>
      </c>
      <c r="AO809" s="1">
        <v>2.3600000000001602</v>
      </c>
      <c r="AS809" s="1">
        <v>2.3600000000001602</v>
      </c>
      <c r="AW809" s="1">
        <v>2.3600000000001602</v>
      </c>
      <c r="BA809" s="1">
        <v>2.3600000000001602</v>
      </c>
      <c r="BE809" s="1">
        <v>2.3600000000001602</v>
      </c>
      <c r="BI809" s="1">
        <v>2.3600000000001602</v>
      </c>
      <c r="BM809" s="1">
        <v>2.3600000000001602</v>
      </c>
      <c r="BQ809" s="1">
        <v>2.3600000000001602</v>
      </c>
      <c r="BU809" s="1">
        <v>2.3600000000001602</v>
      </c>
    </row>
    <row r="810" spans="33:73" hidden="1" x14ac:dyDescent="0.25">
      <c r="AG810" s="1">
        <v>2.35000000000016</v>
      </c>
      <c r="AH810" s="1">
        <f t="shared" si="35"/>
        <v>227.64999999999984</v>
      </c>
      <c r="AI810" s="1">
        <f t="shared" si="36"/>
        <v>227.64999999999984</v>
      </c>
      <c r="AK810" s="1">
        <v>2.35000000000016</v>
      </c>
      <c r="AO810" s="1">
        <v>2.35000000000016</v>
      </c>
      <c r="AS810" s="1">
        <v>2.35000000000016</v>
      </c>
      <c r="AW810" s="1">
        <v>2.35000000000016</v>
      </c>
      <c r="BA810" s="1">
        <v>2.35000000000016</v>
      </c>
      <c r="BE810" s="1">
        <v>2.35000000000016</v>
      </c>
      <c r="BI810" s="1">
        <v>2.35000000000016</v>
      </c>
      <c r="BM810" s="1">
        <v>2.35000000000016</v>
      </c>
      <c r="BQ810" s="1">
        <v>2.35000000000016</v>
      </c>
      <c r="BU810" s="1">
        <v>2.35000000000016</v>
      </c>
    </row>
    <row r="811" spans="33:73" hidden="1" x14ac:dyDescent="0.25">
      <c r="AG811" s="1">
        <v>2.3400000000001602</v>
      </c>
      <c r="AH811" s="1">
        <f t="shared" si="35"/>
        <v>227.65999999999983</v>
      </c>
      <c r="AI811" s="1">
        <f t="shared" si="36"/>
        <v>227.65999999999983</v>
      </c>
      <c r="AK811" s="1">
        <v>2.3400000000001602</v>
      </c>
      <c r="AO811" s="1">
        <v>2.3400000000001602</v>
      </c>
      <c r="AS811" s="1">
        <v>2.3400000000001602</v>
      </c>
      <c r="AW811" s="1">
        <v>2.3400000000001602</v>
      </c>
      <c r="BA811" s="1">
        <v>2.3400000000001602</v>
      </c>
      <c r="BE811" s="1">
        <v>2.3400000000001602</v>
      </c>
      <c r="BI811" s="1">
        <v>2.3400000000001602</v>
      </c>
      <c r="BM811" s="1">
        <v>2.3400000000001602</v>
      </c>
      <c r="BQ811" s="1">
        <v>2.3400000000001602</v>
      </c>
      <c r="BU811" s="1">
        <v>2.3400000000001602</v>
      </c>
    </row>
    <row r="812" spans="33:73" hidden="1" x14ac:dyDescent="0.25">
      <c r="AG812" s="1">
        <v>2.3300000000001599</v>
      </c>
      <c r="AH812" s="1">
        <f t="shared" si="35"/>
        <v>227.66999999999985</v>
      </c>
      <c r="AI812" s="1">
        <f t="shared" si="36"/>
        <v>227.66999999999985</v>
      </c>
      <c r="AK812" s="1">
        <v>2.3300000000001599</v>
      </c>
      <c r="AO812" s="1">
        <v>2.3300000000001599</v>
      </c>
      <c r="AS812" s="1">
        <v>2.3300000000001599</v>
      </c>
      <c r="AW812" s="1">
        <v>2.3300000000001599</v>
      </c>
      <c r="BA812" s="1">
        <v>2.3300000000001599</v>
      </c>
      <c r="BE812" s="1">
        <v>2.3300000000001599</v>
      </c>
      <c r="BI812" s="1">
        <v>2.3300000000001599</v>
      </c>
      <c r="BM812" s="1">
        <v>2.3300000000001599</v>
      </c>
      <c r="BQ812" s="1">
        <v>2.3300000000001599</v>
      </c>
      <c r="BU812" s="1">
        <v>2.3300000000001599</v>
      </c>
    </row>
    <row r="813" spans="33:73" hidden="1" x14ac:dyDescent="0.25">
      <c r="AG813" s="1">
        <v>2.3200000000001602</v>
      </c>
      <c r="AH813" s="1">
        <f t="shared" si="35"/>
        <v>227.67999999999984</v>
      </c>
      <c r="AI813" s="1">
        <f t="shared" si="36"/>
        <v>227.67999999999984</v>
      </c>
      <c r="AK813" s="1">
        <v>2.3200000000001602</v>
      </c>
      <c r="AO813" s="1">
        <v>2.3200000000001602</v>
      </c>
      <c r="AS813" s="1">
        <v>2.3200000000001602</v>
      </c>
      <c r="AW813" s="1">
        <v>2.3200000000001602</v>
      </c>
      <c r="BA813" s="1">
        <v>2.3200000000001602</v>
      </c>
      <c r="BE813" s="1">
        <v>2.3200000000001602</v>
      </c>
      <c r="BI813" s="1">
        <v>2.3200000000001602</v>
      </c>
      <c r="BM813" s="1">
        <v>2.3200000000001602</v>
      </c>
      <c r="BQ813" s="1">
        <v>2.3200000000001602</v>
      </c>
      <c r="BU813" s="1">
        <v>2.3200000000001602</v>
      </c>
    </row>
    <row r="814" spans="33:73" hidden="1" x14ac:dyDescent="0.25">
      <c r="AG814" s="1">
        <v>2.3100000000001599</v>
      </c>
      <c r="AH814" s="1">
        <f t="shared" ref="AH814:AH877" si="37">SQRT((AI814+($AI$38*($AM$44*$AJ$44+$AN$44*$AK$44)))^2+($D$3*($AN$44*$AJ$44-$AM$44*$AK$44))^2)</f>
        <v>227.68999999999983</v>
      </c>
      <c r="AI814" s="1">
        <f t="shared" ref="AI814:AI877" si="38">$AI$40-AG814</f>
        <v>227.68999999999983</v>
      </c>
      <c r="AK814" s="1">
        <v>2.3100000000001599</v>
      </c>
      <c r="AO814" s="1">
        <v>2.3100000000001599</v>
      </c>
      <c r="AS814" s="1">
        <v>2.3100000000001599</v>
      </c>
      <c r="AW814" s="1">
        <v>2.3100000000001599</v>
      </c>
      <c r="BA814" s="1">
        <v>2.3100000000001599</v>
      </c>
      <c r="BE814" s="1">
        <v>2.3100000000001599</v>
      </c>
      <c r="BI814" s="1">
        <v>2.3100000000001599</v>
      </c>
      <c r="BM814" s="1">
        <v>2.3100000000001599</v>
      </c>
      <c r="BQ814" s="1">
        <v>2.3100000000001599</v>
      </c>
      <c r="BU814" s="1">
        <v>2.3100000000001599</v>
      </c>
    </row>
    <row r="815" spans="33:73" hidden="1" x14ac:dyDescent="0.25">
      <c r="AG815" s="1">
        <v>2.3000000000001601</v>
      </c>
      <c r="AH815" s="1">
        <f t="shared" si="37"/>
        <v>227.69999999999985</v>
      </c>
      <c r="AI815" s="1">
        <f t="shared" si="38"/>
        <v>227.69999999999985</v>
      </c>
      <c r="AK815" s="1">
        <v>2.3000000000001601</v>
      </c>
      <c r="AO815" s="1">
        <v>2.3000000000001601</v>
      </c>
      <c r="AS815" s="1">
        <v>2.3000000000001601</v>
      </c>
      <c r="AW815" s="1">
        <v>2.3000000000001601</v>
      </c>
      <c r="BA815" s="1">
        <v>2.3000000000001601</v>
      </c>
      <c r="BE815" s="1">
        <v>2.3000000000001601</v>
      </c>
      <c r="BI815" s="1">
        <v>2.3000000000001601</v>
      </c>
      <c r="BM815" s="1">
        <v>2.3000000000001601</v>
      </c>
      <c r="BQ815" s="1">
        <v>2.3000000000001601</v>
      </c>
      <c r="BU815" s="1">
        <v>2.3000000000001601</v>
      </c>
    </row>
    <row r="816" spans="33:73" hidden="1" x14ac:dyDescent="0.25">
      <c r="AG816" s="1">
        <v>2.2900000000001599</v>
      </c>
      <c r="AH816" s="1">
        <f t="shared" si="37"/>
        <v>227.70999999999984</v>
      </c>
      <c r="AI816" s="1">
        <f t="shared" si="38"/>
        <v>227.70999999999984</v>
      </c>
      <c r="AK816" s="1">
        <v>2.2900000000001599</v>
      </c>
      <c r="AO816" s="1">
        <v>2.2900000000001599</v>
      </c>
      <c r="AS816" s="1">
        <v>2.2900000000001599</v>
      </c>
      <c r="AW816" s="1">
        <v>2.2900000000001599</v>
      </c>
      <c r="BA816" s="1">
        <v>2.2900000000001599</v>
      </c>
      <c r="BE816" s="1">
        <v>2.2900000000001599</v>
      </c>
      <c r="BI816" s="1">
        <v>2.2900000000001599</v>
      </c>
      <c r="BM816" s="1">
        <v>2.2900000000001599</v>
      </c>
      <c r="BQ816" s="1">
        <v>2.2900000000001599</v>
      </c>
      <c r="BU816" s="1">
        <v>2.2900000000001599</v>
      </c>
    </row>
    <row r="817" spans="33:73" hidden="1" x14ac:dyDescent="0.25">
      <c r="AG817" s="1">
        <v>2.2800000000001601</v>
      </c>
      <c r="AH817" s="1">
        <f t="shared" si="37"/>
        <v>227.71999999999983</v>
      </c>
      <c r="AI817" s="1">
        <f t="shared" si="38"/>
        <v>227.71999999999983</v>
      </c>
      <c r="AK817" s="1">
        <v>2.2800000000001601</v>
      </c>
      <c r="AO817" s="1">
        <v>2.2800000000001601</v>
      </c>
      <c r="AS817" s="1">
        <v>2.2800000000001601</v>
      </c>
      <c r="AW817" s="1">
        <v>2.2800000000001601</v>
      </c>
      <c r="BA817" s="1">
        <v>2.2800000000001601</v>
      </c>
      <c r="BE817" s="1">
        <v>2.2800000000001601</v>
      </c>
      <c r="BI817" s="1">
        <v>2.2800000000001601</v>
      </c>
      <c r="BM817" s="1">
        <v>2.2800000000001601</v>
      </c>
      <c r="BQ817" s="1">
        <v>2.2800000000001601</v>
      </c>
      <c r="BU817" s="1">
        <v>2.2800000000001601</v>
      </c>
    </row>
    <row r="818" spans="33:73" hidden="1" x14ac:dyDescent="0.25">
      <c r="AG818" s="1">
        <v>2.2700000000001599</v>
      </c>
      <c r="AH818" s="1">
        <f t="shared" si="37"/>
        <v>227.72999999999985</v>
      </c>
      <c r="AI818" s="1">
        <f t="shared" si="38"/>
        <v>227.72999999999985</v>
      </c>
      <c r="AK818" s="1">
        <v>2.2700000000001599</v>
      </c>
      <c r="AO818" s="1">
        <v>2.2700000000001599</v>
      </c>
      <c r="AS818" s="1">
        <v>2.2700000000001599</v>
      </c>
      <c r="AW818" s="1">
        <v>2.2700000000001599</v>
      </c>
      <c r="BA818" s="1">
        <v>2.2700000000001599</v>
      </c>
      <c r="BE818" s="1">
        <v>2.2700000000001599</v>
      </c>
      <c r="BI818" s="1">
        <v>2.2700000000001599</v>
      </c>
      <c r="BM818" s="1">
        <v>2.2700000000001599</v>
      </c>
      <c r="BQ818" s="1">
        <v>2.2700000000001599</v>
      </c>
      <c r="BU818" s="1">
        <v>2.2700000000001599</v>
      </c>
    </row>
    <row r="819" spans="33:73" hidden="1" x14ac:dyDescent="0.25">
      <c r="AG819" s="1">
        <v>2.2600000000001601</v>
      </c>
      <c r="AH819" s="1">
        <f t="shared" si="37"/>
        <v>227.73999999999984</v>
      </c>
      <c r="AI819" s="1">
        <f t="shared" si="38"/>
        <v>227.73999999999984</v>
      </c>
      <c r="AK819" s="1">
        <v>2.2600000000001601</v>
      </c>
      <c r="AO819" s="1">
        <v>2.2600000000001601</v>
      </c>
      <c r="AS819" s="1">
        <v>2.2600000000001601</v>
      </c>
      <c r="AW819" s="1">
        <v>2.2600000000001601</v>
      </c>
      <c r="BA819" s="1">
        <v>2.2600000000001601</v>
      </c>
      <c r="BE819" s="1">
        <v>2.2600000000001601</v>
      </c>
      <c r="BI819" s="1">
        <v>2.2600000000001601</v>
      </c>
      <c r="BM819" s="1">
        <v>2.2600000000001601</v>
      </c>
      <c r="BQ819" s="1">
        <v>2.2600000000001601</v>
      </c>
      <c r="BU819" s="1">
        <v>2.2600000000001601</v>
      </c>
    </row>
    <row r="820" spans="33:73" hidden="1" x14ac:dyDescent="0.25">
      <c r="AG820" s="1">
        <v>2.2500000000001701</v>
      </c>
      <c r="AH820" s="1">
        <f t="shared" si="37"/>
        <v>227.74999999999983</v>
      </c>
      <c r="AI820" s="1">
        <f t="shared" si="38"/>
        <v>227.74999999999983</v>
      </c>
      <c r="AK820" s="1">
        <v>2.2500000000001701</v>
      </c>
      <c r="AO820" s="1">
        <v>2.2500000000001701</v>
      </c>
      <c r="AS820" s="1">
        <v>2.2500000000001701</v>
      </c>
      <c r="AW820" s="1">
        <v>2.2500000000001701</v>
      </c>
      <c r="BA820" s="1">
        <v>2.2500000000001701</v>
      </c>
      <c r="BE820" s="1">
        <v>2.2500000000001701</v>
      </c>
      <c r="BI820" s="1">
        <v>2.2500000000001701</v>
      </c>
      <c r="BM820" s="1">
        <v>2.2500000000001701</v>
      </c>
      <c r="BQ820" s="1">
        <v>2.2500000000001701</v>
      </c>
      <c r="BU820" s="1">
        <v>2.2500000000001701</v>
      </c>
    </row>
    <row r="821" spans="33:73" hidden="1" x14ac:dyDescent="0.25">
      <c r="AG821" s="1">
        <v>2.2400000000001699</v>
      </c>
      <c r="AH821" s="1">
        <f t="shared" si="37"/>
        <v>227.75999999999982</v>
      </c>
      <c r="AI821" s="1">
        <f t="shared" si="38"/>
        <v>227.75999999999982</v>
      </c>
      <c r="AK821" s="1">
        <v>2.2400000000001699</v>
      </c>
      <c r="AO821" s="1">
        <v>2.2400000000001699</v>
      </c>
      <c r="AS821" s="1">
        <v>2.2400000000001699</v>
      </c>
      <c r="AW821" s="1">
        <v>2.2400000000001699</v>
      </c>
      <c r="BA821" s="1">
        <v>2.2400000000001699</v>
      </c>
      <c r="BE821" s="1">
        <v>2.2400000000001699</v>
      </c>
      <c r="BI821" s="1">
        <v>2.2400000000001699</v>
      </c>
      <c r="BM821" s="1">
        <v>2.2400000000001699</v>
      </c>
      <c r="BQ821" s="1">
        <v>2.2400000000001699</v>
      </c>
      <c r="BU821" s="1">
        <v>2.2400000000001699</v>
      </c>
    </row>
    <row r="822" spans="33:73" hidden="1" x14ac:dyDescent="0.25">
      <c r="AG822" s="1">
        <v>2.2300000000001701</v>
      </c>
      <c r="AH822" s="1">
        <f t="shared" si="37"/>
        <v>227.76999999999984</v>
      </c>
      <c r="AI822" s="1">
        <f t="shared" si="38"/>
        <v>227.76999999999984</v>
      </c>
      <c r="AK822" s="1">
        <v>2.2300000000001701</v>
      </c>
      <c r="AO822" s="1">
        <v>2.2300000000001701</v>
      </c>
      <c r="AS822" s="1">
        <v>2.2300000000001701</v>
      </c>
      <c r="AW822" s="1">
        <v>2.2300000000001701</v>
      </c>
      <c r="BA822" s="1">
        <v>2.2300000000001701</v>
      </c>
      <c r="BE822" s="1">
        <v>2.2300000000001701</v>
      </c>
      <c r="BI822" s="1">
        <v>2.2300000000001701</v>
      </c>
      <c r="BM822" s="1">
        <v>2.2300000000001701</v>
      </c>
      <c r="BQ822" s="1">
        <v>2.2300000000001701</v>
      </c>
      <c r="BU822" s="1">
        <v>2.2300000000001701</v>
      </c>
    </row>
    <row r="823" spans="33:73" hidden="1" x14ac:dyDescent="0.25">
      <c r="AG823" s="1">
        <v>2.2200000000001698</v>
      </c>
      <c r="AH823" s="1">
        <f t="shared" si="37"/>
        <v>227.77999999999983</v>
      </c>
      <c r="AI823" s="1">
        <f t="shared" si="38"/>
        <v>227.77999999999983</v>
      </c>
      <c r="AK823" s="1">
        <v>2.2200000000001698</v>
      </c>
      <c r="AO823" s="1">
        <v>2.2200000000001698</v>
      </c>
      <c r="AS823" s="1">
        <v>2.2200000000001698</v>
      </c>
      <c r="AW823" s="1">
        <v>2.2200000000001698</v>
      </c>
      <c r="BA823" s="1">
        <v>2.2200000000001698</v>
      </c>
      <c r="BE823" s="1">
        <v>2.2200000000001698</v>
      </c>
      <c r="BI823" s="1">
        <v>2.2200000000001698</v>
      </c>
      <c r="BM823" s="1">
        <v>2.2200000000001698</v>
      </c>
      <c r="BQ823" s="1">
        <v>2.2200000000001698</v>
      </c>
      <c r="BU823" s="1">
        <v>2.2200000000001698</v>
      </c>
    </row>
    <row r="824" spans="33:73" hidden="1" x14ac:dyDescent="0.25">
      <c r="AG824" s="1">
        <v>2.2100000000001701</v>
      </c>
      <c r="AH824" s="1">
        <f t="shared" si="37"/>
        <v>227.78999999999982</v>
      </c>
      <c r="AI824" s="1">
        <f t="shared" si="38"/>
        <v>227.78999999999982</v>
      </c>
      <c r="AK824" s="1">
        <v>2.2100000000001701</v>
      </c>
      <c r="AO824" s="1">
        <v>2.2100000000001701</v>
      </c>
      <c r="AS824" s="1">
        <v>2.2100000000001701</v>
      </c>
      <c r="AW824" s="1">
        <v>2.2100000000001701</v>
      </c>
      <c r="BA824" s="1">
        <v>2.2100000000001701</v>
      </c>
      <c r="BE824" s="1">
        <v>2.2100000000001701</v>
      </c>
      <c r="BI824" s="1">
        <v>2.2100000000001701</v>
      </c>
      <c r="BM824" s="1">
        <v>2.2100000000001701</v>
      </c>
      <c r="BQ824" s="1">
        <v>2.2100000000001701</v>
      </c>
      <c r="BU824" s="1">
        <v>2.2100000000001701</v>
      </c>
    </row>
    <row r="825" spans="33:73" hidden="1" x14ac:dyDescent="0.25">
      <c r="AG825" s="1">
        <v>2.2000000000001698</v>
      </c>
      <c r="AH825" s="1">
        <f t="shared" si="37"/>
        <v>227.79999999999984</v>
      </c>
      <c r="AI825" s="1">
        <f t="shared" si="38"/>
        <v>227.79999999999984</v>
      </c>
      <c r="AK825" s="1">
        <v>2.2000000000001698</v>
      </c>
      <c r="AO825" s="1">
        <v>2.2000000000001698</v>
      </c>
      <c r="AS825" s="1">
        <v>2.2000000000001698</v>
      </c>
      <c r="AW825" s="1">
        <v>2.2000000000001698</v>
      </c>
      <c r="BA825" s="1">
        <v>2.2000000000001698</v>
      </c>
      <c r="BE825" s="1">
        <v>2.2000000000001698</v>
      </c>
      <c r="BI825" s="1">
        <v>2.2000000000001698</v>
      </c>
      <c r="BM825" s="1">
        <v>2.2000000000001698</v>
      </c>
      <c r="BQ825" s="1">
        <v>2.2000000000001698</v>
      </c>
      <c r="BU825" s="1">
        <v>2.2000000000001698</v>
      </c>
    </row>
    <row r="826" spans="33:73" hidden="1" x14ac:dyDescent="0.25">
      <c r="AG826" s="1">
        <v>2.19000000000017</v>
      </c>
      <c r="AH826" s="1">
        <f t="shared" si="37"/>
        <v>227.80999999999983</v>
      </c>
      <c r="AI826" s="1">
        <f t="shared" si="38"/>
        <v>227.80999999999983</v>
      </c>
      <c r="AK826" s="1">
        <v>2.19000000000017</v>
      </c>
      <c r="AO826" s="1">
        <v>2.19000000000017</v>
      </c>
      <c r="AS826" s="1">
        <v>2.19000000000017</v>
      </c>
      <c r="AW826" s="1">
        <v>2.19000000000017</v>
      </c>
      <c r="BA826" s="1">
        <v>2.19000000000017</v>
      </c>
      <c r="BE826" s="1">
        <v>2.19000000000017</v>
      </c>
      <c r="BI826" s="1">
        <v>2.19000000000017</v>
      </c>
      <c r="BM826" s="1">
        <v>2.19000000000017</v>
      </c>
      <c r="BQ826" s="1">
        <v>2.19000000000017</v>
      </c>
      <c r="BU826" s="1">
        <v>2.19000000000017</v>
      </c>
    </row>
    <row r="827" spans="33:73" hidden="1" x14ac:dyDescent="0.25">
      <c r="AG827" s="1">
        <v>2.1800000000001698</v>
      </c>
      <c r="AH827" s="1">
        <f t="shared" si="37"/>
        <v>227.81999999999982</v>
      </c>
      <c r="AI827" s="1">
        <f t="shared" si="38"/>
        <v>227.81999999999982</v>
      </c>
      <c r="AK827" s="1">
        <v>2.1800000000001698</v>
      </c>
      <c r="AO827" s="1">
        <v>2.1800000000001698</v>
      </c>
      <c r="AS827" s="1">
        <v>2.1800000000001698</v>
      </c>
      <c r="AW827" s="1">
        <v>2.1800000000001698</v>
      </c>
      <c r="BA827" s="1">
        <v>2.1800000000001698</v>
      </c>
      <c r="BE827" s="1">
        <v>2.1800000000001698</v>
      </c>
      <c r="BI827" s="1">
        <v>2.1800000000001698</v>
      </c>
      <c r="BM827" s="1">
        <v>2.1800000000001698</v>
      </c>
      <c r="BQ827" s="1">
        <v>2.1800000000001698</v>
      </c>
      <c r="BU827" s="1">
        <v>2.1800000000001698</v>
      </c>
    </row>
    <row r="828" spans="33:73" hidden="1" x14ac:dyDescent="0.25">
      <c r="AG828" s="1">
        <v>2.17000000000017</v>
      </c>
      <c r="AH828" s="1">
        <f t="shared" si="37"/>
        <v>227.82999999999984</v>
      </c>
      <c r="AI828" s="1">
        <f t="shared" si="38"/>
        <v>227.82999999999984</v>
      </c>
      <c r="AK828" s="1">
        <v>2.17000000000017</v>
      </c>
      <c r="AO828" s="1">
        <v>2.17000000000017</v>
      </c>
      <c r="AS828" s="1">
        <v>2.17000000000017</v>
      </c>
      <c r="AW828" s="1">
        <v>2.17000000000017</v>
      </c>
      <c r="BA828" s="1">
        <v>2.17000000000017</v>
      </c>
      <c r="BE828" s="1">
        <v>2.17000000000017</v>
      </c>
      <c r="BI828" s="1">
        <v>2.17000000000017</v>
      </c>
      <c r="BM828" s="1">
        <v>2.17000000000017</v>
      </c>
      <c r="BQ828" s="1">
        <v>2.17000000000017</v>
      </c>
      <c r="BU828" s="1">
        <v>2.17000000000017</v>
      </c>
    </row>
    <row r="829" spans="33:73" hidden="1" x14ac:dyDescent="0.25">
      <c r="AG829" s="1">
        <v>2.1600000000001698</v>
      </c>
      <c r="AH829" s="1">
        <f t="shared" si="37"/>
        <v>227.83999999999983</v>
      </c>
      <c r="AI829" s="1">
        <f t="shared" si="38"/>
        <v>227.83999999999983</v>
      </c>
      <c r="AK829" s="1">
        <v>2.1600000000001698</v>
      </c>
      <c r="AO829" s="1">
        <v>2.1600000000001698</v>
      </c>
      <c r="AS829" s="1">
        <v>2.1600000000001698</v>
      </c>
      <c r="AW829" s="1">
        <v>2.1600000000001698</v>
      </c>
      <c r="BA829" s="1">
        <v>2.1600000000001698</v>
      </c>
      <c r="BE829" s="1">
        <v>2.1600000000001698</v>
      </c>
      <c r="BI829" s="1">
        <v>2.1600000000001698</v>
      </c>
      <c r="BM829" s="1">
        <v>2.1600000000001698</v>
      </c>
      <c r="BQ829" s="1">
        <v>2.1600000000001698</v>
      </c>
      <c r="BU829" s="1">
        <v>2.1600000000001698</v>
      </c>
    </row>
    <row r="830" spans="33:73" hidden="1" x14ac:dyDescent="0.25">
      <c r="AG830" s="1">
        <v>2.15000000000017</v>
      </c>
      <c r="AH830" s="1">
        <f t="shared" si="37"/>
        <v>227.84999999999982</v>
      </c>
      <c r="AI830" s="1">
        <f t="shared" si="38"/>
        <v>227.84999999999982</v>
      </c>
      <c r="AK830" s="1">
        <v>2.15000000000017</v>
      </c>
      <c r="AO830" s="1">
        <v>2.15000000000017</v>
      </c>
      <c r="AS830" s="1">
        <v>2.15000000000017</v>
      </c>
      <c r="AW830" s="1">
        <v>2.15000000000017</v>
      </c>
      <c r="BA830" s="1">
        <v>2.15000000000017</v>
      </c>
      <c r="BE830" s="1">
        <v>2.15000000000017</v>
      </c>
      <c r="BI830" s="1">
        <v>2.15000000000017</v>
      </c>
      <c r="BM830" s="1">
        <v>2.15000000000017</v>
      </c>
      <c r="BQ830" s="1">
        <v>2.15000000000017</v>
      </c>
      <c r="BU830" s="1">
        <v>2.15000000000017</v>
      </c>
    </row>
    <row r="831" spans="33:73" hidden="1" x14ac:dyDescent="0.25">
      <c r="AG831" s="1">
        <v>2.1400000000001702</v>
      </c>
      <c r="AH831" s="1">
        <f t="shared" si="37"/>
        <v>227.85999999999984</v>
      </c>
      <c r="AI831" s="1">
        <f t="shared" si="38"/>
        <v>227.85999999999984</v>
      </c>
      <c r="AK831" s="1">
        <v>2.1400000000001702</v>
      </c>
      <c r="AO831" s="1">
        <v>2.1400000000001702</v>
      </c>
      <c r="AS831" s="1">
        <v>2.1400000000001702</v>
      </c>
      <c r="AW831" s="1">
        <v>2.1400000000001702</v>
      </c>
      <c r="BA831" s="1">
        <v>2.1400000000001702</v>
      </c>
      <c r="BE831" s="1">
        <v>2.1400000000001702</v>
      </c>
      <c r="BI831" s="1">
        <v>2.1400000000001702</v>
      </c>
      <c r="BM831" s="1">
        <v>2.1400000000001702</v>
      </c>
      <c r="BQ831" s="1">
        <v>2.1400000000001702</v>
      </c>
      <c r="BU831" s="1">
        <v>2.1400000000001702</v>
      </c>
    </row>
    <row r="832" spans="33:73" hidden="1" x14ac:dyDescent="0.25">
      <c r="AG832" s="1">
        <v>2.13000000000017</v>
      </c>
      <c r="AH832" s="1">
        <f t="shared" si="37"/>
        <v>227.86999999999983</v>
      </c>
      <c r="AI832" s="1">
        <f t="shared" si="38"/>
        <v>227.86999999999983</v>
      </c>
      <c r="AK832" s="1">
        <v>2.13000000000017</v>
      </c>
      <c r="AO832" s="1">
        <v>2.13000000000017</v>
      </c>
      <c r="AS832" s="1">
        <v>2.13000000000017</v>
      </c>
      <c r="AW832" s="1">
        <v>2.13000000000017</v>
      </c>
      <c r="BA832" s="1">
        <v>2.13000000000017</v>
      </c>
      <c r="BE832" s="1">
        <v>2.13000000000017</v>
      </c>
      <c r="BI832" s="1">
        <v>2.13000000000017</v>
      </c>
      <c r="BM832" s="1">
        <v>2.13000000000017</v>
      </c>
      <c r="BQ832" s="1">
        <v>2.13000000000017</v>
      </c>
      <c r="BU832" s="1">
        <v>2.13000000000017</v>
      </c>
    </row>
    <row r="833" spans="33:73" hidden="1" x14ac:dyDescent="0.25">
      <c r="AG833" s="1">
        <v>2.1200000000001702</v>
      </c>
      <c r="AH833" s="1">
        <f t="shared" si="37"/>
        <v>227.87999999999982</v>
      </c>
      <c r="AI833" s="1">
        <f t="shared" si="38"/>
        <v>227.87999999999982</v>
      </c>
      <c r="AK833" s="1">
        <v>2.1200000000001702</v>
      </c>
      <c r="AO833" s="1">
        <v>2.1200000000001702</v>
      </c>
      <c r="AS833" s="1">
        <v>2.1200000000001702</v>
      </c>
      <c r="AW833" s="1">
        <v>2.1200000000001702</v>
      </c>
      <c r="BA833" s="1">
        <v>2.1200000000001702</v>
      </c>
      <c r="BE833" s="1">
        <v>2.1200000000001702</v>
      </c>
      <c r="BI833" s="1">
        <v>2.1200000000001702</v>
      </c>
      <c r="BM833" s="1">
        <v>2.1200000000001702</v>
      </c>
      <c r="BQ833" s="1">
        <v>2.1200000000001702</v>
      </c>
      <c r="BU833" s="1">
        <v>2.1200000000001702</v>
      </c>
    </row>
    <row r="834" spans="33:73" hidden="1" x14ac:dyDescent="0.25">
      <c r="AG834" s="1">
        <v>2.11000000000017</v>
      </c>
      <c r="AH834" s="1">
        <f t="shared" si="37"/>
        <v>227.88999999999982</v>
      </c>
      <c r="AI834" s="1">
        <f t="shared" si="38"/>
        <v>227.88999999999982</v>
      </c>
      <c r="AK834" s="1">
        <v>2.11000000000017</v>
      </c>
      <c r="AO834" s="1">
        <v>2.11000000000017</v>
      </c>
      <c r="AS834" s="1">
        <v>2.11000000000017</v>
      </c>
      <c r="AW834" s="1">
        <v>2.11000000000017</v>
      </c>
      <c r="BA834" s="1">
        <v>2.11000000000017</v>
      </c>
      <c r="BE834" s="1">
        <v>2.11000000000017</v>
      </c>
      <c r="BI834" s="1">
        <v>2.11000000000017</v>
      </c>
      <c r="BM834" s="1">
        <v>2.11000000000017</v>
      </c>
      <c r="BQ834" s="1">
        <v>2.11000000000017</v>
      </c>
      <c r="BU834" s="1">
        <v>2.11000000000017</v>
      </c>
    </row>
    <row r="835" spans="33:73" hidden="1" x14ac:dyDescent="0.25">
      <c r="AG835" s="1">
        <v>2.1000000000001702</v>
      </c>
      <c r="AH835" s="1">
        <f t="shared" si="37"/>
        <v>227.89999999999984</v>
      </c>
      <c r="AI835" s="1">
        <f t="shared" si="38"/>
        <v>227.89999999999984</v>
      </c>
      <c r="AK835" s="1">
        <v>2.1000000000001702</v>
      </c>
      <c r="AO835" s="1">
        <v>2.1000000000001702</v>
      </c>
      <c r="AS835" s="1">
        <v>2.1000000000001702</v>
      </c>
      <c r="AW835" s="1">
        <v>2.1000000000001702</v>
      </c>
      <c r="BA835" s="1">
        <v>2.1000000000001702</v>
      </c>
      <c r="BE835" s="1">
        <v>2.1000000000001702</v>
      </c>
      <c r="BI835" s="1">
        <v>2.1000000000001702</v>
      </c>
      <c r="BM835" s="1">
        <v>2.1000000000001702</v>
      </c>
      <c r="BQ835" s="1">
        <v>2.1000000000001702</v>
      </c>
      <c r="BU835" s="1">
        <v>2.1000000000001702</v>
      </c>
    </row>
    <row r="836" spans="33:73" hidden="1" x14ac:dyDescent="0.25">
      <c r="AG836" s="1">
        <v>2.0900000000001699</v>
      </c>
      <c r="AH836" s="1">
        <f t="shared" si="37"/>
        <v>227.90999999999983</v>
      </c>
      <c r="AI836" s="1">
        <f t="shared" si="38"/>
        <v>227.90999999999983</v>
      </c>
      <c r="AK836" s="1">
        <v>2.0900000000001699</v>
      </c>
      <c r="AO836" s="1">
        <v>2.0900000000001699</v>
      </c>
      <c r="AS836" s="1">
        <v>2.0900000000001699</v>
      </c>
      <c r="AW836" s="1">
        <v>2.0900000000001699</v>
      </c>
      <c r="BA836" s="1">
        <v>2.0900000000001699</v>
      </c>
      <c r="BE836" s="1">
        <v>2.0900000000001699</v>
      </c>
      <c r="BI836" s="1">
        <v>2.0900000000001699</v>
      </c>
      <c r="BM836" s="1">
        <v>2.0900000000001699</v>
      </c>
      <c r="BQ836" s="1">
        <v>2.0900000000001699</v>
      </c>
      <c r="BU836" s="1">
        <v>2.0900000000001699</v>
      </c>
    </row>
    <row r="837" spans="33:73" hidden="1" x14ac:dyDescent="0.25">
      <c r="AG837" s="1">
        <v>2.0800000000001702</v>
      </c>
      <c r="AH837" s="1">
        <f t="shared" si="37"/>
        <v>227.91999999999982</v>
      </c>
      <c r="AI837" s="1">
        <f t="shared" si="38"/>
        <v>227.91999999999982</v>
      </c>
      <c r="AK837" s="1">
        <v>2.0800000000001702</v>
      </c>
      <c r="AO837" s="1">
        <v>2.0800000000001702</v>
      </c>
      <c r="AS837" s="1">
        <v>2.0800000000001702</v>
      </c>
      <c r="AW837" s="1">
        <v>2.0800000000001702</v>
      </c>
      <c r="BA837" s="1">
        <v>2.0800000000001702</v>
      </c>
      <c r="BE837" s="1">
        <v>2.0800000000001702</v>
      </c>
      <c r="BI837" s="1">
        <v>2.0800000000001702</v>
      </c>
      <c r="BM837" s="1">
        <v>2.0800000000001702</v>
      </c>
      <c r="BQ837" s="1">
        <v>2.0800000000001702</v>
      </c>
      <c r="BU837" s="1">
        <v>2.0800000000001702</v>
      </c>
    </row>
    <row r="838" spans="33:73" hidden="1" x14ac:dyDescent="0.25">
      <c r="AG838" s="1">
        <v>2.0700000000001699</v>
      </c>
      <c r="AH838" s="1">
        <f t="shared" si="37"/>
        <v>227.92999999999984</v>
      </c>
      <c r="AI838" s="1">
        <f t="shared" si="38"/>
        <v>227.92999999999984</v>
      </c>
      <c r="AK838" s="1">
        <v>2.0700000000001699</v>
      </c>
      <c r="AO838" s="1">
        <v>2.0700000000001699</v>
      </c>
      <c r="AS838" s="1">
        <v>2.0700000000001699</v>
      </c>
      <c r="AW838" s="1">
        <v>2.0700000000001699</v>
      </c>
      <c r="BA838" s="1">
        <v>2.0700000000001699</v>
      </c>
      <c r="BE838" s="1">
        <v>2.0700000000001699</v>
      </c>
      <c r="BI838" s="1">
        <v>2.0700000000001699</v>
      </c>
      <c r="BM838" s="1">
        <v>2.0700000000001699</v>
      </c>
      <c r="BQ838" s="1">
        <v>2.0700000000001699</v>
      </c>
      <c r="BU838" s="1">
        <v>2.0700000000001699</v>
      </c>
    </row>
    <row r="839" spans="33:73" hidden="1" x14ac:dyDescent="0.25">
      <c r="AG839" s="1">
        <v>2.0600000000001701</v>
      </c>
      <c r="AH839" s="1">
        <f t="shared" si="37"/>
        <v>227.93999999999983</v>
      </c>
      <c r="AI839" s="1">
        <f t="shared" si="38"/>
        <v>227.93999999999983</v>
      </c>
      <c r="AK839" s="1">
        <v>2.0600000000001701</v>
      </c>
      <c r="AO839" s="1">
        <v>2.0600000000001701</v>
      </c>
      <c r="AS839" s="1">
        <v>2.0600000000001701</v>
      </c>
      <c r="AW839" s="1">
        <v>2.0600000000001701</v>
      </c>
      <c r="BA839" s="1">
        <v>2.0600000000001701</v>
      </c>
      <c r="BE839" s="1">
        <v>2.0600000000001701</v>
      </c>
      <c r="BI839" s="1">
        <v>2.0600000000001701</v>
      </c>
      <c r="BM839" s="1">
        <v>2.0600000000001701</v>
      </c>
      <c r="BQ839" s="1">
        <v>2.0600000000001701</v>
      </c>
      <c r="BU839" s="1">
        <v>2.0600000000001701</v>
      </c>
    </row>
    <row r="840" spans="33:73" hidden="1" x14ac:dyDescent="0.25">
      <c r="AG840" s="1">
        <v>2.0500000000001699</v>
      </c>
      <c r="AH840" s="1">
        <f t="shared" si="37"/>
        <v>227.94999999999982</v>
      </c>
      <c r="AI840" s="1">
        <f t="shared" si="38"/>
        <v>227.94999999999982</v>
      </c>
      <c r="AK840" s="1">
        <v>2.0500000000001699</v>
      </c>
      <c r="AO840" s="1">
        <v>2.0500000000001699</v>
      </c>
      <c r="AS840" s="1">
        <v>2.0500000000001699</v>
      </c>
      <c r="AW840" s="1">
        <v>2.0500000000001699</v>
      </c>
      <c r="BA840" s="1">
        <v>2.0500000000001699</v>
      </c>
      <c r="BE840" s="1">
        <v>2.0500000000001699</v>
      </c>
      <c r="BI840" s="1">
        <v>2.0500000000001699</v>
      </c>
      <c r="BM840" s="1">
        <v>2.0500000000001699</v>
      </c>
      <c r="BQ840" s="1">
        <v>2.0500000000001699</v>
      </c>
      <c r="BU840" s="1">
        <v>2.0500000000001699</v>
      </c>
    </row>
    <row r="841" spans="33:73" hidden="1" x14ac:dyDescent="0.25">
      <c r="AG841" s="1">
        <v>2.0400000000001701</v>
      </c>
      <c r="AH841" s="1">
        <f t="shared" si="37"/>
        <v>227.95999999999984</v>
      </c>
      <c r="AI841" s="1">
        <f t="shared" si="38"/>
        <v>227.95999999999984</v>
      </c>
      <c r="AK841" s="1">
        <v>2.0400000000001701</v>
      </c>
      <c r="AO841" s="1">
        <v>2.0400000000001701</v>
      </c>
      <c r="AS841" s="1">
        <v>2.0400000000001701</v>
      </c>
      <c r="AW841" s="1">
        <v>2.0400000000001701</v>
      </c>
      <c r="BA841" s="1">
        <v>2.0400000000001701</v>
      </c>
      <c r="BE841" s="1">
        <v>2.0400000000001701</v>
      </c>
      <c r="BI841" s="1">
        <v>2.0400000000001701</v>
      </c>
      <c r="BM841" s="1">
        <v>2.0400000000001701</v>
      </c>
      <c r="BQ841" s="1">
        <v>2.0400000000001701</v>
      </c>
      <c r="BU841" s="1">
        <v>2.0400000000001701</v>
      </c>
    </row>
    <row r="842" spans="33:73" hidden="1" x14ac:dyDescent="0.25">
      <c r="AG842" s="1">
        <v>2.0300000000001699</v>
      </c>
      <c r="AH842" s="1">
        <f t="shared" si="37"/>
        <v>227.96999999999983</v>
      </c>
      <c r="AI842" s="1">
        <f t="shared" si="38"/>
        <v>227.96999999999983</v>
      </c>
      <c r="AK842" s="1">
        <v>2.0300000000001699</v>
      </c>
      <c r="AO842" s="1">
        <v>2.0300000000001699</v>
      </c>
      <c r="AS842" s="1">
        <v>2.0300000000001699</v>
      </c>
      <c r="AW842" s="1">
        <v>2.0300000000001699</v>
      </c>
      <c r="BA842" s="1">
        <v>2.0300000000001699</v>
      </c>
      <c r="BE842" s="1">
        <v>2.0300000000001699</v>
      </c>
      <c r="BI842" s="1">
        <v>2.0300000000001699</v>
      </c>
      <c r="BM842" s="1">
        <v>2.0300000000001699</v>
      </c>
      <c r="BQ842" s="1">
        <v>2.0300000000001699</v>
      </c>
      <c r="BU842" s="1">
        <v>2.0300000000001699</v>
      </c>
    </row>
    <row r="843" spans="33:73" hidden="1" x14ac:dyDescent="0.25">
      <c r="AG843" s="1">
        <v>2.0200000000001701</v>
      </c>
      <c r="AH843" s="1">
        <f t="shared" si="37"/>
        <v>227.97999999999982</v>
      </c>
      <c r="AI843" s="1">
        <f t="shared" si="38"/>
        <v>227.97999999999982</v>
      </c>
      <c r="AK843" s="1">
        <v>2.0200000000001701</v>
      </c>
      <c r="AO843" s="1">
        <v>2.0200000000001701</v>
      </c>
      <c r="AS843" s="1">
        <v>2.0200000000001701</v>
      </c>
      <c r="AW843" s="1">
        <v>2.0200000000001701</v>
      </c>
      <c r="BA843" s="1">
        <v>2.0200000000001701</v>
      </c>
      <c r="BE843" s="1">
        <v>2.0200000000001701</v>
      </c>
      <c r="BI843" s="1">
        <v>2.0200000000001701</v>
      </c>
      <c r="BM843" s="1">
        <v>2.0200000000001701</v>
      </c>
      <c r="BQ843" s="1">
        <v>2.0200000000001701</v>
      </c>
      <c r="BU843" s="1">
        <v>2.0200000000001701</v>
      </c>
    </row>
    <row r="844" spans="33:73" hidden="1" x14ac:dyDescent="0.25">
      <c r="AG844" s="1">
        <v>2.0100000000001699</v>
      </c>
      <c r="AH844" s="1">
        <f t="shared" si="37"/>
        <v>227.98999999999984</v>
      </c>
      <c r="AI844" s="1">
        <f t="shared" si="38"/>
        <v>227.98999999999984</v>
      </c>
      <c r="AK844" s="1">
        <v>2.0100000000001699</v>
      </c>
      <c r="AO844" s="1">
        <v>2.0100000000001699</v>
      </c>
      <c r="AS844" s="1">
        <v>2.0100000000001699</v>
      </c>
      <c r="AW844" s="1">
        <v>2.0100000000001699</v>
      </c>
      <c r="BA844" s="1">
        <v>2.0100000000001699</v>
      </c>
      <c r="BE844" s="1">
        <v>2.0100000000001699</v>
      </c>
      <c r="BI844" s="1">
        <v>2.0100000000001699</v>
      </c>
      <c r="BM844" s="1">
        <v>2.0100000000001699</v>
      </c>
      <c r="BQ844" s="1">
        <v>2.0100000000001699</v>
      </c>
      <c r="BU844" s="1">
        <v>2.0100000000001699</v>
      </c>
    </row>
    <row r="845" spans="33:73" hidden="1" x14ac:dyDescent="0.25">
      <c r="AG845" s="1">
        <v>2.0000000000001701</v>
      </c>
      <c r="AH845" s="1">
        <f t="shared" si="37"/>
        <v>227.99999999999983</v>
      </c>
      <c r="AI845" s="1">
        <f t="shared" si="38"/>
        <v>227.99999999999983</v>
      </c>
      <c r="AK845" s="1">
        <v>2.0000000000001701</v>
      </c>
      <c r="AO845" s="1">
        <v>2.0000000000001701</v>
      </c>
      <c r="AS845" s="1">
        <v>2.0000000000001701</v>
      </c>
      <c r="AW845" s="1">
        <v>2.0000000000001701</v>
      </c>
      <c r="BA845" s="1">
        <v>2.0000000000001701</v>
      </c>
      <c r="BE845" s="1">
        <v>2.0000000000001701</v>
      </c>
      <c r="BI845" s="1">
        <v>2.0000000000001701</v>
      </c>
      <c r="BM845" s="1">
        <v>2.0000000000001701</v>
      </c>
      <c r="BQ845" s="1">
        <v>2.0000000000001701</v>
      </c>
      <c r="BU845" s="1">
        <v>2.0000000000001701</v>
      </c>
    </row>
    <row r="846" spans="33:73" hidden="1" x14ac:dyDescent="0.25">
      <c r="AG846" s="1">
        <v>1.9900000000001701</v>
      </c>
      <c r="AH846" s="1">
        <f t="shared" si="37"/>
        <v>228.00999999999982</v>
      </c>
      <c r="AI846" s="1">
        <f t="shared" si="38"/>
        <v>228.00999999999982</v>
      </c>
      <c r="AK846" s="1">
        <v>1.9900000000001701</v>
      </c>
      <c r="AO846" s="1">
        <v>1.9900000000001701</v>
      </c>
      <c r="AS846" s="1">
        <v>1.9900000000001701</v>
      </c>
      <c r="AW846" s="1">
        <v>1.9900000000001701</v>
      </c>
      <c r="BA846" s="1">
        <v>1.9900000000001701</v>
      </c>
      <c r="BE846" s="1">
        <v>1.9900000000001701</v>
      </c>
      <c r="BI846" s="1">
        <v>1.9900000000001701</v>
      </c>
      <c r="BM846" s="1">
        <v>1.9900000000001701</v>
      </c>
      <c r="BQ846" s="1">
        <v>1.9900000000001701</v>
      </c>
      <c r="BU846" s="1">
        <v>1.9900000000001701</v>
      </c>
    </row>
    <row r="847" spans="33:73" hidden="1" x14ac:dyDescent="0.25">
      <c r="AG847" s="1">
        <v>1.9800000000001701</v>
      </c>
      <c r="AH847" s="1">
        <f t="shared" si="37"/>
        <v>228.01999999999984</v>
      </c>
      <c r="AI847" s="1">
        <f t="shared" si="38"/>
        <v>228.01999999999984</v>
      </c>
      <c r="AK847" s="1">
        <v>1.9800000000001701</v>
      </c>
      <c r="AO847" s="1">
        <v>1.9800000000001701</v>
      </c>
      <c r="AS847" s="1">
        <v>1.9800000000001701</v>
      </c>
      <c r="AW847" s="1">
        <v>1.9800000000001701</v>
      </c>
      <c r="BA847" s="1">
        <v>1.9800000000001701</v>
      </c>
      <c r="BE847" s="1">
        <v>1.9800000000001701</v>
      </c>
      <c r="BI847" s="1">
        <v>1.9800000000001701</v>
      </c>
      <c r="BM847" s="1">
        <v>1.9800000000001701</v>
      </c>
      <c r="BQ847" s="1">
        <v>1.9800000000001701</v>
      </c>
      <c r="BU847" s="1">
        <v>1.9800000000001701</v>
      </c>
    </row>
    <row r="848" spans="33:73" hidden="1" x14ac:dyDescent="0.25">
      <c r="AG848" s="1">
        <v>1.9700000000001701</v>
      </c>
      <c r="AH848" s="1">
        <f t="shared" si="37"/>
        <v>228.02999999999983</v>
      </c>
      <c r="AI848" s="1">
        <f t="shared" si="38"/>
        <v>228.02999999999983</v>
      </c>
      <c r="AK848" s="1">
        <v>1.9700000000001701</v>
      </c>
      <c r="AO848" s="1">
        <v>1.9700000000001701</v>
      </c>
      <c r="AS848" s="1">
        <v>1.9700000000001701</v>
      </c>
      <c r="AW848" s="1">
        <v>1.9700000000001701</v>
      </c>
      <c r="BA848" s="1">
        <v>1.9700000000001701</v>
      </c>
      <c r="BE848" s="1">
        <v>1.9700000000001701</v>
      </c>
      <c r="BI848" s="1">
        <v>1.9700000000001701</v>
      </c>
      <c r="BM848" s="1">
        <v>1.9700000000001701</v>
      </c>
      <c r="BQ848" s="1">
        <v>1.9700000000001701</v>
      </c>
      <c r="BU848" s="1">
        <v>1.9700000000001701</v>
      </c>
    </row>
    <row r="849" spans="33:73" hidden="1" x14ac:dyDescent="0.25">
      <c r="AG849" s="1">
        <v>1.9600000000001701</v>
      </c>
      <c r="AH849" s="1">
        <f t="shared" si="37"/>
        <v>228.03999999999982</v>
      </c>
      <c r="AI849" s="1">
        <f t="shared" si="38"/>
        <v>228.03999999999982</v>
      </c>
      <c r="AK849" s="1">
        <v>1.9600000000001701</v>
      </c>
      <c r="AO849" s="1">
        <v>1.9600000000001701</v>
      </c>
      <c r="AS849" s="1">
        <v>1.9600000000001701</v>
      </c>
      <c r="AW849" s="1">
        <v>1.9600000000001701</v>
      </c>
      <c r="BA849" s="1">
        <v>1.9600000000001701</v>
      </c>
      <c r="BE849" s="1">
        <v>1.9600000000001701</v>
      </c>
      <c r="BI849" s="1">
        <v>1.9600000000001701</v>
      </c>
      <c r="BM849" s="1">
        <v>1.9600000000001701</v>
      </c>
      <c r="BQ849" s="1">
        <v>1.9600000000001701</v>
      </c>
      <c r="BU849" s="1">
        <v>1.9600000000001701</v>
      </c>
    </row>
    <row r="850" spans="33:73" hidden="1" x14ac:dyDescent="0.25">
      <c r="AG850" s="1">
        <v>1.95000000000017</v>
      </c>
      <c r="AH850" s="1">
        <f t="shared" si="37"/>
        <v>228.04999999999984</v>
      </c>
      <c r="AI850" s="1">
        <f t="shared" si="38"/>
        <v>228.04999999999984</v>
      </c>
      <c r="AK850" s="1">
        <v>1.95000000000017</v>
      </c>
      <c r="AO850" s="1">
        <v>1.95000000000017</v>
      </c>
      <c r="AS850" s="1">
        <v>1.95000000000017</v>
      </c>
      <c r="AW850" s="1">
        <v>1.95000000000017</v>
      </c>
      <c r="BA850" s="1">
        <v>1.95000000000017</v>
      </c>
      <c r="BE850" s="1">
        <v>1.95000000000017</v>
      </c>
      <c r="BI850" s="1">
        <v>1.95000000000017</v>
      </c>
      <c r="BM850" s="1">
        <v>1.95000000000017</v>
      </c>
      <c r="BQ850" s="1">
        <v>1.95000000000017</v>
      </c>
      <c r="BU850" s="1">
        <v>1.95000000000017</v>
      </c>
    </row>
    <row r="851" spans="33:73" hidden="1" x14ac:dyDescent="0.25">
      <c r="AG851" s="1">
        <v>1.94000000000017</v>
      </c>
      <c r="AH851" s="1">
        <f t="shared" si="37"/>
        <v>228.05999999999983</v>
      </c>
      <c r="AI851" s="1">
        <f t="shared" si="38"/>
        <v>228.05999999999983</v>
      </c>
      <c r="AK851" s="1">
        <v>1.94000000000017</v>
      </c>
      <c r="AO851" s="1">
        <v>1.94000000000017</v>
      </c>
      <c r="AS851" s="1">
        <v>1.94000000000017</v>
      </c>
      <c r="AW851" s="1">
        <v>1.94000000000017</v>
      </c>
      <c r="BA851" s="1">
        <v>1.94000000000017</v>
      </c>
      <c r="BE851" s="1">
        <v>1.94000000000017</v>
      </c>
      <c r="BI851" s="1">
        <v>1.94000000000017</v>
      </c>
      <c r="BM851" s="1">
        <v>1.94000000000017</v>
      </c>
      <c r="BQ851" s="1">
        <v>1.94000000000017</v>
      </c>
      <c r="BU851" s="1">
        <v>1.94000000000017</v>
      </c>
    </row>
    <row r="852" spans="33:73" hidden="1" x14ac:dyDescent="0.25">
      <c r="AG852" s="1">
        <v>1.93000000000017</v>
      </c>
      <c r="AH852" s="1">
        <f t="shared" si="37"/>
        <v>228.06999999999982</v>
      </c>
      <c r="AI852" s="1">
        <f t="shared" si="38"/>
        <v>228.06999999999982</v>
      </c>
      <c r="AK852" s="1">
        <v>1.93000000000017</v>
      </c>
      <c r="AO852" s="1">
        <v>1.93000000000017</v>
      </c>
      <c r="AS852" s="1">
        <v>1.93000000000017</v>
      </c>
      <c r="AW852" s="1">
        <v>1.93000000000017</v>
      </c>
      <c r="BA852" s="1">
        <v>1.93000000000017</v>
      </c>
      <c r="BE852" s="1">
        <v>1.93000000000017</v>
      </c>
      <c r="BI852" s="1">
        <v>1.93000000000017</v>
      </c>
      <c r="BM852" s="1">
        <v>1.93000000000017</v>
      </c>
      <c r="BQ852" s="1">
        <v>1.93000000000017</v>
      </c>
      <c r="BU852" s="1">
        <v>1.93000000000017</v>
      </c>
    </row>
    <row r="853" spans="33:73" hidden="1" x14ac:dyDescent="0.25">
      <c r="AG853" s="1">
        <v>1.92000000000017</v>
      </c>
      <c r="AH853" s="1">
        <f t="shared" si="37"/>
        <v>228.07999999999984</v>
      </c>
      <c r="AI853" s="1">
        <f t="shared" si="38"/>
        <v>228.07999999999984</v>
      </c>
      <c r="AK853" s="1">
        <v>1.92000000000017</v>
      </c>
      <c r="AO853" s="1">
        <v>1.92000000000017</v>
      </c>
      <c r="AS853" s="1">
        <v>1.92000000000017</v>
      </c>
      <c r="AW853" s="1">
        <v>1.92000000000017</v>
      </c>
      <c r="BA853" s="1">
        <v>1.92000000000017</v>
      </c>
      <c r="BE853" s="1">
        <v>1.92000000000017</v>
      </c>
      <c r="BI853" s="1">
        <v>1.92000000000017</v>
      </c>
      <c r="BM853" s="1">
        <v>1.92000000000017</v>
      </c>
      <c r="BQ853" s="1">
        <v>1.92000000000017</v>
      </c>
      <c r="BU853" s="1">
        <v>1.92000000000017</v>
      </c>
    </row>
    <row r="854" spans="33:73" hidden="1" x14ac:dyDescent="0.25">
      <c r="AG854" s="1">
        <v>1.91000000000017</v>
      </c>
      <c r="AH854" s="1">
        <f t="shared" si="37"/>
        <v>228.08999999999983</v>
      </c>
      <c r="AI854" s="1">
        <f t="shared" si="38"/>
        <v>228.08999999999983</v>
      </c>
      <c r="AK854" s="1">
        <v>1.91000000000017</v>
      </c>
      <c r="AO854" s="1">
        <v>1.91000000000017</v>
      </c>
      <c r="AS854" s="1">
        <v>1.91000000000017</v>
      </c>
      <c r="AW854" s="1">
        <v>1.91000000000017</v>
      </c>
      <c r="BA854" s="1">
        <v>1.91000000000017</v>
      </c>
      <c r="BE854" s="1">
        <v>1.91000000000017</v>
      </c>
      <c r="BI854" s="1">
        <v>1.91000000000017</v>
      </c>
      <c r="BM854" s="1">
        <v>1.91000000000017</v>
      </c>
      <c r="BQ854" s="1">
        <v>1.91000000000017</v>
      </c>
      <c r="BU854" s="1">
        <v>1.91000000000017</v>
      </c>
    </row>
    <row r="855" spans="33:73" hidden="1" x14ac:dyDescent="0.25">
      <c r="AG855" s="1">
        <v>1.90000000000017</v>
      </c>
      <c r="AH855" s="1">
        <f t="shared" si="37"/>
        <v>228.09999999999982</v>
      </c>
      <c r="AI855" s="1">
        <f t="shared" si="38"/>
        <v>228.09999999999982</v>
      </c>
      <c r="AK855" s="1">
        <v>1.90000000000017</v>
      </c>
      <c r="AO855" s="1">
        <v>1.90000000000017</v>
      </c>
      <c r="AS855" s="1">
        <v>1.90000000000017</v>
      </c>
      <c r="AW855" s="1">
        <v>1.90000000000017</v>
      </c>
      <c r="BA855" s="1">
        <v>1.90000000000017</v>
      </c>
      <c r="BE855" s="1">
        <v>1.90000000000017</v>
      </c>
      <c r="BI855" s="1">
        <v>1.90000000000017</v>
      </c>
      <c r="BM855" s="1">
        <v>1.90000000000017</v>
      </c>
      <c r="BQ855" s="1">
        <v>1.90000000000017</v>
      </c>
      <c r="BU855" s="1">
        <v>1.90000000000017</v>
      </c>
    </row>
    <row r="856" spans="33:73" hidden="1" x14ac:dyDescent="0.25">
      <c r="AG856" s="1">
        <v>1.89000000000017</v>
      </c>
      <c r="AH856" s="1">
        <f t="shared" si="37"/>
        <v>228.10999999999984</v>
      </c>
      <c r="AI856" s="1">
        <f t="shared" si="38"/>
        <v>228.10999999999984</v>
      </c>
      <c r="AK856" s="1">
        <v>1.89000000000017</v>
      </c>
      <c r="AO856" s="1">
        <v>1.89000000000017</v>
      </c>
      <c r="AS856" s="1">
        <v>1.89000000000017</v>
      </c>
      <c r="AW856" s="1">
        <v>1.89000000000017</v>
      </c>
      <c r="BA856" s="1">
        <v>1.89000000000017</v>
      </c>
      <c r="BE856" s="1">
        <v>1.89000000000017</v>
      </c>
      <c r="BI856" s="1">
        <v>1.89000000000017</v>
      </c>
      <c r="BM856" s="1">
        <v>1.89000000000017</v>
      </c>
      <c r="BQ856" s="1">
        <v>1.89000000000017</v>
      </c>
      <c r="BU856" s="1">
        <v>1.89000000000017</v>
      </c>
    </row>
    <row r="857" spans="33:73" hidden="1" x14ac:dyDescent="0.25">
      <c r="AG857" s="1">
        <v>1.88000000000017</v>
      </c>
      <c r="AH857" s="1">
        <f t="shared" si="37"/>
        <v>228.11999999999983</v>
      </c>
      <c r="AI857" s="1">
        <f t="shared" si="38"/>
        <v>228.11999999999983</v>
      </c>
      <c r="AK857" s="1">
        <v>1.88000000000017</v>
      </c>
      <c r="AO857" s="1">
        <v>1.88000000000017</v>
      </c>
      <c r="AS857" s="1">
        <v>1.88000000000017</v>
      </c>
      <c r="AW857" s="1">
        <v>1.88000000000017</v>
      </c>
      <c r="BA857" s="1">
        <v>1.88000000000017</v>
      </c>
      <c r="BE857" s="1">
        <v>1.88000000000017</v>
      </c>
      <c r="BI857" s="1">
        <v>1.88000000000017</v>
      </c>
      <c r="BM857" s="1">
        <v>1.88000000000017</v>
      </c>
      <c r="BQ857" s="1">
        <v>1.88000000000017</v>
      </c>
      <c r="BU857" s="1">
        <v>1.88000000000017</v>
      </c>
    </row>
    <row r="858" spans="33:73" hidden="1" x14ac:dyDescent="0.25">
      <c r="AG858" s="1">
        <v>1.87000000000017</v>
      </c>
      <c r="AH858" s="1">
        <f t="shared" si="37"/>
        <v>228.12999999999982</v>
      </c>
      <c r="AI858" s="1">
        <f t="shared" si="38"/>
        <v>228.12999999999982</v>
      </c>
      <c r="AK858" s="1">
        <v>1.87000000000017</v>
      </c>
      <c r="AO858" s="1">
        <v>1.87000000000017</v>
      </c>
      <c r="AS858" s="1">
        <v>1.87000000000017</v>
      </c>
      <c r="AW858" s="1">
        <v>1.87000000000017</v>
      </c>
      <c r="BA858" s="1">
        <v>1.87000000000017</v>
      </c>
      <c r="BE858" s="1">
        <v>1.87000000000017</v>
      </c>
      <c r="BI858" s="1">
        <v>1.87000000000017</v>
      </c>
      <c r="BM858" s="1">
        <v>1.87000000000017</v>
      </c>
      <c r="BQ858" s="1">
        <v>1.87000000000017</v>
      </c>
      <c r="BU858" s="1">
        <v>1.87000000000017</v>
      </c>
    </row>
    <row r="859" spans="33:73" hidden="1" x14ac:dyDescent="0.25">
      <c r="AG859" s="1">
        <v>1.86000000000017</v>
      </c>
      <c r="AH859" s="1">
        <f t="shared" si="37"/>
        <v>228.13999999999982</v>
      </c>
      <c r="AI859" s="1">
        <f t="shared" si="38"/>
        <v>228.13999999999982</v>
      </c>
      <c r="AK859" s="1">
        <v>1.86000000000017</v>
      </c>
      <c r="AO859" s="1">
        <v>1.86000000000017</v>
      </c>
      <c r="AS859" s="1">
        <v>1.86000000000017</v>
      </c>
      <c r="AW859" s="1">
        <v>1.86000000000017</v>
      </c>
      <c r="BA859" s="1">
        <v>1.86000000000017</v>
      </c>
      <c r="BE859" s="1">
        <v>1.86000000000017</v>
      </c>
      <c r="BI859" s="1">
        <v>1.86000000000017</v>
      </c>
      <c r="BM859" s="1">
        <v>1.86000000000017</v>
      </c>
      <c r="BQ859" s="1">
        <v>1.86000000000017</v>
      </c>
      <c r="BU859" s="1">
        <v>1.86000000000017</v>
      </c>
    </row>
    <row r="860" spans="33:73" hidden="1" x14ac:dyDescent="0.25">
      <c r="AG860" s="1">
        <v>1.85000000000017</v>
      </c>
      <c r="AH860" s="1">
        <f t="shared" si="37"/>
        <v>228.14999999999984</v>
      </c>
      <c r="AI860" s="1">
        <f t="shared" si="38"/>
        <v>228.14999999999984</v>
      </c>
      <c r="AK860" s="1">
        <v>1.85000000000017</v>
      </c>
      <c r="AO860" s="1">
        <v>1.85000000000017</v>
      </c>
      <c r="AS860" s="1">
        <v>1.85000000000017</v>
      </c>
      <c r="AW860" s="1">
        <v>1.85000000000017</v>
      </c>
      <c r="BA860" s="1">
        <v>1.85000000000017</v>
      </c>
      <c r="BE860" s="1">
        <v>1.85000000000017</v>
      </c>
      <c r="BI860" s="1">
        <v>1.85000000000017</v>
      </c>
      <c r="BM860" s="1">
        <v>1.85000000000017</v>
      </c>
      <c r="BQ860" s="1">
        <v>1.85000000000017</v>
      </c>
      <c r="BU860" s="1">
        <v>1.85000000000017</v>
      </c>
    </row>
    <row r="861" spans="33:73" hidden="1" x14ac:dyDescent="0.25">
      <c r="AG861" s="1">
        <v>1.8400000000001699</v>
      </c>
      <c r="AH861" s="1">
        <f t="shared" si="37"/>
        <v>228.15999999999983</v>
      </c>
      <c r="AI861" s="1">
        <f t="shared" si="38"/>
        <v>228.15999999999983</v>
      </c>
      <c r="AK861" s="1">
        <v>1.8400000000001699</v>
      </c>
      <c r="AO861" s="1">
        <v>1.8400000000001699</v>
      </c>
      <c r="AS861" s="1">
        <v>1.8400000000001699</v>
      </c>
      <c r="AW861" s="1">
        <v>1.8400000000001699</v>
      </c>
      <c r="BA861" s="1">
        <v>1.8400000000001699</v>
      </c>
      <c r="BE861" s="1">
        <v>1.8400000000001699</v>
      </c>
      <c r="BI861" s="1">
        <v>1.8400000000001699</v>
      </c>
      <c r="BM861" s="1">
        <v>1.8400000000001699</v>
      </c>
      <c r="BQ861" s="1">
        <v>1.8400000000001699</v>
      </c>
      <c r="BU861" s="1">
        <v>1.8400000000001699</v>
      </c>
    </row>
    <row r="862" spans="33:73" hidden="1" x14ac:dyDescent="0.25">
      <c r="AG862" s="1">
        <v>1.8300000000001699</v>
      </c>
      <c r="AH862" s="1">
        <f t="shared" si="37"/>
        <v>228.16999999999982</v>
      </c>
      <c r="AI862" s="1">
        <f t="shared" si="38"/>
        <v>228.16999999999982</v>
      </c>
      <c r="AK862" s="1">
        <v>1.8300000000001699</v>
      </c>
      <c r="AO862" s="1">
        <v>1.8300000000001699</v>
      </c>
      <c r="AS862" s="1">
        <v>1.8300000000001699</v>
      </c>
      <c r="AW862" s="1">
        <v>1.8300000000001699</v>
      </c>
      <c r="BA862" s="1">
        <v>1.8300000000001699</v>
      </c>
      <c r="BE862" s="1">
        <v>1.8300000000001699</v>
      </c>
      <c r="BI862" s="1">
        <v>1.8300000000001699</v>
      </c>
      <c r="BM862" s="1">
        <v>1.8300000000001699</v>
      </c>
      <c r="BQ862" s="1">
        <v>1.8300000000001699</v>
      </c>
      <c r="BU862" s="1">
        <v>1.8300000000001699</v>
      </c>
    </row>
    <row r="863" spans="33:73" hidden="1" x14ac:dyDescent="0.25">
      <c r="AG863" s="1">
        <v>1.8200000000001699</v>
      </c>
      <c r="AH863" s="1">
        <f t="shared" si="37"/>
        <v>228.17999999999984</v>
      </c>
      <c r="AI863" s="1">
        <f t="shared" si="38"/>
        <v>228.17999999999984</v>
      </c>
      <c r="AK863" s="1">
        <v>1.8200000000001699</v>
      </c>
      <c r="AO863" s="1">
        <v>1.8200000000001699</v>
      </c>
      <c r="AS863" s="1">
        <v>1.8200000000001699</v>
      </c>
      <c r="AW863" s="1">
        <v>1.8200000000001699</v>
      </c>
      <c r="BA863" s="1">
        <v>1.8200000000001699</v>
      </c>
      <c r="BE863" s="1">
        <v>1.8200000000001699</v>
      </c>
      <c r="BI863" s="1">
        <v>1.8200000000001699</v>
      </c>
      <c r="BM863" s="1">
        <v>1.8200000000001699</v>
      </c>
      <c r="BQ863" s="1">
        <v>1.8200000000001699</v>
      </c>
      <c r="BU863" s="1">
        <v>1.8200000000001699</v>
      </c>
    </row>
    <row r="864" spans="33:73" hidden="1" x14ac:dyDescent="0.25">
      <c r="AG864" s="1">
        <v>1.8100000000001699</v>
      </c>
      <c r="AH864" s="1">
        <f t="shared" si="37"/>
        <v>228.18999999999983</v>
      </c>
      <c r="AI864" s="1">
        <f t="shared" si="38"/>
        <v>228.18999999999983</v>
      </c>
      <c r="AK864" s="1">
        <v>1.8100000000001699</v>
      </c>
      <c r="AO864" s="1">
        <v>1.8100000000001699</v>
      </c>
      <c r="AS864" s="1">
        <v>1.8100000000001699</v>
      </c>
      <c r="AW864" s="1">
        <v>1.8100000000001699</v>
      </c>
      <c r="BA864" s="1">
        <v>1.8100000000001699</v>
      </c>
      <c r="BE864" s="1">
        <v>1.8100000000001699</v>
      </c>
      <c r="BI864" s="1">
        <v>1.8100000000001699</v>
      </c>
      <c r="BM864" s="1">
        <v>1.8100000000001699</v>
      </c>
      <c r="BQ864" s="1">
        <v>1.8100000000001699</v>
      </c>
      <c r="BU864" s="1">
        <v>1.8100000000001699</v>
      </c>
    </row>
    <row r="865" spans="33:73" hidden="1" x14ac:dyDescent="0.25">
      <c r="AG865" s="1">
        <v>1.8000000000001699</v>
      </c>
      <c r="AH865" s="1">
        <f t="shared" si="37"/>
        <v>228.19999999999982</v>
      </c>
      <c r="AI865" s="1">
        <f t="shared" si="38"/>
        <v>228.19999999999982</v>
      </c>
      <c r="AK865" s="1">
        <v>1.8000000000001699</v>
      </c>
      <c r="AO865" s="1">
        <v>1.8000000000001699</v>
      </c>
      <c r="AS865" s="1">
        <v>1.8000000000001699</v>
      </c>
      <c r="AW865" s="1">
        <v>1.8000000000001699</v>
      </c>
      <c r="BA865" s="1">
        <v>1.8000000000001699</v>
      </c>
      <c r="BE865" s="1">
        <v>1.8000000000001699</v>
      </c>
      <c r="BI865" s="1">
        <v>1.8000000000001699</v>
      </c>
      <c r="BM865" s="1">
        <v>1.8000000000001699</v>
      </c>
      <c r="BQ865" s="1">
        <v>1.8000000000001699</v>
      </c>
      <c r="BU865" s="1">
        <v>1.8000000000001699</v>
      </c>
    </row>
    <row r="866" spans="33:73" hidden="1" x14ac:dyDescent="0.25">
      <c r="AG866" s="1">
        <v>1.7900000000001799</v>
      </c>
      <c r="AH866" s="1">
        <f t="shared" si="37"/>
        <v>228.20999999999981</v>
      </c>
      <c r="AI866" s="1">
        <f t="shared" si="38"/>
        <v>228.20999999999981</v>
      </c>
      <c r="AK866" s="1">
        <v>1.7900000000001799</v>
      </c>
      <c r="AO866" s="1">
        <v>1.7900000000001799</v>
      </c>
      <c r="AS866" s="1">
        <v>1.7900000000001799</v>
      </c>
      <c r="AW866" s="1">
        <v>1.7900000000001799</v>
      </c>
      <c r="BA866" s="1">
        <v>1.7900000000001799</v>
      </c>
      <c r="BE866" s="1">
        <v>1.7900000000001799</v>
      </c>
      <c r="BI866" s="1">
        <v>1.7900000000001799</v>
      </c>
      <c r="BM866" s="1">
        <v>1.7900000000001799</v>
      </c>
      <c r="BQ866" s="1">
        <v>1.7900000000001799</v>
      </c>
      <c r="BU866" s="1">
        <v>1.7900000000001799</v>
      </c>
    </row>
    <row r="867" spans="33:73" hidden="1" x14ac:dyDescent="0.25">
      <c r="AG867" s="1">
        <v>1.7800000000001801</v>
      </c>
      <c r="AH867" s="1">
        <f t="shared" si="37"/>
        <v>228.21999999999983</v>
      </c>
      <c r="AI867" s="1">
        <f t="shared" si="38"/>
        <v>228.21999999999983</v>
      </c>
      <c r="AK867" s="1">
        <v>1.7800000000001801</v>
      </c>
      <c r="AO867" s="1">
        <v>1.7800000000001801</v>
      </c>
      <c r="AS867" s="1">
        <v>1.7800000000001801</v>
      </c>
      <c r="AW867" s="1">
        <v>1.7800000000001801</v>
      </c>
      <c r="BA867" s="1">
        <v>1.7800000000001801</v>
      </c>
      <c r="BE867" s="1">
        <v>1.7800000000001801</v>
      </c>
      <c r="BI867" s="1">
        <v>1.7800000000001801</v>
      </c>
      <c r="BM867" s="1">
        <v>1.7800000000001801</v>
      </c>
      <c r="BQ867" s="1">
        <v>1.7800000000001801</v>
      </c>
      <c r="BU867" s="1">
        <v>1.7800000000001801</v>
      </c>
    </row>
    <row r="868" spans="33:73" hidden="1" x14ac:dyDescent="0.25">
      <c r="AG868" s="1">
        <v>1.7700000000001801</v>
      </c>
      <c r="AH868" s="1">
        <f t="shared" si="37"/>
        <v>228.22999999999982</v>
      </c>
      <c r="AI868" s="1">
        <f t="shared" si="38"/>
        <v>228.22999999999982</v>
      </c>
      <c r="AK868" s="1">
        <v>1.7700000000001801</v>
      </c>
      <c r="AO868" s="1">
        <v>1.7700000000001801</v>
      </c>
      <c r="AS868" s="1">
        <v>1.7700000000001801</v>
      </c>
      <c r="AW868" s="1">
        <v>1.7700000000001801</v>
      </c>
      <c r="BA868" s="1">
        <v>1.7700000000001801</v>
      </c>
      <c r="BE868" s="1">
        <v>1.7700000000001801</v>
      </c>
      <c r="BI868" s="1">
        <v>1.7700000000001801</v>
      </c>
      <c r="BM868" s="1">
        <v>1.7700000000001801</v>
      </c>
      <c r="BQ868" s="1">
        <v>1.7700000000001801</v>
      </c>
      <c r="BU868" s="1">
        <v>1.7700000000001801</v>
      </c>
    </row>
    <row r="869" spans="33:73" hidden="1" x14ac:dyDescent="0.25">
      <c r="AG869" s="1">
        <v>1.7600000000001801</v>
      </c>
      <c r="AH869" s="1">
        <f t="shared" si="37"/>
        <v>228.23999999999981</v>
      </c>
      <c r="AI869" s="1">
        <f t="shared" si="38"/>
        <v>228.23999999999981</v>
      </c>
      <c r="AK869" s="1">
        <v>1.7600000000001801</v>
      </c>
      <c r="AO869" s="1">
        <v>1.7600000000001801</v>
      </c>
      <c r="AS869" s="1">
        <v>1.7600000000001801</v>
      </c>
      <c r="AW869" s="1">
        <v>1.7600000000001801</v>
      </c>
      <c r="BA869" s="1">
        <v>1.7600000000001801</v>
      </c>
      <c r="BE869" s="1">
        <v>1.7600000000001801</v>
      </c>
      <c r="BI869" s="1">
        <v>1.7600000000001801</v>
      </c>
      <c r="BM869" s="1">
        <v>1.7600000000001801</v>
      </c>
      <c r="BQ869" s="1">
        <v>1.7600000000001801</v>
      </c>
      <c r="BU869" s="1">
        <v>1.7600000000001801</v>
      </c>
    </row>
    <row r="870" spans="33:73" hidden="1" x14ac:dyDescent="0.25">
      <c r="AG870" s="1">
        <v>1.7500000000001801</v>
      </c>
      <c r="AH870" s="1">
        <f t="shared" si="37"/>
        <v>228.24999999999983</v>
      </c>
      <c r="AI870" s="1">
        <f t="shared" si="38"/>
        <v>228.24999999999983</v>
      </c>
      <c r="AK870" s="1">
        <v>1.7500000000001801</v>
      </c>
      <c r="AO870" s="1">
        <v>1.7500000000001801</v>
      </c>
      <c r="AS870" s="1">
        <v>1.7500000000001801</v>
      </c>
      <c r="AW870" s="1">
        <v>1.7500000000001801</v>
      </c>
      <c r="BA870" s="1">
        <v>1.7500000000001801</v>
      </c>
      <c r="BE870" s="1">
        <v>1.7500000000001801</v>
      </c>
      <c r="BI870" s="1">
        <v>1.7500000000001801</v>
      </c>
      <c r="BM870" s="1">
        <v>1.7500000000001801</v>
      </c>
      <c r="BQ870" s="1">
        <v>1.7500000000001801</v>
      </c>
      <c r="BU870" s="1">
        <v>1.7500000000001801</v>
      </c>
    </row>
    <row r="871" spans="33:73" hidden="1" x14ac:dyDescent="0.25">
      <c r="AG871" s="1">
        <v>1.7400000000001801</v>
      </c>
      <c r="AH871" s="1">
        <f t="shared" si="37"/>
        <v>228.25999999999982</v>
      </c>
      <c r="AI871" s="1">
        <f t="shared" si="38"/>
        <v>228.25999999999982</v>
      </c>
      <c r="AK871" s="1">
        <v>1.7400000000001801</v>
      </c>
      <c r="AO871" s="1">
        <v>1.7400000000001801</v>
      </c>
      <c r="AS871" s="1">
        <v>1.7400000000001801</v>
      </c>
      <c r="AW871" s="1">
        <v>1.7400000000001801</v>
      </c>
      <c r="BA871" s="1">
        <v>1.7400000000001801</v>
      </c>
      <c r="BE871" s="1">
        <v>1.7400000000001801</v>
      </c>
      <c r="BI871" s="1">
        <v>1.7400000000001801</v>
      </c>
      <c r="BM871" s="1">
        <v>1.7400000000001801</v>
      </c>
      <c r="BQ871" s="1">
        <v>1.7400000000001801</v>
      </c>
      <c r="BU871" s="1">
        <v>1.7400000000001801</v>
      </c>
    </row>
    <row r="872" spans="33:73" hidden="1" x14ac:dyDescent="0.25">
      <c r="AG872" s="1">
        <v>1.7300000000001801</v>
      </c>
      <c r="AH872" s="1">
        <f t="shared" si="37"/>
        <v>228.26999999999981</v>
      </c>
      <c r="AI872" s="1">
        <f t="shared" si="38"/>
        <v>228.26999999999981</v>
      </c>
      <c r="AK872" s="1">
        <v>1.7300000000001801</v>
      </c>
      <c r="AO872" s="1">
        <v>1.7300000000001801</v>
      </c>
      <c r="AS872" s="1">
        <v>1.7300000000001801</v>
      </c>
      <c r="AW872" s="1">
        <v>1.7300000000001801</v>
      </c>
      <c r="BA872" s="1">
        <v>1.7300000000001801</v>
      </c>
      <c r="BE872" s="1">
        <v>1.7300000000001801</v>
      </c>
      <c r="BI872" s="1">
        <v>1.7300000000001801</v>
      </c>
      <c r="BM872" s="1">
        <v>1.7300000000001801</v>
      </c>
      <c r="BQ872" s="1">
        <v>1.7300000000001801</v>
      </c>
      <c r="BU872" s="1">
        <v>1.7300000000001801</v>
      </c>
    </row>
    <row r="873" spans="33:73" hidden="1" x14ac:dyDescent="0.25">
      <c r="AG873" s="1">
        <v>1.7200000000001801</v>
      </c>
      <c r="AH873" s="1">
        <f t="shared" si="37"/>
        <v>228.27999999999983</v>
      </c>
      <c r="AI873" s="1">
        <f t="shared" si="38"/>
        <v>228.27999999999983</v>
      </c>
      <c r="AK873" s="1">
        <v>1.7200000000001801</v>
      </c>
      <c r="AO873" s="1">
        <v>1.7200000000001801</v>
      </c>
      <c r="AS873" s="1">
        <v>1.7200000000001801</v>
      </c>
      <c r="AW873" s="1">
        <v>1.7200000000001801</v>
      </c>
      <c r="BA873" s="1">
        <v>1.7200000000001801</v>
      </c>
      <c r="BE873" s="1">
        <v>1.7200000000001801</v>
      </c>
      <c r="BI873" s="1">
        <v>1.7200000000001801</v>
      </c>
      <c r="BM873" s="1">
        <v>1.7200000000001801</v>
      </c>
      <c r="BQ873" s="1">
        <v>1.7200000000001801</v>
      </c>
      <c r="BU873" s="1">
        <v>1.7200000000001801</v>
      </c>
    </row>
    <row r="874" spans="33:73" hidden="1" x14ac:dyDescent="0.25">
      <c r="AG874" s="1">
        <v>1.71000000000018</v>
      </c>
      <c r="AH874" s="1">
        <f t="shared" si="37"/>
        <v>228.28999999999982</v>
      </c>
      <c r="AI874" s="1">
        <f t="shared" si="38"/>
        <v>228.28999999999982</v>
      </c>
      <c r="AK874" s="1">
        <v>1.71000000000018</v>
      </c>
      <c r="AO874" s="1">
        <v>1.71000000000018</v>
      </c>
      <c r="AS874" s="1">
        <v>1.71000000000018</v>
      </c>
      <c r="AW874" s="1">
        <v>1.71000000000018</v>
      </c>
      <c r="BA874" s="1">
        <v>1.71000000000018</v>
      </c>
      <c r="BE874" s="1">
        <v>1.71000000000018</v>
      </c>
      <c r="BI874" s="1">
        <v>1.71000000000018</v>
      </c>
      <c r="BM874" s="1">
        <v>1.71000000000018</v>
      </c>
      <c r="BQ874" s="1">
        <v>1.71000000000018</v>
      </c>
      <c r="BU874" s="1">
        <v>1.71000000000018</v>
      </c>
    </row>
    <row r="875" spans="33:73" hidden="1" x14ac:dyDescent="0.25">
      <c r="AG875" s="1">
        <v>1.70000000000018</v>
      </c>
      <c r="AH875" s="1">
        <f t="shared" si="37"/>
        <v>228.29999999999981</v>
      </c>
      <c r="AI875" s="1">
        <f t="shared" si="38"/>
        <v>228.29999999999981</v>
      </c>
      <c r="AK875" s="1">
        <v>1.70000000000018</v>
      </c>
      <c r="AO875" s="1">
        <v>1.70000000000018</v>
      </c>
      <c r="AS875" s="1">
        <v>1.70000000000018</v>
      </c>
      <c r="AW875" s="1">
        <v>1.70000000000018</v>
      </c>
      <c r="BA875" s="1">
        <v>1.70000000000018</v>
      </c>
      <c r="BE875" s="1">
        <v>1.70000000000018</v>
      </c>
      <c r="BI875" s="1">
        <v>1.70000000000018</v>
      </c>
      <c r="BM875" s="1">
        <v>1.70000000000018</v>
      </c>
      <c r="BQ875" s="1">
        <v>1.70000000000018</v>
      </c>
      <c r="BU875" s="1">
        <v>1.70000000000018</v>
      </c>
    </row>
    <row r="876" spans="33:73" hidden="1" x14ac:dyDescent="0.25">
      <c r="AG876" s="1">
        <v>1.69000000000018</v>
      </c>
      <c r="AH876" s="1">
        <f t="shared" si="37"/>
        <v>228.30999999999983</v>
      </c>
      <c r="AI876" s="1">
        <f t="shared" si="38"/>
        <v>228.30999999999983</v>
      </c>
      <c r="AK876" s="1">
        <v>1.69000000000018</v>
      </c>
      <c r="AO876" s="1">
        <v>1.69000000000018</v>
      </c>
      <c r="AS876" s="1">
        <v>1.69000000000018</v>
      </c>
      <c r="AW876" s="1">
        <v>1.69000000000018</v>
      </c>
      <c r="BA876" s="1">
        <v>1.69000000000018</v>
      </c>
      <c r="BE876" s="1">
        <v>1.69000000000018</v>
      </c>
      <c r="BI876" s="1">
        <v>1.69000000000018</v>
      </c>
      <c r="BM876" s="1">
        <v>1.69000000000018</v>
      </c>
      <c r="BQ876" s="1">
        <v>1.69000000000018</v>
      </c>
      <c r="BU876" s="1">
        <v>1.69000000000018</v>
      </c>
    </row>
    <row r="877" spans="33:73" hidden="1" x14ac:dyDescent="0.25">
      <c r="AG877" s="1">
        <v>1.68000000000018</v>
      </c>
      <c r="AH877" s="1">
        <f t="shared" si="37"/>
        <v>228.31999999999982</v>
      </c>
      <c r="AI877" s="1">
        <f t="shared" si="38"/>
        <v>228.31999999999982</v>
      </c>
      <c r="AK877" s="1">
        <v>1.68000000000018</v>
      </c>
      <c r="AO877" s="1">
        <v>1.68000000000018</v>
      </c>
      <c r="AS877" s="1">
        <v>1.68000000000018</v>
      </c>
      <c r="AW877" s="1">
        <v>1.68000000000018</v>
      </c>
      <c r="BA877" s="1">
        <v>1.68000000000018</v>
      </c>
      <c r="BE877" s="1">
        <v>1.68000000000018</v>
      </c>
      <c r="BI877" s="1">
        <v>1.68000000000018</v>
      </c>
      <c r="BM877" s="1">
        <v>1.68000000000018</v>
      </c>
      <c r="BQ877" s="1">
        <v>1.68000000000018</v>
      </c>
      <c r="BU877" s="1">
        <v>1.68000000000018</v>
      </c>
    </row>
    <row r="878" spans="33:73" hidden="1" x14ac:dyDescent="0.25">
      <c r="AG878" s="1">
        <v>1.67000000000018</v>
      </c>
      <c r="AH878" s="1">
        <f t="shared" ref="AH878:AH941" si="39">SQRT((AI878+($AI$38*($AM$44*$AJ$44+$AN$44*$AK$44)))^2+($D$3*($AN$44*$AJ$44-$AM$44*$AK$44))^2)</f>
        <v>228.32999999999981</v>
      </c>
      <c r="AI878" s="1">
        <f t="shared" ref="AI878:AI941" si="40">$AI$40-AG878</f>
        <v>228.32999999999981</v>
      </c>
      <c r="AK878" s="1">
        <v>1.67000000000018</v>
      </c>
      <c r="AO878" s="1">
        <v>1.67000000000018</v>
      </c>
      <c r="AS878" s="1">
        <v>1.67000000000018</v>
      </c>
      <c r="AW878" s="1">
        <v>1.67000000000018</v>
      </c>
      <c r="BA878" s="1">
        <v>1.67000000000018</v>
      </c>
      <c r="BE878" s="1">
        <v>1.67000000000018</v>
      </c>
      <c r="BI878" s="1">
        <v>1.67000000000018</v>
      </c>
      <c r="BM878" s="1">
        <v>1.67000000000018</v>
      </c>
      <c r="BQ878" s="1">
        <v>1.67000000000018</v>
      </c>
      <c r="BU878" s="1">
        <v>1.67000000000018</v>
      </c>
    </row>
    <row r="879" spans="33:73" hidden="1" x14ac:dyDescent="0.25">
      <c r="AG879" s="1">
        <v>1.66000000000018</v>
      </c>
      <c r="AH879" s="1">
        <f t="shared" si="39"/>
        <v>228.33999999999983</v>
      </c>
      <c r="AI879" s="1">
        <f t="shared" si="40"/>
        <v>228.33999999999983</v>
      </c>
      <c r="AK879" s="1">
        <v>1.66000000000018</v>
      </c>
      <c r="AO879" s="1">
        <v>1.66000000000018</v>
      </c>
      <c r="AS879" s="1">
        <v>1.66000000000018</v>
      </c>
      <c r="AW879" s="1">
        <v>1.66000000000018</v>
      </c>
      <c r="BA879" s="1">
        <v>1.66000000000018</v>
      </c>
      <c r="BE879" s="1">
        <v>1.66000000000018</v>
      </c>
      <c r="BI879" s="1">
        <v>1.66000000000018</v>
      </c>
      <c r="BM879" s="1">
        <v>1.66000000000018</v>
      </c>
      <c r="BQ879" s="1">
        <v>1.66000000000018</v>
      </c>
      <c r="BU879" s="1">
        <v>1.66000000000018</v>
      </c>
    </row>
    <row r="880" spans="33:73" hidden="1" x14ac:dyDescent="0.25">
      <c r="AG880" s="1">
        <v>1.65000000000018</v>
      </c>
      <c r="AH880" s="1">
        <f t="shared" si="39"/>
        <v>228.34999999999982</v>
      </c>
      <c r="AI880" s="1">
        <f t="shared" si="40"/>
        <v>228.34999999999982</v>
      </c>
      <c r="AK880" s="1">
        <v>1.65000000000018</v>
      </c>
      <c r="AO880" s="1">
        <v>1.65000000000018</v>
      </c>
      <c r="AS880" s="1">
        <v>1.65000000000018</v>
      </c>
      <c r="AW880" s="1">
        <v>1.65000000000018</v>
      </c>
      <c r="BA880" s="1">
        <v>1.65000000000018</v>
      </c>
      <c r="BE880" s="1">
        <v>1.65000000000018</v>
      </c>
      <c r="BI880" s="1">
        <v>1.65000000000018</v>
      </c>
      <c r="BM880" s="1">
        <v>1.65000000000018</v>
      </c>
      <c r="BQ880" s="1">
        <v>1.65000000000018</v>
      </c>
      <c r="BU880" s="1">
        <v>1.65000000000018</v>
      </c>
    </row>
    <row r="881" spans="33:73" hidden="1" x14ac:dyDescent="0.25">
      <c r="AG881" s="1">
        <v>1.64000000000018</v>
      </c>
      <c r="AH881" s="1">
        <f t="shared" si="39"/>
        <v>228.35999999999981</v>
      </c>
      <c r="AI881" s="1">
        <f t="shared" si="40"/>
        <v>228.35999999999981</v>
      </c>
      <c r="AK881" s="1">
        <v>1.64000000000018</v>
      </c>
      <c r="AO881" s="1">
        <v>1.64000000000018</v>
      </c>
      <c r="AS881" s="1">
        <v>1.64000000000018</v>
      </c>
      <c r="AW881" s="1">
        <v>1.64000000000018</v>
      </c>
      <c r="BA881" s="1">
        <v>1.64000000000018</v>
      </c>
      <c r="BE881" s="1">
        <v>1.64000000000018</v>
      </c>
      <c r="BI881" s="1">
        <v>1.64000000000018</v>
      </c>
      <c r="BM881" s="1">
        <v>1.64000000000018</v>
      </c>
      <c r="BQ881" s="1">
        <v>1.64000000000018</v>
      </c>
      <c r="BU881" s="1">
        <v>1.64000000000018</v>
      </c>
    </row>
    <row r="882" spans="33:73" hidden="1" x14ac:dyDescent="0.25">
      <c r="AG882" s="1">
        <v>1.63000000000018</v>
      </c>
      <c r="AH882" s="1">
        <f t="shared" si="39"/>
        <v>228.36999999999983</v>
      </c>
      <c r="AI882" s="1">
        <f t="shared" si="40"/>
        <v>228.36999999999983</v>
      </c>
      <c r="AK882" s="1">
        <v>1.63000000000018</v>
      </c>
      <c r="AO882" s="1">
        <v>1.63000000000018</v>
      </c>
      <c r="AS882" s="1">
        <v>1.63000000000018</v>
      </c>
      <c r="AW882" s="1">
        <v>1.63000000000018</v>
      </c>
      <c r="BA882" s="1">
        <v>1.63000000000018</v>
      </c>
      <c r="BE882" s="1">
        <v>1.63000000000018</v>
      </c>
      <c r="BI882" s="1">
        <v>1.63000000000018</v>
      </c>
      <c r="BM882" s="1">
        <v>1.63000000000018</v>
      </c>
      <c r="BQ882" s="1">
        <v>1.63000000000018</v>
      </c>
      <c r="BU882" s="1">
        <v>1.63000000000018</v>
      </c>
    </row>
    <row r="883" spans="33:73" hidden="1" x14ac:dyDescent="0.25">
      <c r="AG883" s="1">
        <v>1.62000000000018</v>
      </c>
      <c r="AH883" s="1">
        <f t="shared" si="39"/>
        <v>228.37999999999982</v>
      </c>
      <c r="AI883" s="1">
        <f t="shared" si="40"/>
        <v>228.37999999999982</v>
      </c>
      <c r="AK883" s="1">
        <v>1.62000000000018</v>
      </c>
      <c r="AO883" s="1">
        <v>1.62000000000018</v>
      </c>
      <c r="AS883" s="1">
        <v>1.62000000000018</v>
      </c>
      <c r="AW883" s="1">
        <v>1.62000000000018</v>
      </c>
      <c r="BA883" s="1">
        <v>1.62000000000018</v>
      </c>
      <c r="BE883" s="1">
        <v>1.62000000000018</v>
      </c>
      <c r="BI883" s="1">
        <v>1.62000000000018</v>
      </c>
      <c r="BM883" s="1">
        <v>1.62000000000018</v>
      </c>
      <c r="BQ883" s="1">
        <v>1.62000000000018</v>
      </c>
      <c r="BU883" s="1">
        <v>1.62000000000018</v>
      </c>
    </row>
    <row r="884" spans="33:73" hidden="1" x14ac:dyDescent="0.25">
      <c r="AG884" s="1">
        <v>1.61000000000018</v>
      </c>
      <c r="AH884" s="1">
        <f t="shared" si="39"/>
        <v>228.38999999999982</v>
      </c>
      <c r="AI884" s="1">
        <f t="shared" si="40"/>
        <v>228.38999999999982</v>
      </c>
      <c r="AK884" s="1">
        <v>1.61000000000018</v>
      </c>
      <c r="AO884" s="1">
        <v>1.61000000000018</v>
      </c>
      <c r="AS884" s="1">
        <v>1.61000000000018</v>
      </c>
      <c r="AW884" s="1">
        <v>1.61000000000018</v>
      </c>
      <c r="BA884" s="1">
        <v>1.61000000000018</v>
      </c>
      <c r="BE884" s="1">
        <v>1.61000000000018</v>
      </c>
      <c r="BI884" s="1">
        <v>1.61000000000018</v>
      </c>
      <c r="BM884" s="1">
        <v>1.61000000000018</v>
      </c>
      <c r="BQ884" s="1">
        <v>1.61000000000018</v>
      </c>
      <c r="BU884" s="1">
        <v>1.61000000000018</v>
      </c>
    </row>
    <row r="885" spans="33:73" hidden="1" x14ac:dyDescent="0.25">
      <c r="AG885" s="1">
        <v>1.6000000000001799</v>
      </c>
      <c r="AH885" s="1">
        <f t="shared" si="39"/>
        <v>228.39999999999981</v>
      </c>
      <c r="AI885" s="1">
        <f t="shared" si="40"/>
        <v>228.39999999999981</v>
      </c>
      <c r="AK885" s="1">
        <v>1.6000000000001799</v>
      </c>
      <c r="AO885" s="1">
        <v>1.6000000000001799</v>
      </c>
      <c r="AS885" s="1">
        <v>1.6000000000001799</v>
      </c>
      <c r="AW885" s="1">
        <v>1.6000000000001799</v>
      </c>
      <c r="BA885" s="1">
        <v>1.6000000000001799</v>
      </c>
      <c r="BE885" s="1">
        <v>1.6000000000001799</v>
      </c>
      <c r="BI885" s="1">
        <v>1.6000000000001799</v>
      </c>
      <c r="BM885" s="1">
        <v>1.6000000000001799</v>
      </c>
      <c r="BQ885" s="1">
        <v>1.6000000000001799</v>
      </c>
      <c r="BU885" s="1">
        <v>1.6000000000001799</v>
      </c>
    </row>
    <row r="886" spans="33:73" hidden="1" x14ac:dyDescent="0.25">
      <c r="AG886" s="1">
        <v>1.5900000000001799</v>
      </c>
      <c r="AH886" s="1">
        <f t="shared" si="39"/>
        <v>228.40999999999983</v>
      </c>
      <c r="AI886" s="1">
        <f t="shared" si="40"/>
        <v>228.40999999999983</v>
      </c>
      <c r="AK886" s="1">
        <v>1.5900000000001799</v>
      </c>
      <c r="AO886" s="1">
        <v>1.5900000000001799</v>
      </c>
      <c r="AS886" s="1">
        <v>1.5900000000001799</v>
      </c>
      <c r="AW886" s="1">
        <v>1.5900000000001799</v>
      </c>
      <c r="BA886" s="1">
        <v>1.5900000000001799</v>
      </c>
      <c r="BE886" s="1">
        <v>1.5900000000001799</v>
      </c>
      <c r="BI886" s="1">
        <v>1.5900000000001799</v>
      </c>
      <c r="BM886" s="1">
        <v>1.5900000000001799</v>
      </c>
      <c r="BQ886" s="1">
        <v>1.5900000000001799</v>
      </c>
      <c r="BU886" s="1">
        <v>1.5900000000001799</v>
      </c>
    </row>
    <row r="887" spans="33:73" hidden="1" x14ac:dyDescent="0.25">
      <c r="AG887" s="1">
        <v>1.5800000000001799</v>
      </c>
      <c r="AH887" s="1">
        <f t="shared" si="39"/>
        <v>228.41999999999982</v>
      </c>
      <c r="AI887" s="1">
        <f t="shared" si="40"/>
        <v>228.41999999999982</v>
      </c>
      <c r="AK887" s="1">
        <v>1.5800000000001799</v>
      </c>
      <c r="AO887" s="1">
        <v>1.5800000000001799</v>
      </c>
      <c r="AS887" s="1">
        <v>1.5800000000001799</v>
      </c>
      <c r="AW887" s="1">
        <v>1.5800000000001799</v>
      </c>
      <c r="BA887" s="1">
        <v>1.5800000000001799</v>
      </c>
      <c r="BE887" s="1">
        <v>1.5800000000001799</v>
      </c>
      <c r="BI887" s="1">
        <v>1.5800000000001799</v>
      </c>
      <c r="BM887" s="1">
        <v>1.5800000000001799</v>
      </c>
      <c r="BQ887" s="1">
        <v>1.5800000000001799</v>
      </c>
      <c r="BU887" s="1">
        <v>1.5800000000001799</v>
      </c>
    </row>
    <row r="888" spans="33:73" hidden="1" x14ac:dyDescent="0.25">
      <c r="AG888" s="1">
        <v>1.5700000000001799</v>
      </c>
      <c r="AH888" s="1">
        <f t="shared" si="39"/>
        <v>228.42999999999981</v>
      </c>
      <c r="AI888" s="1">
        <f t="shared" si="40"/>
        <v>228.42999999999981</v>
      </c>
      <c r="AK888" s="1">
        <v>1.5700000000001799</v>
      </c>
      <c r="AO888" s="1">
        <v>1.5700000000001799</v>
      </c>
      <c r="AS888" s="1">
        <v>1.5700000000001799</v>
      </c>
      <c r="AW888" s="1">
        <v>1.5700000000001799</v>
      </c>
      <c r="BA888" s="1">
        <v>1.5700000000001799</v>
      </c>
      <c r="BE888" s="1">
        <v>1.5700000000001799</v>
      </c>
      <c r="BI888" s="1">
        <v>1.5700000000001799</v>
      </c>
      <c r="BM888" s="1">
        <v>1.5700000000001799</v>
      </c>
      <c r="BQ888" s="1">
        <v>1.5700000000001799</v>
      </c>
      <c r="BU888" s="1">
        <v>1.5700000000001799</v>
      </c>
    </row>
    <row r="889" spans="33:73" hidden="1" x14ac:dyDescent="0.25">
      <c r="AG889" s="1">
        <v>1.5600000000001799</v>
      </c>
      <c r="AH889" s="1">
        <f t="shared" si="39"/>
        <v>228.43999999999983</v>
      </c>
      <c r="AI889" s="1">
        <f t="shared" si="40"/>
        <v>228.43999999999983</v>
      </c>
      <c r="AK889" s="1">
        <v>1.5600000000001799</v>
      </c>
      <c r="AO889" s="1">
        <v>1.5600000000001799</v>
      </c>
      <c r="AS889" s="1">
        <v>1.5600000000001799</v>
      </c>
      <c r="AW889" s="1">
        <v>1.5600000000001799</v>
      </c>
      <c r="BA889" s="1">
        <v>1.5600000000001799</v>
      </c>
      <c r="BE889" s="1">
        <v>1.5600000000001799</v>
      </c>
      <c r="BI889" s="1">
        <v>1.5600000000001799</v>
      </c>
      <c r="BM889" s="1">
        <v>1.5600000000001799</v>
      </c>
      <c r="BQ889" s="1">
        <v>1.5600000000001799</v>
      </c>
      <c r="BU889" s="1">
        <v>1.5600000000001799</v>
      </c>
    </row>
    <row r="890" spans="33:73" hidden="1" x14ac:dyDescent="0.25">
      <c r="AG890" s="1">
        <v>1.5500000000001799</v>
      </c>
      <c r="AH890" s="1">
        <f t="shared" si="39"/>
        <v>228.44999999999982</v>
      </c>
      <c r="AI890" s="1">
        <f t="shared" si="40"/>
        <v>228.44999999999982</v>
      </c>
      <c r="AK890" s="1">
        <v>1.5500000000001799</v>
      </c>
      <c r="AO890" s="1">
        <v>1.5500000000001799</v>
      </c>
      <c r="AS890" s="1">
        <v>1.5500000000001799</v>
      </c>
      <c r="AW890" s="1">
        <v>1.5500000000001799</v>
      </c>
      <c r="BA890" s="1">
        <v>1.5500000000001799</v>
      </c>
      <c r="BE890" s="1">
        <v>1.5500000000001799</v>
      </c>
      <c r="BI890" s="1">
        <v>1.5500000000001799</v>
      </c>
      <c r="BM890" s="1">
        <v>1.5500000000001799</v>
      </c>
      <c r="BQ890" s="1">
        <v>1.5500000000001799</v>
      </c>
      <c r="BU890" s="1">
        <v>1.5500000000001799</v>
      </c>
    </row>
    <row r="891" spans="33:73" hidden="1" x14ac:dyDescent="0.25">
      <c r="AG891" s="1">
        <v>1.5400000000001799</v>
      </c>
      <c r="AH891" s="1">
        <f t="shared" si="39"/>
        <v>228.45999999999981</v>
      </c>
      <c r="AI891" s="1">
        <f t="shared" si="40"/>
        <v>228.45999999999981</v>
      </c>
      <c r="AK891" s="1">
        <v>1.5400000000001799</v>
      </c>
      <c r="AO891" s="1">
        <v>1.5400000000001799</v>
      </c>
      <c r="AS891" s="1">
        <v>1.5400000000001799</v>
      </c>
      <c r="AW891" s="1">
        <v>1.5400000000001799</v>
      </c>
      <c r="BA891" s="1">
        <v>1.5400000000001799</v>
      </c>
      <c r="BE891" s="1">
        <v>1.5400000000001799</v>
      </c>
      <c r="BI891" s="1">
        <v>1.5400000000001799</v>
      </c>
      <c r="BM891" s="1">
        <v>1.5400000000001799</v>
      </c>
      <c r="BQ891" s="1">
        <v>1.5400000000001799</v>
      </c>
      <c r="BU891" s="1">
        <v>1.5400000000001799</v>
      </c>
    </row>
    <row r="892" spans="33:73" hidden="1" x14ac:dyDescent="0.25">
      <c r="AG892" s="1">
        <v>1.5300000000001801</v>
      </c>
      <c r="AH892" s="1">
        <f t="shared" si="39"/>
        <v>228.46999999999983</v>
      </c>
      <c r="AI892" s="1">
        <f t="shared" si="40"/>
        <v>228.46999999999983</v>
      </c>
      <c r="AK892" s="1">
        <v>1.5300000000001801</v>
      </c>
      <c r="AO892" s="1">
        <v>1.5300000000001801</v>
      </c>
      <c r="AS892" s="1">
        <v>1.5300000000001801</v>
      </c>
      <c r="AW892" s="1">
        <v>1.5300000000001801</v>
      </c>
      <c r="BA892" s="1">
        <v>1.5300000000001801</v>
      </c>
      <c r="BE892" s="1">
        <v>1.5300000000001801</v>
      </c>
      <c r="BI892" s="1">
        <v>1.5300000000001801</v>
      </c>
      <c r="BM892" s="1">
        <v>1.5300000000001801</v>
      </c>
      <c r="BQ892" s="1">
        <v>1.5300000000001801</v>
      </c>
      <c r="BU892" s="1">
        <v>1.5300000000001801</v>
      </c>
    </row>
    <row r="893" spans="33:73" hidden="1" x14ac:dyDescent="0.25">
      <c r="AG893" s="1">
        <v>1.5200000000001801</v>
      </c>
      <c r="AH893" s="1">
        <f t="shared" si="39"/>
        <v>228.47999999999982</v>
      </c>
      <c r="AI893" s="1">
        <f t="shared" si="40"/>
        <v>228.47999999999982</v>
      </c>
      <c r="AK893" s="1">
        <v>1.5200000000001801</v>
      </c>
      <c r="AO893" s="1">
        <v>1.5200000000001801</v>
      </c>
      <c r="AS893" s="1">
        <v>1.5200000000001801</v>
      </c>
      <c r="AW893" s="1">
        <v>1.5200000000001801</v>
      </c>
      <c r="BA893" s="1">
        <v>1.5200000000001801</v>
      </c>
      <c r="BE893" s="1">
        <v>1.5200000000001801</v>
      </c>
      <c r="BI893" s="1">
        <v>1.5200000000001801</v>
      </c>
      <c r="BM893" s="1">
        <v>1.5200000000001801</v>
      </c>
      <c r="BQ893" s="1">
        <v>1.5200000000001801</v>
      </c>
      <c r="BU893" s="1">
        <v>1.5200000000001801</v>
      </c>
    </row>
    <row r="894" spans="33:73" hidden="1" x14ac:dyDescent="0.25">
      <c r="AG894" s="1">
        <v>1.5100000000001801</v>
      </c>
      <c r="AH894" s="1">
        <f t="shared" si="39"/>
        <v>228.48999999999981</v>
      </c>
      <c r="AI894" s="1">
        <f t="shared" si="40"/>
        <v>228.48999999999981</v>
      </c>
      <c r="AK894" s="1">
        <v>1.5100000000001801</v>
      </c>
      <c r="AO894" s="1">
        <v>1.5100000000001801</v>
      </c>
      <c r="AS894" s="1">
        <v>1.5100000000001801</v>
      </c>
      <c r="AW894" s="1">
        <v>1.5100000000001801</v>
      </c>
      <c r="BA894" s="1">
        <v>1.5100000000001801</v>
      </c>
      <c r="BE894" s="1">
        <v>1.5100000000001801</v>
      </c>
      <c r="BI894" s="1">
        <v>1.5100000000001801</v>
      </c>
      <c r="BM894" s="1">
        <v>1.5100000000001801</v>
      </c>
      <c r="BQ894" s="1">
        <v>1.5100000000001801</v>
      </c>
      <c r="BU894" s="1">
        <v>1.5100000000001801</v>
      </c>
    </row>
    <row r="895" spans="33:73" hidden="1" x14ac:dyDescent="0.25">
      <c r="AG895" s="1">
        <v>1.5000000000001801</v>
      </c>
      <c r="AH895" s="1">
        <f t="shared" si="39"/>
        <v>228.49999999999983</v>
      </c>
      <c r="AI895" s="1">
        <f t="shared" si="40"/>
        <v>228.49999999999983</v>
      </c>
      <c r="AK895" s="1">
        <v>1.5000000000001801</v>
      </c>
      <c r="AO895" s="1">
        <v>1.5000000000001801</v>
      </c>
      <c r="AS895" s="1">
        <v>1.5000000000001801</v>
      </c>
      <c r="AW895" s="1">
        <v>1.5000000000001801</v>
      </c>
      <c r="BA895" s="1">
        <v>1.5000000000001801</v>
      </c>
      <c r="BE895" s="1">
        <v>1.5000000000001801</v>
      </c>
      <c r="BI895" s="1">
        <v>1.5000000000001801</v>
      </c>
      <c r="BM895" s="1">
        <v>1.5000000000001801</v>
      </c>
      <c r="BQ895" s="1">
        <v>1.5000000000001801</v>
      </c>
      <c r="BU895" s="1">
        <v>1.5000000000001801</v>
      </c>
    </row>
    <row r="896" spans="33:73" hidden="1" x14ac:dyDescent="0.25">
      <c r="AG896" s="1">
        <v>1.4900000000001801</v>
      </c>
      <c r="AH896" s="1">
        <f t="shared" si="39"/>
        <v>228.50999999999982</v>
      </c>
      <c r="AI896" s="1">
        <f t="shared" si="40"/>
        <v>228.50999999999982</v>
      </c>
      <c r="AK896" s="1">
        <v>1.4900000000001801</v>
      </c>
      <c r="AO896" s="1">
        <v>1.4900000000001801</v>
      </c>
      <c r="AS896" s="1">
        <v>1.4900000000001801</v>
      </c>
      <c r="AW896" s="1">
        <v>1.4900000000001801</v>
      </c>
      <c r="BA896" s="1">
        <v>1.4900000000001801</v>
      </c>
      <c r="BE896" s="1">
        <v>1.4900000000001801</v>
      </c>
      <c r="BI896" s="1">
        <v>1.4900000000001801</v>
      </c>
      <c r="BM896" s="1">
        <v>1.4900000000001801</v>
      </c>
      <c r="BQ896" s="1">
        <v>1.4900000000001801</v>
      </c>
      <c r="BU896" s="1">
        <v>1.4900000000001801</v>
      </c>
    </row>
    <row r="897" spans="33:73" hidden="1" x14ac:dyDescent="0.25">
      <c r="AG897" s="1">
        <v>1.4800000000001801</v>
      </c>
      <c r="AH897" s="1">
        <f t="shared" si="39"/>
        <v>228.51999999999981</v>
      </c>
      <c r="AI897" s="1">
        <f t="shared" si="40"/>
        <v>228.51999999999981</v>
      </c>
      <c r="AK897" s="1">
        <v>1.4800000000001801</v>
      </c>
      <c r="AO897" s="1">
        <v>1.4800000000001801</v>
      </c>
      <c r="AS897" s="1">
        <v>1.4800000000001801</v>
      </c>
      <c r="AW897" s="1">
        <v>1.4800000000001801</v>
      </c>
      <c r="BA897" s="1">
        <v>1.4800000000001801</v>
      </c>
      <c r="BE897" s="1">
        <v>1.4800000000001801</v>
      </c>
      <c r="BI897" s="1">
        <v>1.4800000000001801</v>
      </c>
      <c r="BM897" s="1">
        <v>1.4800000000001801</v>
      </c>
      <c r="BQ897" s="1">
        <v>1.4800000000001801</v>
      </c>
      <c r="BU897" s="1">
        <v>1.4800000000001801</v>
      </c>
    </row>
    <row r="898" spans="33:73" hidden="1" x14ac:dyDescent="0.25">
      <c r="AG898" s="1">
        <v>1.4700000000001801</v>
      </c>
      <c r="AH898" s="1">
        <f t="shared" si="39"/>
        <v>228.52999999999983</v>
      </c>
      <c r="AI898" s="1">
        <f t="shared" si="40"/>
        <v>228.52999999999983</v>
      </c>
      <c r="AK898" s="1">
        <v>1.4700000000001801</v>
      </c>
      <c r="AO898" s="1">
        <v>1.4700000000001801</v>
      </c>
      <c r="AS898" s="1">
        <v>1.4700000000001801</v>
      </c>
      <c r="AW898" s="1">
        <v>1.4700000000001801</v>
      </c>
      <c r="BA898" s="1">
        <v>1.4700000000001801</v>
      </c>
      <c r="BE898" s="1">
        <v>1.4700000000001801</v>
      </c>
      <c r="BI898" s="1">
        <v>1.4700000000001801</v>
      </c>
      <c r="BM898" s="1">
        <v>1.4700000000001801</v>
      </c>
      <c r="BQ898" s="1">
        <v>1.4700000000001801</v>
      </c>
      <c r="BU898" s="1">
        <v>1.4700000000001801</v>
      </c>
    </row>
    <row r="899" spans="33:73" hidden="1" x14ac:dyDescent="0.25">
      <c r="AG899" s="1">
        <v>1.46000000000018</v>
      </c>
      <c r="AH899" s="1">
        <f t="shared" si="39"/>
        <v>228.53999999999982</v>
      </c>
      <c r="AI899" s="1">
        <f t="shared" si="40"/>
        <v>228.53999999999982</v>
      </c>
      <c r="AK899" s="1">
        <v>1.46000000000018</v>
      </c>
      <c r="AO899" s="1">
        <v>1.46000000000018</v>
      </c>
      <c r="AS899" s="1">
        <v>1.46000000000018</v>
      </c>
      <c r="AW899" s="1">
        <v>1.46000000000018</v>
      </c>
      <c r="BA899" s="1">
        <v>1.46000000000018</v>
      </c>
      <c r="BE899" s="1">
        <v>1.46000000000018</v>
      </c>
      <c r="BI899" s="1">
        <v>1.46000000000018</v>
      </c>
      <c r="BM899" s="1">
        <v>1.46000000000018</v>
      </c>
      <c r="BQ899" s="1">
        <v>1.46000000000018</v>
      </c>
      <c r="BU899" s="1">
        <v>1.46000000000018</v>
      </c>
    </row>
    <row r="900" spans="33:73" hidden="1" x14ac:dyDescent="0.25">
      <c r="AG900" s="1">
        <v>1.45000000000018</v>
      </c>
      <c r="AH900" s="1">
        <f t="shared" si="39"/>
        <v>228.54999999999981</v>
      </c>
      <c r="AI900" s="1">
        <f t="shared" si="40"/>
        <v>228.54999999999981</v>
      </c>
      <c r="AK900" s="1">
        <v>1.45000000000018</v>
      </c>
      <c r="AO900" s="1">
        <v>1.45000000000018</v>
      </c>
      <c r="AS900" s="1">
        <v>1.45000000000018</v>
      </c>
      <c r="AW900" s="1">
        <v>1.45000000000018</v>
      </c>
      <c r="BA900" s="1">
        <v>1.45000000000018</v>
      </c>
      <c r="BE900" s="1">
        <v>1.45000000000018</v>
      </c>
      <c r="BI900" s="1">
        <v>1.45000000000018</v>
      </c>
      <c r="BM900" s="1">
        <v>1.45000000000018</v>
      </c>
      <c r="BQ900" s="1">
        <v>1.45000000000018</v>
      </c>
      <c r="BU900" s="1">
        <v>1.45000000000018</v>
      </c>
    </row>
    <row r="901" spans="33:73" hidden="1" x14ac:dyDescent="0.25">
      <c r="AG901" s="1">
        <v>1.44000000000018</v>
      </c>
      <c r="AH901" s="1">
        <f t="shared" si="39"/>
        <v>228.55999999999983</v>
      </c>
      <c r="AI901" s="1">
        <f t="shared" si="40"/>
        <v>228.55999999999983</v>
      </c>
      <c r="AK901" s="1">
        <v>1.44000000000018</v>
      </c>
      <c r="AO901" s="1">
        <v>1.44000000000018</v>
      </c>
      <c r="AS901" s="1">
        <v>1.44000000000018</v>
      </c>
      <c r="AW901" s="1">
        <v>1.44000000000018</v>
      </c>
      <c r="BA901" s="1">
        <v>1.44000000000018</v>
      </c>
      <c r="BE901" s="1">
        <v>1.44000000000018</v>
      </c>
      <c r="BI901" s="1">
        <v>1.44000000000018</v>
      </c>
      <c r="BM901" s="1">
        <v>1.44000000000018</v>
      </c>
      <c r="BQ901" s="1">
        <v>1.44000000000018</v>
      </c>
      <c r="BU901" s="1">
        <v>1.44000000000018</v>
      </c>
    </row>
    <row r="902" spans="33:73" hidden="1" x14ac:dyDescent="0.25">
      <c r="AG902" s="1">
        <v>1.43000000000018</v>
      </c>
      <c r="AH902" s="1">
        <f t="shared" si="39"/>
        <v>228.56999999999982</v>
      </c>
      <c r="AI902" s="1">
        <f t="shared" si="40"/>
        <v>228.56999999999982</v>
      </c>
      <c r="AK902" s="1">
        <v>1.43000000000018</v>
      </c>
      <c r="AO902" s="1">
        <v>1.43000000000018</v>
      </c>
      <c r="AS902" s="1">
        <v>1.43000000000018</v>
      </c>
      <c r="AW902" s="1">
        <v>1.43000000000018</v>
      </c>
      <c r="BA902" s="1">
        <v>1.43000000000018</v>
      </c>
      <c r="BE902" s="1">
        <v>1.43000000000018</v>
      </c>
      <c r="BI902" s="1">
        <v>1.43000000000018</v>
      </c>
      <c r="BM902" s="1">
        <v>1.43000000000018</v>
      </c>
      <c r="BQ902" s="1">
        <v>1.43000000000018</v>
      </c>
      <c r="BU902" s="1">
        <v>1.43000000000018</v>
      </c>
    </row>
    <row r="903" spans="33:73" hidden="1" x14ac:dyDescent="0.25">
      <c r="AG903" s="1">
        <v>1.42000000000018</v>
      </c>
      <c r="AH903" s="1">
        <f t="shared" si="39"/>
        <v>228.57999999999981</v>
      </c>
      <c r="AI903" s="1">
        <f t="shared" si="40"/>
        <v>228.57999999999981</v>
      </c>
      <c r="AK903" s="1">
        <v>1.42000000000018</v>
      </c>
      <c r="AO903" s="1">
        <v>1.42000000000018</v>
      </c>
      <c r="AS903" s="1">
        <v>1.42000000000018</v>
      </c>
      <c r="AW903" s="1">
        <v>1.42000000000018</v>
      </c>
      <c r="BA903" s="1">
        <v>1.42000000000018</v>
      </c>
      <c r="BE903" s="1">
        <v>1.42000000000018</v>
      </c>
      <c r="BI903" s="1">
        <v>1.42000000000018</v>
      </c>
      <c r="BM903" s="1">
        <v>1.42000000000018</v>
      </c>
      <c r="BQ903" s="1">
        <v>1.42000000000018</v>
      </c>
      <c r="BU903" s="1">
        <v>1.42000000000018</v>
      </c>
    </row>
    <row r="904" spans="33:73" hidden="1" x14ac:dyDescent="0.25">
      <c r="AG904" s="1">
        <v>1.41000000000018</v>
      </c>
      <c r="AH904" s="1">
        <f t="shared" si="39"/>
        <v>228.58999999999983</v>
      </c>
      <c r="AI904" s="1">
        <f t="shared" si="40"/>
        <v>228.58999999999983</v>
      </c>
      <c r="AK904" s="1">
        <v>1.41000000000018</v>
      </c>
      <c r="AO904" s="1">
        <v>1.41000000000018</v>
      </c>
      <c r="AS904" s="1">
        <v>1.41000000000018</v>
      </c>
      <c r="AW904" s="1">
        <v>1.41000000000018</v>
      </c>
      <c r="BA904" s="1">
        <v>1.41000000000018</v>
      </c>
      <c r="BE904" s="1">
        <v>1.41000000000018</v>
      </c>
      <c r="BI904" s="1">
        <v>1.41000000000018</v>
      </c>
      <c r="BM904" s="1">
        <v>1.41000000000018</v>
      </c>
      <c r="BQ904" s="1">
        <v>1.41000000000018</v>
      </c>
      <c r="BU904" s="1">
        <v>1.41000000000018</v>
      </c>
    </row>
    <row r="905" spans="33:73" hidden="1" x14ac:dyDescent="0.25">
      <c r="AG905" s="1">
        <v>1.40000000000018</v>
      </c>
      <c r="AH905" s="1">
        <f t="shared" si="39"/>
        <v>228.59999999999982</v>
      </c>
      <c r="AI905" s="1">
        <f t="shared" si="40"/>
        <v>228.59999999999982</v>
      </c>
      <c r="AK905" s="1">
        <v>1.40000000000018</v>
      </c>
      <c r="AO905" s="1">
        <v>1.40000000000018</v>
      </c>
      <c r="AS905" s="1">
        <v>1.40000000000018</v>
      </c>
      <c r="AW905" s="1">
        <v>1.40000000000018</v>
      </c>
      <c r="BA905" s="1">
        <v>1.40000000000018</v>
      </c>
      <c r="BE905" s="1">
        <v>1.40000000000018</v>
      </c>
      <c r="BI905" s="1">
        <v>1.40000000000018</v>
      </c>
      <c r="BM905" s="1">
        <v>1.40000000000018</v>
      </c>
      <c r="BQ905" s="1">
        <v>1.40000000000018</v>
      </c>
      <c r="BU905" s="1">
        <v>1.40000000000018</v>
      </c>
    </row>
    <row r="906" spans="33:73" hidden="1" x14ac:dyDescent="0.25">
      <c r="AG906" s="1">
        <v>1.39000000000018</v>
      </c>
      <c r="AH906" s="1">
        <f t="shared" si="39"/>
        <v>228.60999999999981</v>
      </c>
      <c r="AI906" s="1">
        <f t="shared" si="40"/>
        <v>228.60999999999981</v>
      </c>
      <c r="AK906" s="1">
        <v>1.39000000000018</v>
      </c>
      <c r="AO906" s="1">
        <v>1.39000000000018</v>
      </c>
      <c r="AS906" s="1">
        <v>1.39000000000018</v>
      </c>
      <c r="AW906" s="1">
        <v>1.39000000000018</v>
      </c>
      <c r="BA906" s="1">
        <v>1.39000000000018</v>
      </c>
      <c r="BE906" s="1">
        <v>1.39000000000018</v>
      </c>
      <c r="BI906" s="1">
        <v>1.39000000000018</v>
      </c>
      <c r="BM906" s="1">
        <v>1.39000000000018</v>
      </c>
      <c r="BQ906" s="1">
        <v>1.39000000000018</v>
      </c>
      <c r="BU906" s="1">
        <v>1.39000000000018</v>
      </c>
    </row>
    <row r="907" spans="33:73" hidden="1" x14ac:dyDescent="0.25">
      <c r="AG907" s="1">
        <v>1.38000000000018</v>
      </c>
      <c r="AH907" s="1">
        <f t="shared" si="39"/>
        <v>228.61999999999983</v>
      </c>
      <c r="AI907" s="1">
        <f t="shared" si="40"/>
        <v>228.61999999999983</v>
      </c>
      <c r="AK907" s="1">
        <v>1.38000000000018</v>
      </c>
      <c r="AO907" s="1">
        <v>1.38000000000018</v>
      </c>
      <c r="AS907" s="1">
        <v>1.38000000000018</v>
      </c>
      <c r="AW907" s="1">
        <v>1.38000000000018</v>
      </c>
      <c r="BA907" s="1">
        <v>1.38000000000018</v>
      </c>
      <c r="BE907" s="1">
        <v>1.38000000000018</v>
      </c>
      <c r="BI907" s="1">
        <v>1.38000000000018</v>
      </c>
      <c r="BM907" s="1">
        <v>1.38000000000018</v>
      </c>
      <c r="BQ907" s="1">
        <v>1.38000000000018</v>
      </c>
      <c r="BU907" s="1">
        <v>1.38000000000018</v>
      </c>
    </row>
    <row r="908" spans="33:73" hidden="1" x14ac:dyDescent="0.25">
      <c r="AG908" s="1">
        <v>1.37000000000018</v>
      </c>
      <c r="AH908" s="1">
        <f t="shared" si="39"/>
        <v>228.62999999999982</v>
      </c>
      <c r="AI908" s="1">
        <f t="shared" si="40"/>
        <v>228.62999999999982</v>
      </c>
      <c r="AK908" s="1">
        <v>1.37000000000018</v>
      </c>
      <c r="AO908" s="1">
        <v>1.37000000000018</v>
      </c>
      <c r="AS908" s="1">
        <v>1.37000000000018</v>
      </c>
      <c r="AW908" s="1">
        <v>1.37000000000018</v>
      </c>
      <c r="BA908" s="1">
        <v>1.37000000000018</v>
      </c>
      <c r="BE908" s="1">
        <v>1.37000000000018</v>
      </c>
      <c r="BI908" s="1">
        <v>1.37000000000018</v>
      </c>
      <c r="BM908" s="1">
        <v>1.37000000000018</v>
      </c>
      <c r="BQ908" s="1">
        <v>1.37000000000018</v>
      </c>
      <c r="BU908" s="1">
        <v>1.37000000000018</v>
      </c>
    </row>
    <row r="909" spans="33:73" hidden="1" x14ac:dyDescent="0.25">
      <c r="AG909" s="1">
        <v>1.36000000000018</v>
      </c>
      <c r="AH909" s="1">
        <f t="shared" si="39"/>
        <v>228.63999999999982</v>
      </c>
      <c r="AI909" s="1">
        <f t="shared" si="40"/>
        <v>228.63999999999982</v>
      </c>
      <c r="AK909" s="1">
        <v>1.36000000000018</v>
      </c>
      <c r="AO909" s="1">
        <v>1.36000000000018</v>
      </c>
      <c r="AS909" s="1">
        <v>1.36000000000018</v>
      </c>
      <c r="AW909" s="1">
        <v>1.36000000000018</v>
      </c>
      <c r="BA909" s="1">
        <v>1.36000000000018</v>
      </c>
      <c r="BE909" s="1">
        <v>1.36000000000018</v>
      </c>
      <c r="BI909" s="1">
        <v>1.36000000000018</v>
      </c>
      <c r="BM909" s="1">
        <v>1.36000000000018</v>
      </c>
      <c r="BQ909" s="1">
        <v>1.36000000000018</v>
      </c>
      <c r="BU909" s="1">
        <v>1.36000000000018</v>
      </c>
    </row>
    <row r="910" spans="33:73" hidden="1" x14ac:dyDescent="0.25">
      <c r="AG910" s="1">
        <v>1.3500000000001799</v>
      </c>
      <c r="AH910" s="1">
        <f t="shared" si="39"/>
        <v>228.64999999999981</v>
      </c>
      <c r="AI910" s="1">
        <f t="shared" si="40"/>
        <v>228.64999999999981</v>
      </c>
      <c r="AK910" s="1">
        <v>1.3500000000001799</v>
      </c>
      <c r="AO910" s="1">
        <v>1.3500000000001799</v>
      </c>
      <c r="AS910" s="1">
        <v>1.3500000000001799</v>
      </c>
      <c r="AW910" s="1">
        <v>1.3500000000001799</v>
      </c>
      <c r="BA910" s="1">
        <v>1.3500000000001799</v>
      </c>
      <c r="BE910" s="1">
        <v>1.3500000000001799</v>
      </c>
      <c r="BI910" s="1">
        <v>1.3500000000001799</v>
      </c>
      <c r="BM910" s="1">
        <v>1.3500000000001799</v>
      </c>
      <c r="BQ910" s="1">
        <v>1.3500000000001799</v>
      </c>
      <c r="BU910" s="1">
        <v>1.3500000000001799</v>
      </c>
    </row>
    <row r="911" spans="33:73" hidden="1" x14ac:dyDescent="0.25">
      <c r="AG911" s="1">
        <v>1.3400000000001799</v>
      </c>
      <c r="AH911" s="1">
        <f t="shared" si="39"/>
        <v>228.65999999999983</v>
      </c>
      <c r="AI911" s="1">
        <f t="shared" si="40"/>
        <v>228.65999999999983</v>
      </c>
      <c r="AK911" s="1">
        <v>1.3400000000001799</v>
      </c>
      <c r="AO911" s="1">
        <v>1.3400000000001799</v>
      </c>
      <c r="AS911" s="1">
        <v>1.3400000000001799</v>
      </c>
      <c r="AW911" s="1">
        <v>1.3400000000001799</v>
      </c>
      <c r="BA911" s="1">
        <v>1.3400000000001799</v>
      </c>
      <c r="BE911" s="1">
        <v>1.3400000000001799</v>
      </c>
      <c r="BI911" s="1">
        <v>1.3400000000001799</v>
      </c>
      <c r="BM911" s="1">
        <v>1.3400000000001799</v>
      </c>
      <c r="BQ911" s="1">
        <v>1.3400000000001799</v>
      </c>
      <c r="BU911" s="1">
        <v>1.3400000000001799</v>
      </c>
    </row>
    <row r="912" spans="33:73" hidden="1" x14ac:dyDescent="0.25">
      <c r="AG912" s="1">
        <v>1.3300000000001799</v>
      </c>
      <c r="AH912" s="1">
        <f t="shared" si="39"/>
        <v>228.66999999999982</v>
      </c>
      <c r="AI912" s="1">
        <f t="shared" si="40"/>
        <v>228.66999999999982</v>
      </c>
      <c r="AK912" s="1">
        <v>1.3300000000001799</v>
      </c>
      <c r="AO912" s="1">
        <v>1.3300000000001799</v>
      </c>
      <c r="AS912" s="1">
        <v>1.3300000000001799</v>
      </c>
      <c r="AW912" s="1">
        <v>1.3300000000001799</v>
      </c>
      <c r="BA912" s="1">
        <v>1.3300000000001799</v>
      </c>
      <c r="BE912" s="1">
        <v>1.3300000000001799</v>
      </c>
      <c r="BI912" s="1">
        <v>1.3300000000001799</v>
      </c>
      <c r="BM912" s="1">
        <v>1.3300000000001799</v>
      </c>
      <c r="BQ912" s="1">
        <v>1.3300000000001799</v>
      </c>
      <c r="BU912" s="1">
        <v>1.3300000000001799</v>
      </c>
    </row>
    <row r="913" spans="33:73" hidden="1" x14ac:dyDescent="0.25">
      <c r="AG913" s="1">
        <v>1.3200000000001899</v>
      </c>
      <c r="AH913" s="1">
        <f t="shared" si="39"/>
        <v>228.67999999999981</v>
      </c>
      <c r="AI913" s="1">
        <f t="shared" si="40"/>
        <v>228.67999999999981</v>
      </c>
      <c r="AK913" s="1">
        <v>1.3200000000001899</v>
      </c>
      <c r="AO913" s="1">
        <v>1.3200000000001899</v>
      </c>
      <c r="AS913" s="1">
        <v>1.3200000000001899</v>
      </c>
      <c r="AW913" s="1">
        <v>1.3200000000001899</v>
      </c>
      <c r="BA913" s="1">
        <v>1.3200000000001899</v>
      </c>
      <c r="BE913" s="1">
        <v>1.3200000000001899</v>
      </c>
      <c r="BI913" s="1">
        <v>1.3200000000001899</v>
      </c>
      <c r="BM913" s="1">
        <v>1.3200000000001899</v>
      </c>
      <c r="BQ913" s="1">
        <v>1.3200000000001899</v>
      </c>
      <c r="BU913" s="1">
        <v>1.3200000000001899</v>
      </c>
    </row>
    <row r="914" spans="33:73" hidden="1" x14ac:dyDescent="0.25">
      <c r="AG914" s="1">
        <v>1.3100000000001899</v>
      </c>
      <c r="AH914" s="1">
        <f t="shared" si="39"/>
        <v>228.6899999999998</v>
      </c>
      <c r="AI914" s="1">
        <f t="shared" si="40"/>
        <v>228.6899999999998</v>
      </c>
      <c r="AK914" s="1">
        <v>1.3100000000001899</v>
      </c>
      <c r="AO914" s="1">
        <v>1.3100000000001899</v>
      </c>
      <c r="AS914" s="1">
        <v>1.3100000000001899</v>
      </c>
      <c r="AW914" s="1">
        <v>1.3100000000001899</v>
      </c>
      <c r="BA914" s="1">
        <v>1.3100000000001899</v>
      </c>
      <c r="BE914" s="1">
        <v>1.3100000000001899</v>
      </c>
      <c r="BI914" s="1">
        <v>1.3100000000001899</v>
      </c>
      <c r="BM914" s="1">
        <v>1.3100000000001899</v>
      </c>
      <c r="BQ914" s="1">
        <v>1.3100000000001899</v>
      </c>
      <c r="BU914" s="1">
        <v>1.3100000000001899</v>
      </c>
    </row>
    <row r="915" spans="33:73" hidden="1" x14ac:dyDescent="0.25">
      <c r="AG915" s="1">
        <v>1.3000000000001899</v>
      </c>
      <c r="AH915" s="1">
        <f t="shared" si="39"/>
        <v>228.69999999999982</v>
      </c>
      <c r="AI915" s="1">
        <f t="shared" si="40"/>
        <v>228.69999999999982</v>
      </c>
      <c r="AK915" s="1">
        <v>1.3000000000001899</v>
      </c>
      <c r="AO915" s="1">
        <v>1.3000000000001899</v>
      </c>
      <c r="AS915" s="1">
        <v>1.3000000000001899</v>
      </c>
      <c r="AW915" s="1">
        <v>1.3000000000001899</v>
      </c>
      <c r="BA915" s="1">
        <v>1.3000000000001899</v>
      </c>
      <c r="BE915" s="1">
        <v>1.3000000000001899</v>
      </c>
      <c r="BI915" s="1">
        <v>1.3000000000001899</v>
      </c>
      <c r="BM915" s="1">
        <v>1.3000000000001899</v>
      </c>
      <c r="BQ915" s="1">
        <v>1.3000000000001899</v>
      </c>
      <c r="BU915" s="1">
        <v>1.3000000000001899</v>
      </c>
    </row>
    <row r="916" spans="33:73" hidden="1" x14ac:dyDescent="0.25">
      <c r="AG916" s="1">
        <v>1.2900000000001901</v>
      </c>
      <c r="AH916" s="1">
        <f t="shared" si="39"/>
        <v>228.70999999999981</v>
      </c>
      <c r="AI916" s="1">
        <f t="shared" si="40"/>
        <v>228.70999999999981</v>
      </c>
      <c r="AK916" s="1">
        <v>1.2900000000001901</v>
      </c>
      <c r="AO916" s="1">
        <v>1.2900000000001901</v>
      </c>
      <c r="AS916" s="1">
        <v>1.2900000000001901</v>
      </c>
      <c r="AW916" s="1">
        <v>1.2900000000001901</v>
      </c>
      <c r="BA916" s="1">
        <v>1.2900000000001901</v>
      </c>
      <c r="BE916" s="1">
        <v>1.2900000000001901</v>
      </c>
      <c r="BI916" s="1">
        <v>1.2900000000001901</v>
      </c>
      <c r="BM916" s="1">
        <v>1.2900000000001901</v>
      </c>
      <c r="BQ916" s="1">
        <v>1.2900000000001901</v>
      </c>
      <c r="BU916" s="1">
        <v>1.2900000000001901</v>
      </c>
    </row>
    <row r="917" spans="33:73" hidden="1" x14ac:dyDescent="0.25">
      <c r="AG917" s="1">
        <v>1.2800000000001901</v>
      </c>
      <c r="AH917" s="1">
        <f t="shared" si="39"/>
        <v>228.7199999999998</v>
      </c>
      <c r="AI917" s="1">
        <f t="shared" si="40"/>
        <v>228.7199999999998</v>
      </c>
      <c r="AK917" s="1">
        <v>1.2800000000001901</v>
      </c>
      <c r="AO917" s="1">
        <v>1.2800000000001901</v>
      </c>
      <c r="AS917" s="1">
        <v>1.2800000000001901</v>
      </c>
      <c r="AW917" s="1">
        <v>1.2800000000001901</v>
      </c>
      <c r="BA917" s="1">
        <v>1.2800000000001901</v>
      </c>
      <c r="BE917" s="1">
        <v>1.2800000000001901</v>
      </c>
      <c r="BI917" s="1">
        <v>1.2800000000001901</v>
      </c>
      <c r="BM917" s="1">
        <v>1.2800000000001901</v>
      </c>
      <c r="BQ917" s="1">
        <v>1.2800000000001901</v>
      </c>
      <c r="BU917" s="1">
        <v>1.2800000000001901</v>
      </c>
    </row>
    <row r="918" spans="33:73" hidden="1" x14ac:dyDescent="0.25">
      <c r="AG918" s="1">
        <v>1.2700000000001901</v>
      </c>
      <c r="AH918" s="1">
        <f t="shared" si="39"/>
        <v>228.72999999999982</v>
      </c>
      <c r="AI918" s="1">
        <f t="shared" si="40"/>
        <v>228.72999999999982</v>
      </c>
      <c r="AK918" s="1">
        <v>1.2700000000001901</v>
      </c>
      <c r="AO918" s="1">
        <v>1.2700000000001901</v>
      </c>
      <c r="AS918" s="1">
        <v>1.2700000000001901</v>
      </c>
      <c r="AW918" s="1">
        <v>1.2700000000001901</v>
      </c>
      <c r="BA918" s="1">
        <v>1.2700000000001901</v>
      </c>
      <c r="BE918" s="1">
        <v>1.2700000000001901</v>
      </c>
      <c r="BI918" s="1">
        <v>1.2700000000001901</v>
      </c>
      <c r="BM918" s="1">
        <v>1.2700000000001901</v>
      </c>
      <c r="BQ918" s="1">
        <v>1.2700000000001901</v>
      </c>
      <c r="BU918" s="1">
        <v>1.2700000000001901</v>
      </c>
    </row>
    <row r="919" spans="33:73" hidden="1" x14ac:dyDescent="0.25">
      <c r="AG919" s="1">
        <v>1.2600000000001901</v>
      </c>
      <c r="AH919" s="1">
        <f t="shared" si="39"/>
        <v>228.73999999999981</v>
      </c>
      <c r="AI919" s="1">
        <f t="shared" si="40"/>
        <v>228.73999999999981</v>
      </c>
      <c r="AK919" s="1">
        <v>1.2600000000001901</v>
      </c>
      <c r="AO919" s="1">
        <v>1.2600000000001901</v>
      </c>
      <c r="AS919" s="1">
        <v>1.2600000000001901</v>
      </c>
      <c r="AW919" s="1">
        <v>1.2600000000001901</v>
      </c>
      <c r="BA919" s="1">
        <v>1.2600000000001901</v>
      </c>
      <c r="BE919" s="1">
        <v>1.2600000000001901</v>
      </c>
      <c r="BI919" s="1">
        <v>1.2600000000001901</v>
      </c>
      <c r="BM919" s="1">
        <v>1.2600000000001901</v>
      </c>
      <c r="BQ919" s="1">
        <v>1.2600000000001901</v>
      </c>
      <c r="BU919" s="1">
        <v>1.2600000000001901</v>
      </c>
    </row>
    <row r="920" spans="33:73" hidden="1" x14ac:dyDescent="0.25">
      <c r="AG920" s="1">
        <v>1.2500000000001901</v>
      </c>
      <c r="AH920" s="1">
        <f t="shared" si="39"/>
        <v>228.7499999999998</v>
      </c>
      <c r="AI920" s="1">
        <f t="shared" si="40"/>
        <v>228.7499999999998</v>
      </c>
      <c r="AK920" s="1">
        <v>1.2500000000001901</v>
      </c>
      <c r="AO920" s="1">
        <v>1.2500000000001901</v>
      </c>
      <c r="AS920" s="1">
        <v>1.2500000000001901</v>
      </c>
      <c r="AW920" s="1">
        <v>1.2500000000001901</v>
      </c>
      <c r="BA920" s="1">
        <v>1.2500000000001901</v>
      </c>
      <c r="BE920" s="1">
        <v>1.2500000000001901</v>
      </c>
      <c r="BI920" s="1">
        <v>1.2500000000001901</v>
      </c>
      <c r="BM920" s="1">
        <v>1.2500000000001901</v>
      </c>
      <c r="BQ920" s="1">
        <v>1.2500000000001901</v>
      </c>
      <c r="BU920" s="1">
        <v>1.2500000000001901</v>
      </c>
    </row>
    <row r="921" spans="33:73" hidden="1" x14ac:dyDescent="0.25">
      <c r="AG921" s="1">
        <v>1.2400000000001901</v>
      </c>
      <c r="AH921" s="1">
        <f t="shared" si="39"/>
        <v>228.75999999999982</v>
      </c>
      <c r="AI921" s="1">
        <f t="shared" si="40"/>
        <v>228.75999999999982</v>
      </c>
      <c r="AK921" s="1">
        <v>1.2400000000001901</v>
      </c>
      <c r="AO921" s="1">
        <v>1.2400000000001901</v>
      </c>
      <c r="AS921" s="1">
        <v>1.2400000000001901</v>
      </c>
      <c r="AW921" s="1">
        <v>1.2400000000001901</v>
      </c>
      <c r="BA921" s="1">
        <v>1.2400000000001901</v>
      </c>
      <c r="BE921" s="1">
        <v>1.2400000000001901</v>
      </c>
      <c r="BI921" s="1">
        <v>1.2400000000001901</v>
      </c>
      <c r="BM921" s="1">
        <v>1.2400000000001901</v>
      </c>
      <c r="BQ921" s="1">
        <v>1.2400000000001901</v>
      </c>
      <c r="BU921" s="1">
        <v>1.2400000000001901</v>
      </c>
    </row>
    <row r="922" spans="33:73" hidden="1" x14ac:dyDescent="0.25">
      <c r="AG922" s="1">
        <v>1.2300000000001901</v>
      </c>
      <c r="AH922" s="1">
        <f t="shared" si="39"/>
        <v>228.76999999999981</v>
      </c>
      <c r="AI922" s="1">
        <f t="shared" si="40"/>
        <v>228.76999999999981</v>
      </c>
      <c r="AK922" s="1">
        <v>1.2300000000001901</v>
      </c>
      <c r="AO922" s="1">
        <v>1.2300000000001901</v>
      </c>
      <c r="AS922" s="1">
        <v>1.2300000000001901</v>
      </c>
      <c r="AW922" s="1">
        <v>1.2300000000001901</v>
      </c>
      <c r="BA922" s="1">
        <v>1.2300000000001901</v>
      </c>
      <c r="BE922" s="1">
        <v>1.2300000000001901</v>
      </c>
      <c r="BI922" s="1">
        <v>1.2300000000001901</v>
      </c>
      <c r="BM922" s="1">
        <v>1.2300000000001901</v>
      </c>
      <c r="BQ922" s="1">
        <v>1.2300000000001901</v>
      </c>
      <c r="BU922" s="1">
        <v>1.2300000000001901</v>
      </c>
    </row>
    <row r="923" spans="33:73" hidden="1" x14ac:dyDescent="0.25">
      <c r="AG923" s="1">
        <v>1.22000000000019</v>
      </c>
      <c r="AH923" s="1">
        <f t="shared" si="39"/>
        <v>228.7799999999998</v>
      </c>
      <c r="AI923" s="1">
        <f t="shared" si="40"/>
        <v>228.7799999999998</v>
      </c>
      <c r="AK923" s="1">
        <v>1.22000000000019</v>
      </c>
      <c r="AO923" s="1">
        <v>1.22000000000019</v>
      </c>
      <c r="AS923" s="1">
        <v>1.22000000000019</v>
      </c>
      <c r="AW923" s="1">
        <v>1.22000000000019</v>
      </c>
      <c r="BA923" s="1">
        <v>1.22000000000019</v>
      </c>
      <c r="BE923" s="1">
        <v>1.22000000000019</v>
      </c>
      <c r="BI923" s="1">
        <v>1.22000000000019</v>
      </c>
      <c r="BM923" s="1">
        <v>1.22000000000019</v>
      </c>
      <c r="BQ923" s="1">
        <v>1.22000000000019</v>
      </c>
      <c r="BU923" s="1">
        <v>1.22000000000019</v>
      </c>
    </row>
    <row r="924" spans="33:73" hidden="1" x14ac:dyDescent="0.25">
      <c r="AG924" s="1">
        <v>1.21000000000019</v>
      </c>
      <c r="AH924" s="1">
        <f t="shared" si="39"/>
        <v>228.78999999999982</v>
      </c>
      <c r="AI924" s="1">
        <f t="shared" si="40"/>
        <v>228.78999999999982</v>
      </c>
      <c r="AK924" s="1">
        <v>1.21000000000019</v>
      </c>
      <c r="AO924" s="1">
        <v>1.21000000000019</v>
      </c>
      <c r="AS924" s="1">
        <v>1.21000000000019</v>
      </c>
      <c r="AW924" s="1">
        <v>1.21000000000019</v>
      </c>
      <c r="BA924" s="1">
        <v>1.21000000000019</v>
      </c>
      <c r="BE924" s="1">
        <v>1.21000000000019</v>
      </c>
      <c r="BI924" s="1">
        <v>1.21000000000019</v>
      </c>
      <c r="BM924" s="1">
        <v>1.21000000000019</v>
      </c>
      <c r="BQ924" s="1">
        <v>1.21000000000019</v>
      </c>
      <c r="BU924" s="1">
        <v>1.21000000000019</v>
      </c>
    </row>
    <row r="925" spans="33:73" hidden="1" x14ac:dyDescent="0.25">
      <c r="AG925" s="1">
        <v>1.20000000000019</v>
      </c>
      <c r="AH925" s="1">
        <f t="shared" si="39"/>
        <v>228.79999999999981</v>
      </c>
      <c r="AI925" s="1">
        <f t="shared" si="40"/>
        <v>228.79999999999981</v>
      </c>
      <c r="AK925" s="1">
        <v>1.20000000000019</v>
      </c>
      <c r="AO925" s="1">
        <v>1.20000000000019</v>
      </c>
      <c r="AS925" s="1">
        <v>1.20000000000019</v>
      </c>
      <c r="AW925" s="1">
        <v>1.20000000000019</v>
      </c>
      <c r="BA925" s="1">
        <v>1.20000000000019</v>
      </c>
      <c r="BE925" s="1">
        <v>1.20000000000019</v>
      </c>
      <c r="BI925" s="1">
        <v>1.20000000000019</v>
      </c>
      <c r="BM925" s="1">
        <v>1.20000000000019</v>
      </c>
      <c r="BQ925" s="1">
        <v>1.20000000000019</v>
      </c>
      <c r="BU925" s="1">
        <v>1.20000000000019</v>
      </c>
    </row>
    <row r="926" spans="33:73" hidden="1" x14ac:dyDescent="0.25">
      <c r="AG926" s="1">
        <v>1.19000000000019</v>
      </c>
      <c r="AH926" s="1">
        <f t="shared" si="39"/>
        <v>228.8099999999998</v>
      </c>
      <c r="AI926" s="1">
        <f t="shared" si="40"/>
        <v>228.8099999999998</v>
      </c>
      <c r="AK926" s="1">
        <v>1.19000000000019</v>
      </c>
      <c r="AO926" s="1">
        <v>1.19000000000019</v>
      </c>
      <c r="AS926" s="1">
        <v>1.19000000000019</v>
      </c>
      <c r="AW926" s="1">
        <v>1.19000000000019</v>
      </c>
      <c r="BA926" s="1">
        <v>1.19000000000019</v>
      </c>
      <c r="BE926" s="1">
        <v>1.19000000000019</v>
      </c>
      <c r="BI926" s="1">
        <v>1.19000000000019</v>
      </c>
      <c r="BM926" s="1">
        <v>1.19000000000019</v>
      </c>
      <c r="BQ926" s="1">
        <v>1.19000000000019</v>
      </c>
      <c r="BU926" s="1">
        <v>1.19000000000019</v>
      </c>
    </row>
    <row r="927" spans="33:73" hidden="1" x14ac:dyDescent="0.25">
      <c r="AG927" s="1">
        <v>1.18000000000019</v>
      </c>
      <c r="AH927" s="1">
        <f t="shared" si="39"/>
        <v>228.81999999999982</v>
      </c>
      <c r="AI927" s="1">
        <f t="shared" si="40"/>
        <v>228.81999999999982</v>
      </c>
      <c r="AK927" s="1">
        <v>1.18000000000019</v>
      </c>
      <c r="AO927" s="1">
        <v>1.18000000000019</v>
      </c>
      <c r="AS927" s="1">
        <v>1.18000000000019</v>
      </c>
      <c r="AW927" s="1">
        <v>1.18000000000019</v>
      </c>
      <c r="BA927" s="1">
        <v>1.18000000000019</v>
      </c>
      <c r="BE927" s="1">
        <v>1.18000000000019</v>
      </c>
      <c r="BI927" s="1">
        <v>1.18000000000019</v>
      </c>
      <c r="BM927" s="1">
        <v>1.18000000000019</v>
      </c>
      <c r="BQ927" s="1">
        <v>1.18000000000019</v>
      </c>
      <c r="BU927" s="1">
        <v>1.18000000000019</v>
      </c>
    </row>
    <row r="928" spans="33:73" hidden="1" x14ac:dyDescent="0.25">
      <c r="AG928" s="1">
        <v>1.17000000000019</v>
      </c>
      <c r="AH928" s="1">
        <f t="shared" si="39"/>
        <v>228.82999999999981</v>
      </c>
      <c r="AI928" s="1">
        <f t="shared" si="40"/>
        <v>228.82999999999981</v>
      </c>
      <c r="AK928" s="1">
        <v>1.17000000000019</v>
      </c>
      <c r="AO928" s="1">
        <v>1.17000000000019</v>
      </c>
      <c r="AS928" s="1">
        <v>1.17000000000019</v>
      </c>
      <c r="AW928" s="1">
        <v>1.17000000000019</v>
      </c>
      <c r="BA928" s="1">
        <v>1.17000000000019</v>
      </c>
      <c r="BE928" s="1">
        <v>1.17000000000019</v>
      </c>
      <c r="BI928" s="1">
        <v>1.17000000000019</v>
      </c>
      <c r="BM928" s="1">
        <v>1.17000000000019</v>
      </c>
      <c r="BQ928" s="1">
        <v>1.17000000000019</v>
      </c>
      <c r="BU928" s="1">
        <v>1.17000000000019</v>
      </c>
    </row>
    <row r="929" spans="33:73" hidden="1" x14ac:dyDescent="0.25">
      <c r="AG929" s="1">
        <v>1.16000000000019</v>
      </c>
      <c r="AH929" s="1">
        <f t="shared" si="39"/>
        <v>228.8399999999998</v>
      </c>
      <c r="AI929" s="1">
        <f t="shared" si="40"/>
        <v>228.8399999999998</v>
      </c>
      <c r="AK929" s="1">
        <v>1.16000000000019</v>
      </c>
      <c r="AO929" s="1">
        <v>1.16000000000019</v>
      </c>
      <c r="AS929" s="1">
        <v>1.16000000000019</v>
      </c>
      <c r="AW929" s="1">
        <v>1.16000000000019</v>
      </c>
      <c r="BA929" s="1">
        <v>1.16000000000019</v>
      </c>
      <c r="BE929" s="1">
        <v>1.16000000000019</v>
      </c>
      <c r="BI929" s="1">
        <v>1.16000000000019</v>
      </c>
      <c r="BM929" s="1">
        <v>1.16000000000019</v>
      </c>
      <c r="BQ929" s="1">
        <v>1.16000000000019</v>
      </c>
      <c r="BU929" s="1">
        <v>1.16000000000019</v>
      </c>
    </row>
    <row r="930" spans="33:73" hidden="1" x14ac:dyDescent="0.25">
      <c r="AG930" s="1">
        <v>1.15000000000019</v>
      </c>
      <c r="AH930" s="1">
        <f t="shared" si="39"/>
        <v>228.84999999999982</v>
      </c>
      <c r="AI930" s="1">
        <f t="shared" si="40"/>
        <v>228.84999999999982</v>
      </c>
      <c r="AK930" s="1">
        <v>1.15000000000019</v>
      </c>
      <c r="AO930" s="1">
        <v>1.15000000000019</v>
      </c>
      <c r="AS930" s="1">
        <v>1.15000000000019</v>
      </c>
      <c r="AW930" s="1">
        <v>1.15000000000019</v>
      </c>
      <c r="BA930" s="1">
        <v>1.15000000000019</v>
      </c>
      <c r="BE930" s="1">
        <v>1.15000000000019</v>
      </c>
      <c r="BI930" s="1">
        <v>1.15000000000019</v>
      </c>
      <c r="BM930" s="1">
        <v>1.15000000000019</v>
      </c>
      <c r="BQ930" s="1">
        <v>1.15000000000019</v>
      </c>
      <c r="BU930" s="1">
        <v>1.15000000000019</v>
      </c>
    </row>
    <row r="931" spans="33:73" hidden="1" x14ac:dyDescent="0.25">
      <c r="AG931" s="1">
        <v>1.14000000000019</v>
      </c>
      <c r="AH931" s="1">
        <f t="shared" si="39"/>
        <v>228.85999999999981</v>
      </c>
      <c r="AI931" s="1">
        <f t="shared" si="40"/>
        <v>228.85999999999981</v>
      </c>
      <c r="AK931" s="1">
        <v>1.14000000000019</v>
      </c>
      <c r="AO931" s="1">
        <v>1.14000000000019</v>
      </c>
      <c r="AS931" s="1">
        <v>1.14000000000019</v>
      </c>
      <c r="AW931" s="1">
        <v>1.14000000000019</v>
      </c>
      <c r="BA931" s="1">
        <v>1.14000000000019</v>
      </c>
      <c r="BE931" s="1">
        <v>1.14000000000019</v>
      </c>
      <c r="BI931" s="1">
        <v>1.14000000000019</v>
      </c>
      <c r="BM931" s="1">
        <v>1.14000000000019</v>
      </c>
      <c r="BQ931" s="1">
        <v>1.14000000000019</v>
      </c>
      <c r="BU931" s="1">
        <v>1.14000000000019</v>
      </c>
    </row>
    <row r="932" spans="33:73" hidden="1" x14ac:dyDescent="0.25">
      <c r="AG932" s="1">
        <v>1.13000000000019</v>
      </c>
      <c r="AH932" s="1">
        <f t="shared" si="39"/>
        <v>228.86999999999981</v>
      </c>
      <c r="AI932" s="1">
        <f t="shared" si="40"/>
        <v>228.86999999999981</v>
      </c>
      <c r="AK932" s="1">
        <v>1.13000000000019</v>
      </c>
      <c r="AO932" s="1">
        <v>1.13000000000019</v>
      </c>
      <c r="AS932" s="1">
        <v>1.13000000000019</v>
      </c>
      <c r="AW932" s="1">
        <v>1.13000000000019</v>
      </c>
      <c r="BA932" s="1">
        <v>1.13000000000019</v>
      </c>
      <c r="BE932" s="1">
        <v>1.13000000000019</v>
      </c>
      <c r="BI932" s="1">
        <v>1.13000000000019</v>
      </c>
      <c r="BM932" s="1">
        <v>1.13000000000019</v>
      </c>
      <c r="BQ932" s="1">
        <v>1.13000000000019</v>
      </c>
      <c r="BU932" s="1">
        <v>1.13000000000019</v>
      </c>
    </row>
    <row r="933" spans="33:73" hidden="1" x14ac:dyDescent="0.25">
      <c r="AG933" s="1">
        <v>1.12000000000019</v>
      </c>
      <c r="AH933" s="1">
        <f t="shared" si="39"/>
        <v>228.8799999999998</v>
      </c>
      <c r="AI933" s="1">
        <f t="shared" si="40"/>
        <v>228.8799999999998</v>
      </c>
      <c r="AK933" s="1">
        <v>1.12000000000019</v>
      </c>
      <c r="AO933" s="1">
        <v>1.12000000000019</v>
      </c>
      <c r="AS933" s="1">
        <v>1.12000000000019</v>
      </c>
      <c r="AW933" s="1">
        <v>1.12000000000019</v>
      </c>
      <c r="BA933" s="1">
        <v>1.12000000000019</v>
      </c>
      <c r="BE933" s="1">
        <v>1.12000000000019</v>
      </c>
      <c r="BI933" s="1">
        <v>1.12000000000019</v>
      </c>
      <c r="BM933" s="1">
        <v>1.12000000000019</v>
      </c>
      <c r="BQ933" s="1">
        <v>1.12000000000019</v>
      </c>
      <c r="BU933" s="1">
        <v>1.12000000000019</v>
      </c>
    </row>
    <row r="934" spans="33:73" hidden="1" x14ac:dyDescent="0.25">
      <c r="AG934" s="1">
        <v>1.1100000000001899</v>
      </c>
      <c r="AH934" s="1">
        <f t="shared" si="39"/>
        <v>228.88999999999982</v>
      </c>
      <c r="AI934" s="1">
        <f t="shared" si="40"/>
        <v>228.88999999999982</v>
      </c>
      <c r="AK934" s="1">
        <v>1.1100000000001899</v>
      </c>
      <c r="AO934" s="1">
        <v>1.1100000000001899</v>
      </c>
      <c r="AS934" s="1">
        <v>1.1100000000001899</v>
      </c>
      <c r="AW934" s="1">
        <v>1.1100000000001899</v>
      </c>
      <c r="BA934" s="1">
        <v>1.1100000000001899</v>
      </c>
      <c r="BE934" s="1">
        <v>1.1100000000001899</v>
      </c>
      <c r="BI934" s="1">
        <v>1.1100000000001899</v>
      </c>
      <c r="BM934" s="1">
        <v>1.1100000000001899</v>
      </c>
      <c r="BQ934" s="1">
        <v>1.1100000000001899</v>
      </c>
      <c r="BU934" s="1">
        <v>1.1100000000001899</v>
      </c>
    </row>
    <row r="935" spans="33:73" hidden="1" x14ac:dyDescent="0.25">
      <c r="AG935" s="1">
        <v>1.1000000000001899</v>
      </c>
      <c r="AH935" s="1">
        <f t="shared" si="39"/>
        <v>228.89999999999981</v>
      </c>
      <c r="AI935" s="1">
        <f t="shared" si="40"/>
        <v>228.89999999999981</v>
      </c>
      <c r="AK935" s="1">
        <v>1.1000000000001899</v>
      </c>
      <c r="AO935" s="1">
        <v>1.1000000000001899</v>
      </c>
      <c r="AS935" s="1">
        <v>1.1000000000001899</v>
      </c>
      <c r="AW935" s="1">
        <v>1.1000000000001899</v>
      </c>
      <c r="BA935" s="1">
        <v>1.1000000000001899</v>
      </c>
      <c r="BE935" s="1">
        <v>1.1000000000001899</v>
      </c>
      <c r="BI935" s="1">
        <v>1.1000000000001899</v>
      </c>
      <c r="BM935" s="1">
        <v>1.1000000000001899</v>
      </c>
      <c r="BQ935" s="1">
        <v>1.1000000000001899</v>
      </c>
      <c r="BU935" s="1">
        <v>1.1000000000001899</v>
      </c>
    </row>
    <row r="936" spans="33:73" hidden="1" x14ac:dyDescent="0.25">
      <c r="AG936" s="1">
        <v>1.0900000000001899</v>
      </c>
      <c r="AH936" s="1">
        <f t="shared" si="39"/>
        <v>228.9099999999998</v>
      </c>
      <c r="AI936" s="1">
        <f t="shared" si="40"/>
        <v>228.9099999999998</v>
      </c>
      <c r="AK936" s="1">
        <v>1.0900000000001899</v>
      </c>
      <c r="AO936" s="1">
        <v>1.0900000000001899</v>
      </c>
      <c r="AS936" s="1">
        <v>1.0900000000001899</v>
      </c>
      <c r="AW936" s="1">
        <v>1.0900000000001899</v>
      </c>
      <c r="BA936" s="1">
        <v>1.0900000000001899</v>
      </c>
      <c r="BE936" s="1">
        <v>1.0900000000001899</v>
      </c>
      <c r="BI936" s="1">
        <v>1.0900000000001899</v>
      </c>
      <c r="BM936" s="1">
        <v>1.0900000000001899</v>
      </c>
      <c r="BQ936" s="1">
        <v>1.0900000000001899</v>
      </c>
      <c r="BU936" s="1">
        <v>1.0900000000001899</v>
      </c>
    </row>
    <row r="937" spans="33:73" hidden="1" x14ac:dyDescent="0.25">
      <c r="AG937" s="1">
        <v>1.0800000000001899</v>
      </c>
      <c r="AH937" s="1">
        <f t="shared" si="39"/>
        <v>228.91999999999982</v>
      </c>
      <c r="AI937" s="1">
        <f t="shared" si="40"/>
        <v>228.91999999999982</v>
      </c>
      <c r="AK937" s="1">
        <v>1.0800000000001899</v>
      </c>
      <c r="AO937" s="1">
        <v>1.0800000000001899</v>
      </c>
      <c r="AS937" s="1">
        <v>1.0800000000001899</v>
      </c>
      <c r="AW937" s="1">
        <v>1.0800000000001899</v>
      </c>
      <c r="BA937" s="1">
        <v>1.0800000000001899</v>
      </c>
      <c r="BE937" s="1">
        <v>1.0800000000001899</v>
      </c>
      <c r="BI937" s="1">
        <v>1.0800000000001899</v>
      </c>
      <c r="BM937" s="1">
        <v>1.0800000000001899</v>
      </c>
      <c r="BQ937" s="1">
        <v>1.0800000000001899</v>
      </c>
      <c r="BU937" s="1">
        <v>1.0800000000001899</v>
      </c>
    </row>
    <row r="938" spans="33:73" hidden="1" x14ac:dyDescent="0.25">
      <c r="AG938" s="1">
        <v>1.0700000000001899</v>
      </c>
      <c r="AH938" s="1">
        <f t="shared" si="39"/>
        <v>228.92999999999981</v>
      </c>
      <c r="AI938" s="1">
        <f t="shared" si="40"/>
        <v>228.92999999999981</v>
      </c>
      <c r="AK938" s="1">
        <v>1.0700000000001899</v>
      </c>
      <c r="AO938" s="1">
        <v>1.0700000000001899</v>
      </c>
      <c r="AS938" s="1">
        <v>1.0700000000001899</v>
      </c>
      <c r="AW938" s="1">
        <v>1.0700000000001899</v>
      </c>
      <c r="BA938" s="1">
        <v>1.0700000000001899</v>
      </c>
      <c r="BE938" s="1">
        <v>1.0700000000001899</v>
      </c>
      <c r="BI938" s="1">
        <v>1.0700000000001899</v>
      </c>
      <c r="BM938" s="1">
        <v>1.0700000000001899</v>
      </c>
      <c r="BQ938" s="1">
        <v>1.0700000000001899</v>
      </c>
      <c r="BU938" s="1">
        <v>1.0700000000001899</v>
      </c>
    </row>
    <row r="939" spans="33:73" hidden="1" x14ac:dyDescent="0.25">
      <c r="AG939" s="1">
        <v>1.0600000000001899</v>
      </c>
      <c r="AH939" s="1">
        <f t="shared" si="39"/>
        <v>228.9399999999998</v>
      </c>
      <c r="AI939" s="1">
        <f t="shared" si="40"/>
        <v>228.9399999999998</v>
      </c>
      <c r="AK939" s="1">
        <v>1.0600000000001899</v>
      </c>
      <c r="AO939" s="1">
        <v>1.0600000000001899</v>
      </c>
      <c r="AS939" s="1">
        <v>1.0600000000001899</v>
      </c>
      <c r="AW939" s="1">
        <v>1.0600000000001899</v>
      </c>
      <c r="BA939" s="1">
        <v>1.0600000000001899</v>
      </c>
      <c r="BE939" s="1">
        <v>1.0600000000001899</v>
      </c>
      <c r="BI939" s="1">
        <v>1.0600000000001899</v>
      </c>
      <c r="BM939" s="1">
        <v>1.0600000000001899</v>
      </c>
      <c r="BQ939" s="1">
        <v>1.0600000000001899</v>
      </c>
      <c r="BU939" s="1">
        <v>1.0600000000001899</v>
      </c>
    </row>
    <row r="940" spans="33:73" hidden="1" x14ac:dyDescent="0.25">
      <c r="AG940" s="1">
        <v>1.0500000000001899</v>
      </c>
      <c r="AH940" s="1">
        <f t="shared" si="39"/>
        <v>228.94999999999982</v>
      </c>
      <c r="AI940" s="1">
        <f t="shared" si="40"/>
        <v>228.94999999999982</v>
      </c>
      <c r="AK940" s="1">
        <v>1.0500000000001899</v>
      </c>
      <c r="AO940" s="1">
        <v>1.0500000000001899</v>
      </c>
      <c r="AS940" s="1">
        <v>1.0500000000001899</v>
      </c>
      <c r="AW940" s="1">
        <v>1.0500000000001899</v>
      </c>
      <c r="BA940" s="1">
        <v>1.0500000000001899</v>
      </c>
      <c r="BE940" s="1">
        <v>1.0500000000001899</v>
      </c>
      <c r="BI940" s="1">
        <v>1.0500000000001899</v>
      </c>
      <c r="BM940" s="1">
        <v>1.0500000000001899</v>
      </c>
      <c r="BQ940" s="1">
        <v>1.0500000000001899</v>
      </c>
      <c r="BU940" s="1">
        <v>1.0500000000001899</v>
      </c>
    </row>
    <row r="941" spans="33:73" hidden="1" x14ac:dyDescent="0.25">
      <c r="AG941" s="1">
        <v>1.0400000000001901</v>
      </c>
      <c r="AH941" s="1">
        <f t="shared" si="39"/>
        <v>228.95999999999981</v>
      </c>
      <c r="AI941" s="1">
        <f t="shared" si="40"/>
        <v>228.95999999999981</v>
      </c>
      <c r="AK941" s="1">
        <v>1.0400000000001901</v>
      </c>
      <c r="AO941" s="1">
        <v>1.0400000000001901</v>
      </c>
      <c r="AS941" s="1">
        <v>1.0400000000001901</v>
      </c>
      <c r="AW941" s="1">
        <v>1.0400000000001901</v>
      </c>
      <c r="BA941" s="1">
        <v>1.0400000000001901</v>
      </c>
      <c r="BE941" s="1">
        <v>1.0400000000001901</v>
      </c>
      <c r="BI941" s="1">
        <v>1.0400000000001901</v>
      </c>
      <c r="BM941" s="1">
        <v>1.0400000000001901</v>
      </c>
      <c r="BQ941" s="1">
        <v>1.0400000000001901</v>
      </c>
      <c r="BU941" s="1">
        <v>1.0400000000001901</v>
      </c>
    </row>
    <row r="942" spans="33:73" hidden="1" x14ac:dyDescent="0.25">
      <c r="AG942" s="1">
        <v>1.0300000000001901</v>
      </c>
      <c r="AH942" s="1">
        <f t="shared" ref="AH942:AH1005" si="41">SQRT((AI942+($AI$38*($AM$44*$AJ$44+$AN$44*$AK$44)))^2+($D$3*($AN$44*$AJ$44-$AM$44*$AK$44))^2)</f>
        <v>228.9699999999998</v>
      </c>
      <c r="AI942" s="1">
        <f t="shared" ref="AI942:AI1005" si="42">$AI$40-AG942</f>
        <v>228.9699999999998</v>
      </c>
      <c r="AK942" s="1">
        <v>1.0300000000001901</v>
      </c>
      <c r="AO942" s="1">
        <v>1.0300000000001901</v>
      </c>
      <c r="AS942" s="1">
        <v>1.0300000000001901</v>
      </c>
      <c r="AW942" s="1">
        <v>1.0300000000001901</v>
      </c>
      <c r="BA942" s="1">
        <v>1.0300000000001901</v>
      </c>
      <c r="BE942" s="1">
        <v>1.0300000000001901</v>
      </c>
      <c r="BI942" s="1">
        <v>1.0300000000001901</v>
      </c>
      <c r="BM942" s="1">
        <v>1.0300000000001901</v>
      </c>
      <c r="BQ942" s="1">
        <v>1.0300000000001901</v>
      </c>
      <c r="BU942" s="1">
        <v>1.0300000000001901</v>
      </c>
    </row>
    <row r="943" spans="33:73" hidden="1" x14ac:dyDescent="0.25">
      <c r="AG943" s="1">
        <v>1.0200000000001901</v>
      </c>
      <c r="AH943" s="1">
        <f t="shared" si="41"/>
        <v>228.97999999999982</v>
      </c>
      <c r="AI943" s="1">
        <f t="shared" si="42"/>
        <v>228.97999999999982</v>
      </c>
      <c r="AK943" s="1">
        <v>1.0200000000001901</v>
      </c>
      <c r="AO943" s="1">
        <v>1.0200000000001901</v>
      </c>
      <c r="AS943" s="1">
        <v>1.0200000000001901</v>
      </c>
      <c r="AW943" s="1">
        <v>1.0200000000001901</v>
      </c>
      <c r="BA943" s="1">
        <v>1.0200000000001901</v>
      </c>
      <c r="BE943" s="1">
        <v>1.0200000000001901</v>
      </c>
      <c r="BI943" s="1">
        <v>1.0200000000001901</v>
      </c>
      <c r="BM943" s="1">
        <v>1.0200000000001901</v>
      </c>
      <c r="BQ943" s="1">
        <v>1.0200000000001901</v>
      </c>
      <c r="BU943" s="1">
        <v>1.0200000000001901</v>
      </c>
    </row>
    <row r="944" spans="33:73" hidden="1" x14ac:dyDescent="0.25">
      <c r="AG944" s="1">
        <v>1.0100000000001901</v>
      </c>
      <c r="AH944" s="1">
        <f t="shared" si="41"/>
        <v>228.98999999999981</v>
      </c>
      <c r="AI944" s="1">
        <f t="shared" si="42"/>
        <v>228.98999999999981</v>
      </c>
      <c r="AK944" s="1">
        <v>1.0100000000001901</v>
      </c>
      <c r="AO944" s="1">
        <v>1.0100000000001901</v>
      </c>
      <c r="AS944" s="1">
        <v>1.0100000000001901</v>
      </c>
      <c r="AW944" s="1">
        <v>1.0100000000001901</v>
      </c>
      <c r="BA944" s="1">
        <v>1.0100000000001901</v>
      </c>
      <c r="BE944" s="1">
        <v>1.0100000000001901</v>
      </c>
      <c r="BI944" s="1">
        <v>1.0100000000001901</v>
      </c>
      <c r="BM944" s="1">
        <v>1.0100000000001901</v>
      </c>
      <c r="BQ944" s="1">
        <v>1.0100000000001901</v>
      </c>
      <c r="BU944" s="1">
        <v>1.0100000000001901</v>
      </c>
    </row>
    <row r="945" spans="33:73" hidden="1" x14ac:dyDescent="0.25">
      <c r="AG945" s="1">
        <v>1.0000000000001901</v>
      </c>
      <c r="AH945" s="1">
        <f t="shared" si="41"/>
        <v>228.9999999999998</v>
      </c>
      <c r="AI945" s="1">
        <f t="shared" si="42"/>
        <v>228.9999999999998</v>
      </c>
      <c r="AK945" s="1">
        <v>1.0000000000001901</v>
      </c>
      <c r="AO945" s="1">
        <v>1.0000000000001901</v>
      </c>
      <c r="AS945" s="1">
        <v>1.0000000000001901</v>
      </c>
      <c r="AW945" s="1">
        <v>1.0000000000001901</v>
      </c>
      <c r="BA945" s="1">
        <v>1.0000000000001901</v>
      </c>
      <c r="BE945" s="1">
        <v>1.0000000000001901</v>
      </c>
      <c r="BI945" s="1">
        <v>1.0000000000001901</v>
      </c>
      <c r="BM945" s="1">
        <v>1.0000000000001901</v>
      </c>
      <c r="BQ945" s="1">
        <v>1.0000000000001901</v>
      </c>
      <c r="BU945" s="1">
        <v>1.0000000000001901</v>
      </c>
    </row>
    <row r="946" spans="33:73" hidden="1" x14ac:dyDescent="0.25">
      <c r="AG946" s="1">
        <v>0.99000000000018995</v>
      </c>
      <c r="AH946" s="1">
        <f t="shared" si="41"/>
        <v>229.00999999999982</v>
      </c>
      <c r="AI946" s="1">
        <f t="shared" si="42"/>
        <v>229.00999999999982</v>
      </c>
      <c r="AK946" s="1">
        <v>0.99000000000018995</v>
      </c>
      <c r="AO946" s="1">
        <v>0.99000000000018995</v>
      </c>
      <c r="AS946" s="1">
        <v>0.99000000000018995</v>
      </c>
      <c r="AW946" s="1">
        <v>0.99000000000018995</v>
      </c>
      <c r="BA946" s="1">
        <v>0.99000000000018995</v>
      </c>
      <c r="BE946" s="1">
        <v>0.99000000000018995</v>
      </c>
      <c r="BI946" s="1">
        <v>0.99000000000018995</v>
      </c>
      <c r="BM946" s="1">
        <v>0.99000000000018995</v>
      </c>
      <c r="BQ946" s="1">
        <v>0.99000000000018995</v>
      </c>
      <c r="BU946" s="1">
        <v>0.99000000000018995</v>
      </c>
    </row>
    <row r="947" spans="33:73" hidden="1" x14ac:dyDescent="0.25">
      <c r="AG947" s="1">
        <v>0.98000000000019005</v>
      </c>
      <c r="AH947" s="1">
        <f t="shared" si="41"/>
        <v>229.01999999999981</v>
      </c>
      <c r="AI947" s="1">
        <f t="shared" si="42"/>
        <v>229.01999999999981</v>
      </c>
      <c r="AK947" s="1">
        <v>0.98000000000019005</v>
      </c>
      <c r="AO947" s="1">
        <v>0.98000000000019005</v>
      </c>
      <c r="AS947" s="1">
        <v>0.98000000000019005</v>
      </c>
      <c r="AW947" s="1">
        <v>0.98000000000019005</v>
      </c>
      <c r="BA947" s="1">
        <v>0.98000000000019005</v>
      </c>
      <c r="BE947" s="1">
        <v>0.98000000000019005</v>
      </c>
      <c r="BI947" s="1">
        <v>0.98000000000019005</v>
      </c>
      <c r="BM947" s="1">
        <v>0.98000000000019005</v>
      </c>
      <c r="BQ947" s="1">
        <v>0.98000000000019005</v>
      </c>
      <c r="BU947" s="1">
        <v>0.98000000000019005</v>
      </c>
    </row>
    <row r="948" spans="33:73" hidden="1" x14ac:dyDescent="0.25">
      <c r="AG948" s="1">
        <v>0.97000000000019104</v>
      </c>
      <c r="AH948" s="1">
        <f t="shared" si="41"/>
        <v>229.0299999999998</v>
      </c>
      <c r="AI948" s="1">
        <f t="shared" si="42"/>
        <v>229.0299999999998</v>
      </c>
      <c r="AK948" s="1">
        <v>0.97000000000019104</v>
      </c>
      <c r="AO948" s="1">
        <v>0.97000000000019104</v>
      </c>
      <c r="AS948" s="1">
        <v>0.97000000000019104</v>
      </c>
      <c r="AW948" s="1">
        <v>0.97000000000019104</v>
      </c>
      <c r="BA948" s="1">
        <v>0.97000000000019104</v>
      </c>
      <c r="BE948" s="1">
        <v>0.97000000000019104</v>
      </c>
      <c r="BI948" s="1">
        <v>0.97000000000019104</v>
      </c>
      <c r="BM948" s="1">
        <v>0.97000000000019104</v>
      </c>
      <c r="BQ948" s="1">
        <v>0.97000000000019104</v>
      </c>
      <c r="BU948" s="1">
        <v>0.97000000000019104</v>
      </c>
    </row>
    <row r="949" spans="33:73" hidden="1" x14ac:dyDescent="0.25">
      <c r="AG949" s="1">
        <v>0.96000000000018904</v>
      </c>
      <c r="AH949" s="1">
        <f t="shared" si="41"/>
        <v>229.03999999999982</v>
      </c>
      <c r="AI949" s="1">
        <f t="shared" si="42"/>
        <v>229.03999999999982</v>
      </c>
      <c r="AK949" s="1">
        <v>0.96000000000018904</v>
      </c>
      <c r="AO949" s="1">
        <v>0.96000000000018904</v>
      </c>
      <c r="AS949" s="1">
        <v>0.96000000000018904</v>
      </c>
      <c r="AW949" s="1">
        <v>0.96000000000018904</v>
      </c>
      <c r="BA949" s="1">
        <v>0.96000000000018904</v>
      </c>
      <c r="BE949" s="1">
        <v>0.96000000000018904</v>
      </c>
      <c r="BI949" s="1">
        <v>0.96000000000018904</v>
      </c>
      <c r="BM949" s="1">
        <v>0.96000000000018904</v>
      </c>
      <c r="BQ949" s="1">
        <v>0.96000000000018904</v>
      </c>
      <c r="BU949" s="1">
        <v>0.96000000000018904</v>
      </c>
    </row>
    <row r="950" spans="33:73" hidden="1" x14ac:dyDescent="0.25">
      <c r="AG950" s="1">
        <v>0.95000000000018903</v>
      </c>
      <c r="AH950" s="1">
        <f t="shared" si="41"/>
        <v>229.04999999999981</v>
      </c>
      <c r="AI950" s="1">
        <f t="shared" si="42"/>
        <v>229.04999999999981</v>
      </c>
      <c r="AK950" s="1">
        <v>0.95000000000018903</v>
      </c>
      <c r="AO950" s="1">
        <v>0.95000000000018903</v>
      </c>
      <c r="AS950" s="1">
        <v>0.95000000000018903</v>
      </c>
      <c r="AW950" s="1">
        <v>0.95000000000018903</v>
      </c>
      <c r="BA950" s="1">
        <v>0.95000000000018903</v>
      </c>
      <c r="BE950" s="1">
        <v>0.95000000000018903</v>
      </c>
      <c r="BI950" s="1">
        <v>0.95000000000018903</v>
      </c>
      <c r="BM950" s="1">
        <v>0.95000000000018903</v>
      </c>
      <c r="BQ950" s="1">
        <v>0.95000000000018903</v>
      </c>
      <c r="BU950" s="1">
        <v>0.95000000000018903</v>
      </c>
    </row>
    <row r="951" spans="33:73" hidden="1" x14ac:dyDescent="0.25">
      <c r="AG951" s="1">
        <v>0.94000000000019002</v>
      </c>
      <c r="AH951" s="1">
        <f t="shared" si="41"/>
        <v>229.0599999999998</v>
      </c>
      <c r="AI951" s="1">
        <f t="shared" si="42"/>
        <v>229.0599999999998</v>
      </c>
      <c r="AK951" s="1">
        <v>0.94000000000019002</v>
      </c>
      <c r="AO951" s="1">
        <v>0.94000000000019002</v>
      </c>
      <c r="AS951" s="1">
        <v>0.94000000000019002</v>
      </c>
      <c r="AW951" s="1">
        <v>0.94000000000019002</v>
      </c>
      <c r="BA951" s="1">
        <v>0.94000000000019002</v>
      </c>
      <c r="BE951" s="1">
        <v>0.94000000000019002</v>
      </c>
      <c r="BI951" s="1">
        <v>0.94000000000019002</v>
      </c>
      <c r="BM951" s="1">
        <v>0.94000000000019002</v>
      </c>
      <c r="BQ951" s="1">
        <v>0.94000000000019002</v>
      </c>
      <c r="BU951" s="1">
        <v>0.94000000000019002</v>
      </c>
    </row>
    <row r="952" spans="33:73" hidden="1" x14ac:dyDescent="0.25">
      <c r="AG952" s="1">
        <v>0.93000000000019001</v>
      </c>
      <c r="AH952" s="1">
        <f t="shared" si="41"/>
        <v>229.06999999999982</v>
      </c>
      <c r="AI952" s="1">
        <f t="shared" si="42"/>
        <v>229.06999999999982</v>
      </c>
      <c r="AK952" s="1">
        <v>0.93000000000019001</v>
      </c>
      <c r="AO952" s="1">
        <v>0.93000000000019001</v>
      </c>
      <c r="AS952" s="1">
        <v>0.93000000000019001</v>
      </c>
      <c r="AW952" s="1">
        <v>0.93000000000019001</v>
      </c>
      <c r="BA952" s="1">
        <v>0.93000000000019001</v>
      </c>
      <c r="BE952" s="1">
        <v>0.93000000000019001</v>
      </c>
      <c r="BI952" s="1">
        <v>0.93000000000019001</v>
      </c>
      <c r="BM952" s="1">
        <v>0.93000000000019001</v>
      </c>
      <c r="BQ952" s="1">
        <v>0.93000000000019001</v>
      </c>
      <c r="BU952" s="1">
        <v>0.93000000000019001</v>
      </c>
    </row>
    <row r="953" spans="33:73" hidden="1" x14ac:dyDescent="0.25">
      <c r="AG953" s="1">
        <v>0.92000000000019</v>
      </c>
      <c r="AH953" s="1">
        <f t="shared" si="41"/>
        <v>229.07999999999981</v>
      </c>
      <c r="AI953" s="1">
        <f t="shared" si="42"/>
        <v>229.07999999999981</v>
      </c>
      <c r="AK953" s="1">
        <v>0.92000000000019</v>
      </c>
      <c r="AO953" s="1">
        <v>0.92000000000019</v>
      </c>
      <c r="AS953" s="1">
        <v>0.92000000000019</v>
      </c>
      <c r="AW953" s="1">
        <v>0.92000000000019</v>
      </c>
      <c r="BA953" s="1">
        <v>0.92000000000019</v>
      </c>
      <c r="BE953" s="1">
        <v>0.92000000000019</v>
      </c>
      <c r="BI953" s="1">
        <v>0.92000000000019</v>
      </c>
      <c r="BM953" s="1">
        <v>0.92000000000019</v>
      </c>
      <c r="BQ953" s="1">
        <v>0.92000000000019</v>
      </c>
      <c r="BU953" s="1">
        <v>0.92000000000019</v>
      </c>
    </row>
    <row r="954" spans="33:73" hidden="1" x14ac:dyDescent="0.25">
      <c r="AG954" s="1">
        <v>0.91000000000018999</v>
      </c>
      <c r="AH954" s="1">
        <f t="shared" si="41"/>
        <v>229.0899999999998</v>
      </c>
      <c r="AI954" s="1">
        <f t="shared" si="42"/>
        <v>229.0899999999998</v>
      </c>
      <c r="AK954" s="1">
        <v>0.91000000000018999</v>
      </c>
      <c r="AO954" s="1">
        <v>0.91000000000018999</v>
      </c>
      <c r="AS954" s="1">
        <v>0.91000000000018999</v>
      </c>
      <c r="AW954" s="1">
        <v>0.91000000000018999</v>
      </c>
      <c r="BA954" s="1">
        <v>0.91000000000018999</v>
      </c>
      <c r="BE954" s="1">
        <v>0.91000000000018999</v>
      </c>
      <c r="BI954" s="1">
        <v>0.91000000000018999</v>
      </c>
      <c r="BM954" s="1">
        <v>0.91000000000018999</v>
      </c>
      <c r="BQ954" s="1">
        <v>0.91000000000018999</v>
      </c>
      <c r="BU954" s="1">
        <v>0.91000000000018999</v>
      </c>
    </row>
    <row r="955" spans="33:73" hidden="1" x14ac:dyDescent="0.25">
      <c r="AG955" s="1">
        <v>0.90000000000018998</v>
      </c>
      <c r="AH955" s="1">
        <f t="shared" si="41"/>
        <v>229.09999999999982</v>
      </c>
      <c r="AI955" s="1">
        <f t="shared" si="42"/>
        <v>229.09999999999982</v>
      </c>
      <c r="AK955" s="1">
        <v>0.90000000000018998</v>
      </c>
      <c r="AO955" s="1">
        <v>0.90000000000018998</v>
      </c>
      <c r="AS955" s="1">
        <v>0.90000000000018998</v>
      </c>
      <c r="AW955" s="1">
        <v>0.90000000000018998</v>
      </c>
      <c r="BA955" s="1">
        <v>0.90000000000018998</v>
      </c>
      <c r="BE955" s="1">
        <v>0.90000000000018998</v>
      </c>
      <c r="BI955" s="1">
        <v>0.90000000000018998</v>
      </c>
      <c r="BM955" s="1">
        <v>0.90000000000018998</v>
      </c>
      <c r="BQ955" s="1">
        <v>0.90000000000018998</v>
      </c>
      <c r="BU955" s="1">
        <v>0.90000000000018998</v>
      </c>
    </row>
    <row r="956" spans="33:73" hidden="1" x14ac:dyDescent="0.25">
      <c r="AG956" s="1">
        <v>0.89000000000019097</v>
      </c>
      <c r="AH956" s="1">
        <f t="shared" si="41"/>
        <v>229.10999999999981</v>
      </c>
      <c r="AI956" s="1">
        <f t="shared" si="42"/>
        <v>229.10999999999981</v>
      </c>
      <c r="AK956" s="1">
        <v>0.89000000000019097</v>
      </c>
      <c r="AO956" s="1">
        <v>0.89000000000019097</v>
      </c>
      <c r="AS956" s="1">
        <v>0.89000000000019097</v>
      </c>
      <c r="AW956" s="1">
        <v>0.89000000000019097</v>
      </c>
      <c r="BA956" s="1">
        <v>0.89000000000019097</v>
      </c>
      <c r="BE956" s="1">
        <v>0.89000000000019097</v>
      </c>
      <c r="BI956" s="1">
        <v>0.89000000000019097</v>
      </c>
      <c r="BM956" s="1">
        <v>0.89000000000019097</v>
      </c>
      <c r="BQ956" s="1">
        <v>0.89000000000019097</v>
      </c>
      <c r="BU956" s="1">
        <v>0.89000000000019097</v>
      </c>
    </row>
    <row r="957" spans="33:73" hidden="1" x14ac:dyDescent="0.25">
      <c r="AG957" s="1">
        <v>0.88000000000019096</v>
      </c>
      <c r="AH957" s="1">
        <f t="shared" si="41"/>
        <v>229.11999999999981</v>
      </c>
      <c r="AI957" s="1">
        <f t="shared" si="42"/>
        <v>229.11999999999981</v>
      </c>
      <c r="AK957" s="1">
        <v>0.88000000000019096</v>
      </c>
      <c r="AO957" s="1">
        <v>0.88000000000019096</v>
      </c>
      <c r="AS957" s="1">
        <v>0.88000000000019096</v>
      </c>
      <c r="AW957" s="1">
        <v>0.88000000000019096</v>
      </c>
      <c r="BA957" s="1">
        <v>0.88000000000019096</v>
      </c>
      <c r="BE957" s="1">
        <v>0.88000000000019096</v>
      </c>
      <c r="BI957" s="1">
        <v>0.88000000000019096</v>
      </c>
      <c r="BM957" s="1">
        <v>0.88000000000019096</v>
      </c>
      <c r="BQ957" s="1">
        <v>0.88000000000019096</v>
      </c>
      <c r="BU957" s="1">
        <v>0.88000000000019096</v>
      </c>
    </row>
    <row r="958" spans="33:73" hidden="1" x14ac:dyDescent="0.25">
      <c r="AG958" s="1">
        <v>0.87000000000018896</v>
      </c>
      <c r="AH958" s="1">
        <f t="shared" si="41"/>
        <v>229.12999999999982</v>
      </c>
      <c r="AI958" s="1">
        <f t="shared" si="42"/>
        <v>229.12999999999982</v>
      </c>
      <c r="AK958" s="1">
        <v>0.87000000000018896</v>
      </c>
      <c r="AO958" s="1">
        <v>0.87000000000018896</v>
      </c>
      <c r="AS958" s="1">
        <v>0.87000000000018896</v>
      </c>
      <c r="AW958" s="1">
        <v>0.87000000000018896</v>
      </c>
      <c r="BA958" s="1">
        <v>0.87000000000018896</v>
      </c>
      <c r="BE958" s="1">
        <v>0.87000000000018896</v>
      </c>
      <c r="BI958" s="1">
        <v>0.87000000000018896</v>
      </c>
      <c r="BM958" s="1">
        <v>0.87000000000018896</v>
      </c>
      <c r="BQ958" s="1">
        <v>0.87000000000018896</v>
      </c>
      <c r="BU958" s="1">
        <v>0.87000000000018896</v>
      </c>
    </row>
    <row r="959" spans="33:73" hidden="1" x14ac:dyDescent="0.25">
      <c r="AG959" s="1">
        <v>0.86000000000018995</v>
      </c>
      <c r="AH959" s="1">
        <f t="shared" si="41"/>
        <v>229.13999999999982</v>
      </c>
      <c r="AI959" s="1">
        <f t="shared" si="42"/>
        <v>229.13999999999982</v>
      </c>
      <c r="AK959" s="1">
        <v>0.86000000000018995</v>
      </c>
      <c r="AO959" s="1">
        <v>0.86000000000018995</v>
      </c>
      <c r="AS959" s="1">
        <v>0.86000000000018995</v>
      </c>
      <c r="AW959" s="1">
        <v>0.86000000000018995</v>
      </c>
      <c r="BA959" s="1">
        <v>0.86000000000018995</v>
      </c>
      <c r="BE959" s="1">
        <v>0.86000000000018995</v>
      </c>
      <c r="BI959" s="1">
        <v>0.86000000000018995</v>
      </c>
      <c r="BM959" s="1">
        <v>0.86000000000018995</v>
      </c>
      <c r="BQ959" s="1">
        <v>0.86000000000018995</v>
      </c>
      <c r="BU959" s="1">
        <v>0.86000000000018995</v>
      </c>
    </row>
    <row r="960" spans="33:73" hidden="1" x14ac:dyDescent="0.25">
      <c r="AG960" s="1">
        <v>0.85000000000020004</v>
      </c>
      <c r="AH960" s="1">
        <f t="shared" si="41"/>
        <v>229.14999999999981</v>
      </c>
      <c r="AI960" s="1">
        <f t="shared" si="42"/>
        <v>229.14999999999981</v>
      </c>
      <c r="AK960" s="1">
        <v>0.85000000000020004</v>
      </c>
      <c r="AO960" s="1">
        <v>0.85000000000020004</v>
      </c>
      <c r="AS960" s="1">
        <v>0.85000000000020004</v>
      </c>
      <c r="AW960" s="1">
        <v>0.85000000000020004</v>
      </c>
      <c r="BA960" s="1">
        <v>0.85000000000020004</v>
      </c>
      <c r="BE960" s="1">
        <v>0.85000000000020004</v>
      </c>
      <c r="BI960" s="1">
        <v>0.85000000000020004</v>
      </c>
      <c r="BM960" s="1">
        <v>0.85000000000020004</v>
      </c>
      <c r="BQ960" s="1">
        <v>0.85000000000020004</v>
      </c>
      <c r="BU960" s="1">
        <v>0.85000000000020004</v>
      </c>
    </row>
    <row r="961" spans="33:73" hidden="1" x14ac:dyDescent="0.25">
      <c r="AG961" s="1">
        <v>0.84000000000020103</v>
      </c>
      <c r="AH961" s="1">
        <f t="shared" si="41"/>
        <v>229.1599999999998</v>
      </c>
      <c r="AI961" s="1">
        <f t="shared" si="42"/>
        <v>229.1599999999998</v>
      </c>
      <c r="AK961" s="1">
        <v>0.84000000000020103</v>
      </c>
      <c r="AO961" s="1">
        <v>0.84000000000020103</v>
      </c>
      <c r="AS961" s="1">
        <v>0.84000000000020103</v>
      </c>
      <c r="AW961" s="1">
        <v>0.84000000000020103</v>
      </c>
      <c r="BA961" s="1">
        <v>0.84000000000020103</v>
      </c>
      <c r="BE961" s="1">
        <v>0.84000000000020103</v>
      </c>
      <c r="BI961" s="1">
        <v>0.84000000000020103</v>
      </c>
      <c r="BM961" s="1">
        <v>0.84000000000020103</v>
      </c>
      <c r="BQ961" s="1">
        <v>0.84000000000020103</v>
      </c>
      <c r="BU961" s="1">
        <v>0.84000000000020103</v>
      </c>
    </row>
    <row r="962" spans="33:73" hidden="1" x14ac:dyDescent="0.25">
      <c r="AG962" s="1">
        <v>0.83000000000020102</v>
      </c>
      <c r="AH962" s="1">
        <f t="shared" si="41"/>
        <v>229.16999999999979</v>
      </c>
      <c r="AI962" s="1">
        <f t="shared" si="42"/>
        <v>229.16999999999979</v>
      </c>
      <c r="AK962" s="1">
        <v>0.83000000000020102</v>
      </c>
      <c r="AO962" s="1">
        <v>0.83000000000020102</v>
      </c>
      <c r="AS962" s="1">
        <v>0.83000000000020102</v>
      </c>
      <c r="AW962" s="1">
        <v>0.83000000000020102</v>
      </c>
      <c r="BA962" s="1">
        <v>0.83000000000020102</v>
      </c>
      <c r="BE962" s="1">
        <v>0.83000000000020102</v>
      </c>
      <c r="BI962" s="1">
        <v>0.83000000000020102</v>
      </c>
      <c r="BM962" s="1">
        <v>0.83000000000020102</v>
      </c>
      <c r="BQ962" s="1">
        <v>0.83000000000020102</v>
      </c>
      <c r="BU962" s="1">
        <v>0.83000000000020102</v>
      </c>
    </row>
    <row r="963" spans="33:73" hidden="1" x14ac:dyDescent="0.25">
      <c r="AG963" s="1">
        <v>0.82000000000019901</v>
      </c>
      <c r="AH963" s="1">
        <f t="shared" si="41"/>
        <v>229.17999999999981</v>
      </c>
      <c r="AI963" s="1">
        <f t="shared" si="42"/>
        <v>229.17999999999981</v>
      </c>
      <c r="AK963" s="1">
        <v>0.82000000000019901</v>
      </c>
      <c r="AO963" s="1">
        <v>0.82000000000019901</v>
      </c>
      <c r="AS963" s="1">
        <v>0.82000000000019901</v>
      </c>
      <c r="AW963" s="1">
        <v>0.82000000000019901</v>
      </c>
      <c r="BA963" s="1">
        <v>0.82000000000019901</v>
      </c>
      <c r="BE963" s="1">
        <v>0.82000000000019901</v>
      </c>
      <c r="BI963" s="1">
        <v>0.82000000000019901</v>
      </c>
      <c r="BM963" s="1">
        <v>0.82000000000019901</v>
      </c>
      <c r="BQ963" s="1">
        <v>0.82000000000019901</v>
      </c>
      <c r="BU963" s="1">
        <v>0.82000000000019901</v>
      </c>
    </row>
    <row r="964" spans="33:73" hidden="1" x14ac:dyDescent="0.25">
      <c r="AG964" s="1">
        <v>0.81000000000019901</v>
      </c>
      <c r="AH964" s="1">
        <f t="shared" si="41"/>
        <v>229.1899999999998</v>
      </c>
      <c r="AI964" s="1">
        <f t="shared" si="42"/>
        <v>229.1899999999998</v>
      </c>
      <c r="AK964" s="1">
        <v>0.81000000000019901</v>
      </c>
      <c r="AO964" s="1">
        <v>0.81000000000019901</v>
      </c>
      <c r="AS964" s="1">
        <v>0.81000000000019901</v>
      </c>
      <c r="AW964" s="1">
        <v>0.81000000000019901</v>
      </c>
      <c r="BA964" s="1">
        <v>0.81000000000019901</v>
      </c>
      <c r="BE964" s="1">
        <v>0.81000000000019901</v>
      </c>
      <c r="BI964" s="1">
        <v>0.81000000000019901</v>
      </c>
      <c r="BM964" s="1">
        <v>0.81000000000019901</v>
      </c>
      <c r="BQ964" s="1">
        <v>0.81000000000019901</v>
      </c>
      <c r="BU964" s="1">
        <v>0.81000000000019901</v>
      </c>
    </row>
    <row r="965" spans="33:73" hidden="1" x14ac:dyDescent="0.25">
      <c r="AG965" s="1">
        <v>0.8000000000002</v>
      </c>
      <c r="AH965" s="1">
        <f t="shared" si="41"/>
        <v>229.19999999999979</v>
      </c>
      <c r="AI965" s="1">
        <f t="shared" si="42"/>
        <v>229.19999999999979</v>
      </c>
      <c r="AK965" s="1">
        <v>0.8000000000002</v>
      </c>
      <c r="AO965" s="1">
        <v>0.8000000000002</v>
      </c>
      <c r="AS965" s="1">
        <v>0.8000000000002</v>
      </c>
      <c r="AW965" s="1">
        <v>0.8000000000002</v>
      </c>
      <c r="BA965" s="1">
        <v>0.8000000000002</v>
      </c>
      <c r="BE965" s="1">
        <v>0.8000000000002</v>
      </c>
      <c r="BI965" s="1">
        <v>0.8000000000002</v>
      </c>
      <c r="BM965" s="1">
        <v>0.8000000000002</v>
      </c>
      <c r="BQ965" s="1">
        <v>0.8000000000002</v>
      </c>
      <c r="BU965" s="1">
        <v>0.8000000000002</v>
      </c>
    </row>
    <row r="966" spans="33:73" hidden="1" x14ac:dyDescent="0.25">
      <c r="AG966" s="1">
        <v>0.79000000000019999</v>
      </c>
      <c r="AH966" s="1">
        <f t="shared" si="41"/>
        <v>229.20999999999981</v>
      </c>
      <c r="AI966" s="1">
        <f t="shared" si="42"/>
        <v>229.20999999999981</v>
      </c>
      <c r="AK966" s="1">
        <v>0.79000000000019999</v>
      </c>
      <c r="AO966" s="1">
        <v>0.79000000000019999</v>
      </c>
      <c r="AS966" s="1">
        <v>0.79000000000019999</v>
      </c>
      <c r="AW966" s="1">
        <v>0.79000000000019999</v>
      </c>
      <c r="BA966" s="1">
        <v>0.79000000000019999</v>
      </c>
      <c r="BE966" s="1">
        <v>0.79000000000019999</v>
      </c>
      <c r="BI966" s="1">
        <v>0.79000000000019999</v>
      </c>
      <c r="BM966" s="1">
        <v>0.79000000000019999</v>
      </c>
      <c r="BQ966" s="1">
        <v>0.79000000000019999</v>
      </c>
      <c r="BU966" s="1">
        <v>0.79000000000019999</v>
      </c>
    </row>
    <row r="967" spans="33:73" hidden="1" x14ac:dyDescent="0.25">
      <c r="AG967" s="1">
        <v>0.78000000000019998</v>
      </c>
      <c r="AH967" s="1">
        <f t="shared" si="41"/>
        <v>229.2199999999998</v>
      </c>
      <c r="AI967" s="1">
        <f t="shared" si="42"/>
        <v>229.2199999999998</v>
      </c>
      <c r="AK967" s="1">
        <v>0.78000000000019998</v>
      </c>
      <c r="AO967" s="1">
        <v>0.78000000000019998</v>
      </c>
      <c r="AS967" s="1">
        <v>0.78000000000019998</v>
      </c>
      <c r="AW967" s="1">
        <v>0.78000000000019998</v>
      </c>
      <c r="BA967" s="1">
        <v>0.78000000000019998</v>
      </c>
      <c r="BE967" s="1">
        <v>0.78000000000019998</v>
      </c>
      <c r="BI967" s="1">
        <v>0.78000000000019998</v>
      </c>
      <c r="BM967" s="1">
        <v>0.78000000000019998</v>
      </c>
      <c r="BQ967" s="1">
        <v>0.78000000000019998</v>
      </c>
      <c r="BU967" s="1">
        <v>0.78000000000019998</v>
      </c>
    </row>
    <row r="968" spans="33:73" hidden="1" x14ac:dyDescent="0.25">
      <c r="AG968" s="1">
        <v>0.77000000000019997</v>
      </c>
      <c r="AH968" s="1">
        <f t="shared" si="41"/>
        <v>229.22999999999979</v>
      </c>
      <c r="AI968" s="1">
        <f t="shared" si="42"/>
        <v>229.22999999999979</v>
      </c>
      <c r="AK968" s="1">
        <v>0.77000000000019997</v>
      </c>
      <c r="AO968" s="1">
        <v>0.77000000000019997</v>
      </c>
      <c r="AS968" s="1">
        <v>0.77000000000019997</v>
      </c>
      <c r="AW968" s="1">
        <v>0.77000000000019997</v>
      </c>
      <c r="BA968" s="1">
        <v>0.77000000000019997</v>
      </c>
      <c r="BE968" s="1">
        <v>0.77000000000019997</v>
      </c>
      <c r="BI968" s="1">
        <v>0.77000000000019997</v>
      </c>
      <c r="BM968" s="1">
        <v>0.77000000000019997</v>
      </c>
      <c r="BQ968" s="1">
        <v>0.77000000000019997</v>
      </c>
      <c r="BU968" s="1">
        <v>0.77000000000019997</v>
      </c>
    </row>
    <row r="969" spans="33:73" hidden="1" x14ac:dyDescent="0.25">
      <c r="AG969" s="1">
        <v>0.76000000000020096</v>
      </c>
      <c r="AH969" s="1">
        <f t="shared" si="41"/>
        <v>229.23999999999981</v>
      </c>
      <c r="AI969" s="1">
        <f t="shared" si="42"/>
        <v>229.23999999999981</v>
      </c>
      <c r="AK969" s="1">
        <v>0.76000000000020096</v>
      </c>
      <c r="AO969" s="1">
        <v>0.76000000000020096</v>
      </c>
      <c r="AS969" s="1">
        <v>0.76000000000020096</v>
      </c>
      <c r="AW969" s="1">
        <v>0.76000000000020096</v>
      </c>
      <c r="BA969" s="1">
        <v>0.76000000000020096</v>
      </c>
      <c r="BE969" s="1">
        <v>0.76000000000020096</v>
      </c>
      <c r="BI969" s="1">
        <v>0.76000000000020096</v>
      </c>
      <c r="BM969" s="1">
        <v>0.76000000000020096</v>
      </c>
      <c r="BQ969" s="1">
        <v>0.76000000000020096</v>
      </c>
      <c r="BU969" s="1">
        <v>0.76000000000020096</v>
      </c>
    </row>
    <row r="970" spans="33:73" hidden="1" x14ac:dyDescent="0.25">
      <c r="AG970" s="1">
        <v>0.75000000000020095</v>
      </c>
      <c r="AH970" s="1">
        <f t="shared" si="41"/>
        <v>229.2499999999998</v>
      </c>
      <c r="AI970" s="1">
        <f t="shared" si="42"/>
        <v>229.2499999999998</v>
      </c>
      <c r="AK970" s="1">
        <v>0.75000000000020095</v>
      </c>
      <c r="AO970" s="1">
        <v>0.75000000000020095</v>
      </c>
      <c r="AS970" s="1">
        <v>0.75000000000020095</v>
      </c>
      <c r="AW970" s="1">
        <v>0.75000000000020095</v>
      </c>
      <c r="BA970" s="1">
        <v>0.75000000000020095</v>
      </c>
      <c r="BE970" s="1">
        <v>0.75000000000020095</v>
      </c>
      <c r="BI970" s="1">
        <v>0.75000000000020095</v>
      </c>
      <c r="BM970" s="1">
        <v>0.75000000000020095</v>
      </c>
      <c r="BQ970" s="1">
        <v>0.75000000000020095</v>
      </c>
      <c r="BU970" s="1">
        <v>0.75000000000020095</v>
      </c>
    </row>
    <row r="971" spans="33:73" hidden="1" x14ac:dyDescent="0.25">
      <c r="AG971" s="1">
        <v>0.74000000000019905</v>
      </c>
      <c r="AH971" s="1">
        <f t="shared" si="41"/>
        <v>229.25999999999979</v>
      </c>
      <c r="AI971" s="1">
        <f t="shared" si="42"/>
        <v>229.25999999999979</v>
      </c>
      <c r="AK971" s="1">
        <v>0.74000000000019905</v>
      </c>
      <c r="AO971" s="1">
        <v>0.74000000000019905</v>
      </c>
      <c r="AS971" s="1">
        <v>0.74000000000019905</v>
      </c>
      <c r="AW971" s="1">
        <v>0.74000000000019905</v>
      </c>
      <c r="BA971" s="1">
        <v>0.74000000000019905</v>
      </c>
      <c r="BE971" s="1">
        <v>0.74000000000019905</v>
      </c>
      <c r="BI971" s="1">
        <v>0.74000000000019905</v>
      </c>
      <c r="BM971" s="1">
        <v>0.74000000000019905</v>
      </c>
      <c r="BQ971" s="1">
        <v>0.74000000000019905</v>
      </c>
      <c r="BU971" s="1">
        <v>0.74000000000019905</v>
      </c>
    </row>
    <row r="972" spans="33:73" hidden="1" x14ac:dyDescent="0.25">
      <c r="AG972" s="1">
        <v>0.73000000000019905</v>
      </c>
      <c r="AH972" s="1">
        <f t="shared" si="41"/>
        <v>229.26999999999981</v>
      </c>
      <c r="AI972" s="1">
        <f t="shared" si="42"/>
        <v>229.26999999999981</v>
      </c>
      <c r="AK972" s="1">
        <v>0.73000000000019905</v>
      </c>
      <c r="AO972" s="1">
        <v>0.73000000000019905</v>
      </c>
      <c r="AS972" s="1">
        <v>0.73000000000019905</v>
      </c>
      <c r="AW972" s="1">
        <v>0.73000000000019905</v>
      </c>
      <c r="BA972" s="1">
        <v>0.73000000000019905</v>
      </c>
      <c r="BE972" s="1">
        <v>0.73000000000019905</v>
      </c>
      <c r="BI972" s="1">
        <v>0.73000000000019905</v>
      </c>
      <c r="BM972" s="1">
        <v>0.73000000000019905</v>
      </c>
      <c r="BQ972" s="1">
        <v>0.73000000000019905</v>
      </c>
      <c r="BU972" s="1">
        <v>0.73000000000019905</v>
      </c>
    </row>
    <row r="973" spans="33:73" hidden="1" x14ac:dyDescent="0.25">
      <c r="AG973" s="1">
        <v>0.72000000000020004</v>
      </c>
      <c r="AH973" s="1">
        <f t="shared" si="41"/>
        <v>229.2799999999998</v>
      </c>
      <c r="AI973" s="1">
        <f t="shared" si="42"/>
        <v>229.2799999999998</v>
      </c>
      <c r="AK973" s="1">
        <v>0.72000000000020004</v>
      </c>
      <c r="AO973" s="1">
        <v>0.72000000000020004</v>
      </c>
      <c r="AS973" s="1">
        <v>0.72000000000020004</v>
      </c>
      <c r="AW973" s="1">
        <v>0.72000000000020004</v>
      </c>
      <c r="BA973" s="1">
        <v>0.72000000000020004</v>
      </c>
      <c r="BE973" s="1">
        <v>0.72000000000020004</v>
      </c>
      <c r="BI973" s="1">
        <v>0.72000000000020004</v>
      </c>
      <c r="BM973" s="1">
        <v>0.72000000000020004</v>
      </c>
      <c r="BQ973" s="1">
        <v>0.72000000000020004</v>
      </c>
      <c r="BU973" s="1">
        <v>0.72000000000020004</v>
      </c>
    </row>
    <row r="974" spans="33:73" hidden="1" x14ac:dyDescent="0.25">
      <c r="AG974" s="1">
        <v>0.71000000000020003</v>
      </c>
      <c r="AH974" s="1">
        <f t="shared" si="41"/>
        <v>229.28999999999979</v>
      </c>
      <c r="AI974" s="1">
        <f t="shared" si="42"/>
        <v>229.28999999999979</v>
      </c>
      <c r="AK974" s="1">
        <v>0.71000000000020003</v>
      </c>
      <c r="AO974" s="1">
        <v>0.71000000000020003</v>
      </c>
      <c r="AS974" s="1">
        <v>0.71000000000020003</v>
      </c>
      <c r="AW974" s="1">
        <v>0.71000000000020003</v>
      </c>
      <c r="BA974" s="1">
        <v>0.71000000000020003</v>
      </c>
      <c r="BE974" s="1">
        <v>0.71000000000020003</v>
      </c>
      <c r="BI974" s="1">
        <v>0.71000000000020003</v>
      </c>
      <c r="BM974" s="1">
        <v>0.71000000000020003</v>
      </c>
      <c r="BQ974" s="1">
        <v>0.71000000000020003</v>
      </c>
      <c r="BU974" s="1">
        <v>0.71000000000020003</v>
      </c>
    </row>
    <row r="975" spans="33:73" hidden="1" x14ac:dyDescent="0.25">
      <c r="AG975" s="1">
        <v>0.70000000000020002</v>
      </c>
      <c r="AH975" s="1">
        <f t="shared" si="41"/>
        <v>229.29999999999981</v>
      </c>
      <c r="AI975" s="1">
        <f t="shared" si="42"/>
        <v>229.29999999999981</v>
      </c>
      <c r="AK975" s="1">
        <v>0.70000000000020002</v>
      </c>
      <c r="AO975" s="1">
        <v>0.70000000000020002</v>
      </c>
      <c r="AS975" s="1">
        <v>0.70000000000020002</v>
      </c>
      <c r="AW975" s="1">
        <v>0.70000000000020002</v>
      </c>
      <c r="BA975" s="1">
        <v>0.70000000000020002</v>
      </c>
      <c r="BE975" s="1">
        <v>0.70000000000020002</v>
      </c>
      <c r="BI975" s="1">
        <v>0.70000000000020002</v>
      </c>
      <c r="BM975" s="1">
        <v>0.70000000000020002</v>
      </c>
      <c r="BQ975" s="1">
        <v>0.70000000000020002</v>
      </c>
      <c r="BU975" s="1">
        <v>0.70000000000020002</v>
      </c>
    </row>
    <row r="976" spans="33:73" hidden="1" x14ac:dyDescent="0.25">
      <c r="AG976" s="1">
        <v>0.69000000000020001</v>
      </c>
      <c r="AH976" s="1">
        <f t="shared" si="41"/>
        <v>229.3099999999998</v>
      </c>
      <c r="AI976" s="1">
        <f t="shared" si="42"/>
        <v>229.3099999999998</v>
      </c>
      <c r="AK976" s="1">
        <v>0.69000000000020001</v>
      </c>
      <c r="AO976" s="1">
        <v>0.69000000000020001</v>
      </c>
      <c r="AS976" s="1">
        <v>0.69000000000020001</v>
      </c>
      <c r="AW976" s="1">
        <v>0.69000000000020001</v>
      </c>
      <c r="BA976" s="1">
        <v>0.69000000000020001</v>
      </c>
      <c r="BE976" s="1">
        <v>0.69000000000020001</v>
      </c>
      <c r="BI976" s="1">
        <v>0.69000000000020001</v>
      </c>
      <c r="BM976" s="1">
        <v>0.69000000000020001</v>
      </c>
      <c r="BQ976" s="1">
        <v>0.69000000000020001</v>
      </c>
      <c r="BU976" s="1">
        <v>0.69000000000020001</v>
      </c>
    </row>
    <row r="977" spans="33:73" hidden="1" x14ac:dyDescent="0.25">
      <c r="AG977" s="1">
        <v>0.6800000000002</v>
      </c>
      <c r="AH977" s="1">
        <f t="shared" si="41"/>
        <v>229.31999999999979</v>
      </c>
      <c r="AI977" s="1">
        <f t="shared" si="42"/>
        <v>229.31999999999979</v>
      </c>
      <c r="AK977" s="1">
        <v>0.6800000000002</v>
      </c>
      <c r="AO977" s="1">
        <v>0.6800000000002</v>
      </c>
      <c r="AS977" s="1">
        <v>0.6800000000002</v>
      </c>
      <c r="AW977" s="1">
        <v>0.6800000000002</v>
      </c>
      <c r="BA977" s="1">
        <v>0.6800000000002</v>
      </c>
      <c r="BE977" s="1">
        <v>0.6800000000002</v>
      </c>
      <c r="BI977" s="1">
        <v>0.6800000000002</v>
      </c>
      <c r="BM977" s="1">
        <v>0.6800000000002</v>
      </c>
      <c r="BQ977" s="1">
        <v>0.6800000000002</v>
      </c>
      <c r="BU977" s="1">
        <v>0.6800000000002</v>
      </c>
    </row>
    <row r="978" spans="33:73" hidden="1" x14ac:dyDescent="0.25">
      <c r="AG978" s="1">
        <v>0.67000000000020099</v>
      </c>
      <c r="AH978" s="1">
        <f t="shared" si="41"/>
        <v>229.32999999999979</v>
      </c>
      <c r="AI978" s="1">
        <f t="shared" si="42"/>
        <v>229.32999999999979</v>
      </c>
      <c r="AK978" s="1">
        <v>0.67000000000020099</v>
      </c>
      <c r="AO978" s="1">
        <v>0.67000000000020099</v>
      </c>
      <c r="AS978" s="1">
        <v>0.67000000000020099</v>
      </c>
      <c r="AW978" s="1">
        <v>0.67000000000020099</v>
      </c>
      <c r="BA978" s="1">
        <v>0.67000000000020099</v>
      </c>
      <c r="BE978" s="1">
        <v>0.67000000000020099</v>
      </c>
      <c r="BI978" s="1">
        <v>0.67000000000020099</v>
      </c>
      <c r="BM978" s="1">
        <v>0.67000000000020099</v>
      </c>
      <c r="BQ978" s="1">
        <v>0.67000000000020099</v>
      </c>
      <c r="BU978" s="1">
        <v>0.67000000000020099</v>
      </c>
    </row>
    <row r="979" spans="33:73" hidden="1" x14ac:dyDescent="0.25">
      <c r="AG979" s="1">
        <v>0.66000000000020098</v>
      </c>
      <c r="AH979" s="1">
        <f t="shared" si="41"/>
        <v>229.3399999999998</v>
      </c>
      <c r="AI979" s="1">
        <f t="shared" si="42"/>
        <v>229.3399999999998</v>
      </c>
      <c r="AK979" s="1">
        <v>0.66000000000020098</v>
      </c>
      <c r="AO979" s="1">
        <v>0.66000000000020098</v>
      </c>
      <c r="AS979" s="1">
        <v>0.66000000000020098</v>
      </c>
      <c r="AW979" s="1">
        <v>0.66000000000020098</v>
      </c>
      <c r="BA979" s="1">
        <v>0.66000000000020098</v>
      </c>
      <c r="BE979" s="1">
        <v>0.66000000000020098</v>
      </c>
      <c r="BI979" s="1">
        <v>0.66000000000020098</v>
      </c>
      <c r="BM979" s="1">
        <v>0.66000000000020098</v>
      </c>
      <c r="BQ979" s="1">
        <v>0.66000000000020098</v>
      </c>
      <c r="BU979" s="1">
        <v>0.66000000000020098</v>
      </c>
    </row>
    <row r="980" spans="33:73" hidden="1" x14ac:dyDescent="0.25">
      <c r="AG980" s="1">
        <v>0.65000000000019897</v>
      </c>
      <c r="AH980" s="1">
        <f t="shared" si="41"/>
        <v>229.3499999999998</v>
      </c>
      <c r="AI980" s="1">
        <f t="shared" si="42"/>
        <v>229.3499999999998</v>
      </c>
      <c r="AK980" s="1">
        <v>0.65000000000019897</v>
      </c>
      <c r="AO980" s="1">
        <v>0.65000000000019897</v>
      </c>
      <c r="AS980" s="1">
        <v>0.65000000000019897</v>
      </c>
      <c r="AW980" s="1">
        <v>0.65000000000019897</v>
      </c>
      <c r="BA980" s="1">
        <v>0.65000000000019897</v>
      </c>
      <c r="BE980" s="1">
        <v>0.65000000000019897</v>
      </c>
      <c r="BI980" s="1">
        <v>0.65000000000019897</v>
      </c>
      <c r="BM980" s="1">
        <v>0.65000000000019897</v>
      </c>
      <c r="BQ980" s="1">
        <v>0.65000000000019897</v>
      </c>
      <c r="BU980" s="1">
        <v>0.65000000000019897</v>
      </c>
    </row>
    <row r="981" spans="33:73" hidden="1" x14ac:dyDescent="0.25">
      <c r="AG981" s="1">
        <v>0.64000000000019996</v>
      </c>
      <c r="AH981" s="1">
        <f t="shared" si="41"/>
        <v>229.35999999999979</v>
      </c>
      <c r="AI981" s="1">
        <f t="shared" si="42"/>
        <v>229.35999999999979</v>
      </c>
      <c r="AK981" s="1">
        <v>0.64000000000019996</v>
      </c>
      <c r="AO981" s="1">
        <v>0.64000000000019996</v>
      </c>
      <c r="AS981" s="1">
        <v>0.64000000000019996</v>
      </c>
      <c r="AW981" s="1">
        <v>0.64000000000019996</v>
      </c>
      <c r="BA981" s="1">
        <v>0.64000000000019996</v>
      </c>
      <c r="BE981" s="1">
        <v>0.64000000000019996</v>
      </c>
      <c r="BI981" s="1">
        <v>0.64000000000019996</v>
      </c>
      <c r="BM981" s="1">
        <v>0.64000000000019996</v>
      </c>
      <c r="BQ981" s="1">
        <v>0.64000000000019996</v>
      </c>
      <c r="BU981" s="1">
        <v>0.64000000000019996</v>
      </c>
    </row>
    <row r="982" spans="33:73" hidden="1" x14ac:dyDescent="0.25">
      <c r="AG982" s="1">
        <v>0.63000000000019996</v>
      </c>
      <c r="AH982" s="1">
        <f t="shared" si="41"/>
        <v>229.36999999999981</v>
      </c>
      <c r="AI982" s="1">
        <f t="shared" si="42"/>
        <v>229.36999999999981</v>
      </c>
      <c r="AK982" s="1">
        <v>0.63000000000019996</v>
      </c>
      <c r="AO982" s="1">
        <v>0.63000000000019996</v>
      </c>
      <c r="AS982" s="1">
        <v>0.63000000000019996</v>
      </c>
      <c r="AW982" s="1">
        <v>0.63000000000019996</v>
      </c>
      <c r="BA982" s="1">
        <v>0.63000000000019996</v>
      </c>
      <c r="BE982" s="1">
        <v>0.63000000000019996</v>
      </c>
      <c r="BI982" s="1">
        <v>0.63000000000019996</v>
      </c>
      <c r="BM982" s="1">
        <v>0.63000000000019996</v>
      </c>
      <c r="BQ982" s="1">
        <v>0.63000000000019996</v>
      </c>
      <c r="BU982" s="1">
        <v>0.63000000000019996</v>
      </c>
    </row>
    <row r="983" spans="33:73" hidden="1" x14ac:dyDescent="0.25">
      <c r="AG983" s="1">
        <v>0.62000000000019995</v>
      </c>
      <c r="AH983" s="1">
        <f t="shared" si="41"/>
        <v>229.3799999999998</v>
      </c>
      <c r="AI983" s="1">
        <f t="shared" si="42"/>
        <v>229.3799999999998</v>
      </c>
      <c r="AK983" s="1">
        <v>0.62000000000019995</v>
      </c>
      <c r="AO983" s="1">
        <v>0.62000000000019995</v>
      </c>
      <c r="AS983" s="1">
        <v>0.62000000000019995</v>
      </c>
      <c r="AW983" s="1">
        <v>0.62000000000019995</v>
      </c>
      <c r="BA983" s="1">
        <v>0.62000000000019995</v>
      </c>
      <c r="BE983" s="1">
        <v>0.62000000000019995</v>
      </c>
      <c r="BI983" s="1">
        <v>0.62000000000019995</v>
      </c>
      <c r="BM983" s="1">
        <v>0.62000000000019995</v>
      </c>
      <c r="BQ983" s="1">
        <v>0.62000000000019995</v>
      </c>
      <c r="BU983" s="1">
        <v>0.62000000000019995</v>
      </c>
    </row>
    <row r="984" spans="33:73" hidden="1" x14ac:dyDescent="0.25">
      <c r="AG984" s="1">
        <v>0.61000000000020005</v>
      </c>
      <c r="AH984" s="1">
        <f t="shared" si="41"/>
        <v>229.38999999999979</v>
      </c>
      <c r="AI984" s="1">
        <f t="shared" si="42"/>
        <v>229.38999999999979</v>
      </c>
      <c r="AK984" s="1">
        <v>0.61000000000020005</v>
      </c>
      <c r="AO984" s="1">
        <v>0.61000000000020005</v>
      </c>
      <c r="AS984" s="1">
        <v>0.61000000000020005</v>
      </c>
      <c r="AW984" s="1">
        <v>0.61000000000020005</v>
      </c>
      <c r="BA984" s="1">
        <v>0.61000000000020005</v>
      </c>
      <c r="BE984" s="1">
        <v>0.61000000000020005</v>
      </c>
      <c r="BI984" s="1">
        <v>0.61000000000020005</v>
      </c>
      <c r="BM984" s="1">
        <v>0.61000000000020005</v>
      </c>
      <c r="BQ984" s="1">
        <v>0.61000000000020005</v>
      </c>
      <c r="BU984" s="1">
        <v>0.61000000000020005</v>
      </c>
    </row>
    <row r="985" spans="33:73" hidden="1" x14ac:dyDescent="0.25">
      <c r="AG985" s="1">
        <v>0.60000000000020004</v>
      </c>
      <c r="AH985" s="1">
        <f t="shared" si="41"/>
        <v>229.39999999999981</v>
      </c>
      <c r="AI985" s="1">
        <f t="shared" si="42"/>
        <v>229.39999999999981</v>
      </c>
      <c r="AK985" s="1">
        <v>0.60000000000020004</v>
      </c>
      <c r="AO985" s="1">
        <v>0.60000000000020004</v>
      </c>
      <c r="AS985" s="1">
        <v>0.60000000000020004</v>
      </c>
      <c r="AW985" s="1">
        <v>0.60000000000020004</v>
      </c>
      <c r="BA985" s="1">
        <v>0.60000000000020004</v>
      </c>
      <c r="BE985" s="1">
        <v>0.60000000000020004</v>
      </c>
      <c r="BI985" s="1">
        <v>0.60000000000020004</v>
      </c>
      <c r="BM985" s="1">
        <v>0.60000000000020004</v>
      </c>
      <c r="BQ985" s="1">
        <v>0.60000000000020004</v>
      </c>
      <c r="BU985" s="1">
        <v>0.60000000000020004</v>
      </c>
    </row>
    <row r="986" spans="33:73" hidden="1" x14ac:dyDescent="0.25">
      <c r="AG986" s="1">
        <v>0.59000000000020103</v>
      </c>
      <c r="AH986" s="1">
        <f t="shared" si="41"/>
        <v>229.4099999999998</v>
      </c>
      <c r="AI986" s="1">
        <f t="shared" si="42"/>
        <v>229.4099999999998</v>
      </c>
      <c r="AK986" s="1">
        <v>0.59000000000020103</v>
      </c>
      <c r="AO986" s="1">
        <v>0.59000000000020103</v>
      </c>
      <c r="AS986" s="1">
        <v>0.59000000000020103</v>
      </c>
      <c r="AW986" s="1">
        <v>0.59000000000020103</v>
      </c>
      <c r="BA986" s="1">
        <v>0.59000000000020103</v>
      </c>
      <c r="BE986" s="1">
        <v>0.59000000000020103</v>
      </c>
      <c r="BI986" s="1">
        <v>0.59000000000020103</v>
      </c>
      <c r="BM986" s="1">
        <v>0.59000000000020103</v>
      </c>
      <c r="BQ986" s="1">
        <v>0.59000000000020103</v>
      </c>
      <c r="BU986" s="1">
        <v>0.59000000000020103</v>
      </c>
    </row>
    <row r="987" spans="33:73" hidden="1" x14ac:dyDescent="0.25">
      <c r="AG987" s="1">
        <v>0.58000000000020102</v>
      </c>
      <c r="AH987" s="1">
        <f t="shared" si="41"/>
        <v>229.41999999999979</v>
      </c>
      <c r="AI987" s="1">
        <f t="shared" si="42"/>
        <v>229.41999999999979</v>
      </c>
      <c r="AK987" s="1">
        <v>0.58000000000020102</v>
      </c>
      <c r="AO987" s="1">
        <v>0.58000000000020102</v>
      </c>
      <c r="AS987" s="1">
        <v>0.58000000000020102</v>
      </c>
      <c r="AW987" s="1">
        <v>0.58000000000020102</v>
      </c>
      <c r="BA987" s="1">
        <v>0.58000000000020102</v>
      </c>
      <c r="BE987" s="1">
        <v>0.58000000000020102</v>
      </c>
      <c r="BI987" s="1">
        <v>0.58000000000020102</v>
      </c>
      <c r="BM987" s="1">
        <v>0.58000000000020102</v>
      </c>
      <c r="BQ987" s="1">
        <v>0.58000000000020102</v>
      </c>
      <c r="BU987" s="1">
        <v>0.58000000000020102</v>
      </c>
    </row>
    <row r="988" spans="33:73" hidden="1" x14ac:dyDescent="0.25">
      <c r="AG988" s="1">
        <v>0.57000000000019901</v>
      </c>
      <c r="AH988" s="1">
        <f t="shared" si="41"/>
        <v>229.42999999999981</v>
      </c>
      <c r="AI988" s="1">
        <f t="shared" si="42"/>
        <v>229.42999999999981</v>
      </c>
      <c r="AK988" s="1">
        <v>0.57000000000019901</v>
      </c>
      <c r="AO988" s="1">
        <v>0.57000000000019901</v>
      </c>
      <c r="AS988" s="1">
        <v>0.57000000000019901</v>
      </c>
      <c r="AW988" s="1">
        <v>0.57000000000019901</v>
      </c>
      <c r="BA988" s="1">
        <v>0.57000000000019901</v>
      </c>
      <c r="BE988" s="1">
        <v>0.57000000000019901</v>
      </c>
      <c r="BI988" s="1">
        <v>0.57000000000019901</v>
      </c>
      <c r="BM988" s="1">
        <v>0.57000000000019901</v>
      </c>
      <c r="BQ988" s="1">
        <v>0.57000000000019901</v>
      </c>
      <c r="BU988" s="1">
        <v>0.57000000000019901</v>
      </c>
    </row>
    <row r="989" spans="33:73" hidden="1" x14ac:dyDescent="0.25">
      <c r="AG989" s="1">
        <v>0.56000000000019901</v>
      </c>
      <c r="AH989" s="1">
        <f t="shared" si="41"/>
        <v>229.4399999999998</v>
      </c>
      <c r="AI989" s="1">
        <f t="shared" si="42"/>
        <v>229.4399999999998</v>
      </c>
      <c r="AK989" s="1">
        <v>0.56000000000019901</v>
      </c>
      <c r="AO989" s="1">
        <v>0.56000000000019901</v>
      </c>
      <c r="AS989" s="1">
        <v>0.56000000000019901</v>
      </c>
      <c r="AW989" s="1">
        <v>0.56000000000019901</v>
      </c>
      <c r="BA989" s="1">
        <v>0.56000000000019901</v>
      </c>
      <c r="BE989" s="1">
        <v>0.56000000000019901</v>
      </c>
      <c r="BI989" s="1">
        <v>0.56000000000019901</v>
      </c>
      <c r="BM989" s="1">
        <v>0.56000000000019901</v>
      </c>
      <c r="BQ989" s="1">
        <v>0.56000000000019901</v>
      </c>
      <c r="BU989" s="1">
        <v>0.56000000000019901</v>
      </c>
    </row>
    <row r="990" spans="33:73" hidden="1" x14ac:dyDescent="0.25">
      <c r="AG990" s="1">
        <v>0.5500000000002</v>
      </c>
      <c r="AH990" s="1">
        <f t="shared" si="41"/>
        <v>229.44999999999979</v>
      </c>
      <c r="AI990" s="1">
        <f t="shared" si="42"/>
        <v>229.44999999999979</v>
      </c>
      <c r="AK990" s="1">
        <v>0.5500000000002</v>
      </c>
      <c r="AO990" s="1">
        <v>0.5500000000002</v>
      </c>
      <c r="AS990" s="1">
        <v>0.5500000000002</v>
      </c>
      <c r="AW990" s="1">
        <v>0.5500000000002</v>
      </c>
      <c r="BA990" s="1">
        <v>0.5500000000002</v>
      </c>
      <c r="BE990" s="1">
        <v>0.5500000000002</v>
      </c>
      <c r="BI990" s="1">
        <v>0.5500000000002</v>
      </c>
      <c r="BM990" s="1">
        <v>0.5500000000002</v>
      </c>
      <c r="BQ990" s="1">
        <v>0.5500000000002</v>
      </c>
      <c r="BU990" s="1">
        <v>0.5500000000002</v>
      </c>
    </row>
    <row r="991" spans="33:73" hidden="1" x14ac:dyDescent="0.25">
      <c r="AG991" s="1">
        <v>0.54000000000019999</v>
      </c>
      <c r="AH991" s="1">
        <f t="shared" si="41"/>
        <v>229.45999999999981</v>
      </c>
      <c r="AI991" s="1">
        <f t="shared" si="42"/>
        <v>229.45999999999981</v>
      </c>
      <c r="AK991" s="1">
        <v>0.54000000000019999</v>
      </c>
      <c r="AO991" s="1">
        <v>0.54000000000019999</v>
      </c>
      <c r="AS991" s="1">
        <v>0.54000000000019999</v>
      </c>
      <c r="AW991" s="1">
        <v>0.54000000000019999</v>
      </c>
      <c r="BA991" s="1">
        <v>0.54000000000019999</v>
      </c>
      <c r="BE991" s="1">
        <v>0.54000000000019999</v>
      </c>
      <c r="BI991" s="1">
        <v>0.54000000000019999</v>
      </c>
      <c r="BM991" s="1">
        <v>0.54000000000019999</v>
      </c>
      <c r="BQ991" s="1">
        <v>0.54000000000019999</v>
      </c>
      <c r="BU991" s="1">
        <v>0.54000000000019999</v>
      </c>
    </row>
    <row r="992" spans="33:73" hidden="1" x14ac:dyDescent="0.25">
      <c r="AG992" s="1">
        <v>0.53000000000019998</v>
      </c>
      <c r="AH992" s="1">
        <f t="shared" si="41"/>
        <v>229.4699999999998</v>
      </c>
      <c r="AI992" s="1">
        <f t="shared" si="42"/>
        <v>229.4699999999998</v>
      </c>
      <c r="AK992" s="1">
        <v>0.53000000000019998</v>
      </c>
      <c r="AO992" s="1">
        <v>0.53000000000019998</v>
      </c>
      <c r="AS992" s="1">
        <v>0.53000000000019998</v>
      </c>
      <c r="AW992" s="1">
        <v>0.53000000000019998</v>
      </c>
      <c r="BA992" s="1">
        <v>0.53000000000019998</v>
      </c>
      <c r="BE992" s="1">
        <v>0.53000000000019998</v>
      </c>
      <c r="BI992" s="1">
        <v>0.53000000000019998</v>
      </c>
      <c r="BM992" s="1">
        <v>0.53000000000019998</v>
      </c>
      <c r="BQ992" s="1">
        <v>0.53000000000019998</v>
      </c>
      <c r="BU992" s="1">
        <v>0.53000000000019998</v>
      </c>
    </row>
    <row r="993" spans="33:73" hidden="1" x14ac:dyDescent="0.25">
      <c r="AG993" s="1">
        <v>0.52000000000019997</v>
      </c>
      <c r="AH993" s="1">
        <f t="shared" si="41"/>
        <v>229.47999999999979</v>
      </c>
      <c r="AI993" s="1">
        <f t="shared" si="42"/>
        <v>229.47999999999979</v>
      </c>
      <c r="AK993" s="1">
        <v>0.52000000000019997</v>
      </c>
      <c r="AO993" s="1">
        <v>0.52000000000019997</v>
      </c>
      <c r="AS993" s="1">
        <v>0.52000000000019997</v>
      </c>
      <c r="AW993" s="1">
        <v>0.52000000000019997</v>
      </c>
      <c r="BA993" s="1">
        <v>0.52000000000019997</v>
      </c>
      <c r="BE993" s="1">
        <v>0.52000000000019997</v>
      </c>
      <c r="BI993" s="1">
        <v>0.52000000000019997</v>
      </c>
      <c r="BM993" s="1">
        <v>0.52000000000019997</v>
      </c>
      <c r="BQ993" s="1">
        <v>0.52000000000019997</v>
      </c>
      <c r="BU993" s="1">
        <v>0.52000000000019997</v>
      </c>
    </row>
    <row r="994" spans="33:73" hidden="1" x14ac:dyDescent="0.25">
      <c r="AG994" s="1">
        <v>0.51000000000020096</v>
      </c>
      <c r="AH994" s="1">
        <f t="shared" si="41"/>
        <v>229.48999999999981</v>
      </c>
      <c r="AI994" s="1">
        <f t="shared" si="42"/>
        <v>229.48999999999981</v>
      </c>
      <c r="AK994" s="1">
        <v>0.51000000000020096</v>
      </c>
      <c r="AO994" s="1">
        <v>0.51000000000020096</v>
      </c>
      <c r="AS994" s="1">
        <v>0.51000000000020096</v>
      </c>
      <c r="AW994" s="1">
        <v>0.51000000000020096</v>
      </c>
      <c r="BA994" s="1">
        <v>0.51000000000020096</v>
      </c>
      <c r="BE994" s="1">
        <v>0.51000000000020096</v>
      </c>
      <c r="BI994" s="1">
        <v>0.51000000000020096</v>
      </c>
      <c r="BM994" s="1">
        <v>0.51000000000020096</v>
      </c>
      <c r="BQ994" s="1">
        <v>0.51000000000020096</v>
      </c>
      <c r="BU994" s="1">
        <v>0.51000000000020096</v>
      </c>
    </row>
    <row r="995" spans="33:73" hidden="1" x14ac:dyDescent="0.25">
      <c r="AG995" s="1">
        <v>0.50000000000020095</v>
      </c>
      <c r="AH995" s="1">
        <f t="shared" si="41"/>
        <v>229.4999999999998</v>
      </c>
      <c r="AI995" s="1">
        <f t="shared" si="42"/>
        <v>229.4999999999998</v>
      </c>
      <c r="AK995" s="1">
        <v>0.50000000000020095</v>
      </c>
      <c r="AO995" s="1">
        <v>0.50000000000020095</v>
      </c>
      <c r="AS995" s="1">
        <v>0.50000000000020095</v>
      </c>
      <c r="AW995" s="1">
        <v>0.50000000000020095</v>
      </c>
      <c r="BA995" s="1">
        <v>0.50000000000020095</v>
      </c>
      <c r="BE995" s="1">
        <v>0.50000000000020095</v>
      </c>
      <c r="BI995" s="1">
        <v>0.50000000000020095</v>
      </c>
      <c r="BM995" s="1">
        <v>0.50000000000020095</v>
      </c>
      <c r="BQ995" s="1">
        <v>0.50000000000020095</v>
      </c>
      <c r="BU995" s="1">
        <v>0.50000000000020095</v>
      </c>
    </row>
    <row r="996" spans="33:73" hidden="1" x14ac:dyDescent="0.25">
      <c r="AG996" s="1">
        <v>0.490000000000199</v>
      </c>
      <c r="AH996" s="1">
        <f t="shared" si="41"/>
        <v>229.50999999999979</v>
      </c>
      <c r="AI996" s="1">
        <f t="shared" si="42"/>
        <v>229.50999999999979</v>
      </c>
      <c r="AK996" s="1">
        <v>0.490000000000199</v>
      </c>
      <c r="AO996" s="1">
        <v>0.490000000000199</v>
      </c>
      <c r="AS996" s="1">
        <v>0.490000000000199</v>
      </c>
      <c r="AW996" s="1">
        <v>0.490000000000199</v>
      </c>
      <c r="BA996" s="1">
        <v>0.490000000000199</v>
      </c>
      <c r="BE996" s="1">
        <v>0.490000000000199</v>
      </c>
      <c r="BI996" s="1">
        <v>0.490000000000199</v>
      </c>
      <c r="BM996" s="1">
        <v>0.490000000000199</v>
      </c>
      <c r="BQ996" s="1">
        <v>0.490000000000199</v>
      </c>
      <c r="BU996" s="1">
        <v>0.490000000000199</v>
      </c>
    </row>
    <row r="997" spans="33:73" hidden="1" x14ac:dyDescent="0.25">
      <c r="AG997" s="1">
        <v>0.48000000000019899</v>
      </c>
      <c r="AH997" s="1">
        <f t="shared" si="41"/>
        <v>229.51999999999981</v>
      </c>
      <c r="AI997" s="1">
        <f t="shared" si="42"/>
        <v>229.51999999999981</v>
      </c>
      <c r="AK997" s="1">
        <v>0.48000000000019899</v>
      </c>
      <c r="AO997" s="1">
        <v>0.48000000000019899</v>
      </c>
      <c r="AS997" s="1">
        <v>0.48000000000019899</v>
      </c>
      <c r="AW997" s="1">
        <v>0.48000000000019899</v>
      </c>
      <c r="BA997" s="1">
        <v>0.48000000000019899</v>
      </c>
      <c r="BE997" s="1">
        <v>0.48000000000019899</v>
      </c>
      <c r="BI997" s="1">
        <v>0.48000000000019899</v>
      </c>
      <c r="BM997" s="1">
        <v>0.48000000000019899</v>
      </c>
      <c r="BQ997" s="1">
        <v>0.48000000000019899</v>
      </c>
      <c r="BU997" s="1">
        <v>0.48000000000019899</v>
      </c>
    </row>
    <row r="998" spans="33:73" hidden="1" x14ac:dyDescent="0.25">
      <c r="AG998" s="1">
        <v>0.47000000000019998</v>
      </c>
      <c r="AH998" s="1">
        <f t="shared" si="41"/>
        <v>229.5299999999998</v>
      </c>
      <c r="AI998" s="1">
        <f t="shared" si="42"/>
        <v>229.5299999999998</v>
      </c>
      <c r="AK998" s="1">
        <v>0.47000000000019998</v>
      </c>
      <c r="AO998" s="1">
        <v>0.47000000000019998</v>
      </c>
      <c r="AS998" s="1">
        <v>0.47000000000019998</v>
      </c>
      <c r="AW998" s="1">
        <v>0.47000000000019998</v>
      </c>
      <c r="BA998" s="1">
        <v>0.47000000000019998</v>
      </c>
      <c r="BE998" s="1">
        <v>0.47000000000019998</v>
      </c>
      <c r="BI998" s="1">
        <v>0.47000000000019998</v>
      </c>
      <c r="BM998" s="1">
        <v>0.47000000000019998</v>
      </c>
      <c r="BQ998" s="1">
        <v>0.47000000000019998</v>
      </c>
      <c r="BU998" s="1">
        <v>0.47000000000019998</v>
      </c>
    </row>
    <row r="999" spans="33:73" hidden="1" x14ac:dyDescent="0.25">
      <c r="AG999" s="1">
        <v>0.46000000000020003</v>
      </c>
      <c r="AH999" s="1">
        <f t="shared" si="41"/>
        <v>229.53999999999979</v>
      </c>
      <c r="AI999" s="1">
        <f t="shared" si="42"/>
        <v>229.53999999999979</v>
      </c>
      <c r="AK999" s="1">
        <v>0.46000000000020003</v>
      </c>
      <c r="AO999" s="1">
        <v>0.46000000000020003</v>
      </c>
      <c r="AS999" s="1">
        <v>0.46000000000020003</v>
      </c>
      <c r="AW999" s="1">
        <v>0.46000000000020003</v>
      </c>
      <c r="BA999" s="1">
        <v>0.46000000000020003</v>
      </c>
      <c r="BE999" s="1">
        <v>0.46000000000020003</v>
      </c>
      <c r="BI999" s="1">
        <v>0.46000000000020003</v>
      </c>
      <c r="BM999" s="1">
        <v>0.46000000000020003</v>
      </c>
      <c r="BQ999" s="1">
        <v>0.46000000000020003</v>
      </c>
      <c r="BU999" s="1">
        <v>0.46000000000020003</v>
      </c>
    </row>
    <row r="1000" spans="33:73" hidden="1" x14ac:dyDescent="0.25">
      <c r="AG1000" s="1">
        <v>0.45000000000020002</v>
      </c>
      <c r="AH1000" s="1">
        <f t="shared" si="41"/>
        <v>229.54999999999981</v>
      </c>
      <c r="AI1000" s="1">
        <f t="shared" si="42"/>
        <v>229.54999999999981</v>
      </c>
      <c r="AK1000" s="1">
        <v>0.45000000000020002</v>
      </c>
      <c r="AO1000" s="1">
        <v>0.45000000000020002</v>
      </c>
      <c r="AS1000" s="1">
        <v>0.45000000000020002</v>
      </c>
      <c r="AW1000" s="1">
        <v>0.45000000000020002</v>
      </c>
      <c r="BA1000" s="1">
        <v>0.45000000000020002</v>
      </c>
      <c r="BE1000" s="1">
        <v>0.45000000000020002</v>
      </c>
      <c r="BI1000" s="1">
        <v>0.45000000000020002</v>
      </c>
      <c r="BM1000" s="1">
        <v>0.45000000000020002</v>
      </c>
      <c r="BQ1000" s="1">
        <v>0.45000000000020002</v>
      </c>
      <c r="BU1000" s="1">
        <v>0.45000000000020002</v>
      </c>
    </row>
    <row r="1001" spans="33:73" hidden="1" x14ac:dyDescent="0.25">
      <c r="AG1001" s="1">
        <v>0.44000000000020001</v>
      </c>
      <c r="AH1001" s="1">
        <f t="shared" si="41"/>
        <v>229.5599999999998</v>
      </c>
      <c r="AI1001" s="1">
        <f t="shared" si="42"/>
        <v>229.5599999999998</v>
      </c>
      <c r="AK1001" s="1">
        <v>0.44000000000020001</v>
      </c>
      <c r="AO1001" s="1">
        <v>0.44000000000020001</v>
      </c>
      <c r="AS1001" s="1">
        <v>0.44000000000020001</v>
      </c>
      <c r="AW1001" s="1">
        <v>0.44000000000020001</v>
      </c>
      <c r="BA1001" s="1">
        <v>0.44000000000020001</v>
      </c>
      <c r="BE1001" s="1">
        <v>0.44000000000020001</v>
      </c>
      <c r="BI1001" s="1">
        <v>0.44000000000020001</v>
      </c>
      <c r="BM1001" s="1">
        <v>0.44000000000020001</v>
      </c>
      <c r="BQ1001" s="1">
        <v>0.44000000000020001</v>
      </c>
      <c r="BU1001" s="1">
        <v>0.44000000000020001</v>
      </c>
    </row>
    <row r="1002" spans="33:73" hidden="1" x14ac:dyDescent="0.25">
      <c r="AG1002" s="1">
        <v>0.4300000000002</v>
      </c>
      <c r="AH1002" s="1">
        <f t="shared" si="41"/>
        <v>229.56999999999979</v>
      </c>
      <c r="AI1002" s="1">
        <f t="shared" si="42"/>
        <v>229.56999999999979</v>
      </c>
      <c r="AK1002" s="1">
        <v>0.4300000000002</v>
      </c>
      <c r="AO1002" s="1">
        <v>0.4300000000002</v>
      </c>
      <c r="AS1002" s="1">
        <v>0.4300000000002</v>
      </c>
      <c r="AW1002" s="1">
        <v>0.4300000000002</v>
      </c>
      <c r="BA1002" s="1">
        <v>0.4300000000002</v>
      </c>
      <c r="BE1002" s="1">
        <v>0.4300000000002</v>
      </c>
      <c r="BI1002" s="1">
        <v>0.4300000000002</v>
      </c>
      <c r="BM1002" s="1">
        <v>0.4300000000002</v>
      </c>
      <c r="BQ1002" s="1">
        <v>0.4300000000002</v>
      </c>
      <c r="BU1002" s="1">
        <v>0.4300000000002</v>
      </c>
    </row>
    <row r="1003" spans="33:73" hidden="1" x14ac:dyDescent="0.25">
      <c r="AG1003" s="1">
        <v>0.42000000000020099</v>
      </c>
      <c r="AH1003" s="1">
        <f t="shared" si="41"/>
        <v>229.57999999999979</v>
      </c>
      <c r="AI1003" s="1">
        <f t="shared" si="42"/>
        <v>229.57999999999979</v>
      </c>
      <c r="AK1003" s="1">
        <v>0.42000000000020099</v>
      </c>
      <c r="AO1003" s="1">
        <v>0.42000000000020099</v>
      </c>
      <c r="AS1003" s="1">
        <v>0.42000000000020099</v>
      </c>
      <c r="AW1003" s="1">
        <v>0.42000000000020099</v>
      </c>
      <c r="BA1003" s="1">
        <v>0.42000000000020099</v>
      </c>
      <c r="BE1003" s="1">
        <v>0.42000000000020099</v>
      </c>
      <c r="BI1003" s="1">
        <v>0.42000000000020099</v>
      </c>
      <c r="BM1003" s="1">
        <v>0.42000000000020099</v>
      </c>
      <c r="BQ1003" s="1">
        <v>0.42000000000020099</v>
      </c>
      <c r="BU1003" s="1">
        <v>0.42000000000020099</v>
      </c>
    </row>
    <row r="1004" spans="33:73" hidden="1" x14ac:dyDescent="0.25">
      <c r="AG1004" s="1">
        <v>0.41000000000020098</v>
      </c>
      <c r="AH1004" s="1">
        <f t="shared" si="41"/>
        <v>229.5899999999998</v>
      </c>
      <c r="AI1004" s="1">
        <f t="shared" si="42"/>
        <v>229.5899999999998</v>
      </c>
      <c r="AK1004" s="1">
        <v>0.41000000000020098</v>
      </c>
      <c r="AO1004" s="1">
        <v>0.41000000000020098</v>
      </c>
      <c r="AS1004" s="1">
        <v>0.41000000000020098</v>
      </c>
      <c r="AW1004" s="1">
        <v>0.41000000000020098</v>
      </c>
      <c r="BA1004" s="1">
        <v>0.41000000000020098</v>
      </c>
      <c r="BE1004" s="1">
        <v>0.41000000000020098</v>
      </c>
      <c r="BI1004" s="1">
        <v>0.41000000000020098</v>
      </c>
      <c r="BM1004" s="1">
        <v>0.41000000000020098</v>
      </c>
      <c r="BQ1004" s="1">
        <v>0.41000000000020098</v>
      </c>
      <c r="BU1004" s="1">
        <v>0.41000000000020098</v>
      </c>
    </row>
    <row r="1005" spans="33:73" hidden="1" x14ac:dyDescent="0.25">
      <c r="AG1005" s="1">
        <v>0.40000000000019897</v>
      </c>
      <c r="AH1005" s="1">
        <f t="shared" si="41"/>
        <v>229.5999999999998</v>
      </c>
      <c r="AI1005" s="1">
        <f t="shared" si="42"/>
        <v>229.5999999999998</v>
      </c>
      <c r="AK1005" s="1">
        <v>0.40000000000019897</v>
      </c>
      <c r="AO1005" s="1">
        <v>0.40000000000019897</v>
      </c>
      <c r="AS1005" s="1">
        <v>0.40000000000019897</v>
      </c>
      <c r="AW1005" s="1">
        <v>0.40000000000019897</v>
      </c>
      <c r="BA1005" s="1">
        <v>0.40000000000019897</v>
      </c>
      <c r="BE1005" s="1">
        <v>0.40000000000019897</v>
      </c>
      <c r="BI1005" s="1">
        <v>0.40000000000019897</v>
      </c>
      <c r="BM1005" s="1">
        <v>0.40000000000019897</v>
      </c>
      <c r="BQ1005" s="1">
        <v>0.40000000000019897</v>
      </c>
      <c r="BU1005" s="1">
        <v>0.40000000000019897</v>
      </c>
    </row>
    <row r="1006" spans="33:73" hidden="1" x14ac:dyDescent="0.25">
      <c r="AG1006" s="1">
        <v>0.39000000000020002</v>
      </c>
      <c r="AH1006" s="1">
        <f t="shared" ref="AH1006:AH1045" si="43">SQRT((AI1006+($AI$38*($AM$44*$AJ$44+$AN$44*$AK$44)))^2+($D$3*($AN$44*$AJ$44-$AM$44*$AK$44))^2)</f>
        <v>229.60999999999979</v>
      </c>
      <c r="AI1006" s="1">
        <f t="shared" ref="AI1006:AI1045" si="44">$AI$40-AG1006</f>
        <v>229.60999999999979</v>
      </c>
      <c r="AK1006" s="1">
        <v>0.39000000000020002</v>
      </c>
      <c r="AO1006" s="1">
        <v>0.39000000000020002</v>
      </c>
      <c r="AS1006" s="1">
        <v>0.39000000000020002</v>
      </c>
      <c r="AW1006" s="1">
        <v>0.39000000000020002</v>
      </c>
      <c r="BA1006" s="1">
        <v>0.39000000000020002</v>
      </c>
      <c r="BE1006" s="1">
        <v>0.39000000000020002</v>
      </c>
      <c r="BI1006" s="1">
        <v>0.39000000000020002</v>
      </c>
      <c r="BM1006" s="1">
        <v>0.39000000000020002</v>
      </c>
      <c r="BQ1006" s="1">
        <v>0.39000000000020002</v>
      </c>
      <c r="BU1006" s="1">
        <v>0.39000000000020002</v>
      </c>
    </row>
    <row r="1007" spans="33:73" hidden="1" x14ac:dyDescent="0.25">
      <c r="AG1007" s="1">
        <v>0.38000000000021</v>
      </c>
      <c r="AH1007" s="1">
        <f t="shared" si="43"/>
        <v>229.61999999999978</v>
      </c>
      <c r="AI1007" s="1">
        <f t="shared" si="44"/>
        <v>229.61999999999978</v>
      </c>
      <c r="AK1007" s="1">
        <v>0.38000000000021</v>
      </c>
      <c r="AO1007" s="1">
        <v>0.38000000000021</v>
      </c>
      <c r="AS1007" s="1">
        <v>0.38000000000021</v>
      </c>
      <c r="AW1007" s="1">
        <v>0.38000000000021</v>
      </c>
      <c r="BA1007" s="1">
        <v>0.38000000000021</v>
      </c>
      <c r="BE1007" s="1">
        <v>0.38000000000021</v>
      </c>
      <c r="BI1007" s="1">
        <v>0.38000000000021</v>
      </c>
      <c r="BM1007" s="1">
        <v>0.38000000000021</v>
      </c>
      <c r="BQ1007" s="1">
        <v>0.38000000000021</v>
      </c>
      <c r="BU1007" s="1">
        <v>0.38000000000021</v>
      </c>
    </row>
    <row r="1008" spans="33:73" hidden="1" x14ac:dyDescent="0.25">
      <c r="AG1008" s="1">
        <v>0.37000000000021099</v>
      </c>
      <c r="AH1008" s="1">
        <f t="shared" si="43"/>
        <v>229.6299999999998</v>
      </c>
      <c r="AI1008" s="1">
        <f t="shared" si="44"/>
        <v>229.6299999999998</v>
      </c>
      <c r="AK1008" s="1">
        <v>0.37000000000021099</v>
      </c>
      <c r="AO1008" s="1">
        <v>0.37000000000021099</v>
      </c>
      <c r="AS1008" s="1">
        <v>0.37000000000021099</v>
      </c>
      <c r="AW1008" s="1">
        <v>0.37000000000021099</v>
      </c>
      <c r="BA1008" s="1">
        <v>0.37000000000021099</v>
      </c>
      <c r="BE1008" s="1">
        <v>0.37000000000021099</v>
      </c>
      <c r="BI1008" s="1">
        <v>0.37000000000021099</v>
      </c>
      <c r="BM1008" s="1">
        <v>0.37000000000021099</v>
      </c>
      <c r="BQ1008" s="1">
        <v>0.37000000000021099</v>
      </c>
      <c r="BU1008" s="1">
        <v>0.37000000000021099</v>
      </c>
    </row>
    <row r="1009" spans="33:73" hidden="1" x14ac:dyDescent="0.25">
      <c r="AG1009" s="1">
        <v>0.36000000000021098</v>
      </c>
      <c r="AH1009" s="1">
        <f t="shared" si="43"/>
        <v>229.63999999999979</v>
      </c>
      <c r="AI1009" s="1">
        <f t="shared" si="44"/>
        <v>229.63999999999979</v>
      </c>
      <c r="AK1009" s="1">
        <v>0.36000000000021098</v>
      </c>
      <c r="AO1009" s="1">
        <v>0.36000000000021098</v>
      </c>
      <c r="AS1009" s="1">
        <v>0.36000000000021098</v>
      </c>
      <c r="AW1009" s="1">
        <v>0.36000000000021098</v>
      </c>
      <c r="BA1009" s="1">
        <v>0.36000000000021098</v>
      </c>
      <c r="BE1009" s="1">
        <v>0.36000000000021098</v>
      </c>
      <c r="BI1009" s="1">
        <v>0.36000000000021098</v>
      </c>
      <c r="BM1009" s="1">
        <v>0.36000000000021098</v>
      </c>
      <c r="BQ1009" s="1">
        <v>0.36000000000021098</v>
      </c>
      <c r="BU1009" s="1">
        <v>0.36000000000021098</v>
      </c>
    </row>
    <row r="1010" spans="33:73" hidden="1" x14ac:dyDescent="0.25">
      <c r="AG1010" s="1">
        <v>0.35000000000020898</v>
      </c>
      <c r="AH1010" s="1">
        <f t="shared" si="43"/>
        <v>229.64999999999978</v>
      </c>
      <c r="AI1010" s="1">
        <f t="shared" si="44"/>
        <v>229.64999999999978</v>
      </c>
      <c r="AK1010" s="1">
        <v>0.35000000000020898</v>
      </c>
      <c r="AO1010" s="1">
        <v>0.35000000000020898</v>
      </c>
      <c r="AS1010" s="1">
        <v>0.35000000000020898</v>
      </c>
      <c r="AW1010" s="1">
        <v>0.35000000000020898</v>
      </c>
      <c r="BA1010" s="1">
        <v>0.35000000000020898</v>
      </c>
      <c r="BE1010" s="1">
        <v>0.35000000000020898</v>
      </c>
      <c r="BI1010" s="1">
        <v>0.35000000000020898</v>
      </c>
      <c r="BM1010" s="1">
        <v>0.35000000000020898</v>
      </c>
      <c r="BQ1010" s="1">
        <v>0.35000000000020898</v>
      </c>
      <c r="BU1010" s="1">
        <v>0.35000000000020898</v>
      </c>
    </row>
    <row r="1011" spans="33:73" hidden="1" x14ac:dyDescent="0.25">
      <c r="AG1011" s="1">
        <v>0.34000000000020902</v>
      </c>
      <c r="AH1011" s="1">
        <f t="shared" si="43"/>
        <v>229.6599999999998</v>
      </c>
      <c r="AI1011" s="1">
        <f t="shared" si="44"/>
        <v>229.6599999999998</v>
      </c>
      <c r="AK1011" s="1">
        <v>0.34000000000020902</v>
      </c>
      <c r="AO1011" s="1">
        <v>0.34000000000020902</v>
      </c>
      <c r="AS1011" s="1">
        <v>0.34000000000020902</v>
      </c>
      <c r="AW1011" s="1">
        <v>0.34000000000020902</v>
      </c>
      <c r="BA1011" s="1">
        <v>0.34000000000020902</v>
      </c>
      <c r="BE1011" s="1">
        <v>0.34000000000020902</v>
      </c>
      <c r="BI1011" s="1">
        <v>0.34000000000020902</v>
      </c>
      <c r="BM1011" s="1">
        <v>0.34000000000020902</v>
      </c>
      <c r="BQ1011" s="1">
        <v>0.34000000000020902</v>
      </c>
      <c r="BU1011" s="1">
        <v>0.34000000000020902</v>
      </c>
    </row>
    <row r="1012" spans="33:73" hidden="1" x14ac:dyDescent="0.25">
      <c r="AG1012" s="1">
        <v>0.33000000000021001</v>
      </c>
      <c r="AH1012" s="1">
        <f t="shared" si="43"/>
        <v>229.66999999999979</v>
      </c>
      <c r="AI1012" s="1">
        <f t="shared" si="44"/>
        <v>229.66999999999979</v>
      </c>
      <c r="AK1012" s="1">
        <v>0.33000000000021001</v>
      </c>
      <c r="AO1012" s="1">
        <v>0.33000000000021001</v>
      </c>
      <c r="AS1012" s="1">
        <v>0.33000000000021001</v>
      </c>
      <c r="AW1012" s="1">
        <v>0.33000000000021001</v>
      </c>
      <c r="BA1012" s="1">
        <v>0.33000000000021001</v>
      </c>
      <c r="BE1012" s="1">
        <v>0.33000000000021001</v>
      </c>
      <c r="BI1012" s="1">
        <v>0.33000000000021001</v>
      </c>
      <c r="BM1012" s="1">
        <v>0.33000000000021001</v>
      </c>
      <c r="BQ1012" s="1">
        <v>0.33000000000021001</v>
      </c>
      <c r="BU1012" s="1">
        <v>0.33000000000021001</v>
      </c>
    </row>
    <row r="1013" spans="33:73" hidden="1" x14ac:dyDescent="0.25">
      <c r="AG1013" s="1">
        <v>0.32000000000021001</v>
      </c>
      <c r="AH1013" s="1">
        <f t="shared" si="43"/>
        <v>229.67999999999978</v>
      </c>
      <c r="AI1013" s="1">
        <f t="shared" si="44"/>
        <v>229.67999999999978</v>
      </c>
      <c r="AK1013" s="1">
        <v>0.32000000000021001</v>
      </c>
      <c r="AO1013" s="1">
        <v>0.32000000000021001</v>
      </c>
      <c r="AS1013" s="1">
        <v>0.32000000000021001</v>
      </c>
      <c r="AW1013" s="1">
        <v>0.32000000000021001</v>
      </c>
      <c r="BA1013" s="1">
        <v>0.32000000000021001</v>
      </c>
      <c r="BE1013" s="1">
        <v>0.32000000000021001</v>
      </c>
      <c r="BI1013" s="1">
        <v>0.32000000000021001</v>
      </c>
      <c r="BM1013" s="1">
        <v>0.32000000000021001</v>
      </c>
      <c r="BQ1013" s="1">
        <v>0.32000000000021001</v>
      </c>
      <c r="BU1013" s="1">
        <v>0.32000000000021001</v>
      </c>
    </row>
    <row r="1014" spans="33:73" hidden="1" x14ac:dyDescent="0.25">
      <c r="AG1014" s="1">
        <v>0.31000000000021</v>
      </c>
      <c r="AH1014" s="1">
        <f t="shared" si="43"/>
        <v>229.6899999999998</v>
      </c>
      <c r="AI1014" s="1">
        <f t="shared" si="44"/>
        <v>229.6899999999998</v>
      </c>
      <c r="AK1014" s="1">
        <v>0.31000000000021</v>
      </c>
      <c r="AO1014" s="1">
        <v>0.31000000000021</v>
      </c>
      <c r="AS1014" s="1">
        <v>0.31000000000021</v>
      </c>
      <c r="AW1014" s="1">
        <v>0.31000000000021</v>
      </c>
      <c r="BA1014" s="1">
        <v>0.31000000000021</v>
      </c>
      <c r="BE1014" s="1">
        <v>0.31000000000021</v>
      </c>
      <c r="BI1014" s="1">
        <v>0.31000000000021</v>
      </c>
      <c r="BM1014" s="1">
        <v>0.31000000000021</v>
      </c>
      <c r="BQ1014" s="1">
        <v>0.31000000000021</v>
      </c>
      <c r="BU1014" s="1">
        <v>0.31000000000021</v>
      </c>
    </row>
    <row r="1015" spans="33:73" hidden="1" x14ac:dyDescent="0.25">
      <c r="AG1015" s="1">
        <v>0.30000000000020999</v>
      </c>
      <c r="AH1015" s="1">
        <f t="shared" si="43"/>
        <v>229.69999999999979</v>
      </c>
      <c r="AI1015" s="1">
        <f t="shared" si="44"/>
        <v>229.69999999999979</v>
      </c>
      <c r="AK1015" s="1">
        <v>0.30000000000020999</v>
      </c>
      <c r="AO1015" s="1">
        <v>0.30000000000020999</v>
      </c>
      <c r="AS1015" s="1">
        <v>0.30000000000020999</v>
      </c>
      <c r="AW1015" s="1">
        <v>0.30000000000020999</v>
      </c>
      <c r="BA1015" s="1">
        <v>0.30000000000020999</v>
      </c>
      <c r="BE1015" s="1">
        <v>0.30000000000020999</v>
      </c>
      <c r="BI1015" s="1">
        <v>0.30000000000020999</v>
      </c>
      <c r="BM1015" s="1">
        <v>0.30000000000020999</v>
      </c>
      <c r="BQ1015" s="1">
        <v>0.30000000000020999</v>
      </c>
      <c r="BU1015" s="1">
        <v>0.30000000000020999</v>
      </c>
    </row>
    <row r="1016" spans="33:73" hidden="1" x14ac:dyDescent="0.25">
      <c r="AG1016" s="1">
        <v>0.29000000000021098</v>
      </c>
      <c r="AH1016" s="1">
        <f t="shared" si="43"/>
        <v>229.70999999999978</v>
      </c>
      <c r="AI1016" s="1">
        <f t="shared" si="44"/>
        <v>229.70999999999978</v>
      </c>
      <c r="AK1016" s="1">
        <v>0.29000000000021098</v>
      </c>
      <c r="AO1016" s="1">
        <v>0.29000000000021098</v>
      </c>
      <c r="AS1016" s="1">
        <v>0.29000000000021098</v>
      </c>
      <c r="AW1016" s="1">
        <v>0.29000000000021098</v>
      </c>
      <c r="BA1016" s="1">
        <v>0.29000000000021098</v>
      </c>
      <c r="BE1016" s="1">
        <v>0.29000000000021098</v>
      </c>
      <c r="BI1016" s="1">
        <v>0.29000000000021098</v>
      </c>
      <c r="BM1016" s="1">
        <v>0.29000000000021098</v>
      </c>
      <c r="BQ1016" s="1">
        <v>0.29000000000021098</v>
      </c>
      <c r="BU1016" s="1">
        <v>0.29000000000021098</v>
      </c>
    </row>
    <row r="1017" spans="33:73" hidden="1" x14ac:dyDescent="0.25">
      <c r="AG1017" s="1">
        <v>0.28000000000021102</v>
      </c>
      <c r="AH1017" s="1">
        <f t="shared" si="43"/>
        <v>229.7199999999998</v>
      </c>
      <c r="AI1017" s="1">
        <f t="shared" si="44"/>
        <v>229.7199999999998</v>
      </c>
      <c r="AK1017" s="1">
        <v>0.28000000000021102</v>
      </c>
      <c r="AO1017" s="1">
        <v>0.28000000000021102</v>
      </c>
      <c r="AS1017" s="1">
        <v>0.28000000000021102</v>
      </c>
      <c r="AW1017" s="1">
        <v>0.28000000000021102</v>
      </c>
      <c r="BA1017" s="1">
        <v>0.28000000000021102</v>
      </c>
      <c r="BE1017" s="1">
        <v>0.28000000000021102</v>
      </c>
      <c r="BI1017" s="1">
        <v>0.28000000000021102</v>
      </c>
      <c r="BM1017" s="1">
        <v>0.28000000000021102</v>
      </c>
      <c r="BQ1017" s="1">
        <v>0.28000000000021102</v>
      </c>
      <c r="BU1017" s="1">
        <v>0.28000000000021102</v>
      </c>
    </row>
    <row r="1018" spans="33:73" hidden="1" x14ac:dyDescent="0.25">
      <c r="AG1018" s="1">
        <v>0.27000000000020902</v>
      </c>
      <c r="AH1018" s="1">
        <f t="shared" si="43"/>
        <v>229.72999999999979</v>
      </c>
      <c r="AI1018" s="1">
        <f t="shared" si="44"/>
        <v>229.72999999999979</v>
      </c>
      <c r="AK1018" s="1">
        <v>0.27000000000020902</v>
      </c>
      <c r="AO1018" s="1">
        <v>0.27000000000020902</v>
      </c>
      <c r="AS1018" s="1">
        <v>0.27000000000020902</v>
      </c>
      <c r="AW1018" s="1">
        <v>0.27000000000020902</v>
      </c>
      <c r="BA1018" s="1">
        <v>0.27000000000020902</v>
      </c>
      <c r="BE1018" s="1">
        <v>0.27000000000020902</v>
      </c>
      <c r="BI1018" s="1">
        <v>0.27000000000020902</v>
      </c>
      <c r="BM1018" s="1">
        <v>0.27000000000020902</v>
      </c>
      <c r="BQ1018" s="1">
        <v>0.27000000000020902</v>
      </c>
      <c r="BU1018" s="1">
        <v>0.27000000000020902</v>
      </c>
    </row>
    <row r="1019" spans="33:73" hidden="1" x14ac:dyDescent="0.25">
      <c r="AG1019" s="1">
        <v>0.26000000000020901</v>
      </c>
      <c r="AH1019" s="1">
        <f t="shared" si="43"/>
        <v>229.73999999999978</v>
      </c>
      <c r="AI1019" s="1">
        <f t="shared" si="44"/>
        <v>229.73999999999978</v>
      </c>
      <c r="AK1019" s="1">
        <v>0.26000000000020901</v>
      </c>
      <c r="AO1019" s="1">
        <v>0.26000000000020901</v>
      </c>
      <c r="AS1019" s="1">
        <v>0.26000000000020901</v>
      </c>
      <c r="AW1019" s="1">
        <v>0.26000000000020901</v>
      </c>
      <c r="BA1019" s="1">
        <v>0.26000000000020901</v>
      </c>
      <c r="BE1019" s="1">
        <v>0.26000000000020901</v>
      </c>
      <c r="BI1019" s="1">
        <v>0.26000000000020901</v>
      </c>
      <c r="BM1019" s="1">
        <v>0.26000000000020901</v>
      </c>
      <c r="BQ1019" s="1">
        <v>0.26000000000020901</v>
      </c>
      <c r="BU1019" s="1">
        <v>0.26000000000020901</v>
      </c>
    </row>
    <row r="1020" spans="33:73" hidden="1" x14ac:dyDescent="0.25">
      <c r="AG1020" s="1">
        <v>0.25000000000021</v>
      </c>
      <c r="AH1020" s="1">
        <f t="shared" si="43"/>
        <v>229.7499999999998</v>
      </c>
      <c r="AI1020" s="1">
        <f t="shared" si="44"/>
        <v>229.7499999999998</v>
      </c>
      <c r="AK1020" s="1">
        <v>0.25000000000021</v>
      </c>
      <c r="AO1020" s="1">
        <v>0.25000000000021</v>
      </c>
      <c r="AS1020" s="1">
        <v>0.25000000000021</v>
      </c>
      <c r="AW1020" s="1">
        <v>0.25000000000021</v>
      </c>
      <c r="BA1020" s="1">
        <v>0.25000000000021</v>
      </c>
      <c r="BE1020" s="1">
        <v>0.25000000000021</v>
      </c>
      <c r="BI1020" s="1">
        <v>0.25000000000021</v>
      </c>
      <c r="BM1020" s="1">
        <v>0.25000000000021</v>
      </c>
      <c r="BQ1020" s="1">
        <v>0.25000000000021</v>
      </c>
      <c r="BU1020" s="1">
        <v>0.25000000000021</v>
      </c>
    </row>
    <row r="1021" spans="33:73" hidden="1" x14ac:dyDescent="0.25">
      <c r="AG1021" s="1">
        <v>0.24000000000020999</v>
      </c>
      <c r="AH1021" s="1">
        <f t="shared" si="43"/>
        <v>229.75999999999979</v>
      </c>
      <c r="AI1021" s="1">
        <f t="shared" si="44"/>
        <v>229.75999999999979</v>
      </c>
      <c r="AK1021" s="1">
        <v>0.24000000000020999</v>
      </c>
      <c r="AO1021" s="1">
        <v>0.24000000000020999</v>
      </c>
      <c r="AS1021" s="1">
        <v>0.24000000000020999</v>
      </c>
      <c r="AW1021" s="1">
        <v>0.24000000000020999</v>
      </c>
      <c r="BA1021" s="1">
        <v>0.24000000000020999</v>
      </c>
      <c r="BE1021" s="1">
        <v>0.24000000000020999</v>
      </c>
      <c r="BI1021" s="1">
        <v>0.24000000000020999</v>
      </c>
      <c r="BM1021" s="1">
        <v>0.24000000000020999</v>
      </c>
      <c r="BQ1021" s="1">
        <v>0.24000000000020999</v>
      </c>
      <c r="BU1021" s="1">
        <v>0.24000000000020999</v>
      </c>
    </row>
    <row r="1022" spans="33:73" hidden="1" x14ac:dyDescent="0.25">
      <c r="AG1022" s="1">
        <v>0.23000000000021001</v>
      </c>
      <c r="AH1022" s="1">
        <f t="shared" si="43"/>
        <v>229.76999999999978</v>
      </c>
      <c r="AI1022" s="1">
        <f t="shared" si="44"/>
        <v>229.76999999999978</v>
      </c>
      <c r="AK1022" s="1">
        <v>0.23000000000021001</v>
      </c>
      <c r="AO1022" s="1">
        <v>0.23000000000021001</v>
      </c>
      <c r="AS1022" s="1">
        <v>0.23000000000021001</v>
      </c>
      <c r="AW1022" s="1">
        <v>0.23000000000021001</v>
      </c>
      <c r="BA1022" s="1">
        <v>0.23000000000021001</v>
      </c>
      <c r="BE1022" s="1">
        <v>0.23000000000021001</v>
      </c>
      <c r="BI1022" s="1">
        <v>0.23000000000021001</v>
      </c>
      <c r="BM1022" s="1">
        <v>0.23000000000021001</v>
      </c>
      <c r="BQ1022" s="1">
        <v>0.23000000000021001</v>
      </c>
      <c r="BU1022" s="1">
        <v>0.23000000000021001</v>
      </c>
    </row>
    <row r="1023" spans="33:73" hidden="1" x14ac:dyDescent="0.25">
      <c r="AG1023" s="1">
        <v>0.22000000000021</v>
      </c>
      <c r="AH1023" s="1">
        <f t="shared" si="43"/>
        <v>229.7799999999998</v>
      </c>
      <c r="AI1023" s="1">
        <f t="shared" si="44"/>
        <v>229.7799999999998</v>
      </c>
      <c r="AK1023" s="1">
        <v>0.22000000000021</v>
      </c>
      <c r="AO1023" s="1">
        <v>0.22000000000021</v>
      </c>
      <c r="AS1023" s="1">
        <v>0.22000000000021</v>
      </c>
      <c r="AW1023" s="1">
        <v>0.22000000000021</v>
      </c>
      <c r="BA1023" s="1">
        <v>0.22000000000021</v>
      </c>
      <c r="BE1023" s="1">
        <v>0.22000000000021</v>
      </c>
      <c r="BI1023" s="1">
        <v>0.22000000000021</v>
      </c>
      <c r="BM1023" s="1">
        <v>0.22000000000021</v>
      </c>
      <c r="BQ1023" s="1">
        <v>0.22000000000021</v>
      </c>
      <c r="BU1023" s="1">
        <v>0.22000000000021</v>
      </c>
    </row>
    <row r="1024" spans="33:73" hidden="1" x14ac:dyDescent="0.25">
      <c r="AG1024" s="1">
        <v>0.21000000000020999</v>
      </c>
      <c r="AH1024" s="1">
        <f t="shared" si="43"/>
        <v>229.78999999999979</v>
      </c>
      <c r="AI1024" s="1">
        <f t="shared" si="44"/>
        <v>229.78999999999979</v>
      </c>
      <c r="AK1024" s="1">
        <v>0.21000000000020999</v>
      </c>
      <c r="AO1024" s="1">
        <v>0.21000000000020999</v>
      </c>
      <c r="AS1024" s="1">
        <v>0.21000000000020999</v>
      </c>
      <c r="AW1024" s="1">
        <v>0.21000000000020999</v>
      </c>
      <c r="BA1024" s="1">
        <v>0.21000000000020999</v>
      </c>
      <c r="BE1024" s="1">
        <v>0.21000000000020999</v>
      </c>
      <c r="BI1024" s="1">
        <v>0.21000000000020999</v>
      </c>
      <c r="BM1024" s="1">
        <v>0.21000000000020999</v>
      </c>
      <c r="BQ1024" s="1">
        <v>0.21000000000020999</v>
      </c>
      <c r="BU1024" s="1">
        <v>0.21000000000020999</v>
      </c>
    </row>
    <row r="1025" spans="33:73" hidden="1" x14ac:dyDescent="0.25">
      <c r="AG1025" s="1">
        <v>0.20000000000021101</v>
      </c>
      <c r="AH1025" s="1">
        <f t="shared" si="43"/>
        <v>229.79999999999978</v>
      </c>
      <c r="AI1025" s="1">
        <f t="shared" si="44"/>
        <v>229.79999999999978</v>
      </c>
      <c r="AK1025" s="1">
        <v>0.20000000000021101</v>
      </c>
      <c r="AO1025" s="1">
        <v>0.20000000000021101</v>
      </c>
      <c r="AS1025" s="1">
        <v>0.20000000000021101</v>
      </c>
      <c r="AW1025" s="1">
        <v>0.20000000000021101</v>
      </c>
      <c r="BA1025" s="1">
        <v>0.20000000000021101</v>
      </c>
      <c r="BE1025" s="1">
        <v>0.20000000000021101</v>
      </c>
      <c r="BI1025" s="1">
        <v>0.20000000000021101</v>
      </c>
      <c r="BM1025" s="1">
        <v>0.20000000000021101</v>
      </c>
      <c r="BQ1025" s="1">
        <v>0.20000000000021101</v>
      </c>
      <c r="BU1025" s="1">
        <v>0.20000000000021101</v>
      </c>
    </row>
    <row r="1026" spans="33:73" hidden="1" x14ac:dyDescent="0.25">
      <c r="AG1026" s="1">
        <v>0.190000000000209</v>
      </c>
      <c r="AH1026" s="1">
        <f t="shared" si="43"/>
        <v>229.8099999999998</v>
      </c>
      <c r="AI1026" s="1">
        <f t="shared" si="44"/>
        <v>229.8099999999998</v>
      </c>
      <c r="AK1026" s="1">
        <v>0.190000000000209</v>
      </c>
      <c r="AO1026" s="1">
        <v>0.190000000000209</v>
      </c>
      <c r="AS1026" s="1">
        <v>0.190000000000209</v>
      </c>
      <c r="AW1026" s="1">
        <v>0.190000000000209</v>
      </c>
      <c r="BA1026" s="1">
        <v>0.190000000000209</v>
      </c>
      <c r="BE1026" s="1">
        <v>0.190000000000209</v>
      </c>
      <c r="BI1026" s="1">
        <v>0.190000000000209</v>
      </c>
      <c r="BM1026" s="1">
        <v>0.190000000000209</v>
      </c>
      <c r="BQ1026" s="1">
        <v>0.190000000000209</v>
      </c>
      <c r="BU1026" s="1">
        <v>0.190000000000209</v>
      </c>
    </row>
    <row r="1027" spans="33:73" hidden="1" x14ac:dyDescent="0.25">
      <c r="AG1027" s="1">
        <v>0.18000000000020899</v>
      </c>
      <c r="AH1027" s="1">
        <f t="shared" si="43"/>
        <v>229.81999999999979</v>
      </c>
      <c r="AI1027" s="1">
        <f t="shared" si="44"/>
        <v>229.81999999999979</v>
      </c>
      <c r="AK1027" s="1">
        <v>0.18000000000020899</v>
      </c>
      <c r="AO1027" s="1">
        <v>0.18000000000020899</v>
      </c>
      <c r="AS1027" s="1">
        <v>0.18000000000020899</v>
      </c>
      <c r="AW1027" s="1">
        <v>0.18000000000020899</v>
      </c>
      <c r="BA1027" s="1">
        <v>0.18000000000020899</v>
      </c>
      <c r="BE1027" s="1">
        <v>0.18000000000020899</v>
      </c>
      <c r="BI1027" s="1">
        <v>0.18000000000020899</v>
      </c>
      <c r="BM1027" s="1">
        <v>0.18000000000020899</v>
      </c>
      <c r="BQ1027" s="1">
        <v>0.18000000000020899</v>
      </c>
      <c r="BU1027" s="1">
        <v>0.18000000000020899</v>
      </c>
    </row>
    <row r="1028" spans="33:73" hidden="1" x14ac:dyDescent="0.25">
      <c r="AG1028" s="1">
        <v>0.17000000000021001</v>
      </c>
      <c r="AH1028" s="1">
        <f t="shared" si="43"/>
        <v>229.82999999999979</v>
      </c>
      <c r="AI1028" s="1">
        <f t="shared" si="44"/>
        <v>229.82999999999979</v>
      </c>
      <c r="AK1028" s="1">
        <v>0.17000000000021001</v>
      </c>
      <c r="AO1028" s="1">
        <v>0.17000000000021001</v>
      </c>
      <c r="AS1028" s="1">
        <v>0.17000000000021001</v>
      </c>
      <c r="AW1028" s="1">
        <v>0.17000000000021001</v>
      </c>
      <c r="BA1028" s="1">
        <v>0.17000000000021001</v>
      </c>
      <c r="BE1028" s="1">
        <v>0.17000000000021001</v>
      </c>
      <c r="BI1028" s="1">
        <v>0.17000000000021001</v>
      </c>
      <c r="BM1028" s="1">
        <v>0.17000000000021001</v>
      </c>
      <c r="BQ1028" s="1">
        <v>0.17000000000021001</v>
      </c>
      <c r="BU1028" s="1">
        <v>0.17000000000021001</v>
      </c>
    </row>
    <row r="1029" spans="33:73" hidden="1" x14ac:dyDescent="0.25">
      <c r="AG1029" s="1">
        <v>0.16000000000021</v>
      </c>
      <c r="AH1029" s="1">
        <f t="shared" si="43"/>
        <v>229.83999999999978</v>
      </c>
      <c r="AI1029" s="1">
        <f t="shared" si="44"/>
        <v>229.83999999999978</v>
      </c>
      <c r="AK1029" s="1">
        <v>0.16000000000021</v>
      </c>
      <c r="AO1029" s="1">
        <v>0.16000000000021</v>
      </c>
      <c r="AS1029" s="1">
        <v>0.16000000000021</v>
      </c>
      <c r="AW1029" s="1">
        <v>0.16000000000021</v>
      </c>
      <c r="BA1029" s="1">
        <v>0.16000000000021</v>
      </c>
      <c r="BE1029" s="1">
        <v>0.16000000000021</v>
      </c>
      <c r="BI1029" s="1">
        <v>0.16000000000021</v>
      </c>
      <c r="BM1029" s="1">
        <v>0.16000000000021</v>
      </c>
      <c r="BQ1029" s="1">
        <v>0.16000000000021</v>
      </c>
      <c r="BU1029" s="1">
        <v>0.16000000000021</v>
      </c>
    </row>
    <row r="1030" spans="33:73" hidden="1" x14ac:dyDescent="0.25">
      <c r="AG1030" s="1">
        <v>0.15000000000020999</v>
      </c>
      <c r="AH1030" s="1">
        <f t="shared" si="43"/>
        <v>229.8499999999998</v>
      </c>
      <c r="AI1030" s="1">
        <f t="shared" si="44"/>
        <v>229.8499999999998</v>
      </c>
      <c r="AK1030" s="1">
        <v>0.15000000000020999</v>
      </c>
      <c r="AO1030" s="1">
        <v>0.15000000000020999</v>
      </c>
      <c r="AS1030" s="1">
        <v>0.15000000000020999</v>
      </c>
      <c r="AW1030" s="1">
        <v>0.15000000000020999</v>
      </c>
      <c r="BA1030" s="1">
        <v>0.15000000000020999</v>
      </c>
      <c r="BE1030" s="1">
        <v>0.15000000000020999</v>
      </c>
      <c r="BI1030" s="1">
        <v>0.15000000000020999</v>
      </c>
      <c r="BM1030" s="1">
        <v>0.15000000000020999</v>
      </c>
      <c r="BQ1030" s="1">
        <v>0.15000000000020999</v>
      </c>
      <c r="BU1030" s="1">
        <v>0.15000000000020999</v>
      </c>
    </row>
    <row r="1031" spans="33:73" hidden="1" x14ac:dyDescent="0.25">
      <c r="AG1031" s="1">
        <v>0.14000000000021001</v>
      </c>
      <c r="AH1031" s="1">
        <f t="shared" si="43"/>
        <v>229.85999999999979</v>
      </c>
      <c r="AI1031" s="1">
        <f t="shared" si="44"/>
        <v>229.85999999999979</v>
      </c>
      <c r="AK1031" s="1">
        <v>0.14000000000021001</v>
      </c>
      <c r="AO1031" s="1">
        <v>0.14000000000021001</v>
      </c>
      <c r="AS1031" s="1">
        <v>0.14000000000021001</v>
      </c>
      <c r="AW1031" s="1">
        <v>0.14000000000021001</v>
      </c>
      <c r="BA1031" s="1">
        <v>0.14000000000021001</v>
      </c>
      <c r="BE1031" s="1">
        <v>0.14000000000021001</v>
      </c>
      <c r="BI1031" s="1">
        <v>0.14000000000021001</v>
      </c>
      <c r="BM1031" s="1">
        <v>0.14000000000021001</v>
      </c>
      <c r="BQ1031" s="1">
        <v>0.14000000000021001</v>
      </c>
      <c r="BU1031" s="1">
        <v>0.14000000000021001</v>
      </c>
    </row>
    <row r="1032" spans="33:73" hidden="1" x14ac:dyDescent="0.25">
      <c r="AG1032" s="1">
        <v>0.13000000000021</v>
      </c>
      <c r="AH1032" s="1">
        <f t="shared" si="43"/>
        <v>229.86999999999978</v>
      </c>
      <c r="AI1032" s="1">
        <f t="shared" si="44"/>
        <v>229.86999999999978</v>
      </c>
      <c r="AK1032" s="1">
        <v>0.13000000000021</v>
      </c>
      <c r="AO1032" s="1">
        <v>0.13000000000021</v>
      </c>
      <c r="AS1032" s="1">
        <v>0.13000000000021</v>
      </c>
      <c r="AW1032" s="1">
        <v>0.13000000000021</v>
      </c>
      <c r="BA1032" s="1">
        <v>0.13000000000021</v>
      </c>
      <c r="BE1032" s="1">
        <v>0.13000000000021</v>
      </c>
      <c r="BI1032" s="1">
        <v>0.13000000000021</v>
      </c>
      <c r="BM1032" s="1">
        <v>0.13000000000021</v>
      </c>
      <c r="BQ1032" s="1">
        <v>0.13000000000021</v>
      </c>
      <c r="BU1032" s="1">
        <v>0.13000000000021</v>
      </c>
    </row>
    <row r="1033" spans="33:73" hidden="1" x14ac:dyDescent="0.25">
      <c r="AG1033" s="1">
        <v>0.12000000000021099</v>
      </c>
      <c r="AH1033" s="1">
        <f t="shared" si="43"/>
        <v>229.8799999999998</v>
      </c>
      <c r="AI1033" s="1">
        <f t="shared" si="44"/>
        <v>229.8799999999998</v>
      </c>
      <c r="AK1033" s="1">
        <v>0.12000000000021099</v>
      </c>
      <c r="AO1033" s="1">
        <v>0.12000000000021099</v>
      </c>
      <c r="AS1033" s="1">
        <v>0.12000000000021099</v>
      </c>
      <c r="AW1033" s="1">
        <v>0.12000000000021099</v>
      </c>
      <c r="BA1033" s="1">
        <v>0.12000000000021099</v>
      </c>
      <c r="BE1033" s="1">
        <v>0.12000000000021099</v>
      </c>
      <c r="BI1033" s="1">
        <v>0.12000000000021099</v>
      </c>
      <c r="BM1033" s="1">
        <v>0.12000000000021099</v>
      </c>
      <c r="BQ1033" s="1">
        <v>0.12000000000021099</v>
      </c>
      <c r="BU1033" s="1">
        <v>0.12000000000021099</v>
      </c>
    </row>
    <row r="1034" spans="33:73" hidden="1" x14ac:dyDescent="0.25">
      <c r="AG1034" s="1">
        <v>0.110000000000211</v>
      </c>
      <c r="AH1034" s="1">
        <f t="shared" si="43"/>
        <v>229.88999999999979</v>
      </c>
      <c r="AI1034" s="1">
        <f t="shared" si="44"/>
        <v>229.88999999999979</v>
      </c>
      <c r="AK1034" s="1">
        <v>0.110000000000211</v>
      </c>
      <c r="AO1034" s="1">
        <v>0.110000000000211</v>
      </c>
      <c r="AS1034" s="1">
        <v>0.110000000000211</v>
      </c>
      <c r="AW1034" s="1">
        <v>0.110000000000211</v>
      </c>
      <c r="BA1034" s="1">
        <v>0.110000000000211</v>
      </c>
      <c r="BE1034" s="1">
        <v>0.110000000000211</v>
      </c>
      <c r="BI1034" s="1">
        <v>0.110000000000211</v>
      </c>
      <c r="BM1034" s="1">
        <v>0.110000000000211</v>
      </c>
      <c r="BQ1034" s="1">
        <v>0.110000000000211</v>
      </c>
      <c r="BU1034" s="1">
        <v>0.110000000000211</v>
      </c>
    </row>
    <row r="1035" spans="33:73" hidden="1" x14ac:dyDescent="0.25">
      <c r="AG1035" s="1">
        <v>0.10000000000020901</v>
      </c>
      <c r="AH1035" s="1">
        <f t="shared" si="43"/>
        <v>229.89999999999978</v>
      </c>
      <c r="AI1035" s="1">
        <f t="shared" si="44"/>
        <v>229.89999999999978</v>
      </c>
      <c r="AK1035" s="1">
        <v>0.10000000000020901</v>
      </c>
      <c r="AO1035" s="1">
        <v>0.10000000000020901</v>
      </c>
      <c r="AS1035" s="1">
        <v>0.10000000000020901</v>
      </c>
      <c r="AW1035" s="1">
        <v>0.10000000000020901</v>
      </c>
      <c r="BA1035" s="1">
        <v>0.10000000000020901</v>
      </c>
      <c r="BE1035" s="1">
        <v>0.10000000000020901</v>
      </c>
      <c r="BI1035" s="1">
        <v>0.10000000000020901</v>
      </c>
      <c r="BM1035" s="1">
        <v>0.10000000000020901</v>
      </c>
      <c r="BQ1035" s="1">
        <v>0.10000000000020901</v>
      </c>
      <c r="BU1035" s="1">
        <v>0.10000000000020901</v>
      </c>
    </row>
    <row r="1036" spans="33:73" hidden="1" x14ac:dyDescent="0.25">
      <c r="AG1036" s="1">
        <v>9.0000000000209496E-2</v>
      </c>
      <c r="AH1036" s="1">
        <f t="shared" si="43"/>
        <v>229.9099999999998</v>
      </c>
      <c r="AI1036" s="1">
        <f t="shared" si="44"/>
        <v>229.9099999999998</v>
      </c>
      <c r="AK1036" s="1">
        <v>9.0000000000209496E-2</v>
      </c>
      <c r="AO1036" s="1">
        <v>9.0000000000209496E-2</v>
      </c>
      <c r="AS1036" s="1">
        <v>9.0000000000209496E-2</v>
      </c>
      <c r="AW1036" s="1">
        <v>9.0000000000209496E-2</v>
      </c>
      <c r="BA1036" s="1">
        <v>9.0000000000209496E-2</v>
      </c>
      <c r="BE1036" s="1">
        <v>9.0000000000209496E-2</v>
      </c>
      <c r="BI1036" s="1">
        <v>9.0000000000209496E-2</v>
      </c>
      <c r="BM1036" s="1">
        <v>9.0000000000209496E-2</v>
      </c>
      <c r="BQ1036" s="1">
        <v>9.0000000000209496E-2</v>
      </c>
      <c r="BU1036" s="1">
        <v>9.0000000000209496E-2</v>
      </c>
    </row>
    <row r="1037" spans="33:73" hidden="1" x14ac:dyDescent="0.25">
      <c r="AG1037" s="1">
        <v>8.0000000000209695E-2</v>
      </c>
      <c r="AH1037" s="1">
        <f t="shared" si="43"/>
        <v>229.91999999999979</v>
      </c>
      <c r="AI1037" s="1">
        <f t="shared" si="44"/>
        <v>229.91999999999979</v>
      </c>
      <c r="AK1037" s="1">
        <v>8.0000000000209695E-2</v>
      </c>
      <c r="AO1037" s="1">
        <v>8.0000000000209695E-2</v>
      </c>
      <c r="AS1037" s="1">
        <v>8.0000000000209695E-2</v>
      </c>
      <c r="AW1037" s="1">
        <v>8.0000000000209695E-2</v>
      </c>
      <c r="BA1037" s="1">
        <v>8.0000000000209695E-2</v>
      </c>
      <c r="BE1037" s="1">
        <v>8.0000000000209695E-2</v>
      </c>
      <c r="BI1037" s="1">
        <v>8.0000000000209695E-2</v>
      </c>
      <c r="BM1037" s="1">
        <v>8.0000000000209695E-2</v>
      </c>
      <c r="BQ1037" s="1">
        <v>8.0000000000209695E-2</v>
      </c>
      <c r="BU1037" s="1">
        <v>8.0000000000209695E-2</v>
      </c>
    </row>
    <row r="1038" spans="33:73" hidden="1" x14ac:dyDescent="0.25">
      <c r="AG1038" s="1">
        <v>7.0000000000209894E-2</v>
      </c>
      <c r="AH1038" s="1">
        <f t="shared" si="43"/>
        <v>229.92999999999978</v>
      </c>
      <c r="AI1038" s="1">
        <f t="shared" si="44"/>
        <v>229.92999999999978</v>
      </c>
      <c r="AK1038" s="1">
        <v>7.0000000000209894E-2</v>
      </c>
      <c r="AO1038" s="1">
        <v>7.0000000000209894E-2</v>
      </c>
      <c r="AS1038" s="1">
        <v>7.0000000000209894E-2</v>
      </c>
      <c r="AW1038" s="1">
        <v>7.0000000000209894E-2</v>
      </c>
      <c r="BA1038" s="1">
        <v>7.0000000000209894E-2</v>
      </c>
      <c r="BE1038" s="1">
        <v>7.0000000000209894E-2</v>
      </c>
      <c r="BI1038" s="1">
        <v>7.0000000000209894E-2</v>
      </c>
      <c r="BM1038" s="1">
        <v>7.0000000000209894E-2</v>
      </c>
      <c r="BQ1038" s="1">
        <v>7.0000000000209894E-2</v>
      </c>
      <c r="BU1038" s="1">
        <v>7.0000000000209894E-2</v>
      </c>
    </row>
    <row r="1039" spans="33:73" hidden="1" x14ac:dyDescent="0.25">
      <c r="AG1039" s="1">
        <v>6.0000000000210101E-2</v>
      </c>
      <c r="AH1039" s="1">
        <f t="shared" si="43"/>
        <v>229.9399999999998</v>
      </c>
      <c r="AI1039" s="1">
        <f t="shared" si="44"/>
        <v>229.9399999999998</v>
      </c>
      <c r="AK1039" s="1">
        <v>6.0000000000210101E-2</v>
      </c>
      <c r="AO1039" s="1">
        <v>6.0000000000210101E-2</v>
      </c>
      <c r="AS1039" s="1">
        <v>6.0000000000210101E-2</v>
      </c>
      <c r="AW1039" s="1">
        <v>6.0000000000210101E-2</v>
      </c>
      <c r="BA1039" s="1">
        <v>6.0000000000210101E-2</v>
      </c>
      <c r="BE1039" s="1">
        <v>6.0000000000210101E-2</v>
      </c>
      <c r="BI1039" s="1">
        <v>6.0000000000210101E-2</v>
      </c>
      <c r="BM1039" s="1">
        <v>6.0000000000210101E-2</v>
      </c>
      <c r="BQ1039" s="1">
        <v>6.0000000000210101E-2</v>
      </c>
      <c r="BU1039" s="1">
        <v>6.0000000000210101E-2</v>
      </c>
    </row>
    <row r="1040" spans="33:73" hidden="1" x14ac:dyDescent="0.25">
      <c r="AG1040" s="1">
        <v>5.00000000002103E-2</v>
      </c>
      <c r="AH1040" s="1">
        <f t="shared" si="43"/>
        <v>229.94999999999979</v>
      </c>
      <c r="AI1040" s="1">
        <f t="shared" si="44"/>
        <v>229.94999999999979</v>
      </c>
      <c r="AK1040" s="1">
        <v>5.00000000002103E-2</v>
      </c>
      <c r="AO1040" s="1">
        <v>5.00000000002103E-2</v>
      </c>
      <c r="AS1040" s="1">
        <v>5.00000000002103E-2</v>
      </c>
      <c r="AW1040" s="1">
        <v>5.00000000002103E-2</v>
      </c>
      <c r="BA1040" s="1">
        <v>5.00000000002103E-2</v>
      </c>
      <c r="BE1040" s="1">
        <v>5.00000000002103E-2</v>
      </c>
      <c r="BI1040" s="1">
        <v>5.00000000002103E-2</v>
      </c>
      <c r="BM1040" s="1">
        <v>5.00000000002103E-2</v>
      </c>
      <c r="BQ1040" s="1">
        <v>5.00000000002103E-2</v>
      </c>
      <c r="BU1040" s="1">
        <v>5.00000000002103E-2</v>
      </c>
    </row>
    <row r="1041" spans="33:73" hidden="1" x14ac:dyDescent="0.25">
      <c r="AG1041" s="1">
        <v>4.0000000000210499E-2</v>
      </c>
      <c r="AH1041" s="1">
        <f t="shared" si="43"/>
        <v>229.95999999999978</v>
      </c>
      <c r="AI1041" s="1">
        <f t="shared" si="44"/>
        <v>229.95999999999978</v>
      </c>
      <c r="AK1041" s="1">
        <v>4.0000000000210499E-2</v>
      </c>
      <c r="AO1041" s="1">
        <v>4.0000000000210499E-2</v>
      </c>
      <c r="AS1041" s="1">
        <v>4.0000000000210499E-2</v>
      </c>
      <c r="AW1041" s="1">
        <v>4.0000000000210499E-2</v>
      </c>
      <c r="BA1041" s="1">
        <v>4.0000000000210499E-2</v>
      </c>
      <c r="BE1041" s="1">
        <v>4.0000000000210499E-2</v>
      </c>
      <c r="BI1041" s="1">
        <v>4.0000000000210499E-2</v>
      </c>
      <c r="BM1041" s="1">
        <v>4.0000000000210499E-2</v>
      </c>
      <c r="BQ1041" s="1">
        <v>4.0000000000210499E-2</v>
      </c>
      <c r="BU1041" s="1">
        <v>4.0000000000210499E-2</v>
      </c>
    </row>
    <row r="1042" spans="33:73" hidden="1" x14ac:dyDescent="0.25">
      <c r="AG1042" s="1">
        <v>3.0000000000210698E-2</v>
      </c>
      <c r="AH1042" s="1">
        <f t="shared" si="43"/>
        <v>229.9699999999998</v>
      </c>
      <c r="AI1042" s="1">
        <f t="shared" si="44"/>
        <v>229.9699999999998</v>
      </c>
      <c r="AK1042" s="1">
        <v>3.0000000000210698E-2</v>
      </c>
      <c r="AO1042" s="1">
        <v>3.0000000000210698E-2</v>
      </c>
      <c r="AS1042" s="1">
        <v>3.0000000000210698E-2</v>
      </c>
      <c r="AW1042" s="1">
        <v>3.0000000000210698E-2</v>
      </c>
      <c r="BA1042" s="1">
        <v>3.0000000000210698E-2</v>
      </c>
      <c r="BE1042" s="1">
        <v>3.0000000000210698E-2</v>
      </c>
      <c r="BI1042" s="1">
        <v>3.0000000000210698E-2</v>
      </c>
      <c r="BM1042" s="1">
        <v>3.0000000000210698E-2</v>
      </c>
      <c r="BQ1042" s="1">
        <v>3.0000000000210698E-2</v>
      </c>
      <c r="BU1042" s="1">
        <v>3.0000000000210698E-2</v>
      </c>
    </row>
    <row r="1043" spans="33:73" hidden="1" x14ac:dyDescent="0.25">
      <c r="AG1043" s="1">
        <v>2.0000000000209201E-2</v>
      </c>
      <c r="AH1043" s="1">
        <f t="shared" si="43"/>
        <v>229.97999999999979</v>
      </c>
      <c r="AI1043" s="1">
        <f t="shared" si="44"/>
        <v>229.97999999999979</v>
      </c>
      <c r="AK1043" s="1">
        <v>2.0000000000209201E-2</v>
      </c>
      <c r="AO1043" s="1">
        <v>2.0000000000209201E-2</v>
      </c>
      <c r="AS1043" s="1">
        <v>2.0000000000209201E-2</v>
      </c>
      <c r="AW1043" s="1">
        <v>2.0000000000209201E-2</v>
      </c>
      <c r="BA1043" s="1">
        <v>2.0000000000209201E-2</v>
      </c>
      <c r="BE1043" s="1">
        <v>2.0000000000209201E-2</v>
      </c>
      <c r="BI1043" s="1">
        <v>2.0000000000209201E-2</v>
      </c>
      <c r="BM1043" s="1">
        <v>2.0000000000209201E-2</v>
      </c>
      <c r="BQ1043" s="1">
        <v>2.0000000000209201E-2</v>
      </c>
      <c r="BU1043" s="1">
        <v>2.0000000000209201E-2</v>
      </c>
    </row>
    <row r="1044" spans="33:73" hidden="1" x14ac:dyDescent="0.25">
      <c r="AG1044" s="1">
        <v>1.00000000002094E-2</v>
      </c>
      <c r="AH1044" s="1">
        <f t="shared" si="43"/>
        <v>229.98999999999978</v>
      </c>
      <c r="AI1044" s="1">
        <f t="shared" si="44"/>
        <v>229.98999999999978</v>
      </c>
      <c r="AK1044" s="1">
        <v>1.00000000002094E-2</v>
      </c>
      <c r="AO1044" s="1">
        <v>1.00000000002094E-2</v>
      </c>
      <c r="AS1044" s="1">
        <v>1.00000000002094E-2</v>
      </c>
      <c r="AW1044" s="1">
        <v>1.00000000002094E-2</v>
      </c>
      <c r="BA1044" s="1">
        <v>1.00000000002094E-2</v>
      </c>
      <c r="BE1044" s="1">
        <v>1.00000000002094E-2</v>
      </c>
      <c r="BI1044" s="1">
        <v>1.00000000002094E-2</v>
      </c>
      <c r="BM1044" s="1">
        <v>1.00000000002094E-2</v>
      </c>
      <c r="BQ1044" s="1">
        <v>1.00000000002094E-2</v>
      </c>
      <c r="BU1044" s="1">
        <v>1.00000000002094E-2</v>
      </c>
    </row>
    <row r="1045" spans="33:73" hidden="1" x14ac:dyDescent="0.25">
      <c r="AG1045" s="1">
        <v>0</v>
      </c>
      <c r="AH1045" s="1">
        <f t="shared" si="43"/>
        <v>230</v>
      </c>
      <c r="AI1045" s="1">
        <f t="shared" si="44"/>
        <v>230</v>
      </c>
      <c r="AK1045" s="1">
        <v>0</v>
      </c>
      <c r="AO1045" s="1">
        <v>0</v>
      </c>
      <c r="AS1045" s="1">
        <v>0</v>
      </c>
      <c r="AW1045" s="1">
        <v>0</v>
      </c>
      <c r="BA1045" s="1">
        <v>0</v>
      </c>
      <c r="BE1045" s="1">
        <v>0</v>
      </c>
      <c r="BI1045" s="1">
        <v>0</v>
      </c>
      <c r="BM1045" s="1">
        <v>0</v>
      </c>
      <c r="BQ1045" s="1">
        <v>0</v>
      </c>
      <c r="BU1045" s="1">
        <v>0</v>
      </c>
    </row>
    <row r="1046" spans="33:73" hidden="1" x14ac:dyDescent="0.25"/>
    <row r="1047" spans="33:73" hidden="1" x14ac:dyDescent="0.25"/>
    <row r="1048" spans="33:73" hidden="1" x14ac:dyDescent="0.25"/>
    <row r="1049" spans="33:73" hidden="1" x14ac:dyDescent="0.25"/>
    <row r="1050" spans="33:73" hidden="1" x14ac:dyDescent="0.25"/>
    <row r="1051" spans="33:73" hidden="1" x14ac:dyDescent="0.25"/>
    <row r="1052" spans="33:73" hidden="1" x14ac:dyDescent="0.25"/>
    <row r="1053" spans="33:73" hidden="1" x14ac:dyDescent="0.25"/>
    <row r="1054" spans="33:73" hidden="1" x14ac:dyDescent="0.25"/>
    <row r="1055" spans="33:73" hidden="1" x14ac:dyDescent="0.25"/>
    <row r="1056" spans="33:73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</sheetData>
  <sheetProtection sheet="1" objects="1" scenarios="1" selectLockedCells="1"/>
  <mergeCells count="89">
    <mergeCell ref="J17:O17"/>
    <mergeCell ref="P17:P18"/>
    <mergeCell ref="Q17:S18"/>
    <mergeCell ref="F18:H18"/>
    <mergeCell ref="J18:O18"/>
    <mergeCell ref="B2:S3"/>
    <mergeCell ref="B4:D4"/>
    <mergeCell ref="F4:O4"/>
    <mergeCell ref="Q4:S4"/>
    <mergeCell ref="C5:D5"/>
    <mergeCell ref="F5:O5"/>
    <mergeCell ref="Q5:S5"/>
    <mergeCell ref="C6:D6"/>
    <mergeCell ref="F6:O6"/>
    <mergeCell ref="Q6:S6"/>
    <mergeCell ref="C7:D7"/>
    <mergeCell ref="F7:O7"/>
    <mergeCell ref="Q7:S7"/>
    <mergeCell ref="C8:D8"/>
    <mergeCell ref="F8:O8"/>
    <mergeCell ref="Q8:S8"/>
    <mergeCell ref="C9:D9"/>
    <mergeCell ref="F9:O9"/>
    <mergeCell ref="Q9:S9"/>
    <mergeCell ref="C10:D10"/>
    <mergeCell ref="F10:O10"/>
    <mergeCell ref="Q10:S10"/>
    <mergeCell ref="C11:D11"/>
    <mergeCell ref="F11:O11"/>
    <mergeCell ref="Q11:S11"/>
    <mergeCell ref="C12:D12"/>
    <mergeCell ref="F12:O12"/>
    <mergeCell ref="Q12:S12"/>
    <mergeCell ref="C13:D13"/>
    <mergeCell ref="F13:O13"/>
    <mergeCell ref="Q13:S13"/>
    <mergeCell ref="B28:D28"/>
    <mergeCell ref="F28:O28"/>
    <mergeCell ref="Q28:S28"/>
    <mergeCell ref="C14:D14"/>
    <mergeCell ref="F14:O14"/>
    <mergeCell ref="Q14:S14"/>
    <mergeCell ref="C15:D15"/>
    <mergeCell ref="F15:O15"/>
    <mergeCell ref="Q15:S15"/>
    <mergeCell ref="M16:O16"/>
    <mergeCell ref="Q16:S16"/>
    <mergeCell ref="B26:S27"/>
    <mergeCell ref="B17:D18"/>
    <mergeCell ref="E17:E18"/>
    <mergeCell ref="F17:H17"/>
    <mergeCell ref="I17:I18"/>
    <mergeCell ref="C29:D29"/>
    <mergeCell ref="F29:O29"/>
    <mergeCell ref="Q29:S29"/>
    <mergeCell ref="C30:D30"/>
    <mergeCell ref="F30:O30"/>
    <mergeCell ref="Q30:S30"/>
    <mergeCell ref="C31:D31"/>
    <mergeCell ref="F31:O31"/>
    <mergeCell ref="Q31:S31"/>
    <mergeCell ref="C32:D32"/>
    <mergeCell ref="F32:O32"/>
    <mergeCell ref="Q32:S32"/>
    <mergeCell ref="C33:D33"/>
    <mergeCell ref="F33:O33"/>
    <mergeCell ref="Q33:S33"/>
    <mergeCell ref="C34:D34"/>
    <mergeCell ref="F34:O34"/>
    <mergeCell ref="Q34:S34"/>
    <mergeCell ref="C35:D35"/>
    <mergeCell ref="F35:O35"/>
    <mergeCell ref="Q35:S35"/>
    <mergeCell ref="C36:D36"/>
    <mergeCell ref="F36:O36"/>
    <mergeCell ref="Q36:S36"/>
    <mergeCell ref="M41:O41"/>
    <mergeCell ref="Q41:S41"/>
    <mergeCell ref="C37:D37"/>
    <mergeCell ref="F37:O37"/>
    <mergeCell ref="Q37:S37"/>
    <mergeCell ref="C38:D38"/>
    <mergeCell ref="F38:O38"/>
    <mergeCell ref="Q38:S38"/>
    <mergeCell ref="C39:D39"/>
    <mergeCell ref="F39:O39"/>
    <mergeCell ref="Q39:S39"/>
    <mergeCell ref="M40:O40"/>
    <mergeCell ref="Q40:S40"/>
  </mergeCells>
  <dataValidations count="2">
    <dataValidation type="list" allowBlank="1" showInputMessage="1" showErrorMessage="1" sqref="C29:D29" xr:uid="{E6869483-E347-466A-BF0A-EE82CB8EEAF9}">
      <formula1>$V$45:$V$56</formula1>
    </dataValidation>
    <dataValidation type="list" allowBlank="1" showInputMessage="1" showErrorMessage="1" sqref="C23 C30:C39 C43 C21 C19 C5:C15" xr:uid="{B834FEE7-CB6D-4580-8A3D-2BF341DF3F91}">
      <formula1>$X$10:$X$19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Transformer</vt:lpstr>
      <vt:lpstr>Kabeludskrift</vt:lpstr>
      <vt:lpstr>Kabeldata</vt:lpstr>
      <vt:lpstr>IKmax IKmin</vt:lpstr>
      <vt:lpstr>Spændingsfald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Mikkel</dc:creator>
  <cp:keywords/>
  <dc:description/>
  <cp:lastModifiedBy>Muntadhar Al jabiri</cp:lastModifiedBy>
  <cp:revision/>
  <dcterms:created xsi:type="dcterms:W3CDTF">2018-02-15T13:28:57Z</dcterms:created>
  <dcterms:modified xsi:type="dcterms:W3CDTF">2022-11-01T08:55:35Z</dcterms:modified>
  <cp:category/>
  <cp:contentStatus/>
</cp:coreProperties>
</file>