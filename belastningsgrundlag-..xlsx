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drawings/drawing2.xml" ContentType="application/vnd.openxmlformats-officedocument.drawing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drawings/drawing3.xml" ContentType="application/vnd.openxmlformats-officedocument.drawing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drawings/drawing4.xml" ContentType="application/vnd.openxmlformats-officedocument.drawing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ctrlProps/ctrlProp337.xml" ContentType="application/vnd.ms-excel.controlproperties+xml"/>
  <Override PartName="/xl/ctrlProps/ctrlProp338.xml" ContentType="application/vnd.ms-excel.controlproperties+xml"/>
  <Override PartName="/xl/ctrlProps/ctrlProp339.xml" ContentType="application/vnd.ms-excel.controlproperties+xml"/>
  <Override PartName="/xl/ctrlProps/ctrlProp340.xml" ContentType="application/vnd.ms-excel.controlproperties+xml"/>
  <Override PartName="/xl/ctrlProps/ctrlProp341.xml" ContentType="application/vnd.ms-excel.controlproperties+xml"/>
  <Override PartName="/xl/ctrlProps/ctrlProp342.xml" ContentType="application/vnd.ms-excel.controlproperties+xml"/>
  <Override PartName="/xl/ctrlProps/ctrlProp343.xml" ContentType="application/vnd.ms-excel.controlproperties+xml"/>
  <Override PartName="/xl/ctrlProps/ctrlProp344.xml" ContentType="application/vnd.ms-excel.controlproperties+xml"/>
  <Override PartName="/xl/ctrlProps/ctrlProp345.xml" ContentType="application/vnd.ms-excel.controlproperties+xml"/>
  <Override PartName="/xl/ctrlProps/ctrlProp346.xml" ContentType="application/vnd.ms-excel.controlproperties+xml"/>
  <Override PartName="/xl/ctrlProps/ctrlProp347.xml" ContentType="application/vnd.ms-excel.controlproperties+xml"/>
  <Override PartName="/xl/ctrlProps/ctrlProp348.xml" ContentType="application/vnd.ms-excel.controlproperties+xml"/>
  <Override PartName="/xl/ctrlProps/ctrlProp349.xml" ContentType="application/vnd.ms-excel.controlproperties+xml"/>
  <Override PartName="/xl/ctrlProps/ctrlProp350.xml" ContentType="application/vnd.ms-excel.controlproperties+xml"/>
  <Override PartName="/xl/ctrlProps/ctrlProp351.xml" ContentType="application/vnd.ms-excel.controlproperties+xml"/>
  <Override PartName="/xl/ctrlProps/ctrlProp352.xml" ContentType="application/vnd.ms-excel.controlproperties+xml"/>
  <Override PartName="/xl/ctrlProps/ctrlProp353.xml" ContentType="application/vnd.ms-excel.controlproperties+xml"/>
  <Override PartName="/xl/ctrlProps/ctrlProp354.xml" ContentType="application/vnd.ms-excel.controlproperties+xml"/>
  <Override PartName="/xl/ctrlProps/ctrlProp355.xml" ContentType="application/vnd.ms-excel.controlproperties+xml"/>
  <Override PartName="/xl/ctrlProps/ctrlProp356.xml" ContentType="application/vnd.ms-excel.controlproperties+xml"/>
  <Override PartName="/xl/ctrlProps/ctrlProp357.xml" ContentType="application/vnd.ms-excel.controlproperties+xml"/>
  <Override PartName="/xl/ctrlProps/ctrlProp358.xml" ContentType="application/vnd.ms-excel.controlproperties+xml"/>
  <Override PartName="/xl/ctrlProps/ctrlProp359.xml" ContentType="application/vnd.ms-excel.controlproperties+xml"/>
  <Override PartName="/xl/ctrlProps/ctrlProp360.xml" ContentType="application/vnd.ms-excel.controlproperties+xml"/>
  <Override PartName="/xl/ctrlProps/ctrlProp361.xml" ContentType="application/vnd.ms-excel.controlproperties+xml"/>
  <Override PartName="/xl/ctrlProps/ctrlProp362.xml" ContentType="application/vnd.ms-excel.controlproperties+xml"/>
  <Override PartName="/xl/ctrlProps/ctrlProp363.xml" ContentType="application/vnd.ms-excel.controlproperties+xml"/>
  <Override PartName="/xl/ctrlProps/ctrlProp364.xml" ContentType="application/vnd.ms-excel.controlproperties+xml"/>
  <Override PartName="/xl/ctrlProps/ctrlProp365.xml" ContentType="application/vnd.ms-excel.controlproperties+xml"/>
  <Override PartName="/xl/ctrlProps/ctrlProp366.xml" ContentType="application/vnd.ms-excel.controlproperties+xml"/>
  <Override PartName="/xl/ctrlProps/ctrlProp367.xml" ContentType="application/vnd.ms-excel.controlproperties+xml"/>
  <Override PartName="/xl/ctrlProps/ctrlProp368.xml" ContentType="application/vnd.ms-excel.controlproperties+xml"/>
  <Override PartName="/xl/ctrlProps/ctrlProp369.xml" ContentType="application/vnd.ms-excel.controlproperties+xml"/>
  <Override PartName="/xl/ctrlProps/ctrlProp370.xml" ContentType="application/vnd.ms-excel.controlproperties+xml"/>
  <Override PartName="/xl/ctrlProps/ctrlProp371.xml" ContentType="application/vnd.ms-excel.controlproperties+xml"/>
  <Override PartName="/xl/ctrlProps/ctrlProp372.xml" ContentType="application/vnd.ms-excel.controlproperties+xml"/>
  <Override PartName="/xl/ctrlProps/ctrlProp373.xml" ContentType="application/vnd.ms-excel.controlproperties+xml"/>
  <Override PartName="/xl/ctrlProps/ctrlProp374.xml" ContentType="application/vnd.ms-excel.controlproperties+xml"/>
  <Override PartName="/xl/ctrlProps/ctrlProp375.xml" ContentType="application/vnd.ms-excel.controlproperties+xml"/>
  <Override PartName="/xl/ctrlProps/ctrlProp376.xml" ContentType="application/vnd.ms-excel.controlproperties+xml"/>
  <Override PartName="/xl/ctrlProps/ctrlProp377.xml" ContentType="application/vnd.ms-excel.controlproperties+xml"/>
  <Override PartName="/xl/ctrlProps/ctrlProp378.xml" ContentType="application/vnd.ms-excel.controlproperties+xml"/>
  <Override PartName="/xl/ctrlProps/ctrlProp379.xml" ContentType="application/vnd.ms-excel.controlproperties+xml"/>
  <Override PartName="/xl/ctrlProps/ctrlProp380.xml" ContentType="application/vnd.ms-excel.controlproperties+xml"/>
  <Override PartName="/xl/ctrlProps/ctrlProp381.xml" ContentType="application/vnd.ms-excel.controlproperties+xml"/>
  <Override PartName="/xl/ctrlProps/ctrlProp382.xml" ContentType="application/vnd.ms-excel.controlproperties+xml"/>
  <Override PartName="/xl/ctrlProps/ctrlProp383.xml" ContentType="application/vnd.ms-excel.controlproperties+xml"/>
  <Override PartName="/xl/ctrlProps/ctrlProp384.xml" ContentType="application/vnd.ms-excel.controlproperties+xml"/>
  <Override PartName="/xl/ctrlProps/ctrlProp385.xml" ContentType="application/vnd.ms-excel.controlproperties+xml"/>
  <Override PartName="/xl/ctrlProps/ctrlProp386.xml" ContentType="application/vnd.ms-excel.controlproperties+xml"/>
  <Override PartName="/xl/ctrlProps/ctrlProp387.xml" ContentType="application/vnd.ms-excel.controlproperties+xml"/>
  <Override PartName="/xl/ctrlProps/ctrlProp388.xml" ContentType="application/vnd.ms-excel.controlproperties+xml"/>
  <Override PartName="/xl/ctrlProps/ctrlProp389.xml" ContentType="application/vnd.ms-excel.controlproperties+xml"/>
  <Override PartName="/xl/ctrlProps/ctrlProp390.xml" ContentType="application/vnd.ms-excel.controlproperties+xml"/>
  <Override PartName="/xl/ctrlProps/ctrlProp391.xml" ContentType="application/vnd.ms-excel.controlproperties+xml"/>
  <Override PartName="/xl/ctrlProps/ctrlProp392.xml" ContentType="application/vnd.ms-excel.controlproperties+xml"/>
  <Override PartName="/xl/ctrlProps/ctrlProp393.xml" ContentType="application/vnd.ms-excel.controlproperties+xml"/>
  <Override PartName="/xl/drawings/drawing5.xml" ContentType="application/vnd.openxmlformats-officedocument.drawing+xml"/>
  <Override PartName="/xl/ctrlProps/ctrlProp394.xml" ContentType="application/vnd.ms-excel.controlproperties+xml"/>
  <Override PartName="/xl/ctrlProps/ctrlProp395.xml" ContentType="application/vnd.ms-excel.controlproperties+xml"/>
  <Override PartName="/xl/ctrlProps/ctrlProp396.xml" ContentType="application/vnd.ms-excel.controlproperties+xml"/>
  <Override PartName="/xl/ctrlProps/ctrlProp397.xml" ContentType="application/vnd.ms-excel.controlproperties+xml"/>
  <Override PartName="/xl/ctrlProps/ctrlProp398.xml" ContentType="application/vnd.ms-excel.controlproperties+xml"/>
  <Override PartName="/xl/ctrlProps/ctrlProp399.xml" ContentType="application/vnd.ms-excel.controlproperties+xml"/>
  <Override PartName="/xl/ctrlProps/ctrlProp400.xml" ContentType="application/vnd.ms-excel.controlproperties+xml"/>
  <Override PartName="/xl/ctrlProps/ctrlProp401.xml" ContentType="application/vnd.ms-excel.controlproperties+xml"/>
  <Override PartName="/xl/ctrlProps/ctrlProp402.xml" ContentType="application/vnd.ms-excel.controlproperties+xml"/>
  <Override PartName="/xl/ctrlProps/ctrlProp403.xml" ContentType="application/vnd.ms-excel.controlproperties+xml"/>
  <Override PartName="/xl/ctrlProps/ctrlProp404.xml" ContentType="application/vnd.ms-excel.controlproperties+xml"/>
  <Override PartName="/xl/ctrlProps/ctrlProp405.xml" ContentType="application/vnd.ms-excel.controlproperties+xml"/>
  <Override PartName="/xl/ctrlProps/ctrlProp406.xml" ContentType="application/vnd.ms-excel.controlproperties+xml"/>
  <Override PartName="/xl/ctrlProps/ctrlProp407.xml" ContentType="application/vnd.ms-excel.controlproperties+xml"/>
  <Override PartName="/xl/ctrlProps/ctrlProp408.xml" ContentType="application/vnd.ms-excel.controlproperties+xml"/>
  <Override PartName="/xl/ctrlProps/ctrlProp409.xml" ContentType="application/vnd.ms-excel.controlproperties+xml"/>
  <Override PartName="/xl/ctrlProps/ctrlProp410.xml" ContentType="application/vnd.ms-excel.controlproperties+xml"/>
  <Override PartName="/xl/ctrlProps/ctrlProp411.xml" ContentType="application/vnd.ms-excel.controlproperties+xml"/>
  <Override PartName="/xl/ctrlProps/ctrlProp412.xml" ContentType="application/vnd.ms-excel.controlproperties+xml"/>
  <Override PartName="/xl/ctrlProps/ctrlProp413.xml" ContentType="application/vnd.ms-excel.controlproperties+xml"/>
  <Override PartName="/xl/ctrlProps/ctrlProp414.xml" ContentType="application/vnd.ms-excel.controlproperties+xml"/>
  <Override PartName="/xl/ctrlProps/ctrlProp415.xml" ContentType="application/vnd.ms-excel.controlproperties+xml"/>
  <Override PartName="/xl/ctrlProps/ctrlProp416.xml" ContentType="application/vnd.ms-excel.controlproperties+xml"/>
  <Override PartName="/xl/ctrlProps/ctrlProp417.xml" ContentType="application/vnd.ms-excel.controlproperties+xml"/>
  <Override PartName="/xl/ctrlProps/ctrlProp418.xml" ContentType="application/vnd.ms-excel.controlproperties+xml"/>
  <Override PartName="/xl/ctrlProps/ctrlProp419.xml" ContentType="application/vnd.ms-excel.controlproperties+xml"/>
  <Override PartName="/xl/ctrlProps/ctrlProp420.xml" ContentType="application/vnd.ms-excel.controlproperties+xml"/>
  <Override PartName="/xl/ctrlProps/ctrlProp421.xml" ContentType="application/vnd.ms-excel.controlproperties+xml"/>
  <Override PartName="/xl/ctrlProps/ctrlProp422.xml" ContentType="application/vnd.ms-excel.controlproperties+xml"/>
  <Override PartName="/xl/ctrlProps/ctrlProp423.xml" ContentType="application/vnd.ms-excel.controlproperties+xml"/>
  <Override PartName="/xl/ctrlProps/ctrlProp424.xml" ContentType="application/vnd.ms-excel.controlproperties+xml"/>
  <Override PartName="/xl/ctrlProps/ctrlProp425.xml" ContentType="application/vnd.ms-excel.controlproperties+xml"/>
  <Override PartName="/xl/ctrlProps/ctrlProp426.xml" ContentType="application/vnd.ms-excel.controlproperties+xml"/>
  <Override PartName="/xl/ctrlProps/ctrlProp427.xml" ContentType="application/vnd.ms-excel.controlproperties+xml"/>
  <Override PartName="/xl/ctrlProps/ctrlProp428.xml" ContentType="application/vnd.ms-excel.controlproperties+xml"/>
  <Override PartName="/xl/ctrlProps/ctrlProp429.xml" ContentType="application/vnd.ms-excel.controlproperties+xml"/>
  <Override PartName="/xl/ctrlProps/ctrlProp430.xml" ContentType="application/vnd.ms-excel.controlproperties+xml"/>
  <Override PartName="/xl/ctrlProps/ctrlProp431.xml" ContentType="application/vnd.ms-excel.controlproperties+xml"/>
  <Override PartName="/xl/ctrlProps/ctrlProp432.xml" ContentType="application/vnd.ms-excel.controlproperties+xml"/>
  <Override PartName="/xl/ctrlProps/ctrlProp433.xml" ContentType="application/vnd.ms-excel.controlproperties+xml"/>
  <Override PartName="/xl/ctrlProps/ctrlProp434.xml" ContentType="application/vnd.ms-excel.controlproperties+xml"/>
  <Override PartName="/xl/ctrlProps/ctrlProp435.xml" ContentType="application/vnd.ms-excel.controlproperties+xml"/>
  <Override PartName="/xl/ctrlProps/ctrlProp436.xml" ContentType="application/vnd.ms-excel.controlproperties+xml"/>
  <Override PartName="/xl/ctrlProps/ctrlProp437.xml" ContentType="application/vnd.ms-excel.controlproperties+xml"/>
  <Override PartName="/xl/ctrlProps/ctrlProp438.xml" ContentType="application/vnd.ms-excel.controlproperties+xml"/>
  <Override PartName="/xl/ctrlProps/ctrlProp439.xml" ContentType="application/vnd.ms-excel.controlproperties+xml"/>
  <Override PartName="/xl/ctrlProps/ctrlProp440.xml" ContentType="application/vnd.ms-excel.controlproperties+xml"/>
  <Override PartName="/xl/ctrlProps/ctrlProp441.xml" ContentType="application/vnd.ms-excel.controlproperties+xml"/>
  <Override PartName="/xl/ctrlProps/ctrlProp442.xml" ContentType="application/vnd.ms-excel.controlproperties+xml"/>
  <Override PartName="/xl/ctrlProps/ctrlProp443.xml" ContentType="application/vnd.ms-excel.controlproperties+xml"/>
  <Override PartName="/xl/ctrlProps/ctrlProp444.xml" ContentType="application/vnd.ms-excel.controlproperties+xml"/>
  <Override PartName="/xl/ctrlProps/ctrlProp445.xml" ContentType="application/vnd.ms-excel.controlproperties+xml"/>
  <Override PartName="/xl/ctrlProps/ctrlProp446.xml" ContentType="application/vnd.ms-excel.controlproperties+xml"/>
  <Override PartName="/xl/ctrlProps/ctrlProp447.xml" ContentType="application/vnd.ms-excel.controlproperties+xml"/>
  <Override PartName="/xl/ctrlProps/ctrlProp448.xml" ContentType="application/vnd.ms-excel.controlproperties+xml"/>
  <Override PartName="/xl/ctrlProps/ctrlProp449.xml" ContentType="application/vnd.ms-excel.controlproperties+xml"/>
  <Override PartName="/xl/ctrlProps/ctrlProp450.xml" ContentType="application/vnd.ms-excel.controlproperties+xml"/>
  <Override PartName="/xl/ctrlProps/ctrlProp451.xml" ContentType="application/vnd.ms-excel.controlproperties+xml"/>
  <Override PartName="/xl/ctrlProps/ctrlProp452.xml" ContentType="application/vnd.ms-excel.controlproperties+xml"/>
  <Override PartName="/xl/ctrlProps/ctrlProp453.xml" ContentType="application/vnd.ms-excel.controlproperties+xml"/>
  <Override PartName="/xl/ctrlProps/ctrlProp454.xml" ContentType="application/vnd.ms-excel.controlproperties+xml"/>
  <Override PartName="/xl/ctrlProps/ctrlProp455.xml" ContentType="application/vnd.ms-excel.controlproperties+xml"/>
  <Override PartName="/xl/ctrlProps/ctrlProp456.xml" ContentType="application/vnd.ms-excel.controlproperties+xml"/>
  <Override PartName="/xl/ctrlProps/ctrlProp457.xml" ContentType="application/vnd.ms-excel.controlproperties+xml"/>
  <Override PartName="/xl/ctrlProps/ctrlProp458.xml" ContentType="application/vnd.ms-excel.controlproperties+xml"/>
  <Override PartName="/xl/ctrlProps/ctrlProp459.xml" ContentType="application/vnd.ms-excel.controlproperties+xml"/>
  <Override PartName="/xl/ctrlProps/ctrlProp460.xml" ContentType="application/vnd.ms-excel.controlproperties+xml"/>
  <Override PartName="/xl/ctrlProps/ctrlProp461.xml" ContentType="application/vnd.ms-excel.controlproperties+xml"/>
  <Override PartName="/xl/ctrlProps/ctrlProp462.xml" ContentType="application/vnd.ms-excel.controlproperties+xml"/>
  <Override PartName="/xl/ctrlProps/ctrlProp463.xml" ContentType="application/vnd.ms-excel.controlproperties+xml"/>
  <Override PartName="/xl/ctrlProps/ctrlProp464.xml" ContentType="application/vnd.ms-excel.controlproperties+xml"/>
  <Override PartName="/xl/ctrlProps/ctrlProp465.xml" ContentType="application/vnd.ms-excel.controlproperties+xml"/>
  <Override PartName="/xl/ctrlProps/ctrlProp466.xml" ContentType="application/vnd.ms-excel.controlproperties+xml"/>
  <Override PartName="/xl/ctrlProps/ctrlProp467.xml" ContentType="application/vnd.ms-excel.controlproperties+xml"/>
  <Override PartName="/xl/ctrlProps/ctrlProp468.xml" ContentType="application/vnd.ms-excel.controlproperties+xml"/>
  <Override PartName="/xl/ctrlProps/ctrlProp469.xml" ContentType="application/vnd.ms-excel.controlproperties+xml"/>
  <Override PartName="/xl/ctrlProps/ctrlProp470.xml" ContentType="application/vnd.ms-excel.controlproperties+xml"/>
  <Override PartName="/xl/ctrlProps/ctrlProp471.xml" ContentType="application/vnd.ms-excel.controlproperties+xml"/>
  <Override PartName="/xl/ctrlProps/ctrlProp472.xml" ContentType="application/vnd.ms-excel.controlproperties+xml"/>
  <Override PartName="/xl/ctrlProps/ctrlProp473.xml" ContentType="application/vnd.ms-excel.controlproperties+xml"/>
  <Override PartName="/xl/ctrlProps/ctrlProp474.xml" ContentType="application/vnd.ms-excel.controlproperties+xml"/>
  <Override PartName="/xl/ctrlProps/ctrlProp475.xml" ContentType="application/vnd.ms-excel.controlproperties+xml"/>
  <Override PartName="/xl/ctrlProps/ctrlProp476.xml" ContentType="application/vnd.ms-excel.controlproperties+xml"/>
  <Override PartName="/xl/ctrlProps/ctrlProp477.xml" ContentType="application/vnd.ms-excel.controlproperties+xml"/>
  <Override PartName="/xl/ctrlProps/ctrlProp478.xml" ContentType="application/vnd.ms-excel.controlproperties+xml"/>
  <Override PartName="/xl/ctrlProps/ctrlProp479.xml" ContentType="application/vnd.ms-excel.controlproperties+xml"/>
  <Override PartName="/xl/ctrlProps/ctrlProp480.xml" ContentType="application/vnd.ms-excel.controlproperties+xml"/>
  <Override PartName="/xl/ctrlProps/ctrlProp481.xml" ContentType="application/vnd.ms-excel.controlproperties+xml"/>
  <Override PartName="/xl/ctrlProps/ctrlProp482.xml" ContentType="application/vnd.ms-excel.controlproperties+xml"/>
  <Override PartName="/xl/ctrlProps/ctrlProp483.xml" ContentType="application/vnd.ms-excel.controlproperties+xml"/>
  <Override PartName="/xl/ctrlProps/ctrlProp484.xml" ContentType="application/vnd.ms-excel.controlproperties+xml"/>
  <Override PartName="/xl/ctrlProps/ctrlProp485.xml" ContentType="application/vnd.ms-excel.controlproperties+xml"/>
  <Override PartName="/xl/ctrlProps/ctrlProp486.xml" ContentType="application/vnd.ms-excel.controlproperties+xml"/>
  <Override PartName="/xl/ctrlProps/ctrlProp487.xml" ContentType="application/vnd.ms-excel.controlproperties+xml"/>
  <Override PartName="/xl/ctrlProps/ctrlProp488.xml" ContentType="application/vnd.ms-excel.controlproperties+xml"/>
  <Override PartName="/xl/ctrlProps/ctrlProp489.xml" ContentType="application/vnd.ms-excel.controlproperties+xml"/>
  <Override PartName="/xl/ctrlProps/ctrlProp490.xml" ContentType="application/vnd.ms-excel.controlproperties+xml"/>
  <Override PartName="/xl/ctrlProps/ctrlProp491.xml" ContentType="application/vnd.ms-excel.controlproperties+xml"/>
  <Override PartName="/xl/ctrlProps/ctrlProp492.xml" ContentType="application/vnd.ms-excel.controlproperties+xml"/>
  <Override PartName="/xl/ctrlProps/ctrlProp493.xml" ContentType="application/vnd.ms-excel.controlproperties+xml"/>
  <Override PartName="/xl/ctrlProps/ctrlProp494.xml" ContentType="application/vnd.ms-excel.controlproperties+xml"/>
  <Override PartName="/xl/ctrlProps/ctrlProp495.xml" ContentType="application/vnd.ms-excel.controlproperties+xml"/>
  <Override PartName="/xl/drawings/drawing6.xml" ContentType="application/vnd.openxmlformats-officedocument.drawing+xml"/>
  <Override PartName="/xl/ctrlProps/ctrlProp496.xml" ContentType="application/vnd.ms-excel.controlproperties+xml"/>
  <Override PartName="/xl/ctrlProps/ctrlProp497.xml" ContentType="application/vnd.ms-excel.controlproperties+xml"/>
  <Override PartName="/xl/ctrlProps/ctrlProp498.xml" ContentType="application/vnd.ms-excel.controlproperties+xml"/>
  <Override PartName="/xl/ctrlProps/ctrlProp499.xml" ContentType="application/vnd.ms-excel.controlproperties+xml"/>
  <Override PartName="/xl/ctrlProps/ctrlProp500.xml" ContentType="application/vnd.ms-excel.controlproperties+xml"/>
  <Override PartName="/xl/ctrlProps/ctrlProp501.xml" ContentType="application/vnd.ms-excel.controlproperties+xml"/>
  <Override PartName="/xl/ctrlProps/ctrlProp502.xml" ContentType="application/vnd.ms-excel.controlproperties+xml"/>
  <Override PartName="/xl/ctrlProps/ctrlProp503.xml" ContentType="application/vnd.ms-excel.controlproperties+xml"/>
  <Override PartName="/xl/ctrlProps/ctrlProp504.xml" ContentType="application/vnd.ms-excel.controlproperties+xml"/>
  <Override PartName="/xl/ctrlProps/ctrlProp505.xml" ContentType="application/vnd.ms-excel.controlproperties+xml"/>
  <Override PartName="/xl/ctrlProps/ctrlProp506.xml" ContentType="application/vnd.ms-excel.controlproperties+xml"/>
  <Override PartName="/xl/ctrlProps/ctrlProp507.xml" ContentType="application/vnd.ms-excel.controlproperties+xml"/>
  <Override PartName="/xl/ctrlProps/ctrlProp508.xml" ContentType="application/vnd.ms-excel.controlproperties+xml"/>
  <Override PartName="/xl/ctrlProps/ctrlProp509.xml" ContentType="application/vnd.ms-excel.controlproperties+xml"/>
  <Override PartName="/xl/ctrlProps/ctrlProp510.xml" ContentType="application/vnd.ms-excel.controlproperties+xml"/>
  <Override PartName="/xl/ctrlProps/ctrlProp511.xml" ContentType="application/vnd.ms-excel.controlproperties+xml"/>
  <Override PartName="/xl/ctrlProps/ctrlProp512.xml" ContentType="application/vnd.ms-excel.controlproperties+xml"/>
  <Override PartName="/xl/ctrlProps/ctrlProp513.xml" ContentType="application/vnd.ms-excel.controlproperties+xml"/>
  <Override PartName="/xl/ctrlProps/ctrlProp514.xml" ContentType="application/vnd.ms-excel.controlproperties+xml"/>
  <Override PartName="/xl/ctrlProps/ctrlProp515.xml" ContentType="application/vnd.ms-excel.controlproperties+xml"/>
  <Override PartName="/xl/ctrlProps/ctrlProp516.xml" ContentType="application/vnd.ms-excel.controlproperties+xml"/>
  <Override PartName="/xl/ctrlProps/ctrlProp517.xml" ContentType="application/vnd.ms-excel.controlproperties+xml"/>
  <Override PartName="/xl/ctrlProps/ctrlProp518.xml" ContentType="application/vnd.ms-excel.controlproperties+xml"/>
  <Override PartName="/xl/ctrlProps/ctrlProp519.xml" ContentType="application/vnd.ms-excel.controlproperties+xml"/>
  <Override PartName="/xl/ctrlProps/ctrlProp520.xml" ContentType="application/vnd.ms-excel.controlproperties+xml"/>
  <Override PartName="/xl/ctrlProps/ctrlProp521.xml" ContentType="application/vnd.ms-excel.controlproperties+xml"/>
  <Override PartName="/xl/ctrlProps/ctrlProp522.xml" ContentType="application/vnd.ms-excel.controlproperties+xml"/>
  <Override PartName="/xl/ctrlProps/ctrlProp523.xml" ContentType="application/vnd.ms-excel.controlproperties+xml"/>
  <Override PartName="/xl/ctrlProps/ctrlProp524.xml" ContentType="application/vnd.ms-excel.controlproperties+xml"/>
  <Override PartName="/xl/ctrlProps/ctrlProp525.xml" ContentType="application/vnd.ms-excel.controlproperties+xml"/>
  <Override PartName="/xl/ctrlProps/ctrlProp526.xml" ContentType="application/vnd.ms-excel.controlproperties+xml"/>
  <Override PartName="/xl/ctrlProps/ctrlProp527.xml" ContentType="application/vnd.ms-excel.controlproperties+xml"/>
  <Override PartName="/xl/ctrlProps/ctrlProp528.xml" ContentType="application/vnd.ms-excel.controlproperties+xml"/>
  <Override PartName="/xl/ctrlProps/ctrlProp529.xml" ContentType="application/vnd.ms-excel.controlproperties+xml"/>
  <Override PartName="/xl/ctrlProps/ctrlProp530.xml" ContentType="application/vnd.ms-excel.controlproperties+xml"/>
  <Override PartName="/xl/ctrlProps/ctrlProp531.xml" ContentType="application/vnd.ms-excel.controlproperties+xml"/>
  <Override PartName="/xl/ctrlProps/ctrlProp532.xml" ContentType="application/vnd.ms-excel.controlproperties+xml"/>
  <Override PartName="/xl/ctrlProps/ctrlProp533.xml" ContentType="application/vnd.ms-excel.controlproperties+xml"/>
  <Override PartName="/xl/ctrlProps/ctrlProp534.xml" ContentType="application/vnd.ms-excel.controlproperties+xml"/>
  <Override PartName="/xl/ctrlProps/ctrlProp535.xml" ContentType="application/vnd.ms-excel.controlproperties+xml"/>
  <Override PartName="/xl/ctrlProps/ctrlProp536.xml" ContentType="application/vnd.ms-excel.controlproperties+xml"/>
  <Override PartName="/xl/ctrlProps/ctrlProp537.xml" ContentType="application/vnd.ms-excel.controlproperties+xml"/>
  <Override PartName="/xl/ctrlProps/ctrlProp538.xml" ContentType="application/vnd.ms-excel.controlproperties+xml"/>
  <Override PartName="/xl/ctrlProps/ctrlProp539.xml" ContentType="application/vnd.ms-excel.controlproperties+xml"/>
  <Override PartName="/xl/ctrlProps/ctrlProp540.xml" ContentType="application/vnd.ms-excel.controlproperties+xml"/>
  <Override PartName="/xl/ctrlProps/ctrlProp541.xml" ContentType="application/vnd.ms-excel.controlproperties+xml"/>
  <Override PartName="/xl/ctrlProps/ctrlProp542.xml" ContentType="application/vnd.ms-excel.controlproperties+xml"/>
  <Override PartName="/xl/ctrlProps/ctrlProp543.xml" ContentType="application/vnd.ms-excel.controlproperties+xml"/>
  <Override PartName="/xl/ctrlProps/ctrlProp544.xml" ContentType="application/vnd.ms-excel.controlproperties+xml"/>
  <Override PartName="/xl/ctrlProps/ctrlProp545.xml" ContentType="application/vnd.ms-excel.controlproperties+xml"/>
  <Override PartName="/xl/ctrlProps/ctrlProp546.xml" ContentType="application/vnd.ms-excel.controlproperties+xml"/>
  <Override PartName="/xl/ctrlProps/ctrlProp547.xml" ContentType="application/vnd.ms-excel.controlproperties+xml"/>
  <Override PartName="/xl/ctrlProps/ctrlProp548.xml" ContentType="application/vnd.ms-excel.controlproperties+xml"/>
  <Override PartName="/xl/ctrlProps/ctrlProp549.xml" ContentType="application/vnd.ms-excel.controlproperties+xml"/>
  <Override PartName="/xl/ctrlProps/ctrlProp550.xml" ContentType="application/vnd.ms-excel.controlproperties+xml"/>
  <Override PartName="/xl/ctrlProps/ctrlProp551.xml" ContentType="application/vnd.ms-excel.controlproperties+xml"/>
  <Override PartName="/xl/ctrlProps/ctrlProp552.xml" ContentType="application/vnd.ms-excel.controlproperties+xml"/>
  <Override PartName="/xl/ctrlProps/ctrlProp553.xml" ContentType="application/vnd.ms-excel.controlproperties+xml"/>
  <Override PartName="/xl/ctrlProps/ctrlProp554.xml" ContentType="application/vnd.ms-excel.controlproperties+xml"/>
  <Override PartName="/xl/ctrlProps/ctrlProp555.xml" ContentType="application/vnd.ms-excel.controlproperties+xml"/>
  <Override PartName="/xl/ctrlProps/ctrlProp556.xml" ContentType="application/vnd.ms-excel.controlproperties+xml"/>
  <Override PartName="/xl/ctrlProps/ctrlProp557.xml" ContentType="application/vnd.ms-excel.controlproperties+xml"/>
  <Override PartName="/xl/ctrlProps/ctrlProp558.xml" ContentType="application/vnd.ms-excel.controlproperties+xml"/>
  <Override PartName="/xl/ctrlProps/ctrlProp559.xml" ContentType="application/vnd.ms-excel.controlproperties+xml"/>
  <Override PartName="/xl/ctrlProps/ctrlProp560.xml" ContentType="application/vnd.ms-excel.controlproperties+xml"/>
  <Override PartName="/xl/ctrlProps/ctrlProp561.xml" ContentType="application/vnd.ms-excel.controlproperties+xml"/>
  <Override PartName="/xl/ctrlProps/ctrlProp562.xml" ContentType="application/vnd.ms-excel.controlproperties+xml"/>
  <Override PartName="/xl/ctrlProps/ctrlProp563.xml" ContentType="application/vnd.ms-excel.controlproperties+xml"/>
  <Override PartName="/xl/ctrlProps/ctrlProp564.xml" ContentType="application/vnd.ms-excel.controlproperties+xml"/>
  <Override PartName="/xl/ctrlProps/ctrlProp565.xml" ContentType="application/vnd.ms-excel.controlproperties+xml"/>
  <Override PartName="/xl/ctrlProps/ctrlProp566.xml" ContentType="application/vnd.ms-excel.controlproperties+xml"/>
  <Override PartName="/xl/ctrlProps/ctrlProp567.xml" ContentType="application/vnd.ms-excel.controlproperties+xml"/>
  <Override PartName="/xl/ctrlProps/ctrlProp568.xml" ContentType="application/vnd.ms-excel.controlproperties+xml"/>
  <Override PartName="/xl/ctrlProps/ctrlProp569.xml" ContentType="application/vnd.ms-excel.controlproperties+xml"/>
  <Override PartName="/xl/ctrlProps/ctrlProp570.xml" ContentType="application/vnd.ms-excel.controlproperties+xml"/>
  <Override PartName="/xl/ctrlProps/ctrlProp571.xml" ContentType="application/vnd.ms-excel.controlproperties+xml"/>
  <Override PartName="/xl/ctrlProps/ctrlProp572.xml" ContentType="application/vnd.ms-excel.controlproperties+xml"/>
  <Override PartName="/xl/ctrlProps/ctrlProp573.xml" ContentType="application/vnd.ms-excel.controlproperties+xml"/>
  <Override PartName="/xl/ctrlProps/ctrlProp574.xml" ContentType="application/vnd.ms-excel.controlproperties+xml"/>
  <Override PartName="/xl/ctrlProps/ctrlProp575.xml" ContentType="application/vnd.ms-excel.controlproperties+xml"/>
  <Override PartName="/xl/ctrlProps/ctrlProp576.xml" ContentType="application/vnd.ms-excel.controlproperties+xml"/>
  <Override PartName="/xl/ctrlProps/ctrlProp577.xml" ContentType="application/vnd.ms-excel.controlproperties+xml"/>
  <Override PartName="/xl/ctrlProps/ctrlProp578.xml" ContentType="application/vnd.ms-excel.controlproperties+xml"/>
  <Override PartName="/xl/ctrlProps/ctrlProp579.xml" ContentType="application/vnd.ms-excel.controlproperties+xml"/>
  <Override PartName="/xl/ctrlProps/ctrlProp580.xml" ContentType="application/vnd.ms-excel.controlproperties+xml"/>
  <Override PartName="/xl/ctrlProps/ctrlProp581.xml" ContentType="application/vnd.ms-excel.controlproperties+xml"/>
  <Override PartName="/xl/ctrlProps/ctrlProp582.xml" ContentType="application/vnd.ms-excel.controlproperties+xml"/>
  <Override PartName="/xl/ctrlProps/ctrlProp583.xml" ContentType="application/vnd.ms-excel.controlproperties+xml"/>
  <Override PartName="/xl/ctrlProps/ctrlProp584.xml" ContentType="application/vnd.ms-excel.controlproperties+xml"/>
  <Override PartName="/xl/ctrlProps/ctrlProp585.xml" ContentType="application/vnd.ms-excel.controlproperties+xml"/>
  <Override PartName="/xl/ctrlProps/ctrlProp586.xml" ContentType="application/vnd.ms-excel.controlproperties+xml"/>
  <Override PartName="/xl/ctrlProps/ctrlProp587.xml" ContentType="application/vnd.ms-excel.controlproperties+xml"/>
  <Override PartName="/xl/ctrlProps/ctrlProp588.xml" ContentType="application/vnd.ms-excel.controlproperties+xml"/>
  <Override PartName="/xl/ctrlProps/ctrlProp589.xml" ContentType="application/vnd.ms-excel.controlproperties+xml"/>
  <Override PartName="/xl/ctrlProps/ctrlProp590.xml" ContentType="application/vnd.ms-excel.controlproperties+xml"/>
  <Override PartName="/xl/ctrlProps/ctrlProp591.xml" ContentType="application/vnd.ms-excel.controlproperties+xml"/>
  <Override PartName="/xl/ctrlProps/ctrlProp592.xml" ContentType="application/vnd.ms-excel.controlproperties+xml"/>
  <Override PartName="/xl/ctrlProps/ctrlProp593.xml" ContentType="application/vnd.ms-excel.controlproperties+xml"/>
  <Override PartName="/xl/ctrlProps/ctrlProp594.xml" ContentType="application/vnd.ms-excel.controlproperties+xml"/>
  <Override PartName="/xl/ctrlProps/ctrlProp595.xml" ContentType="application/vnd.ms-excel.controlproperties+xml"/>
  <Override PartName="/xl/ctrlProps/ctrlProp596.xml" ContentType="application/vnd.ms-excel.controlproperties+xml"/>
  <Override PartName="/xl/ctrlProps/ctrlProp597.xml" ContentType="application/vnd.ms-excel.controlproperties+xml"/>
  <Override PartName="/xl/ctrlProps/ctrlProp598.xml" ContentType="application/vnd.ms-excel.controlproperties+xml"/>
  <Override PartName="/xl/ctrlProps/ctrlProp599.xml" ContentType="application/vnd.ms-excel.controlproperties+xml"/>
  <Override PartName="/xl/ctrlProps/ctrlProp600.xml" ContentType="application/vnd.ms-excel.controlproperties+xml"/>
  <Override PartName="/xl/ctrlProps/ctrlProp601.xml" ContentType="application/vnd.ms-excel.controlproperties+xml"/>
  <Override PartName="/xl/ctrlProps/ctrlProp602.xml" ContentType="application/vnd.ms-excel.controlproperties+xml"/>
  <Override PartName="/xl/ctrlProps/ctrlProp603.xml" ContentType="application/vnd.ms-excel.controlproperties+xml"/>
  <Override PartName="/xl/ctrlProps/ctrlProp604.xml" ContentType="application/vnd.ms-excel.controlproperties+xml"/>
  <Override PartName="/xl/ctrlProps/ctrlProp605.xml" ContentType="application/vnd.ms-excel.controlproperties+xml"/>
  <Override PartName="/xl/ctrlProps/ctrlProp606.xml" ContentType="application/vnd.ms-excel.controlproperties+xml"/>
  <Override PartName="/xl/ctrlProps/ctrlProp607.xml" ContentType="application/vnd.ms-excel.controlproperties+xml"/>
  <Override PartName="/xl/ctrlProps/ctrlProp608.xml" ContentType="application/vnd.ms-excel.controlproperties+xml"/>
  <Override PartName="/xl/ctrlProps/ctrlProp609.xml" ContentType="application/vnd.ms-excel.controlproperties+xml"/>
  <Override PartName="/xl/ctrlProps/ctrlProp610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codeName="Denne_projektmappe" defaultThemeVersion="124226"/>
  <mc:AlternateContent xmlns:mc="http://schemas.openxmlformats.org/markup-compatibility/2006">
    <mc:Choice Requires="x15">
      <x15ac:absPath xmlns:x15ac="http://schemas.microsoft.com/office/spreadsheetml/2010/11/ac" url="D:\OneDrive\Studie\Maskinmester Min\Bm6\El autositation\"/>
    </mc:Choice>
  </mc:AlternateContent>
  <xr:revisionPtr revIDLastSave="0" documentId="11_4A54C10ED9D221B865FE5BC49040F8CBCC6602E2" xr6:coauthVersionLast="41" xr6:coauthVersionMax="41" xr10:uidLastSave="{00000000-0000-0000-0000-000000000000}"/>
  <bookViews>
    <workbookView xWindow="-120" yWindow="-120" windowWidth="29040" windowHeight="15840" activeTab="5" xr2:uid="{00000000-000D-0000-FFFF-FFFF00000000}"/>
  </bookViews>
  <sheets>
    <sheet name="Tavle +A11" sheetId="1" r:id="rId1"/>
    <sheet name="Tavle +A12" sheetId="2" r:id="rId2"/>
    <sheet name="Tavle +A13" sheetId="3" r:id="rId3"/>
    <sheet name="Tavle +A14" sheetId="4" r:id="rId4"/>
    <sheet name="Tavle +A15" sheetId="5" r:id="rId5"/>
    <sheet name="Hovedtavle +A1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A27" i="6" l="1"/>
  <c r="AA26" i="6"/>
  <c r="AA25" i="6"/>
  <c r="AA24" i="6"/>
  <c r="AA23" i="6"/>
  <c r="Z205" i="6" l="1"/>
  <c r="Z204" i="6"/>
  <c r="Z203" i="6"/>
  <c r="Z202" i="6"/>
  <c r="Z201" i="6"/>
  <c r="Z206" i="6" l="1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N27" i="6" l="1"/>
  <c r="N26" i="6"/>
  <c r="N25" i="6"/>
  <c r="N24" i="6"/>
  <c r="N23" i="6"/>
  <c r="C127" i="6"/>
  <c r="C126" i="6"/>
  <c r="C125" i="6"/>
  <c r="C124" i="6"/>
  <c r="C123" i="6"/>
  <c r="C122" i="6"/>
  <c r="C121" i="6"/>
  <c r="C120" i="6"/>
  <c r="C119" i="6"/>
  <c r="C118" i="6"/>
  <c r="C117" i="6"/>
  <c r="C116" i="6"/>
  <c r="C115" i="6"/>
  <c r="C114" i="6"/>
  <c r="C113" i="6"/>
  <c r="O109" i="6"/>
  <c r="S109" i="6" s="1"/>
  <c r="S108" i="6"/>
  <c r="P108" i="6"/>
  <c r="R108" i="6" s="1"/>
  <c r="O108" i="6"/>
  <c r="S107" i="6"/>
  <c r="U107" i="6" s="1"/>
  <c r="P107" i="6"/>
  <c r="Q107" i="6" s="1"/>
  <c r="O107" i="6"/>
  <c r="H22" i="6" s="1"/>
  <c r="AA149" i="6" s="1"/>
  <c r="O105" i="6"/>
  <c r="S105" i="6" s="1"/>
  <c r="S104" i="6"/>
  <c r="U104" i="6" s="1"/>
  <c r="P104" i="6"/>
  <c r="Q104" i="6" s="1"/>
  <c r="O104" i="6"/>
  <c r="S103" i="6"/>
  <c r="T103" i="6" s="1"/>
  <c r="P103" i="6"/>
  <c r="Q103" i="6" s="1"/>
  <c r="O103" i="6"/>
  <c r="H21" i="6" s="1"/>
  <c r="AA142" i="6" s="1"/>
  <c r="O101" i="6"/>
  <c r="S101" i="6" s="1"/>
  <c r="S100" i="6"/>
  <c r="T100" i="6" s="1"/>
  <c r="P100" i="6"/>
  <c r="O100" i="6"/>
  <c r="S99" i="6"/>
  <c r="U99" i="6" s="1"/>
  <c r="P99" i="6"/>
  <c r="Q99" i="6" s="1"/>
  <c r="O99" i="6"/>
  <c r="H20" i="6" s="1"/>
  <c r="AA135" i="6" s="1"/>
  <c r="O97" i="6"/>
  <c r="Q97" i="6" s="1"/>
  <c r="S96" i="6"/>
  <c r="P96" i="6"/>
  <c r="O96" i="6"/>
  <c r="S95" i="6"/>
  <c r="T95" i="6" s="1"/>
  <c r="P95" i="6"/>
  <c r="R95" i="6" s="1"/>
  <c r="O95" i="6"/>
  <c r="H19" i="6" s="1"/>
  <c r="AA128" i="6" s="1"/>
  <c r="O93" i="6"/>
  <c r="S93" i="6" s="1"/>
  <c r="S92" i="6"/>
  <c r="T92" i="6" s="1"/>
  <c r="P92" i="6"/>
  <c r="O92" i="6"/>
  <c r="S91" i="6"/>
  <c r="U91" i="6" s="1"/>
  <c r="P91" i="6"/>
  <c r="Q91" i="6" s="1"/>
  <c r="O91" i="6"/>
  <c r="H18" i="6" s="1"/>
  <c r="AA121" i="6" s="1"/>
  <c r="O89" i="6"/>
  <c r="T89" i="6" s="1"/>
  <c r="S88" i="6"/>
  <c r="P88" i="6"/>
  <c r="O88" i="6"/>
  <c r="S87" i="6"/>
  <c r="T87" i="6" s="1"/>
  <c r="P87" i="6"/>
  <c r="R87" i="6" s="1"/>
  <c r="O87" i="6"/>
  <c r="O85" i="6"/>
  <c r="S85" i="6" s="1"/>
  <c r="S84" i="6"/>
  <c r="T84" i="6" s="1"/>
  <c r="P84" i="6"/>
  <c r="O84" i="6"/>
  <c r="S83" i="6"/>
  <c r="U83" i="6" s="1"/>
  <c r="P83" i="6"/>
  <c r="Q83" i="6" s="1"/>
  <c r="O83" i="6"/>
  <c r="H16" i="6" s="1"/>
  <c r="AA107" i="6" s="1"/>
  <c r="O81" i="6"/>
  <c r="S81" i="6" s="1"/>
  <c r="S80" i="6"/>
  <c r="T80" i="6" s="1"/>
  <c r="P80" i="6"/>
  <c r="R80" i="6" s="1"/>
  <c r="O80" i="6"/>
  <c r="S79" i="6"/>
  <c r="U79" i="6" s="1"/>
  <c r="P79" i="6"/>
  <c r="Q79" i="6" s="1"/>
  <c r="O79" i="6"/>
  <c r="H15" i="6" s="1"/>
  <c r="AA100" i="6" s="1"/>
  <c r="AF102" i="6" s="1"/>
  <c r="O77" i="6"/>
  <c r="S77" i="6" s="1"/>
  <c r="S76" i="6"/>
  <c r="U76" i="6" s="1"/>
  <c r="P76" i="6"/>
  <c r="Q76" i="6" s="1"/>
  <c r="O76" i="6"/>
  <c r="S75" i="6"/>
  <c r="T75" i="6" s="1"/>
  <c r="P75" i="6"/>
  <c r="Q75" i="6" s="1"/>
  <c r="O75" i="6"/>
  <c r="H14" i="6" s="1"/>
  <c r="AA93" i="6" s="1"/>
  <c r="O73" i="6"/>
  <c r="S73" i="6" s="1"/>
  <c r="S72" i="6"/>
  <c r="T72" i="6" s="1"/>
  <c r="P72" i="6"/>
  <c r="R72" i="6" s="1"/>
  <c r="O72" i="6"/>
  <c r="S71" i="6"/>
  <c r="U71" i="6" s="1"/>
  <c r="P71" i="6"/>
  <c r="Q71" i="6" s="1"/>
  <c r="O71" i="6"/>
  <c r="O69" i="6"/>
  <c r="Q69" i="6" s="1"/>
  <c r="S68" i="6"/>
  <c r="U68" i="6" s="1"/>
  <c r="P68" i="6"/>
  <c r="Q68" i="6" s="1"/>
  <c r="O68" i="6"/>
  <c r="S67" i="6"/>
  <c r="T67" i="6" s="1"/>
  <c r="P67" i="6"/>
  <c r="Q67" i="6" s="1"/>
  <c r="O67" i="6"/>
  <c r="H12" i="6" s="1"/>
  <c r="AA79" i="6" s="1"/>
  <c r="O65" i="6"/>
  <c r="S65" i="6" s="1"/>
  <c r="S64" i="6"/>
  <c r="T64" i="6" s="1"/>
  <c r="P64" i="6"/>
  <c r="R64" i="6" s="1"/>
  <c r="O64" i="6"/>
  <c r="S63" i="6"/>
  <c r="U63" i="6" s="1"/>
  <c r="P63" i="6"/>
  <c r="Q63" i="6" s="1"/>
  <c r="O63" i="6"/>
  <c r="O61" i="6"/>
  <c r="S60" i="6"/>
  <c r="U60" i="6" s="1"/>
  <c r="P60" i="6"/>
  <c r="Q60" i="6" s="1"/>
  <c r="O60" i="6"/>
  <c r="S59" i="6"/>
  <c r="T59" i="6" s="1"/>
  <c r="P59" i="6"/>
  <c r="R59" i="6" s="1"/>
  <c r="O59" i="6"/>
  <c r="O57" i="6"/>
  <c r="S57" i="6" s="1"/>
  <c r="S56" i="6"/>
  <c r="U56" i="6" s="1"/>
  <c r="P56" i="6"/>
  <c r="R56" i="6" s="1"/>
  <c r="O56" i="6"/>
  <c r="S55" i="6"/>
  <c r="U55" i="6" s="1"/>
  <c r="P55" i="6"/>
  <c r="Q55" i="6" s="1"/>
  <c r="O55" i="6"/>
  <c r="H9" i="6" s="1"/>
  <c r="AA58" i="6" s="1"/>
  <c r="U53" i="6"/>
  <c r="T53" i="6"/>
  <c r="S53" i="6"/>
  <c r="R53" i="6"/>
  <c r="Q53" i="6"/>
  <c r="P53" i="6"/>
  <c r="O53" i="6"/>
  <c r="S52" i="6"/>
  <c r="U52" i="6" s="1"/>
  <c r="P52" i="6"/>
  <c r="Q52" i="6" s="1"/>
  <c r="O52" i="6"/>
  <c r="S51" i="6"/>
  <c r="T51" i="6" s="1"/>
  <c r="P51" i="6"/>
  <c r="Q51" i="6" s="1"/>
  <c r="O51" i="6"/>
  <c r="Z22" i="6"/>
  <c r="X22" i="6"/>
  <c r="N22" i="6"/>
  <c r="AJ149" i="6"/>
  <c r="AN150" i="6" s="1"/>
  <c r="G22" i="6"/>
  <c r="Z21" i="6"/>
  <c r="X21" i="6"/>
  <c r="N21" i="6"/>
  <c r="AJ142" i="6"/>
  <c r="G21" i="6"/>
  <c r="Z20" i="6"/>
  <c r="X20" i="6"/>
  <c r="N20" i="6"/>
  <c r="AJ135" i="6"/>
  <c r="G20" i="6"/>
  <c r="Z19" i="6"/>
  <c r="X19" i="6"/>
  <c r="N19" i="6"/>
  <c r="AJ128" i="6"/>
  <c r="G19" i="6"/>
  <c r="Z18" i="6"/>
  <c r="N18" i="6"/>
  <c r="AJ121" i="6"/>
  <c r="G18" i="6"/>
  <c r="N17" i="6"/>
  <c r="AJ114" i="6"/>
  <c r="AM117" i="6" s="1"/>
  <c r="G17" i="6"/>
  <c r="Z16" i="6"/>
  <c r="X16" i="6"/>
  <c r="N16" i="6"/>
  <c r="AJ107" i="6"/>
  <c r="G16" i="6"/>
  <c r="Z15" i="6"/>
  <c r="X15" i="6"/>
  <c r="N15" i="6"/>
  <c r="AJ100" i="6"/>
  <c r="AL103" i="6" s="1"/>
  <c r="G15" i="6"/>
  <c r="Z14" i="6"/>
  <c r="X14" i="6"/>
  <c r="N14" i="6"/>
  <c r="AJ93" i="6"/>
  <c r="G14" i="6"/>
  <c r="Z13" i="6"/>
  <c r="X13" i="6"/>
  <c r="N13" i="6"/>
  <c r="AJ86" i="6"/>
  <c r="G13" i="6"/>
  <c r="Z12" i="6"/>
  <c r="X12" i="6"/>
  <c r="N12" i="6"/>
  <c r="AJ79" i="6"/>
  <c r="G12" i="6"/>
  <c r="Z11" i="6"/>
  <c r="X11" i="6"/>
  <c r="N11" i="6"/>
  <c r="AJ72" i="6"/>
  <c r="G11" i="6"/>
  <c r="Z10" i="6"/>
  <c r="X10" i="6"/>
  <c r="N10" i="6"/>
  <c r="AJ65" i="6"/>
  <c r="G10" i="6"/>
  <c r="Z9" i="6"/>
  <c r="X9" i="6"/>
  <c r="N9" i="6"/>
  <c r="AJ58" i="6"/>
  <c r="G9" i="6"/>
  <c r="N8" i="6"/>
  <c r="AJ51" i="6"/>
  <c r="G8" i="6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O109" i="5"/>
  <c r="R109" i="5" s="1"/>
  <c r="S108" i="5"/>
  <c r="U108" i="5" s="1"/>
  <c r="P108" i="5"/>
  <c r="O108" i="5"/>
  <c r="S107" i="5"/>
  <c r="U107" i="5" s="1"/>
  <c r="P107" i="5"/>
  <c r="R107" i="5" s="1"/>
  <c r="O107" i="5"/>
  <c r="O105" i="5"/>
  <c r="Q105" i="5" s="1"/>
  <c r="S104" i="5"/>
  <c r="P104" i="5"/>
  <c r="O104" i="5"/>
  <c r="S103" i="5"/>
  <c r="P103" i="5"/>
  <c r="O103" i="5"/>
  <c r="H21" i="5" s="1"/>
  <c r="AA142" i="5" s="1"/>
  <c r="O101" i="5"/>
  <c r="R101" i="5" s="1"/>
  <c r="S100" i="5"/>
  <c r="R100" i="5"/>
  <c r="P100" i="5"/>
  <c r="Q100" i="5" s="1"/>
  <c r="O100" i="5"/>
  <c r="S99" i="5"/>
  <c r="U99" i="5" s="1"/>
  <c r="P99" i="5"/>
  <c r="O99" i="5"/>
  <c r="H20" i="5" s="1"/>
  <c r="AA135" i="5" s="1"/>
  <c r="S97" i="5"/>
  <c r="O97" i="5"/>
  <c r="R97" i="5" s="1"/>
  <c r="U96" i="5"/>
  <c r="S96" i="5"/>
  <c r="T96" i="5" s="1"/>
  <c r="P96" i="5"/>
  <c r="R96" i="5" s="1"/>
  <c r="O96" i="5"/>
  <c r="S95" i="5"/>
  <c r="U95" i="5" s="1"/>
  <c r="P95" i="5"/>
  <c r="R95" i="5" s="1"/>
  <c r="O95" i="5"/>
  <c r="H19" i="5" s="1"/>
  <c r="AA128" i="5" s="1"/>
  <c r="S93" i="5"/>
  <c r="R93" i="5"/>
  <c r="O93" i="5"/>
  <c r="P93" i="5" s="1"/>
  <c r="S92" i="5"/>
  <c r="T92" i="5" s="1"/>
  <c r="P92" i="5"/>
  <c r="R92" i="5" s="1"/>
  <c r="O92" i="5"/>
  <c r="S91" i="5"/>
  <c r="U91" i="5" s="1"/>
  <c r="P91" i="5"/>
  <c r="R91" i="5" s="1"/>
  <c r="O91" i="5"/>
  <c r="H18" i="5" s="1"/>
  <c r="AA121" i="5" s="1"/>
  <c r="O89" i="5"/>
  <c r="R89" i="5" s="1"/>
  <c r="S88" i="5"/>
  <c r="T88" i="5" s="1"/>
  <c r="P88" i="5"/>
  <c r="Q88" i="5" s="1"/>
  <c r="O88" i="5"/>
  <c r="S87" i="5"/>
  <c r="P87" i="5"/>
  <c r="R87" i="5" s="1"/>
  <c r="O87" i="5"/>
  <c r="O85" i="5"/>
  <c r="T85" i="5" s="1"/>
  <c r="S84" i="5"/>
  <c r="P84" i="5"/>
  <c r="R84" i="5" s="1"/>
  <c r="O84" i="5"/>
  <c r="S83" i="5"/>
  <c r="U83" i="5" s="1"/>
  <c r="P83" i="5"/>
  <c r="R83" i="5" s="1"/>
  <c r="O83" i="5"/>
  <c r="H16" i="5" s="1"/>
  <c r="AA107" i="5" s="1"/>
  <c r="O81" i="5"/>
  <c r="R81" i="5" s="1"/>
  <c r="S80" i="5"/>
  <c r="U80" i="5" s="1"/>
  <c r="P80" i="5"/>
  <c r="Q80" i="5" s="1"/>
  <c r="O80" i="5"/>
  <c r="S79" i="5"/>
  <c r="P79" i="5"/>
  <c r="R79" i="5" s="1"/>
  <c r="O79" i="5"/>
  <c r="H15" i="5" s="1"/>
  <c r="AA100" i="5" s="1"/>
  <c r="S77" i="5"/>
  <c r="O77" i="5"/>
  <c r="P77" i="5" s="1"/>
  <c r="S76" i="5"/>
  <c r="T76" i="5" s="1"/>
  <c r="P76" i="5"/>
  <c r="R76" i="5" s="1"/>
  <c r="O76" i="5"/>
  <c r="S75" i="5"/>
  <c r="U75" i="5" s="1"/>
  <c r="P75" i="5"/>
  <c r="O75" i="5"/>
  <c r="H14" i="5" s="1"/>
  <c r="AA93" i="5" s="1"/>
  <c r="O73" i="5"/>
  <c r="S73" i="5" s="1"/>
  <c r="S72" i="5"/>
  <c r="T72" i="5" s="1"/>
  <c r="P72" i="5"/>
  <c r="R72" i="5" s="1"/>
  <c r="O72" i="5"/>
  <c r="S71" i="5"/>
  <c r="U71" i="5" s="1"/>
  <c r="P71" i="5"/>
  <c r="R71" i="5" s="1"/>
  <c r="O71" i="5"/>
  <c r="H13" i="5" s="1"/>
  <c r="AA86" i="5" s="1"/>
  <c r="O69" i="5"/>
  <c r="S68" i="5"/>
  <c r="T68" i="5" s="1"/>
  <c r="P68" i="5"/>
  <c r="R68" i="5" s="1"/>
  <c r="O68" i="5"/>
  <c r="S67" i="5"/>
  <c r="U67" i="5" s="1"/>
  <c r="P67" i="5"/>
  <c r="Q67" i="5" s="1"/>
  <c r="O67" i="5"/>
  <c r="R65" i="5"/>
  <c r="Q65" i="5"/>
  <c r="O65" i="5"/>
  <c r="S65" i="5" s="1"/>
  <c r="S64" i="5"/>
  <c r="U64" i="5" s="1"/>
  <c r="P64" i="5"/>
  <c r="R64" i="5" s="1"/>
  <c r="O64" i="5"/>
  <c r="S63" i="5"/>
  <c r="U63" i="5" s="1"/>
  <c r="P63" i="5"/>
  <c r="R63" i="5" s="1"/>
  <c r="O63" i="5"/>
  <c r="H11" i="5" s="1"/>
  <c r="AA72" i="5" s="1"/>
  <c r="O61" i="5"/>
  <c r="S61" i="5" s="1"/>
  <c r="S60" i="5"/>
  <c r="T60" i="5" s="1"/>
  <c r="P60" i="5"/>
  <c r="R60" i="5" s="1"/>
  <c r="O60" i="5"/>
  <c r="S59" i="5"/>
  <c r="U59" i="5" s="1"/>
  <c r="P59" i="5"/>
  <c r="O59" i="5"/>
  <c r="H10" i="5" s="1"/>
  <c r="AA65" i="5" s="1"/>
  <c r="U57" i="5"/>
  <c r="O57" i="5"/>
  <c r="S57" i="5" s="1"/>
  <c r="U56" i="5"/>
  <c r="T56" i="5"/>
  <c r="S56" i="5"/>
  <c r="P56" i="5"/>
  <c r="Q56" i="5" s="1"/>
  <c r="O56" i="5"/>
  <c r="S55" i="5"/>
  <c r="T55" i="5" s="1"/>
  <c r="P55" i="5"/>
  <c r="O55" i="5"/>
  <c r="H9" i="5" s="1"/>
  <c r="AA58" i="5" s="1"/>
  <c r="U53" i="5"/>
  <c r="T53" i="5"/>
  <c r="S53" i="5"/>
  <c r="R53" i="5"/>
  <c r="Q53" i="5"/>
  <c r="P53" i="5"/>
  <c r="O53" i="5"/>
  <c r="S52" i="5"/>
  <c r="T52" i="5" s="1"/>
  <c r="P52" i="5"/>
  <c r="R52" i="5" s="1"/>
  <c r="O52" i="5"/>
  <c r="S51" i="5"/>
  <c r="U51" i="5" s="1"/>
  <c r="P51" i="5"/>
  <c r="O51" i="5"/>
  <c r="H8" i="5" s="1"/>
  <c r="AA51" i="5" s="1"/>
  <c r="Z22" i="5"/>
  <c r="X22" i="5"/>
  <c r="N22" i="5"/>
  <c r="AJ149" i="5"/>
  <c r="H22" i="5"/>
  <c r="AA149" i="5" s="1"/>
  <c r="G22" i="5"/>
  <c r="Z21" i="5"/>
  <c r="X21" i="5"/>
  <c r="N21" i="5"/>
  <c r="AJ142" i="5"/>
  <c r="Q21" i="5" s="1"/>
  <c r="G21" i="5"/>
  <c r="Z20" i="5"/>
  <c r="X20" i="5"/>
  <c r="N20" i="5"/>
  <c r="AJ135" i="5"/>
  <c r="AJ136" i="5" s="1"/>
  <c r="T20" i="5" s="1"/>
  <c r="G20" i="5"/>
  <c r="Z19" i="5"/>
  <c r="X19" i="5"/>
  <c r="N19" i="5"/>
  <c r="AJ128" i="5"/>
  <c r="AM130" i="5" s="1"/>
  <c r="G19" i="5"/>
  <c r="Z18" i="5"/>
  <c r="X18" i="5"/>
  <c r="N18" i="5"/>
  <c r="AJ121" i="5"/>
  <c r="Q18" i="5" s="1"/>
  <c r="G18" i="5"/>
  <c r="Q17" i="5"/>
  <c r="N17" i="5"/>
  <c r="AJ114" i="5"/>
  <c r="AM117" i="5" s="1"/>
  <c r="G17" i="5"/>
  <c r="Z16" i="5"/>
  <c r="X16" i="5"/>
  <c r="N16" i="5"/>
  <c r="AJ107" i="5"/>
  <c r="Q16" i="5" s="1"/>
  <c r="G16" i="5"/>
  <c r="Z15" i="5"/>
  <c r="X15" i="5"/>
  <c r="N15" i="5"/>
  <c r="AJ100" i="5"/>
  <c r="Q15" i="5" s="1"/>
  <c r="G15" i="5"/>
  <c r="N14" i="5"/>
  <c r="AJ93" i="5"/>
  <c r="AJ94" i="5" s="1"/>
  <c r="T14" i="5" s="1"/>
  <c r="G14" i="5"/>
  <c r="Z13" i="5"/>
  <c r="X13" i="5"/>
  <c r="N13" i="5"/>
  <c r="AJ86" i="5"/>
  <c r="G13" i="5"/>
  <c r="Z12" i="5"/>
  <c r="X12" i="5"/>
  <c r="N12" i="5"/>
  <c r="AJ79" i="5"/>
  <c r="AL82" i="5" s="1"/>
  <c r="H12" i="5"/>
  <c r="AA79" i="5" s="1"/>
  <c r="G12" i="5"/>
  <c r="Z11" i="5"/>
  <c r="X11" i="5"/>
  <c r="N11" i="5"/>
  <c r="AJ72" i="5"/>
  <c r="G11" i="5"/>
  <c r="Z10" i="5"/>
  <c r="X10" i="5"/>
  <c r="N10" i="5"/>
  <c r="AJ65" i="5"/>
  <c r="AJ66" i="5" s="1"/>
  <c r="T10" i="5" s="1"/>
  <c r="G10" i="5"/>
  <c r="Z9" i="5"/>
  <c r="X9" i="5"/>
  <c r="N9" i="5"/>
  <c r="AJ58" i="5"/>
  <c r="G9" i="5"/>
  <c r="Z8" i="5"/>
  <c r="N8" i="5"/>
  <c r="AJ51" i="5"/>
  <c r="G8" i="5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O109" i="4"/>
  <c r="T109" i="4" s="1"/>
  <c r="S108" i="4"/>
  <c r="T108" i="4" s="1"/>
  <c r="P108" i="4"/>
  <c r="Q108" i="4" s="1"/>
  <c r="O108" i="4"/>
  <c r="S107" i="4"/>
  <c r="U107" i="4" s="1"/>
  <c r="P107" i="4"/>
  <c r="O107" i="4"/>
  <c r="H22" i="4" s="1"/>
  <c r="AA149" i="4" s="1"/>
  <c r="O22" i="4" s="1"/>
  <c r="O105" i="4"/>
  <c r="T105" i="4" s="1"/>
  <c r="S104" i="4"/>
  <c r="P104" i="4"/>
  <c r="R104" i="4" s="1"/>
  <c r="O104" i="4"/>
  <c r="S103" i="4"/>
  <c r="U103" i="4" s="1"/>
  <c r="P103" i="4"/>
  <c r="Q103" i="4" s="1"/>
  <c r="O103" i="4"/>
  <c r="H21" i="4" s="1"/>
  <c r="AA142" i="4" s="1"/>
  <c r="O21" i="4" s="1"/>
  <c r="O101" i="4"/>
  <c r="S101" i="4" s="1"/>
  <c r="S100" i="4"/>
  <c r="U100" i="4" s="1"/>
  <c r="P100" i="4"/>
  <c r="Q100" i="4" s="1"/>
  <c r="O100" i="4"/>
  <c r="S99" i="4"/>
  <c r="U99" i="4" s="1"/>
  <c r="P99" i="4"/>
  <c r="R99" i="4" s="1"/>
  <c r="O99" i="4"/>
  <c r="H20" i="4" s="1"/>
  <c r="AA135" i="4" s="1"/>
  <c r="AG137" i="4" s="1"/>
  <c r="O97" i="4"/>
  <c r="P97" i="4" s="1"/>
  <c r="S96" i="4"/>
  <c r="T96" i="4" s="1"/>
  <c r="P96" i="4"/>
  <c r="O96" i="4"/>
  <c r="S95" i="4"/>
  <c r="U95" i="4" s="1"/>
  <c r="P95" i="4"/>
  <c r="Q95" i="4" s="1"/>
  <c r="O95" i="4"/>
  <c r="H19" i="4" s="1"/>
  <c r="AA128" i="4" s="1"/>
  <c r="AC129" i="4" s="1"/>
  <c r="O93" i="4"/>
  <c r="U93" i="4" s="1"/>
  <c r="S92" i="4"/>
  <c r="U92" i="4" s="1"/>
  <c r="P92" i="4"/>
  <c r="Q92" i="4" s="1"/>
  <c r="O92" i="4"/>
  <c r="S91" i="4"/>
  <c r="U91" i="4" s="1"/>
  <c r="P91" i="4"/>
  <c r="R91" i="4" s="1"/>
  <c r="O91" i="4"/>
  <c r="H18" i="4" s="1"/>
  <c r="AA121" i="4" s="1"/>
  <c r="AB124" i="4" s="1"/>
  <c r="O89" i="4"/>
  <c r="S89" i="4" s="1"/>
  <c r="S88" i="4"/>
  <c r="U88" i="4" s="1"/>
  <c r="P88" i="4"/>
  <c r="R88" i="4" s="1"/>
  <c r="O88" i="4"/>
  <c r="S87" i="4"/>
  <c r="P87" i="4"/>
  <c r="Q87" i="4" s="1"/>
  <c r="O87" i="4"/>
  <c r="H17" i="4" s="1"/>
  <c r="AA114" i="4" s="1"/>
  <c r="O85" i="4"/>
  <c r="S85" i="4" s="1"/>
  <c r="S84" i="4"/>
  <c r="T84" i="4" s="1"/>
  <c r="P84" i="4"/>
  <c r="O84" i="4"/>
  <c r="S83" i="4"/>
  <c r="P83" i="4"/>
  <c r="R83" i="4" s="1"/>
  <c r="O83" i="4"/>
  <c r="H16" i="4" s="1"/>
  <c r="AA107" i="4" s="1"/>
  <c r="O81" i="4"/>
  <c r="S81" i="4" s="1"/>
  <c r="S80" i="4"/>
  <c r="P80" i="4"/>
  <c r="R80" i="4" s="1"/>
  <c r="O80" i="4"/>
  <c r="S79" i="4"/>
  <c r="U79" i="4" s="1"/>
  <c r="P79" i="4"/>
  <c r="Q79" i="4" s="1"/>
  <c r="O79" i="4"/>
  <c r="O77" i="4"/>
  <c r="S77" i="4" s="1"/>
  <c r="S76" i="4"/>
  <c r="U76" i="4" s="1"/>
  <c r="P76" i="4"/>
  <c r="O76" i="4"/>
  <c r="S75" i="4"/>
  <c r="T75" i="4" s="1"/>
  <c r="P75" i="4"/>
  <c r="Q75" i="4" s="1"/>
  <c r="O75" i="4"/>
  <c r="H14" i="4" s="1"/>
  <c r="AA93" i="4" s="1"/>
  <c r="O14" i="4" s="1"/>
  <c r="O73" i="4"/>
  <c r="S73" i="4" s="1"/>
  <c r="S72" i="4"/>
  <c r="P72" i="4"/>
  <c r="R72" i="4" s="1"/>
  <c r="O72" i="4"/>
  <c r="S71" i="4"/>
  <c r="U71" i="4" s="1"/>
  <c r="P71" i="4"/>
  <c r="Q71" i="4" s="1"/>
  <c r="O71" i="4"/>
  <c r="O69" i="4"/>
  <c r="U69" i="4" s="1"/>
  <c r="S68" i="4"/>
  <c r="P68" i="4"/>
  <c r="Q68" i="4" s="1"/>
  <c r="O68" i="4"/>
  <c r="S67" i="4"/>
  <c r="T67" i="4" s="1"/>
  <c r="P67" i="4"/>
  <c r="Q67" i="4" s="1"/>
  <c r="O67" i="4"/>
  <c r="O65" i="4"/>
  <c r="S65" i="4" s="1"/>
  <c r="S64" i="4"/>
  <c r="P64" i="4"/>
  <c r="R64" i="4" s="1"/>
  <c r="O64" i="4"/>
  <c r="S63" i="4"/>
  <c r="U63" i="4" s="1"/>
  <c r="P63" i="4"/>
  <c r="Q63" i="4" s="1"/>
  <c r="O63" i="4"/>
  <c r="O61" i="4"/>
  <c r="R61" i="4" s="1"/>
  <c r="S60" i="4"/>
  <c r="U60" i="4" s="1"/>
  <c r="P60" i="4"/>
  <c r="O60" i="4"/>
  <c r="S59" i="4"/>
  <c r="T59" i="4" s="1"/>
  <c r="P59" i="4"/>
  <c r="Q59" i="4" s="1"/>
  <c r="O59" i="4"/>
  <c r="O57" i="4"/>
  <c r="S57" i="4" s="1"/>
  <c r="S56" i="4"/>
  <c r="T56" i="4" s="1"/>
  <c r="P56" i="4"/>
  <c r="R56" i="4" s="1"/>
  <c r="O56" i="4"/>
  <c r="S55" i="4"/>
  <c r="P55" i="4"/>
  <c r="Q55" i="4" s="1"/>
  <c r="O55" i="4"/>
  <c r="H9" i="4" s="1"/>
  <c r="AA58" i="4" s="1"/>
  <c r="AA60" i="4" s="1"/>
  <c r="U9" i="4" s="1"/>
  <c r="U53" i="4"/>
  <c r="T53" i="4"/>
  <c r="S53" i="4"/>
  <c r="R53" i="4"/>
  <c r="Q53" i="4"/>
  <c r="P53" i="4"/>
  <c r="O53" i="4"/>
  <c r="H8" i="4" s="1"/>
  <c r="AA51" i="4" s="1"/>
  <c r="S52" i="4"/>
  <c r="U52" i="4" s="1"/>
  <c r="P52" i="4"/>
  <c r="R52" i="4" s="1"/>
  <c r="O52" i="4"/>
  <c r="S51" i="4"/>
  <c r="P51" i="4"/>
  <c r="O51" i="4"/>
  <c r="Z22" i="4"/>
  <c r="X22" i="4"/>
  <c r="N22" i="4"/>
  <c r="AJ149" i="4"/>
  <c r="AN150" i="4" s="1"/>
  <c r="G22" i="4"/>
  <c r="Z21" i="4"/>
  <c r="X21" i="4"/>
  <c r="N21" i="4"/>
  <c r="AJ142" i="4"/>
  <c r="AM145" i="4" s="1"/>
  <c r="G21" i="4"/>
  <c r="Z20" i="4"/>
  <c r="X20" i="4"/>
  <c r="N20" i="4"/>
  <c r="AJ135" i="4"/>
  <c r="AL136" i="4" s="1"/>
  <c r="G20" i="4"/>
  <c r="Z19" i="4"/>
  <c r="X19" i="4"/>
  <c r="N19" i="4"/>
  <c r="AJ128" i="4"/>
  <c r="AM131" i="4" s="1"/>
  <c r="G19" i="4"/>
  <c r="Z18" i="4"/>
  <c r="X18" i="4"/>
  <c r="N18" i="4"/>
  <c r="AJ121" i="4"/>
  <c r="G18" i="4"/>
  <c r="N17" i="4"/>
  <c r="AJ114" i="4"/>
  <c r="Q17" i="4" s="1"/>
  <c r="G17" i="4"/>
  <c r="Z16" i="4"/>
  <c r="X16" i="4"/>
  <c r="N16" i="4"/>
  <c r="AJ107" i="4"/>
  <c r="G16" i="4"/>
  <c r="Z15" i="4"/>
  <c r="X15" i="4"/>
  <c r="N15" i="4"/>
  <c r="AJ100" i="4"/>
  <c r="G15" i="4"/>
  <c r="Z14" i="4"/>
  <c r="X14" i="4"/>
  <c r="N14" i="4"/>
  <c r="AJ93" i="4"/>
  <c r="G14" i="4"/>
  <c r="Z13" i="4"/>
  <c r="N13" i="4"/>
  <c r="AJ86" i="4"/>
  <c r="G13" i="4"/>
  <c r="Z12" i="4"/>
  <c r="N12" i="4"/>
  <c r="AJ79" i="4"/>
  <c r="H12" i="4"/>
  <c r="AA79" i="4" s="1"/>
  <c r="G12" i="4"/>
  <c r="Z11" i="4"/>
  <c r="N11" i="4"/>
  <c r="AJ72" i="4"/>
  <c r="AJ74" i="4" s="1"/>
  <c r="W11" i="4" s="1"/>
  <c r="H11" i="4"/>
  <c r="AA72" i="4" s="1"/>
  <c r="AG74" i="4" s="1"/>
  <c r="G11" i="4"/>
  <c r="Z10" i="4"/>
  <c r="X10" i="4"/>
  <c r="N10" i="4"/>
  <c r="AJ65" i="4"/>
  <c r="G10" i="4"/>
  <c r="Z9" i="4"/>
  <c r="X9" i="4"/>
  <c r="N9" i="4"/>
  <c r="AJ58" i="4"/>
  <c r="AJ59" i="4" s="1"/>
  <c r="T9" i="4" s="1"/>
  <c r="G9" i="4"/>
  <c r="Z8" i="4"/>
  <c r="N8" i="4"/>
  <c r="AJ51" i="4"/>
  <c r="AO53" i="4" s="1"/>
  <c r="G8" i="4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O109" i="3"/>
  <c r="S108" i="3"/>
  <c r="U108" i="3" s="1"/>
  <c r="P108" i="3"/>
  <c r="O108" i="3"/>
  <c r="S107" i="3"/>
  <c r="U107" i="3" s="1"/>
  <c r="P107" i="3"/>
  <c r="Q107" i="3" s="1"/>
  <c r="O107" i="3"/>
  <c r="O105" i="3"/>
  <c r="T105" i="3" s="1"/>
  <c r="S104" i="3"/>
  <c r="P104" i="3"/>
  <c r="O104" i="3"/>
  <c r="S103" i="3"/>
  <c r="T103" i="3" s="1"/>
  <c r="P103" i="3"/>
  <c r="O103" i="3"/>
  <c r="H21" i="3" s="1"/>
  <c r="AA142" i="3" s="1"/>
  <c r="O21" i="3" s="1"/>
  <c r="O101" i="3"/>
  <c r="T101" i="3" s="1"/>
  <c r="S100" i="3"/>
  <c r="P100" i="3"/>
  <c r="R100" i="3" s="1"/>
  <c r="O100" i="3"/>
  <c r="S99" i="3"/>
  <c r="U99" i="3" s="1"/>
  <c r="P99" i="3"/>
  <c r="Q99" i="3" s="1"/>
  <c r="O99" i="3"/>
  <c r="H20" i="3" s="1"/>
  <c r="AA135" i="3" s="1"/>
  <c r="AD138" i="3" s="1"/>
  <c r="O97" i="3"/>
  <c r="R97" i="3" s="1"/>
  <c r="S96" i="3"/>
  <c r="U96" i="3" s="1"/>
  <c r="P96" i="3"/>
  <c r="R96" i="3" s="1"/>
  <c r="O96" i="3"/>
  <c r="S95" i="3"/>
  <c r="U95" i="3" s="1"/>
  <c r="P95" i="3"/>
  <c r="R95" i="3" s="1"/>
  <c r="O95" i="3"/>
  <c r="H19" i="3" s="1"/>
  <c r="AA128" i="3" s="1"/>
  <c r="O19" i="3" s="1"/>
  <c r="O93" i="3"/>
  <c r="R93" i="3" s="1"/>
  <c r="U92" i="3"/>
  <c r="S92" i="3"/>
  <c r="T92" i="3" s="1"/>
  <c r="P92" i="3"/>
  <c r="R92" i="3" s="1"/>
  <c r="O92" i="3"/>
  <c r="S91" i="3"/>
  <c r="U91" i="3" s="1"/>
  <c r="P91" i="3"/>
  <c r="R91" i="3" s="1"/>
  <c r="O91" i="3"/>
  <c r="H18" i="3" s="1"/>
  <c r="AA121" i="3" s="1"/>
  <c r="O18" i="3" s="1"/>
  <c r="O89" i="3"/>
  <c r="U89" i="3" s="1"/>
  <c r="S88" i="3"/>
  <c r="T88" i="3" s="1"/>
  <c r="P88" i="3"/>
  <c r="Q88" i="3" s="1"/>
  <c r="O88" i="3"/>
  <c r="S87" i="3"/>
  <c r="T87" i="3" s="1"/>
  <c r="P87" i="3"/>
  <c r="O87" i="3"/>
  <c r="O85" i="3"/>
  <c r="T85" i="3" s="1"/>
  <c r="S84" i="3"/>
  <c r="P84" i="3"/>
  <c r="R84" i="3" s="1"/>
  <c r="O84" i="3"/>
  <c r="S83" i="3"/>
  <c r="T83" i="3" s="1"/>
  <c r="P83" i="3"/>
  <c r="Q83" i="3" s="1"/>
  <c r="O83" i="3"/>
  <c r="H16" i="3" s="1"/>
  <c r="AA107" i="3" s="1"/>
  <c r="O81" i="3"/>
  <c r="S81" i="3" s="1"/>
  <c r="S80" i="3"/>
  <c r="T80" i="3" s="1"/>
  <c r="P80" i="3"/>
  <c r="R80" i="3" s="1"/>
  <c r="O80" i="3"/>
  <c r="S79" i="3"/>
  <c r="U79" i="3" s="1"/>
  <c r="P79" i="3"/>
  <c r="Q79" i="3" s="1"/>
  <c r="O79" i="3"/>
  <c r="O77" i="3"/>
  <c r="U77" i="3" s="1"/>
  <c r="T76" i="3"/>
  <c r="S76" i="3"/>
  <c r="U76" i="3" s="1"/>
  <c r="P76" i="3"/>
  <c r="Q76" i="3" s="1"/>
  <c r="O76" i="3"/>
  <c r="S75" i="3"/>
  <c r="T75" i="3" s="1"/>
  <c r="P75" i="3"/>
  <c r="Q75" i="3" s="1"/>
  <c r="O75" i="3"/>
  <c r="H14" i="3" s="1"/>
  <c r="AA93" i="3" s="1"/>
  <c r="Q73" i="3"/>
  <c r="O73" i="3"/>
  <c r="S73" i="3" s="1"/>
  <c r="S72" i="3"/>
  <c r="T72" i="3" s="1"/>
  <c r="P72" i="3"/>
  <c r="R72" i="3" s="1"/>
  <c r="O72" i="3"/>
  <c r="S71" i="3"/>
  <c r="U71" i="3" s="1"/>
  <c r="P71" i="3"/>
  <c r="Q71" i="3" s="1"/>
  <c r="O71" i="3"/>
  <c r="H13" i="3" s="1"/>
  <c r="AA86" i="3" s="1"/>
  <c r="AC89" i="3" s="1"/>
  <c r="O69" i="3"/>
  <c r="S69" i="3" s="1"/>
  <c r="S68" i="3"/>
  <c r="U68" i="3" s="1"/>
  <c r="P68" i="3"/>
  <c r="Q68" i="3" s="1"/>
  <c r="O68" i="3"/>
  <c r="S67" i="3"/>
  <c r="T67" i="3" s="1"/>
  <c r="P67" i="3"/>
  <c r="Q67" i="3" s="1"/>
  <c r="O67" i="3"/>
  <c r="H12" i="3" s="1"/>
  <c r="AA79" i="3" s="1"/>
  <c r="O12" i="3" s="1"/>
  <c r="O65" i="3"/>
  <c r="R65" i="3" s="1"/>
  <c r="S64" i="3"/>
  <c r="T64" i="3" s="1"/>
  <c r="P64" i="3"/>
  <c r="Q64" i="3" s="1"/>
  <c r="O64" i="3"/>
  <c r="S63" i="3"/>
  <c r="T63" i="3" s="1"/>
  <c r="P63" i="3"/>
  <c r="R63" i="3" s="1"/>
  <c r="O63" i="3"/>
  <c r="O61" i="3"/>
  <c r="S61" i="3" s="1"/>
  <c r="S60" i="3"/>
  <c r="T60" i="3" s="1"/>
  <c r="P60" i="3"/>
  <c r="R60" i="3" s="1"/>
  <c r="O60" i="3"/>
  <c r="S59" i="3"/>
  <c r="U59" i="3" s="1"/>
  <c r="P59" i="3"/>
  <c r="Q59" i="3" s="1"/>
  <c r="O59" i="3"/>
  <c r="H10" i="3" s="1"/>
  <c r="AA65" i="3" s="1"/>
  <c r="O10" i="3" s="1"/>
  <c r="O57" i="3"/>
  <c r="R57" i="3" s="1"/>
  <c r="S56" i="3"/>
  <c r="U56" i="3" s="1"/>
  <c r="P56" i="3"/>
  <c r="Q56" i="3" s="1"/>
  <c r="O56" i="3"/>
  <c r="S55" i="3"/>
  <c r="T55" i="3" s="1"/>
  <c r="P55" i="3"/>
  <c r="R55" i="3" s="1"/>
  <c r="O55" i="3"/>
  <c r="U53" i="3"/>
  <c r="T53" i="3"/>
  <c r="S53" i="3"/>
  <c r="R53" i="3"/>
  <c r="Q53" i="3"/>
  <c r="P53" i="3"/>
  <c r="O53" i="3"/>
  <c r="S52" i="3"/>
  <c r="T52" i="3" s="1"/>
  <c r="P52" i="3"/>
  <c r="R52" i="3" s="1"/>
  <c r="O52" i="3"/>
  <c r="S51" i="3"/>
  <c r="U51" i="3" s="1"/>
  <c r="P51" i="3"/>
  <c r="Q51" i="3" s="1"/>
  <c r="O51" i="3"/>
  <c r="Z22" i="3"/>
  <c r="X22" i="3"/>
  <c r="N22" i="3"/>
  <c r="AJ149" i="3"/>
  <c r="H22" i="3"/>
  <c r="AA149" i="3" s="1"/>
  <c r="O22" i="3" s="1"/>
  <c r="G22" i="3"/>
  <c r="Z21" i="3"/>
  <c r="X21" i="3"/>
  <c r="N21" i="3"/>
  <c r="AJ142" i="3"/>
  <c r="G21" i="3"/>
  <c r="Z20" i="3"/>
  <c r="X20" i="3"/>
  <c r="N20" i="3"/>
  <c r="AJ135" i="3"/>
  <c r="G20" i="3"/>
  <c r="Z19" i="3"/>
  <c r="X19" i="3"/>
  <c r="N19" i="3"/>
  <c r="AJ128" i="3"/>
  <c r="G19" i="3"/>
  <c r="Z18" i="3"/>
  <c r="X18" i="3"/>
  <c r="N18" i="3"/>
  <c r="AJ121" i="3"/>
  <c r="G18" i="3"/>
  <c r="N17" i="3"/>
  <c r="AJ114" i="3"/>
  <c r="Q17" i="3" s="1"/>
  <c r="G17" i="3"/>
  <c r="Z16" i="3"/>
  <c r="X16" i="3"/>
  <c r="N16" i="3"/>
  <c r="AJ107" i="3"/>
  <c r="G16" i="3"/>
  <c r="Z15" i="3"/>
  <c r="N15" i="3"/>
  <c r="AJ100" i="3"/>
  <c r="H15" i="3"/>
  <c r="AA100" i="3" s="1"/>
  <c r="AC101" i="3" s="1"/>
  <c r="G15" i="3"/>
  <c r="Z14" i="3"/>
  <c r="X14" i="3"/>
  <c r="N14" i="3"/>
  <c r="AJ93" i="3"/>
  <c r="G14" i="3"/>
  <c r="Z13" i="3"/>
  <c r="X13" i="3"/>
  <c r="N13" i="3"/>
  <c r="AJ86" i="3"/>
  <c r="G13" i="3"/>
  <c r="Z12" i="3"/>
  <c r="X12" i="3"/>
  <c r="N12" i="3"/>
  <c r="AJ79" i="3"/>
  <c r="G12" i="3"/>
  <c r="Z11" i="3"/>
  <c r="X11" i="3"/>
  <c r="N11" i="3"/>
  <c r="AJ72" i="3"/>
  <c r="G11" i="3"/>
  <c r="Z10" i="3"/>
  <c r="X10" i="3"/>
  <c r="N10" i="3"/>
  <c r="AJ65" i="3"/>
  <c r="G10" i="3"/>
  <c r="Z9" i="3"/>
  <c r="N9" i="3"/>
  <c r="AJ58" i="3"/>
  <c r="G9" i="3"/>
  <c r="Z8" i="3"/>
  <c r="N8" i="3"/>
  <c r="AJ51" i="3"/>
  <c r="G8" i="3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O109" i="2"/>
  <c r="T109" i="2" s="1"/>
  <c r="S108" i="2"/>
  <c r="T108" i="2" s="1"/>
  <c r="P108" i="2"/>
  <c r="Q108" i="2" s="1"/>
  <c r="O108" i="2"/>
  <c r="S107" i="2"/>
  <c r="T107" i="2" s="1"/>
  <c r="P107" i="2"/>
  <c r="O107" i="2"/>
  <c r="H22" i="2" s="1"/>
  <c r="AA149" i="2" s="1"/>
  <c r="O105" i="2"/>
  <c r="T105" i="2" s="1"/>
  <c r="S104" i="2"/>
  <c r="P104" i="2"/>
  <c r="R104" i="2" s="1"/>
  <c r="O104" i="2"/>
  <c r="S103" i="2"/>
  <c r="T103" i="2" s="1"/>
  <c r="P103" i="2"/>
  <c r="Q103" i="2" s="1"/>
  <c r="O103" i="2"/>
  <c r="H21" i="2" s="1"/>
  <c r="AA142" i="2" s="1"/>
  <c r="O21" i="2" s="1"/>
  <c r="O101" i="2"/>
  <c r="S101" i="2" s="1"/>
  <c r="S100" i="2"/>
  <c r="U100" i="2" s="1"/>
  <c r="P100" i="2"/>
  <c r="Q100" i="2" s="1"/>
  <c r="O100" i="2"/>
  <c r="S99" i="2"/>
  <c r="T99" i="2" s="1"/>
  <c r="P99" i="2"/>
  <c r="Q99" i="2" s="1"/>
  <c r="O99" i="2"/>
  <c r="H20" i="2" s="1"/>
  <c r="AA135" i="2" s="1"/>
  <c r="R97" i="2"/>
  <c r="O97" i="2"/>
  <c r="S97" i="2" s="1"/>
  <c r="S96" i="2"/>
  <c r="T96" i="2" s="1"/>
  <c r="P96" i="2"/>
  <c r="Q96" i="2" s="1"/>
  <c r="O96" i="2"/>
  <c r="S95" i="2"/>
  <c r="T95" i="2" s="1"/>
  <c r="P95" i="2"/>
  <c r="Q95" i="2" s="1"/>
  <c r="O95" i="2"/>
  <c r="O93" i="2"/>
  <c r="S93" i="2" s="1"/>
  <c r="S92" i="2"/>
  <c r="U92" i="2" s="1"/>
  <c r="P92" i="2"/>
  <c r="Q92" i="2" s="1"/>
  <c r="O92" i="2"/>
  <c r="S91" i="2"/>
  <c r="T91" i="2" s="1"/>
  <c r="P91" i="2"/>
  <c r="Q91" i="2" s="1"/>
  <c r="O91" i="2"/>
  <c r="H18" i="2" s="1"/>
  <c r="AA121" i="2" s="1"/>
  <c r="AG123" i="2" s="1"/>
  <c r="O89" i="2"/>
  <c r="S89" i="2" s="1"/>
  <c r="S88" i="2"/>
  <c r="T88" i="2" s="1"/>
  <c r="P88" i="2"/>
  <c r="R88" i="2" s="1"/>
  <c r="O88" i="2"/>
  <c r="S87" i="2"/>
  <c r="T87" i="2" s="1"/>
  <c r="P87" i="2"/>
  <c r="O87" i="2"/>
  <c r="O85" i="2"/>
  <c r="S85" i="2" s="1"/>
  <c r="S84" i="2"/>
  <c r="U84" i="2" s="1"/>
  <c r="P84" i="2"/>
  <c r="Q84" i="2" s="1"/>
  <c r="O84" i="2"/>
  <c r="S83" i="2"/>
  <c r="P83" i="2"/>
  <c r="Q83" i="2" s="1"/>
  <c r="O83" i="2"/>
  <c r="O81" i="2"/>
  <c r="R81" i="2" s="1"/>
  <c r="S80" i="2"/>
  <c r="P80" i="2"/>
  <c r="R80" i="2" s="1"/>
  <c r="O80" i="2"/>
  <c r="S79" i="2"/>
  <c r="U79" i="2" s="1"/>
  <c r="P79" i="2"/>
  <c r="Q79" i="2" s="1"/>
  <c r="O79" i="2"/>
  <c r="O77" i="2"/>
  <c r="R77" i="2" s="1"/>
  <c r="S76" i="2"/>
  <c r="U76" i="2" s="1"/>
  <c r="P76" i="2"/>
  <c r="Q76" i="2" s="1"/>
  <c r="O76" i="2"/>
  <c r="S75" i="2"/>
  <c r="T75" i="2" s="1"/>
  <c r="P75" i="2"/>
  <c r="R75" i="2" s="1"/>
  <c r="O75" i="2"/>
  <c r="H14" i="2" s="1"/>
  <c r="AA93" i="2" s="1"/>
  <c r="AF95" i="2" s="1"/>
  <c r="P73" i="2"/>
  <c r="O73" i="2"/>
  <c r="S73" i="2" s="1"/>
  <c r="S72" i="2"/>
  <c r="T72" i="2" s="1"/>
  <c r="P72" i="2"/>
  <c r="R72" i="2" s="1"/>
  <c r="O72" i="2"/>
  <c r="S71" i="2"/>
  <c r="U71" i="2" s="1"/>
  <c r="P71" i="2"/>
  <c r="R71" i="2" s="1"/>
  <c r="O71" i="2"/>
  <c r="O69" i="2"/>
  <c r="Q69" i="2" s="1"/>
  <c r="S68" i="2"/>
  <c r="U68" i="2" s="1"/>
  <c r="P68" i="2"/>
  <c r="Q68" i="2" s="1"/>
  <c r="O68" i="2"/>
  <c r="S67" i="2"/>
  <c r="T67" i="2" s="1"/>
  <c r="P67" i="2"/>
  <c r="O67" i="2"/>
  <c r="H12" i="2" s="1"/>
  <c r="AA79" i="2" s="1"/>
  <c r="O65" i="2"/>
  <c r="S65" i="2" s="1"/>
  <c r="S64" i="2"/>
  <c r="U64" i="2" s="1"/>
  <c r="P64" i="2"/>
  <c r="Q64" i="2" s="1"/>
  <c r="O64" i="2"/>
  <c r="S63" i="2"/>
  <c r="T63" i="2" s="1"/>
  <c r="P63" i="2"/>
  <c r="R63" i="2" s="1"/>
  <c r="O63" i="2"/>
  <c r="O61" i="2"/>
  <c r="S61" i="2" s="1"/>
  <c r="S60" i="2"/>
  <c r="T60" i="2" s="1"/>
  <c r="P60" i="2"/>
  <c r="R60" i="2" s="1"/>
  <c r="O60" i="2"/>
  <c r="S59" i="2"/>
  <c r="U59" i="2" s="1"/>
  <c r="P59" i="2"/>
  <c r="Q59" i="2" s="1"/>
  <c r="O59" i="2"/>
  <c r="O57" i="2"/>
  <c r="S57" i="2" s="1"/>
  <c r="S56" i="2"/>
  <c r="T56" i="2" s="1"/>
  <c r="P56" i="2"/>
  <c r="Q56" i="2" s="1"/>
  <c r="O56" i="2"/>
  <c r="S55" i="2"/>
  <c r="T55" i="2" s="1"/>
  <c r="P55" i="2"/>
  <c r="R55" i="2" s="1"/>
  <c r="O55" i="2"/>
  <c r="U53" i="2"/>
  <c r="T53" i="2"/>
  <c r="S53" i="2"/>
  <c r="R53" i="2"/>
  <c r="Q53" i="2"/>
  <c r="P53" i="2"/>
  <c r="O53" i="2"/>
  <c r="S52" i="2"/>
  <c r="T52" i="2" s="1"/>
  <c r="P52" i="2"/>
  <c r="R52" i="2" s="1"/>
  <c r="O52" i="2"/>
  <c r="S51" i="2"/>
  <c r="U51" i="2" s="1"/>
  <c r="P51" i="2"/>
  <c r="Q51" i="2" s="1"/>
  <c r="O51" i="2"/>
  <c r="H8" i="2" s="1"/>
  <c r="AA51" i="2" s="1"/>
  <c r="AF52" i="2" s="1"/>
  <c r="Z22" i="2"/>
  <c r="X22" i="2"/>
  <c r="N22" i="2"/>
  <c r="AJ149" i="2"/>
  <c r="G22" i="2"/>
  <c r="Z21" i="2"/>
  <c r="X21" i="2"/>
  <c r="N21" i="2"/>
  <c r="AJ142" i="2"/>
  <c r="AO144" i="2" s="1"/>
  <c r="G21" i="2"/>
  <c r="Z20" i="2"/>
  <c r="X20" i="2"/>
  <c r="N20" i="2"/>
  <c r="AJ135" i="2"/>
  <c r="G20" i="2"/>
  <c r="Z19" i="2"/>
  <c r="N19" i="2"/>
  <c r="AJ128" i="2"/>
  <c r="H19" i="2"/>
  <c r="AA128" i="2" s="1"/>
  <c r="AF130" i="2" s="1"/>
  <c r="G19" i="2"/>
  <c r="Z18" i="2"/>
  <c r="N18" i="2"/>
  <c r="AJ121" i="2"/>
  <c r="G18" i="2"/>
  <c r="N17" i="2"/>
  <c r="AJ114" i="2"/>
  <c r="AO116" i="2" s="1"/>
  <c r="G17" i="2"/>
  <c r="Z16" i="2"/>
  <c r="X16" i="2"/>
  <c r="N16" i="2"/>
  <c r="AJ107" i="2"/>
  <c r="G16" i="2"/>
  <c r="Z15" i="2"/>
  <c r="N15" i="2"/>
  <c r="AJ100" i="2"/>
  <c r="G15" i="2"/>
  <c r="Z14" i="2"/>
  <c r="N14" i="2"/>
  <c r="AJ93" i="2"/>
  <c r="AO94" i="2" s="1"/>
  <c r="G14" i="2"/>
  <c r="Z13" i="2"/>
  <c r="N13" i="2"/>
  <c r="AJ86" i="2"/>
  <c r="AN87" i="2" s="1"/>
  <c r="H13" i="2"/>
  <c r="AA86" i="2" s="1"/>
  <c r="AG88" i="2" s="1"/>
  <c r="G13" i="2"/>
  <c r="Z12" i="2"/>
  <c r="N12" i="2"/>
  <c r="AJ79" i="2"/>
  <c r="AL80" i="2" s="1"/>
  <c r="G12" i="2"/>
  <c r="Z11" i="2"/>
  <c r="X11" i="2"/>
  <c r="N11" i="2"/>
  <c r="AJ72" i="2"/>
  <c r="G11" i="2"/>
  <c r="Z10" i="2"/>
  <c r="X10" i="2"/>
  <c r="N10" i="2"/>
  <c r="AJ65" i="2"/>
  <c r="AN66" i="2" s="1"/>
  <c r="G10" i="2"/>
  <c r="Z9" i="2"/>
  <c r="X9" i="2"/>
  <c r="N9" i="2"/>
  <c r="AJ58" i="2"/>
  <c r="AK58" i="2" s="1"/>
  <c r="G9" i="2"/>
  <c r="Z8" i="2"/>
  <c r="N8" i="2"/>
  <c r="AJ51" i="2"/>
  <c r="G8" i="2"/>
  <c r="R80" i="5" l="1"/>
  <c r="T101" i="5"/>
  <c r="R57" i="6"/>
  <c r="Q17" i="2"/>
  <c r="AP67" i="2"/>
  <c r="R89" i="3"/>
  <c r="T80" i="5"/>
  <c r="P93" i="3"/>
  <c r="Q79" i="5"/>
  <c r="U88" i="5"/>
  <c r="U56" i="2"/>
  <c r="T68" i="2"/>
  <c r="R89" i="2"/>
  <c r="U65" i="3"/>
  <c r="T52" i="4"/>
  <c r="S81" i="5"/>
  <c r="U57" i="2"/>
  <c r="R73" i="2"/>
  <c r="S77" i="2"/>
  <c r="U103" i="2"/>
  <c r="U72" i="5"/>
  <c r="U73" i="4"/>
  <c r="H10" i="4"/>
  <c r="AA65" i="4" s="1"/>
  <c r="AC68" i="4" s="1"/>
  <c r="Q52" i="4"/>
  <c r="H15" i="4"/>
  <c r="AA100" i="4" s="1"/>
  <c r="O15" i="4" s="1"/>
  <c r="Q57" i="3"/>
  <c r="H8" i="3"/>
  <c r="AA51" i="3" s="1"/>
  <c r="AD54" i="3" s="1"/>
  <c r="Q109" i="2"/>
  <c r="U109" i="2"/>
  <c r="U107" i="2"/>
  <c r="U108" i="2"/>
  <c r="Q101" i="2"/>
  <c r="R99" i="2"/>
  <c r="R100" i="2"/>
  <c r="U101" i="2"/>
  <c r="P97" i="2"/>
  <c r="U96" i="2"/>
  <c r="U97" i="2"/>
  <c r="Q93" i="2"/>
  <c r="R92" i="2"/>
  <c r="U93" i="2"/>
  <c r="Q88" i="2"/>
  <c r="U85" i="2"/>
  <c r="T84" i="2"/>
  <c r="U75" i="2"/>
  <c r="Q77" i="2"/>
  <c r="Q71" i="2"/>
  <c r="T69" i="2"/>
  <c r="T64" i="2"/>
  <c r="Q61" i="2"/>
  <c r="T59" i="2"/>
  <c r="U52" i="2"/>
  <c r="Q52" i="2"/>
  <c r="T79" i="3"/>
  <c r="U75" i="3"/>
  <c r="R59" i="3"/>
  <c r="Q55" i="3"/>
  <c r="R51" i="3"/>
  <c r="T51" i="3"/>
  <c r="Q100" i="3"/>
  <c r="Q96" i="3"/>
  <c r="Q97" i="3"/>
  <c r="T96" i="3"/>
  <c r="S93" i="3"/>
  <c r="U88" i="3"/>
  <c r="Q84" i="3"/>
  <c r="R85" i="3"/>
  <c r="U83" i="3"/>
  <c r="Q80" i="3"/>
  <c r="R73" i="3"/>
  <c r="U72" i="3"/>
  <c r="Q69" i="3"/>
  <c r="U69" i="3"/>
  <c r="U64" i="3"/>
  <c r="P61" i="3"/>
  <c r="U61" i="3"/>
  <c r="Q52" i="3"/>
  <c r="U96" i="4"/>
  <c r="Q69" i="4"/>
  <c r="U61" i="4"/>
  <c r="AN93" i="5"/>
  <c r="AM95" i="5"/>
  <c r="T56" i="6"/>
  <c r="R108" i="4"/>
  <c r="Q101" i="4"/>
  <c r="P81" i="4"/>
  <c r="Q80" i="4"/>
  <c r="Q81" i="4"/>
  <c r="R81" i="4"/>
  <c r="R75" i="4"/>
  <c r="P73" i="4"/>
  <c r="P65" i="4"/>
  <c r="R63" i="4"/>
  <c r="Q64" i="4"/>
  <c r="Q65" i="4"/>
  <c r="R65" i="4"/>
  <c r="P61" i="4"/>
  <c r="Q61" i="4"/>
  <c r="Q17" i="6"/>
  <c r="Q10" i="5"/>
  <c r="Q20" i="5"/>
  <c r="AM67" i="5"/>
  <c r="AO137" i="5"/>
  <c r="Q19" i="5"/>
  <c r="AJ143" i="4"/>
  <c r="T21" i="4" s="1"/>
  <c r="T51" i="2"/>
  <c r="AL61" i="2"/>
  <c r="R59" i="4"/>
  <c r="R67" i="4"/>
  <c r="R68" i="4"/>
  <c r="U84" i="4"/>
  <c r="P105" i="4"/>
  <c r="U89" i="4"/>
  <c r="S97" i="4"/>
  <c r="U56" i="4"/>
  <c r="R92" i="4"/>
  <c r="R100" i="4"/>
  <c r="U65" i="4"/>
  <c r="Q77" i="4"/>
  <c r="U81" i="4"/>
  <c r="P89" i="4"/>
  <c r="R97" i="4"/>
  <c r="Q104" i="4"/>
  <c r="R97" i="6"/>
  <c r="S97" i="6"/>
  <c r="T79" i="6"/>
  <c r="Q85" i="6"/>
  <c r="AA109" i="4"/>
  <c r="U16" i="4" s="1"/>
  <c r="O16" i="4"/>
  <c r="AC117" i="4"/>
  <c r="X17" i="4" s="1"/>
  <c r="O17" i="4"/>
  <c r="F122" i="4" s="1"/>
  <c r="O9" i="4"/>
  <c r="O20" i="4"/>
  <c r="R57" i="4"/>
  <c r="T73" i="4"/>
  <c r="T89" i="4"/>
  <c r="T57" i="4"/>
  <c r="AE135" i="4"/>
  <c r="Q56" i="4"/>
  <c r="P57" i="4"/>
  <c r="U57" i="4"/>
  <c r="T60" i="4"/>
  <c r="Q72" i="4"/>
  <c r="Q73" i="4"/>
  <c r="AE73" i="4"/>
  <c r="T76" i="4"/>
  <c r="R77" i="4"/>
  <c r="Q85" i="4"/>
  <c r="R87" i="4"/>
  <c r="Q88" i="4"/>
  <c r="Q89" i="4"/>
  <c r="T92" i="4"/>
  <c r="T100" i="4"/>
  <c r="R101" i="4"/>
  <c r="S105" i="4"/>
  <c r="AG135" i="4"/>
  <c r="Q57" i="4"/>
  <c r="T65" i="4"/>
  <c r="R73" i="4"/>
  <c r="T81" i="4"/>
  <c r="R85" i="4"/>
  <c r="R89" i="4"/>
  <c r="U108" i="4"/>
  <c r="AD138" i="4"/>
  <c r="AC110" i="3"/>
  <c r="O16" i="3"/>
  <c r="T56" i="3"/>
  <c r="U57" i="3"/>
  <c r="Q60" i="3"/>
  <c r="Q61" i="3"/>
  <c r="T73" i="3"/>
  <c r="R75" i="3"/>
  <c r="R79" i="3"/>
  <c r="Q81" i="3"/>
  <c r="R88" i="3"/>
  <c r="Q91" i="3"/>
  <c r="Q92" i="3"/>
  <c r="S97" i="3"/>
  <c r="R101" i="3"/>
  <c r="Q105" i="3"/>
  <c r="R107" i="3"/>
  <c r="O20" i="3"/>
  <c r="T59" i="3"/>
  <c r="R61" i="3"/>
  <c r="Q65" i="3"/>
  <c r="Q72" i="3"/>
  <c r="P73" i="3"/>
  <c r="U73" i="3"/>
  <c r="R76" i="3"/>
  <c r="R81" i="3"/>
  <c r="U97" i="3"/>
  <c r="T108" i="3"/>
  <c r="T61" i="3"/>
  <c r="P97" i="3"/>
  <c r="Q63" i="3"/>
  <c r="R67" i="3"/>
  <c r="T71" i="3"/>
  <c r="R83" i="3"/>
  <c r="AB86" i="3"/>
  <c r="U87" i="3"/>
  <c r="T91" i="3"/>
  <c r="T95" i="3"/>
  <c r="T99" i="3"/>
  <c r="AE135" i="3"/>
  <c r="T107" i="3"/>
  <c r="AA88" i="3"/>
  <c r="U13" i="3" s="1"/>
  <c r="O13" i="3"/>
  <c r="U67" i="3"/>
  <c r="Q95" i="3"/>
  <c r="Q109" i="5"/>
  <c r="U109" i="5"/>
  <c r="P109" i="5"/>
  <c r="T108" i="5"/>
  <c r="S109" i="5"/>
  <c r="Q95" i="5"/>
  <c r="U97" i="5"/>
  <c r="P97" i="5"/>
  <c r="Q97" i="5"/>
  <c r="T91" i="5"/>
  <c r="Q92" i="5"/>
  <c r="U92" i="5"/>
  <c r="Q84" i="5"/>
  <c r="Q81" i="5"/>
  <c r="U76" i="5"/>
  <c r="T77" i="5"/>
  <c r="Q76" i="5"/>
  <c r="T75" i="5"/>
  <c r="Q73" i="5"/>
  <c r="U73" i="5"/>
  <c r="Q68" i="5"/>
  <c r="U68" i="5"/>
  <c r="T64" i="5"/>
  <c r="U60" i="5"/>
  <c r="R61" i="5"/>
  <c r="T61" i="5"/>
  <c r="P61" i="5"/>
  <c r="U61" i="5"/>
  <c r="Q61" i="5"/>
  <c r="U55" i="5"/>
  <c r="R56" i="5"/>
  <c r="R57" i="5"/>
  <c r="U52" i="5"/>
  <c r="T51" i="5"/>
  <c r="AJ88" i="5"/>
  <c r="W13" i="5" s="1"/>
  <c r="Q13" i="5"/>
  <c r="Q63" i="5"/>
  <c r="AK65" i="5"/>
  <c r="R67" i="5"/>
  <c r="Q71" i="5"/>
  <c r="AO80" i="5"/>
  <c r="T83" i="5"/>
  <c r="Q91" i="5"/>
  <c r="T107" i="5"/>
  <c r="AM123" i="5"/>
  <c r="AM109" i="5"/>
  <c r="Q12" i="5"/>
  <c r="AP81" i="5"/>
  <c r="Q83" i="5"/>
  <c r="T95" i="5"/>
  <c r="T99" i="5"/>
  <c r="Q107" i="5"/>
  <c r="T59" i="5"/>
  <c r="T63" i="5"/>
  <c r="T67" i="5"/>
  <c r="T71" i="5"/>
  <c r="Q57" i="6"/>
  <c r="R51" i="6"/>
  <c r="Q93" i="6"/>
  <c r="T104" i="6"/>
  <c r="R93" i="6"/>
  <c r="U81" i="6"/>
  <c r="U101" i="6"/>
  <c r="R52" i="6"/>
  <c r="Q72" i="6"/>
  <c r="R76" i="6"/>
  <c r="Q95" i="6"/>
  <c r="P101" i="6"/>
  <c r="T57" i="6"/>
  <c r="Q59" i="6"/>
  <c r="Q81" i="6"/>
  <c r="U93" i="6"/>
  <c r="Q101" i="6"/>
  <c r="T105" i="6"/>
  <c r="T107" i="6"/>
  <c r="Q108" i="6"/>
  <c r="P109" i="6"/>
  <c r="P81" i="6"/>
  <c r="H8" i="6"/>
  <c r="AA51" i="6" s="1"/>
  <c r="AF52" i="6" s="1"/>
  <c r="P57" i="6"/>
  <c r="U57" i="6"/>
  <c r="U64" i="6"/>
  <c r="T76" i="6"/>
  <c r="R81" i="6"/>
  <c r="P93" i="6"/>
  <c r="R101" i="6"/>
  <c r="R55" i="6"/>
  <c r="U51" i="6"/>
  <c r="T107" i="4"/>
  <c r="AL145" i="4"/>
  <c r="T103" i="4"/>
  <c r="R103" i="4"/>
  <c r="T99" i="4"/>
  <c r="AG130" i="4"/>
  <c r="O19" i="4"/>
  <c r="R95" i="4"/>
  <c r="AA129" i="4"/>
  <c r="R19" i="4" s="1"/>
  <c r="T91" i="4"/>
  <c r="AG121" i="4"/>
  <c r="O18" i="4"/>
  <c r="AD123" i="4"/>
  <c r="AA122" i="4"/>
  <c r="R18" i="4" s="1"/>
  <c r="AE121" i="4"/>
  <c r="AE122" i="4"/>
  <c r="Q83" i="4"/>
  <c r="T79" i="4"/>
  <c r="U75" i="4"/>
  <c r="R71" i="4"/>
  <c r="H13" i="4" s="1"/>
  <c r="AA86" i="4" s="1"/>
  <c r="T71" i="4"/>
  <c r="AF81" i="4"/>
  <c r="O12" i="4"/>
  <c r="U67" i="4"/>
  <c r="T63" i="4"/>
  <c r="AE72" i="4"/>
  <c r="U59" i="4"/>
  <c r="R55" i="4"/>
  <c r="AC61" i="4"/>
  <c r="Q80" i="2"/>
  <c r="O13" i="2"/>
  <c r="H15" i="2"/>
  <c r="AA100" i="2" s="1"/>
  <c r="AC103" i="2" s="1"/>
  <c r="AD89" i="2"/>
  <c r="R91" i="2"/>
  <c r="T79" i="2"/>
  <c r="AP93" i="2"/>
  <c r="AG86" i="2"/>
  <c r="AE87" i="2"/>
  <c r="AK68" i="2"/>
  <c r="R59" i="2"/>
  <c r="AJ66" i="2"/>
  <c r="T10" i="2" s="1"/>
  <c r="AM67" i="2"/>
  <c r="U55" i="2"/>
  <c r="AA150" i="2"/>
  <c r="R22" i="2" s="1"/>
  <c r="O22" i="2"/>
  <c r="R109" i="2"/>
  <c r="R108" i="2"/>
  <c r="Q104" i="2"/>
  <c r="T100" i="2"/>
  <c r="U95" i="2"/>
  <c r="R96" i="2"/>
  <c r="Q97" i="2"/>
  <c r="T97" i="2"/>
  <c r="T92" i="2"/>
  <c r="P89" i="2"/>
  <c r="U88" i="2"/>
  <c r="T89" i="2"/>
  <c r="R83" i="2"/>
  <c r="R84" i="2"/>
  <c r="Q85" i="2"/>
  <c r="H16" i="2"/>
  <c r="AA107" i="2" s="1"/>
  <c r="Q75" i="2"/>
  <c r="T76" i="2"/>
  <c r="U77" i="2"/>
  <c r="R76" i="2"/>
  <c r="P77" i="2"/>
  <c r="T71" i="2"/>
  <c r="Q72" i="2"/>
  <c r="U72" i="2"/>
  <c r="R68" i="2"/>
  <c r="R64" i="2"/>
  <c r="Q63" i="2"/>
  <c r="T61" i="2"/>
  <c r="Q60" i="2"/>
  <c r="P61" i="2"/>
  <c r="U61" i="2"/>
  <c r="H10" i="2"/>
  <c r="AA65" i="2" s="1"/>
  <c r="AC68" i="2" s="1"/>
  <c r="U60" i="2"/>
  <c r="R61" i="2"/>
  <c r="Q55" i="2"/>
  <c r="Q57" i="2"/>
  <c r="AB152" i="2"/>
  <c r="AD131" i="2"/>
  <c r="X19" i="2" s="1"/>
  <c r="AE128" i="2"/>
  <c r="AE129" i="2"/>
  <c r="AF80" i="2"/>
  <c r="AG79" i="2"/>
  <c r="AD81" i="2"/>
  <c r="U87" i="2"/>
  <c r="R67" i="6"/>
  <c r="U67" i="6"/>
  <c r="Q87" i="6"/>
  <c r="H17" i="6" s="1"/>
  <c r="AA114" i="6" s="1"/>
  <c r="R91" i="6"/>
  <c r="AJ143" i="6"/>
  <c r="T21" i="6" s="1"/>
  <c r="AL145" i="6"/>
  <c r="Q21" i="6"/>
  <c r="U103" i="6"/>
  <c r="R103" i="6"/>
  <c r="R107" i="6"/>
  <c r="R104" i="6"/>
  <c r="Q105" i="6"/>
  <c r="T99" i="6"/>
  <c r="T101" i="6"/>
  <c r="R99" i="6"/>
  <c r="U95" i="6"/>
  <c r="T91" i="6"/>
  <c r="T93" i="6"/>
  <c r="U87" i="6"/>
  <c r="AD109" i="6"/>
  <c r="AD110" i="6"/>
  <c r="AA108" i="6"/>
  <c r="R16" i="6" s="1"/>
  <c r="T85" i="6"/>
  <c r="R83" i="6"/>
  <c r="P85" i="6"/>
  <c r="U85" i="6"/>
  <c r="T83" i="6"/>
  <c r="U84" i="6"/>
  <c r="R85" i="6"/>
  <c r="T81" i="6"/>
  <c r="Q80" i="6"/>
  <c r="R75" i="6"/>
  <c r="Q73" i="6"/>
  <c r="T71" i="6"/>
  <c r="R73" i="6"/>
  <c r="T73" i="6"/>
  <c r="H13" i="6"/>
  <c r="AA86" i="6" s="1"/>
  <c r="O13" i="6" s="1"/>
  <c r="R71" i="6"/>
  <c r="P73" i="6"/>
  <c r="U73" i="6"/>
  <c r="AB82" i="6"/>
  <c r="AA81" i="6"/>
  <c r="U12" i="6" s="1"/>
  <c r="R68" i="6"/>
  <c r="U69" i="6"/>
  <c r="T68" i="6"/>
  <c r="T65" i="6"/>
  <c r="H11" i="6"/>
  <c r="AA72" i="6" s="1"/>
  <c r="AB75" i="6" s="1"/>
  <c r="Q64" i="6"/>
  <c r="P65" i="6"/>
  <c r="T63" i="6"/>
  <c r="Q65" i="6"/>
  <c r="U65" i="6"/>
  <c r="R65" i="6"/>
  <c r="T60" i="6"/>
  <c r="AM68" i="6"/>
  <c r="AJ67" i="6"/>
  <c r="W10" i="6" s="1"/>
  <c r="AO66" i="6"/>
  <c r="AP65" i="6"/>
  <c r="AK68" i="6"/>
  <c r="AO67" i="6"/>
  <c r="AL66" i="6"/>
  <c r="AK65" i="6"/>
  <c r="AM67" i="6"/>
  <c r="Q10" i="6"/>
  <c r="AP67" i="6"/>
  <c r="AN66" i="6"/>
  <c r="AN65" i="6"/>
  <c r="AJ66" i="6"/>
  <c r="T10" i="6" s="1"/>
  <c r="AL68" i="6"/>
  <c r="AK96" i="6"/>
  <c r="AO95" i="6"/>
  <c r="AL94" i="6"/>
  <c r="AK93" i="6"/>
  <c r="AL96" i="6"/>
  <c r="AN93" i="6"/>
  <c r="AM95" i="6"/>
  <c r="AN94" i="6"/>
  <c r="Q14" i="6"/>
  <c r="AJ95" i="6"/>
  <c r="W14" i="6" s="1"/>
  <c r="AO94" i="6"/>
  <c r="AM96" i="6"/>
  <c r="AP95" i="6"/>
  <c r="AP93" i="6"/>
  <c r="AJ94" i="6"/>
  <c r="T14" i="6" s="1"/>
  <c r="AC138" i="6"/>
  <c r="AD137" i="6"/>
  <c r="AC136" i="6"/>
  <c r="AB135" i="6"/>
  <c r="AB138" i="6"/>
  <c r="AA137" i="6"/>
  <c r="U20" i="6" s="1"/>
  <c r="AA136" i="6"/>
  <c r="R20" i="6" s="1"/>
  <c r="AG137" i="6"/>
  <c r="AF136" i="6"/>
  <c r="AG135" i="6"/>
  <c r="AF137" i="6"/>
  <c r="O20" i="6"/>
  <c r="AE136" i="6"/>
  <c r="AD138" i="6"/>
  <c r="AE135" i="6"/>
  <c r="AL54" i="6"/>
  <c r="AJ53" i="6"/>
  <c r="W8" i="6" s="1"/>
  <c r="AO52" i="6"/>
  <c r="AN51" i="6"/>
  <c r="AM53" i="6"/>
  <c r="AL52" i="6"/>
  <c r="AK51" i="6"/>
  <c r="Q8" i="6" s="1"/>
  <c r="AJ52" i="6"/>
  <c r="T8" i="6" s="1"/>
  <c r="AM54" i="6"/>
  <c r="AP53" i="6"/>
  <c r="AP51" i="6"/>
  <c r="AK54" i="6"/>
  <c r="Z8" i="6" s="1"/>
  <c r="AO53" i="6"/>
  <c r="AN52" i="6"/>
  <c r="AK82" i="6"/>
  <c r="AP81" i="6"/>
  <c r="AN80" i="6"/>
  <c r="AK79" i="6"/>
  <c r="AM82" i="6"/>
  <c r="AM81" i="6"/>
  <c r="AJ80" i="6"/>
  <c r="T12" i="6" s="1"/>
  <c r="AP79" i="6"/>
  <c r="AO81" i="6"/>
  <c r="Q12" i="6"/>
  <c r="AO80" i="6"/>
  <c r="AL80" i="6"/>
  <c r="AN79" i="6"/>
  <c r="AL82" i="6"/>
  <c r="AJ81" i="6"/>
  <c r="W12" i="6" s="1"/>
  <c r="AB124" i="6"/>
  <c r="AG123" i="6"/>
  <c r="AE122" i="6"/>
  <c r="AB121" i="6"/>
  <c r="O18" i="6" s="1"/>
  <c r="AF123" i="6"/>
  <c r="AC122" i="6"/>
  <c r="AC124" i="6"/>
  <c r="AF122" i="6"/>
  <c r="AG121" i="6"/>
  <c r="AD123" i="6"/>
  <c r="AE121" i="6"/>
  <c r="AA122" i="6"/>
  <c r="R18" i="6" s="1"/>
  <c r="AD124" i="6"/>
  <c r="AA123" i="6"/>
  <c r="U18" i="6" s="1"/>
  <c r="AD61" i="6"/>
  <c r="AD60" i="6"/>
  <c r="AA59" i="6"/>
  <c r="R9" i="6" s="1"/>
  <c r="AB61" i="6"/>
  <c r="AG60" i="6"/>
  <c r="AE59" i="6"/>
  <c r="AB58" i="6"/>
  <c r="AC59" i="6"/>
  <c r="O9" i="6"/>
  <c r="AF60" i="6"/>
  <c r="AG58" i="6"/>
  <c r="AC61" i="6"/>
  <c r="AA60" i="6"/>
  <c r="U9" i="6" s="1"/>
  <c r="AF59" i="6"/>
  <c r="AE58" i="6"/>
  <c r="AF95" i="6"/>
  <c r="AC94" i="6"/>
  <c r="AB93" i="6"/>
  <c r="AG95" i="6"/>
  <c r="AF94" i="6"/>
  <c r="AC96" i="6"/>
  <c r="AA95" i="6"/>
  <c r="U14" i="6" s="1"/>
  <c r="AA94" i="6"/>
  <c r="R14" i="6" s="1"/>
  <c r="AG93" i="6"/>
  <c r="AD96" i="6"/>
  <c r="AE94" i="6"/>
  <c r="AE93" i="6"/>
  <c r="AB96" i="6"/>
  <c r="O14" i="6"/>
  <c r="AD95" i="6"/>
  <c r="AM60" i="6"/>
  <c r="AJ59" i="6"/>
  <c r="T9" i="6" s="1"/>
  <c r="AL61" i="6"/>
  <c r="AP60" i="6"/>
  <c r="AN59" i="6"/>
  <c r="AK58" i="6"/>
  <c r="AO60" i="6"/>
  <c r="AN58" i="6"/>
  <c r="Q9" i="6"/>
  <c r="AK61" i="6"/>
  <c r="AM61" i="6"/>
  <c r="AJ60" i="6"/>
  <c r="W9" i="6" s="1"/>
  <c r="AO59" i="6"/>
  <c r="AL59" i="6"/>
  <c r="AP58" i="6"/>
  <c r="AL89" i="6"/>
  <c r="AP88" i="6"/>
  <c r="AN87" i="6"/>
  <c r="AK86" i="6"/>
  <c r="AO88" i="6"/>
  <c r="AL87" i="6"/>
  <c r="AN86" i="6"/>
  <c r="AM89" i="6"/>
  <c r="AJ88" i="6"/>
  <c r="W13" i="6" s="1"/>
  <c r="AM88" i="6"/>
  <c r="Q13" i="6"/>
  <c r="AO87" i="6"/>
  <c r="AK89" i="6"/>
  <c r="AJ87" i="6"/>
  <c r="T13" i="6" s="1"/>
  <c r="AP86" i="6"/>
  <c r="AG130" i="6"/>
  <c r="AF129" i="6"/>
  <c r="AG128" i="6"/>
  <c r="AD131" i="6"/>
  <c r="AF130" i="6"/>
  <c r="AE129" i="6"/>
  <c r="AE128" i="6"/>
  <c r="AC131" i="6"/>
  <c r="AD130" i="6"/>
  <c r="AC129" i="6"/>
  <c r="AB128" i="6"/>
  <c r="AA130" i="6"/>
  <c r="U19" i="6" s="1"/>
  <c r="AB131" i="6"/>
  <c r="O19" i="6"/>
  <c r="AA129" i="6"/>
  <c r="R19" i="6" s="1"/>
  <c r="AL75" i="6"/>
  <c r="AP74" i="6"/>
  <c r="AO73" i="6"/>
  <c r="AN72" i="6"/>
  <c r="AM74" i="6"/>
  <c r="AL73" i="6"/>
  <c r="AL110" i="6"/>
  <c r="AJ109" i="6"/>
  <c r="W16" i="6" s="1"/>
  <c r="AO108" i="6"/>
  <c r="AN107" i="6"/>
  <c r="AK110" i="6"/>
  <c r="AP109" i="6"/>
  <c r="AN108" i="6"/>
  <c r="AK107" i="6"/>
  <c r="AO109" i="6"/>
  <c r="AL108" i="6"/>
  <c r="AM110" i="6"/>
  <c r="AL124" i="6"/>
  <c r="AP123" i="6"/>
  <c r="AN122" i="6"/>
  <c r="AK121" i="6"/>
  <c r="AK124" i="6"/>
  <c r="AO123" i="6"/>
  <c r="AL122" i="6"/>
  <c r="AM124" i="6"/>
  <c r="AJ123" i="6"/>
  <c r="W18" i="6" s="1"/>
  <c r="AO122" i="6"/>
  <c r="AP121" i="6"/>
  <c r="AM138" i="6"/>
  <c r="AM137" i="6"/>
  <c r="AL136" i="6"/>
  <c r="AK135" i="6"/>
  <c r="AL138" i="6"/>
  <c r="AJ137" i="6"/>
  <c r="W20" i="6" s="1"/>
  <c r="AJ136" i="6"/>
  <c r="T20" i="6" s="1"/>
  <c r="AO136" i="6"/>
  <c r="AP135" i="6"/>
  <c r="AK138" i="6"/>
  <c r="AP137" i="6"/>
  <c r="AN136" i="6"/>
  <c r="AN135" i="6"/>
  <c r="T61" i="6"/>
  <c r="P61" i="6"/>
  <c r="R61" i="6"/>
  <c r="AO74" i="6"/>
  <c r="AK75" i="6"/>
  <c r="U88" i="6"/>
  <c r="T88" i="6"/>
  <c r="AP102" i="6"/>
  <c r="AG144" i="6"/>
  <c r="AF143" i="6"/>
  <c r="AG142" i="6"/>
  <c r="AD145" i="6"/>
  <c r="AF144" i="6"/>
  <c r="AE143" i="6"/>
  <c r="AE142" i="6"/>
  <c r="AC145" i="6"/>
  <c r="AD144" i="6"/>
  <c r="AC143" i="6"/>
  <c r="AB142" i="6"/>
  <c r="AB145" i="6"/>
  <c r="AA143" i="6"/>
  <c r="R21" i="6" s="1"/>
  <c r="AA144" i="6"/>
  <c r="U21" i="6" s="1"/>
  <c r="O21" i="6"/>
  <c r="Q56" i="6"/>
  <c r="Q61" i="6"/>
  <c r="R63" i="6"/>
  <c r="AG81" i="6"/>
  <c r="AE80" i="6"/>
  <c r="AB79" i="6"/>
  <c r="AC82" i="6"/>
  <c r="AD81" i="6"/>
  <c r="AA80" i="6"/>
  <c r="R12" i="6" s="1"/>
  <c r="AG79" i="6"/>
  <c r="U80" i="6"/>
  <c r="AF81" i="6"/>
  <c r="AD82" i="6"/>
  <c r="U92" i="6"/>
  <c r="U100" i="6"/>
  <c r="AN149" i="6"/>
  <c r="O12" i="6"/>
  <c r="O15" i="6"/>
  <c r="O16" i="6"/>
  <c r="Q20" i="6"/>
  <c r="Q22" i="6"/>
  <c r="T52" i="6"/>
  <c r="T55" i="6"/>
  <c r="U59" i="6"/>
  <c r="S61" i="6"/>
  <c r="U72" i="6"/>
  <c r="AP72" i="6"/>
  <c r="U75" i="6"/>
  <c r="R79" i="6"/>
  <c r="AE79" i="6"/>
  <c r="AC80" i="6"/>
  <c r="AE100" i="6"/>
  <c r="AG107" i="6"/>
  <c r="AJ108" i="6"/>
  <c r="T16" i="6" s="1"/>
  <c r="AN114" i="6"/>
  <c r="AN115" i="6"/>
  <c r="AP116" i="6"/>
  <c r="AJ122" i="6"/>
  <c r="T18" i="6" s="1"/>
  <c r="AM102" i="6"/>
  <c r="AL101" i="6"/>
  <c r="AM103" i="6"/>
  <c r="AO102" i="6"/>
  <c r="AK103" i="6"/>
  <c r="AN101" i="6"/>
  <c r="AN100" i="6"/>
  <c r="AK117" i="6"/>
  <c r="AO116" i="6"/>
  <c r="AL115" i="6"/>
  <c r="AM116" i="6"/>
  <c r="AJ115" i="6"/>
  <c r="AP114" i="6"/>
  <c r="AJ116" i="6"/>
  <c r="W17" i="6" s="1"/>
  <c r="AL117" i="6"/>
  <c r="Z17" i="6" s="1"/>
  <c r="AO115" i="6"/>
  <c r="AK114" i="6"/>
  <c r="AK131" i="6"/>
  <c r="AP130" i="6"/>
  <c r="AO129" i="6"/>
  <c r="AP128" i="6"/>
  <c r="AO130" i="6"/>
  <c r="AN129" i="6"/>
  <c r="AN128" i="6"/>
  <c r="AM131" i="6"/>
  <c r="AM130" i="6"/>
  <c r="AL129" i="6"/>
  <c r="AK128" i="6"/>
  <c r="AJ130" i="6"/>
  <c r="W19" i="6" s="1"/>
  <c r="AL131" i="6"/>
  <c r="AJ129" i="6"/>
  <c r="T19" i="6" s="1"/>
  <c r="AM152" i="6"/>
  <c r="AM151" i="6"/>
  <c r="AL150" i="6"/>
  <c r="AK149" i="6"/>
  <c r="AL152" i="6"/>
  <c r="AJ151" i="6"/>
  <c r="W22" i="6" s="1"/>
  <c r="AJ150" i="6"/>
  <c r="T22" i="6" s="1"/>
  <c r="AK152" i="6"/>
  <c r="AP151" i="6"/>
  <c r="AO150" i="6"/>
  <c r="AP149" i="6"/>
  <c r="AN73" i="6"/>
  <c r="R77" i="6"/>
  <c r="T77" i="6"/>
  <c r="P77" i="6"/>
  <c r="R89" i="6"/>
  <c r="S89" i="6"/>
  <c r="U89" i="6"/>
  <c r="P89" i="6"/>
  <c r="Q96" i="6"/>
  <c r="R96" i="6"/>
  <c r="AP100" i="6"/>
  <c r="AJ101" i="6"/>
  <c r="T15" i="6" s="1"/>
  <c r="R60" i="6"/>
  <c r="R69" i="6"/>
  <c r="T69" i="6"/>
  <c r="P69" i="6"/>
  <c r="AK72" i="6"/>
  <c r="AM75" i="6"/>
  <c r="Q77" i="6"/>
  <c r="R84" i="6"/>
  <c r="Q84" i="6"/>
  <c r="Q89" i="6"/>
  <c r="U96" i="6"/>
  <c r="T96" i="6"/>
  <c r="AO101" i="6"/>
  <c r="AM123" i="6"/>
  <c r="AK145" i="6"/>
  <c r="AP144" i="6"/>
  <c r="AO143" i="6"/>
  <c r="AP142" i="6"/>
  <c r="AO144" i="6"/>
  <c r="AN143" i="6"/>
  <c r="AN142" i="6"/>
  <c r="AM145" i="6"/>
  <c r="AM144" i="6"/>
  <c r="AL143" i="6"/>
  <c r="AK142" i="6"/>
  <c r="H10" i="6"/>
  <c r="AA65" i="6" s="1"/>
  <c r="Q11" i="6"/>
  <c r="AD103" i="6"/>
  <c r="AD102" i="6"/>
  <c r="AC101" i="6"/>
  <c r="AB103" i="6"/>
  <c r="AA102" i="6"/>
  <c r="U15" i="6" s="1"/>
  <c r="AF101" i="6"/>
  <c r="AG100" i="6"/>
  <c r="AG102" i="6"/>
  <c r="AA101" i="6"/>
  <c r="R15" i="6" s="1"/>
  <c r="AB100" i="6"/>
  <c r="Q15" i="6"/>
  <c r="AB110" i="6"/>
  <c r="AA109" i="6"/>
  <c r="U16" i="6" s="1"/>
  <c r="AF108" i="6"/>
  <c r="AE107" i="6"/>
  <c r="AG109" i="6"/>
  <c r="AE108" i="6"/>
  <c r="AB107" i="6"/>
  <c r="AC110" i="6"/>
  <c r="AC108" i="6"/>
  <c r="AF109" i="6"/>
  <c r="Q16" i="6"/>
  <c r="AA115" i="6"/>
  <c r="AE114" i="6"/>
  <c r="Q18" i="6"/>
  <c r="Q19" i="6"/>
  <c r="AC152" i="6"/>
  <c r="AD151" i="6"/>
  <c r="AC150" i="6"/>
  <c r="AB149" i="6"/>
  <c r="AB152" i="6"/>
  <c r="AA151" i="6"/>
  <c r="U22" i="6" s="1"/>
  <c r="AA150" i="6"/>
  <c r="R22" i="6" s="1"/>
  <c r="AG151" i="6"/>
  <c r="AF150" i="6"/>
  <c r="AG149" i="6"/>
  <c r="AD152" i="6"/>
  <c r="AE150" i="6"/>
  <c r="AF151" i="6"/>
  <c r="AE149" i="6"/>
  <c r="O22" i="6"/>
  <c r="U61" i="6"/>
  <c r="S69" i="6"/>
  <c r="AJ73" i="6"/>
  <c r="T11" i="6" s="1"/>
  <c r="AJ74" i="6"/>
  <c r="W11" i="6" s="1"/>
  <c r="U77" i="6"/>
  <c r="AF80" i="6"/>
  <c r="Q88" i="6"/>
  <c r="R88" i="6"/>
  <c r="R92" i="6"/>
  <c r="Q92" i="6"/>
  <c r="R100" i="6"/>
  <c r="Q100" i="6"/>
  <c r="AK100" i="6"/>
  <c r="AE101" i="6"/>
  <c r="AJ102" i="6"/>
  <c r="W15" i="6" s="1"/>
  <c r="AC103" i="6"/>
  <c r="AP107" i="6"/>
  <c r="AM109" i="6"/>
  <c r="AN121" i="6"/>
  <c r="AO137" i="6"/>
  <c r="AJ144" i="6"/>
  <c r="W21" i="6" s="1"/>
  <c r="AO151" i="6"/>
  <c r="T97" i="6"/>
  <c r="P97" i="6"/>
  <c r="U97" i="6"/>
  <c r="R109" i="6"/>
  <c r="U109" i="6"/>
  <c r="Q109" i="6"/>
  <c r="T109" i="6"/>
  <c r="R105" i="6"/>
  <c r="U105" i="6"/>
  <c r="P105" i="6"/>
  <c r="U108" i="6"/>
  <c r="T108" i="6"/>
  <c r="AC54" i="5"/>
  <c r="AD53" i="5"/>
  <c r="AA52" i="5"/>
  <c r="R8" i="5" s="1"/>
  <c r="AG51" i="5"/>
  <c r="AA53" i="5"/>
  <c r="U8" i="5" s="1"/>
  <c r="AE52" i="5"/>
  <c r="AB51" i="5"/>
  <c r="O8" i="5"/>
  <c r="AF52" i="5"/>
  <c r="AD54" i="5"/>
  <c r="AG53" i="5"/>
  <c r="AC52" i="5"/>
  <c r="AB54" i="5"/>
  <c r="X8" i="5" s="1"/>
  <c r="AF53" i="5"/>
  <c r="AE51" i="5"/>
  <c r="AB68" i="5"/>
  <c r="AG67" i="5"/>
  <c r="AE66" i="5"/>
  <c r="AE65" i="5"/>
  <c r="AF67" i="5"/>
  <c r="AC66" i="5"/>
  <c r="AA67" i="5"/>
  <c r="U10" i="5" s="1"/>
  <c r="AF66" i="5"/>
  <c r="AG65" i="5"/>
  <c r="O10" i="5"/>
  <c r="AD68" i="5"/>
  <c r="AA66" i="5"/>
  <c r="R10" i="5" s="1"/>
  <c r="AB65" i="5"/>
  <c r="AC68" i="5"/>
  <c r="AD67" i="5"/>
  <c r="AC96" i="5"/>
  <c r="AA95" i="5"/>
  <c r="AF94" i="5"/>
  <c r="AG93" i="5"/>
  <c r="AB96" i="5"/>
  <c r="X14" i="5" s="1"/>
  <c r="AF95" i="5"/>
  <c r="AC94" i="5"/>
  <c r="AE94" i="5"/>
  <c r="AE93" i="5"/>
  <c r="AD96" i="5"/>
  <c r="AG95" i="5"/>
  <c r="AD95" i="5"/>
  <c r="AB93" i="5"/>
  <c r="O14" i="5" s="1"/>
  <c r="AA94" i="5"/>
  <c r="AB103" i="5"/>
  <c r="AG102" i="5"/>
  <c r="AF101" i="5"/>
  <c r="AE100" i="5"/>
  <c r="AF102" i="5"/>
  <c r="AA101" i="5"/>
  <c r="R15" i="5" s="1"/>
  <c r="AC103" i="5"/>
  <c r="AA102" i="5"/>
  <c r="U15" i="5" s="1"/>
  <c r="AE101" i="5"/>
  <c r="AB100" i="5"/>
  <c r="AD103" i="5"/>
  <c r="O15" i="5"/>
  <c r="F120" i="5" s="1"/>
  <c r="AD102" i="5"/>
  <c r="AC101" i="5"/>
  <c r="AG100" i="5"/>
  <c r="AM54" i="5"/>
  <c r="AM53" i="5"/>
  <c r="AJ52" i="5"/>
  <c r="T8" i="5" s="1"/>
  <c r="AP51" i="5"/>
  <c r="AK54" i="5"/>
  <c r="AO53" i="5"/>
  <c r="AO52" i="5"/>
  <c r="AN51" i="5"/>
  <c r="AP53" i="5"/>
  <c r="AL52" i="5"/>
  <c r="AL54" i="5"/>
  <c r="AJ53" i="5"/>
  <c r="W8" i="5" s="1"/>
  <c r="AK51" i="5"/>
  <c r="AN52" i="5"/>
  <c r="Q8" i="5"/>
  <c r="AK75" i="5"/>
  <c r="AO74" i="5"/>
  <c r="AN73" i="5"/>
  <c r="AK72" i="5"/>
  <c r="AM74" i="5"/>
  <c r="AL75" i="5"/>
  <c r="AJ74" i="5"/>
  <c r="W11" i="5" s="1"/>
  <c r="AO73" i="5"/>
  <c r="AN72" i="5"/>
  <c r="AP74" i="5"/>
  <c r="AL73" i="5"/>
  <c r="AP72" i="5"/>
  <c r="AM75" i="5"/>
  <c r="AJ73" i="5"/>
  <c r="T11" i="5" s="1"/>
  <c r="Q11" i="5"/>
  <c r="AD89" i="5"/>
  <c r="AD88" i="5"/>
  <c r="AA87" i="5"/>
  <c r="R13" i="5" s="1"/>
  <c r="AG86" i="5"/>
  <c r="AF88" i="5"/>
  <c r="AF87" i="5"/>
  <c r="AE86" i="5"/>
  <c r="AB86" i="5"/>
  <c r="AA88" i="5"/>
  <c r="U13" i="5" s="1"/>
  <c r="O13" i="5"/>
  <c r="AC89" i="5"/>
  <c r="AE87" i="5"/>
  <c r="AB89" i="5"/>
  <c r="AC87" i="5"/>
  <c r="AG88" i="5"/>
  <c r="AC152" i="5"/>
  <c r="AD151" i="5"/>
  <c r="AC150" i="5"/>
  <c r="AB149" i="5"/>
  <c r="AF151" i="5"/>
  <c r="AE149" i="5"/>
  <c r="AB152" i="5"/>
  <c r="AA151" i="5"/>
  <c r="U22" i="5" s="1"/>
  <c r="AE150" i="5"/>
  <c r="AG149" i="5"/>
  <c r="AD152" i="5"/>
  <c r="AF150" i="5"/>
  <c r="AA150" i="5"/>
  <c r="R22" i="5" s="1"/>
  <c r="AG151" i="5"/>
  <c r="O22" i="5"/>
  <c r="AM61" i="5"/>
  <c r="AJ60" i="5"/>
  <c r="W9" i="5" s="1"/>
  <c r="AO59" i="5"/>
  <c r="AN58" i="5"/>
  <c r="AP60" i="5"/>
  <c r="AN59" i="5"/>
  <c r="AK58" i="5"/>
  <c r="AM60" i="5"/>
  <c r="AL59" i="5"/>
  <c r="AP58" i="5"/>
  <c r="AL61" i="5"/>
  <c r="AJ59" i="5"/>
  <c r="T9" i="5" s="1"/>
  <c r="AK61" i="5"/>
  <c r="AO60" i="5"/>
  <c r="Q9" i="5"/>
  <c r="AM152" i="5"/>
  <c r="AM151" i="5"/>
  <c r="AL150" i="5"/>
  <c r="AK149" i="5"/>
  <c r="AL152" i="5"/>
  <c r="AP151" i="5"/>
  <c r="AJ150" i="5"/>
  <c r="T22" i="5" s="1"/>
  <c r="AP149" i="5"/>
  <c r="AK152" i="5"/>
  <c r="AJ151" i="5"/>
  <c r="W22" i="5" s="1"/>
  <c r="AN150" i="5"/>
  <c r="AN149" i="5"/>
  <c r="AO151" i="5"/>
  <c r="AO150" i="5"/>
  <c r="Q22" i="5"/>
  <c r="AC61" i="5"/>
  <c r="AA60" i="5"/>
  <c r="U9" i="5" s="1"/>
  <c r="AF59" i="5"/>
  <c r="AE58" i="5"/>
  <c r="AD61" i="5"/>
  <c r="AF60" i="5"/>
  <c r="AC59" i="5"/>
  <c r="AF74" i="5"/>
  <c r="AE73" i="5"/>
  <c r="AB72" i="5"/>
  <c r="AC75" i="5"/>
  <c r="AC73" i="5"/>
  <c r="AD82" i="5"/>
  <c r="AF81" i="5"/>
  <c r="AC80" i="5"/>
  <c r="AC82" i="5"/>
  <c r="AF80" i="5"/>
  <c r="AG81" i="5"/>
  <c r="AB110" i="5"/>
  <c r="AA109" i="5"/>
  <c r="U16" i="5" s="1"/>
  <c r="AF108" i="5"/>
  <c r="AE107" i="5"/>
  <c r="AC110" i="5"/>
  <c r="AG109" i="5"/>
  <c r="AE108" i="5"/>
  <c r="AB107" i="5"/>
  <c r="AD110" i="5"/>
  <c r="AF109" i="5"/>
  <c r="AC108" i="5"/>
  <c r="AG107" i="5"/>
  <c r="AB124" i="5"/>
  <c r="AG123" i="5"/>
  <c r="AE122" i="5"/>
  <c r="AB121" i="5"/>
  <c r="AF123" i="5"/>
  <c r="AC122" i="5"/>
  <c r="AA123" i="5"/>
  <c r="U18" i="5" s="1"/>
  <c r="AA122" i="5"/>
  <c r="R18" i="5" s="1"/>
  <c r="AE121" i="5"/>
  <c r="AC124" i="5"/>
  <c r="AF122" i="5"/>
  <c r="AG121" i="5"/>
  <c r="AG130" i="5"/>
  <c r="AF129" i="5"/>
  <c r="AG128" i="5"/>
  <c r="AD130" i="5"/>
  <c r="AB128" i="5"/>
  <c r="AD131" i="5"/>
  <c r="AB131" i="5"/>
  <c r="AA130" i="5"/>
  <c r="U19" i="5" s="1"/>
  <c r="AC129" i="5"/>
  <c r="AE128" i="5"/>
  <c r="AF130" i="5"/>
  <c r="AC138" i="5"/>
  <c r="AD137" i="5"/>
  <c r="AC136" i="5"/>
  <c r="AB135" i="5"/>
  <c r="AB138" i="5"/>
  <c r="AF137" i="5"/>
  <c r="AF136" i="5"/>
  <c r="AE136" i="5"/>
  <c r="AG135" i="5"/>
  <c r="AA137" i="5"/>
  <c r="U20" i="5" s="1"/>
  <c r="AG137" i="5"/>
  <c r="AA136" i="5"/>
  <c r="R20" i="5" s="1"/>
  <c r="H125" i="5" s="1"/>
  <c r="AD138" i="5"/>
  <c r="AG144" i="5"/>
  <c r="AF143" i="5"/>
  <c r="AG142" i="5"/>
  <c r="AD145" i="5"/>
  <c r="AA144" i="5"/>
  <c r="U21" i="5" s="1"/>
  <c r="AE143" i="5"/>
  <c r="AA143" i="5"/>
  <c r="R21" i="5" s="1"/>
  <c r="AB142" i="5"/>
  <c r="AC145" i="5"/>
  <c r="AF144" i="5"/>
  <c r="AB145" i="5"/>
  <c r="AC143" i="5"/>
  <c r="Q51" i="5"/>
  <c r="R51" i="5"/>
  <c r="R55" i="5"/>
  <c r="Q55" i="5"/>
  <c r="AG58" i="5"/>
  <c r="Q59" i="5"/>
  <c r="R59" i="5"/>
  <c r="AE59" i="5"/>
  <c r="U69" i="5"/>
  <c r="Q69" i="5"/>
  <c r="R69" i="5"/>
  <c r="AG72" i="5"/>
  <c r="AF73" i="5"/>
  <c r="AD74" i="5"/>
  <c r="Q75" i="5"/>
  <c r="R75" i="5"/>
  <c r="AD75" i="5"/>
  <c r="AB79" i="5"/>
  <c r="AE80" i="5"/>
  <c r="AD81" i="5"/>
  <c r="AN86" i="5"/>
  <c r="T87" i="5"/>
  <c r="U87" i="5"/>
  <c r="AO87" i="5"/>
  <c r="AA108" i="5"/>
  <c r="R16" i="5" s="1"/>
  <c r="AE142" i="5"/>
  <c r="AL68" i="5"/>
  <c r="AP67" i="5"/>
  <c r="AN66" i="5"/>
  <c r="AN65" i="5"/>
  <c r="AK68" i="5"/>
  <c r="AO66" i="5"/>
  <c r="AO81" i="5"/>
  <c r="AL80" i="5"/>
  <c r="AJ81" i="5"/>
  <c r="W12" i="5" s="1"/>
  <c r="AK79" i="5"/>
  <c r="AK82" i="5"/>
  <c r="AN80" i="5"/>
  <c r="AN79" i="5"/>
  <c r="AM96" i="5"/>
  <c r="AJ95" i="5"/>
  <c r="W14" i="5" s="1"/>
  <c r="AO94" i="5"/>
  <c r="AP93" i="5"/>
  <c r="AK96" i="5"/>
  <c r="Z14" i="5" s="1"/>
  <c r="AP95" i="5"/>
  <c r="AN94" i="5"/>
  <c r="AL96" i="5"/>
  <c r="AO95" i="5"/>
  <c r="AL103" i="5"/>
  <c r="AP102" i="5"/>
  <c r="AO101" i="5"/>
  <c r="AN100" i="5"/>
  <c r="AK103" i="5"/>
  <c r="AL101" i="5"/>
  <c r="AM102" i="5"/>
  <c r="AP100" i="5"/>
  <c r="AN101" i="5"/>
  <c r="AO102" i="5"/>
  <c r="AJ101" i="5"/>
  <c r="T15" i="5" s="1"/>
  <c r="AL110" i="5"/>
  <c r="AJ109" i="5"/>
  <c r="W16" i="5" s="1"/>
  <c r="AO108" i="5"/>
  <c r="AN107" i="5"/>
  <c r="AP107" i="5"/>
  <c r="AL108" i="5"/>
  <c r="AM110" i="5"/>
  <c r="AO109" i="5"/>
  <c r="AK110" i="5"/>
  <c r="AK107" i="5"/>
  <c r="AP109" i="5"/>
  <c r="AN108" i="5"/>
  <c r="AK117" i="5"/>
  <c r="AO116" i="5"/>
  <c r="AL115" i="5"/>
  <c r="AL117" i="5"/>
  <c r="Z17" i="5" s="1"/>
  <c r="AO115" i="5"/>
  <c r="AP114" i="5"/>
  <c r="AM116" i="5"/>
  <c r="AN115" i="5"/>
  <c r="AK114" i="5"/>
  <c r="AJ116" i="5"/>
  <c r="W17" i="5" s="1"/>
  <c r="AJ115" i="5"/>
  <c r="AN114" i="5"/>
  <c r="AL124" i="5"/>
  <c r="AP123" i="5"/>
  <c r="AN122" i="5"/>
  <c r="AK121" i="5"/>
  <c r="AK124" i="5"/>
  <c r="AO122" i="5"/>
  <c r="AN121" i="5"/>
  <c r="AM124" i="5"/>
  <c r="AO123" i="5"/>
  <c r="AJ123" i="5"/>
  <c r="W18" i="5" s="1"/>
  <c r="AJ122" i="5"/>
  <c r="T18" i="5" s="1"/>
  <c r="AP121" i="5"/>
  <c r="AK131" i="5"/>
  <c r="AP130" i="5"/>
  <c r="AO129" i="5"/>
  <c r="AP128" i="5"/>
  <c r="AL131" i="5"/>
  <c r="AO130" i="5"/>
  <c r="AJ129" i="5"/>
  <c r="T19" i="5" s="1"/>
  <c r="AN128" i="5"/>
  <c r="AJ130" i="5"/>
  <c r="W19" i="5" s="1"/>
  <c r="AL129" i="5"/>
  <c r="AK128" i="5"/>
  <c r="AM131" i="5"/>
  <c r="AN129" i="5"/>
  <c r="AM138" i="5"/>
  <c r="AM137" i="5"/>
  <c r="AL136" i="5"/>
  <c r="AK135" i="5"/>
  <c r="AP137" i="5"/>
  <c r="AN135" i="5"/>
  <c r="AJ137" i="5"/>
  <c r="W20" i="5" s="1"/>
  <c r="AK138" i="5"/>
  <c r="AN136" i="5"/>
  <c r="AP135" i="5"/>
  <c r="AL138" i="5"/>
  <c r="AK145" i="5"/>
  <c r="AP144" i="5"/>
  <c r="AO143" i="5"/>
  <c r="AP142" i="5"/>
  <c r="AM144" i="5"/>
  <c r="AK142" i="5"/>
  <c r="AM145" i="5"/>
  <c r="AO144" i="5"/>
  <c r="AN143" i="5"/>
  <c r="AJ143" i="5"/>
  <c r="T21" i="5" s="1"/>
  <c r="AL145" i="5"/>
  <c r="AL143" i="5"/>
  <c r="Q52" i="5"/>
  <c r="Q60" i="5"/>
  <c r="AD60" i="5"/>
  <c r="Q64" i="5"/>
  <c r="AP65" i="5"/>
  <c r="AL66" i="5"/>
  <c r="AJ67" i="5"/>
  <c r="W10" i="5" s="1"/>
  <c r="P69" i="5"/>
  <c r="AG74" i="5"/>
  <c r="AE79" i="5"/>
  <c r="AJ80" i="5"/>
  <c r="T12" i="5" s="1"/>
  <c r="AM81" i="5"/>
  <c r="AM82" i="5"/>
  <c r="T84" i="5"/>
  <c r="U84" i="5"/>
  <c r="AK100" i="5"/>
  <c r="R103" i="5"/>
  <c r="Q103" i="5"/>
  <c r="Q108" i="5"/>
  <c r="R108" i="5"/>
  <c r="AJ108" i="5"/>
  <c r="T16" i="5" s="1"/>
  <c r="AL122" i="5"/>
  <c r="AC131" i="5"/>
  <c r="AO136" i="5"/>
  <c r="AN142" i="5"/>
  <c r="AG60" i="5"/>
  <c r="S69" i="5"/>
  <c r="AG79" i="5"/>
  <c r="U85" i="5"/>
  <c r="Q85" i="5"/>
  <c r="S85" i="5"/>
  <c r="P85" i="5"/>
  <c r="AM88" i="5"/>
  <c r="AJ87" i="5"/>
  <c r="T13" i="5" s="1"/>
  <c r="AP86" i="5"/>
  <c r="AK89" i="5"/>
  <c r="AP88" i="5"/>
  <c r="AM89" i="5"/>
  <c r="AO88" i="5"/>
  <c r="AN87" i="5"/>
  <c r="T89" i="5"/>
  <c r="P89" i="5"/>
  <c r="S89" i="5"/>
  <c r="U89" i="5"/>
  <c r="Q99" i="5"/>
  <c r="R99" i="5"/>
  <c r="T103" i="5"/>
  <c r="U103" i="5"/>
  <c r="AA129" i="5"/>
  <c r="R19" i="5" s="1"/>
  <c r="AD144" i="5"/>
  <c r="O9" i="5"/>
  <c r="O11" i="5"/>
  <c r="O12" i="5"/>
  <c r="O16" i="5"/>
  <c r="F121" i="5" s="1"/>
  <c r="O18" i="5"/>
  <c r="F123" i="5" s="1"/>
  <c r="O19" i="5"/>
  <c r="O20" i="5"/>
  <c r="O21" i="5"/>
  <c r="F126" i="5" s="1"/>
  <c r="T57" i="5"/>
  <c r="P57" i="5"/>
  <c r="Q57" i="5"/>
  <c r="AB58" i="5"/>
  <c r="AA59" i="5"/>
  <c r="R9" i="5" s="1"/>
  <c r="AB61" i="5"/>
  <c r="AO67" i="5"/>
  <c r="AM68" i="5"/>
  <c r="T69" i="5"/>
  <c r="Q72" i="5"/>
  <c r="AE72" i="5"/>
  <c r="T73" i="5"/>
  <c r="P73" i="5"/>
  <c r="R73" i="5"/>
  <c r="AA73" i="5"/>
  <c r="R11" i="5" s="1"/>
  <c r="AA74" i="5"/>
  <c r="U11" i="5" s="1"/>
  <c r="AB75" i="5"/>
  <c r="U79" i="5"/>
  <c r="T79" i="5"/>
  <c r="AP79" i="5"/>
  <c r="AA80" i="5"/>
  <c r="R12" i="5" s="1"/>
  <c r="AA81" i="5"/>
  <c r="U12" i="5" s="1"/>
  <c r="AB82" i="5"/>
  <c r="R85" i="5"/>
  <c r="AK86" i="5"/>
  <c r="Q87" i="5"/>
  <c r="H17" i="5" s="1"/>
  <c r="AA114" i="5" s="1"/>
  <c r="O17" i="5" s="1"/>
  <c r="F122" i="5" s="1"/>
  <c r="AL87" i="5"/>
  <c r="R88" i="5"/>
  <c r="Q89" i="5"/>
  <c r="AL89" i="5"/>
  <c r="AK93" i="5"/>
  <c r="Q14" i="5" s="1"/>
  <c r="AL94" i="5"/>
  <c r="Q96" i="5"/>
  <c r="AJ102" i="5"/>
  <c r="W15" i="5" s="1"/>
  <c r="AM103" i="5"/>
  <c r="R105" i="5"/>
  <c r="U105" i="5"/>
  <c r="P105" i="5"/>
  <c r="S105" i="5"/>
  <c r="T105" i="5"/>
  <c r="AD109" i="5"/>
  <c r="AP116" i="5"/>
  <c r="AD123" i="5"/>
  <c r="AD124" i="5"/>
  <c r="AE129" i="5"/>
  <c r="AE135" i="5"/>
  <c r="AJ144" i="5"/>
  <c r="W21" i="5" s="1"/>
  <c r="T65" i="5"/>
  <c r="P65" i="5"/>
  <c r="U65" i="5"/>
  <c r="U77" i="5"/>
  <c r="Q77" i="5"/>
  <c r="R77" i="5"/>
  <c r="T100" i="5"/>
  <c r="U100" i="5"/>
  <c r="U101" i="5"/>
  <c r="Q101" i="5"/>
  <c r="P101" i="5"/>
  <c r="S101" i="5"/>
  <c r="Q104" i="5"/>
  <c r="R104" i="5"/>
  <c r="U104" i="5"/>
  <c r="T104" i="5"/>
  <c r="T81" i="5"/>
  <c r="P81" i="5"/>
  <c r="U81" i="5"/>
  <c r="U93" i="5"/>
  <c r="Q93" i="5"/>
  <c r="T93" i="5"/>
  <c r="T97" i="5"/>
  <c r="T109" i="5"/>
  <c r="AK68" i="4"/>
  <c r="AO67" i="4"/>
  <c r="AL66" i="4"/>
  <c r="AK65" i="4"/>
  <c r="AM68" i="4"/>
  <c r="AJ67" i="4"/>
  <c r="W10" i="4" s="1"/>
  <c r="AJ66" i="4"/>
  <c r="T10" i="4" s="1"/>
  <c r="AP65" i="4"/>
  <c r="AL68" i="4"/>
  <c r="AN65" i="4"/>
  <c r="AM67" i="4"/>
  <c r="Q10" i="4"/>
  <c r="AN66" i="4"/>
  <c r="AP67" i="4"/>
  <c r="AO66" i="4"/>
  <c r="AB54" i="4"/>
  <c r="X8" i="4" s="1"/>
  <c r="AA53" i="4"/>
  <c r="U8" i="4" s="1"/>
  <c r="AF52" i="4"/>
  <c r="AD54" i="4"/>
  <c r="AA52" i="4"/>
  <c r="R8" i="4" s="1"/>
  <c r="AG51" i="4"/>
  <c r="AD53" i="4"/>
  <c r="AG53" i="4"/>
  <c r="AE52" i="4"/>
  <c r="AB51" i="4"/>
  <c r="AF53" i="4"/>
  <c r="AC52" i="4"/>
  <c r="AE51" i="4"/>
  <c r="AC54" i="4"/>
  <c r="O8" i="4"/>
  <c r="AL96" i="4"/>
  <c r="AP95" i="4"/>
  <c r="AN94" i="4"/>
  <c r="AN93" i="4"/>
  <c r="AO95" i="4"/>
  <c r="AL94" i="4"/>
  <c r="AM95" i="4"/>
  <c r="AJ94" i="4"/>
  <c r="T14" i="4" s="1"/>
  <c r="AP93" i="4"/>
  <c r="Q14" i="4"/>
  <c r="AK96" i="4"/>
  <c r="AK93" i="4"/>
  <c r="AO94" i="4"/>
  <c r="AJ95" i="4"/>
  <c r="W14" i="4" s="1"/>
  <c r="AM96" i="4"/>
  <c r="AK103" i="4"/>
  <c r="AO102" i="4"/>
  <c r="AN101" i="4"/>
  <c r="AK100" i="4"/>
  <c r="AL103" i="4"/>
  <c r="AL101" i="4"/>
  <c r="AP102" i="4"/>
  <c r="AJ101" i="4"/>
  <c r="T15" i="4" s="1"/>
  <c r="Q15" i="4"/>
  <c r="AM103" i="4"/>
  <c r="AM102" i="4"/>
  <c r="AJ102" i="4"/>
  <c r="W15" i="4" s="1"/>
  <c r="AP100" i="4"/>
  <c r="AO101" i="4"/>
  <c r="AN100" i="4"/>
  <c r="AK110" i="4"/>
  <c r="AP109" i="4"/>
  <c r="AN108" i="4"/>
  <c r="AK107" i="4"/>
  <c r="AM110" i="4"/>
  <c r="AO108" i="4"/>
  <c r="AP107" i="4"/>
  <c r="AJ109" i="4"/>
  <c r="W16" i="4" s="1"/>
  <c r="AJ108" i="4"/>
  <c r="T16" i="4" s="1"/>
  <c r="AN107" i="4"/>
  <c r="Q16" i="4"/>
  <c r="AO109" i="4"/>
  <c r="AM109" i="4"/>
  <c r="AL108" i="4"/>
  <c r="AL110" i="4"/>
  <c r="AM116" i="4"/>
  <c r="AJ115" i="4"/>
  <c r="AP114" i="4"/>
  <c r="AK117" i="4"/>
  <c r="AP116" i="4"/>
  <c r="AO115" i="4"/>
  <c r="AN114" i="4"/>
  <c r="AM117" i="4"/>
  <c r="AO116" i="4"/>
  <c r="AN115" i="4"/>
  <c r="AL115" i="4"/>
  <c r="AK114" i="4"/>
  <c r="AL117" i="4"/>
  <c r="Z17" i="4" s="1"/>
  <c r="AJ116" i="4"/>
  <c r="W17" i="4" s="1"/>
  <c r="U51" i="4"/>
  <c r="T51" i="4"/>
  <c r="U64" i="4"/>
  <c r="T64" i="4"/>
  <c r="AM74" i="4"/>
  <c r="AL73" i="4"/>
  <c r="AP74" i="4"/>
  <c r="AJ73" i="4"/>
  <c r="T11" i="4" s="1"/>
  <c r="AK72" i="4"/>
  <c r="AM75" i="4"/>
  <c r="AO74" i="4"/>
  <c r="AN73" i="4"/>
  <c r="Q11" i="4"/>
  <c r="AK75" i="4"/>
  <c r="AN72" i="4"/>
  <c r="U68" i="4"/>
  <c r="T68" i="4"/>
  <c r="U72" i="4"/>
  <c r="T72" i="4"/>
  <c r="R76" i="4"/>
  <c r="Q76" i="4"/>
  <c r="AL54" i="4"/>
  <c r="AJ53" i="4"/>
  <c r="W8" i="4" s="1"/>
  <c r="AO52" i="4"/>
  <c r="AM53" i="4"/>
  <c r="AL52" i="4"/>
  <c r="AP51" i="4"/>
  <c r="AP53" i="4"/>
  <c r="AN52" i="4"/>
  <c r="Q8" i="4"/>
  <c r="AK54" i="4"/>
  <c r="AN51" i="4"/>
  <c r="AM82" i="4"/>
  <c r="AM81" i="4"/>
  <c r="AJ80" i="4"/>
  <c r="T12" i="4" s="1"/>
  <c r="AP79" i="4"/>
  <c r="AJ81" i="4"/>
  <c r="W12" i="4" s="1"/>
  <c r="AL80" i="4"/>
  <c r="AP81" i="4"/>
  <c r="Q12" i="4"/>
  <c r="AO81" i="4"/>
  <c r="AL82" i="4"/>
  <c r="AO80" i="4"/>
  <c r="AN79" i="4"/>
  <c r="AK82" i="4"/>
  <c r="AN80" i="4"/>
  <c r="AK124" i="4"/>
  <c r="AO123" i="4"/>
  <c r="AL122" i="4"/>
  <c r="AM123" i="4"/>
  <c r="AJ122" i="4"/>
  <c r="T18" i="4" s="1"/>
  <c r="AK121" i="4"/>
  <c r="AL124" i="4"/>
  <c r="AJ123" i="4"/>
  <c r="W18" i="4" s="1"/>
  <c r="AN122" i="4"/>
  <c r="AP121" i="4"/>
  <c r="AN121" i="4"/>
  <c r="Q18" i="4"/>
  <c r="AM124" i="4"/>
  <c r="AP123" i="4"/>
  <c r="AO122" i="4"/>
  <c r="AM54" i="4"/>
  <c r="U55" i="4"/>
  <c r="T55" i="4"/>
  <c r="AL61" i="4"/>
  <c r="AP60" i="4"/>
  <c r="AN59" i="4"/>
  <c r="AK58" i="4"/>
  <c r="AK61" i="4"/>
  <c r="AO59" i="4"/>
  <c r="AP58" i="4"/>
  <c r="AO60" i="4"/>
  <c r="AL59" i="4"/>
  <c r="AN58" i="4"/>
  <c r="AM60" i="4"/>
  <c r="Q9" i="4"/>
  <c r="AM61" i="4"/>
  <c r="AJ60" i="4"/>
  <c r="W9" i="4" s="1"/>
  <c r="AK79" i="4"/>
  <c r="AM89" i="4"/>
  <c r="AJ88" i="4"/>
  <c r="W13" i="4" s="1"/>
  <c r="AO87" i="4"/>
  <c r="AN86" i="4"/>
  <c r="AO88" i="4"/>
  <c r="AL87" i="4"/>
  <c r="AL89" i="4"/>
  <c r="AM88" i="4"/>
  <c r="AJ87" i="4"/>
  <c r="T13" i="4" s="1"/>
  <c r="Q13" i="4"/>
  <c r="AP86" i="4"/>
  <c r="AK89" i="4"/>
  <c r="AP88" i="4"/>
  <c r="AN87" i="4"/>
  <c r="AK86" i="4"/>
  <c r="AB96" i="4"/>
  <c r="AG95" i="4"/>
  <c r="AE94" i="4"/>
  <c r="AE93" i="4"/>
  <c r="AD96" i="4"/>
  <c r="AD95" i="4"/>
  <c r="AA94" i="4"/>
  <c r="R14" i="4" s="1"/>
  <c r="AG93" i="4"/>
  <c r="AC96" i="4"/>
  <c r="AA95" i="4"/>
  <c r="U14" i="4" s="1"/>
  <c r="AB93" i="4"/>
  <c r="AF94" i="4"/>
  <c r="AF95" i="4"/>
  <c r="AC94" i="4"/>
  <c r="Q51" i="4"/>
  <c r="R51" i="4"/>
  <c r="AK51" i="4"/>
  <c r="AJ52" i="4"/>
  <c r="T8" i="4" s="1"/>
  <c r="Q60" i="4"/>
  <c r="R60" i="4"/>
  <c r="AP72" i="4"/>
  <c r="AO73" i="4"/>
  <c r="AL75" i="4"/>
  <c r="AA81" i="4"/>
  <c r="T104" i="4"/>
  <c r="U104" i="4"/>
  <c r="AM138" i="4"/>
  <c r="AL138" i="4"/>
  <c r="AJ137" i="4"/>
  <c r="W20" i="4" s="1"/>
  <c r="AJ136" i="4"/>
  <c r="T20" i="4" s="1"/>
  <c r="AP137" i="4"/>
  <c r="AN135" i="4"/>
  <c r="AO137" i="4"/>
  <c r="AO136" i="4"/>
  <c r="AK135" i="4"/>
  <c r="AP135" i="4"/>
  <c r="Q20" i="4"/>
  <c r="AM152" i="4"/>
  <c r="AM151" i="4"/>
  <c r="AL150" i="4"/>
  <c r="AK149" i="4"/>
  <c r="AL152" i="4"/>
  <c r="AJ151" i="4"/>
  <c r="W22" i="4" s="1"/>
  <c r="AJ150" i="4"/>
  <c r="T22" i="4" s="1"/>
  <c r="AK152" i="4"/>
  <c r="AP151" i="4"/>
  <c r="AP149" i="4"/>
  <c r="AO151" i="4"/>
  <c r="AN149" i="4"/>
  <c r="Q22" i="4"/>
  <c r="AA67" i="4"/>
  <c r="U10" i="4" s="1"/>
  <c r="AA73" i="4"/>
  <c r="R11" i="4" s="1"/>
  <c r="U80" i="4"/>
  <c r="T80" i="4"/>
  <c r="U83" i="4"/>
  <c r="T83" i="4"/>
  <c r="U87" i="4"/>
  <c r="T87" i="4"/>
  <c r="T88" i="4"/>
  <c r="AA102" i="4"/>
  <c r="U15" i="4" s="1"/>
  <c r="R107" i="4"/>
  <c r="Q107" i="4"/>
  <c r="AG107" i="4"/>
  <c r="AA108" i="4"/>
  <c r="R16" i="4" s="1"/>
  <c r="AD117" i="4"/>
  <c r="AD116" i="4"/>
  <c r="AA115" i="4"/>
  <c r="AG114" i="4"/>
  <c r="AF116" i="4"/>
  <c r="AE115" i="4"/>
  <c r="AB114" i="4"/>
  <c r="AB117" i="4"/>
  <c r="AA116" i="4"/>
  <c r="U17" i="4" s="1"/>
  <c r="J122" i="4" s="1"/>
  <c r="AF115" i="4"/>
  <c r="AC115" i="4"/>
  <c r="R17" i="4" s="1"/>
  <c r="AE114" i="4"/>
  <c r="AN136" i="4"/>
  <c r="AK138" i="4"/>
  <c r="AC82" i="4"/>
  <c r="X12" i="4" s="1"/>
  <c r="AD81" i="4"/>
  <c r="AA80" i="4"/>
  <c r="AG79" i="4"/>
  <c r="AD82" i="4"/>
  <c r="AB82" i="4"/>
  <c r="AG81" i="4"/>
  <c r="AF80" i="4"/>
  <c r="AE79" i="4"/>
  <c r="AC80" i="4"/>
  <c r="T93" i="4"/>
  <c r="P93" i="4"/>
  <c r="S93" i="4"/>
  <c r="R93" i="4"/>
  <c r="AF102" i="4"/>
  <c r="AE101" i="4"/>
  <c r="AB100" i="4"/>
  <c r="AG102" i="4"/>
  <c r="AA101" i="4"/>
  <c r="R15" i="4" s="1"/>
  <c r="AD103" i="4"/>
  <c r="AD102" i="4"/>
  <c r="AG100" i="4"/>
  <c r="AC101" i="4"/>
  <c r="AC103" i="4"/>
  <c r="AB61" i="4"/>
  <c r="AG60" i="4"/>
  <c r="AE59" i="4"/>
  <c r="AB58" i="4"/>
  <c r="AF60" i="4"/>
  <c r="AC59" i="4"/>
  <c r="AE58" i="4"/>
  <c r="AD61" i="4"/>
  <c r="AD60" i="4"/>
  <c r="AA59" i="4"/>
  <c r="R9" i="4" s="1"/>
  <c r="G114" i="4" s="1"/>
  <c r="AD75" i="4"/>
  <c r="AD74" i="4"/>
  <c r="AC73" i="4"/>
  <c r="AC75" i="4"/>
  <c r="AF74" i="4"/>
  <c r="AB75" i="4"/>
  <c r="X11" i="4" s="1"/>
  <c r="AA74" i="4"/>
  <c r="U11" i="4" s="1"/>
  <c r="J116" i="4" s="1"/>
  <c r="AF73" i="4"/>
  <c r="AG72" i="4"/>
  <c r="AG109" i="4"/>
  <c r="AE108" i="4"/>
  <c r="AB107" i="4"/>
  <c r="AB110" i="4"/>
  <c r="AF109" i="4"/>
  <c r="AC108" i="4"/>
  <c r="AE107" i="4"/>
  <c r="AD110" i="4"/>
  <c r="AC110" i="4"/>
  <c r="AD109" i="4"/>
  <c r="AF108" i="4"/>
  <c r="AO130" i="4"/>
  <c r="AN129" i="4"/>
  <c r="AN128" i="4"/>
  <c r="AL131" i="4"/>
  <c r="AP130" i="4"/>
  <c r="AJ129" i="4"/>
  <c r="T19" i="4" s="1"/>
  <c r="AP128" i="4"/>
  <c r="AK131" i="4"/>
  <c r="AM130" i="4"/>
  <c r="AK128" i="4"/>
  <c r="AO129" i="4"/>
  <c r="AL129" i="4"/>
  <c r="Q19" i="4"/>
  <c r="AK145" i="4"/>
  <c r="AP144" i="4"/>
  <c r="AO143" i="4"/>
  <c r="AP142" i="4"/>
  <c r="AO144" i="4"/>
  <c r="AN143" i="4"/>
  <c r="AN142" i="4"/>
  <c r="AM144" i="4"/>
  <c r="AK142" i="4"/>
  <c r="AJ144" i="4"/>
  <c r="W21" i="4" s="1"/>
  <c r="Q21" i="4"/>
  <c r="AG58" i="4"/>
  <c r="AF59" i="4"/>
  <c r="T69" i="4"/>
  <c r="P69" i="4"/>
  <c r="S69" i="4"/>
  <c r="R69" i="4"/>
  <c r="AB72" i="4"/>
  <c r="O11" i="4" s="1"/>
  <c r="R79" i="4"/>
  <c r="AB79" i="4"/>
  <c r="AE80" i="4"/>
  <c r="R84" i="4"/>
  <c r="Q84" i="4"/>
  <c r="Q91" i="4"/>
  <c r="Q93" i="4"/>
  <c r="AD131" i="4"/>
  <c r="AF130" i="4"/>
  <c r="AE129" i="4"/>
  <c r="AE128" i="4"/>
  <c r="AD130" i="4"/>
  <c r="AB128" i="4"/>
  <c r="AA130" i="4"/>
  <c r="U19" i="4" s="1"/>
  <c r="AF129" i="4"/>
  <c r="AC131" i="4"/>
  <c r="AB131" i="4"/>
  <c r="AG128" i="4"/>
  <c r="T95" i="4"/>
  <c r="R96" i="4"/>
  <c r="Q96" i="4"/>
  <c r="Q99" i="4"/>
  <c r="AE100" i="4"/>
  <c r="AF101" i="4"/>
  <c r="U109" i="4"/>
  <c r="Q109" i="4"/>
  <c r="S109" i="4"/>
  <c r="R109" i="4"/>
  <c r="P109" i="4"/>
  <c r="AG116" i="4"/>
  <c r="AJ130" i="4"/>
  <c r="W19" i="4" s="1"/>
  <c r="AM137" i="4"/>
  <c r="AL143" i="4"/>
  <c r="AO150" i="4"/>
  <c r="AF123" i="4"/>
  <c r="AC122" i="4"/>
  <c r="AC124" i="4"/>
  <c r="AA123" i="4"/>
  <c r="U18" i="4" s="1"/>
  <c r="AB138" i="4"/>
  <c r="AA137" i="4"/>
  <c r="U20" i="4" s="1"/>
  <c r="AA136" i="4"/>
  <c r="R20" i="4" s="1"/>
  <c r="AC138" i="4"/>
  <c r="AF137" i="4"/>
  <c r="AF136" i="4"/>
  <c r="AB135" i="4"/>
  <c r="AD137" i="4"/>
  <c r="AE136" i="4"/>
  <c r="AG144" i="4"/>
  <c r="AF143" i="4"/>
  <c r="AG142" i="4"/>
  <c r="AD145" i="4"/>
  <c r="AF144" i="4"/>
  <c r="AE143" i="4"/>
  <c r="AE142" i="4"/>
  <c r="AC145" i="4"/>
  <c r="AD144" i="4"/>
  <c r="AC143" i="4"/>
  <c r="AB142" i="4"/>
  <c r="AB145" i="4"/>
  <c r="AA144" i="4"/>
  <c r="U21" i="4" s="1"/>
  <c r="AA143" i="4"/>
  <c r="R21" i="4" s="1"/>
  <c r="AC152" i="4"/>
  <c r="AD151" i="4"/>
  <c r="AC150" i="4"/>
  <c r="AB149" i="4"/>
  <c r="AB152" i="4"/>
  <c r="AA151" i="4"/>
  <c r="U22" i="4" s="1"/>
  <c r="AA150" i="4"/>
  <c r="R22" i="4" s="1"/>
  <c r="AG151" i="4"/>
  <c r="AF150" i="4"/>
  <c r="AG149" i="4"/>
  <c r="AD152" i="4"/>
  <c r="AF151" i="4"/>
  <c r="AE150" i="4"/>
  <c r="AE149" i="4"/>
  <c r="S61" i="4"/>
  <c r="T77" i="4"/>
  <c r="P77" i="4"/>
  <c r="U77" i="4"/>
  <c r="U97" i="4"/>
  <c r="Q97" i="4"/>
  <c r="T97" i="4"/>
  <c r="T101" i="4"/>
  <c r="P101" i="4"/>
  <c r="U101" i="4"/>
  <c r="AF122" i="4"/>
  <c r="AG123" i="4"/>
  <c r="AD124" i="4"/>
  <c r="T61" i="4"/>
  <c r="T85" i="4"/>
  <c r="P85" i="4"/>
  <c r="U85" i="4"/>
  <c r="R105" i="4"/>
  <c r="Q105" i="4"/>
  <c r="U105" i="4"/>
  <c r="AB121" i="4"/>
  <c r="AC136" i="4"/>
  <c r="AL103" i="3"/>
  <c r="AP102" i="3"/>
  <c r="AO101" i="3"/>
  <c r="AN100" i="3"/>
  <c r="AK103" i="3"/>
  <c r="AL101" i="3"/>
  <c r="AM102" i="3"/>
  <c r="AP100" i="3"/>
  <c r="AO102" i="3"/>
  <c r="AJ101" i="3"/>
  <c r="T15" i="3" s="1"/>
  <c r="AJ102" i="3"/>
  <c r="W15" i="3" s="1"/>
  <c r="AK100" i="3"/>
  <c r="AM103" i="3"/>
  <c r="Q15" i="3"/>
  <c r="AN101" i="3"/>
  <c r="AK131" i="3"/>
  <c r="AP130" i="3"/>
  <c r="AO129" i="3"/>
  <c r="AP128" i="3"/>
  <c r="AM131" i="3"/>
  <c r="AM130" i="3"/>
  <c r="AL129" i="3"/>
  <c r="AK128" i="3"/>
  <c r="AO130" i="3"/>
  <c r="AN129" i="3"/>
  <c r="AN128" i="3"/>
  <c r="AL131" i="3"/>
  <c r="AJ130" i="3"/>
  <c r="W19" i="3" s="1"/>
  <c r="AJ129" i="3"/>
  <c r="T19" i="3" s="1"/>
  <c r="Q19" i="3"/>
  <c r="AM88" i="3"/>
  <c r="AJ87" i="3"/>
  <c r="T13" i="3" s="1"/>
  <c r="AP86" i="3"/>
  <c r="AM89" i="3"/>
  <c r="AJ88" i="3"/>
  <c r="W13" i="3" s="1"/>
  <c r="AN87" i="3"/>
  <c r="AK86" i="3"/>
  <c r="AK89" i="3"/>
  <c r="AP88" i="3"/>
  <c r="AL89" i="3"/>
  <c r="AO88" i="3"/>
  <c r="AN86" i="3"/>
  <c r="AO87" i="3"/>
  <c r="Q13" i="3"/>
  <c r="AL87" i="3"/>
  <c r="AC96" i="3"/>
  <c r="AA95" i="3"/>
  <c r="U14" i="3" s="1"/>
  <c r="AF94" i="3"/>
  <c r="AG93" i="3"/>
  <c r="AB93" i="3"/>
  <c r="AB96" i="3"/>
  <c r="AF95" i="3"/>
  <c r="AC94" i="3"/>
  <c r="AD96" i="3"/>
  <c r="AG95" i="3"/>
  <c r="AE93" i="3"/>
  <c r="AD95" i="3"/>
  <c r="AE94" i="3"/>
  <c r="AA94" i="3"/>
  <c r="R14" i="3" s="1"/>
  <c r="AK54" i="3"/>
  <c r="AP53" i="3"/>
  <c r="AN52" i="3"/>
  <c r="AK51" i="3"/>
  <c r="AO53" i="3"/>
  <c r="AL52" i="3"/>
  <c r="AM54" i="3"/>
  <c r="AM53" i="3"/>
  <c r="AJ52" i="3"/>
  <c r="T8" i="3" s="1"/>
  <c r="AP51" i="3"/>
  <c r="Q8" i="3"/>
  <c r="AL54" i="3"/>
  <c r="AJ53" i="3"/>
  <c r="W8" i="3" s="1"/>
  <c r="AO52" i="3"/>
  <c r="AN51" i="3"/>
  <c r="AK61" i="3"/>
  <c r="AO60" i="3"/>
  <c r="AL59" i="3"/>
  <c r="AM60" i="3"/>
  <c r="AJ59" i="3"/>
  <c r="T9" i="3" s="1"/>
  <c r="AP58" i="3"/>
  <c r="AM61" i="3"/>
  <c r="AJ60" i="3"/>
  <c r="W9" i="3" s="1"/>
  <c r="AO59" i="3"/>
  <c r="AN58" i="3"/>
  <c r="Q9" i="3"/>
  <c r="AL61" i="3"/>
  <c r="AP60" i="3"/>
  <c r="AN59" i="3"/>
  <c r="AK58" i="3"/>
  <c r="AC68" i="3"/>
  <c r="AF67" i="3"/>
  <c r="AG67" i="3"/>
  <c r="AA66" i="3"/>
  <c r="R10" i="3" s="1"/>
  <c r="AD67" i="3"/>
  <c r="AF66" i="3"/>
  <c r="AG65" i="3"/>
  <c r="AD68" i="3"/>
  <c r="AA67" i="3"/>
  <c r="U10" i="3" s="1"/>
  <c r="AE66" i="3"/>
  <c r="AE65" i="3"/>
  <c r="AB68" i="3"/>
  <c r="AC66" i="3"/>
  <c r="AB65" i="3"/>
  <c r="AM96" i="3"/>
  <c r="AJ95" i="3"/>
  <c r="W14" i="3" s="1"/>
  <c r="AO94" i="3"/>
  <c r="AP93" i="3"/>
  <c r="AK96" i="3"/>
  <c r="AM95" i="3"/>
  <c r="AJ94" i="3"/>
  <c r="T14" i="3" s="1"/>
  <c r="AN93" i="3"/>
  <c r="AP95" i="3"/>
  <c r="AN94" i="3"/>
  <c r="AL96" i="3"/>
  <c r="AO95" i="3"/>
  <c r="AK93" i="3"/>
  <c r="AL94" i="3"/>
  <c r="Q14" i="3"/>
  <c r="AL124" i="3"/>
  <c r="AP123" i="3"/>
  <c r="AN122" i="3"/>
  <c r="AK121" i="3"/>
  <c r="AM123" i="3"/>
  <c r="AJ122" i="3"/>
  <c r="T18" i="3" s="1"/>
  <c r="AP121" i="3"/>
  <c r="AK124" i="3"/>
  <c r="AJ123" i="3"/>
  <c r="W18" i="3" s="1"/>
  <c r="AO122" i="3"/>
  <c r="AN121" i="3"/>
  <c r="AL122" i="3"/>
  <c r="AO123" i="3"/>
  <c r="Q18" i="3"/>
  <c r="AM124" i="3"/>
  <c r="AG130" i="3"/>
  <c r="AF129" i="3"/>
  <c r="AG128" i="3"/>
  <c r="AC131" i="3"/>
  <c r="AD130" i="3"/>
  <c r="AC129" i="3"/>
  <c r="AB128" i="3"/>
  <c r="AF130" i="3"/>
  <c r="AE128" i="3"/>
  <c r="AD131" i="3"/>
  <c r="AE129" i="3"/>
  <c r="AB131" i="3"/>
  <c r="AA130" i="3"/>
  <c r="U19" i="3" s="1"/>
  <c r="AA129" i="3"/>
  <c r="R19" i="3" s="1"/>
  <c r="AM68" i="3"/>
  <c r="AK68" i="3"/>
  <c r="AO67" i="3"/>
  <c r="AJ66" i="3"/>
  <c r="T10" i="3" s="1"/>
  <c r="AL68" i="3"/>
  <c r="AP67" i="3"/>
  <c r="AO66" i="3"/>
  <c r="AP65" i="3"/>
  <c r="AM67" i="3"/>
  <c r="AN66" i="3"/>
  <c r="AN65" i="3"/>
  <c r="Q10" i="3"/>
  <c r="E115" i="3" s="1"/>
  <c r="AJ67" i="3"/>
  <c r="W10" i="3" s="1"/>
  <c r="AL66" i="3"/>
  <c r="AK65" i="3"/>
  <c r="AL75" i="3"/>
  <c r="AP74" i="3"/>
  <c r="AO73" i="3"/>
  <c r="AN72" i="3"/>
  <c r="AM74" i="3"/>
  <c r="AL73" i="3"/>
  <c r="AM75" i="3"/>
  <c r="AK72" i="3"/>
  <c r="AK75" i="3"/>
  <c r="AO74" i="3"/>
  <c r="AN73" i="3"/>
  <c r="AJ74" i="3"/>
  <c r="W11" i="3" s="1"/>
  <c r="AJ73" i="3"/>
  <c r="T11" i="3" s="1"/>
  <c r="Q11" i="3"/>
  <c r="AP72" i="3"/>
  <c r="AD82" i="3"/>
  <c r="AF81" i="3"/>
  <c r="AD81" i="3"/>
  <c r="AE80" i="3"/>
  <c r="AB79" i="3"/>
  <c r="AC82" i="3"/>
  <c r="AA80" i="3"/>
  <c r="R12" i="3" s="1"/>
  <c r="AG79" i="3"/>
  <c r="AB82" i="3"/>
  <c r="AG81" i="3"/>
  <c r="AF80" i="3"/>
  <c r="AA81" i="3"/>
  <c r="U12" i="3" s="1"/>
  <c r="AC80" i="3"/>
  <c r="AE79" i="3"/>
  <c r="AO81" i="3"/>
  <c r="AL82" i="3"/>
  <c r="AP81" i="3"/>
  <c r="AN80" i="3"/>
  <c r="AK79" i="3"/>
  <c r="AJ81" i="3"/>
  <c r="W12" i="3" s="1"/>
  <c r="AJ80" i="3"/>
  <c r="T12" i="3" s="1"/>
  <c r="AP79" i="3"/>
  <c r="AO80" i="3"/>
  <c r="AM81" i="3"/>
  <c r="AL80" i="3"/>
  <c r="AN79" i="3"/>
  <c r="AM82" i="3"/>
  <c r="Q12" i="3"/>
  <c r="AK82" i="3"/>
  <c r="O14" i="3"/>
  <c r="AL110" i="3"/>
  <c r="AJ109" i="3"/>
  <c r="W16" i="3" s="1"/>
  <c r="AO108" i="3"/>
  <c r="AN107" i="3"/>
  <c r="AO109" i="3"/>
  <c r="AL108" i="3"/>
  <c r="AP109" i="3"/>
  <c r="AN108" i="3"/>
  <c r="AM110" i="3"/>
  <c r="AM109" i="3"/>
  <c r="AJ108" i="3"/>
  <c r="T16" i="3" s="1"/>
  <c r="AP107" i="3"/>
  <c r="AK110" i="3"/>
  <c r="Q16" i="3"/>
  <c r="AK107" i="3"/>
  <c r="AK117" i="3"/>
  <c r="AO116" i="3"/>
  <c r="AL115" i="3"/>
  <c r="AM117" i="3"/>
  <c r="AJ116" i="3"/>
  <c r="AO115" i="3"/>
  <c r="AN114" i="3"/>
  <c r="AP116" i="3"/>
  <c r="AN115" i="3"/>
  <c r="AP114" i="3"/>
  <c r="AK114" i="3"/>
  <c r="AM116" i="3"/>
  <c r="AL117" i="3"/>
  <c r="Z17" i="3" s="1"/>
  <c r="AJ115" i="3"/>
  <c r="AM138" i="3"/>
  <c r="AM137" i="3"/>
  <c r="AL136" i="3"/>
  <c r="AK135" i="3"/>
  <c r="AK138" i="3"/>
  <c r="AP137" i="3"/>
  <c r="AO136" i="3"/>
  <c r="AP135" i="3"/>
  <c r="AJ137" i="3"/>
  <c r="W20" i="3" s="1"/>
  <c r="AN136" i="3"/>
  <c r="AN135" i="3"/>
  <c r="AJ136" i="3"/>
  <c r="T20" i="3" s="1"/>
  <c r="AL138" i="3"/>
  <c r="AO137" i="3"/>
  <c r="Q20" i="3"/>
  <c r="AK145" i="3"/>
  <c r="AP144" i="3"/>
  <c r="AO143" i="3"/>
  <c r="AP142" i="3"/>
  <c r="AM145" i="3"/>
  <c r="AM144" i="3"/>
  <c r="AL143" i="3"/>
  <c r="AK142" i="3"/>
  <c r="AO144" i="3"/>
  <c r="AN142" i="3"/>
  <c r="AN143" i="3"/>
  <c r="AJ144" i="3"/>
  <c r="W21" i="3" s="1"/>
  <c r="AJ143" i="3"/>
  <c r="T21" i="3" s="1"/>
  <c r="Q21" i="3"/>
  <c r="AL145" i="3"/>
  <c r="AM152" i="3"/>
  <c r="AM151" i="3"/>
  <c r="AL150" i="3"/>
  <c r="AK149" i="3"/>
  <c r="AK152" i="3"/>
  <c r="AP151" i="3"/>
  <c r="AO150" i="3"/>
  <c r="AP149" i="3"/>
  <c r="AL152" i="3"/>
  <c r="AJ151" i="3"/>
  <c r="W22" i="3" s="1"/>
  <c r="AJ150" i="3"/>
  <c r="T22" i="3" s="1"/>
  <c r="AO151" i="3"/>
  <c r="AN150" i="3"/>
  <c r="AN149" i="3"/>
  <c r="Q22" i="3"/>
  <c r="U52" i="3"/>
  <c r="U55" i="3"/>
  <c r="R56" i="3"/>
  <c r="S57" i="3"/>
  <c r="U60" i="3"/>
  <c r="U63" i="3"/>
  <c r="R64" i="3"/>
  <c r="S65" i="3"/>
  <c r="S77" i="3"/>
  <c r="T84" i="3"/>
  <c r="U84" i="3"/>
  <c r="R87" i="3"/>
  <c r="Q87" i="3"/>
  <c r="AB103" i="3"/>
  <c r="X15" i="3" s="1"/>
  <c r="AG102" i="3"/>
  <c r="AF101" i="3"/>
  <c r="AE100" i="3"/>
  <c r="AF102" i="3"/>
  <c r="AA101" i="3"/>
  <c r="R15" i="3" s="1"/>
  <c r="AC103" i="3"/>
  <c r="AA102" i="3"/>
  <c r="U15" i="3" s="1"/>
  <c r="AE101" i="3"/>
  <c r="AB100" i="3"/>
  <c r="O15" i="3" s="1"/>
  <c r="AD103" i="3"/>
  <c r="U104" i="3"/>
  <c r="T104" i="3"/>
  <c r="H9" i="3"/>
  <c r="AA58" i="3" s="1"/>
  <c r="H11" i="3"/>
  <c r="AA72" i="3" s="1"/>
  <c r="AD89" i="3"/>
  <c r="AD88" i="3"/>
  <c r="AA87" i="3"/>
  <c r="R13" i="3" s="1"/>
  <c r="AG86" i="3"/>
  <c r="AB89" i="3"/>
  <c r="AC87" i="3"/>
  <c r="AF88" i="3"/>
  <c r="AF87" i="3"/>
  <c r="AE86" i="3"/>
  <c r="AB110" i="3"/>
  <c r="AA109" i="3"/>
  <c r="U16" i="3" s="1"/>
  <c r="AF108" i="3"/>
  <c r="AE107" i="3"/>
  <c r="AD110" i="3"/>
  <c r="AF109" i="3"/>
  <c r="AC108" i="3"/>
  <c r="AB107" i="3"/>
  <c r="AG109" i="3"/>
  <c r="AE108" i="3"/>
  <c r="AB124" i="3"/>
  <c r="AG123" i="3"/>
  <c r="AE122" i="3"/>
  <c r="AB121" i="3"/>
  <c r="AD124" i="3"/>
  <c r="AD123" i="3"/>
  <c r="AA122" i="3"/>
  <c r="R18" i="3" s="1"/>
  <c r="AG121" i="3"/>
  <c r="AF123" i="3"/>
  <c r="AF122" i="3"/>
  <c r="AE121" i="3"/>
  <c r="AC124" i="3"/>
  <c r="AA123" i="3"/>
  <c r="U18" i="3" s="1"/>
  <c r="AC122" i="3"/>
  <c r="AC138" i="3"/>
  <c r="AD137" i="3"/>
  <c r="AC136" i="3"/>
  <c r="AB135" i="3"/>
  <c r="AG137" i="3"/>
  <c r="AF136" i="3"/>
  <c r="AG135" i="3"/>
  <c r="AB138" i="3"/>
  <c r="AA136" i="3"/>
  <c r="R20" i="3" s="1"/>
  <c r="AF137" i="3"/>
  <c r="AA137" i="3"/>
  <c r="U20" i="3" s="1"/>
  <c r="AG144" i="3"/>
  <c r="AF143" i="3"/>
  <c r="AG142" i="3"/>
  <c r="AC145" i="3"/>
  <c r="AD144" i="3"/>
  <c r="AC143" i="3"/>
  <c r="AB142" i="3"/>
  <c r="AD145" i="3"/>
  <c r="AF144" i="3"/>
  <c r="AE143" i="3"/>
  <c r="AE142" i="3"/>
  <c r="AB145" i="3"/>
  <c r="AA144" i="3"/>
  <c r="U21" i="3" s="1"/>
  <c r="AA143" i="3"/>
  <c r="R21" i="3" s="1"/>
  <c r="AC152" i="3"/>
  <c r="AD151" i="3"/>
  <c r="AC150" i="3"/>
  <c r="AB149" i="3"/>
  <c r="AG151" i="3"/>
  <c r="AF150" i="3"/>
  <c r="AG149" i="3"/>
  <c r="AD152" i="3"/>
  <c r="AF151" i="3"/>
  <c r="AE150" i="3"/>
  <c r="AE149" i="3"/>
  <c r="AB152" i="3"/>
  <c r="AA150" i="3"/>
  <c r="R22" i="3" s="1"/>
  <c r="AA151" i="3"/>
  <c r="U22" i="3" s="1"/>
  <c r="P57" i="3"/>
  <c r="T57" i="3"/>
  <c r="P65" i="3"/>
  <c r="T65" i="3"/>
  <c r="R68" i="3"/>
  <c r="R71" i="3"/>
  <c r="U85" i="3"/>
  <c r="Q85" i="3"/>
  <c r="P85" i="3"/>
  <c r="S85" i="3"/>
  <c r="AG88" i="3"/>
  <c r="AG100" i="3"/>
  <c r="AD102" i="3"/>
  <c r="R103" i="3"/>
  <c r="Q103" i="3"/>
  <c r="R105" i="3"/>
  <c r="U105" i="3"/>
  <c r="P105" i="3"/>
  <c r="S105" i="3"/>
  <c r="AA108" i="3"/>
  <c r="R16" i="3" s="1"/>
  <c r="AE136" i="3"/>
  <c r="R77" i="3"/>
  <c r="T77" i="3"/>
  <c r="P77" i="3"/>
  <c r="Q108" i="3"/>
  <c r="R108" i="3"/>
  <c r="R109" i="3"/>
  <c r="T109" i="3"/>
  <c r="P109" i="3"/>
  <c r="U109" i="3"/>
  <c r="S109" i="3"/>
  <c r="Q109" i="3"/>
  <c r="T68" i="3"/>
  <c r="R69" i="3"/>
  <c r="T69" i="3"/>
  <c r="P69" i="3"/>
  <c r="Q77" i="3"/>
  <c r="U80" i="3"/>
  <c r="AE87" i="3"/>
  <c r="T89" i="3"/>
  <c r="P89" i="3"/>
  <c r="Q89" i="3"/>
  <c r="S89" i="3"/>
  <c r="R99" i="3"/>
  <c r="T100" i="3"/>
  <c r="U100" i="3"/>
  <c r="U101" i="3"/>
  <c r="Q101" i="3"/>
  <c r="P101" i="3"/>
  <c r="S101" i="3"/>
  <c r="U103" i="3"/>
  <c r="Q104" i="3"/>
  <c r="R104" i="3"/>
  <c r="AG107" i="3"/>
  <c r="AD109" i="3"/>
  <c r="T81" i="3"/>
  <c r="P81" i="3"/>
  <c r="U81" i="3"/>
  <c r="U93" i="3"/>
  <c r="Q93" i="3"/>
  <c r="T93" i="3"/>
  <c r="T97" i="3"/>
  <c r="AK54" i="2"/>
  <c r="AP53" i="2"/>
  <c r="AN52" i="2"/>
  <c r="AK51" i="2"/>
  <c r="AM54" i="2"/>
  <c r="AM53" i="2"/>
  <c r="AJ52" i="2"/>
  <c r="T8" i="2" s="1"/>
  <c r="AP51" i="2"/>
  <c r="Q8" i="2"/>
  <c r="AO53" i="2"/>
  <c r="AL52" i="2"/>
  <c r="AN51" i="2"/>
  <c r="AL54" i="2"/>
  <c r="AJ53" i="2"/>
  <c r="W8" i="2" s="1"/>
  <c r="AO52" i="2"/>
  <c r="AL75" i="2"/>
  <c r="AP74" i="2"/>
  <c r="AO73" i="2"/>
  <c r="AN72" i="2"/>
  <c r="AM75" i="2"/>
  <c r="AJ74" i="2"/>
  <c r="W11" i="2" s="1"/>
  <c r="AN73" i="2"/>
  <c r="AK72" i="2"/>
  <c r="AO74" i="2"/>
  <c r="AJ73" i="2"/>
  <c r="T11" i="2" s="1"/>
  <c r="Q11" i="2"/>
  <c r="AP72" i="2"/>
  <c r="AL73" i="2"/>
  <c r="AK75" i="2"/>
  <c r="AM74" i="2"/>
  <c r="AB54" i="2"/>
  <c r="X8" i="2" s="1"/>
  <c r="R67" i="2"/>
  <c r="Q67" i="2"/>
  <c r="AG137" i="2"/>
  <c r="AF136" i="2"/>
  <c r="AG135" i="2"/>
  <c r="AD138" i="2"/>
  <c r="AF137" i="2"/>
  <c r="AE136" i="2"/>
  <c r="AE135" i="2"/>
  <c r="AC138" i="2"/>
  <c r="AC136" i="2"/>
  <c r="AB135" i="2"/>
  <c r="AD137" i="2"/>
  <c r="AB138" i="2"/>
  <c r="AA136" i="2"/>
  <c r="R20" i="2" s="1"/>
  <c r="AA137" i="2"/>
  <c r="U20" i="2" s="1"/>
  <c r="AK61" i="2"/>
  <c r="AO60" i="2"/>
  <c r="AL59" i="2"/>
  <c r="AM61" i="2"/>
  <c r="AJ60" i="2"/>
  <c r="W9" i="2" s="1"/>
  <c r="AO59" i="2"/>
  <c r="AN58" i="2"/>
  <c r="Q9" i="2"/>
  <c r="AE51" i="2"/>
  <c r="O8" i="2" s="1"/>
  <c r="AC52" i="2"/>
  <c r="AB107" i="2"/>
  <c r="T83" i="2"/>
  <c r="U83" i="2"/>
  <c r="AM123" i="2"/>
  <c r="AJ122" i="2"/>
  <c r="T18" i="2" s="1"/>
  <c r="AP121" i="2"/>
  <c r="AM124" i="2"/>
  <c r="AJ123" i="2"/>
  <c r="W18" i="2" s="1"/>
  <c r="AO122" i="2"/>
  <c r="AN121" i="2"/>
  <c r="AL124" i="2"/>
  <c r="AO123" i="2"/>
  <c r="AN122" i="2"/>
  <c r="AK121" i="2"/>
  <c r="AK124" i="2"/>
  <c r="AP123" i="2"/>
  <c r="Q18" i="2"/>
  <c r="AK103" i="2"/>
  <c r="AO102" i="2"/>
  <c r="AN101" i="2"/>
  <c r="AK100" i="2"/>
  <c r="AM103" i="2"/>
  <c r="AJ102" i="2"/>
  <c r="W15" i="2" s="1"/>
  <c r="AJ101" i="2"/>
  <c r="T15" i="2" s="1"/>
  <c r="AP100" i="2"/>
  <c r="AL103" i="2"/>
  <c r="AM102" i="2"/>
  <c r="AL101" i="2"/>
  <c r="Q15" i="2"/>
  <c r="AO109" i="2"/>
  <c r="AL108" i="2"/>
  <c r="AM110" i="2"/>
  <c r="AM109" i="2"/>
  <c r="AK110" i="2"/>
  <c r="AJ108" i="2"/>
  <c r="T16" i="2" s="1"/>
  <c r="AN107" i="2"/>
  <c r="AP109" i="2"/>
  <c r="AO108" i="2"/>
  <c r="AP107" i="2"/>
  <c r="Q16" i="2"/>
  <c r="AJ109" i="2"/>
  <c r="W16" i="2" s="1"/>
  <c r="AK107" i="2"/>
  <c r="AM117" i="2"/>
  <c r="AJ116" i="2"/>
  <c r="W17" i="2" s="1"/>
  <c r="AO115" i="2"/>
  <c r="AN114" i="2"/>
  <c r="AL117" i="2"/>
  <c r="Z17" i="2" s="1"/>
  <c r="AP116" i="2"/>
  <c r="AN115" i="2"/>
  <c r="AK114" i="2"/>
  <c r="AK117" i="2"/>
  <c r="AM116" i="2"/>
  <c r="AJ115" i="2"/>
  <c r="AP114" i="2"/>
  <c r="AL115" i="2"/>
  <c r="O20" i="2"/>
  <c r="AK152" i="2"/>
  <c r="AP151" i="2"/>
  <c r="AO150" i="2"/>
  <c r="AP149" i="2"/>
  <c r="AO151" i="2"/>
  <c r="AN150" i="2"/>
  <c r="AN149" i="2"/>
  <c r="AM152" i="2"/>
  <c r="AM151" i="2"/>
  <c r="AL150" i="2"/>
  <c r="AK149" i="2"/>
  <c r="AL152" i="2"/>
  <c r="AJ150" i="2"/>
  <c r="T22" i="2" s="1"/>
  <c r="AJ151" i="2"/>
  <c r="W22" i="2" s="1"/>
  <c r="Q22" i="2"/>
  <c r="R56" i="2"/>
  <c r="R57" i="2"/>
  <c r="T57" i="2"/>
  <c r="P57" i="2"/>
  <c r="H9" i="2"/>
  <c r="AA58" i="2" s="1"/>
  <c r="AN59" i="2"/>
  <c r="AM60" i="2"/>
  <c r="AK65" i="2"/>
  <c r="U67" i="2"/>
  <c r="R69" i="2"/>
  <c r="S69" i="2"/>
  <c r="U69" i="2"/>
  <c r="P69" i="2"/>
  <c r="AB96" i="2"/>
  <c r="AG95" i="2"/>
  <c r="AE94" i="2"/>
  <c r="AE93" i="2"/>
  <c r="AD96" i="2"/>
  <c r="X14" i="2" s="1"/>
  <c r="AD95" i="2"/>
  <c r="AA94" i="2"/>
  <c r="R14" i="2" s="1"/>
  <c r="AC96" i="2"/>
  <c r="AC94" i="2"/>
  <c r="AB93" i="2"/>
  <c r="O14" i="2" s="1"/>
  <c r="AA95" i="2"/>
  <c r="AF94" i="2"/>
  <c r="AG93" i="2"/>
  <c r="R79" i="2"/>
  <c r="AC82" i="2"/>
  <c r="AG81" i="2"/>
  <c r="AE80" i="2"/>
  <c r="AB79" i="2"/>
  <c r="O12" i="2" s="1"/>
  <c r="AB82" i="2"/>
  <c r="X12" i="2" s="1"/>
  <c r="AF81" i="2"/>
  <c r="AC80" i="2"/>
  <c r="AE79" i="2"/>
  <c r="AA81" i="2"/>
  <c r="U12" i="2" s="1"/>
  <c r="AD82" i="2"/>
  <c r="AA80" i="2"/>
  <c r="R12" i="2" s="1"/>
  <c r="AN100" i="2"/>
  <c r="AO101" i="2"/>
  <c r="AN108" i="2"/>
  <c r="AM82" i="2"/>
  <c r="AK82" i="2"/>
  <c r="AP81" i="2"/>
  <c r="AN80" i="2"/>
  <c r="AK79" i="2"/>
  <c r="AO80" i="2"/>
  <c r="AP79" i="2"/>
  <c r="AL82" i="2"/>
  <c r="AM81" i="2"/>
  <c r="AJ80" i="2"/>
  <c r="T12" i="2" s="1"/>
  <c r="Q12" i="2"/>
  <c r="AJ81" i="2"/>
  <c r="W12" i="2" s="1"/>
  <c r="AM131" i="2"/>
  <c r="AM130" i="2"/>
  <c r="AL129" i="2"/>
  <c r="AK128" i="2"/>
  <c r="AL131" i="2"/>
  <c r="AJ130" i="2"/>
  <c r="W19" i="2" s="1"/>
  <c r="AJ129" i="2"/>
  <c r="T19" i="2" s="1"/>
  <c r="AP130" i="2"/>
  <c r="AO129" i="2"/>
  <c r="AP128" i="2"/>
  <c r="AK131" i="2"/>
  <c r="AO130" i="2"/>
  <c r="AN128" i="2"/>
  <c r="AN129" i="2"/>
  <c r="Q19" i="2"/>
  <c r="AK138" i="2"/>
  <c r="AP137" i="2"/>
  <c r="AO136" i="2"/>
  <c r="AP135" i="2"/>
  <c r="AO137" i="2"/>
  <c r="AN136" i="2"/>
  <c r="AN135" i="2"/>
  <c r="AM137" i="2"/>
  <c r="AM138" i="2"/>
  <c r="AL136" i="2"/>
  <c r="AK135" i="2"/>
  <c r="AJ137" i="2"/>
  <c r="W20" i="2" s="1"/>
  <c r="Q20" i="2"/>
  <c r="AL138" i="2"/>
  <c r="AG53" i="2"/>
  <c r="AE52" i="2"/>
  <c r="AB51" i="2"/>
  <c r="AC54" i="2"/>
  <c r="AD53" i="2"/>
  <c r="AA52" i="2"/>
  <c r="R8" i="2" s="1"/>
  <c r="AG51" i="2"/>
  <c r="AA53" i="2"/>
  <c r="U8" i="2" s="1"/>
  <c r="R65" i="2"/>
  <c r="T65" i="2"/>
  <c r="P65" i="2"/>
  <c r="H11" i="2"/>
  <c r="AA72" i="2" s="1"/>
  <c r="AN79" i="2"/>
  <c r="AO81" i="2"/>
  <c r="AM89" i="2"/>
  <c r="AJ88" i="2"/>
  <c r="W13" i="2" s="1"/>
  <c r="AO87" i="2"/>
  <c r="AN86" i="2"/>
  <c r="AK89" i="2"/>
  <c r="AO88" i="2"/>
  <c r="AL87" i="2"/>
  <c r="AL89" i="2"/>
  <c r="AM88" i="2"/>
  <c r="AK86" i="2"/>
  <c r="AJ87" i="2"/>
  <c r="T13" i="2" s="1"/>
  <c r="Q13" i="2"/>
  <c r="AP88" i="2"/>
  <c r="AP86" i="2"/>
  <c r="AL96" i="2"/>
  <c r="AP95" i="2"/>
  <c r="AN94" i="2"/>
  <c r="AN93" i="2"/>
  <c r="AM95" i="2"/>
  <c r="AJ94" i="2"/>
  <c r="T14" i="2" s="1"/>
  <c r="AJ95" i="2"/>
  <c r="W14" i="2" s="1"/>
  <c r="AM96" i="2"/>
  <c r="AL94" i="2"/>
  <c r="AK93" i="2"/>
  <c r="Q14" i="2"/>
  <c r="AK96" i="2"/>
  <c r="AO95" i="2"/>
  <c r="AE101" i="2"/>
  <c r="AB100" i="2"/>
  <c r="AA101" i="2"/>
  <c r="R15" i="2" s="1"/>
  <c r="AG100" i="2"/>
  <c r="AB103" i="2"/>
  <c r="X15" i="2" s="1"/>
  <c r="AG102" i="2"/>
  <c r="AM145" i="2"/>
  <c r="AM144" i="2"/>
  <c r="AL143" i="2"/>
  <c r="AK142" i="2"/>
  <c r="AL145" i="2"/>
  <c r="AJ144" i="2"/>
  <c r="W21" i="2" s="1"/>
  <c r="AJ143" i="2"/>
  <c r="T21" i="2" s="1"/>
  <c r="AK145" i="2"/>
  <c r="AP144" i="2"/>
  <c r="AO143" i="2"/>
  <c r="AP142" i="2"/>
  <c r="Q21" i="2"/>
  <c r="AN143" i="2"/>
  <c r="R51" i="2"/>
  <c r="AF53" i="2"/>
  <c r="AD54" i="2"/>
  <c r="AP58" i="2"/>
  <c r="AJ59" i="2"/>
  <c r="T9" i="2" s="1"/>
  <c r="U63" i="2"/>
  <c r="Q65" i="2"/>
  <c r="T80" i="2"/>
  <c r="U80" i="2"/>
  <c r="Q87" i="2"/>
  <c r="H17" i="2" s="1"/>
  <c r="AA114" i="2" s="1"/>
  <c r="O17" i="2" s="1"/>
  <c r="E122" i="2" s="1"/>
  <c r="R87" i="2"/>
  <c r="AJ136" i="2"/>
  <c r="T20" i="2" s="1"/>
  <c r="AM68" i="2"/>
  <c r="AJ67" i="2"/>
  <c r="W10" i="2" s="1"/>
  <c r="AO66" i="2"/>
  <c r="AL68" i="2"/>
  <c r="AO67" i="2"/>
  <c r="AL66" i="2"/>
  <c r="AN65" i="2"/>
  <c r="Q10" i="2"/>
  <c r="AP60" i="2"/>
  <c r="U65" i="2"/>
  <c r="AP65" i="2"/>
  <c r="AD124" i="2"/>
  <c r="AD123" i="2"/>
  <c r="AA122" i="2"/>
  <c r="AG121" i="2"/>
  <c r="AC124" i="2"/>
  <c r="AA123" i="2"/>
  <c r="AF122" i="2"/>
  <c r="AE121" i="2"/>
  <c r="AB124" i="2"/>
  <c r="AF123" i="2"/>
  <c r="AE122" i="2"/>
  <c r="AB121" i="2"/>
  <c r="O18" i="2" s="1"/>
  <c r="AC122" i="2"/>
  <c r="AP102" i="2"/>
  <c r="AL110" i="2"/>
  <c r="AL122" i="2"/>
  <c r="AN142" i="2"/>
  <c r="U81" i="2"/>
  <c r="Q81" i="2"/>
  <c r="T81" i="2"/>
  <c r="U105" i="2"/>
  <c r="Q105" i="2"/>
  <c r="S105" i="2"/>
  <c r="P105" i="2"/>
  <c r="R107" i="2"/>
  <c r="Q107" i="2"/>
  <c r="AG151" i="2"/>
  <c r="AF150" i="2"/>
  <c r="AG149" i="2"/>
  <c r="AD152" i="2"/>
  <c r="AF151" i="2"/>
  <c r="AE150" i="2"/>
  <c r="AE149" i="2"/>
  <c r="AC152" i="2"/>
  <c r="AD151" i="2"/>
  <c r="AC150" i="2"/>
  <c r="AB149" i="2"/>
  <c r="AA151" i="2"/>
  <c r="U22" i="2" s="1"/>
  <c r="AC89" i="2"/>
  <c r="X13" i="2" s="1"/>
  <c r="AA88" i="2"/>
  <c r="AF87" i="2"/>
  <c r="AE86" i="2"/>
  <c r="AF88" i="2"/>
  <c r="AC87" i="2"/>
  <c r="AC131" i="2"/>
  <c r="AD130" i="2"/>
  <c r="AC129" i="2"/>
  <c r="AB128" i="2"/>
  <c r="O19" i="2" s="1"/>
  <c r="AB131" i="2"/>
  <c r="AA130" i="2"/>
  <c r="U19" i="2" s="1"/>
  <c r="AA129" i="2"/>
  <c r="R19" i="2" s="1"/>
  <c r="AG130" i="2"/>
  <c r="AF129" i="2"/>
  <c r="AG128" i="2"/>
  <c r="AC145" i="2"/>
  <c r="AD144" i="2"/>
  <c r="AC143" i="2"/>
  <c r="AB142" i="2"/>
  <c r="AB145" i="2"/>
  <c r="AA144" i="2"/>
  <c r="U21" i="2" s="1"/>
  <c r="AA143" i="2"/>
  <c r="R21" i="2" s="1"/>
  <c r="AG144" i="2"/>
  <c r="AF143" i="2"/>
  <c r="AG142" i="2"/>
  <c r="U73" i="2"/>
  <c r="Q73" i="2"/>
  <c r="T73" i="2"/>
  <c r="T77" i="2"/>
  <c r="P81" i="2"/>
  <c r="T85" i="2"/>
  <c r="P85" i="2"/>
  <c r="R85" i="2"/>
  <c r="AB86" i="2"/>
  <c r="AD88" i="2"/>
  <c r="AB89" i="2"/>
  <c r="U91" i="2"/>
  <c r="R95" i="2"/>
  <c r="U99" i="2"/>
  <c r="R103" i="2"/>
  <c r="R105" i="2"/>
  <c r="AE142" i="2"/>
  <c r="AF144" i="2"/>
  <c r="S81" i="2"/>
  <c r="AA87" i="2"/>
  <c r="R13" i="2" s="1"/>
  <c r="T93" i="2"/>
  <c r="P93" i="2"/>
  <c r="R93" i="2"/>
  <c r="T101" i="2"/>
  <c r="P101" i="2"/>
  <c r="R101" i="2"/>
  <c r="T104" i="2"/>
  <c r="U104" i="2"/>
  <c r="AE143" i="2"/>
  <c r="AD145" i="2"/>
  <c r="Q89" i="2"/>
  <c r="U89" i="2"/>
  <c r="S109" i="2"/>
  <c r="P109" i="2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T17" i="2" l="1"/>
  <c r="AB103" i="4"/>
  <c r="AG67" i="4"/>
  <c r="AF87" i="4"/>
  <c r="AG86" i="4"/>
  <c r="AA66" i="4"/>
  <c r="R10" i="4" s="1"/>
  <c r="H115" i="4" s="1"/>
  <c r="AC66" i="4"/>
  <c r="AD67" i="4"/>
  <c r="AF67" i="4"/>
  <c r="O10" i="4"/>
  <c r="E115" i="4" s="1"/>
  <c r="AF66" i="4"/>
  <c r="AB65" i="4"/>
  <c r="AD68" i="4"/>
  <c r="AE65" i="4"/>
  <c r="AG65" i="4"/>
  <c r="AB68" i="4"/>
  <c r="AC87" i="4"/>
  <c r="AC89" i="4"/>
  <c r="AG88" i="4"/>
  <c r="AB89" i="4"/>
  <c r="AE87" i="4"/>
  <c r="AE86" i="4"/>
  <c r="R12" i="4"/>
  <c r="H117" i="4" s="1"/>
  <c r="U12" i="4"/>
  <c r="J117" i="4" s="1"/>
  <c r="AD89" i="4"/>
  <c r="AF88" i="4"/>
  <c r="AD88" i="4"/>
  <c r="AA88" i="4"/>
  <c r="AB86" i="4"/>
  <c r="AA87" i="4"/>
  <c r="R13" i="4" s="1"/>
  <c r="G118" i="4" s="1"/>
  <c r="O13" i="4"/>
  <c r="F118" i="4" s="1"/>
  <c r="U13" i="2"/>
  <c r="J118" i="2" s="1"/>
  <c r="AB51" i="3"/>
  <c r="O8" i="3" s="1"/>
  <c r="F113" i="3" s="1"/>
  <c r="AC54" i="3"/>
  <c r="AA53" i="3"/>
  <c r="U8" i="3" s="1"/>
  <c r="J113" i="3" s="1"/>
  <c r="AF53" i="3"/>
  <c r="AD53" i="3"/>
  <c r="AF52" i="3"/>
  <c r="AC52" i="3"/>
  <c r="AA52" i="3"/>
  <c r="R8" i="3" s="1"/>
  <c r="G113" i="3" s="1"/>
  <c r="AE52" i="3"/>
  <c r="AG51" i="3"/>
  <c r="AB54" i="3"/>
  <c r="X8" i="3" s="1"/>
  <c r="AE51" i="3"/>
  <c r="AG53" i="3"/>
  <c r="AE66" i="4"/>
  <c r="F122" i="2"/>
  <c r="AE66" i="2"/>
  <c r="AD67" i="2"/>
  <c r="AC89" i="6"/>
  <c r="AD88" i="6"/>
  <c r="AB89" i="6"/>
  <c r="AC87" i="6"/>
  <c r="AG86" i="6"/>
  <c r="AG88" i="6"/>
  <c r="E121" i="5"/>
  <c r="E122" i="4"/>
  <c r="H114" i="4"/>
  <c r="E125" i="5"/>
  <c r="F124" i="5"/>
  <c r="H126" i="4"/>
  <c r="T17" i="4"/>
  <c r="W17" i="3"/>
  <c r="F115" i="3"/>
  <c r="T17" i="3"/>
  <c r="H126" i="2"/>
  <c r="G126" i="2"/>
  <c r="F118" i="2"/>
  <c r="E118" i="2"/>
  <c r="E127" i="2"/>
  <c r="F127" i="2"/>
  <c r="H125" i="2"/>
  <c r="G125" i="2"/>
  <c r="G127" i="2"/>
  <c r="H127" i="2"/>
  <c r="F126" i="2"/>
  <c r="E126" i="2"/>
  <c r="F125" i="2"/>
  <c r="E125" i="2"/>
  <c r="I117" i="2"/>
  <c r="J117" i="2"/>
  <c r="H120" i="2"/>
  <c r="G120" i="2"/>
  <c r="J125" i="2"/>
  <c r="I125" i="2"/>
  <c r="E117" i="2"/>
  <c r="F117" i="2"/>
  <c r="I120" i="2"/>
  <c r="J126" i="2"/>
  <c r="I126" i="2"/>
  <c r="H118" i="2"/>
  <c r="G118" i="2"/>
  <c r="G117" i="2"/>
  <c r="H117" i="2"/>
  <c r="I127" i="2"/>
  <c r="J127" i="2"/>
  <c r="X18" i="6"/>
  <c r="AD89" i="6"/>
  <c r="I122" i="4"/>
  <c r="G126" i="4"/>
  <c r="G127" i="3"/>
  <c r="H127" i="3"/>
  <c r="E117" i="3"/>
  <c r="F117" i="3"/>
  <c r="J127" i="3"/>
  <c r="I127" i="3"/>
  <c r="H126" i="3"/>
  <c r="G126" i="3"/>
  <c r="G125" i="3"/>
  <c r="H125" i="3"/>
  <c r="F123" i="3"/>
  <c r="E123" i="3"/>
  <c r="G123" i="3"/>
  <c r="H123" i="3"/>
  <c r="F118" i="3"/>
  <c r="E118" i="3"/>
  <c r="G118" i="3"/>
  <c r="H118" i="3"/>
  <c r="J124" i="3"/>
  <c r="I124" i="3"/>
  <c r="J125" i="3"/>
  <c r="I125" i="3"/>
  <c r="J117" i="3"/>
  <c r="I117" i="3"/>
  <c r="J119" i="3"/>
  <c r="I119" i="3"/>
  <c r="H124" i="3"/>
  <c r="G124" i="3"/>
  <c r="J126" i="3"/>
  <c r="I126" i="3"/>
  <c r="F125" i="3"/>
  <c r="E125" i="3"/>
  <c r="J123" i="3"/>
  <c r="I123" i="3"/>
  <c r="J118" i="3"/>
  <c r="I118" i="3"/>
  <c r="J120" i="3"/>
  <c r="I120" i="3"/>
  <c r="F127" i="3"/>
  <c r="E127" i="3"/>
  <c r="E126" i="3"/>
  <c r="F126" i="3"/>
  <c r="E121" i="3"/>
  <c r="F121" i="3"/>
  <c r="J121" i="3"/>
  <c r="I121" i="3"/>
  <c r="H17" i="3"/>
  <c r="AA114" i="3" s="1"/>
  <c r="AF116" i="3" s="1"/>
  <c r="H121" i="3"/>
  <c r="G121" i="3"/>
  <c r="H117" i="3"/>
  <c r="G117" i="3"/>
  <c r="E119" i="3"/>
  <c r="F119" i="3"/>
  <c r="H119" i="3"/>
  <c r="G119" i="3"/>
  <c r="E124" i="3"/>
  <c r="F124" i="3"/>
  <c r="F120" i="3"/>
  <c r="E120" i="3"/>
  <c r="G120" i="3"/>
  <c r="H120" i="3"/>
  <c r="G125" i="5"/>
  <c r="E124" i="5"/>
  <c r="F119" i="5"/>
  <c r="J113" i="5"/>
  <c r="I113" i="5"/>
  <c r="F113" i="5"/>
  <c r="E113" i="5"/>
  <c r="H113" i="5"/>
  <c r="G113" i="5"/>
  <c r="F125" i="5"/>
  <c r="J120" i="5"/>
  <c r="I120" i="5"/>
  <c r="J125" i="5"/>
  <c r="I125" i="5"/>
  <c r="H120" i="5"/>
  <c r="G120" i="5"/>
  <c r="I117" i="5"/>
  <c r="J117" i="5"/>
  <c r="E114" i="5"/>
  <c r="F114" i="5"/>
  <c r="E126" i="5"/>
  <c r="J126" i="5"/>
  <c r="I126" i="5"/>
  <c r="G121" i="5"/>
  <c r="H121" i="5"/>
  <c r="H114" i="5"/>
  <c r="G114" i="5"/>
  <c r="H117" i="5"/>
  <c r="G117" i="5"/>
  <c r="G124" i="5"/>
  <c r="H124" i="5"/>
  <c r="H123" i="5"/>
  <c r="G123" i="5"/>
  <c r="T17" i="5"/>
  <c r="E127" i="5"/>
  <c r="F127" i="5"/>
  <c r="H127" i="5"/>
  <c r="G127" i="5"/>
  <c r="I114" i="5"/>
  <c r="J114" i="5"/>
  <c r="F116" i="5"/>
  <c r="E116" i="5"/>
  <c r="J116" i="5"/>
  <c r="I116" i="5"/>
  <c r="E122" i="5"/>
  <c r="E123" i="5"/>
  <c r="F118" i="5"/>
  <c r="E118" i="5"/>
  <c r="E120" i="5"/>
  <c r="J124" i="5"/>
  <c r="I124" i="5"/>
  <c r="G118" i="5"/>
  <c r="H118" i="5"/>
  <c r="H126" i="5"/>
  <c r="G126" i="5"/>
  <c r="J123" i="5"/>
  <c r="I123" i="5"/>
  <c r="J121" i="5"/>
  <c r="I121" i="5"/>
  <c r="J127" i="5"/>
  <c r="I127" i="5"/>
  <c r="H116" i="5"/>
  <c r="G116" i="5"/>
  <c r="F117" i="5"/>
  <c r="E117" i="5"/>
  <c r="J118" i="5"/>
  <c r="I118" i="5"/>
  <c r="AB51" i="6"/>
  <c r="O8" i="6" s="1"/>
  <c r="E113" i="6" s="1"/>
  <c r="AA52" i="6"/>
  <c r="R8" i="6" s="1"/>
  <c r="H113" i="6" s="1"/>
  <c r="AG51" i="6"/>
  <c r="AA53" i="6"/>
  <c r="U8" i="6" s="1"/>
  <c r="I113" i="6" s="1"/>
  <c r="AC75" i="6"/>
  <c r="AE72" i="6"/>
  <c r="AE73" i="6"/>
  <c r="H121" i="6"/>
  <c r="G121" i="6"/>
  <c r="F118" i="6"/>
  <c r="E118" i="6"/>
  <c r="F119" i="6"/>
  <c r="E119" i="6"/>
  <c r="J121" i="6"/>
  <c r="I121" i="6"/>
  <c r="AE52" i="6"/>
  <c r="J120" i="6"/>
  <c r="I120" i="6"/>
  <c r="F120" i="6"/>
  <c r="E120" i="6"/>
  <c r="AF87" i="6"/>
  <c r="AB86" i="6"/>
  <c r="H120" i="6"/>
  <c r="G120" i="6"/>
  <c r="H127" i="6"/>
  <c r="G127" i="6"/>
  <c r="T17" i="6"/>
  <c r="H125" i="6"/>
  <c r="G125" i="6"/>
  <c r="AF53" i="6"/>
  <c r="AC54" i="6"/>
  <c r="AE51" i="6"/>
  <c r="H119" i="6"/>
  <c r="G119" i="6"/>
  <c r="J126" i="6"/>
  <c r="I126" i="6"/>
  <c r="E123" i="6"/>
  <c r="F123" i="6"/>
  <c r="H123" i="6"/>
  <c r="G123" i="6"/>
  <c r="F125" i="6"/>
  <c r="E125" i="6"/>
  <c r="F117" i="6"/>
  <c r="E117" i="6"/>
  <c r="G124" i="6"/>
  <c r="H124" i="6"/>
  <c r="AG53" i="6"/>
  <c r="AD54" i="6"/>
  <c r="AB54" i="6"/>
  <c r="X8" i="6" s="1"/>
  <c r="H126" i="6"/>
  <c r="G126" i="6"/>
  <c r="F124" i="6"/>
  <c r="E124" i="6"/>
  <c r="F121" i="6"/>
  <c r="E121" i="6"/>
  <c r="AA87" i="6"/>
  <c r="R13" i="6" s="1"/>
  <c r="G118" i="6" s="1"/>
  <c r="AE87" i="6"/>
  <c r="J127" i="6"/>
  <c r="I127" i="6"/>
  <c r="J124" i="6"/>
  <c r="I124" i="6"/>
  <c r="AE86" i="6"/>
  <c r="F127" i="6"/>
  <c r="E127" i="6"/>
  <c r="I125" i="6"/>
  <c r="J125" i="6"/>
  <c r="J123" i="6"/>
  <c r="I123" i="6"/>
  <c r="J117" i="6"/>
  <c r="I117" i="6"/>
  <c r="H117" i="6"/>
  <c r="G117" i="6"/>
  <c r="AD53" i="6"/>
  <c r="AC52" i="6"/>
  <c r="J119" i="6"/>
  <c r="I119" i="6"/>
  <c r="F126" i="6"/>
  <c r="E126" i="6"/>
  <c r="I115" i="3"/>
  <c r="J115" i="3"/>
  <c r="G115" i="3"/>
  <c r="H115" i="3"/>
  <c r="U14" i="5"/>
  <c r="J119" i="5" s="1"/>
  <c r="E119" i="5"/>
  <c r="R14" i="5"/>
  <c r="J115" i="5"/>
  <c r="I115" i="5"/>
  <c r="H115" i="5"/>
  <c r="G115" i="5"/>
  <c r="F115" i="5"/>
  <c r="E115" i="5"/>
  <c r="AC73" i="6"/>
  <c r="AF73" i="6"/>
  <c r="AD74" i="6"/>
  <c r="AG74" i="6"/>
  <c r="O11" i="6"/>
  <c r="E116" i="6" s="1"/>
  <c r="AB72" i="6"/>
  <c r="AD75" i="6"/>
  <c r="F114" i="6"/>
  <c r="E114" i="6"/>
  <c r="J114" i="6"/>
  <c r="I114" i="6"/>
  <c r="G114" i="6"/>
  <c r="H114" i="6"/>
  <c r="F127" i="4"/>
  <c r="E127" i="4"/>
  <c r="H127" i="4"/>
  <c r="G127" i="4"/>
  <c r="J127" i="4"/>
  <c r="I127" i="4"/>
  <c r="E126" i="4"/>
  <c r="F126" i="4"/>
  <c r="I126" i="4"/>
  <c r="J126" i="4"/>
  <c r="G125" i="4"/>
  <c r="H125" i="4"/>
  <c r="F125" i="4"/>
  <c r="E125" i="4"/>
  <c r="J125" i="4"/>
  <c r="I125" i="4"/>
  <c r="H124" i="4"/>
  <c r="G124" i="4"/>
  <c r="F124" i="4"/>
  <c r="E124" i="4"/>
  <c r="J124" i="4"/>
  <c r="I124" i="4"/>
  <c r="F123" i="4"/>
  <c r="E123" i="4"/>
  <c r="J123" i="4"/>
  <c r="I123" i="4"/>
  <c r="H123" i="4"/>
  <c r="G123" i="4"/>
  <c r="G122" i="4"/>
  <c r="H122" i="4"/>
  <c r="F121" i="4"/>
  <c r="E121" i="4"/>
  <c r="J121" i="4"/>
  <c r="I121" i="4"/>
  <c r="H121" i="4"/>
  <c r="G121" i="4"/>
  <c r="J120" i="4"/>
  <c r="I120" i="4"/>
  <c r="F120" i="4"/>
  <c r="E120" i="4"/>
  <c r="G120" i="4"/>
  <c r="H120" i="4"/>
  <c r="F119" i="4"/>
  <c r="E119" i="4"/>
  <c r="H119" i="4"/>
  <c r="G119" i="4"/>
  <c r="J119" i="4"/>
  <c r="I119" i="4"/>
  <c r="F117" i="4"/>
  <c r="E117" i="4"/>
  <c r="F116" i="4"/>
  <c r="E116" i="4"/>
  <c r="G116" i="4"/>
  <c r="H116" i="4"/>
  <c r="I116" i="4"/>
  <c r="F115" i="4"/>
  <c r="J115" i="4"/>
  <c r="I115" i="4"/>
  <c r="J114" i="4"/>
  <c r="I114" i="4"/>
  <c r="F114" i="4"/>
  <c r="E114" i="4"/>
  <c r="H113" i="4"/>
  <c r="G113" i="4"/>
  <c r="J113" i="4"/>
  <c r="I113" i="4"/>
  <c r="F113" i="4"/>
  <c r="E113" i="4"/>
  <c r="I124" i="2"/>
  <c r="J124" i="2"/>
  <c r="E124" i="2"/>
  <c r="F124" i="2"/>
  <c r="G124" i="2"/>
  <c r="H124" i="2"/>
  <c r="X18" i="2"/>
  <c r="R18" i="2"/>
  <c r="H123" i="2" s="1"/>
  <c r="U18" i="2"/>
  <c r="J123" i="2" s="1"/>
  <c r="F123" i="2"/>
  <c r="E123" i="2"/>
  <c r="E119" i="2"/>
  <c r="F119" i="2"/>
  <c r="G119" i="2"/>
  <c r="H119" i="2"/>
  <c r="J113" i="2"/>
  <c r="I113" i="2"/>
  <c r="H113" i="2"/>
  <c r="G113" i="2"/>
  <c r="F113" i="2"/>
  <c r="E113" i="2"/>
  <c r="AE100" i="2"/>
  <c r="AC101" i="2"/>
  <c r="AA102" i="2"/>
  <c r="U15" i="2" s="1"/>
  <c r="J120" i="2" s="1"/>
  <c r="AF102" i="2"/>
  <c r="AD103" i="2"/>
  <c r="AF101" i="2"/>
  <c r="AD102" i="2"/>
  <c r="O16" i="2"/>
  <c r="E121" i="2" s="1"/>
  <c r="O15" i="2"/>
  <c r="F120" i="2" s="1"/>
  <c r="U14" i="2"/>
  <c r="I119" i="2" s="1"/>
  <c r="AE107" i="2"/>
  <c r="AC108" i="2"/>
  <c r="AF66" i="2"/>
  <c r="AD68" i="2"/>
  <c r="AA67" i="2"/>
  <c r="U10" i="2" s="1"/>
  <c r="AG67" i="2"/>
  <c r="AF67" i="2"/>
  <c r="AE65" i="2"/>
  <c r="AA66" i="2"/>
  <c r="R10" i="2" s="1"/>
  <c r="AA108" i="2"/>
  <c r="AA109" i="2"/>
  <c r="AG109" i="2"/>
  <c r="AF109" i="2"/>
  <c r="AF108" i="2"/>
  <c r="AG107" i="2"/>
  <c r="AD109" i="2"/>
  <c r="AD110" i="2"/>
  <c r="AB110" i="2"/>
  <c r="AE108" i="2"/>
  <c r="AC110" i="2"/>
  <c r="AG65" i="2"/>
  <c r="AB68" i="2"/>
  <c r="AC66" i="2"/>
  <c r="AB65" i="2"/>
  <c r="O10" i="2"/>
  <c r="AB114" i="6"/>
  <c r="O17" i="6"/>
  <c r="AE115" i="6"/>
  <c r="AD117" i="6"/>
  <c r="AF115" i="6"/>
  <c r="AG114" i="6"/>
  <c r="AF116" i="6"/>
  <c r="AB117" i="6"/>
  <c r="AG116" i="6"/>
  <c r="AC117" i="6"/>
  <c r="X17" i="6" s="1"/>
  <c r="AC115" i="6"/>
  <c r="R17" i="6" s="1"/>
  <c r="AA116" i="6"/>
  <c r="U17" i="6" s="1"/>
  <c r="I122" i="6" s="1"/>
  <c r="AD116" i="6"/>
  <c r="AF88" i="6"/>
  <c r="AA88" i="6"/>
  <c r="U13" i="6" s="1"/>
  <c r="J118" i="6" s="1"/>
  <c r="AF74" i="6"/>
  <c r="AA73" i="6"/>
  <c r="R11" i="6" s="1"/>
  <c r="G116" i="6" s="1"/>
  <c r="AA74" i="6"/>
  <c r="U11" i="6" s="1"/>
  <c r="I116" i="6" s="1"/>
  <c r="AG72" i="6"/>
  <c r="AC68" i="6"/>
  <c r="AA67" i="6"/>
  <c r="U10" i="6" s="1"/>
  <c r="J115" i="6" s="1"/>
  <c r="AF66" i="6"/>
  <c r="AG65" i="6"/>
  <c r="AF67" i="6"/>
  <c r="AC66" i="6"/>
  <c r="AB65" i="6"/>
  <c r="AD68" i="6"/>
  <c r="AA66" i="6"/>
  <c r="R10" i="6" s="1"/>
  <c r="H115" i="6" s="1"/>
  <c r="AD67" i="6"/>
  <c r="AE65" i="6"/>
  <c r="AB68" i="6"/>
  <c r="AG67" i="6"/>
  <c r="O10" i="6"/>
  <c r="F115" i="6" s="1"/>
  <c r="AE66" i="6"/>
  <c r="AF116" i="5"/>
  <c r="AC115" i="5"/>
  <c r="AG116" i="5"/>
  <c r="AE115" i="5"/>
  <c r="AE114" i="5"/>
  <c r="AD117" i="5"/>
  <c r="AB114" i="5"/>
  <c r="AB117" i="5"/>
  <c r="AD116" i="5"/>
  <c r="AF115" i="5"/>
  <c r="AA116" i="5"/>
  <c r="U17" i="5" s="1"/>
  <c r="AA115" i="5"/>
  <c r="AC117" i="5"/>
  <c r="X17" i="5" s="1"/>
  <c r="AG114" i="5"/>
  <c r="AC117" i="3"/>
  <c r="AA116" i="3"/>
  <c r="AD116" i="3"/>
  <c r="AB114" i="3"/>
  <c r="O17" i="3" s="1"/>
  <c r="AG114" i="3"/>
  <c r="AF60" i="3"/>
  <c r="AC59" i="3"/>
  <c r="AD61" i="3"/>
  <c r="AD60" i="3"/>
  <c r="AA59" i="3"/>
  <c r="R9" i="3" s="1"/>
  <c r="H114" i="3" s="1"/>
  <c r="AG58" i="3"/>
  <c r="AC61" i="3"/>
  <c r="AA60" i="3"/>
  <c r="U9" i="3" s="1"/>
  <c r="J114" i="3" s="1"/>
  <c r="AF59" i="3"/>
  <c r="AE58" i="3"/>
  <c r="AB61" i="3"/>
  <c r="X9" i="3" s="1"/>
  <c r="AG60" i="3"/>
  <c r="AE59" i="3"/>
  <c r="AB58" i="3"/>
  <c r="O9" i="3" s="1"/>
  <c r="F114" i="3" s="1"/>
  <c r="AB75" i="3"/>
  <c r="AG74" i="3"/>
  <c r="AF73" i="3"/>
  <c r="AE72" i="3"/>
  <c r="AD75" i="3"/>
  <c r="AD74" i="3"/>
  <c r="AC73" i="3"/>
  <c r="AA74" i="3"/>
  <c r="U11" i="3" s="1"/>
  <c r="J116" i="3" s="1"/>
  <c r="AA73" i="3"/>
  <c r="R11" i="3" s="1"/>
  <c r="G116" i="3" s="1"/>
  <c r="AG72" i="3"/>
  <c r="AC75" i="3"/>
  <c r="AB72" i="3"/>
  <c r="AF74" i="3"/>
  <c r="AE73" i="3"/>
  <c r="O11" i="3"/>
  <c r="F116" i="3" s="1"/>
  <c r="AC117" i="2"/>
  <c r="X17" i="2" s="1"/>
  <c r="AA116" i="2"/>
  <c r="AF115" i="2"/>
  <c r="AE114" i="2"/>
  <c r="AB117" i="2"/>
  <c r="AG116" i="2"/>
  <c r="AE115" i="2"/>
  <c r="AB114" i="2"/>
  <c r="AG114" i="2"/>
  <c r="AD116" i="2"/>
  <c r="AA115" i="2"/>
  <c r="AF116" i="2"/>
  <c r="AC115" i="2"/>
  <c r="AD117" i="2"/>
  <c r="AF60" i="2"/>
  <c r="AC59" i="2"/>
  <c r="AC61" i="2"/>
  <c r="AA60" i="2"/>
  <c r="U9" i="2" s="1"/>
  <c r="I114" i="2" s="1"/>
  <c r="AF59" i="2"/>
  <c r="AE58" i="2"/>
  <c r="AD61" i="2"/>
  <c r="AA59" i="2"/>
  <c r="R9" i="2" s="1"/>
  <c r="G114" i="2" s="1"/>
  <c r="AG58" i="2"/>
  <c r="O9" i="2"/>
  <c r="E114" i="2" s="1"/>
  <c r="AG60" i="2"/>
  <c r="AD60" i="2"/>
  <c r="AE59" i="2"/>
  <c r="AB61" i="2"/>
  <c r="AB58" i="2"/>
  <c r="AB75" i="2"/>
  <c r="AG74" i="2"/>
  <c r="AF73" i="2"/>
  <c r="AE72" i="2"/>
  <c r="AC73" i="2"/>
  <c r="AD75" i="2"/>
  <c r="AD74" i="2"/>
  <c r="AG72" i="2"/>
  <c r="AA74" i="2"/>
  <c r="U11" i="2" s="1"/>
  <c r="I116" i="2" s="1"/>
  <c r="O11" i="2"/>
  <c r="F116" i="2" s="1"/>
  <c r="AC75" i="2"/>
  <c r="AF74" i="2"/>
  <c r="AA73" i="2"/>
  <c r="R11" i="2" s="1"/>
  <c r="G116" i="2" s="1"/>
  <c r="AE73" i="2"/>
  <c r="AB72" i="2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13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8" i="1"/>
  <c r="AJ58" i="1"/>
  <c r="AJ65" i="1"/>
  <c r="AJ72" i="1"/>
  <c r="AJ79" i="1"/>
  <c r="AM82" i="1" s="1"/>
  <c r="Z12" i="1" s="1"/>
  <c r="AJ86" i="1"/>
  <c r="AJ93" i="1"/>
  <c r="AK96" i="1" s="1"/>
  <c r="Z14" i="1" s="1"/>
  <c r="AJ100" i="1"/>
  <c r="AM103" i="1" s="1"/>
  <c r="AJ107" i="1"/>
  <c r="AM110" i="1" s="1"/>
  <c r="AJ114" i="1"/>
  <c r="AK117" i="1" s="1"/>
  <c r="AJ121" i="1"/>
  <c r="AK124" i="1" s="1"/>
  <c r="Z18" i="1" s="1"/>
  <c r="AJ128" i="1"/>
  <c r="AK131" i="1" s="1"/>
  <c r="Z19" i="1" s="1"/>
  <c r="AJ135" i="1"/>
  <c r="AP137" i="1" s="1"/>
  <c r="AJ142" i="1"/>
  <c r="AK145" i="1" s="1"/>
  <c r="Z21" i="1" s="1"/>
  <c r="AJ149" i="1"/>
  <c r="AM152" i="1" s="1"/>
  <c r="AJ51" i="1"/>
  <c r="AK54" i="1" s="1"/>
  <c r="S108" i="1"/>
  <c r="U108" i="1" s="1"/>
  <c r="S107" i="1"/>
  <c r="U107" i="1" s="1"/>
  <c r="P108" i="1"/>
  <c r="Q108" i="1" s="1"/>
  <c r="P107" i="1"/>
  <c r="R107" i="1" s="1"/>
  <c r="O109" i="1"/>
  <c r="Q109" i="1" s="1"/>
  <c r="O108" i="1"/>
  <c r="O107" i="1"/>
  <c r="S104" i="1"/>
  <c r="U104" i="1" s="1"/>
  <c r="S103" i="1"/>
  <c r="U103" i="1" s="1"/>
  <c r="P104" i="1"/>
  <c r="R104" i="1" s="1"/>
  <c r="P103" i="1"/>
  <c r="R103" i="1" s="1"/>
  <c r="O105" i="1"/>
  <c r="R105" i="1" s="1"/>
  <c r="O104" i="1"/>
  <c r="O103" i="1"/>
  <c r="S100" i="1"/>
  <c r="U100" i="1" s="1"/>
  <c r="S99" i="1"/>
  <c r="U99" i="1" s="1"/>
  <c r="P100" i="1"/>
  <c r="R100" i="1" s="1"/>
  <c r="P99" i="1"/>
  <c r="R99" i="1" s="1"/>
  <c r="O101" i="1"/>
  <c r="T101" i="1" s="1"/>
  <c r="O100" i="1"/>
  <c r="O99" i="1"/>
  <c r="S96" i="1"/>
  <c r="U96" i="1" s="1"/>
  <c r="S95" i="1"/>
  <c r="U95" i="1" s="1"/>
  <c r="P96" i="1"/>
  <c r="R96" i="1" s="1"/>
  <c r="P95" i="1"/>
  <c r="R95" i="1" s="1"/>
  <c r="O97" i="1"/>
  <c r="Q97" i="1" s="1"/>
  <c r="O96" i="1"/>
  <c r="O95" i="1"/>
  <c r="S92" i="1"/>
  <c r="U92" i="1" s="1"/>
  <c r="S91" i="1"/>
  <c r="U91" i="1" s="1"/>
  <c r="P92" i="1"/>
  <c r="R92" i="1" s="1"/>
  <c r="P91" i="1"/>
  <c r="Q91" i="1" s="1"/>
  <c r="O93" i="1"/>
  <c r="Q93" i="1" s="1"/>
  <c r="O92" i="1"/>
  <c r="O91" i="1"/>
  <c r="S88" i="1"/>
  <c r="T88" i="1" s="1"/>
  <c r="S87" i="1"/>
  <c r="U87" i="1" s="1"/>
  <c r="P88" i="1"/>
  <c r="R88" i="1" s="1"/>
  <c r="P87" i="1"/>
  <c r="R87" i="1" s="1"/>
  <c r="O89" i="1"/>
  <c r="Q89" i="1" s="1"/>
  <c r="O88" i="1"/>
  <c r="O87" i="1"/>
  <c r="S84" i="1"/>
  <c r="U84" i="1" s="1"/>
  <c r="S83" i="1"/>
  <c r="U83" i="1" s="1"/>
  <c r="P84" i="1"/>
  <c r="R84" i="1" s="1"/>
  <c r="P83" i="1"/>
  <c r="Q83" i="1" s="1"/>
  <c r="O85" i="1"/>
  <c r="R85" i="1" s="1"/>
  <c r="O84" i="1"/>
  <c r="O79" i="1"/>
  <c r="O83" i="1"/>
  <c r="S80" i="1"/>
  <c r="T80" i="1" s="1"/>
  <c r="S79" i="1"/>
  <c r="U79" i="1" s="1"/>
  <c r="P80" i="1"/>
  <c r="Q80" i="1" s="1"/>
  <c r="P79" i="1"/>
  <c r="R79" i="1" s="1"/>
  <c r="O81" i="1"/>
  <c r="Q81" i="1" s="1"/>
  <c r="O80" i="1"/>
  <c r="S76" i="1"/>
  <c r="T76" i="1" s="1"/>
  <c r="S75" i="1"/>
  <c r="U75" i="1" s="1"/>
  <c r="P76" i="1"/>
  <c r="R76" i="1" s="1"/>
  <c r="P75" i="1"/>
  <c r="R75" i="1" s="1"/>
  <c r="O77" i="1"/>
  <c r="Q77" i="1" s="1"/>
  <c r="O76" i="1"/>
  <c r="O75" i="1"/>
  <c r="S72" i="1"/>
  <c r="U72" i="1" s="1"/>
  <c r="S71" i="1"/>
  <c r="U71" i="1" s="1"/>
  <c r="P72" i="1"/>
  <c r="R72" i="1" s="1"/>
  <c r="P71" i="1"/>
  <c r="R71" i="1" s="1"/>
  <c r="O73" i="1"/>
  <c r="R73" i="1" s="1"/>
  <c r="O72" i="1"/>
  <c r="O71" i="1"/>
  <c r="S68" i="1"/>
  <c r="U68" i="1" s="1"/>
  <c r="S67" i="1"/>
  <c r="U67" i="1" s="1"/>
  <c r="P68" i="1"/>
  <c r="R68" i="1" s="1"/>
  <c r="P67" i="1"/>
  <c r="R67" i="1" s="1"/>
  <c r="O69" i="1"/>
  <c r="R69" i="1" s="1"/>
  <c r="O68" i="1"/>
  <c r="O67" i="1"/>
  <c r="S64" i="1"/>
  <c r="U64" i="1" s="1"/>
  <c r="S63" i="1"/>
  <c r="U63" i="1" s="1"/>
  <c r="P64" i="1"/>
  <c r="R64" i="1" s="1"/>
  <c r="P63" i="1"/>
  <c r="R63" i="1" s="1"/>
  <c r="O65" i="1"/>
  <c r="Q65" i="1" s="1"/>
  <c r="O64" i="1"/>
  <c r="O63" i="1"/>
  <c r="O61" i="1"/>
  <c r="R61" i="1" s="1"/>
  <c r="S60" i="1"/>
  <c r="U60" i="1" s="1"/>
  <c r="P60" i="1"/>
  <c r="R60" i="1" s="1"/>
  <c r="O60" i="1"/>
  <c r="S59" i="1"/>
  <c r="U59" i="1" s="1"/>
  <c r="P59" i="1"/>
  <c r="R59" i="1" s="1"/>
  <c r="O59" i="1"/>
  <c r="O57" i="1"/>
  <c r="T57" i="1" s="1"/>
  <c r="O56" i="1"/>
  <c r="O55" i="1"/>
  <c r="S55" i="1"/>
  <c r="U55" i="1" s="1"/>
  <c r="S56" i="1"/>
  <c r="U56" i="1" s="1"/>
  <c r="P56" i="1"/>
  <c r="R56" i="1" s="1"/>
  <c r="P55" i="1"/>
  <c r="R55" i="1" s="1"/>
  <c r="Q53" i="1"/>
  <c r="R53" i="1"/>
  <c r="S53" i="1"/>
  <c r="T53" i="1"/>
  <c r="U53" i="1"/>
  <c r="P53" i="1"/>
  <c r="O51" i="1"/>
  <c r="O52" i="1"/>
  <c r="S52" i="1"/>
  <c r="U52" i="1" s="1"/>
  <c r="S51" i="1"/>
  <c r="T51" i="1" s="1"/>
  <c r="P52" i="1"/>
  <c r="Q52" i="1" s="1"/>
  <c r="P51" i="1"/>
  <c r="R51" i="1" s="1"/>
  <c r="O53" i="1"/>
  <c r="I117" i="4" l="1"/>
  <c r="T109" i="1"/>
  <c r="G115" i="4"/>
  <c r="U13" i="4"/>
  <c r="I118" i="4" s="1"/>
  <c r="I128" i="4" s="1"/>
  <c r="G117" i="4"/>
  <c r="X13" i="4"/>
  <c r="H118" i="4"/>
  <c r="H128" i="4" s="1"/>
  <c r="E118" i="4"/>
  <c r="E128" i="4" s="1"/>
  <c r="I118" i="2"/>
  <c r="E113" i="3"/>
  <c r="I113" i="3"/>
  <c r="H113" i="3"/>
  <c r="J116" i="2"/>
  <c r="F114" i="2"/>
  <c r="H114" i="2"/>
  <c r="J114" i="2"/>
  <c r="F121" i="2"/>
  <c r="E120" i="2"/>
  <c r="H116" i="2"/>
  <c r="E116" i="2"/>
  <c r="U17" i="3"/>
  <c r="J122" i="3" s="1"/>
  <c r="J128" i="3" s="1"/>
  <c r="AD117" i="3"/>
  <c r="AB117" i="3"/>
  <c r="AC115" i="3"/>
  <c r="AE115" i="3"/>
  <c r="AE114" i="3"/>
  <c r="E114" i="3"/>
  <c r="J113" i="6"/>
  <c r="I116" i="3"/>
  <c r="AK110" i="1"/>
  <c r="Z16" i="1" s="1"/>
  <c r="AK138" i="1"/>
  <c r="Z20" i="1" s="1"/>
  <c r="AG116" i="3"/>
  <c r="AA115" i="3"/>
  <c r="R17" i="3" s="1"/>
  <c r="AF115" i="3"/>
  <c r="H118" i="6"/>
  <c r="G113" i="6"/>
  <c r="J116" i="6"/>
  <c r="G114" i="3"/>
  <c r="H116" i="3"/>
  <c r="E116" i="3"/>
  <c r="I114" i="3"/>
  <c r="F113" i="6"/>
  <c r="R17" i="5"/>
  <c r="H122" i="5" s="1"/>
  <c r="H116" i="6"/>
  <c r="J122" i="6"/>
  <c r="I118" i="6"/>
  <c r="H122" i="6"/>
  <c r="G122" i="6"/>
  <c r="F122" i="6"/>
  <c r="E122" i="6"/>
  <c r="X17" i="3"/>
  <c r="E122" i="3"/>
  <c r="F122" i="3"/>
  <c r="F128" i="3" s="1"/>
  <c r="I119" i="5"/>
  <c r="H119" i="5"/>
  <c r="G119" i="5"/>
  <c r="J122" i="5"/>
  <c r="J128" i="5" s="1"/>
  <c r="I122" i="5"/>
  <c r="F116" i="6"/>
  <c r="I115" i="6"/>
  <c r="G115" i="6"/>
  <c r="E115" i="6"/>
  <c r="F128" i="4"/>
  <c r="Q12" i="1"/>
  <c r="AK82" i="1"/>
  <c r="G123" i="2"/>
  <c r="I123" i="2"/>
  <c r="J119" i="2"/>
  <c r="E115" i="2"/>
  <c r="F115" i="2"/>
  <c r="G115" i="2"/>
  <c r="H115" i="2"/>
  <c r="I115" i="2"/>
  <c r="J115" i="2"/>
  <c r="U16" i="2"/>
  <c r="R16" i="2"/>
  <c r="U17" i="2"/>
  <c r="R17" i="2"/>
  <c r="R109" i="1"/>
  <c r="E128" i="5"/>
  <c r="F128" i="5"/>
  <c r="U109" i="1"/>
  <c r="U88" i="1"/>
  <c r="S61" i="1"/>
  <c r="U51" i="1"/>
  <c r="R93" i="1"/>
  <c r="R89" i="1"/>
  <c r="U76" i="1"/>
  <c r="S73" i="1"/>
  <c r="T68" i="1"/>
  <c r="AM68" i="1"/>
  <c r="AK68" i="1"/>
  <c r="Z10" i="1" s="1"/>
  <c r="AO66" i="1"/>
  <c r="AM89" i="1"/>
  <c r="AK89" i="1"/>
  <c r="Z13" i="1" s="1"/>
  <c r="AM61" i="1"/>
  <c r="AK61" i="1"/>
  <c r="Z9" i="1" s="1"/>
  <c r="AO59" i="1"/>
  <c r="AL61" i="1"/>
  <c r="AM75" i="1"/>
  <c r="AK75" i="1"/>
  <c r="T61" i="1"/>
  <c r="R101" i="1"/>
  <c r="AK152" i="1"/>
  <c r="Z22" i="1" s="1"/>
  <c r="Q101" i="1"/>
  <c r="T93" i="1"/>
  <c r="Q103" i="1"/>
  <c r="S93" i="1"/>
  <c r="AK103" i="1"/>
  <c r="Z15" i="1" s="1"/>
  <c r="H8" i="1"/>
  <c r="AA51" i="1" s="1"/>
  <c r="AF52" i="1" s="1"/>
  <c r="T67" i="1"/>
  <c r="R77" i="1"/>
  <c r="P57" i="1"/>
  <c r="T73" i="1"/>
  <c r="AL68" i="1"/>
  <c r="AM145" i="1"/>
  <c r="AO144" i="1"/>
  <c r="AL143" i="1"/>
  <c r="AM131" i="1"/>
  <c r="AM130" i="1"/>
  <c r="AP128" i="1"/>
  <c r="AL131" i="1"/>
  <c r="AO129" i="1"/>
  <c r="AN128" i="1"/>
  <c r="AP130" i="1"/>
  <c r="AN129" i="1"/>
  <c r="AK128" i="1"/>
  <c r="Q19" i="1" s="1"/>
  <c r="AO130" i="1"/>
  <c r="AL129" i="1"/>
  <c r="AM124" i="1"/>
  <c r="AO123" i="1"/>
  <c r="AL122" i="1"/>
  <c r="AM117" i="1"/>
  <c r="AL117" i="1"/>
  <c r="Z17" i="1" s="1"/>
  <c r="AO115" i="1"/>
  <c r="AM96" i="1"/>
  <c r="AO95" i="1"/>
  <c r="AL96" i="1"/>
  <c r="AO94" i="1"/>
  <c r="AP93" i="1"/>
  <c r="AP95" i="1"/>
  <c r="AN93" i="1"/>
  <c r="AL89" i="1"/>
  <c r="AO87" i="1"/>
  <c r="AL152" i="1"/>
  <c r="AL150" i="1"/>
  <c r="AO151" i="1"/>
  <c r="AK149" i="1"/>
  <c r="Q22" i="1" s="1"/>
  <c r="AN150" i="1"/>
  <c r="AP151" i="1"/>
  <c r="AN149" i="1"/>
  <c r="AO150" i="1"/>
  <c r="AP149" i="1"/>
  <c r="AM151" i="1"/>
  <c r="AJ150" i="1"/>
  <c r="T22" i="1" s="1"/>
  <c r="AJ151" i="1"/>
  <c r="W22" i="1" s="1"/>
  <c r="AK142" i="1"/>
  <c r="Q21" i="1" s="1"/>
  <c r="AN143" i="1"/>
  <c r="AP144" i="1"/>
  <c r="AN142" i="1"/>
  <c r="AO143" i="1"/>
  <c r="AL145" i="1"/>
  <c r="AP142" i="1"/>
  <c r="AM144" i="1"/>
  <c r="AJ143" i="1"/>
  <c r="T21" i="1" s="1"/>
  <c r="AJ144" i="1"/>
  <c r="W21" i="1" s="1"/>
  <c r="AM138" i="1"/>
  <c r="AP135" i="1"/>
  <c r="AO136" i="1"/>
  <c r="AJ136" i="1"/>
  <c r="T20" i="1" s="1"/>
  <c r="AJ137" i="1"/>
  <c r="W20" i="1" s="1"/>
  <c r="AK135" i="1"/>
  <c r="Q20" i="1" s="1"/>
  <c r="AL136" i="1"/>
  <c r="AM137" i="1"/>
  <c r="AL138" i="1"/>
  <c r="AN135" i="1"/>
  <c r="AN136" i="1"/>
  <c r="AO137" i="1"/>
  <c r="AJ129" i="1"/>
  <c r="T19" i="1" s="1"/>
  <c r="AJ130" i="1"/>
  <c r="W19" i="1" s="1"/>
  <c r="AK121" i="1"/>
  <c r="Q18" i="1" s="1"/>
  <c r="AN122" i="1"/>
  <c r="AP123" i="1"/>
  <c r="AN121" i="1"/>
  <c r="AO122" i="1"/>
  <c r="AL124" i="1"/>
  <c r="AP121" i="1"/>
  <c r="AM123" i="1"/>
  <c r="AJ122" i="1"/>
  <c r="T18" i="1" s="1"/>
  <c r="AJ123" i="1"/>
  <c r="W18" i="1" s="1"/>
  <c r="AN114" i="1"/>
  <c r="AO116" i="1"/>
  <c r="AP114" i="1"/>
  <c r="AP116" i="1"/>
  <c r="AN115" i="1"/>
  <c r="AJ115" i="1"/>
  <c r="AJ116" i="1"/>
  <c r="W17" i="1" s="1"/>
  <c r="AK114" i="1"/>
  <c r="Q17" i="1" s="1"/>
  <c r="AL115" i="1"/>
  <c r="AM116" i="1"/>
  <c r="AL110" i="1"/>
  <c r="AO108" i="1"/>
  <c r="AO109" i="1"/>
  <c r="AP107" i="1"/>
  <c r="AP109" i="1"/>
  <c r="AN107" i="1"/>
  <c r="AN108" i="1"/>
  <c r="AJ108" i="1"/>
  <c r="T16" i="1" s="1"/>
  <c r="AJ109" i="1"/>
  <c r="W16" i="1" s="1"/>
  <c r="AK107" i="1"/>
  <c r="Q16" i="1" s="1"/>
  <c r="AL108" i="1"/>
  <c r="AM109" i="1"/>
  <c r="AN100" i="1"/>
  <c r="AP100" i="1"/>
  <c r="AP102" i="1"/>
  <c r="AL103" i="1"/>
  <c r="AO101" i="1"/>
  <c r="AO102" i="1"/>
  <c r="AN101" i="1"/>
  <c r="AJ101" i="1"/>
  <c r="T15" i="1" s="1"/>
  <c r="AJ102" i="1"/>
  <c r="W15" i="1" s="1"/>
  <c r="AK100" i="1"/>
  <c r="Q15" i="1" s="1"/>
  <c r="AL101" i="1"/>
  <c r="AM102" i="1"/>
  <c r="AN94" i="1"/>
  <c r="AJ94" i="1"/>
  <c r="T14" i="1" s="1"/>
  <c r="AJ95" i="1"/>
  <c r="W14" i="1" s="1"/>
  <c r="AK93" i="1"/>
  <c r="Q14" i="1" s="1"/>
  <c r="AL94" i="1"/>
  <c r="AM95" i="1"/>
  <c r="AN86" i="1"/>
  <c r="AO88" i="1"/>
  <c r="AP86" i="1"/>
  <c r="AP88" i="1"/>
  <c r="AN87" i="1"/>
  <c r="AJ87" i="1"/>
  <c r="T13" i="1" s="1"/>
  <c r="AJ88" i="1"/>
  <c r="W13" i="1" s="1"/>
  <c r="AK86" i="1"/>
  <c r="Q13" i="1" s="1"/>
  <c r="AL87" i="1"/>
  <c r="AM88" i="1"/>
  <c r="AK79" i="1"/>
  <c r="AP81" i="1"/>
  <c r="AN79" i="1"/>
  <c r="AO80" i="1"/>
  <c r="AL82" i="1"/>
  <c r="AL80" i="1"/>
  <c r="AO81" i="1"/>
  <c r="AN80" i="1"/>
  <c r="AP79" i="1"/>
  <c r="AM81" i="1"/>
  <c r="AJ80" i="1"/>
  <c r="T12" i="1" s="1"/>
  <c r="AJ81" i="1"/>
  <c r="AL75" i="1"/>
  <c r="AO73" i="1"/>
  <c r="AO74" i="1"/>
  <c r="AP72" i="1"/>
  <c r="AP74" i="1"/>
  <c r="AN72" i="1"/>
  <c r="AN73" i="1"/>
  <c r="AJ73" i="1"/>
  <c r="T11" i="1" s="1"/>
  <c r="AJ74" i="1"/>
  <c r="AK72" i="1"/>
  <c r="Q11" i="1" s="1"/>
  <c r="AL73" i="1"/>
  <c r="AM74" i="1"/>
  <c r="AN65" i="1"/>
  <c r="AO67" i="1"/>
  <c r="AP65" i="1"/>
  <c r="AP67" i="1"/>
  <c r="AN66" i="1"/>
  <c r="AJ66" i="1"/>
  <c r="AJ67" i="1"/>
  <c r="W10" i="1" s="1"/>
  <c r="AK65" i="1"/>
  <c r="Q10" i="1" s="1"/>
  <c r="AL66" i="1"/>
  <c r="AM67" i="1"/>
  <c r="AN58" i="1"/>
  <c r="AO60" i="1"/>
  <c r="AP58" i="1"/>
  <c r="AP60" i="1"/>
  <c r="AN59" i="1"/>
  <c r="AJ59" i="1"/>
  <c r="T9" i="1" s="1"/>
  <c r="AJ60" i="1"/>
  <c r="W9" i="1" s="1"/>
  <c r="AK58" i="1"/>
  <c r="Q9" i="1" s="1"/>
  <c r="AL59" i="1"/>
  <c r="AM60" i="1"/>
  <c r="Q51" i="1"/>
  <c r="T52" i="1"/>
  <c r="H12" i="1"/>
  <c r="AA79" i="1" s="1"/>
  <c r="AD82" i="1" s="1"/>
  <c r="H11" i="1"/>
  <c r="AA72" i="1" s="1"/>
  <c r="AB72" i="1" s="1"/>
  <c r="O11" i="1" s="1"/>
  <c r="T96" i="1"/>
  <c r="H19" i="1"/>
  <c r="AA128" i="1" s="1"/>
  <c r="AD131" i="1" s="1"/>
  <c r="R52" i="1"/>
  <c r="H10" i="1"/>
  <c r="AA65" i="1" s="1"/>
  <c r="AD68" i="1" s="1"/>
  <c r="H13" i="1"/>
  <c r="AA86" i="1" s="1"/>
  <c r="AD89" i="1" s="1"/>
  <c r="H16" i="1"/>
  <c r="AA107" i="1" s="1"/>
  <c r="AD110" i="1" s="1"/>
  <c r="H20" i="1"/>
  <c r="AA135" i="1" s="1"/>
  <c r="AD138" i="1" s="1"/>
  <c r="H22" i="1"/>
  <c r="AA149" i="1" s="1"/>
  <c r="AC152" i="1" s="1"/>
  <c r="H14" i="1"/>
  <c r="AA93" i="1" s="1"/>
  <c r="AD96" i="1" s="1"/>
  <c r="H18" i="1"/>
  <c r="AA121" i="1" s="1"/>
  <c r="AC122" i="1" s="1"/>
  <c r="H21" i="1"/>
  <c r="AA142" i="1" s="1"/>
  <c r="AC145" i="1" s="1"/>
  <c r="T108" i="1"/>
  <c r="T107" i="1"/>
  <c r="Q107" i="1"/>
  <c r="R108" i="1"/>
  <c r="S109" i="1"/>
  <c r="P109" i="1"/>
  <c r="U105" i="1"/>
  <c r="Q105" i="1"/>
  <c r="S105" i="1"/>
  <c r="T105" i="1"/>
  <c r="P105" i="1"/>
  <c r="T104" i="1"/>
  <c r="T103" i="1"/>
  <c r="Q104" i="1"/>
  <c r="T100" i="1"/>
  <c r="U101" i="1"/>
  <c r="T99" i="1"/>
  <c r="Q100" i="1"/>
  <c r="Q99" i="1"/>
  <c r="S101" i="1"/>
  <c r="P101" i="1"/>
  <c r="R97" i="1"/>
  <c r="U97" i="1"/>
  <c r="T97" i="1"/>
  <c r="T95" i="1"/>
  <c r="Q96" i="1"/>
  <c r="Q95" i="1"/>
  <c r="S97" i="1"/>
  <c r="P97" i="1"/>
  <c r="R91" i="1"/>
  <c r="P93" i="1"/>
  <c r="U93" i="1"/>
  <c r="T92" i="1"/>
  <c r="T91" i="1"/>
  <c r="Q92" i="1"/>
  <c r="T89" i="1"/>
  <c r="U89" i="1"/>
  <c r="P89" i="1"/>
  <c r="T87" i="1"/>
  <c r="Q88" i="1"/>
  <c r="Q87" i="1"/>
  <c r="H17" i="1" s="1"/>
  <c r="AA114" i="1" s="1"/>
  <c r="AD117" i="1" s="1"/>
  <c r="S89" i="1"/>
  <c r="R83" i="1"/>
  <c r="U85" i="1"/>
  <c r="T85" i="1"/>
  <c r="Q85" i="1"/>
  <c r="P85" i="1"/>
  <c r="T84" i="1"/>
  <c r="T83" i="1"/>
  <c r="Q84" i="1"/>
  <c r="S85" i="1"/>
  <c r="U80" i="1"/>
  <c r="U81" i="1"/>
  <c r="T81" i="1"/>
  <c r="R81" i="1"/>
  <c r="T79" i="1"/>
  <c r="Q79" i="1"/>
  <c r="H15" i="1" s="1"/>
  <c r="AA100" i="1" s="1"/>
  <c r="AD103" i="1" s="1"/>
  <c r="R80" i="1"/>
  <c r="S81" i="1"/>
  <c r="P81" i="1"/>
  <c r="T77" i="1"/>
  <c r="U77" i="1"/>
  <c r="P77" i="1"/>
  <c r="T75" i="1"/>
  <c r="Q76" i="1"/>
  <c r="Q75" i="1"/>
  <c r="S77" i="1"/>
  <c r="Q71" i="1"/>
  <c r="P73" i="1"/>
  <c r="U73" i="1"/>
  <c r="Q73" i="1"/>
  <c r="T72" i="1"/>
  <c r="T71" i="1"/>
  <c r="Q72" i="1"/>
  <c r="Q68" i="1"/>
  <c r="U69" i="1"/>
  <c r="Q67" i="1"/>
  <c r="S69" i="1"/>
  <c r="P69" i="1"/>
  <c r="T69" i="1"/>
  <c r="Q69" i="1"/>
  <c r="T64" i="1"/>
  <c r="R65" i="1"/>
  <c r="T65" i="1"/>
  <c r="U65" i="1"/>
  <c r="T63" i="1"/>
  <c r="Q64" i="1"/>
  <c r="Q63" i="1"/>
  <c r="S65" i="1"/>
  <c r="P65" i="1"/>
  <c r="P61" i="1"/>
  <c r="U61" i="1"/>
  <c r="Q61" i="1"/>
  <c r="T60" i="1"/>
  <c r="Q59" i="1"/>
  <c r="T59" i="1"/>
  <c r="Q60" i="1"/>
  <c r="R57" i="1"/>
  <c r="S57" i="1"/>
  <c r="Q57" i="1"/>
  <c r="U57" i="1"/>
  <c r="Q55" i="1"/>
  <c r="T56" i="1"/>
  <c r="T55" i="1"/>
  <c r="Q56" i="1"/>
  <c r="H9" i="1" l="1"/>
  <c r="AA58" i="1" s="1"/>
  <c r="AD61" i="1" s="1"/>
  <c r="J118" i="4"/>
  <c r="J128" i="4" s="1"/>
  <c r="G128" i="4"/>
  <c r="R23" i="4" s="1"/>
  <c r="R24" i="4" s="1"/>
  <c r="R26" i="4" s="1"/>
  <c r="G122" i="2"/>
  <c r="H122" i="2"/>
  <c r="J122" i="2"/>
  <c r="I122" i="2"/>
  <c r="H121" i="2"/>
  <c r="G121" i="2"/>
  <c r="J121" i="2"/>
  <c r="I121" i="2"/>
  <c r="I122" i="3"/>
  <c r="I128" i="3" s="1"/>
  <c r="U23" i="3" s="1"/>
  <c r="U24" i="3" s="1"/>
  <c r="U26" i="3" s="1"/>
  <c r="G122" i="5"/>
  <c r="G128" i="5" s="1"/>
  <c r="E128" i="3"/>
  <c r="O23" i="3" s="1"/>
  <c r="O24" i="3" s="1"/>
  <c r="O26" i="3" s="1"/>
  <c r="T10" i="1"/>
  <c r="T17" i="1"/>
  <c r="W11" i="1"/>
  <c r="H122" i="3"/>
  <c r="H128" i="3" s="1"/>
  <c r="G122" i="3"/>
  <c r="G128" i="3" s="1"/>
  <c r="AC87" i="1"/>
  <c r="H128" i="5"/>
  <c r="I128" i="5"/>
  <c r="U23" i="5" s="1"/>
  <c r="U24" i="5" s="1"/>
  <c r="U26" i="5" s="1"/>
  <c r="E128" i="6"/>
  <c r="O23" i="5"/>
  <c r="O24" i="5" s="1"/>
  <c r="O26" i="5" s="1"/>
  <c r="Q23" i="5"/>
  <c r="O23" i="4"/>
  <c r="O24" i="4" s="1"/>
  <c r="O26" i="4" s="1"/>
  <c r="Q23" i="4"/>
  <c r="W23" i="4"/>
  <c r="W24" i="4" s="1"/>
  <c r="U23" i="4"/>
  <c r="U24" i="4" s="1"/>
  <c r="U26" i="4" s="1"/>
  <c r="W12" i="1"/>
  <c r="F116" i="1"/>
  <c r="E116" i="1"/>
  <c r="Z11" i="1"/>
  <c r="F128" i="2"/>
  <c r="E128" i="2"/>
  <c r="J128" i="6"/>
  <c r="G128" i="6"/>
  <c r="I128" i="6"/>
  <c r="F128" i="6"/>
  <c r="H128" i="6"/>
  <c r="AC110" i="1"/>
  <c r="AA108" i="1"/>
  <c r="R16" i="1" s="1"/>
  <c r="H121" i="1" s="1"/>
  <c r="AG86" i="1"/>
  <c r="AF87" i="1"/>
  <c r="AA74" i="1"/>
  <c r="AB75" i="1"/>
  <c r="AG72" i="1"/>
  <c r="AF74" i="1"/>
  <c r="AE72" i="1"/>
  <c r="AE73" i="1"/>
  <c r="AD75" i="1"/>
  <c r="AD53" i="1"/>
  <c r="AG51" i="1"/>
  <c r="AC52" i="1"/>
  <c r="AG53" i="1"/>
  <c r="AB51" i="1"/>
  <c r="AA52" i="1"/>
  <c r="AE51" i="1"/>
  <c r="AB54" i="1"/>
  <c r="AF53" i="1"/>
  <c r="AA53" i="1"/>
  <c r="AE52" i="1"/>
  <c r="AC54" i="1"/>
  <c r="AD54" i="1"/>
  <c r="AB79" i="1"/>
  <c r="O12" i="1" s="1"/>
  <c r="F117" i="1" s="1"/>
  <c r="AB65" i="1"/>
  <c r="AE80" i="1"/>
  <c r="AA144" i="1"/>
  <c r="U21" i="1" s="1"/>
  <c r="I126" i="1" s="1"/>
  <c r="AA66" i="1"/>
  <c r="AG107" i="1"/>
  <c r="AC68" i="1"/>
  <c r="AD144" i="1"/>
  <c r="AG79" i="1"/>
  <c r="AB82" i="1"/>
  <c r="X12" i="1" s="1"/>
  <c r="AF80" i="1"/>
  <c r="AF81" i="1"/>
  <c r="AD81" i="1"/>
  <c r="AA81" i="1"/>
  <c r="AC82" i="1"/>
  <c r="AE79" i="1"/>
  <c r="AC80" i="1"/>
  <c r="AA80" i="1"/>
  <c r="R12" i="1" s="1"/>
  <c r="H117" i="1" s="1"/>
  <c r="AG81" i="1"/>
  <c r="AF67" i="1"/>
  <c r="AD67" i="1"/>
  <c r="AF66" i="1"/>
  <c r="AE150" i="1"/>
  <c r="AB149" i="1"/>
  <c r="O22" i="1" s="1"/>
  <c r="E127" i="1" s="1"/>
  <c r="AC150" i="1"/>
  <c r="AF150" i="1"/>
  <c r="AD151" i="1"/>
  <c r="AA150" i="1"/>
  <c r="R22" i="1" s="1"/>
  <c r="G127" i="1" s="1"/>
  <c r="AG142" i="1"/>
  <c r="AA136" i="1"/>
  <c r="R20" i="1" s="1"/>
  <c r="H125" i="1" s="1"/>
  <c r="AG137" i="1"/>
  <c r="AB131" i="1"/>
  <c r="X19" i="1" s="1"/>
  <c r="AF130" i="1"/>
  <c r="AF129" i="1"/>
  <c r="AA130" i="1"/>
  <c r="U19" i="1" s="1"/>
  <c r="J124" i="1" s="1"/>
  <c r="AG130" i="1"/>
  <c r="AC131" i="1"/>
  <c r="AC129" i="1"/>
  <c r="AA129" i="1"/>
  <c r="R19" i="1" s="1"/>
  <c r="H124" i="1" s="1"/>
  <c r="AG128" i="1"/>
  <c r="AD130" i="1"/>
  <c r="AB128" i="1"/>
  <c r="O19" i="1" s="1"/>
  <c r="F124" i="1" s="1"/>
  <c r="AE129" i="1"/>
  <c r="AE128" i="1"/>
  <c r="AD123" i="1"/>
  <c r="AG121" i="1"/>
  <c r="AF123" i="1"/>
  <c r="AE114" i="1"/>
  <c r="AA116" i="1"/>
  <c r="U17" i="1" s="1"/>
  <c r="AG116" i="1"/>
  <c r="AE115" i="1"/>
  <c r="AB117" i="1"/>
  <c r="AG114" i="1"/>
  <c r="AC115" i="1"/>
  <c r="AF108" i="1"/>
  <c r="AA109" i="1"/>
  <c r="U16" i="1" s="1"/>
  <c r="J121" i="1" s="1"/>
  <c r="AC108" i="1"/>
  <c r="AF94" i="1"/>
  <c r="AG95" i="1"/>
  <c r="AC103" i="1"/>
  <c r="AA95" i="1"/>
  <c r="U14" i="1" s="1"/>
  <c r="I119" i="1" s="1"/>
  <c r="AF95" i="1"/>
  <c r="AB100" i="1"/>
  <c r="AC136" i="1"/>
  <c r="AG135" i="1"/>
  <c r="AA73" i="1"/>
  <c r="R11" i="1" s="1"/>
  <c r="AD95" i="1"/>
  <c r="AC94" i="1"/>
  <c r="AE94" i="1"/>
  <c r="AD109" i="1"/>
  <c r="AE108" i="1"/>
  <c r="AE107" i="1"/>
  <c r="AF109" i="1"/>
  <c r="AB135" i="1"/>
  <c r="O20" i="1" s="1"/>
  <c r="F125" i="1" s="1"/>
  <c r="AF137" i="1"/>
  <c r="AG74" i="1"/>
  <c r="AF73" i="1"/>
  <c r="AE93" i="1"/>
  <c r="AE136" i="1"/>
  <c r="AD74" i="1"/>
  <c r="AG93" i="1"/>
  <c r="AB96" i="1"/>
  <c r="X14" i="1" s="1"/>
  <c r="AA101" i="1"/>
  <c r="AB110" i="1"/>
  <c r="X16" i="1" s="1"/>
  <c r="AB107" i="1"/>
  <c r="O16" i="1" s="1"/>
  <c r="F121" i="1" s="1"/>
  <c r="AG109" i="1"/>
  <c r="AB138" i="1"/>
  <c r="X20" i="1" s="1"/>
  <c r="AC138" i="1"/>
  <c r="AC75" i="1"/>
  <c r="AC73" i="1"/>
  <c r="AE86" i="1"/>
  <c r="AD102" i="1"/>
  <c r="AF102" i="1"/>
  <c r="AD145" i="1"/>
  <c r="AD124" i="1"/>
  <c r="AC124" i="1"/>
  <c r="AB124" i="1"/>
  <c r="X18" i="1" s="1"/>
  <c r="AE122" i="1"/>
  <c r="AF122" i="1"/>
  <c r="AB121" i="1"/>
  <c r="O18" i="1" s="1"/>
  <c r="F123" i="1" s="1"/>
  <c r="AE100" i="1"/>
  <c r="AC117" i="1"/>
  <c r="AA123" i="1"/>
  <c r="U18" i="1" s="1"/>
  <c r="J123" i="1" s="1"/>
  <c r="AE149" i="1"/>
  <c r="AF143" i="1"/>
  <c r="AA88" i="1"/>
  <c r="U13" i="1" s="1"/>
  <c r="J118" i="1" s="1"/>
  <c r="AG88" i="1"/>
  <c r="AB89" i="1"/>
  <c r="X13" i="1" s="1"/>
  <c r="AF101" i="1"/>
  <c r="AC143" i="1"/>
  <c r="AA143" i="1"/>
  <c r="R21" i="1" s="1"/>
  <c r="G126" i="1" s="1"/>
  <c r="AF144" i="1"/>
  <c r="AG65" i="1"/>
  <c r="AC66" i="1"/>
  <c r="AE65" i="1"/>
  <c r="AA87" i="1"/>
  <c r="R13" i="1" s="1"/>
  <c r="G118" i="1" s="1"/>
  <c r="AB86" i="1"/>
  <c r="O13" i="1" s="1"/>
  <c r="E118" i="1" s="1"/>
  <c r="AE87" i="1"/>
  <c r="AG100" i="1"/>
  <c r="AC101" i="1"/>
  <c r="AA115" i="1"/>
  <c r="R17" i="1" s="1"/>
  <c r="AB114" i="1"/>
  <c r="O17" i="1" s="1"/>
  <c r="F122" i="1" s="1"/>
  <c r="AB142" i="1"/>
  <c r="O21" i="1" s="1"/>
  <c r="E126" i="1" s="1"/>
  <c r="AE143" i="1"/>
  <c r="AE142" i="1"/>
  <c r="AE121" i="1"/>
  <c r="AD152" i="1"/>
  <c r="AF151" i="1"/>
  <c r="AA67" i="1"/>
  <c r="AG67" i="1"/>
  <c r="AB68" i="1"/>
  <c r="AE66" i="1"/>
  <c r="AD88" i="1"/>
  <c r="AC89" i="1"/>
  <c r="AF88" i="1"/>
  <c r="AA94" i="1"/>
  <c r="R14" i="1" s="1"/>
  <c r="H119" i="1" s="1"/>
  <c r="AB93" i="1"/>
  <c r="O14" i="1" s="1"/>
  <c r="E119" i="1" s="1"/>
  <c r="AC96" i="1"/>
  <c r="AA102" i="1"/>
  <c r="U15" i="1" s="1"/>
  <c r="J120" i="1" s="1"/>
  <c r="AE101" i="1"/>
  <c r="AG102" i="1"/>
  <c r="AB103" i="1"/>
  <c r="AD116" i="1"/>
  <c r="AF115" i="1"/>
  <c r="AF116" i="1"/>
  <c r="AA122" i="1"/>
  <c r="R18" i="1" s="1"/>
  <c r="G123" i="1" s="1"/>
  <c r="AD137" i="1"/>
  <c r="AA137" i="1"/>
  <c r="U20" i="1" s="1"/>
  <c r="I125" i="1" s="1"/>
  <c r="AF136" i="1"/>
  <c r="AE135" i="1"/>
  <c r="AB145" i="1"/>
  <c r="X21" i="1" s="1"/>
  <c r="AG144" i="1"/>
  <c r="AA151" i="1"/>
  <c r="U22" i="1" s="1"/>
  <c r="I127" i="1" s="1"/>
  <c r="AG151" i="1"/>
  <c r="AG123" i="1"/>
  <c r="AG149" i="1"/>
  <c r="AB152" i="1"/>
  <c r="X22" i="1" s="1"/>
  <c r="H128" i="2" l="1"/>
  <c r="I128" i="2"/>
  <c r="G128" i="2"/>
  <c r="AA59" i="1"/>
  <c r="R9" i="1" s="1"/>
  <c r="AB61" i="1"/>
  <c r="AE58" i="1"/>
  <c r="AE59" i="1"/>
  <c r="AC59" i="1"/>
  <c r="AB58" i="1"/>
  <c r="AD60" i="1"/>
  <c r="AA60" i="1"/>
  <c r="U9" i="1" s="1"/>
  <c r="I114" i="1" s="1"/>
  <c r="AG58" i="1"/>
  <c r="AG60" i="1"/>
  <c r="AC61" i="1"/>
  <c r="AF59" i="1"/>
  <c r="AF60" i="1"/>
  <c r="T23" i="4"/>
  <c r="T24" i="4" s="1"/>
  <c r="T25" i="4" s="1"/>
  <c r="I120" i="1"/>
  <c r="E125" i="1"/>
  <c r="F127" i="1"/>
  <c r="G122" i="1"/>
  <c r="W167" i="6"/>
  <c r="T167" i="6"/>
  <c r="Q167" i="6"/>
  <c r="Q168" i="6" s="1"/>
  <c r="I123" i="1"/>
  <c r="G121" i="1"/>
  <c r="I121" i="1"/>
  <c r="Q23" i="3"/>
  <c r="Q24" i="3" s="1"/>
  <c r="Q25" i="6" s="1"/>
  <c r="W23" i="5"/>
  <c r="W24" i="5" s="1"/>
  <c r="W25" i="5" s="1"/>
  <c r="R23" i="3"/>
  <c r="R24" i="3" s="1"/>
  <c r="R23" i="5"/>
  <c r="R24" i="5" s="1"/>
  <c r="W23" i="3"/>
  <c r="W24" i="3" s="1"/>
  <c r="I138" i="3" s="1"/>
  <c r="U182" i="6" s="1"/>
  <c r="F126" i="1"/>
  <c r="J126" i="1"/>
  <c r="H118" i="1"/>
  <c r="F118" i="1"/>
  <c r="J119" i="1"/>
  <c r="F119" i="1"/>
  <c r="G119" i="1"/>
  <c r="T23" i="3"/>
  <c r="T24" i="3" s="1"/>
  <c r="T25" i="6" s="1"/>
  <c r="R26" i="6"/>
  <c r="R25" i="4"/>
  <c r="U26" i="6"/>
  <c r="U25" i="4"/>
  <c r="Q24" i="4"/>
  <c r="Q26" i="6" s="1"/>
  <c r="Q25" i="4"/>
  <c r="W26" i="6"/>
  <c r="W25" i="4"/>
  <c r="O26" i="6"/>
  <c r="O25" i="4"/>
  <c r="Q24" i="5"/>
  <c r="Q27" i="6" s="1"/>
  <c r="Q25" i="5"/>
  <c r="U27" i="6"/>
  <c r="U25" i="5"/>
  <c r="O27" i="6"/>
  <c r="O25" i="5"/>
  <c r="R167" i="6"/>
  <c r="R168" i="6" s="1"/>
  <c r="U167" i="6"/>
  <c r="U168" i="6" s="1"/>
  <c r="O167" i="6"/>
  <c r="O168" i="6" s="1"/>
  <c r="U25" i="6"/>
  <c r="U25" i="3"/>
  <c r="O25" i="6"/>
  <c r="O25" i="3"/>
  <c r="O9" i="1"/>
  <c r="E114" i="1" s="1"/>
  <c r="U8" i="1"/>
  <c r="O8" i="1"/>
  <c r="R8" i="1"/>
  <c r="X8" i="1"/>
  <c r="G117" i="1"/>
  <c r="T23" i="5"/>
  <c r="T24" i="5" s="1"/>
  <c r="C135" i="4"/>
  <c r="C134" i="4"/>
  <c r="J127" i="1"/>
  <c r="H127" i="1"/>
  <c r="H126" i="1"/>
  <c r="E124" i="1"/>
  <c r="I124" i="1"/>
  <c r="J125" i="1"/>
  <c r="G125" i="1"/>
  <c r="G124" i="1"/>
  <c r="E123" i="1"/>
  <c r="H123" i="1"/>
  <c r="I122" i="1"/>
  <c r="J122" i="1"/>
  <c r="E122" i="1"/>
  <c r="H122" i="1"/>
  <c r="E121" i="1"/>
  <c r="I118" i="1"/>
  <c r="E117" i="1"/>
  <c r="G116" i="1"/>
  <c r="H116" i="1"/>
  <c r="U11" i="1"/>
  <c r="Q23" i="2"/>
  <c r="T23" i="2"/>
  <c r="T24" i="2" s="1"/>
  <c r="J128" i="2"/>
  <c r="O23" i="2"/>
  <c r="O24" i="2" s="1"/>
  <c r="O26" i="2" s="1"/>
  <c r="R23" i="2"/>
  <c r="R24" i="2" s="1"/>
  <c r="R26" i="2" s="1"/>
  <c r="X11" i="1"/>
  <c r="R10" i="1"/>
  <c r="O10" i="1"/>
  <c r="X10" i="1"/>
  <c r="C135" i="5"/>
  <c r="C134" i="5"/>
  <c r="I134" i="4"/>
  <c r="I135" i="4"/>
  <c r="X17" i="1"/>
  <c r="U12" i="1"/>
  <c r="J117" i="1" s="1"/>
  <c r="R15" i="1"/>
  <c r="U10" i="1"/>
  <c r="O15" i="1"/>
  <c r="X15" i="1"/>
  <c r="X9" i="1"/>
  <c r="U23" i="2" l="1"/>
  <c r="W23" i="2"/>
  <c r="J114" i="1"/>
  <c r="R25" i="3"/>
  <c r="R26" i="3"/>
  <c r="T26" i="6"/>
  <c r="F138" i="4"/>
  <c r="R185" i="6" s="1"/>
  <c r="R27" i="6"/>
  <c r="R26" i="5"/>
  <c r="F135" i="4"/>
  <c r="F137" i="4"/>
  <c r="R184" i="6" s="1"/>
  <c r="F134" i="4"/>
  <c r="C134" i="3"/>
  <c r="U173" i="6"/>
  <c r="R173" i="6"/>
  <c r="W168" i="6"/>
  <c r="I138" i="6" s="1"/>
  <c r="U172" i="6"/>
  <c r="R172" i="6"/>
  <c r="T168" i="6"/>
  <c r="F138" i="6" s="1"/>
  <c r="O173" i="6"/>
  <c r="O172" i="6"/>
  <c r="C135" i="3"/>
  <c r="Q25" i="3"/>
  <c r="W27" i="6"/>
  <c r="I135" i="5"/>
  <c r="I134" i="5"/>
  <c r="I134" i="3"/>
  <c r="R25" i="6"/>
  <c r="W25" i="6"/>
  <c r="W25" i="3"/>
  <c r="I135" i="3"/>
  <c r="I137" i="3"/>
  <c r="U181" i="6" s="1"/>
  <c r="C137" i="3"/>
  <c r="O181" i="6" s="1"/>
  <c r="R25" i="5"/>
  <c r="T25" i="3"/>
  <c r="F135" i="3"/>
  <c r="C138" i="4"/>
  <c r="O185" i="6" s="1"/>
  <c r="C137" i="4"/>
  <c r="O184" i="6" s="1"/>
  <c r="C138" i="3"/>
  <c r="O182" i="6" s="1"/>
  <c r="T27" i="6"/>
  <c r="T25" i="5"/>
  <c r="C134" i="6"/>
  <c r="R24" i="6"/>
  <c r="R25" i="2"/>
  <c r="Q24" i="2"/>
  <c r="Q24" i="6" s="1"/>
  <c r="Q25" i="2"/>
  <c r="O24" i="6"/>
  <c r="O25" i="2"/>
  <c r="T24" i="6"/>
  <c r="T25" i="2"/>
  <c r="F114" i="1"/>
  <c r="G114" i="1"/>
  <c r="H114" i="1"/>
  <c r="I117" i="1"/>
  <c r="F134" i="5"/>
  <c r="F137" i="5"/>
  <c r="R187" i="6" s="1"/>
  <c r="F135" i="5"/>
  <c r="F138" i="5"/>
  <c r="R188" i="6" s="1"/>
  <c r="I137" i="5"/>
  <c r="U187" i="6" s="1"/>
  <c r="I138" i="5"/>
  <c r="U188" i="6" s="1"/>
  <c r="G120" i="1"/>
  <c r="H120" i="1"/>
  <c r="F120" i="1"/>
  <c r="E120" i="1"/>
  <c r="I116" i="1"/>
  <c r="J116" i="1"/>
  <c r="J115" i="1"/>
  <c r="I115" i="1"/>
  <c r="F115" i="1"/>
  <c r="E115" i="1"/>
  <c r="G115" i="1"/>
  <c r="H115" i="1"/>
  <c r="U24" i="2"/>
  <c r="U26" i="2" s="1"/>
  <c r="C135" i="2"/>
  <c r="C134" i="2"/>
  <c r="F135" i="2"/>
  <c r="F134" i="2"/>
  <c r="I135" i="6"/>
  <c r="I134" i="6"/>
  <c r="C135" i="6"/>
  <c r="F134" i="6"/>
  <c r="F135" i="6"/>
  <c r="C137" i="5"/>
  <c r="O187" i="6" s="1"/>
  <c r="C138" i="5"/>
  <c r="O188" i="6" s="1"/>
  <c r="I138" i="4"/>
  <c r="I137" i="4"/>
  <c r="U184" i="6" s="1"/>
  <c r="F138" i="3"/>
  <c r="R182" i="6" s="1"/>
  <c r="F137" i="3"/>
  <c r="R181" i="6" s="1"/>
  <c r="F134" i="3"/>
  <c r="F137" i="2"/>
  <c r="R178" i="6" s="1"/>
  <c r="F138" i="2"/>
  <c r="R179" i="6" s="1"/>
  <c r="L134" i="4" l="1"/>
  <c r="X23" i="5"/>
  <c r="X23" i="3"/>
  <c r="X24" i="3" s="1"/>
  <c r="X23" i="4"/>
  <c r="X24" i="4" s="1"/>
  <c r="I137" i="6"/>
  <c r="L135" i="4"/>
  <c r="Z23" i="4" s="1"/>
  <c r="Z24" i="4" s="1"/>
  <c r="Z25" i="4" s="1"/>
  <c r="F137" i="6"/>
  <c r="L134" i="3"/>
  <c r="L134" i="5"/>
  <c r="L135" i="5"/>
  <c r="Z23" i="5" s="1"/>
  <c r="Z24" i="5" s="1"/>
  <c r="Z25" i="5" s="1"/>
  <c r="X167" i="6"/>
  <c r="X168" i="6" s="1"/>
  <c r="U169" i="6" s="1"/>
  <c r="C137" i="2"/>
  <c r="O178" i="6" s="1"/>
  <c r="U24" i="6"/>
  <c r="U25" i="2"/>
  <c r="C138" i="2"/>
  <c r="O179" i="6" s="1"/>
  <c r="X24" i="5"/>
  <c r="L138" i="4"/>
  <c r="U185" i="6"/>
  <c r="L135" i="3"/>
  <c r="Z23" i="3" s="1"/>
  <c r="Z24" i="3" s="1"/>
  <c r="Z25" i="3" s="1"/>
  <c r="L138" i="3"/>
  <c r="L137" i="3"/>
  <c r="I135" i="2"/>
  <c r="W24" i="2"/>
  <c r="I134" i="2"/>
  <c r="X23" i="2" s="1"/>
  <c r="C137" i="6"/>
  <c r="C138" i="6"/>
  <c r="L135" i="6"/>
  <c r="L134" i="6"/>
  <c r="L138" i="5"/>
  <c r="L137" i="5"/>
  <c r="L137" i="4"/>
  <c r="Z26" i="6" l="1"/>
  <c r="X26" i="6"/>
  <c r="X25" i="4"/>
  <c r="X27" i="6"/>
  <c r="X25" i="5"/>
  <c r="O169" i="6"/>
  <c r="R169" i="6"/>
  <c r="Z167" i="6"/>
  <c r="Z168" i="6" s="1"/>
  <c r="X25" i="6"/>
  <c r="X25" i="3"/>
  <c r="W24" i="6"/>
  <c r="W25" i="2"/>
  <c r="Z27" i="6"/>
  <c r="Z25" i="6"/>
  <c r="L135" i="2"/>
  <c r="Z23" i="2" s="1"/>
  <c r="Z24" i="2" s="1"/>
  <c r="Z25" i="2" s="1"/>
  <c r="I137" i="2"/>
  <c r="U178" i="6" s="1"/>
  <c r="I138" i="2"/>
  <c r="U179" i="6" s="1"/>
  <c r="L134" i="2"/>
  <c r="X24" i="2"/>
  <c r="L138" i="6"/>
  <c r="L137" i="6"/>
  <c r="AJ52" i="1"/>
  <c r="X24" i="6" l="1"/>
  <c r="X25" i="2"/>
  <c r="L138" i="2"/>
  <c r="L137" i="2"/>
  <c r="AK51" i="1"/>
  <c r="Q8" i="1" s="1"/>
  <c r="AL52" i="1"/>
  <c r="T8" i="1" s="1"/>
  <c r="AM54" i="1"/>
  <c r="AM53" i="1"/>
  <c r="AN51" i="1"/>
  <c r="AL54" i="1"/>
  <c r="Z8" i="1" s="1"/>
  <c r="AO52" i="1"/>
  <c r="AN52" i="1"/>
  <c r="AJ53" i="1"/>
  <c r="W8" i="1" s="1"/>
  <c r="AO53" i="1"/>
  <c r="AP53" i="1"/>
  <c r="AP51" i="1"/>
  <c r="G113" i="1" l="1"/>
  <c r="G128" i="1" s="1"/>
  <c r="H113" i="1"/>
  <c r="H128" i="1" s="1"/>
  <c r="I113" i="1"/>
  <c r="I128" i="1" s="1"/>
  <c r="J113" i="1"/>
  <c r="J128" i="1" s="1"/>
  <c r="F113" i="1"/>
  <c r="F128" i="1" s="1"/>
  <c r="E113" i="1"/>
  <c r="E128" i="1" s="1"/>
  <c r="Z24" i="6"/>
  <c r="T23" i="1" l="1"/>
  <c r="T24" i="1" s="1"/>
  <c r="R23" i="1"/>
  <c r="R24" i="1" s="1"/>
  <c r="O23" i="1"/>
  <c r="O24" i="1" s="1"/>
  <c r="O26" i="1" s="1"/>
  <c r="Q23" i="1"/>
  <c r="U23" i="1"/>
  <c r="U24" i="1" s="1"/>
  <c r="U26" i="1" s="1"/>
  <c r="W23" i="1"/>
  <c r="R25" i="1" l="1"/>
  <c r="R26" i="1"/>
  <c r="T23" i="6"/>
  <c r="F135" i="1"/>
  <c r="F134" i="1"/>
  <c r="R23" i="6"/>
  <c r="T25" i="1"/>
  <c r="F137" i="1"/>
  <c r="R175" i="6" s="1"/>
  <c r="R190" i="6" s="1"/>
  <c r="F138" i="1"/>
  <c r="R176" i="6" s="1"/>
  <c r="R191" i="6" s="1"/>
  <c r="U25" i="1"/>
  <c r="U23" i="6"/>
  <c r="Q23" i="6"/>
  <c r="C134" i="1"/>
  <c r="Q24" i="1"/>
  <c r="C135" i="1"/>
  <c r="Q25" i="1"/>
  <c r="W24" i="1"/>
  <c r="I134" i="1"/>
  <c r="I135" i="1"/>
  <c r="O25" i="1"/>
  <c r="O23" i="6"/>
  <c r="X23" i="1" l="1"/>
  <c r="X24" i="1" s="1"/>
  <c r="C138" i="1"/>
  <c r="O176" i="6" s="1"/>
  <c r="O191" i="6" s="1"/>
  <c r="C137" i="1"/>
  <c r="W25" i="1"/>
  <c r="W23" i="6"/>
  <c r="I137" i="1"/>
  <c r="U175" i="6" s="1"/>
  <c r="U190" i="6" s="1"/>
  <c r="I138" i="1"/>
  <c r="U176" i="6" s="1"/>
  <c r="U191" i="6" s="1"/>
  <c r="L134" i="1"/>
  <c r="L135" i="1"/>
  <c r="R28" i="6"/>
  <c r="R29" i="6" s="1"/>
  <c r="T28" i="6"/>
  <c r="R30" i="6" l="1"/>
  <c r="R31" i="6"/>
  <c r="Z23" i="1"/>
  <c r="Z24" i="1" s="1"/>
  <c r="Z25" i="1" s="1"/>
  <c r="X191" i="6"/>
  <c r="W28" i="6"/>
  <c r="U28" i="6"/>
  <c r="U29" i="6" s="1"/>
  <c r="T29" i="6"/>
  <c r="T30" i="6" s="1"/>
  <c r="R196" i="6"/>
  <c r="R195" i="6"/>
  <c r="X25" i="1"/>
  <c r="X23" i="6"/>
  <c r="O175" i="6"/>
  <c r="O190" i="6" s="1"/>
  <c r="AA190" i="6" s="1"/>
  <c r="Z28" i="6" s="1"/>
  <c r="Z29" i="6" s="1"/>
  <c r="Z30" i="6" s="1"/>
  <c r="L138" i="1"/>
  <c r="L137" i="1"/>
  <c r="U30" i="6" l="1"/>
  <c r="U31" i="6"/>
  <c r="Z23" i="6"/>
  <c r="Q28" i="6"/>
  <c r="X190" i="6"/>
  <c r="O28" i="6"/>
  <c r="O29" i="6" s="1"/>
  <c r="W29" i="6"/>
  <c r="W30" i="6" s="1"/>
  <c r="U196" i="6"/>
  <c r="U195" i="6"/>
  <c r="O30" i="6" l="1"/>
  <c r="O31" i="6"/>
  <c r="Q29" i="6"/>
  <c r="Q30" i="6" s="1"/>
  <c r="O195" i="6"/>
  <c r="O196" i="6"/>
  <c r="X28" i="6" l="1"/>
  <c r="X29" i="6" s="1"/>
  <c r="X30" i="6" s="1"/>
  <c r="X196" i="6"/>
</calcChain>
</file>

<file path=xl/sharedStrings.xml><?xml version="1.0" encoding="utf-8"?>
<sst xmlns="http://schemas.openxmlformats.org/spreadsheetml/2006/main" count="3466" uniqueCount="105">
  <si>
    <t>Belastning 1</t>
  </si>
  <si>
    <t>Belastning 2</t>
  </si>
  <si>
    <t>Belastning 3</t>
  </si>
  <si>
    <t>Belastning 4</t>
  </si>
  <si>
    <t>Belastning 5</t>
  </si>
  <si>
    <t>Belastning 6</t>
  </si>
  <si>
    <t>Belastning 7</t>
  </si>
  <si>
    <t>Belastning 8</t>
  </si>
  <si>
    <t>Belastning 9</t>
  </si>
  <si>
    <t>Belastning 10</t>
  </si>
  <si>
    <t>Belastning 11</t>
  </si>
  <si>
    <t>Belastning 12</t>
  </si>
  <si>
    <t>Belastning 13</t>
  </si>
  <si>
    <t>Belastning 14</t>
  </si>
  <si>
    <t>Belastning 15</t>
  </si>
  <si>
    <t>P [kW]</t>
  </si>
  <si>
    <t>S [kVA]</t>
  </si>
  <si>
    <t>I [A]</t>
  </si>
  <si>
    <t>Output</t>
  </si>
  <si>
    <t>Værdi</t>
  </si>
  <si>
    <r>
      <t xml:space="preserve">cos </t>
    </r>
    <r>
      <rPr>
        <sz val="11"/>
        <color theme="1"/>
        <rFont val="Calibri"/>
        <family val="2"/>
      </rPr>
      <t>ϕ</t>
    </r>
  </si>
  <si>
    <t>Tilsluttet</t>
  </si>
  <si>
    <t>3 - faser</t>
  </si>
  <si>
    <t>L1 - N</t>
  </si>
  <si>
    <t>L2 - N</t>
  </si>
  <si>
    <t>L3 - N</t>
  </si>
  <si>
    <t>L1 - L2</t>
  </si>
  <si>
    <t>L2 - L3</t>
  </si>
  <si>
    <t>L1 - L3</t>
  </si>
  <si>
    <t>P</t>
  </si>
  <si>
    <t>S</t>
  </si>
  <si>
    <t>I</t>
  </si>
  <si>
    <t>3-faset</t>
  </si>
  <si>
    <r>
      <t>U</t>
    </r>
    <r>
      <rPr>
        <vertAlign val="subscript"/>
        <sz val="11"/>
        <color theme="1"/>
        <rFont val="Calibri"/>
        <family val="2"/>
        <scheme val="minor"/>
      </rPr>
      <t>L-L</t>
    </r>
  </si>
  <si>
    <t>L1-N</t>
  </si>
  <si>
    <t>L2-N</t>
  </si>
  <si>
    <t>L3-N</t>
  </si>
  <si>
    <t>L1-L2</t>
  </si>
  <si>
    <t>L2-L3</t>
  </si>
  <si>
    <t>L1-L3</t>
  </si>
  <si>
    <r>
      <t>I</t>
    </r>
    <r>
      <rPr>
        <vertAlign val="subscript"/>
        <sz val="11"/>
        <color theme="1"/>
        <rFont val="Calibri"/>
        <family val="2"/>
        <scheme val="minor"/>
      </rPr>
      <t xml:space="preserve">B </t>
    </r>
    <r>
      <rPr>
        <sz val="11"/>
        <color theme="1"/>
        <rFont val="Calibri"/>
        <family val="2"/>
        <scheme val="minor"/>
      </rPr>
      <t>[A]</t>
    </r>
  </si>
  <si>
    <t>Belastning</t>
  </si>
  <si>
    <t>IN</t>
  </si>
  <si>
    <r>
      <rPr>
        <sz val="11"/>
        <rFont val="Symbol"/>
        <family val="1"/>
        <charset val="2"/>
      </rPr>
      <t>Ð</t>
    </r>
    <r>
      <rPr>
        <sz val="7.25"/>
        <rFont val="Tahoma"/>
        <family val="2"/>
      </rPr>
      <t/>
    </r>
  </si>
  <si>
    <r>
      <t>I</t>
    </r>
    <r>
      <rPr>
        <vertAlign val="subscript"/>
        <sz val="11"/>
        <color theme="1"/>
        <rFont val="Calibri"/>
        <family val="2"/>
        <scheme val="minor"/>
      </rPr>
      <t xml:space="preserve">L1 </t>
    </r>
    <r>
      <rPr>
        <sz val="11"/>
        <color theme="1"/>
        <rFont val="Calibri"/>
        <family val="2"/>
        <scheme val="minor"/>
      </rPr>
      <t>[A]</t>
    </r>
  </si>
  <si>
    <r>
      <t>I</t>
    </r>
    <r>
      <rPr>
        <vertAlign val="subscript"/>
        <sz val="11"/>
        <color theme="1"/>
        <rFont val="Calibri"/>
        <family val="2"/>
        <scheme val="minor"/>
      </rPr>
      <t xml:space="preserve">L2 </t>
    </r>
    <r>
      <rPr>
        <sz val="11"/>
        <color theme="1"/>
        <rFont val="Calibri"/>
        <family val="2"/>
        <scheme val="minor"/>
      </rPr>
      <t>[A]</t>
    </r>
  </si>
  <si>
    <r>
      <t>I</t>
    </r>
    <r>
      <rPr>
        <vertAlign val="subscript"/>
        <sz val="11"/>
        <color theme="1"/>
        <rFont val="Calibri"/>
        <family val="2"/>
        <scheme val="minor"/>
      </rPr>
      <t xml:space="preserve">L3 </t>
    </r>
    <r>
      <rPr>
        <sz val="11"/>
        <color theme="1"/>
        <rFont val="Calibri"/>
        <family val="2"/>
        <scheme val="minor"/>
      </rPr>
      <t>[A]</t>
    </r>
  </si>
  <si>
    <r>
      <t>I</t>
    </r>
    <r>
      <rPr>
        <vertAlign val="subscript"/>
        <sz val="11"/>
        <color theme="1"/>
        <rFont val="Calibri"/>
        <family val="2"/>
        <scheme val="minor"/>
      </rPr>
      <t xml:space="preserve">N </t>
    </r>
    <r>
      <rPr>
        <sz val="11"/>
        <color theme="1"/>
        <rFont val="Calibri"/>
        <family val="2"/>
        <scheme val="minor"/>
      </rPr>
      <t>[A]</t>
    </r>
  </si>
  <si>
    <t>Reel</t>
  </si>
  <si>
    <t>Imag</t>
  </si>
  <si>
    <t>IL1</t>
  </si>
  <si>
    <t>IL2</t>
  </si>
  <si>
    <t>IL3</t>
  </si>
  <si>
    <t>∑I</t>
  </si>
  <si>
    <r>
      <rPr>
        <sz val="11"/>
        <rFont val="Symbol"/>
        <family val="1"/>
        <charset val="2"/>
      </rPr>
      <t>Ðj</t>
    </r>
    <r>
      <rPr>
        <sz val="7.25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i Grader</t>
    </r>
  </si>
  <si>
    <r>
      <rPr>
        <sz val="10"/>
        <color rgb="FFFF0000"/>
        <rFont val="Symbol"/>
        <family val="1"/>
        <charset val="2"/>
      </rPr>
      <t>Ð</t>
    </r>
    <r>
      <rPr>
        <sz val="8.5"/>
        <color rgb="FFFF0000"/>
        <rFont val="Symbol"/>
        <family val="1"/>
        <charset val="2"/>
      </rPr>
      <t>j</t>
    </r>
    <r>
      <rPr>
        <sz val="7.25"/>
        <color rgb="FFFF0000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Grader</t>
    </r>
  </si>
  <si>
    <r>
      <t>∑I</t>
    </r>
    <r>
      <rPr>
        <vertAlign val="subscript"/>
        <sz val="11"/>
        <rFont val="Calibri"/>
        <family val="2"/>
      </rPr>
      <t>til</t>
    </r>
  </si>
  <si>
    <t>uf</t>
  </si>
  <si>
    <t>sf</t>
  </si>
  <si>
    <r>
      <t>∑I</t>
    </r>
    <r>
      <rPr>
        <vertAlign val="subscript"/>
        <sz val="11"/>
        <rFont val="Calibri"/>
        <family val="2"/>
      </rPr>
      <t>B</t>
    </r>
  </si>
  <si>
    <t>[kW]</t>
  </si>
  <si>
    <t>[kVA]</t>
  </si>
  <si>
    <t>[A]</t>
  </si>
  <si>
    <t>Tavle +A1.1</t>
  </si>
  <si>
    <t>Eftersiddende tavle</t>
  </si>
  <si>
    <t>3. harmoniske strømme</t>
  </si>
  <si>
    <t>[V]</t>
  </si>
  <si>
    <t>3-harmoniske</t>
  </si>
  <si>
    <t>%</t>
  </si>
  <si>
    <t>3. harmoniske</t>
  </si>
  <si>
    <t>Tjek SB side 193</t>
  </si>
  <si>
    <t>Tavle +A1.2</t>
  </si>
  <si>
    <t>Tavle +A1.3</t>
  </si>
  <si>
    <t>Tavle +A1.4</t>
  </si>
  <si>
    <t>Tavle +A1.5</t>
  </si>
  <si>
    <t>Hovedtavle</t>
  </si>
  <si>
    <t>Selv skriv tavlenavn</t>
  </si>
  <si>
    <t>Belastningsstrømme uden tavler Hovedtavle</t>
  </si>
  <si>
    <t>L1</t>
  </si>
  <si>
    <t>L2</t>
  </si>
  <si>
    <t>L3</t>
  </si>
  <si>
    <t>Summation</t>
  </si>
  <si>
    <t>Summa</t>
  </si>
  <si>
    <t>reel</t>
  </si>
  <si>
    <t>imag</t>
  </si>
  <si>
    <t>N</t>
  </si>
  <si>
    <r>
      <t>∑I</t>
    </r>
    <r>
      <rPr>
        <vertAlign val="subscript"/>
        <sz val="11"/>
        <rFont val="Calibri"/>
        <family val="2"/>
      </rPr>
      <t>til</t>
    </r>
    <r>
      <rPr>
        <sz val="11"/>
        <rFont val="Calibri"/>
        <family val="2"/>
      </rPr>
      <t xml:space="preserve"> - Global</t>
    </r>
  </si>
  <si>
    <r>
      <t>∑I</t>
    </r>
    <r>
      <rPr>
        <vertAlign val="subscript"/>
        <sz val="11"/>
        <rFont val="Calibri"/>
        <family val="2"/>
      </rPr>
      <t>B</t>
    </r>
    <r>
      <rPr>
        <sz val="11"/>
        <rFont val="Calibri"/>
        <family val="2"/>
      </rPr>
      <t xml:space="preserve"> - Lokal</t>
    </r>
  </si>
  <si>
    <r>
      <t>∑I</t>
    </r>
    <r>
      <rPr>
        <vertAlign val="subscript"/>
        <sz val="11"/>
        <rFont val="Calibri"/>
        <family val="2"/>
      </rPr>
      <t>B</t>
    </r>
    <r>
      <rPr>
        <sz val="11"/>
        <rFont val="Calibri"/>
        <family val="2"/>
      </rPr>
      <t xml:space="preserve"> - Global</t>
    </r>
  </si>
  <si>
    <t>Ind./Kap.</t>
  </si>
  <si>
    <t>Induktiv</t>
  </si>
  <si>
    <t>Kapasativ</t>
  </si>
  <si>
    <t>½</t>
  </si>
  <si>
    <t>Tavle +A13</t>
  </si>
  <si>
    <t>Tavle +A14</t>
  </si>
  <si>
    <t>Tavle +A11</t>
  </si>
  <si>
    <t>Tavle +A12</t>
  </si>
  <si>
    <t>Summa 3. harmoniske med sf og uf</t>
  </si>
  <si>
    <t>Tavle 1.1</t>
  </si>
  <si>
    <t>Tavle 1.2</t>
  </si>
  <si>
    <t>Tavle 1.3</t>
  </si>
  <si>
    <t>Tavle 1.4</t>
  </si>
  <si>
    <t>Tavle 1.5</t>
  </si>
  <si>
    <t>Tavle +A1</t>
  </si>
  <si>
    <t>Tavle +A15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</si>
</sst>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7.25"/>
      <name val="Tahoma"/>
      <family val="2"/>
    </font>
    <font>
      <sz val="7.25"/>
      <name val="Calibri"/>
      <family val="2"/>
      <scheme val="minor"/>
    </font>
    <font>
      <sz val="11"/>
      <name val="Calibri"/>
      <family val="2"/>
      <scheme val="minor"/>
    </font>
    <font>
      <sz val="11"/>
      <name val="Symbol"/>
      <family val="1"/>
      <charset val="2"/>
    </font>
    <font>
      <sz val="11"/>
      <name val="Calibri"/>
      <family val="2"/>
    </font>
    <font>
      <sz val="10"/>
      <color rgb="FFFF0000"/>
      <name val="Symbol"/>
      <family val="1"/>
      <charset val="2"/>
    </font>
    <font>
      <sz val="8.5"/>
      <color rgb="FFFF0000"/>
      <name val="Symbol"/>
      <family val="1"/>
      <charset val="2"/>
    </font>
    <font>
      <sz val="7.25"/>
      <color rgb="FFFF0000"/>
      <name val="Calibri"/>
      <family val="2"/>
      <scheme val="minor"/>
    </font>
    <font>
      <vertAlign val="subscript"/>
      <sz val="11"/>
      <name val="Calibri"/>
      <family val="2"/>
    </font>
    <font>
      <i/>
      <sz val="11"/>
      <color theme="0" tint="-0.499984740745262"/>
      <name val="Calibri"/>
      <family val="2"/>
      <scheme val="minor"/>
    </font>
    <font>
      <sz val="24"/>
      <color rgb="FF0070C0"/>
      <name val="Calibri"/>
      <family val="2"/>
      <scheme val="minor"/>
    </font>
    <font>
      <b/>
      <sz val="13"/>
      <color theme="1"/>
      <name val="Calibri"/>
      <family val="2"/>
      <scheme val="minor"/>
    </font>
    <font>
      <i/>
      <sz val="11"/>
      <name val="Calibri"/>
      <family val="2"/>
    </font>
    <font>
      <i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4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4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4" borderId="4" xfId="0" applyFill="1" applyBorder="1"/>
    <xf numFmtId="0" fontId="0" fillId="0" borderId="0" xfId="0" applyAlignment="1">
      <alignment horizontal="left"/>
    </xf>
    <xf numFmtId="0" fontId="0" fillId="4" borderId="7" xfId="0" applyFill="1" applyBorder="1"/>
    <xf numFmtId="0" fontId="0" fillId="4" borderId="9" xfId="0" applyFill="1" applyBorder="1"/>
    <xf numFmtId="0" fontId="0" fillId="0" borderId="0" xfId="0" applyAlignment="1">
      <alignment horizontal="right"/>
    </xf>
    <xf numFmtId="0" fontId="0" fillId="4" borderId="6" xfId="0" applyFill="1" applyBorder="1"/>
    <xf numFmtId="0" fontId="0" fillId="0" borderId="7" xfId="0" applyBorder="1"/>
    <xf numFmtId="0" fontId="0" fillId="0" borderId="9" xfId="0" applyBorder="1"/>
    <xf numFmtId="0" fontId="0" fillId="0" borderId="3" xfId="0" applyBorder="1" applyAlignment="1">
      <alignment horizontal="right"/>
    </xf>
    <xf numFmtId="0" fontId="0" fillId="0" borderId="9" xfId="0" applyBorder="1" applyAlignment="1">
      <alignment horizontal="right"/>
    </xf>
    <xf numFmtId="2" fontId="0" fillId="0" borderId="0" xfId="0" applyNumberFormat="1"/>
    <xf numFmtId="2" fontId="0" fillId="0" borderId="3" xfId="0" applyNumberFormat="1" applyBorder="1"/>
    <xf numFmtId="0" fontId="0" fillId="0" borderId="8" xfId="0" applyBorder="1"/>
    <xf numFmtId="2" fontId="0" fillId="0" borderId="8" xfId="0" applyNumberFormat="1" applyBorder="1"/>
    <xf numFmtId="0" fontId="2" fillId="0" borderId="10" xfId="0" applyFont="1" applyBorder="1"/>
    <xf numFmtId="0" fontId="0" fillId="0" borderId="11" xfId="0" applyBorder="1"/>
    <xf numFmtId="0" fontId="0" fillId="0" borderId="12" xfId="0" applyBorder="1"/>
    <xf numFmtId="0" fontId="2" fillId="0" borderId="0" xfId="0" applyFont="1"/>
    <xf numFmtId="0" fontId="0" fillId="0" borderId="10" xfId="0" applyBorder="1"/>
    <xf numFmtId="0" fontId="0" fillId="0" borderId="0" xfId="0" applyProtection="1">
      <protection locked="0"/>
    </xf>
    <xf numFmtId="0" fontId="0" fillId="4" borderId="0" xfId="0" applyFill="1" applyAlignment="1">
      <alignment horizontal="left"/>
    </xf>
    <xf numFmtId="0" fontId="6" fillId="4" borderId="0" xfId="0" applyFont="1" applyFill="1"/>
    <xf numFmtId="0" fontId="3" fillId="0" borderId="2" xfId="0" applyFont="1" applyBorder="1"/>
    <xf numFmtId="0" fontId="7" fillId="0" borderId="0" xfId="0" applyFont="1"/>
    <xf numFmtId="164" fontId="0" fillId="0" borderId="2" xfId="0" applyNumberFormat="1" applyBorder="1" applyAlignment="1">
      <alignment horizontal="right"/>
    </xf>
    <xf numFmtId="164" fontId="0" fillId="0" borderId="0" xfId="0" applyNumberFormat="1" applyAlignment="1">
      <alignment horizontal="left"/>
    </xf>
    <xf numFmtId="164" fontId="0" fillId="0" borderId="3" xfId="0" applyNumberFormat="1" applyBorder="1" applyAlignment="1">
      <alignment horizontal="left"/>
    </xf>
    <xf numFmtId="0" fontId="0" fillId="2" borderId="10" xfId="0" applyFill="1" applyBorder="1"/>
    <xf numFmtId="0" fontId="0" fillId="2" borderId="11" xfId="0" applyFill="1" applyBorder="1" applyAlignment="1">
      <alignment horizontal="center"/>
    </xf>
    <xf numFmtId="0" fontId="0" fillId="2" borderId="11" xfId="0" applyFill="1" applyBorder="1"/>
    <xf numFmtId="2" fontId="8" fillId="3" borderId="1" xfId="0" applyNumberFormat="1" applyFont="1" applyFill="1" applyBorder="1"/>
    <xf numFmtId="164" fontId="6" fillId="3" borderId="11" xfId="0" applyNumberFormat="1" applyFont="1" applyFill="1" applyBorder="1" applyAlignment="1">
      <alignment horizontal="right"/>
    </xf>
    <xf numFmtId="164" fontId="6" fillId="3" borderId="12" xfId="0" applyNumberFormat="1" applyFont="1" applyFill="1" applyBorder="1" applyAlignment="1">
      <alignment horizontal="left"/>
    </xf>
    <xf numFmtId="164" fontId="6" fillId="3" borderId="10" xfId="0" applyNumberFormat="1" applyFont="1" applyFill="1" applyBorder="1" applyAlignment="1">
      <alignment horizontal="right"/>
    </xf>
    <xf numFmtId="2" fontId="13" fillId="3" borderId="0" xfId="0" applyNumberFormat="1" applyFont="1" applyFill="1"/>
    <xf numFmtId="0" fontId="14" fillId="4" borderId="0" xfId="0" applyFont="1" applyFill="1"/>
    <xf numFmtId="0" fontId="0" fillId="2" borderId="9" xfId="0" applyFill="1" applyBorder="1"/>
    <xf numFmtId="164" fontId="0" fillId="0" borderId="8" xfId="0" applyNumberFormat="1" applyBorder="1" applyAlignment="1">
      <alignment horizontal="left"/>
    </xf>
    <xf numFmtId="164" fontId="15" fillId="0" borderId="0" xfId="0" applyNumberFormat="1" applyFont="1" applyAlignment="1">
      <alignment horizontal="left"/>
    </xf>
    <xf numFmtId="164" fontId="0" fillId="0" borderId="0" xfId="0" applyNumberFormat="1" applyAlignment="1">
      <alignment horizontal="center"/>
    </xf>
    <xf numFmtId="164" fontId="6" fillId="3" borderId="11" xfId="0" applyNumberFormat="1" applyFont="1" applyFill="1" applyBorder="1" applyAlignment="1">
      <alignment horizontal="center"/>
    </xf>
    <xf numFmtId="0" fontId="3" fillId="0" borderId="0" xfId="0" applyFont="1"/>
    <xf numFmtId="2" fontId="16" fillId="3" borderId="1" xfId="0" applyNumberFormat="1" applyFont="1" applyFill="1" applyBorder="1"/>
    <xf numFmtId="164" fontId="17" fillId="3" borderId="11" xfId="0" applyNumberFormat="1" applyFont="1" applyFill="1" applyBorder="1" applyAlignment="1">
      <alignment horizontal="right"/>
    </xf>
    <xf numFmtId="164" fontId="17" fillId="3" borderId="11" xfId="0" applyNumberFormat="1" applyFont="1" applyFill="1" applyBorder="1" applyAlignment="1">
      <alignment horizontal="center"/>
    </xf>
    <xf numFmtId="164" fontId="17" fillId="3" borderId="12" xfId="0" applyNumberFormat="1" applyFont="1" applyFill="1" applyBorder="1" applyAlignment="1">
      <alignment horizontal="left"/>
    </xf>
    <xf numFmtId="0" fontId="18" fillId="4" borderId="0" xfId="0" applyFont="1" applyFill="1"/>
    <xf numFmtId="2" fontId="17" fillId="3" borderId="0" xfId="0" applyNumberFormat="1" applyFont="1" applyFill="1"/>
    <xf numFmtId="0" fontId="0" fillId="0" borderId="1" xfId="0" applyBorder="1"/>
    <xf numFmtId="0" fontId="0" fillId="0" borderId="14" xfId="0" applyBorder="1"/>
    <xf numFmtId="0" fontId="0" fillId="0" borderId="15" xfId="0" applyBorder="1"/>
    <xf numFmtId="0" fontId="0" fillId="5" borderId="2" xfId="0" applyFill="1" applyBorder="1"/>
    <xf numFmtId="0" fontId="0" fillId="5" borderId="0" xfId="0" applyFill="1"/>
    <xf numFmtId="0" fontId="0" fillId="5" borderId="13" xfId="0" applyFill="1" applyBorder="1"/>
    <xf numFmtId="0" fontId="0" fillId="5" borderId="3" xfId="0" applyFill="1" applyBorder="1"/>
    <xf numFmtId="0" fontId="19" fillId="0" borderId="0" xfId="0" applyFont="1"/>
    <xf numFmtId="0" fontId="20" fillId="0" borderId="0" xfId="0" applyFont="1"/>
  </cellXfs>
  <cellStyles count="1">
    <cellStyle name="Normal" xfId="0" builtinId="0"/>
  </cellStyles>
  <dxfs count="9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Drop" dropStyle="combo" dx="16" fmlaLink="$E$51" fmlaRange="$C$44:$C$46" noThreeD="1" sel="1" val="0"/>
</file>

<file path=xl/ctrlProps/ctrlProp2.xml><?xml version="1.0" encoding="utf-8"?>
<formControlPr xmlns="http://schemas.microsoft.com/office/spreadsheetml/2009/9/main" objectType="Drop" dropStyle="combo" dx="16" fmlaLink="$E$55" fmlaRange="$C$44:$C$46" noThreeD="1" sel="1" val="0"/>
</file>

<file path=xl/ctrlProps/ctrlProp3.xml><?xml version="1.0" encoding="utf-8"?>
<formControlPr xmlns="http://schemas.microsoft.com/office/spreadsheetml/2009/9/main" objectType="Drop" dropStyle="combo" dx="16" fmlaLink="$E$59" fmlaRange="$C$44:$C$46" noThreeD="1" sel="1" val="0"/>
</file>

<file path=xl/ctrlProps/ctrlProp4.xml><?xml version="1.0" encoding="utf-8"?>
<formControlPr xmlns="http://schemas.microsoft.com/office/spreadsheetml/2009/9/main" objectType="Drop" dropStyle="combo" dx="16" fmlaLink="$E$63" fmlaRange="$C$44:$C$46" noThreeD="1" sel="1" val="0"/>
</file>

<file path=xl/ctrlProps/ctrlProp5.xml><?xml version="1.0" encoding="utf-8"?>
<formControlPr xmlns="http://schemas.microsoft.com/office/spreadsheetml/2009/9/main" objectType="Drop" dropStyle="combo" dx="16" fmlaLink="$E$67" fmlaRange="$C$44:$C$46" noThreeD="1" sel="1" val="0"/>
</file>

<file path=xl/ctrlProps/ctrlProp6.xml><?xml version="1.0" encoding="utf-8"?>
<formControlPr xmlns="http://schemas.microsoft.com/office/spreadsheetml/2009/9/main" objectType="Drop" dropStyle="combo" dx="16" fmlaLink="$E$71" fmlaRange="$C$44:$C$46" noThreeD="1" sel="1" val="0"/>
</file>

<file path=xl/ctrlProps/ctrlProp7.xml><?xml version="1.0" encoding="utf-8"?>
<formControlPr xmlns="http://schemas.microsoft.com/office/spreadsheetml/2009/9/main" objectType="Drop" dropStyle="combo" dx="16" fmlaLink="$E$75" fmlaRange="$C$44:$C$46" noThreeD="1" sel="1" val="0"/>
</file>

<file path=xl/ctrlProps/ctrlProp8.xml><?xml version="1.0" encoding="utf-8"?>
<formControlPr xmlns="http://schemas.microsoft.com/office/spreadsheetml/2009/9/main" objectType="Drop" dropStyle="combo" dx="16" fmlaLink="$E$79" fmlaRange="$C$44:$C$46" noThreeD="1" sel="1" val="0"/>
</file>

<file path=xl/ctrlProps/ctrlProp9.xml><?xml version="1.0" encoding="utf-8"?>
<formControlPr xmlns="http://schemas.microsoft.com/office/spreadsheetml/2009/9/main" objectType="Drop" dropStyle="combo" dx="16" fmlaLink="$E$83" fmlaRange="$C$44:$C$46" noThreeD="1" sel="1" val="0"/>
</file>

<file path=xl/ctrlProps/ctrlProp10.xml><?xml version="1.0" encoding="utf-8"?>
<formControlPr xmlns="http://schemas.microsoft.com/office/spreadsheetml/2009/9/main" objectType="Drop" dropStyle="combo" dx="16" fmlaLink="$E$87" fmlaRange="$C$44:$C$46" noThreeD="1" sel="1" val="0"/>
</file>

<file path=xl/ctrlProps/ctrlProp11.xml><?xml version="1.0" encoding="utf-8"?>
<formControlPr xmlns="http://schemas.microsoft.com/office/spreadsheetml/2009/9/main" objectType="Drop" dropStyle="combo" dx="16" fmlaLink="$E$91" fmlaRange="$C$44:$C$46" noThreeD="1" sel="1" val="0"/>
</file>

<file path=xl/ctrlProps/ctrlProp12.xml><?xml version="1.0" encoding="utf-8"?>
<formControlPr xmlns="http://schemas.microsoft.com/office/spreadsheetml/2009/9/main" objectType="Drop" dropStyle="combo" dx="16" fmlaLink="$E$95" fmlaRange="$C$44:$C$46" noThreeD="1" sel="1" val="0"/>
</file>

<file path=xl/ctrlProps/ctrlProp13.xml><?xml version="1.0" encoding="utf-8"?>
<formControlPr xmlns="http://schemas.microsoft.com/office/spreadsheetml/2009/9/main" objectType="Drop" dropStyle="combo" dx="16" fmlaLink="$E$99" fmlaRange="$C$44:$C$46" noThreeD="1" sel="1" val="0"/>
</file>

<file path=xl/ctrlProps/ctrlProp14.xml><?xml version="1.0" encoding="utf-8"?>
<formControlPr xmlns="http://schemas.microsoft.com/office/spreadsheetml/2009/9/main" objectType="Drop" dropStyle="combo" dx="16" fmlaLink="$E$103" fmlaRange="$C$44:$C$46" noThreeD="1" sel="1" val="0"/>
</file>

<file path=xl/ctrlProps/ctrlProp15.xml><?xml version="1.0" encoding="utf-8"?>
<formControlPr xmlns="http://schemas.microsoft.com/office/spreadsheetml/2009/9/main" objectType="Drop" dropStyle="combo" dx="16" fmlaLink="$E$107" fmlaRange="$C$44:$C$46" noThreeD="1" sel="1" val="0"/>
</file>

<file path=xl/ctrlProps/ctrlProp16.xml><?xml version="1.0" encoding="utf-8"?>
<formControlPr xmlns="http://schemas.microsoft.com/office/spreadsheetml/2009/9/main" objectType="Drop" dropStyle="combo" dx="16" fmlaLink="$J$51" fmlaRange="$J$39:$J$45" noThreeD="1" sel="1" val="0"/>
</file>

<file path=xl/ctrlProps/ctrlProp17.xml><?xml version="1.0" encoding="utf-8"?>
<formControlPr xmlns="http://schemas.microsoft.com/office/spreadsheetml/2009/9/main" objectType="Drop" dropStyle="combo" dx="16" fmlaLink="$J$55" fmlaRange="$J$39:$J$45" noThreeD="1" sel="1" val="0"/>
</file>

<file path=xl/ctrlProps/ctrlProp18.xml><?xml version="1.0" encoding="utf-8"?>
<formControlPr xmlns="http://schemas.microsoft.com/office/spreadsheetml/2009/9/main" objectType="Drop" dropStyle="combo" dx="16" fmlaLink="$J$59" fmlaRange="$J$39:$J$45" noThreeD="1" sel="1" val="0"/>
</file>

<file path=xl/ctrlProps/ctrlProp19.xml><?xml version="1.0" encoding="utf-8"?>
<formControlPr xmlns="http://schemas.microsoft.com/office/spreadsheetml/2009/9/main" objectType="Drop" dropStyle="combo" dx="16" fmlaLink="$J$63" fmlaRange="$J$39:$J$45" noThreeD="1" sel="1" val="0"/>
</file>

<file path=xl/ctrlProps/ctrlProp20.xml><?xml version="1.0" encoding="utf-8"?>
<formControlPr xmlns="http://schemas.microsoft.com/office/spreadsheetml/2009/9/main" objectType="Drop" dropStyle="combo" dx="16" fmlaLink="$J$67" fmlaRange="$J$39:$J$45" noThreeD="1" sel="1" val="0"/>
</file>

<file path=xl/ctrlProps/ctrlProp21.xml><?xml version="1.0" encoding="utf-8"?>
<formControlPr xmlns="http://schemas.microsoft.com/office/spreadsheetml/2009/9/main" objectType="Drop" dropStyle="combo" dx="16" fmlaLink="$J$71" fmlaRange="$J$39:$J$45" noThreeD="1" sel="1" val="0"/>
</file>

<file path=xl/ctrlProps/ctrlProp22.xml><?xml version="1.0" encoding="utf-8"?>
<formControlPr xmlns="http://schemas.microsoft.com/office/spreadsheetml/2009/9/main" objectType="Drop" dropStyle="combo" dx="16" fmlaLink="$J$75" fmlaRange="$J$39:$J$45" noThreeD="1" sel="1" val="0"/>
</file>

<file path=xl/ctrlProps/ctrlProp23.xml><?xml version="1.0" encoding="utf-8"?>
<formControlPr xmlns="http://schemas.microsoft.com/office/spreadsheetml/2009/9/main" objectType="Drop" dropStyle="combo" dx="16" fmlaLink="$J$79" fmlaRange="$J$39:$J$45" noThreeD="1" sel="1" val="0"/>
</file>

<file path=xl/ctrlProps/ctrlProp24.xml><?xml version="1.0" encoding="utf-8"?>
<formControlPr xmlns="http://schemas.microsoft.com/office/spreadsheetml/2009/9/main" objectType="Drop" dropStyle="combo" dx="16" fmlaLink="$J$83" fmlaRange="$J$39:$J$45" noThreeD="1" sel="1" val="0"/>
</file>

<file path=xl/ctrlProps/ctrlProp25.xml><?xml version="1.0" encoding="utf-8"?>
<formControlPr xmlns="http://schemas.microsoft.com/office/spreadsheetml/2009/9/main" objectType="Drop" dropStyle="combo" dx="16" fmlaLink="$J$87" fmlaRange="$J$39:$J$45" noThreeD="1" sel="1" val="0"/>
</file>

<file path=xl/ctrlProps/ctrlProp26.xml><?xml version="1.0" encoding="utf-8"?>
<formControlPr xmlns="http://schemas.microsoft.com/office/spreadsheetml/2009/9/main" objectType="Drop" dropStyle="combo" dx="16" fmlaLink="$J$91" fmlaRange="$J$39:$J$45" noThreeD="1" sel="1" val="0"/>
</file>

<file path=xl/ctrlProps/ctrlProp27.xml><?xml version="1.0" encoding="utf-8"?>
<formControlPr xmlns="http://schemas.microsoft.com/office/spreadsheetml/2009/9/main" objectType="Drop" dropStyle="combo" dx="16" fmlaLink="$J$95" fmlaRange="$J$39:$J$45" noThreeD="1" sel="1" val="0"/>
</file>

<file path=xl/ctrlProps/ctrlProp28.xml><?xml version="1.0" encoding="utf-8"?>
<formControlPr xmlns="http://schemas.microsoft.com/office/spreadsheetml/2009/9/main" objectType="Drop" dropStyle="combo" dx="16" fmlaLink="$J$99" fmlaRange="$J$39:$J$45" noThreeD="1" sel="1" val="0"/>
</file>

<file path=xl/ctrlProps/ctrlProp29.xml><?xml version="1.0" encoding="utf-8"?>
<formControlPr xmlns="http://schemas.microsoft.com/office/spreadsheetml/2009/9/main" objectType="Drop" dropStyle="combo" dx="16" fmlaLink="$J$103" fmlaRange="$J$39:$J$45" noThreeD="1" sel="1" val="0"/>
</file>

<file path=xl/ctrlProps/ctrlProp30.xml><?xml version="1.0" encoding="utf-8"?>
<formControlPr xmlns="http://schemas.microsoft.com/office/spreadsheetml/2009/9/main" objectType="Drop" dropStyle="combo" dx="16" fmlaLink="$J$107" fmlaRange="$J$39:$J$45" noThreeD="1" sel="1" val="0"/>
</file>

<file path=xl/ctrlProps/ctrlProp31.xml><?xml version="1.0" encoding="utf-8"?>
<formControlPr xmlns="http://schemas.microsoft.com/office/spreadsheetml/2009/9/main" objectType="Drop" dropStyle="combo" dx="16" fmlaLink="$J$55" fmlaRange="$J$39:$J$45" noThreeD="1" sel="1" val="0"/>
</file>

<file path=xl/ctrlProps/ctrlProp32.xml><?xml version="1.0" encoding="utf-8"?>
<formControlPr xmlns="http://schemas.microsoft.com/office/spreadsheetml/2009/9/main" objectType="Drop" dropStyle="combo" dx="16" fmlaLink="$J$59" fmlaRange="$J$39:$J$45" noThreeD="1" sel="1" val="0"/>
</file>

<file path=xl/ctrlProps/ctrlProp33.xml><?xml version="1.0" encoding="utf-8"?>
<formControlPr xmlns="http://schemas.microsoft.com/office/spreadsheetml/2009/9/main" objectType="Drop" dropStyle="combo" dx="16" fmlaLink="$J$63" fmlaRange="$J$39:$J$45" noThreeD="1" sel="1" val="0"/>
</file>

<file path=xl/ctrlProps/ctrlProp34.xml><?xml version="1.0" encoding="utf-8"?>
<formControlPr xmlns="http://schemas.microsoft.com/office/spreadsheetml/2009/9/main" objectType="Drop" dropStyle="combo" dx="16" fmlaLink="$J$67" fmlaRange="$J$39:$J$45" noThreeD="1" sel="1" val="0"/>
</file>

<file path=xl/ctrlProps/ctrlProp35.xml><?xml version="1.0" encoding="utf-8"?>
<formControlPr xmlns="http://schemas.microsoft.com/office/spreadsheetml/2009/9/main" objectType="Drop" dropStyle="combo" dx="16" fmlaLink="$J$71" fmlaRange="$J$39:$J$45" noThreeD="1" sel="1" val="0"/>
</file>

<file path=xl/ctrlProps/ctrlProp36.xml><?xml version="1.0" encoding="utf-8"?>
<formControlPr xmlns="http://schemas.microsoft.com/office/spreadsheetml/2009/9/main" objectType="Drop" dropStyle="combo" dx="16" fmlaLink="$J$75" fmlaRange="$J$39:$J$45" noThreeD="1" sel="1" val="0"/>
</file>

<file path=xl/ctrlProps/ctrlProp37.xml><?xml version="1.0" encoding="utf-8"?>
<formControlPr xmlns="http://schemas.microsoft.com/office/spreadsheetml/2009/9/main" objectType="Drop" dropStyle="combo" dx="16" fmlaLink="$J$79" fmlaRange="$J$39:$J$45" noThreeD="1" sel="1" val="0"/>
</file>

<file path=xl/ctrlProps/ctrlProp38.xml><?xml version="1.0" encoding="utf-8"?>
<formControlPr xmlns="http://schemas.microsoft.com/office/spreadsheetml/2009/9/main" objectType="Drop" dropStyle="combo" dx="16" fmlaLink="$J$83" fmlaRange="$J$39:$J$45" noThreeD="1" sel="1" val="0"/>
</file>

<file path=xl/ctrlProps/ctrlProp39.xml><?xml version="1.0" encoding="utf-8"?>
<formControlPr xmlns="http://schemas.microsoft.com/office/spreadsheetml/2009/9/main" objectType="Drop" dropStyle="combo" dx="16" fmlaLink="$J$87" fmlaRange="$J$39:$J$45" noThreeD="1" sel="1" val="0"/>
</file>

<file path=xl/ctrlProps/ctrlProp40.xml><?xml version="1.0" encoding="utf-8"?>
<formControlPr xmlns="http://schemas.microsoft.com/office/spreadsheetml/2009/9/main" objectType="Drop" dropStyle="combo" dx="16" fmlaLink="$J$91" fmlaRange="$J$39:$J$45" noThreeD="1" sel="1" val="0"/>
</file>

<file path=xl/ctrlProps/ctrlProp41.xml><?xml version="1.0" encoding="utf-8"?>
<formControlPr xmlns="http://schemas.microsoft.com/office/spreadsheetml/2009/9/main" objectType="Drop" dropStyle="combo" dx="16" fmlaLink="$J$95" fmlaRange="$J$39:$J$45" noThreeD="1" sel="1" val="0"/>
</file>

<file path=xl/ctrlProps/ctrlProp42.xml><?xml version="1.0" encoding="utf-8"?>
<formControlPr xmlns="http://schemas.microsoft.com/office/spreadsheetml/2009/9/main" objectType="Drop" dropStyle="combo" dx="16" fmlaLink="$J$99" fmlaRange="$J$39:$J$45" noThreeD="1" sel="1" val="0"/>
</file>

<file path=xl/ctrlProps/ctrlProp43.xml><?xml version="1.0" encoding="utf-8"?>
<formControlPr xmlns="http://schemas.microsoft.com/office/spreadsheetml/2009/9/main" objectType="Drop" dropStyle="combo" dx="16" fmlaLink="$J$103" fmlaRange="$J$39:$J$45" noThreeD="1" sel="1" val="0"/>
</file>

<file path=xl/ctrlProps/ctrlProp44.xml><?xml version="1.0" encoding="utf-8"?>
<formControlPr xmlns="http://schemas.microsoft.com/office/spreadsheetml/2009/9/main" objectType="Drop" dropStyle="combo" dx="16" fmlaLink="$J$107" fmlaRange="$J$39:$J$45" noThreeD="1" sel="1" val="0"/>
</file>

<file path=xl/ctrlProps/ctrlProp45.xml><?xml version="1.0" encoding="utf-8"?>
<formControlPr xmlns="http://schemas.microsoft.com/office/spreadsheetml/2009/9/main" objectType="Drop" dropStyle="combo" dx="16" fmlaLink="L51" fmlaRange="$L$44:$L$45" noThreeD="1" sel="1" val="0"/>
</file>

<file path=xl/ctrlProps/ctrlProp46.xml><?xml version="1.0" encoding="utf-8"?>
<formControlPr xmlns="http://schemas.microsoft.com/office/spreadsheetml/2009/9/main" objectType="Drop" dropStyle="combo" dx="16" fmlaLink="$L$55" fmlaRange="$L$44:$L$45" noThreeD="1" sel="1" val="0"/>
</file>

<file path=xl/ctrlProps/ctrlProp47.xml><?xml version="1.0" encoding="utf-8"?>
<formControlPr xmlns="http://schemas.microsoft.com/office/spreadsheetml/2009/9/main" objectType="Drop" dropStyle="combo" dx="16" fmlaLink="L59" fmlaRange="$L$44:$L$45" noThreeD="1" sel="1" val="0"/>
</file>

<file path=xl/ctrlProps/ctrlProp48.xml><?xml version="1.0" encoding="utf-8"?>
<formControlPr xmlns="http://schemas.microsoft.com/office/spreadsheetml/2009/9/main" objectType="Drop" dropStyle="combo" dx="16" fmlaLink="L63" fmlaRange="$L$44:$L$45" noThreeD="1" sel="1" val="0"/>
</file>

<file path=xl/ctrlProps/ctrlProp49.xml><?xml version="1.0" encoding="utf-8"?>
<formControlPr xmlns="http://schemas.microsoft.com/office/spreadsheetml/2009/9/main" objectType="Drop" dropStyle="combo" dx="16" fmlaLink="L67" fmlaRange="$L$44:$L$45" noThreeD="1" sel="1" val="0"/>
</file>

<file path=xl/ctrlProps/ctrlProp50.xml><?xml version="1.0" encoding="utf-8"?>
<formControlPr xmlns="http://schemas.microsoft.com/office/spreadsheetml/2009/9/main" objectType="Drop" dropStyle="combo" dx="16" fmlaLink="L71" fmlaRange="$L$44:$L$45" noThreeD="1" sel="1" val="0"/>
</file>

<file path=xl/ctrlProps/ctrlProp51.xml><?xml version="1.0" encoding="utf-8"?>
<formControlPr xmlns="http://schemas.microsoft.com/office/spreadsheetml/2009/9/main" objectType="Drop" dropStyle="combo" dx="16" fmlaLink="L75" fmlaRange="$L$44:$L$45" noThreeD="1" sel="1" val="0"/>
</file>

<file path=xl/ctrlProps/ctrlProp52.xml><?xml version="1.0" encoding="utf-8"?>
<formControlPr xmlns="http://schemas.microsoft.com/office/spreadsheetml/2009/9/main" objectType="Drop" dropStyle="combo" dx="16" fmlaLink="L79" fmlaRange="$L$44:$L$45" noThreeD="1" sel="1" val="0"/>
</file>

<file path=xl/ctrlProps/ctrlProp53.xml><?xml version="1.0" encoding="utf-8"?>
<formControlPr xmlns="http://schemas.microsoft.com/office/spreadsheetml/2009/9/main" objectType="Drop" dropStyle="combo" dx="16" fmlaLink="L83" fmlaRange="$L$44:$L$45" noThreeD="1" sel="1" val="0"/>
</file>

<file path=xl/ctrlProps/ctrlProp54.xml><?xml version="1.0" encoding="utf-8"?>
<formControlPr xmlns="http://schemas.microsoft.com/office/spreadsheetml/2009/9/main" objectType="Drop" dropStyle="combo" dx="16" fmlaLink="L87" fmlaRange="$L$44:$L$45" noThreeD="1" sel="1" val="0"/>
</file>

<file path=xl/ctrlProps/ctrlProp55.xml><?xml version="1.0" encoding="utf-8"?>
<formControlPr xmlns="http://schemas.microsoft.com/office/spreadsheetml/2009/9/main" objectType="Drop" dropStyle="combo" dx="16" fmlaLink="L91" fmlaRange="$L$44:$L$45" noThreeD="1" sel="1" val="0"/>
</file>

<file path=xl/ctrlProps/ctrlProp56.xml><?xml version="1.0" encoding="utf-8"?>
<formControlPr xmlns="http://schemas.microsoft.com/office/spreadsheetml/2009/9/main" objectType="Drop" dropStyle="combo" dx="16" fmlaLink="L95" fmlaRange="$L$44:$L$45" noThreeD="1" sel="1" val="0"/>
</file>

<file path=xl/ctrlProps/ctrlProp57.xml><?xml version="1.0" encoding="utf-8"?>
<formControlPr xmlns="http://schemas.microsoft.com/office/spreadsheetml/2009/9/main" objectType="Drop" dropStyle="combo" dx="16" fmlaLink="L99" fmlaRange="$L$44:$L$45" noThreeD="1" sel="1" val="0"/>
</file>

<file path=xl/ctrlProps/ctrlProp58.xml><?xml version="1.0" encoding="utf-8"?>
<formControlPr xmlns="http://schemas.microsoft.com/office/spreadsheetml/2009/9/main" objectType="Drop" dropStyle="combo" dx="16" fmlaLink="L103" fmlaRange="$L$44:$L$45" noThreeD="1" sel="1" val="0"/>
</file>

<file path=xl/ctrlProps/ctrlProp59.xml><?xml version="1.0" encoding="utf-8"?>
<formControlPr xmlns="http://schemas.microsoft.com/office/spreadsheetml/2009/9/main" objectType="Drop" dropStyle="combo" dx="16" fmlaLink="L107" fmlaRange="$L$44:$L$45" noThreeD="1" sel="1" val="0"/>
</file>

<file path=xl/ctrlProps/ctrlProp60.xml><?xml version="1.0" encoding="utf-8"?>
<formControlPr xmlns="http://schemas.microsoft.com/office/spreadsheetml/2009/9/main" objectType="Drop" dropStyle="combo" dx="16" fmlaLink="$J$55" fmlaRange="$J$39:$J$45" noThreeD="1" sel="1" val="0"/>
</file>

<file path=xl/ctrlProps/ctrlProp61.xml><?xml version="1.0" encoding="utf-8"?>
<formControlPr xmlns="http://schemas.microsoft.com/office/spreadsheetml/2009/9/main" objectType="Drop" dropStyle="combo" dx="16" fmlaLink="$J$59" fmlaRange="$J$39:$J$45" noThreeD="1" sel="1" val="0"/>
</file>

<file path=xl/ctrlProps/ctrlProp62.xml><?xml version="1.0" encoding="utf-8"?>
<formControlPr xmlns="http://schemas.microsoft.com/office/spreadsheetml/2009/9/main" objectType="Drop" dropStyle="combo" dx="16" fmlaLink="$J$63" fmlaRange="$J$39:$J$45" noThreeD="1" sel="1" val="0"/>
</file>

<file path=xl/ctrlProps/ctrlProp63.xml><?xml version="1.0" encoding="utf-8"?>
<formControlPr xmlns="http://schemas.microsoft.com/office/spreadsheetml/2009/9/main" objectType="Drop" dropStyle="combo" dx="16" fmlaLink="$J$67" fmlaRange="$J$39:$J$45" noThreeD="1" sel="1" val="0"/>
</file>

<file path=xl/ctrlProps/ctrlProp64.xml><?xml version="1.0" encoding="utf-8"?>
<formControlPr xmlns="http://schemas.microsoft.com/office/spreadsheetml/2009/9/main" objectType="Drop" dropStyle="combo" dx="16" fmlaLink="$J$71" fmlaRange="$J$39:$J$45" noThreeD="1" sel="1" val="0"/>
</file>

<file path=xl/ctrlProps/ctrlProp65.xml><?xml version="1.0" encoding="utf-8"?>
<formControlPr xmlns="http://schemas.microsoft.com/office/spreadsheetml/2009/9/main" objectType="Drop" dropStyle="combo" dx="16" fmlaLink="$J$75" fmlaRange="$J$39:$J$45" noThreeD="1" sel="1" val="0"/>
</file>

<file path=xl/ctrlProps/ctrlProp66.xml><?xml version="1.0" encoding="utf-8"?>
<formControlPr xmlns="http://schemas.microsoft.com/office/spreadsheetml/2009/9/main" objectType="Drop" dropStyle="combo" dx="16" fmlaLink="$J$79" fmlaRange="$J$39:$J$45" noThreeD="1" sel="1" val="0"/>
</file>

<file path=xl/ctrlProps/ctrlProp67.xml><?xml version="1.0" encoding="utf-8"?>
<formControlPr xmlns="http://schemas.microsoft.com/office/spreadsheetml/2009/9/main" objectType="Drop" dropStyle="combo" dx="16" fmlaLink="$J$83" fmlaRange="$J$39:$J$45" noThreeD="1" sel="1" val="0"/>
</file>

<file path=xl/ctrlProps/ctrlProp68.xml><?xml version="1.0" encoding="utf-8"?>
<formControlPr xmlns="http://schemas.microsoft.com/office/spreadsheetml/2009/9/main" objectType="Drop" dropStyle="combo" dx="16" fmlaLink="$J$87" fmlaRange="$J$39:$J$45" noThreeD="1" sel="1" val="0"/>
</file>

<file path=xl/ctrlProps/ctrlProp69.xml><?xml version="1.0" encoding="utf-8"?>
<formControlPr xmlns="http://schemas.microsoft.com/office/spreadsheetml/2009/9/main" objectType="Drop" dropStyle="combo" dx="16" fmlaLink="$J$91" fmlaRange="$J$39:$J$45" noThreeD="1" sel="1" val="0"/>
</file>

<file path=xl/ctrlProps/ctrlProp70.xml><?xml version="1.0" encoding="utf-8"?>
<formControlPr xmlns="http://schemas.microsoft.com/office/spreadsheetml/2009/9/main" objectType="Drop" dropStyle="combo" dx="16" fmlaLink="$J$95" fmlaRange="$J$39:$J$45" noThreeD="1" sel="1" val="0"/>
</file>

<file path=xl/ctrlProps/ctrlProp71.xml><?xml version="1.0" encoding="utf-8"?>
<formControlPr xmlns="http://schemas.microsoft.com/office/spreadsheetml/2009/9/main" objectType="Drop" dropStyle="combo" dx="16" fmlaLink="$J$99" fmlaRange="$J$39:$J$45" noThreeD="1" sel="1" val="0"/>
</file>

<file path=xl/ctrlProps/ctrlProp72.xml><?xml version="1.0" encoding="utf-8"?>
<formControlPr xmlns="http://schemas.microsoft.com/office/spreadsheetml/2009/9/main" objectType="Drop" dropStyle="combo" dx="16" fmlaLink="$J$103" fmlaRange="$J$39:$J$45" noThreeD="1" sel="1" val="0"/>
</file>

<file path=xl/ctrlProps/ctrlProp73.xml><?xml version="1.0" encoding="utf-8"?>
<formControlPr xmlns="http://schemas.microsoft.com/office/spreadsheetml/2009/9/main" objectType="Drop" dropStyle="combo" dx="16" fmlaLink="$J$107" fmlaRange="$J$39:$J$45" noThreeD="1" sel="1" val="0"/>
</file>

<file path=xl/ctrlProps/ctrlProp74.xml><?xml version="1.0" encoding="utf-8"?>
<formControlPr xmlns="http://schemas.microsoft.com/office/spreadsheetml/2009/9/main" objectType="Drop" dropStyle="combo" dx="16" fmlaLink="$E$51" fmlaRange="$C$44:$C$46" noThreeD="1" sel="1" val="0"/>
</file>

<file path=xl/ctrlProps/ctrlProp75.xml><?xml version="1.0" encoding="utf-8"?>
<formControlPr xmlns="http://schemas.microsoft.com/office/spreadsheetml/2009/9/main" objectType="Drop" dropStyle="combo" dx="16" fmlaLink="$E$55" fmlaRange="$C$44:$C$46" noThreeD="1" sel="1" val="0"/>
</file>

<file path=xl/ctrlProps/ctrlProp76.xml><?xml version="1.0" encoding="utf-8"?>
<formControlPr xmlns="http://schemas.microsoft.com/office/spreadsheetml/2009/9/main" objectType="Drop" dropStyle="combo" dx="16" fmlaLink="$E$59" fmlaRange="$C$44:$C$46" noThreeD="1" sel="1" val="0"/>
</file>

<file path=xl/ctrlProps/ctrlProp77.xml><?xml version="1.0" encoding="utf-8"?>
<formControlPr xmlns="http://schemas.microsoft.com/office/spreadsheetml/2009/9/main" objectType="Drop" dropStyle="combo" dx="16" fmlaLink="$E$63" fmlaRange="$C$44:$C$46" noThreeD="1" sel="1" val="0"/>
</file>

<file path=xl/ctrlProps/ctrlProp78.xml><?xml version="1.0" encoding="utf-8"?>
<formControlPr xmlns="http://schemas.microsoft.com/office/spreadsheetml/2009/9/main" objectType="Drop" dropStyle="combo" dx="16" fmlaLink="$E$67" fmlaRange="$C$44:$C$46" noThreeD="1" sel="1" val="0"/>
</file>

<file path=xl/ctrlProps/ctrlProp79.xml><?xml version="1.0" encoding="utf-8"?>
<formControlPr xmlns="http://schemas.microsoft.com/office/spreadsheetml/2009/9/main" objectType="Drop" dropStyle="combo" dx="16" fmlaLink="$E$71" fmlaRange="$C$44:$C$46" noThreeD="1" sel="1" val="0"/>
</file>

<file path=xl/ctrlProps/ctrlProp80.xml><?xml version="1.0" encoding="utf-8"?>
<formControlPr xmlns="http://schemas.microsoft.com/office/spreadsheetml/2009/9/main" objectType="Drop" dropStyle="combo" dx="16" fmlaLink="$E$75" fmlaRange="$C$44:$C$46" noThreeD="1" sel="1" val="0"/>
</file>

<file path=xl/ctrlProps/ctrlProp81.xml><?xml version="1.0" encoding="utf-8"?>
<formControlPr xmlns="http://schemas.microsoft.com/office/spreadsheetml/2009/9/main" objectType="Drop" dropStyle="combo" dx="16" fmlaLink="$E$79" fmlaRange="$C$44:$C$46" noThreeD="1" sel="1" val="0"/>
</file>

<file path=xl/ctrlProps/ctrlProp82.xml><?xml version="1.0" encoding="utf-8"?>
<formControlPr xmlns="http://schemas.microsoft.com/office/spreadsheetml/2009/9/main" objectType="Drop" dropStyle="combo" dx="16" fmlaLink="$E$83" fmlaRange="$C$44:$C$46" noThreeD="1" sel="1" val="0"/>
</file>

<file path=xl/ctrlProps/ctrlProp83.xml><?xml version="1.0" encoding="utf-8"?>
<formControlPr xmlns="http://schemas.microsoft.com/office/spreadsheetml/2009/9/main" objectType="Drop" dropStyle="combo" dx="16" fmlaLink="$E$87" fmlaRange="$C$44:$C$46" noThreeD="1" sel="1" val="0"/>
</file>

<file path=xl/ctrlProps/ctrlProp84.xml><?xml version="1.0" encoding="utf-8"?>
<formControlPr xmlns="http://schemas.microsoft.com/office/spreadsheetml/2009/9/main" objectType="Drop" dropStyle="combo" dx="16" fmlaLink="$E$91" fmlaRange="$C$44:$C$46" noThreeD="1" sel="1" val="0"/>
</file>

<file path=xl/ctrlProps/ctrlProp85.xml><?xml version="1.0" encoding="utf-8"?>
<formControlPr xmlns="http://schemas.microsoft.com/office/spreadsheetml/2009/9/main" objectType="Drop" dropStyle="combo" dx="16" fmlaLink="$E$95" fmlaRange="$C$44:$C$46" noThreeD="1" sel="1" val="0"/>
</file>

<file path=xl/ctrlProps/ctrlProp86.xml><?xml version="1.0" encoding="utf-8"?>
<formControlPr xmlns="http://schemas.microsoft.com/office/spreadsheetml/2009/9/main" objectType="Drop" dropStyle="combo" dx="16" fmlaLink="$E$99" fmlaRange="$C$44:$C$46" noThreeD="1" sel="1" val="0"/>
</file>

<file path=xl/ctrlProps/ctrlProp87.xml><?xml version="1.0" encoding="utf-8"?>
<formControlPr xmlns="http://schemas.microsoft.com/office/spreadsheetml/2009/9/main" objectType="Drop" dropStyle="combo" dx="16" fmlaLink="$E$103" fmlaRange="$C$44:$C$46" noThreeD="1" sel="1" val="0"/>
</file>

<file path=xl/ctrlProps/ctrlProp88.xml><?xml version="1.0" encoding="utf-8"?>
<formControlPr xmlns="http://schemas.microsoft.com/office/spreadsheetml/2009/9/main" objectType="Drop" dropStyle="combo" dx="16" fmlaLink="$E$107" fmlaRange="$C$44:$C$46" noThreeD="1" sel="1" val="0"/>
</file>

<file path=xl/ctrlProps/ctrlProp89.xml><?xml version="1.0" encoding="utf-8"?>
<formControlPr xmlns="http://schemas.microsoft.com/office/spreadsheetml/2009/9/main" objectType="Drop" dropStyle="combo" dx="16" fmlaLink="$J$51" fmlaRange="$J$39:$J$45" noThreeD="1" sel="1" val="0"/>
</file>

<file path=xl/ctrlProps/ctrlProp90.xml><?xml version="1.0" encoding="utf-8"?>
<formControlPr xmlns="http://schemas.microsoft.com/office/spreadsheetml/2009/9/main" objectType="Drop" dropStyle="combo" dx="16" fmlaLink="$J$55" fmlaRange="$J$39:$J$45" noThreeD="1" sel="1" val="0"/>
</file>

<file path=xl/ctrlProps/ctrlProp91.xml><?xml version="1.0" encoding="utf-8"?>
<formControlPr xmlns="http://schemas.microsoft.com/office/spreadsheetml/2009/9/main" objectType="Drop" dropStyle="combo" dx="16" fmlaLink="$J$59" fmlaRange="$J$39:$J$45" noThreeD="1" sel="1" val="0"/>
</file>

<file path=xl/ctrlProps/ctrlProp92.xml><?xml version="1.0" encoding="utf-8"?>
<formControlPr xmlns="http://schemas.microsoft.com/office/spreadsheetml/2009/9/main" objectType="Drop" dropStyle="combo" dx="16" fmlaLink="$J$63" fmlaRange="$J$39:$J$45" noThreeD="1" sel="1" val="0"/>
</file>

<file path=xl/ctrlProps/ctrlProp93.xml><?xml version="1.0" encoding="utf-8"?>
<formControlPr xmlns="http://schemas.microsoft.com/office/spreadsheetml/2009/9/main" objectType="Drop" dropStyle="combo" dx="16" fmlaLink="$J$67" fmlaRange="$J$39:$J$45" noThreeD="1" sel="1" val="0"/>
</file>

<file path=xl/ctrlProps/ctrlProp94.xml><?xml version="1.0" encoding="utf-8"?>
<formControlPr xmlns="http://schemas.microsoft.com/office/spreadsheetml/2009/9/main" objectType="Drop" dropStyle="combo" dx="16" fmlaLink="$J$71" fmlaRange="$J$39:$J$45" noThreeD="1" sel="1" val="0"/>
</file>

<file path=xl/ctrlProps/ctrlProp95.xml><?xml version="1.0" encoding="utf-8"?>
<formControlPr xmlns="http://schemas.microsoft.com/office/spreadsheetml/2009/9/main" objectType="Drop" dropStyle="combo" dx="16" fmlaLink="$J$75" fmlaRange="$J$39:$J$45" noThreeD="1" sel="1" val="0"/>
</file>

<file path=xl/ctrlProps/ctrlProp96.xml><?xml version="1.0" encoding="utf-8"?>
<formControlPr xmlns="http://schemas.microsoft.com/office/spreadsheetml/2009/9/main" objectType="Drop" dropStyle="combo" dx="16" fmlaLink="$J$79" fmlaRange="$J$39:$J$45" noThreeD="1" sel="1" val="0"/>
</file>

<file path=xl/ctrlProps/ctrlProp97.xml><?xml version="1.0" encoding="utf-8"?>
<formControlPr xmlns="http://schemas.microsoft.com/office/spreadsheetml/2009/9/main" objectType="Drop" dropStyle="combo" dx="16" fmlaLink="$J$83" fmlaRange="$J$39:$J$45" noThreeD="1" sel="1" val="0"/>
</file>

<file path=xl/ctrlProps/ctrlProp98.xml><?xml version="1.0" encoding="utf-8"?>
<formControlPr xmlns="http://schemas.microsoft.com/office/spreadsheetml/2009/9/main" objectType="Drop" dropStyle="combo" dx="16" fmlaLink="$J$87" fmlaRange="$J$39:$J$45" noThreeD="1" sel="1" val="0"/>
</file>

<file path=xl/ctrlProps/ctrlProp99.xml><?xml version="1.0" encoding="utf-8"?>
<formControlPr xmlns="http://schemas.microsoft.com/office/spreadsheetml/2009/9/main" objectType="Drop" dropStyle="combo" dx="16" fmlaLink="$J$91" fmlaRange="$J$39:$J$45" noThreeD="1" sel="1" val="0"/>
</file>

<file path=xl/ctrlProps/ctrlProp100.xml><?xml version="1.0" encoding="utf-8"?>
<formControlPr xmlns="http://schemas.microsoft.com/office/spreadsheetml/2009/9/main" objectType="Drop" dropStyle="combo" dx="16" fmlaLink="$J$95" fmlaRange="$J$39:$J$45" noThreeD="1" sel="1" val="0"/>
</file>

<file path=xl/ctrlProps/ctrlProp101.xml><?xml version="1.0" encoding="utf-8"?>
<formControlPr xmlns="http://schemas.microsoft.com/office/spreadsheetml/2009/9/main" objectType="Drop" dropStyle="combo" dx="16" fmlaLink="$J$99" fmlaRange="$J$39:$J$45" noThreeD="1" sel="1" val="0"/>
</file>

<file path=xl/ctrlProps/ctrlProp102.xml><?xml version="1.0" encoding="utf-8"?>
<formControlPr xmlns="http://schemas.microsoft.com/office/spreadsheetml/2009/9/main" objectType="Drop" dropStyle="combo" dx="16" fmlaLink="$J$103" fmlaRange="$J$39:$J$45" noThreeD="1" sel="1" val="0"/>
</file>

<file path=xl/ctrlProps/ctrlProp103.xml><?xml version="1.0" encoding="utf-8"?>
<formControlPr xmlns="http://schemas.microsoft.com/office/spreadsheetml/2009/9/main" objectType="Drop" dropStyle="combo" dx="16" fmlaLink="$J$107" fmlaRange="$J$39:$J$45" noThreeD="1" sel="1" val="0"/>
</file>

<file path=xl/ctrlProps/ctrlProp104.xml><?xml version="1.0" encoding="utf-8"?>
<formControlPr xmlns="http://schemas.microsoft.com/office/spreadsheetml/2009/9/main" objectType="Drop" dropStyle="combo" dx="16" fmlaLink="$J$55" fmlaRange="$J$39:$J$45" noThreeD="1" sel="1" val="0"/>
</file>

<file path=xl/ctrlProps/ctrlProp105.xml><?xml version="1.0" encoding="utf-8"?>
<formControlPr xmlns="http://schemas.microsoft.com/office/spreadsheetml/2009/9/main" objectType="Drop" dropStyle="combo" dx="16" fmlaLink="$J$59" fmlaRange="$J$39:$J$45" noThreeD="1" sel="1" val="0"/>
</file>

<file path=xl/ctrlProps/ctrlProp106.xml><?xml version="1.0" encoding="utf-8"?>
<formControlPr xmlns="http://schemas.microsoft.com/office/spreadsheetml/2009/9/main" objectType="Drop" dropStyle="combo" dx="16" fmlaLink="$J$63" fmlaRange="$J$39:$J$45" noThreeD="1" sel="1" val="0"/>
</file>

<file path=xl/ctrlProps/ctrlProp107.xml><?xml version="1.0" encoding="utf-8"?>
<formControlPr xmlns="http://schemas.microsoft.com/office/spreadsheetml/2009/9/main" objectType="Drop" dropStyle="combo" dx="16" fmlaLink="$J$67" fmlaRange="$J$39:$J$45" noThreeD="1" sel="1" val="0"/>
</file>

<file path=xl/ctrlProps/ctrlProp108.xml><?xml version="1.0" encoding="utf-8"?>
<formControlPr xmlns="http://schemas.microsoft.com/office/spreadsheetml/2009/9/main" objectType="Drop" dropStyle="combo" dx="16" fmlaLink="$J$71" fmlaRange="$J$39:$J$45" noThreeD="1" sel="1" val="0"/>
</file>

<file path=xl/ctrlProps/ctrlProp109.xml><?xml version="1.0" encoding="utf-8"?>
<formControlPr xmlns="http://schemas.microsoft.com/office/spreadsheetml/2009/9/main" objectType="Drop" dropStyle="combo" dx="16" fmlaLink="$J$75" fmlaRange="$J$39:$J$45" noThreeD="1" sel="1" val="0"/>
</file>

<file path=xl/ctrlProps/ctrlProp110.xml><?xml version="1.0" encoding="utf-8"?>
<formControlPr xmlns="http://schemas.microsoft.com/office/spreadsheetml/2009/9/main" objectType="Drop" dropStyle="combo" dx="16" fmlaLink="$J$79" fmlaRange="$J$39:$J$45" noThreeD="1" sel="1" val="0"/>
</file>

<file path=xl/ctrlProps/ctrlProp111.xml><?xml version="1.0" encoding="utf-8"?>
<formControlPr xmlns="http://schemas.microsoft.com/office/spreadsheetml/2009/9/main" objectType="Drop" dropStyle="combo" dx="16" fmlaLink="$J$83" fmlaRange="$J$39:$J$45" noThreeD="1" sel="1" val="0"/>
</file>

<file path=xl/ctrlProps/ctrlProp112.xml><?xml version="1.0" encoding="utf-8"?>
<formControlPr xmlns="http://schemas.microsoft.com/office/spreadsheetml/2009/9/main" objectType="Drop" dropStyle="combo" dx="16" fmlaLink="$J$87" fmlaRange="$J$39:$J$45" noThreeD="1" sel="1" val="0"/>
</file>

<file path=xl/ctrlProps/ctrlProp113.xml><?xml version="1.0" encoding="utf-8"?>
<formControlPr xmlns="http://schemas.microsoft.com/office/spreadsheetml/2009/9/main" objectType="Drop" dropStyle="combo" dx="16" fmlaLink="$J$91" fmlaRange="$J$39:$J$45" noThreeD="1" sel="1" val="0"/>
</file>

<file path=xl/ctrlProps/ctrlProp114.xml><?xml version="1.0" encoding="utf-8"?>
<formControlPr xmlns="http://schemas.microsoft.com/office/spreadsheetml/2009/9/main" objectType="Drop" dropStyle="combo" dx="16" fmlaLink="$J$95" fmlaRange="$J$39:$J$45" noThreeD="1" sel="1" val="0"/>
</file>

<file path=xl/ctrlProps/ctrlProp115.xml><?xml version="1.0" encoding="utf-8"?>
<formControlPr xmlns="http://schemas.microsoft.com/office/spreadsheetml/2009/9/main" objectType="Drop" dropStyle="combo" dx="16" fmlaLink="$J$99" fmlaRange="$J$39:$J$45" noThreeD="1" sel="1" val="0"/>
</file>

<file path=xl/ctrlProps/ctrlProp116.xml><?xml version="1.0" encoding="utf-8"?>
<formControlPr xmlns="http://schemas.microsoft.com/office/spreadsheetml/2009/9/main" objectType="Drop" dropStyle="combo" dx="16" fmlaLink="$J$103" fmlaRange="$J$39:$J$45" noThreeD="1" sel="1" val="0"/>
</file>

<file path=xl/ctrlProps/ctrlProp117.xml><?xml version="1.0" encoding="utf-8"?>
<formControlPr xmlns="http://schemas.microsoft.com/office/spreadsheetml/2009/9/main" objectType="Drop" dropStyle="combo" dx="16" fmlaLink="$J$107" fmlaRange="$J$39:$J$45" noThreeD="1" sel="1" val="0"/>
</file>

<file path=xl/ctrlProps/ctrlProp118.xml><?xml version="1.0" encoding="utf-8"?>
<formControlPr xmlns="http://schemas.microsoft.com/office/spreadsheetml/2009/9/main" objectType="Drop" dropStyle="combo" dx="16" fmlaLink="$J$51" fmlaRange="$J$39:$J$45" noThreeD="1" sel="1" val="0"/>
</file>

<file path=xl/ctrlProps/ctrlProp119.xml><?xml version="1.0" encoding="utf-8"?>
<formControlPr xmlns="http://schemas.microsoft.com/office/spreadsheetml/2009/9/main" objectType="Drop" dropStyle="combo" dx="16" fmlaLink="$J$55" fmlaRange="$J$39:$J$45" noThreeD="1" sel="1" val="0"/>
</file>

<file path=xl/ctrlProps/ctrlProp120.xml><?xml version="1.0" encoding="utf-8"?>
<formControlPr xmlns="http://schemas.microsoft.com/office/spreadsheetml/2009/9/main" objectType="Drop" dropStyle="combo" dx="16" fmlaLink="$J$59" fmlaRange="$J$39:$J$45" noThreeD="1" sel="1" val="0"/>
</file>

<file path=xl/ctrlProps/ctrlProp121.xml><?xml version="1.0" encoding="utf-8"?>
<formControlPr xmlns="http://schemas.microsoft.com/office/spreadsheetml/2009/9/main" objectType="Drop" dropStyle="combo" dx="16" fmlaLink="$J$63" fmlaRange="$J$39:$J$45" noThreeD="1" sel="1" val="0"/>
</file>

<file path=xl/ctrlProps/ctrlProp122.xml><?xml version="1.0" encoding="utf-8"?>
<formControlPr xmlns="http://schemas.microsoft.com/office/spreadsheetml/2009/9/main" objectType="Drop" dropStyle="combo" dx="16" fmlaLink="$J$67" fmlaRange="$J$39:$J$45" noThreeD="1" sel="1" val="0"/>
</file>

<file path=xl/ctrlProps/ctrlProp123.xml><?xml version="1.0" encoding="utf-8"?>
<formControlPr xmlns="http://schemas.microsoft.com/office/spreadsheetml/2009/9/main" objectType="Drop" dropStyle="combo" dx="16" fmlaLink="$J$71" fmlaRange="$J$39:$J$45" noThreeD="1" sel="1" val="0"/>
</file>

<file path=xl/ctrlProps/ctrlProp124.xml><?xml version="1.0" encoding="utf-8"?>
<formControlPr xmlns="http://schemas.microsoft.com/office/spreadsheetml/2009/9/main" objectType="Drop" dropStyle="combo" dx="16" fmlaLink="$J$75" fmlaRange="$J$39:$J$45" noThreeD="1" sel="1" val="0"/>
</file>

<file path=xl/ctrlProps/ctrlProp125.xml><?xml version="1.0" encoding="utf-8"?>
<formControlPr xmlns="http://schemas.microsoft.com/office/spreadsheetml/2009/9/main" objectType="Drop" dropStyle="combo" dx="16" fmlaLink="$J$79" fmlaRange="$J$39:$J$45" noThreeD="1" sel="1" val="0"/>
</file>

<file path=xl/ctrlProps/ctrlProp126.xml><?xml version="1.0" encoding="utf-8"?>
<formControlPr xmlns="http://schemas.microsoft.com/office/spreadsheetml/2009/9/main" objectType="Drop" dropStyle="combo" dx="16" fmlaLink="$J$83" fmlaRange="$J$39:$J$45" noThreeD="1" sel="1" val="0"/>
</file>

<file path=xl/ctrlProps/ctrlProp127.xml><?xml version="1.0" encoding="utf-8"?>
<formControlPr xmlns="http://schemas.microsoft.com/office/spreadsheetml/2009/9/main" objectType="Drop" dropStyle="combo" dx="16" fmlaLink="$J$87" fmlaRange="$J$39:$J$45" noThreeD="1" sel="1" val="0"/>
</file>

<file path=xl/ctrlProps/ctrlProp128.xml><?xml version="1.0" encoding="utf-8"?>
<formControlPr xmlns="http://schemas.microsoft.com/office/spreadsheetml/2009/9/main" objectType="Drop" dropStyle="combo" dx="16" fmlaLink="$J$91" fmlaRange="$J$39:$J$45" noThreeD="1" sel="1" val="0"/>
</file>

<file path=xl/ctrlProps/ctrlProp129.xml><?xml version="1.0" encoding="utf-8"?>
<formControlPr xmlns="http://schemas.microsoft.com/office/spreadsheetml/2009/9/main" objectType="Drop" dropStyle="combo" dx="16" fmlaLink="$J$95" fmlaRange="$J$39:$J$45" noThreeD="1" sel="1" val="0"/>
</file>

<file path=xl/ctrlProps/ctrlProp130.xml><?xml version="1.0" encoding="utf-8"?>
<formControlPr xmlns="http://schemas.microsoft.com/office/spreadsheetml/2009/9/main" objectType="Drop" dropStyle="combo" dx="16" fmlaLink="$J$99" fmlaRange="$J$39:$J$45" noThreeD="1" sel="1" val="0"/>
</file>

<file path=xl/ctrlProps/ctrlProp131.xml><?xml version="1.0" encoding="utf-8"?>
<formControlPr xmlns="http://schemas.microsoft.com/office/spreadsheetml/2009/9/main" objectType="Drop" dropStyle="combo" dx="16" fmlaLink="$J$103" fmlaRange="$J$39:$J$45" noThreeD="1" sel="1" val="0"/>
</file>

<file path=xl/ctrlProps/ctrlProp132.xml><?xml version="1.0" encoding="utf-8"?>
<formControlPr xmlns="http://schemas.microsoft.com/office/spreadsheetml/2009/9/main" objectType="Drop" dropStyle="combo" dx="16" fmlaLink="$J$107" fmlaRange="$J$39:$J$45" noThreeD="1" sel="1" val="0"/>
</file>

<file path=xl/ctrlProps/ctrlProp133.xml><?xml version="1.0" encoding="utf-8"?>
<formControlPr xmlns="http://schemas.microsoft.com/office/spreadsheetml/2009/9/main" objectType="Drop" dropStyle="combo" dx="16" fmlaLink="$J$55" fmlaRange="$J$39:$J$45" noThreeD="1" sel="1" val="0"/>
</file>

<file path=xl/ctrlProps/ctrlProp134.xml><?xml version="1.0" encoding="utf-8"?>
<formControlPr xmlns="http://schemas.microsoft.com/office/spreadsheetml/2009/9/main" objectType="Drop" dropStyle="combo" dx="16" fmlaLink="$J$59" fmlaRange="$J$39:$J$45" noThreeD="1" sel="1" val="0"/>
</file>

<file path=xl/ctrlProps/ctrlProp135.xml><?xml version="1.0" encoding="utf-8"?>
<formControlPr xmlns="http://schemas.microsoft.com/office/spreadsheetml/2009/9/main" objectType="Drop" dropStyle="combo" dx="16" fmlaLink="$J$63" fmlaRange="$J$39:$J$45" noThreeD="1" sel="1" val="0"/>
</file>

<file path=xl/ctrlProps/ctrlProp136.xml><?xml version="1.0" encoding="utf-8"?>
<formControlPr xmlns="http://schemas.microsoft.com/office/spreadsheetml/2009/9/main" objectType="Drop" dropStyle="combo" dx="16" fmlaLink="$J$67" fmlaRange="$J$39:$J$45" noThreeD="1" sel="1" val="0"/>
</file>

<file path=xl/ctrlProps/ctrlProp137.xml><?xml version="1.0" encoding="utf-8"?>
<formControlPr xmlns="http://schemas.microsoft.com/office/spreadsheetml/2009/9/main" objectType="Drop" dropStyle="combo" dx="16" fmlaLink="$J$71" fmlaRange="$J$39:$J$45" noThreeD="1" sel="1" val="0"/>
</file>

<file path=xl/ctrlProps/ctrlProp138.xml><?xml version="1.0" encoding="utf-8"?>
<formControlPr xmlns="http://schemas.microsoft.com/office/spreadsheetml/2009/9/main" objectType="Drop" dropStyle="combo" dx="16" fmlaLink="$J$75" fmlaRange="$J$39:$J$45" noThreeD="1" sel="1" val="0"/>
</file>

<file path=xl/ctrlProps/ctrlProp139.xml><?xml version="1.0" encoding="utf-8"?>
<formControlPr xmlns="http://schemas.microsoft.com/office/spreadsheetml/2009/9/main" objectType="Drop" dropStyle="combo" dx="16" fmlaLink="$J$79" fmlaRange="$J$39:$J$45" noThreeD="1" sel="1" val="0"/>
</file>

<file path=xl/ctrlProps/ctrlProp140.xml><?xml version="1.0" encoding="utf-8"?>
<formControlPr xmlns="http://schemas.microsoft.com/office/spreadsheetml/2009/9/main" objectType="Drop" dropStyle="combo" dx="16" fmlaLink="$J$83" fmlaRange="$J$39:$J$45" noThreeD="1" sel="1" val="0"/>
</file>

<file path=xl/ctrlProps/ctrlProp141.xml><?xml version="1.0" encoding="utf-8"?>
<formControlPr xmlns="http://schemas.microsoft.com/office/spreadsheetml/2009/9/main" objectType="Drop" dropStyle="combo" dx="16" fmlaLink="$J$87" fmlaRange="$J$39:$J$45" noThreeD="1" sel="1" val="0"/>
</file>

<file path=xl/ctrlProps/ctrlProp142.xml><?xml version="1.0" encoding="utf-8"?>
<formControlPr xmlns="http://schemas.microsoft.com/office/spreadsheetml/2009/9/main" objectType="Drop" dropStyle="combo" dx="16" fmlaLink="$J$91" fmlaRange="$J$39:$J$45" noThreeD="1" sel="1" val="0"/>
</file>

<file path=xl/ctrlProps/ctrlProp143.xml><?xml version="1.0" encoding="utf-8"?>
<formControlPr xmlns="http://schemas.microsoft.com/office/spreadsheetml/2009/9/main" objectType="Drop" dropStyle="combo" dx="16" fmlaLink="$J$95" fmlaRange="$J$39:$J$45" noThreeD="1" sel="1" val="0"/>
</file>

<file path=xl/ctrlProps/ctrlProp144.xml><?xml version="1.0" encoding="utf-8"?>
<formControlPr xmlns="http://schemas.microsoft.com/office/spreadsheetml/2009/9/main" objectType="Drop" dropStyle="combo" dx="16" fmlaLink="$J$99" fmlaRange="$J$39:$J$45" noThreeD="1" sel="1" val="0"/>
</file>

<file path=xl/ctrlProps/ctrlProp145.xml><?xml version="1.0" encoding="utf-8"?>
<formControlPr xmlns="http://schemas.microsoft.com/office/spreadsheetml/2009/9/main" objectType="Drop" dropStyle="combo" dx="16" fmlaLink="$J$103" fmlaRange="$J$39:$J$45" noThreeD="1" sel="1" val="0"/>
</file>

<file path=xl/ctrlProps/ctrlProp146.xml><?xml version="1.0" encoding="utf-8"?>
<formControlPr xmlns="http://schemas.microsoft.com/office/spreadsheetml/2009/9/main" objectType="Drop" dropStyle="combo" dx="16" fmlaLink="$J$107" fmlaRange="$J$39:$J$45" noThreeD="1" sel="1" val="0"/>
</file>

<file path=xl/ctrlProps/ctrlProp147.xml><?xml version="1.0" encoding="utf-8"?>
<formControlPr xmlns="http://schemas.microsoft.com/office/spreadsheetml/2009/9/main" objectType="Drop" dropStyle="combo" dx="16" fmlaLink="L51" fmlaRange="$L$44:$L$45" noThreeD="1" sel="1" val="0"/>
</file>

<file path=xl/ctrlProps/ctrlProp148.xml><?xml version="1.0" encoding="utf-8"?>
<formControlPr xmlns="http://schemas.microsoft.com/office/spreadsheetml/2009/9/main" objectType="Drop" dropStyle="combo" dx="16" fmlaLink="$L$55" fmlaRange="$L$44:$L$45" noThreeD="1" sel="1" val="0"/>
</file>

<file path=xl/ctrlProps/ctrlProp149.xml><?xml version="1.0" encoding="utf-8"?>
<formControlPr xmlns="http://schemas.microsoft.com/office/spreadsheetml/2009/9/main" objectType="Drop" dropStyle="combo" dx="16" fmlaLink="L59" fmlaRange="$L$44:$L$45" noThreeD="1" sel="1" val="0"/>
</file>

<file path=xl/ctrlProps/ctrlProp150.xml><?xml version="1.0" encoding="utf-8"?>
<formControlPr xmlns="http://schemas.microsoft.com/office/spreadsheetml/2009/9/main" objectType="Drop" dropStyle="combo" dx="16" fmlaLink="L63" fmlaRange="$L$44:$L$45" noThreeD="1" sel="1" val="0"/>
</file>

<file path=xl/ctrlProps/ctrlProp151.xml><?xml version="1.0" encoding="utf-8"?>
<formControlPr xmlns="http://schemas.microsoft.com/office/spreadsheetml/2009/9/main" objectType="Drop" dropStyle="combo" dx="16" fmlaLink="L67" fmlaRange="$L$44:$L$45" noThreeD="1" sel="1" val="0"/>
</file>

<file path=xl/ctrlProps/ctrlProp152.xml><?xml version="1.0" encoding="utf-8"?>
<formControlPr xmlns="http://schemas.microsoft.com/office/spreadsheetml/2009/9/main" objectType="Drop" dropStyle="combo" dx="16" fmlaLink="L71" fmlaRange="$L$44:$L$45" noThreeD="1" sel="1" val="0"/>
</file>

<file path=xl/ctrlProps/ctrlProp153.xml><?xml version="1.0" encoding="utf-8"?>
<formControlPr xmlns="http://schemas.microsoft.com/office/spreadsheetml/2009/9/main" objectType="Drop" dropStyle="combo" dx="16" fmlaLink="L75" fmlaRange="$L$44:$L$45" noThreeD="1" sel="1" val="0"/>
</file>

<file path=xl/ctrlProps/ctrlProp154.xml><?xml version="1.0" encoding="utf-8"?>
<formControlPr xmlns="http://schemas.microsoft.com/office/spreadsheetml/2009/9/main" objectType="Drop" dropStyle="combo" dx="16" fmlaLink="L79" fmlaRange="$L$44:$L$45" noThreeD="1" sel="1" val="0"/>
</file>

<file path=xl/ctrlProps/ctrlProp155.xml><?xml version="1.0" encoding="utf-8"?>
<formControlPr xmlns="http://schemas.microsoft.com/office/spreadsheetml/2009/9/main" objectType="Drop" dropStyle="combo" dx="16" fmlaLink="L83" fmlaRange="$L$44:$L$45" noThreeD="1" sel="1" val="0"/>
</file>

<file path=xl/ctrlProps/ctrlProp156.xml><?xml version="1.0" encoding="utf-8"?>
<formControlPr xmlns="http://schemas.microsoft.com/office/spreadsheetml/2009/9/main" objectType="Drop" dropStyle="combo" dx="16" fmlaLink="L87" fmlaRange="$L$44:$L$45" noThreeD="1" sel="1" val="0"/>
</file>

<file path=xl/ctrlProps/ctrlProp157.xml><?xml version="1.0" encoding="utf-8"?>
<formControlPr xmlns="http://schemas.microsoft.com/office/spreadsheetml/2009/9/main" objectType="Drop" dropStyle="combo" dx="16" fmlaLink="L91" fmlaRange="$L$44:$L$45" noThreeD="1" sel="1" val="0"/>
</file>

<file path=xl/ctrlProps/ctrlProp158.xml><?xml version="1.0" encoding="utf-8"?>
<formControlPr xmlns="http://schemas.microsoft.com/office/spreadsheetml/2009/9/main" objectType="Drop" dropStyle="combo" dx="16" fmlaLink="L95" fmlaRange="$L$44:$L$45" noThreeD="1" sel="1" val="0"/>
</file>

<file path=xl/ctrlProps/ctrlProp159.xml><?xml version="1.0" encoding="utf-8"?>
<formControlPr xmlns="http://schemas.microsoft.com/office/spreadsheetml/2009/9/main" objectType="Drop" dropStyle="combo" dx="16" fmlaLink="L99" fmlaRange="$L$44:$L$45" noThreeD="1" sel="1" val="0"/>
</file>

<file path=xl/ctrlProps/ctrlProp160.xml><?xml version="1.0" encoding="utf-8"?>
<formControlPr xmlns="http://schemas.microsoft.com/office/spreadsheetml/2009/9/main" objectType="Drop" dropStyle="combo" dx="16" fmlaLink="L103" fmlaRange="$L$44:$L$45" noThreeD="1" sel="1" val="0"/>
</file>

<file path=xl/ctrlProps/ctrlProp161.xml><?xml version="1.0" encoding="utf-8"?>
<formControlPr xmlns="http://schemas.microsoft.com/office/spreadsheetml/2009/9/main" objectType="Drop" dropStyle="combo" dx="16" fmlaLink="L107" fmlaRange="$L$44:$L$45" noThreeD="1" sel="1" val="0"/>
</file>

<file path=xl/ctrlProps/ctrlProp162.xml><?xml version="1.0" encoding="utf-8"?>
<formControlPr xmlns="http://schemas.microsoft.com/office/spreadsheetml/2009/9/main" objectType="Drop" dropStyle="combo" dx="16" fmlaLink="$J$55" fmlaRange="$J$39:$J$45" noThreeD="1" sel="1" val="0"/>
</file>

<file path=xl/ctrlProps/ctrlProp163.xml><?xml version="1.0" encoding="utf-8"?>
<formControlPr xmlns="http://schemas.microsoft.com/office/spreadsheetml/2009/9/main" objectType="Drop" dropStyle="combo" dx="16" fmlaLink="$J$59" fmlaRange="$J$39:$J$45" noThreeD="1" sel="1" val="0"/>
</file>

<file path=xl/ctrlProps/ctrlProp164.xml><?xml version="1.0" encoding="utf-8"?>
<formControlPr xmlns="http://schemas.microsoft.com/office/spreadsheetml/2009/9/main" objectType="Drop" dropStyle="combo" dx="16" fmlaLink="$J$63" fmlaRange="$J$39:$J$45" noThreeD="1" sel="1" val="0"/>
</file>

<file path=xl/ctrlProps/ctrlProp165.xml><?xml version="1.0" encoding="utf-8"?>
<formControlPr xmlns="http://schemas.microsoft.com/office/spreadsheetml/2009/9/main" objectType="Drop" dropStyle="combo" dx="16" fmlaLink="$J$67" fmlaRange="$J$39:$J$45" noThreeD="1" sel="1" val="0"/>
</file>

<file path=xl/ctrlProps/ctrlProp166.xml><?xml version="1.0" encoding="utf-8"?>
<formControlPr xmlns="http://schemas.microsoft.com/office/spreadsheetml/2009/9/main" objectType="Drop" dropStyle="combo" dx="16" fmlaLink="$J$71" fmlaRange="$J$39:$J$45" noThreeD="1" sel="1" val="0"/>
</file>

<file path=xl/ctrlProps/ctrlProp167.xml><?xml version="1.0" encoding="utf-8"?>
<formControlPr xmlns="http://schemas.microsoft.com/office/spreadsheetml/2009/9/main" objectType="Drop" dropStyle="combo" dx="16" fmlaLink="$J$75" fmlaRange="$J$39:$J$45" noThreeD="1" sel="1" val="0"/>
</file>

<file path=xl/ctrlProps/ctrlProp168.xml><?xml version="1.0" encoding="utf-8"?>
<formControlPr xmlns="http://schemas.microsoft.com/office/spreadsheetml/2009/9/main" objectType="Drop" dropStyle="combo" dx="16" fmlaLink="$J$79" fmlaRange="$J$39:$J$45" noThreeD="1" sel="1" val="0"/>
</file>

<file path=xl/ctrlProps/ctrlProp169.xml><?xml version="1.0" encoding="utf-8"?>
<formControlPr xmlns="http://schemas.microsoft.com/office/spreadsheetml/2009/9/main" objectType="Drop" dropStyle="combo" dx="16" fmlaLink="$J$83" fmlaRange="$J$39:$J$45" noThreeD="1" sel="1" val="0"/>
</file>

<file path=xl/ctrlProps/ctrlProp170.xml><?xml version="1.0" encoding="utf-8"?>
<formControlPr xmlns="http://schemas.microsoft.com/office/spreadsheetml/2009/9/main" objectType="Drop" dropStyle="combo" dx="16" fmlaLink="$J$87" fmlaRange="$J$39:$J$45" noThreeD="1" sel="1" val="0"/>
</file>

<file path=xl/ctrlProps/ctrlProp171.xml><?xml version="1.0" encoding="utf-8"?>
<formControlPr xmlns="http://schemas.microsoft.com/office/spreadsheetml/2009/9/main" objectType="Drop" dropStyle="combo" dx="16" fmlaLink="$J$91" fmlaRange="$J$39:$J$45" noThreeD="1" sel="1" val="0"/>
</file>

<file path=xl/ctrlProps/ctrlProp172.xml><?xml version="1.0" encoding="utf-8"?>
<formControlPr xmlns="http://schemas.microsoft.com/office/spreadsheetml/2009/9/main" objectType="Drop" dropStyle="combo" dx="16" fmlaLink="$J$95" fmlaRange="$J$39:$J$45" noThreeD="1" sel="1" val="0"/>
</file>

<file path=xl/ctrlProps/ctrlProp173.xml><?xml version="1.0" encoding="utf-8"?>
<formControlPr xmlns="http://schemas.microsoft.com/office/spreadsheetml/2009/9/main" objectType="Drop" dropStyle="combo" dx="16" fmlaLink="$J$99" fmlaRange="$J$39:$J$45" noThreeD="1" sel="1" val="0"/>
</file>

<file path=xl/ctrlProps/ctrlProp174.xml><?xml version="1.0" encoding="utf-8"?>
<formControlPr xmlns="http://schemas.microsoft.com/office/spreadsheetml/2009/9/main" objectType="Drop" dropStyle="combo" dx="16" fmlaLink="$J$103" fmlaRange="$J$39:$J$45" noThreeD="1" sel="1" val="0"/>
</file>

<file path=xl/ctrlProps/ctrlProp175.xml><?xml version="1.0" encoding="utf-8"?>
<formControlPr xmlns="http://schemas.microsoft.com/office/spreadsheetml/2009/9/main" objectType="Drop" dropStyle="combo" dx="16" fmlaLink="$J$107" fmlaRange="$J$39:$J$45" noThreeD="1" sel="1" val="0"/>
</file>

<file path=xl/ctrlProps/ctrlProp176.xml><?xml version="1.0" encoding="utf-8"?>
<formControlPr xmlns="http://schemas.microsoft.com/office/spreadsheetml/2009/9/main" objectType="Drop" dropStyle="combo" dx="16" fmlaLink="$E$51" fmlaRange="$C$44:$C$46" noThreeD="1" sel="1" val="0"/>
</file>

<file path=xl/ctrlProps/ctrlProp177.xml><?xml version="1.0" encoding="utf-8"?>
<formControlPr xmlns="http://schemas.microsoft.com/office/spreadsheetml/2009/9/main" objectType="Drop" dropStyle="combo" dx="16" fmlaLink="$E$55" fmlaRange="$C$44:$C$46" noThreeD="1" sel="1" val="0"/>
</file>

<file path=xl/ctrlProps/ctrlProp178.xml><?xml version="1.0" encoding="utf-8"?>
<formControlPr xmlns="http://schemas.microsoft.com/office/spreadsheetml/2009/9/main" objectType="Drop" dropStyle="combo" dx="16" fmlaLink="$E$59" fmlaRange="$C$44:$C$46" noThreeD="1" sel="1" val="0"/>
</file>

<file path=xl/ctrlProps/ctrlProp179.xml><?xml version="1.0" encoding="utf-8"?>
<formControlPr xmlns="http://schemas.microsoft.com/office/spreadsheetml/2009/9/main" objectType="Drop" dropStyle="combo" dx="16" fmlaLink="$E$63" fmlaRange="$C$44:$C$46" noThreeD="1" sel="1" val="0"/>
</file>

<file path=xl/ctrlProps/ctrlProp180.xml><?xml version="1.0" encoding="utf-8"?>
<formControlPr xmlns="http://schemas.microsoft.com/office/spreadsheetml/2009/9/main" objectType="Drop" dropStyle="combo" dx="16" fmlaLink="$E$67" fmlaRange="$C$44:$C$46" noThreeD="1" sel="1" val="0"/>
</file>

<file path=xl/ctrlProps/ctrlProp181.xml><?xml version="1.0" encoding="utf-8"?>
<formControlPr xmlns="http://schemas.microsoft.com/office/spreadsheetml/2009/9/main" objectType="Drop" dropStyle="combo" dx="16" fmlaLink="$E$71" fmlaRange="$C$44:$C$46" noThreeD="1" sel="1" val="0"/>
</file>

<file path=xl/ctrlProps/ctrlProp182.xml><?xml version="1.0" encoding="utf-8"?>
<formControlPr xmlns="http://schemas.microsoft.com/office/spreadsheetml/2009/9/main" objectType="Drop" dropStyle="combo" dx="16" fmlaLink="$E$75" fmlaRange="$C$44:$C$46" noThreeD="1" sel="1" val="0"/>
</file>

<file path=xl/ctrlProps/ctrlProp183.xml><?xml version="1.0" encoding="utf-8"?>
<formControlPr xmlns="http://schemas.microsoft.com/office/spreadsheetml/2009/9/main" objectType="Drop" dropStyle="combo" dx="16" fmlaLink="$E$79" fmlaRange="$C$44:$C$46" noThreeD="1" sel="1" val="0"/>
</file>

<file path=xl/ctrlProps/ctrlProp184.xml><?xml version="1.0" encoding="utf-8"?>
<formControlPr xmlns="http://schemas.microsoft.com/office/spreadsheetml/2009/9/main" objectType="Drop" dropStyle="combo" dx="16" fmlaLink="$E$83" fmlaRange="$C$44:$C$46" noThreeD="1" sel="1" val="0"/>
</file>

<file path=xl/ctrlProps/ctrlProp185.xml><?xml version="1.0" encoding="utf-8"?>
<formControlPr xmlns="http://schemas.microsoft.com/office/spreadsheetml/2009/9/main" objectType="Drop" dropStyle="combo" dx="16" fmlaLink="$E$87" fmlaRange="$C$44:$C$46" noThreeD="1" sel="1" val="0"/>
</file>

<file path=xl/ctrlProps/ctrlProp186.xml><?xml version="1.0" encoding="utf-8"?>
<formControlPr xmlns="http://schemas.microsoft.com/office/spreadsheetml/2009/9/main" objectType="Drop" dropStyle="combo" dx="16" fmlaLink="$E$91" fmlaRange="$C$44:$C$46" noThreeD="1" sel="1" val="0"/>
</file>

<file path=xl/ctrlProps/ctrlProp187.xml><?xml version="1.0" encoding="utf-8"?>
<formControlPr xmlns="http://schemas.microsoft.com/office/spreadsheetml/2009/9/main" objectType="Drop" dropStyle="combo" dx="16" fmlaLink="$E$95" fmlaRange="$C$44:$C$46" noThreeD="1" sel="1" val="0"/>
</file>

<file path=xl/ctrlProps/ctrlProp188.xml><?xml version="1.0" encoding="utf-8"?>
<formControlPr xmlns="http://schemas.microsoft.com/office/spreadsheetml/2009/9/main" objectType="Drop" dropStyle="combo" dx="16" fmlaLink="$E$99" fmlaRange="$C$44:$C$46" noThreeD="1" sel="1" val="0"/>
</file>

<file path=xl/ctrlProps/ctrlProp189.xml><?xml version="1.0" encoding="utf-8"?>
<formControlPr xmlns="http://schemas.microsoft.com/office/spreadsheetml/2009/9/main" objectType="Drop" dropStyle="combo" dx="16" fmlaLink="$E$103" fmlaRange="$C$44:$C$46" noThreeD="1" sel="1" val="0"/>
</file>

<file path=xl/ctrlProps/ctrlProp190.xml><?xml version="1.0" encoding="utf-8"?>
<formControlPr xmlns="http://schemas.microsoft.com/office/spreadsheetml/2009/9/main" objectType="Drop" dropStyle="combo" dx="16" fmlaLink="$E$107" fmlaRange="$C$44:$C$46" noThreeD="1" sel="1" val="0"/>
</file>

<file path=xl/ctrlProps/ctrlProp191.xml><?xml version="1.0" encoding="utf-8"?>
<formControlPr xmlns="http://schemas.microsoft.com/office/spreadsheetml/2009/9/main" objectType="Drop" dropStyle="combo" dx="16" fmlaLink="$J$51" fmlaRange="$J$39:$J$45" noThreeD="1" sel="1" val="0"/>
</file>

<file path=xl/ctrlProps/ctrlProp192.xml><?xml version="1.0" encoding="utf-8"?>
<formControlPr xmlns="http://schemas.microsoft.com/office/spreadsheetml/2009/9/main" objectType="Drop" dropStyle="combo" dx="16" fmlaLink="$J$55" fmlaRange="$J$39:$J$45" noThreeD="1" sel="1" val="0"/>
</file>

<file path=xl/ctrlProps/ctrlProp193.xml><?xml version="1.0" encoding="utf-8"?>
<formControlPr xmlns="http://schemas.microsoft.com/office/spreadsheetml/2009/9/main" objectType="Drop" dropStyle="combo" dx="16" fmlaLink="$J$59" fmlaRange="$J$39:$J$45" noThreeD="1" sel="1" val="0"/>
</file>

<file path=xl/ctrlProps/ctrlProp194.xml><?xml version="1.0" encoding="utf-8"?>
<formControlPr xmlns="http://schemas.microsoft.com/office/spreadsheetml/2009/9/main" objectType="Drop" dropStyle="combo" dx="16" fmlaLink="$J$63" fmlaRange="$J$39:$J$45" noThreeD="1" sel="1" val="0"/>
</file>

<file path=xl/ctrlProps/ctrlProp195.xml><?xml version="1.0" encoding="utf-8"?>
<formControlPr xmlns="http://schemas.microsoft.com/office/spreadsheetml/2009/9/main" objectType="Drop" dropStyle="combo" dx="16" fmlaLink="$J$67" fmlaRange="$J$39:$J$45" noThreeD="1" sel="1" val="0"/>
</file>

<file path=xl/ctrlProps/ctrlProp196.xml><?xml version="1.0" encoding="utf-8"?>
<formControlPr xmlns="http://schemas.microsoft.com/office/spreadsheetml/2009/9/main" objectType="Drop" dropStyle="combo" dx="16" fmlaLink="$J$71" fmlaRange="$J$39:$J$45" noThreeD="1" sel="1" val="0"/>
</file>

<file path=xl/ctrlProps/ctrlProp197.xml><?xml version="1.0" encoding="utf-8"?>
<formControlPr xmlns="http://schemas.microsoft.com/office/spreadsheetml/2009/9/main" objectType="Drop" dropStyle="combo" dx="16" fmlaLink="$J$75" fmlaRange="$J$39:$J$45" noThreeD="1" sel="1" val="0"/>
</file>

<file path=xl/ctrlProps/ctrlProp198.xml><?xml version="1.0" encoding="utf-8"?>
<formControlPr xmlns="http://schemas.microsoft.com/office/spreadsheetml/2009/9/main" objectType="Drop" dropStyle="combo" dx="16" fmlaLink="$J$79" fmlaRange="$J$39:$J$45" noThreeD="1" sel="1" val="0"/>
</file>

<file path=xl/ctrlProps/ctrlProp199.xml><?xml version="1.0" encoding="utf-8"?>
<formControlPr xmlns="http://schemas.microsoft.com/office/spreadsheetml/2009/9/main" objectType="Drop" dropStyle="combo" dx="16" fmlaLink="$J$83" fmlaRange="$J$39:$J$45" noThreeD="1" sel="1" val="0"/>
</file>

<file path=xl/ctrlProps/ctrlProp200.xml><?xml version="1.0" encoding="utf-8"?>
<formControlPr xmlns="http://schemas.microsoft.com/office/spreadsheetml/2009/9/main" objectType="Drop" dropStyle="combo" dx="16" fmlaLink="$J$87" fmlaRange="$J$39:$J$45" noThreeD="1" sel="1" val="0"/>
</file>

<file path=xl/ctrlProps/ctrlProp201.xml><?xml version="1.0" encoding="utf-8"?>
<formControlPr xmlns="http://schemas.microsoft.com/office/spreadsheetml/2009/9/main" objectType="Drop" dropStyle="combo" dx="16" fmlaLink="$J$91" fmlaRange="$J$39:$J$45" noThreeD="1" sel="1" val="0"/>
</file>

<file path=xl/ctrlProps/ctrlProp202.xml><?xml version="1.0" encoding="utf-8"?>
<formControlPr xmlns="http://schemas.microsoft.com/office/spreadsheetml/2009/9/main" objectType="Drop" dropStyle="combo" dx="16" fmlaLink="$J$95" fmlaRange="$J$39:$J$45" noThreeD="1" sel="1" val="0"/>
</file>

<file path=xl/ctrlProps/ctrlProp203.xml><?xml version="1.0" encoding="utf-8"?>
<formControlPr xmlns="http://schemas.microsoft.com/office/spreadsheetml/2009/9/main" objectType="Drop" dropStyle="combo" dx="16" fmlaLink="$J$99" fmlaRange="$J$39:$J$45" noThreeD="1" sel="1" val="0"/>
</file>

<file path=xl/ctrlProps/ctrlProp204.xml><?xml version="1.0" encoding="utf-8"?>
<formControlPr xmlns="http://schemas.microsoft.com/office/spreadsheetml/2009/9/main" objectType="Drop" dropStyle="combo" dx="16" fmlaLink="$J$103" fmlaRange="$J$39:$J$45" noThreeD="1" sel="1" val="0"/>
</file>

<file path=xl/ctrlProps/ctrlProp205.xml><?xml version="1.0" encoding="utf-8"?>
<formControlPr xmlns="http://schemas.microsoft.com/office/spreadsheetml/2009/9/main" objectType="Drop" dropStyle="combo" dx="16" fmlaLink="$J$107" fmlaRange="$J$39:$J$45" noThreeD="1" sel="1" val="0"/>
</file>

<file path=xl/ctrlProps/ctrlProp206.xml><?xml version="1.0" encoding="utf-8"?>
<formControlPr xmlns="http://schemas.microsoft.com/office/spreadsheetml/2009/9/main" objectType="Drop" dropStyle="combo" dx="16" fmlaLink="$J$55" fmlaRange="$J$39:$J$45" noThreeD="1" sel="1" val="0"/>
</file>

<file path=xl/ctrlProps/ctrlProp207.xml><?xml version="1.0" encoding="utf-8"?>
<formControlPr xmlns="http://schemas.microsoft.com/office/spreadsheetml/2009/9/main" objectType="Drop" dropStyle="combo" dx="16" fmlaLink="$J$59" fmlaRange="$J$39:$J$45" noThreeD="1" sel="1" val="0"/>
</file>

<file path=xl/ctrlProps/ctrlProp208.xml><?xml version="1.0" encoding="utf-8"?>
<formControlPr xmlns="http://schemas.microsoft.com/office/spreadsheetml/2009/9/main" objectType="Drop" dropStyle="combo" dx="16" fmlaLink="$J$63" fmlaRange="$J$39:$J$45" noThreeD="1" sel="1" val="0"/>
</file>

<file path=xl/ctrlProps/ctrlProp209.xml><?xml version="1.0" encoding="utf-8"?>
<formControlPr xmlns="http://schemas.microsoft.com/office/spreadsheetml/2009/9/main" objectType="Drop" dropStyle="combo" dx="16" fmlaLink="$J$67" fmlaRange="$J$39:$J$45" noThreeD="1" sel="1" val="0"/>
</file>

<file path=xl/ctrlProps/ctrlProp210.xml><?xml version="1.0" encoding="utf-8"?>
<formControlPr xmlns="http://schemas.microsoft.com/office/spreadsheetml/2009/9/main" objectType="Drop" dropStyle="combo" dx="16" fmlaLink="$J$71" fmlaRange="$J$39:$J$45" noThreeD="1" sel="1" val="0"/>
</file>

<file path=xl/ctrlProps/ctrlProp211.xml><?xml version="1.0" encoding="utf-8"?>
<formControlPr xmlns="http://schemas.microsoft.com/office/spreadsheetml/2009/9/main" objectType="Drop" dropStyle="combo" dx="16" fmlaLink="$J$75" fmlaRange="$J$39:$J$45" noThreeD="1" sel="1" val="0"/>
</file>

<file path=xl/ctrlProps/ctrlProp212.xml><?xml version="1.0" encoding="utf-8"?>
<formControlPr xmlns="http://schemas.microsoft.com/office/spreadsheetml/2009/9/main" objectType="Drop" dropStyle="combo" dx="16" fmlaLink="$J$79" fmlaRange="$J$39:$J$45" noThreeD="1" sel="1" val="0"/>
</file>

<file path=xl/ctrlProps/ctrlProp213.xml><?xml version="1.0" encoding="utf-8"?>
<formControlPr xmlns="http://schemas.microsoft.com/office/spreadsheetml/2009/9/main" objectType="Drop" dropStyle="combo" dx="16" fmlaLink="$J$83" fmlaRange="$J$39:$J$45" noThreeD="1" sel="1" val="0"/>
</file>

<file path=xl/ctrlProps/ctrlProp214.xml><?xml version="1.0" encoding="utf-8"?>
<formControlPr xmlns="http://schemas.microsoft.com/office/spreadsheetml/2009/9/main" objectType="Drop" dropStyle="combo" dx="16" fmlaLink="$J$87" fmlaRange="$J$39:$J$45" noThreeD="1" sel="1" val="0"/>
</file>

<file path=xl/ctrlProps/ctrlProp215.xml><?xml version="1.0" encoding="utf-8"?>
<formControlPr xmlns="http://schemas.microsoft.com/office/spreadsheetml/2009/9/main" objectType="Drop" dropStyle="combo" dx="16" fmlaLink="$J$91" fmlaRange="$J$39:$J$45" noThreeD="1" sel="1" val="0"/>
</file>

<file path=xl/ctrlProps/ctrlProp216.xml><?xml version="1.0" encoding="utf-8"?>
<formControlPr xmlns="http://schemas.microsoft.com/office/spreadsheetml/2009/9/main" objectType="Drop" dropStyle="combo" dx="16" fmlaLink="$J$95" fmlaRange="$J$39:$J$45" noThreeD="1" sel="1" val="0"/>
</file>

<file path=xl/ctrlProps/ctrlProp217.xml><?xml version="1.0" encoding="utf-8"?>
<formControlPr xmlns="http://schemas.microsoft.com/office/spreadsheetml/2009/9/main" objectType="Drop" dropStyle="combo" dx="16" fmlaLink="$J$99" fmlaRange="$J$39:$J$45" noThreeD="1" sel="1" val="0"/>
</file>

<file path=xl/ctrlProps/ctrlProp218.xml><?xml version="1.0" encoding="utf-8"?>
<formControlPr xmlns="http://schemas.microsoft.com/office/spreadsheetml/2009/9/main" objectType="Drop" dropStyle="combo" dx="16" fmlaLink="$J$103" fmlaRange="$J$39:$J$45" noThreeD="1" sel="1" val="0"/>
</file>

<file path=xl/ctrlProps/ctrlProp219.xml><?xml version="1.0" encoding="utf-8"?>
<formControlPr xmlns="http://schemas.microsoft.com/office/spreadsheetml/2009/9/main" objectType="Drop" dropStyle="combo" dx="16" fmlaLink="$J$107" fmlaRange="$J$39:$J$45" noThreeD="1" sel="1" val="0"/>
</file>

<file path=xl/ctrlProps/ctrlProp220.xml><?xml version="1.0" encoding="utf-8"?>
<formControlPr xmlns="http://schemas.microsoft.com/office/spreadsheetml/2009/9/main" objectType="Drop" dropStyle="combo" dx="16" fmlaLink="$E$55" fmlaRange="$C$44:$C$46" noThreeD="1" sel="1" val="0"/>
</file>

<file path=xl/ctrlProps/ctrlProp221.xml><?xml version="1.0" encoding="utf-8"?>
<formControlPr xmlns="http://schemas.microsoft.com/office/spreadsheetml/2009/9/main" objectType="Drop" dropStyle="combo" dx="16" fmlaLink="$E$59" fmlaRange="$C$44:$C$46" noThreeD="1" sel="1" val="0"/>
</file>

<file path=xl/ctrlProps/ctrlProp222.xml><?xml version="1.0" encoding="utf-8"?>
<formControlPr xmlns="http://schemas.microsoft.com/office/spreadsheetml/2009/9/main" objectType="Drop" dropStyle="combo" dx="16" fmlaLink="$E$63" fmlaRange="$C$44:$C$46" noThreeD="1" sel="1" val="0"/>
</file>

<file path=xl/ctrlProps/ctrlProp223.xml><?xml version="1.0" encoding="utf-8"?>
<formControlPr xmlns="http://schemas.microsoft.com/office/spreadsheetml/2009/9/main" objectType="Drop" dropStyle="combo" dx="16" fmlaLink="$E$67" fmlaRange="$C$44:$C$46" noThreeD="1" sel="1" val="0"/>
</file>

<file path=xl/ctrlProps/ctrlProp224.xml><?xml version="1.0" encoding="utf-8"?>
<formControlPr xmlns="http://schemas.microsoft.com/office/spreadsheetml/2009/9/main" objectType="Drop" dropStyle="combo" dx="16" fmlaLink="$E$71" fmlaRange="$C$44:$C$46" noThreeD="1" sel="1" val="0"/>
</file>

<file path=xl/ctrlProps/ctrlProp225.xml><?xml version="1.0" encoding="utf-8"?>
<formControlPr xmlns="http://schemas.microsoft.com/office/spreadsheetml/2009/9/main" objectType="Drop" dropStyle="combo" dx="16" fmlaLink="$E$75" fmlaRange="$C$44:$C$46" noThreeD="1" sel="1" val="0"/>
</file>

<file path=xl/ctrlProps/ctrlProp226.xml><?xml version="1.0" encoding="utf-8"?>
<formControlPr xmlns="http://schemas.microsoft.com/office/spreadsheetml/2009/9/main" objectType="Drop" dropStyle="combo" dx="16" fmlaLink="$E$79" fmlaRange="$C$44:$C$46" noThreeD="1" sel="1" val="0"/>
</file>

<file path=xl/ctrlProps/ctrlProp227.xml><?xml version="1.0" encoding="utf-8"?>
<formControlPr xmlns="http://schemas.microsoft.com/office/spreadsheetml/2009/9/main" objectType="Drop" dropStyle="combo" dx="16" fmlaLink="$E$83" fmlaRange="$C$44:$C$46" noThreeD="1" sel="1" val="0"/>
</file>

<file path=xl/ctrlProps/ctrlProp228.xml><?xml version="1.0" encoding="utf-8"?>
<formControlPr xmlns="http://schemas.microsoft.com/office/spreadsheetml/2009/9/main" objectType="Drop" dropStyle="combo" dx="16" fmlaLink="$E$87" fmlaRange="$C$44:$C$46" noThreeD="1" sel="1" val="0"/>
</file>

<file path=xl/ctrlProps/ctrlProp229.xml><?xml version="1.0" encoding="utf-8"?>
<formControlPr xmlns="http://schemas.microsoft.com/office/spreadsheetml/2009/9/main" objectType="Drop" dropStyle="combo" dx="16" fmlaLink="$E$91" fmlaRange="$C$44:$C$46" noThreeD="1" sel="1" val="0"/>
</file>

<file path=xl/ctrlProps/ctrlProp230.xml><?xml version="1.0" encoding="utf-8"?>
<formControlPr xmlns="http://schemas.microsoft.com/office/spreadsheetml/2009/9/main" objectType="Drop" dropStyle="combo" dx="16" fmlaLink="$E$95" fmlaRange="$C$44:$C$46" noThreeD="1" sel="1" val="0"/>
</file>

<file path=xl/ctrlProps/ctrlProp231.xml><?xml version="1.0" encoding="utf-8"?>
<formControlPr xmlns="http://schemas.microsoft.com/office/spreadsheetml/2009/9/main" objectType="Drop" dropStyle="combo" dx="16" fmlaLink="$E$99" fmlaRange="$C$44:$C$46" noThreeD="1" sel="1" val="0"/>
</file>

<file path=xl/ctrlProps/ctrlProp232.xml><?xml version="1.0" encoding="utf-8"?>
<formControlPr xmlns="http://schemas.microsoft.com/office/spreadsheetml/2009/9/main" objectType="Drop" dropStyle="combo" dx="16" fmlaLink="$E$103" fmlaRange="$C$44:$C$46" noThreeD="1" sel="1" val="0"/>
</file>

<file path=xl/ctrlProps/ctrlProp233.xml><?xml version="1.0" encoding="utf-8"?>
<formControlPr xmlns="http://schemas.microsoft.com/office/spreadsheetml/2009/9/main" objectType="Drop" dropStyle="combo" dx="16" fmlaLink="$E$107" fmlaRange="$C$44:$C$46" noThreeD="1" sel="1" val="0"/>
</file>

<file path=xl/ctrlProps/ctrlProp234.xml><?xml version="1.0" encoding="utf-8"?>
<formControlPr xmlns="http://schemas.microsoft.com/office/spreadsheetml/2009/9/main" objectType="Drop" dropStyle="combo" dx="16" fmlaLink="$J$51" fmlaRange="$J$39:$J$45" noThreeD="1" sel="1" val="0"/>
</file>

<file path=xl/ctrlProps/ctrlProp235.xml><?xml version="1.0" encoding="utf-8"?>
<formControlPr xmlns="http://schemas.microsoft.com/office/spreadsheetml/2009/9/main" objectType="Drop" dropStyle="combo" dx="16" fmlaLink="$J$55" fmlaRange="$J$39:$J$45" noThreeD="1" sel="1" val="0"/>
</file>

<file path=xl/ctrlProps/ctrlProp236.xml><?xml version="1.0" encoding="utf-8"?>
<formControlPr xmlns="http://schemas.microsoft.com/office/spreadsheetml/2009/9/main" objectType="Drop" dropStyle="combo" dx="16" fmlaLink="$J$59" fmlaRange="$J$39:$J$45" noThreeD="1" sel="1" val="0"/>
</file>

<file path=xl/ctrlProps/ctrlProp237.xml><?xml version="1.0" encoding="utf-8"?>
<formControlPr xmlns="http://schemas.microsoft.com/office/spreadsheetml/2009/9/main" objectType="Drop" dropStyle="combo" dx="16" fmlaLink="$J$63" fmlaRange="$J$39:$J$45" noThreeD="1" sel="1" val="0"/>
</file>

<file path=xl/ctrlProps/ctrlProp238.xml><?xml version="1.0" encoding="utf-8"?>
<formControlPr xmlns="http://schemas.microsoft.com/office/spreadsheetml/2009/9/main" objectType="Drop" dropStyle="combo" dx="16" fmlaLink="$J$67" fmlaRange="$J$39:$J$45" noThreeD="1" sel="1" val="0"/>
</file>

<file path=xl/ctrlProps/ctrlProp239.xml><?xml version="1.0" encoding="utf-8"?>
<formControlPr xmlns="http://schemas.microsoft.com/office/spreadsheetml/2009/9/main" objectType="Drop" dropStyle="combo" dx="16" fmlaLink="$J$71" fmlaRange="$J$39:$J$45" noThreeD="1" sel="1" val="0"/>
</file>

<file path=xl/ctrlProps/ctrlProp240.xml><?xml version="1.0" encoding="utf-8"?>
<formControlPr xmlns="http://schemas.microsoft.com/office/spreadsheetml/2009/9/main" objectType="Drop" dropStyle="combo" dx="16" fmlaLink="$J$75" fmlaRange="$J$39:$J$45" noThreeD="1" sel="1" val="0"/>
</file>

<file path=xl/ctrlProps/ctrlProp241.xml><?xml version="1.0" encoding="utf-8"?>
<formControlPr xmlns="http://schemas.microsoft.com/office/spreadsheetml/2009/9/main" objectType="Drop" dropStyle="combo" dx="16" fmlaLink="$J$79" fmlaRange="$J$39:$J$45" noThreeD="1" sel="1" val="0"/>
</file>

<file path=xl/ctrlProps/ctrlProp242.xml><?xml version="1.0" encoding="utf-8"?>
<formControlPr xmlns="http://schemas.microsoft.com/office/spreadsheetml/2009/9/main" objectType="Drop" dropStyle="combo" dx="16" fmlaLink="$J$83" fmlaRange="$J$39:$J$45" noThreeD="1" sel="1" val="0"/>
</file>

<file path=xl/ctrlProps/ctrlProp243.xml><?xml version="1.0" encoding="utf-8"?>
<formControlPr xmlns="http://schemas.microsoft.com/office/spreadsheetml/2009/9/main" objectType="Drop" dropStyle="combo" dx="16" fmlaLink="$J$87" fmlaRange="$J$39:$J$45" noThreeD="1" sel="1" val="0"/>
</file>

<file path=xl/ctrlProps/ctrlProp244.xml><?xml version="1.0" encoding="utf-8"?>
<formControlPr xmlns="http://schemas.microsoft.com/office/spreadsheetml/2009/9/main" objectType="Drop" dropStyle="combo" dx="16" fmlaLink="$J$91" fmlaRange="$J$39:$J$45" noThreeD="1" sel="1" val="0"/>
</file>

<file path=xl/ctrlProps/ctrlProp245.xml><?xml version="1.0" encoding="utf-8"?>
<formControlPr xmlns="http://schemas.microsoft.com/office/spreadsheetml/2009/9/main" objectType="Drop" dropStyle="combo" dx="16" fmlaLink="$J$95" fmlaRange="$J$39:$J$45" noThreeD="1" sel="1" val="0"/>
</file>

<file path=xl/ctrlProps/ctrlProp246.xml><?xml version="1.0" encoding="utf-8"?>
<formControlPr xmlns="http://schemas.microsoft.com/office/spreadsheetml/2009/9/main" objectType="Drop" dropStyle="combo" dx="16" fmlaLink="$J$99" fmlaRange="$J$39:$J$45" noThreeD="1" sel="1" val="0"/>
</file>

<file path=xl/ctrlProps/ctrlProp247.xml><?xml version="1.0" encoding="utf-8"?>
<formControlPr xmlns="http://schemas.microsoft.com/office/spreadsheetml/2009/9/main" objectType="Drop" dropStyle="combo" dx="16" fmlaLink="$J$103" fmlaRange="$J$39:$J$45" noThreeD="1" sel="1" val="0"/>
</file>

<file path=xl/ctrlProps/ctrlProp248.xml><?xml version="1.0" encoding="utf-8"?>
<formControlPr xmlns="http://schemas.microsoft.com/office/spreadsheetml/2009/9/main" objectType="Drop" dropStyle="combo" dx="16" fmlaLink="$J$107" fmlaRange="$J$39:$J$45" noThreeD="1" sel="1" val="0"/>
</file>

<file path=xl/ctrlProps/ctrlProp249.xml><?xml version="1.0" encoding="utf-8"?>
<formControlPr xmlns="http://schemas.microsoft.com/office/spreadsheetml/2009/9/main" objectType="Drop" dropStyle="combo" dx="16" fmlaLink="$J$55" fmlaRange="$J$39:$J$45" noThreeD="1" sel="1" val="0"/>
</file>

<file path=xl/ctrlProps/ctrlProp250.xml><?xml version="1.0" encoding="utf-8"?>
<formControlPr xmlns="http://schemas.microsoft.com/office/spreadsheetml/2009/9/main" objectType="Drop" dropStyle="combo" dx="16" fmlaLink="$J$59" fmlaRange="$J$39:$J$45" noThreeD="1" sel="1" val="0"/>
</file>

<file path=xl/ctrlProps/ctrlProp251.xml><?xml version="1.0" encoding="utf-8"?>
<formControlPr xmlns="http://schemas.microsoft.com/office/spreadsheetml/2009/9/main" objectType="Drop" dropStyle="combo" dx="16" fmlaLink="$J$63" fmlaRange="$J$39:$J$45" noThreeD="1" sel="1" val="0"/>
</file>

<file path=xl/ctrlProps/ctrlProp252.xml><?xml version="1.0" encoding="utf-8"?>
<formControlPr xmlns="http://schemas.microsoft.com/office/spreadsheetml/2009/9/main" objectType="Drop" dropStyle="combo" dx="16" fmlaLink="$J$67" fmlaRange="$J$39:$J$45" noThreeD="1" sel="1" val="0"/>
</file>

<file path=xl/ctrlProps/ctrlProp253.xml><?xml version="1.0" encoding="utf-8"?>
<formControlPr xmlns="http://schemas.microsoft.com/office/spreadsheetml/2009/9/main" objectType="Drop" dropStyle="combo" dx="16" fmlaLink="$J$71" fmlaRange="$J$39:$J$45" noThreeD="1" sel="1" val="0"/>
</file>

<file path=xl/ctrlProps/ctrlProp254.xml><?xml version="1.0" encoding="utf-8"?>
<formControlPr xmlns="http://schemas.microsoft.com/office/spreadsheetml/2009/9/main" objectType="Drop" dropStyle="combo" dx="16" fmlaLink="$J$75" fmlaRange="$J$39:$J$45" noThreeD="1" sel="1" val="0"/>
</file>

<file path=xl/ctrlProps/ctrlProp255.xml><?xml version="1.0" encoding="utf-8"?>
<formControlPr xmlns="http://schemas.microsoft.com/office/spreadsheetml/2009/9/main" objectType="Drop" dropStyle="combo" dx="16" fmlaLink="$J$79" fmlaRange="$J$39:$J$45" noThreeD="1" sel="1" val="0"/>
</file>

<file path=xl/ctrlProps/ctrlProp256.xml><?xml version="1.0" encoding="utf-8"?>
<formControlPr xmlns="http://schemas.microsoft.com/office/spreadsheetml/2009/9/main" objectType="Drop" dropStyle="combo" dx="16" fmlaLink="$J$83" fmlaRange="$J$39:$J$45" noThreeD="1" sel="1" val="0"/>
</file>

<file path=xl/ctrlProps/ctrlProp257.xml><?xml version="1.0" encoding="utf-8"?>
<formControlPr xmlns="http://schemas.microsoft.com/office/spreadsheetml/2009/9/main" objectType="Drop" dropStyle="combo" dx="16" fmlaLink="$J$87" fmlaRange="$J$39:$J$45" noThreeD="1" sel="1" val="0"/>
</file>

<file path=xl/ctrlProps/ctrlProp258.xml><?xml version="1.0" encoding="utf-8"?>
<formControlPr xmlns="http://schemas.microsoft.com/office/spreadsheetml/2009/9/main" objectType="Drop" dropStyle="combo" dx="16" fmlaLink="$J$91" fmlaRange="$J$39:$J$45" noThreeD="1" sel="1" val="0"/>
</file>

<file path=xl/ctrlProps/ctrlProp259.xml><?xml version="1.0" encoding="utf-8"?>
<formControlPr xmlns="http://schemas.microsoft.com/office/spreadsheetml/2009/9/main" objectType="Drop" dropStyle="combo" dx="16" fmlaLink="$J$95" fmlaRange="$J$39:$J$45" noThreeD="1" sel="1" val="0"/>
</file>

<file path=xl/ctrlProps/ctrlProp260.xml><?xml version="1.0" encoding="utf-8"?>
<formControlPr xmlns="http://schemas.microsoft.com/office/spreadsheetml/2009/9/main" objectType="Drop" dropStyle="combo" dx="16" fmlaLink="$J$99" fmlaRange="$J$39:$J$45" noThreeD="1" sel="1" val="0"/>
</file>

<file path=xl/ctrlProps/ctrlProp261.xml><?xml version="1.0" encoding="utf-8"?>
<formControlPr xmlns="http://schemas.microsoft.com/office/spreadsheetml/2009/9/main" objectType="Drop" dropStyle="combo" dx="16" fmlaLink="$J$103" fmlaRange="$J$39:$J$45" noThreeD="1" sel="1" val="0"/>
</file>

<file path=xl/ctrlProps/ctrlProp262.xml><?xml version="1.0" encoding="utf-8"?>
<formControlPr xmlns="http://schemas.microsoft.com/office/spreadsheetml/2009/9/main" objectType="Drop" dropStyle="combo" dx="16" fmlaLink="$J$107" fmlaRange="$J$39:$J$45" noThreeD="1" sel="1" val="0"/>
</file>

<file path=xl/ctrlProps/ctrlProp263.xml><?xml version="1.0" encoding="utf-8"?>
<formControlPr xmlns="http://schemas.microsoft.com/office/spreadsheetml/2009/9/main" objectType="Drop" dropStyle="combo" dx="16" fmlaLink="L51" fmlaRange="$L$44:$L$45" noThreeD="1" sel="1" val="0"/>
</file>

<file path=xl/ctrlProps/ctrlProp264.xml><?xml version="1.0" encoding="utf-8"?>
<formControlPr xmlns="http://schemas.microsoft.com/office/spreadsheetml/2009/9/main" objectType="Drop" dropStyle="combo" dx="16" fmlaLink="$L$55" fmlaRange="$L$44:$L$45" noThreeD="1" sel="1" val="0"/>
</file>

<file path=xl/ctrlProps/ctrlProp265.xml><?xml version="1.0" encoding="utf-8"?>
<formControlPr xmlns="http://schemas.microsoft.com/office/spreadsheetml/2009/9/main" objectType="Drop" dropStyle="combo" dx="16" fmlaLink="L59" fmlaRange="$L$44:$L$45" noThreeD="1" sel="1" val="0"/>
</file>

<file path=xl/ctrlProps/ctrlProp266.xml><?xml version="1.0" encoding="utf-8"?>
<formControlPr xmlns="http://schemas.microsoft.com/office/spreadsheetml/2009/9/main" objectType="Drop" dropStyle="combo" dx="16" fmlaLink="L63" fmlaRange="$L$44:$L$45" noThreeD="1" sel="1" val="0"/>
</file>

<file path=xl/ctrlProps/ctrlProp267.xml><?xml version="1.0" encoding="utf-8"?>
<formControlPr xmlns="http://schemas.microsoft.com/office/spreadsheetml/2009/9/main" objectType="Drop" dropStyle="combo" dx="16" fmlaLink="L67" fmlaRange="$L$44:$L$45" noThreeD="1" sel="1" val="0"/>
</file>

<file path=xl/ctrlProps/ctrlProp268.xml><?xml version="1.0" encoding="utf-8"?>
<formControlPr xmlns="http://schemas.microsoft.com/office/spreadsheetml/2009/9/main" objectType="Drop" dropStyle="combo" dx="16" fmlaLink="L71" fmlaRange="$L$44:$L$45" noThreeD="1" sel="1" val="0"/>
</file>

<file path=xl/ctrlProps/ctrlProp269.xml><?xml version="1.0" encoding="utf-8"?>
<formControlPr xmlns="http://schemas.microsoft.com/office/spreadsheetml/2009/9/main" objectType="Drop" dropStyle="combo" dx="16" fmlaLink="L75" fmlaRange="$L$44:$L$45" noThreeD="1" sel="1" val="0"/>
</file>

<file path=xl/ctrlProps/ctrlProp270.xml><?xml version="1.0" encoding="utf-8"?>
<formControlPr xmlns="http://schemas.microsoft.com/office/spreadsheetml/2009/9/main" objectType="Drop" dropStyle="combo" dx="16" fmlaLink="L79" fmlaRange="$L$44:$L$45" noThreeD="1" sel="1" val="0"/>
</file>

<file path=xl/ctrlProps/ctrlProp271.xml><?xml version="1.0" encoding="utf-8"?>
<formControlPr xmlns="http://schemas.microsoft.com/office/spreadsheetml/2009/9/main" objectType="Drop" dropStyle="combo" dx="16" fmlaLink="L83" fmlaRange="$L$44:$L$45" noThreeD="1" sel="1" val="0"/>
</file>

<file path=xl/ctrlProps/ctrlProp272.xml><?xml version="1.0" encoding="utf-8"?>
<formControlPr xmlns="http://schemas.microsoft.com/office/spreadsheetml/2009/9/main" objectType="Drop" dropStyle="combo" dx="16" fmlaLink="L87" fmlaRange="$L$44:$L$45" noThreeD="1" sel="1" val="0"/>
</file>

<file path=xl/ctrlProps/ctrlProp273.xml><?xml version="1.0" encoding="utf-8"?>
<formControlPr xmlns="http://schemas.microsoft.com/office/spreadsheetml/2009/9/main" objectType="Drop" dropStyle="combo" dx="16" fmlaLink="L91" fmlaRange="$L$44:$L$45" noThreeD="1" sel="1" val="0"/>
</file>

<file path=xl/ctrlProps/ctrlProp274.xml><?xml version="1.0" encoding="utf-8"?>
<formControlPr xmlns="http://schemas.microsoft.com/office/spreadsheetml/2009/9/main" objectType="Drop" dropStyle="combo" dx="16" fmlaLink="L95" fmlaRange="$L$44:$L$45" noThreeD="1" sel="1" val="0"/>
</file>

<file path=xl/ctrlProps/ctrlProp275.xml><?xml version="1.0" encoding="utf-8"?>
<formControlPr xmlns="http://schemas.microsoft.com/office/spreadsheetml/2009/9/main" objectType="Drop" dropStyle="combo" dx="16" fmlaLink="L99" fmlaRange="$L$44:$L$45" noThreeD="1" sel="1" val="0"/>
</file>

<file path=xl/ctrlProps/ctrlProp276.xml><?xml version="1.0" encoding="utf-8"?>
<formControlPr xmlns="http://schemas.microsoft.com/office/spreadsheetml/2009/9/main" objectType="Drop" dropStyle="combo" dx="16" fmlaLink="L103" fmlaRange="$L$44:$L$45" noThreeD="1" sel="1" val="0"/>
</file>

<file path=xl/ctrlProps/ctrlProp277.xml><?xml version="1.0" encoding="utf-8"?>
<formControlPr xmlns="http://schemas.microsoft.com/office/spreadsheetml/2009/9/main" objectType="Drop" dropStyle="combo" dx="16" fmlaLink="L107" fmlaRange="$L$44:$L$45" noThreeD="1" sel="1" val="0"/>
</file>

<file path=xl/ctrlProps/ctrlProp278.xml><?xml version="1.0" encoding="utf-8"?>
<formControlPr xmlns="http://schemas.microsoft.com/office/spreadsheetml/2009/9/main" objectType="Drop" dropStyle="combo" dx="16" fmlaLink="$J$55" fmlaRange="$J$39:$J$45" noThreeD="1" sel="1" val="0"/>
</file>

<file path=xl/ctrlProps/ctrlProp279.xml><?xml version="1.0" encoding="utf-8"?>
<formControlPr xmlns="http://schemas.microsoft.com/office/spreadsheetml/2009/9/main" objectType="Drop" dropStyle="combo" dx="16" fmlaLink="$J$59" fmlaRange="$J$39:$J$45" noThreeD="1" sel="1" val="0"/>
</file>

<file path=xl/ctrlProps/ctrlProp280.xml><?xml version="1.0" encoding="utf-8"?>
<formControlPr xmlns="http://schemas.microsoft.com/office/spreadsheetml/2009/9/main" objectType="Drop" dropStyle="combo" dx="16" fmlaLink="$J$63" fmlaRange="$J$39:$J$45" noThreeD="1" sel="1" val="0"/>
</file>

<file path=xl/ctrlProps/ctrlProp281.xml><?xml version="1.0" encoding="utf-8"?>
<formControlPr xmlns="http://schemas.microsoft.com/office/spreadsheetml/2009/9/main" objectType="Drop" dropStyle="combo" dx="16" fmlaLink="$J$67" fmlaRange="$J$39:$J$45" noThreeD="1" sel="1" val="0"/>
</file>

<file path=xl/ctrlProps/ctrlProp282.xml><?xml version="1.0" encoding="utf-8"?>
<formControlPr xmlns="http://schemas.microsoft.com/office/spreadsheetml/2009/9/main" objectType="Drop" dropStyle="combo" dx="16" fmlaLink="$J$71" fmlaRange="$J$39:$J$45" noThreeD="1" sel="1" val="0"/>
</file>

<file path=xl/ctrlProps/ctrlProp283.xml><?xml version="1.0" encoding="utf-8"?>
<formControlPr xmlns="http://schemas.microsoft.com/office/spreadsheetml/2009/9/main" objectType="Drop" dropStyle="combo" dx="16" fmlaLink="$J$75" fmlaRange="$J$39:$J$45" noThreeD="1" sel="1" val="0"/>
</file>

<file path=xl/ctrlProps/ctrlProp284.xml><?xml version="1.0" encoding="utf-8"?>
<formControlPr xmlns="http://schemas.microsoft.com/office/spreadsheetml/2009/9/main" objectType="Drop" dropStyle="combo" dx="16" fmlaLink="$J$79" fmlaRange="$J$39:$J$45" noThreeD="1" sel="1" val="0"/>
</file>

<file path=xl/ctrlProps/ctrlProp285.xml><?xml version="1.0" encoding="utf-8"?>
<formControlPr xmlns="http://schemas.microsoft.com/office/spreadsheetml/2009/9/main" objectType="Drop" dropStyle="combo" dx="16" fmlaLink="$J$83" fmlaRange="$J$39:$J$45" noThreeD="1" sel="1" val="0"/>
</file>

<file path=xl/ctrlProps/ctrlProp286.xml><?xml version="1.0" encoding="utf-8"?>
<formControlPr xmlns="http://schemas.microsoft.com/office/spreadsheetml/2009/9/main" objectType="Drop" dropStyle="combo" dx="16" fmlaLink="$J$87" fmlaRange="$J$39:$J$45" noThreeD="1" sel="1" val="0"/>
</file>

<file path=xl/ctrlProps/ctrlProp287.xml><?xml version="1.0" encoding="utf-8"?>
<formControlPr xmlns="http://schemas.microsoft.com/office/spreadsheetml/2009/9/main" objectType="Drop" dropStyle="combo" dx="16" fmlaLink="$J$91" fmlaRange="$J$39:$J$45" noThreeD="1" sel="1" val="0"/>
</file>

<file path=xl/ctrlProps/ctrlProp288.xml><?xml version="1.0" encoding="utf-8"?>
<formControlPr xmlns="http://schemas.microsoft.com/office/spreadsheetml/2009/9/main" objectType="Drop" dropStyle="combo" dx="16" fmlaLink="$J$95" fmlaRange="$J$39:$J$45" noThreeD="1" sel="1" val="0"/>
</file>

<file path=xl/ctrlProps/ctrlProp289.xml><?xml version="1.0" encoding="utf-8"?>
<formControlPr xmlns="http://schemas.microsoft.com/office/spreadsheetml/2009/9/main" objectType="Drop" dropStyle="combo" dx="16" fmlaLink="$J$99" fmlaRange="$J$39:$J$45" noThreeD="1" sel="1" val="0"/>
</file>

<file path=xl/ctrlProps/ctrlProp290.xml><?xml version="1.0" encoding="utf-8"?>
<formControlPr xmlns="http://schemas.microsoft.com/office/spreadsheetml/2009/9/main" objectType="Drop" dropStyle="combo" dx="16" fmlaLink="$J$103" fmlaRange="$J$39:$J$45" noThreeD="1" sel="1" val="0"/>
</file>

<file path=xl/ctrlProps/ctrlProp291.xml><?xml version="1.0" encoding="utf-8"?>
<formControlPr xmlns="http://schemas.microsoft.com/office/spreadsheetml/2009/9/main" objectType="Drop" dropStyle="combo" dx="16" fmlaLink="$J$107" fmlaRange="$J$39:$J$45" noThreeD="1" sel="1" val="0"/>
</file>

<file path=xl/ctrlProps/ctrlProp292.xml><?xml version="1.0" encoding="utf-8"?>
<formControlPr xmlns="http://schemas.microsoft.com/office/spreadsheetml/2009/9/main" objectType="Drop" dropStyle="combo" dx="16" fmlaLink="$E$51" fmlaRange="$C$44:$C$46" noThreeD="1" sel="1" val="0"/>
</file>

<file path=xl/ctrlProps/ctrlProp293.xml><?xml version="1.0" encoding="utf-8"?>
<formControlPr xmlns="http://schemas.microsoft.com/office/spreadsheetml/2009/9/main" objectType="Drop" dropStyle="combo" dx="16" fmlaLink="$E$55" fmlaRange="$C$44:$C$46" noThreeD="1" sel="1" val="0"/>
</file>

<file path=xl/ctrlProps/ctrlProp294.xml><?xml version="1.0" encoding="utf-8"?>
<formControlPr xmlns="http://schemas.microsoft.com/office/spreadsheetml/2009/9/main" objectType="Drop" dropStyle="combo" dx="16" fmlaLink="$E$59" fmlaRange="$C$44:$C$46" noThreeD="1" sel="1" val="0"/>
</file>

<file path=xl/ctrlProps/ctrlProp295.xml><?xml version="1.0" encoding="utf-8"?>
<formControlPr xmlns="http://schemas.microsoft.com/office/spreadsheetml/2009/9/main" objectType="Drop" dropStyle="combo" dx="16" fmlaLink="$E$63" fmlaRange="$C$44:$C$46" noThreeD="1" sel="1" val="0"/>
</file>

<file path=xl/ctrlProps/ctrlProp296.xml><?xml version="1.0" encoding="utf-8"?>
<formControlPr xmlns="http://schemas.microsoft.com/office/spreadsheetml/2009/9/main" objectType="Drop" dropStyle="combo" dx="16" fmlaLink="$E$67" fmlaRange="$C$44:$C$46" noThreeD="1" sel="1" val="0"/>
</file>

<file path=xl/ctrlProps/ctrlProp297.xml><?xml version="1.0" encoding="utf-8"?>
<formControlPr xmlns="http://schemas.microsoft.com/office/spreadsheetml/2009/9/main" objectType="Drop" dropStyle="combo" dx="16" fmlaLink="$E$71" fmlaRange="$C$44:$C$46" noThreeD="1" sel="1" val="0"/>
</file>

<file path=xl/ctrlProps/ctrlProp298.xml><?xml version="1.0" encoding="utf-8"?>
<formControlPr xmlns="http://schemas.microsoft.com/office/spreadsheetml/2009/9/main" objectType="Drop" dropStyle="combo" dx="16" fmlaLink="$E$75" fmlaRange="$C$44:$C$46" noThreeD="1" sel="1" val="0"/>
</file>

<file path=xl/ctrlProps/ctrlProp299.xml><?xml version="1.0" encoding="utf-8"?>
<formControlPr xmlns="http://schemas.microsoft.com/office/spreadsheetml/2009/9/main" objectType="Drop" dropStyle="combo" dx="16" fmlaLink="$E$79" fmlaRange="$C$44:$C$46" noThreeD="1" sel="1" val="0"/>
</file>

<file path=xl/ctrlProps/ctrlProp300.xml><?xml version="1.0" encoding="utf-8"?>
<formControlPr xmlns="http://schemas.microsoft.com/office/spreadsheetml/2009/9/main" objectType="Drop" dropStyle="combo" dx="16" fmlaLink="$E$83" fmlaRange="$C$44:$C$46" noThreeD="1" sel="1" val="0"/>
</file>

<file path=xl/ctrlProps/ctrlProp301.xml><?xml version="1.0" encoding="utf-8"?>
<formControlPr xmlns="http://schemas.microsoft.com/office/spreadsheetml/2009/9/main" objectType="Drop" dropStyle="combo" dx="16" fmlaLink="$E$87" fmlaRange="$C$44:$C$46" noThreeD="1" sel="1" val="0"/>
</file>

<file path=xl/ctrlProps/ctrlProp302.xml><?xml version="1.0" encoding="utf-8"?>
<formControlPr xmlns="http://schemas.microsoft.com/office/spreadsheetml/2009/9/main" objectType="Drop" dropStyle="combo" dx="16" fmlaLink="$E$91" fmlaRange="$C$44:$C$46" noThreeD="1" sel="1" val="0"/>
</file>

<file path=xl/ctrlProps/ctrlProp303.xml><?xml version="1.0" encoding="utf-8"?>
<formControlPr xmlns="http://schemas.microsoft.com/office/spreadsheetml/2009/9/main" objectType="Drop" dropStyle="combo" dx="16" fmlaLink="$E$95" fmlaRange="$C$44:$C$46" noThreeD="1" sel="1" val="0"/>
</file>

<file path=xl/ctrlProps/ctrlProp304.xml><?xml version="1.0" encoding="utf-8"?>
<formControlPr xmlns="http://schemas.microsoft.com/office/spreadsheetml/2009/9/main" objectType="Drop" dropStyle="combo" dx="16" fmlaLink="$E$99" fmlaRange="$C$44:$C$46" noThreeD="1" sel="1" val="0"/>
</file>

<file path=xl/ctrlProps/ctrlProp305.xml><?xml version="1.0" encoding="utf-8"?>
<formControlPr xmlns="http://schemas.microsoft.com/office/spreadsheetml/2009/9/main" objectType="Drop" dropStyle="combo" dx="16" fmlaLink="$E$103" fmlaRange="$C$44:$C$46" noThreeD="1" sel="1" val="0"/>
</file>

<file path=xl/ctrlProps/ctrlProp306.xml><?xml version="1.0" encoding="utf-8"?>
<formControlPr xmlns="http://schemas.microsoft.com/office/spreadsheetml/2009/9/main" objectType="Drop" dropStyle="combo" dx="16" fmlaLink="$E$107" fmlaRange="$C$44:$C$46" noThreeD="1" sel="1" val="0"/>
</file>

<file path=xl/ctrlProps/ctrlProp307.xml><?xml version="1.0" encoding="utf-8"?>
<formControlPr xmlns="http://schemas.microsoft.com/office/spreadsheetml/2009/9/main" objectType="Drop" dropStyle="combo" dx="16" fmlaLink="$J$51" fmlaRange="$J$39:$J$45" noThreeD="1" sel="1" val="0"/>
</file>

<file path=xl/ctrlProps/ctrlProp308.xml><?xml version="1.0" encoding="utf-8"?>
<formControlPr xmlns="http://schemas.microsoft.com/office/spreadsheetml/2009/9/main" objectType="Drop" dropStyle="combo" dx="16" fmlaLink="$J$55" fmlaRange="$J$39:$J$45" noThreeD="1" sel="1" val="0"/>
</file>

<file path=xl/ctrlProps/ctrlProp309.xml><?xml version="1.0" encoding="utf-8"?>
<formControlPr xmlns="http://schemas.microsoft.com/office/spreadsheetml/2009/9/main" objectType="Drop" dropStyle="combo" dx="16" fmlaLink="$J$59" fmlaRange="$J$39:$J$45" noThreeD="1" sel="1" val="0"/>
</file>

<file path=xl/ctrlProps/ctrlProp310.xml><?xml version="1.0" encoding="utf-8"?>
<formControlPr xmlns="http://schemas.microsoft.com/office/spreadsheetml/2009/9/main" objectType="Drop" dropStyle="combo" dx="16" fmlaLink="$J$63" fmlaRange="$J$39:$J$45" noThreeD="1" sel="1" val="0"/>
</file>

<file path=xl/ctrlProps/ctrlProp311.xml><?xml version="1.0" encoding="utf-8"?>
<formControlPr xmlns="http://schemas.microsoft.com/office/spreadsheetml/2009/9/main" objectType="Drop" dropStyle="combo" dx="16" fmlaLink="$J$67" fmlaRange="$J$39:$J$45" noThreeD="1" sel="1" val="0"/>
</file>

<file path=xl/ctrlProps/ctrlProp312.xml><?xml version="1.0" encoding="utf-8"?>
<formControlPr xmlns="http://schemas.microsoft.com/office/spreadsheetml/2009/9/main" objectType="Drop" dropStyle="combo" dx="16" fmlaLink="$J$71" fmlaRange="$J$39:$J$45" noThreeD="1" sel="1" val="0"/>
</file>

<file path=xl/ctrlProps/ctrlProp313.xml><?xml version="1.0" encoding="utf-8"?>
<formControlPr xmlns="http://schemas.microsoft.com/office/spreadsheetml/2009/9/main" objectType="Drop" dropStyle="combo" dx="16" fmlaLink="$J$75" fmlaRange="$J$39:$J$45" noThreeD="1" sel="1" val="0"/>
</file>

<file path=xl/ctrlProps/ctrlProp314.xml><?xml version="1.0" encoding="utf-8"?>
<formControlPr xmlns="http://schemas.microsoft.com/office/spreadsheetml/2009/9/main" objectType="Drop" dropStyle="combo" dx="16" fmlaLink="$J$79" fmlaRange="$J$39:$J$45" noThreeD="1" sel="1" val="0"/>
</file>

<file path=xl/ctrlProps/ctrlProp315.xml><?xml version="1.0" encoding="utf-8"?>
<formControlPr xmlns="http://schemas.microsoft.com/office/spreadsheetml/2009/9/main" objectType="Drop" dropStyle="combo" dx="16" fmlaLink="$J$83" fmlaRange="$J$39:$J$45" noThreeD="1" sel="1" val="0"/>
</file>

<file path=xl/ctrlProps/ctrlProp316.xml><?xml version="1.0" encoding="utf-8"?>
<formControlPr xmlns="http://schemas.microsoft.com/office/spreadsheetml/2009/9/main" objectType="Drop" dropStyle="combo" dx="16" fmlaLink="$J$87" fmlaRange="$J$39:$J$45" noThreeD="1" sel="1" val="0"/>
</file>

<file path=xl/ctrlProps/ctrlProp317.xml><?xml version="1.0" encoding="utf-8"?>
<formControlPr xmlns="http://schemas.microsoft.com/office/spreadsheetml/2009/9/main" objectType="Drop" dropStyle="combo" dx="16" fmlaLink="$J$91" fmlaRange="$J$39:$J$45" noThreeD="1" sel="1" val="0"/>
</file>

<file path=xl/ctrlProps/ctrlProp318.xml><?xml version="1.0" encoding="utf-8"?>
<formControlPr xmlns="http://schemas.microsoft.com/office/spreadsheetml/2009/9/main" objectType="Drop" dropStyle="combo" dx="16" fmlaLink="$J$95" fmlaRange="$J$39:$J$45" noThreeD="1" sel="1" val="0"/>
</file>

<file path=xl/ctrlProps/ctrlProp319.xml><?xml version="1.0" encoding="utf-8"?>
<formControlPr xmlns="http://schemas.microsoft.com/office/spreadsheetml/2009/9/main" objectType="Drop" dropStyle="combo" dx="16" fmlaLink="$J$99" fmlaRange="$J$39:$J$45" noThreeD="1" sel="1" val="0"/>
</file>

<file path=xl/ctrlProps/ctrlProp320.xml><?xml version="1.0" encoding="utf-8"?>
<formControlPr xmlns="http://schemas.microsoft.com/office/spreadsheetml/2009/9/main" objectType="Drop" dropStyle="combo" dx="16" fmlaLink="$J$103" fmlaRange="$J$39:$J$45" noThreeD="1" sel="1" val="0"/>
</file>

<file path=xl/ctrlProps/ctrlProp321.xml><?xml version="1.0" encoding="utf-8"?>
<formControlPr xmlns="http://schemas.microsoft.com/office/spreadsheetml/2009/9/main" objectType="Drop" dropStyle="combo" dx="16" fmlaLink="$J$107" fmlaRange="$J$39:$J$45" noThreeD="1" sel="1" val="0"/>
</file>

<file path=xl/ctrlProps/ctrlProp322.xml><?xml version="1.0" encoding="utf-8"?>
<formControlPr xmlns="http://schemas.microsoft.com/office/spreadsheetml/2009/9/main" objectType="Drop" dropStyle="combo" dx="16" fmlaLink="$J$55" fmlaRange="$J$39:$J$45" noThreeD="1" sel="1" val="0"/>
</file>

<file path=xl/ctrlProps/ctrlProp323.xml><?xml version="1.0" encoding="utf-8"?>
<formControlPr xmlns="http://schemas.microsoft.com/office/spreadsheetml/2009/9/main" objectType="Drop" dropStyle="combo" dx="16" fmlaLink="$J$59" fmlaRange="$J$39:$J$45" noThreeD="1" sel="1" val="0"/>
</file>

<file path=xl/ctrlProps/ctrlProp324.xml><?xml version="1.0" encoding="utf-8"?>
<formControlPr xmlns="http://schemas.microsoft.com/office/spreadsheetml/2009/9/main" objectType="Drop" dropStyle="combo" dx="16" fmlaLink="$J$63" fmlaRange="$J$39:$J$45" noThreeD="1" sel="1" val="0"/>
</file>

<file path=xl/ctrlProps/ctrlProp325.xml><?xml version="1.0" encoding="utf-8"?>
<formControlPr xmlns="http://schemas.microsoft.com/office/spreadsheetml/2009/9/main" objectType="Drop" dropStyle="combo" dx="16" fmlaLink="$J$67" fmlaRange="$J$39:$J$45" noThreeD="1" sel="1" val="0"/>
</file>

<file path=xl/ctrlProps/ctrlProp326.xml><?xml version="1.0" encoding="utf-8"?>
<formControlPr xmlns="http://schemas.microsoft.com/office/spreadsheetml/2009/9/main" objectType="Drop" dropStyle="combo" dx="16" fmlaLink="$J$71" fmlaRange="$J$39:$J$45" noThreeD="1" sel="1" val="0"/>
</file>

<file path=xl/ctrlProps/ctrlProp327.xml><?xml version="1.0" encoding="utf-8"?>
<formControlPr xmlns="http://schemas.microsoft.com/office/spreadsheetml/2009/9/main" objectType="Drop" dropStyle="combo" dx="16" fmlaLink="$J$75" fmlaRange="$J$39:$J$45" noThreeD="1" sel="1" val="0"/>
</file>

<file path=xl/ctrlProps/ctrlProp328.xml><?xml version="1.0" encoding="utf-8"?>
<formControlPr xmlns="http://schemas.microsoft.com/office/spreadsheetml/2009/9/main" objectType="Drop" dropStyle="combo" dx="16" fmlaLink="$J$79" fmlaRange="$J$39:$J$45" noThreeD="1" sel="1" val="0"/>
</file>

<file path=xl/ctrlProps/ctrlProp329.xml><?xml version="1.0" encoding="utf-8"?>
<formControlPr xmlns="http://schemas.microsoft.com/office/spreadsheetml/2009/9/main" objectType="Drop" dropStyle="combo" dx="16" fmlaLink="$J$83" fmlaRange="$J$39:$J$45" noThreeD="1" sel="1" val="0"/>
</file>

<file path=xl/ctrlProps/ctrlProp330.xml><?xml version="1.0" encoding="utf-8"?>
<formControlPr xmlns="http://schemas.microsoft.com/office/spreadsheetml/2009/9/main" objectType="Drop" dropStyle="combo" dx="16" fmlaLink="$J$87" fmlaRange="$J$39:$J$45" noThreeD="1" sel="1" val="0"/>
</file>

<file path=xl/ctrlProps/ctrlProp331.xml><?xml version="1.0" encoding="utf-8"?>
<formControlPr xmlns="http://schemas.microsoft.com/office/spreadsheetml/2009/9/main" objectType="Drop" dropStyle="combo" dx="16" fmlaLink="$J$91" fmlaRange="$J$39:$J$45" noThreeD="1" sel="1" val="0"/>
</file>

<file path=xl/ctrlProps/ctrlProp332.xml><?xml version="1.0" encoding="utf-8"?>
<formControlPr xmlns="http://schemas.microsoft.com/office/spreadsheetml/2009/9/main" objectType="Drop" dropStyle="combo" dx="16" fmlaLink="$J$95" fmlaRange="$J$39:$J$45" noThreeD="1" sel="1" val="0"/>
</file>

<file path=xl/ctrlProps/ctrlProp333.xml><?xml version="1.0" encoding="utf-8"?>
<formControlPr xmlns="http://schemas.microsoft.com/office/spreadsheetml/2009/9/main" objectType="Drop" dropStyle="combo" dx="16" fmlaLink="$J$99" fmlaRange="$J$39:$J$45" noThreeD="1" sel="1" val="0"/>
</file>

<file path=xl/ctrlProps/ctrlProp334.xml><?xml version="1.0" encoding="utf-8"?>
<formControlPr xmlns="http://schemas.microsoft.com/office/spreadsheetml/2009/9/main" objectType="Drop" dropStyle="combo" dx="16" fmlaLink="$J$103" fmlaRange="$J$39:$J$45" noThreeD="1" sel="1" val="0"/>
</file>

<file path=xl/ctrlProps/ctrlProp335.xml><?xml version="1.0" encoding="utf-8"?>
<formControlPr xmlns="http://schemas.microsoft.com/office/spreadsheetml/2009/9/main" objectType="Drop" dropStyle="combo" dx="16" fmlaLink="$J$107" fmlaRange="$J$39:$J$45" noThreeD="1" sel="1" val="0"/>
</file>

<file path=xl/ctrlProps/ctrlProp336.xml><?xml version="1.0" encoding="utf-8"?>
<formControlPr xmlns="http://schemas.microsoft.com/office/spreadsheetml/2009/9/main" objectType="Drop" dropStyle="combo" dx="16" fmlaLink="$J$51" fmlaRange="$J$39:$J$45" noThreeD="1" sel="1" val="0"/>
</file>

<file path=xl/ctrlProps/ctrlProp337.xml><?xml version="1.0" encoding="utf-8"?>
<formControlPr xmlns="http://schemas.microsoft.com/office/spreadsheetml/2009/9/main" objectType="Drop" dropStyle="combo" dx="16" fmlaLink="$J$55" fmlaRange="$J$39:$J$45" noThreeD="1" sel="1" val="0"/>
</file>

<file path=xl/ctrlProps/ctrlProp338.xml><?xml version="1.0" encoding="utf-8"?>
<formControlPr xmlns="http://schemas.microsoft.com/office/spreadsheetml/2009/9/main" objectType="Drop" dropStyle="combo" dx="16" fmlaLink="$J$59" fmlaRange="$J$39:$J$45" noThreeD="1" sel="1" val="0"/>
</file>

<file path=xl/ctrlProps/ctrlProp339.xml><?xml version="1.0" encoding="utf-8"?>
<formControlPr xmlns="http://schemas.microsoft.com/office/spreadsheetml/2009/9/main" objectType="Drop" dropStyle="combo" dx="16" fmlaLink="$J$63" fmlaRange="$J$39:$J$45" noThreeD="1" sel="1" val="0"/>
</file>

<file path=xl/ctrlProps/ctrlProp340.xml><?xml version="1.0" encoding="utf-8"?>
<formControlPr xmlns="http://schemas.microsoft.com/office/spreadsheetml/2009/9/main" objectType="Drop" dropStyle="combo" dx="16" fmlaLink="$J$67" fmlaRange="$J$39:$J$45" noThreeD="1" sel="1" val="0"/>
</file>

<file path=xl/ctrlProps/ctrlProp341.xml><?xml version="1.0" encoding="utf-8"?>
<formControlPr xmlns="http://schemas.microsoft.com/office/spreadsheetml/2009/9/main" objectType="Drop" dropStyle="combo" dx="16" fmlaLink="$J$71" fmlaRange="$J$39:$J$45" noThreeD="1" sel="1" val="0"/>
</file>

<file path=xl/ctrlProps/ctrlProp342.xml><?xml version="1.0" encoding="utf-8"?>
<formControlPr xmlns="http://schemas.microsoft.com/office/spreadsheetml/2009/9/main" objectType="Drop" dropStyle="combo" dx="16" fmlaLink="$J$75" fmlaRange="$J$39:$J$45" noThreeD="1" sel="1" val="0"/>
</file>

<file path=xl/ctrlProps/ctrlProp343.xml><?xml version="1.0" encoding="utf-8"?>
<formControlPr xmlns="http://schemas.microsoft.com/office/spreadsheetml/2009/9/main" objectType="Drop" dropStyle="combo" dx="16" fmlaLink="$J$79" fmlaRange="$J$39:$J$45" noThreeD="1" sel="1" val="0"/>
</file>

<file path=xl/ctrlProps/ctrlProp344.xml><?xml version="1.0" encoding="utf-8"?>
<formControlPr xmlns="http://schemas.microsoft.com/office/spreadsheetml/2009/9/main" objectType="Drop" dropStyle="combo" dx="16" fmlaLink="$J$83" fmlaRange="$J$39:$J$45" noThreeD="1" sel="1" val="0"/>
</file>

<file path=xl/ctrlProps/ctrlProp345.xml><?xml version="1.0" encoding="utf-8"?>
<formControlPr xmlns="http://schemas.microsoft.com/office/spreadsheetml/2009/9/main" objectType="Drop" dropStyle="combo" dx="16" fmlaLink="$J$87" fmlaRange="$J$39:$J$45" noThreeD="1" sel="1" val="0"/>
</file>

<file path=xl/ctrlProps/ctrlProp346.xml><?xml version="1.0" encoding="utf-8"?>
<formControlPr xmlns="http://schemas.microsoft.com/office/spreadsheetml/2009/9/main" objectType="Drop" dropStyle="combo" dx="16" fmlaLink="$J$91" fmlaRange="$J$39:$J$45" noThreeD="1" sel="1" val="0"/>
</file>

<file path=xl/ctrlProps/ctrlProp347.xml><?xml version="1.0" encoding="utf-8"?>
<formControlPr xmlns="http://schemas.microsoft.com/office/spreadsheetml/2009/9/main" objectType="Drop" dropStyle="combo" dx="16" fmlaLink="$J$95" fmlaRange="$J$39:$J$45" noThreeD="1" sel="1" val="0"/>
</file>

<file path=xl/ctrlProps/ctrlProp348.xml><?xml version="1.0" encoding="utf-8"?>
<formControlPr xmlns="http://schemas.microsoft.com/office/spreadsheetml/2009/9/main" objectType="Drop" dropStyle="combo" dx="16" fmlaLink="$J$99" fmlaRange="$J$39:$J$45" noThreeD="1" sel="1" val="0"/>
</file>

<file path=xl/ctrlProps/ctrlProp349.xml><?xml version="1.0" encoding="utf-8"?>
<formControlPr xmlns="http://schemas.microsoft.com/office/spreadsheetml/2009/9/main" objectType="Drop" dropStyle="combo" dx="16" fmlaLink="$J$103" fmlaRange="$J$39:$J$45" noThreeD="1" sel="1" val="0"/>
</file>

<file path=xl/ctrlProps/ctrlProp350.xml><?xml version="1.0" encoding="utf-8"?>
<formControlPr xmlns="http://schemas.microsoft.com/office/spreadsheetml/2009/9/main" objectType="Drop" dropStyle="combo" dx="16" fmlaLink="$J$107" fmlaRange="$J$39:$J$45" noThreeD="1" sel="1" val="0"/>
</file>

<file path=xl/ctrlProps/ctrlProp351.xml><?xml version="1.0" encoding="utf-8"?>
<formControlPr xmlns="http://schemas.microsoft.com/office/spreadsheetml/2009/9/main" objectType="Drop" dropStyle="combo" dx="16" fmlaLink="$J$55" fmlaRange="$J$39:$J$45" noThreeD="1" sel="1" val="0"/>
</file>

<file path=xl/ctrlProps/ctrlProp352.xml><?xml version="1.0" encoding="utf-8"?>
<formControlPr xmlns="http://schemas.microsoft.com/office/spreadsheetml/2009/9/main" objectType="Drop" dropStyle="combo" dx="16" fmlaLink="$J$59" fmlaRange="$J$39:$J$45" noThreeD="1" sel="1" val="0"/>
</file>

<file path=xl/ctrlProps/ctrlProp353.xml><?xml version="1.0" encoding="utf-8"?>
<formControlPr xmlns="http://schemas.microsoft.com/office/spreadsheetml/2009/9/main" objectType="Drop" dropStyle="combo" dx="16" fmlaLink="$J$63" fmlaRange="$J$39:$J$45" noThreeD="1" sel="1" val="0"/>
</file>

<file path=xl/ctrlProps/ctrlProp354.xml><?xml version="1.0" encoding="utf-8"?>
<formControlPr xmlns="http://schemas.microsoft.com/office/spreadsheetml/2009/9/main" objectType="Drop" dropStyle="combo" dx="16" fmlaLink="$J$67" fmlaRange="$J$39:$J$45" noThreeD="1" sel="1" val="0"/>
</file>

<file path=xl/ctrlProps/ctrlProp355.xml><?xml version="1.0" encoding="utf-8"?>
<formControlPr xmlns="http://schemas.microsoft.com/office/spreadsheetml/2009/9/main" objectType="Drop" dropStyle="combo" dx="16" fmlaLink="$J$71" fmlaRange="$J$39:$J$45" noThreeD="1" sel="1" val="0"/>
</file>

<file path=xl/ctrlProps/ctrlProp356.xml><?xml version="1.0" encoding="utf-8"?>
<formControlPr xmlns="http://schemas.microsoft.com/office/spreadsheetml/2009/9/main" objectType="Drop" dropStyle="combo" dx="16" fmlaLink="$J$75" fmlaRange="$J$39:$J$45" noThreeD="1" sel="1" val="0"/>
</file>

<file path=xl/ctrlProps/ctrlProp357.xml><?xml version="1.0" encoding="utf-8"?>
<formControlPr xmlns="http://schemas.microsoft.com/office/spreadsheetml/2009/9/main" objectType="Drop" dropStyle="combo" dx="16" fmlaLink="$J$79" fmlaRange="$J$39:$J$45" noThreeD="1" sel="1" val="0"/>
</file>

<file path=xl/ctrlProps/ctrlProp358.xml><?xml version="1.0" encoding="utf-8"?>
<formControlPr xmlns="http://schemas.microsoft.com/office/spreadsheetml/2009/9/main" objectType="Drop" dropStyle="combo" dx="16" fmlaLink="$J$83" fmlaRange="$J$39:$J$45" noThreeD="1" sel="1" val="0"/>
</file>

<file path=xl/ctrlProps/ctrlProp359.xml><?xml version="1.0" encoding="utf-8"?>
<formControlPr xmlns="http://schemas.microsoft.com/office/spreadsheetml/2009/9/main" objectType="Drop" dropStyle="combo" dx="16" fmlaLink="$J$87" fmlaRange="$J$39:$J$45" noThreeD="1" sel="1" val="0"/>
</file>

<file path=xl/ctrlProps/ctrlProp360.xml><?xml version="1.0" encoding="utf-8"?>
<formControlPr xmlns="http://schemas.microsoft.com/office/spreadsheetml/2009/9/main" objectType="Drop" dropStyle="combo" dx="16" fmlaLink="$J$91" fmlaRange="$J$39:$J$45" noThreeD="1" sel="1" val="0"/>
</file>

<file path=xl/ctrlProps/ctrlProp361.xml><?xml version="1.0" encoding="utf-8"?>
<formControlPr xmlns="http://schemas.microsoft.com/office/spreadsheetml/2009/9/main" objectType="Drop" dropStyle="combo" dx="16" fmlaLink="$J$95" fmlaRange="$J$39:$J$45" noThreeD="1" sel="1" val="0"/>
</file>

<file path=xl/ctrlProps/ctrlProp362.xml><?xml version="1.0" encoding="utf-8"?>
<formControlPr xmlns="http://schemas.microsoft.com/office/spreadsheetml/2009/9/main" objectType="Drop" dropStyle="combo" dx="16" fmlaLink="$J$99" fmlaRange="$J$39:$J$45" noThreeD="1" sel="1" val="0"/>
</file>

<file path=xl/ctrlProps/ctrlProp363.xml><?xml version="1.0" encoding="utf-8"?>
<formControlPr xmlns="http://schemas.microsoft.com/office/spreadsheetml/2009/9/main" objectType="Drop" dropStyle="combo" dx="16" fmlaLink="$J$103" fmlaRange="$J$39:$J$45" noThreeD="1" sel="1" val="0"/>
</file>

<file path=xl/ctrlProps/ctrlProp364.xml><?xml version="1.0" encoding="utf-8"?>
<formControlPr xmlns="http://schemas.microsoft.com/office/spreadsheetml/2009/9/main" objectType="Drop" dropStyle="combo" dx="16" fmlaLink="$J$107" fmlaRange="$J$39:$J$45" noThreeD="1" sel="1" val="0"/>
</file>

<file path=xl/ctrlProps/ctrlProp365.xml><?xml version="1.0" encoding="utf-8"?>
<formControlPr xmlns="http://schemas.microsoft.com/office/spreadsheetml/2009/9/main" objectType="Drop" dropStyle="combo" dx="16" fmlaLink="L51" fmlaRange="$L$44:$L$45" noThreeD="1" sel="1" val="0"/>
</file>

<file path=xl/ctrlProps/ctrlProp366.xml><?xml version="1.0" encoding="utf-8"?>
<formControlPr xmlns="http://schemas.microsoft.com/office/spreadsheetml/2009/9/main" objectType="Drop" dropStyle="combo" dx="16" fmlaLink="$L$55" fmlaRange="$L$44:$L$45" noThreeD="1" sel="1" val="0"/>
</file>

<file path=xl/ctrlProps/ctrlProp367.xml><?xml version="1.0" encoding="utf-8"?>
<formControlPr xmlns="http://schemas.microsoft.com/office/spreadsheetml/2009/9/main" objectType="Drop" dropStyle="combo" dx="16" fmlaLink="L59" fmlaRange="$L$44:$L$45" noThreeD="1" sel="1" val="0"/>
</file>

<file path=xl/ctrlProps/ctrlProp368.xml><?xml version="1.0" encoding="utf-8"?>
<formControlPr xmlns="http://schemas.microsoft.com/office/spreadsheetml/2009/9/main" objectType="Drop" dropStyle="combo" dx="16" fmlaLink="L63" fmlaRange="$L$44:$L$45" noThreeD="1" sel="1" val="0"/>
</file>

<file path=xl/ctrlProps/ctrlProp369.xml><?xml version="1.0" encoding="utf-8"?>
<formControlPr xmlns="http://schemas.microsoft.com/office/spreadsheetml/2009/9/main" objectType="Drop" dropStyle="combo" dx="16" fmlaLink="L67" fmlaRange="$L$44:$L$45" noThreeD="1" sel="1" val="0"/>
</file>

<file path=xl/ctrlProps/ctrlProp370.xml><?xml version="1.0" encoding="utf-8"?>
<formControlPr xmlns="http://schemas.microsoft.com/office/spreadsheetml/2009/9/main" objectType="Drop" dropStyle="combo" dx="16" fmlaLink="L71" fmlaRange="$L$44:$L$45" noThreeD="1" sel="1" val="0"/>
</file>

<file path=xl/ctrlProps/ctrlProp371.xml><?xml version="1.0" encoding="utf-8"?>
<formControlPr xmlns="http://schemas.microsoft.com/office/spreadsheetml/2009/9/main" objectType="Drop" dropStyle="combo" dx="16" fmlaLink="L75" fmlaRange="$L$44:$L$45" noThreeD="1" sel="1" val="0"/>
</file>

<file path=xl/ctrlProps/ctrlProp372.xml><?xml version="1.0" encoding="utf-8"?>
<formControlPr xmlns="http://schemas.microsoft.com/office/spreadsheetml/2009/9/main" objectType="Drop" dropStyle="combo" dx="16" fmlaLink="L79" fmlaRange="$L$44:$L$45" noThreeD="1" sel="1" val="0"/>
</file>

<file path=xl/ctrlProps/ctrlProp373.xml><?xml version="1.0" encoding="utf-8"?>
<formControlPr xmlns="http://schemas.microsoft.com/office/spreadsheetml/2009/9/main" objectType="Drop" dropStyle="combo" dx="16" fmlaLink="L83" fmlaRange="$L$44:$L$45" noThreeD="1" sel="1" val="0"/>
</file>

<file path=xl/ctrlProps/ctrlProp374.xml><?xml version="1.0" encoding="utf-8"?>
<formControlPr xmlns="http://schemas.microsoft.com/office/spreadsheetml/2009/9/main" objectType="Drop" dropStyle="combo" dx="16" fmlaLink="L87" fmlaRange="$L$44:$L$45" noThreeD="1" sel="1" val="0"/>
</file>

<file path=xl/ctrlProps/ctrlProp375.xml><?xml version="1.0" encoding="utf-8"?>
<formControlPr xmlns="http://schemas.microsoft.com/office/spreadsheetml/2009/9/main" objectType="Drop" dropStyle="combo" dx="16" fmlaLink="L91" fmlaRange="$L$44:$L$45" noThreeD="1" sel="1" val="0"/>
</file>

<file path=xl/ctrlProps/ctrlProp376.xml><?xml version="1.0" encoding="utf-8"?>
<formControlPr xmlns="http://schemas.microsoft.com/office/spreadsheetml/2009/9/main" objectType="Drop" dropStyle="combo" dx="16" fmlaLink="L95" fmlaRange="$L$44:$L$45" noThreeD="1" sel="1" val="0"/>
</file>

<file path=xl/ctrlProps/ctrlProp377.xml><?xml version="1.0" encoding="utf-8"?>
<formControlPr xmlns="http://schemas.microsoft.com/office/spreadsheetml/2009/9/main" objectType="Drop" dropStyle="combo" dx="16" fmlaLink="L99" fmlaRange="$L$44:$L$45" noThreeD="1" sel="1" val="0"/>
</file>

<file path=xl/ctrlProps/ctrlProp378.xml><?xml version="1.0" encoding="utf-8"?>
<formControlPr xmlns="http://schemas.microsoft.com/office/spreadsheetml/2009/9/main" objectType="Drop" dropStyle="combo" dx="16" fmlaLink="L103" fmlaRange="$L$44:$L$45" noThreeD="1" sel="1" val="0"/>
</file>

<file path=xl/ctrlProps/ctrlProp379.xml><?xml version="1.0" encoding="utf-8"?>
<formControlPr xmlns="http://schemas.microsoft.com/office/spreadsheetml/2009/9/main" objectType="Drop" dropStyle="combo" dx="16" fmlaLink="L107" fmlaRange="$L$44:$L$45" noThreeD="1" sel="1" val="0"/>
</file>

<file path=xl/ctrlProps/ctrlProp380.xml><?xml version="1.0" encoding="utf-8"?>
<formControlPr xmlns="http://schemas.microsoft.com/office/spreadsheetml/2009/9/main" objectType="Drop" dropStyle="combo" dx="16" fmlaLink="$J$55" fmlaRange="$J$39:$J$45" noThreeD="1" sel="1" val="0"/>
</file>

<file path=xl/ctrlProps/ctrlProp381.xml><?xml version="1.0" encoding="utf-8"?>
<formControlPr xmlns="http://schemas.microsoft.com/office/spreadsheetml/2009/9/main" objectType="Drop" dropStyle="combo" dx="16" fmlaLink="$J$59" fmlaRange="$J$39:$J$45" noThreeD="1" sel="1" val="0"/>
</file>

<file path=xl/ctrlProps/ctrlProp382.xml><?xml version="1.0" encoding="utf-8"?>
<formControlPr xmlns="http://schemas.microsoft.com/office/spreadsheetml/2009/9/main" objectType="Drop" dropStyle="combo" dx="16" fmlaLink="$J$63" fmlaRange="$J$39:$J$45" noThreeD="1" sel="1" val="0"/>
</file>

<file path=xl/ctrlProps/ctrlProp383.xml><?xml version="1.0" encoding="utf-8"?>
<formControlPr xmlns="http://schemas.microsoft.com/office/spreadsheetml/2009/9/main" objectType="Drop" dropStyle="combo" dx="16" fmlaLink="$J$67" fmlaRange="$J$39:$J$45" noThreeD="1" sel="1" val="0"/>
</file>

<file path=xl/ctrlProps/ctrlProp384.xml><?xml version="1.0" encoding="utf-8"?>
<formControlPr xmlns="http://schemas.microsoft.com/office/spreadsheetml/2009/9/main" objectType="Drop" dropStyle="combo" dx="16" fmlaLink="$J$71" fmlaRange="$J$39:$J$45" noThreeD="1" sel="1" val="0"/>
</file>

<file path=xl/ctrlProps/ctrlProp385.xml><?xml version="1.0" encoding="utf-8"?>
<formControlPr xmlns="http://schemas.microsoft.com/office/spreadsheetml/2009/9/main" objectType="Drop" dropStyle="combo" dx="16" fmlaLink="$J$75" fmlaRange="$J$39:$J$45" noThreeD="1" sel="1" val="0"/>
</file>

<file path=xl/ctrlProps/ctrlProp386.xml><?xml version="1.0" encoding="utf-8"?>
<formControlPr xmlns="http://schemas.microsoft.com/office/spreadsheetml/2009/9/main" objectType="Drop" dropStyle="combo" dx="16" fmlaLink="$J$79" fmlaRange="$J$39:$J$45" noThreeD="1" sel="1" val="0"/>
</file>

<file path=xl/ctrlProps/ctrlProp387.xml><?xml version="1.0" encoding="utf-8"?>
<formControlPr xmlns="http://schemas.microsoft.com/office/spreadsheetml/2009/9/main" objectType="Drop" dropStyle="combo" dx="16" fmlaLink="$J$83" fmlaRange="$J$39:$J$45" noThreeD="1" sel="1" val="0"/>
</file>

<file path=xl/ctrlProps/ctrlProp388.xml><?xml version="1.0" encoding="utf-8"?>
<formControlPr xmlns="http://schemas.microsoft.com/office/spreadsheetml/2009/9/main" objectType="Drop" dropStyle="combo" dx="16" fmlaLink="$J$87" fmlaRange="$J$39:$J$45" noThreeD="1" sel="1" val="0"/>
</file>

<file path=xl/ctrlProps/ctrlProp389.xml><?xml version="1.0" encoding="utf-8"?>
<formControlPr xmlns="http://schemas.microsoft.com/office/spreadsheetml/2009/9/main" objectType="Drop" dropStyle="combo" dx="16" fmlaLink="$J$91" fmlaRange="$J$39:$J$45" noThreeD="1" sel="1" val="0"/>
</file>

<file path=xl/ctrlProps/ctrlProp390.xml><?xml version="1.0" encoding="utf-8"?>
<formControlPr xmlns="http://schemas.microsoft.com/office/spreadsheetml/2009/9/main" objectType="Drop" dropStyle="combo" dx="16" fmlaLink="$J$95" fmlaRange="$J$39:$J$45" noThreeD="1" sel="1" val="0"/>
</file>

<file path=xl/ctrlProps/ctrlProp391.xml><?xml version="1.0" encoding="utf-8"?>
<formControlPr xmlns="http://schemas.microsoft.com/office/spreadsheetml/2009/9/main" objectType="Drop" dropStyle="combo" dx="16" fmlaLink="$J$99" fmlaRange="$J$39:$J$45" noThreeD="1" sel="1" val="0"/>
</file>

<file path=xl/ctrlProps/ctrlProp392.xml><?xml version="1.0" encoding="utf-8"?>
<formControlPr xmlns="http://schemas.microsoft.com/office/spreadsheetml/2009/9/main" objectType="Drop" dropStyle="combo" dx="16" fmlaLink="$J$103" fmlaRange="$J$39:$J$45" noThreeD="1" sel="1" val="0"/>
</file>

<file path=xl/ctrlProps/ctrlProp393.xml><?xml version="1.0" encoding="utf-8"?>
<formControlPr xmlns="http://schemas.microsoft.com/office/spreadsheetml/2009/9/main" objectType="Drop" dropStyle="combo" dx="16" fmlaLink="$J$107" fmlaRange="$J$39:$J$45" noThreeD="1" sel="1" val="0"/>
</file>

<file path=xl/ctrlProps/ctrlProp394.xml><?xml version="1.0" encoding="utf-8"?>
<formControlPr xmlns="http://schemas.microsoft.com/office/spreadsheetml/2009/9/main" objectType="Drop" dropStyle="combo" dx="16" fmlaLink="$E$51" fmlaRange="$C$44:$C$46" noThreeD="1" sel="1" val="0"/>
</file>

<file path=xl/ctrlProps/ctrlProp395.xml><?xml version="1.0" encoding="utf-8"?>
<formControlPr xmlns="http://schemas.microsoft.com/office/spreadsheetml/2009/9/main" objectType="Drop" dropStyle="combo" dx="16" fmlaLink="$E$55" fmlaRange="$C$44:$C$46" noThreeD="1" sel="1" val="0"/>
</file>

<file path=xl/ctrlProps/ctrlProp396.xml><?xml version="1.0" encoding="utf-8"?>
<formControlPr xmlns="http://schemas.microsoft.com/office/spreadsheetml/2009/9/main" objectType="Drop" dropStyle="combo" dx="16" fmlaLink="$E$59" fmlaRange="$C$44:$C$46" noThreeD="1" sel="1" val="0"/>
</file>

<file path=xl/ctrlProps/ctrlProp397.xml><?xml version="1.0" encoding="utf-8"?>
<formControlPr xmlns="http://schemas.microsoft.com/office/spreadsheetml/2009/9/main" objectType="Drop" dropStyle="combo" dx="16" fmlaLink="$E$63" fmlaRange="$C$44:$C$46" noThreeD="1" sel="1" val="0"/>
</file>

<file path=xl/ctrlProps/ctrlProp398.xml><?xml version="1.0" encoding="utf-8"?>
<formControlPr xmlns="http://schemas.microsoft.com/office/spreadsheetml/2009/9/main" objectType="Drop" dropStyle="combo" dx="16" fmlaLink="$E$67" fmlaRange="$C$44:$C$46" noThreeD="1" sel="1" val="0"/>
</file>

<file path=xl/ctrlProps/ctrlProp399.xml><?xml version="1.0" encoding="utf-8"?>
<formControlPr xmlns="http://schemas.microsoft.com/office/spreadsheetml/2009/9/main" objectType="Drop" dropStyle="combo" dx="16" fmlaLink="$E$71" fmlaRange="$C$44:$C$46" noThreeD="1" sel="1" val="0"/>
</file>

<file path=xl/ctrlProps/ctrlProp400.xml><?xml version="1.0" encoding="utf-8"?>
<formControlPr xmlns="http://schemas.microsoft.com/office/spreadsheetml/2009/9/main" objectType="Drop" dropStyle="combo" dx="16" fmlaLink="$E$75" fmlaRange="$C$44:$C$46" noThreeD="1" sel="1" val="0"/>
</file>

<file path=xl/ctrlProps/ctrlProp401.xml><?xml version="1.0" encoding="utf-8"?>
<formControlPr xmlns="http://schemas.microsoft.com/office/spreadsheetml/2009/9/main" objectType="Drop" dropStyle="combo" dx="16" fmlaLink="$E$79" fmlaRange="$C$44:$C$46" noThreeD="1" sel="1" val="0"/>
</file>

<file path=xl/ctrlProps/ctrlProp402.xml><?xml version="1.0" encoding="utf-8"?>
<formControlPr xmlns="http://schemas.microsoft.com/office/spreadsheetml/2009/9/main" objectType="Drop" dropStyle="combo" dx="16" fmlaLink="$E$83" fmlaRange="$C$44:$C$46" noThreeD="1" sel="1" val="0"/>
</file>

<file path=xl/ctrlProps/ctrlProp403.xml><?xml version="1.0" encoding="utf-8"?>
<formControlPr xmlns="http://schemas.microsoft.com/office/spreadsheetml/2009/9/main" objectType="Drop" dropStyle="combo" dx="16" fmlaLink="$E$87" fmlaRange="$C$44:$C$46" noThreeD="1" sel="1" val="0"/>
</file>

<file path=xl/ctrlProps/ctrlProp404.xml><?xml version="1.0" encoding="utf-8"?>
<formControlPr xmlns="http://schemas.microsoft.com/office/spreadsheetml/2009/9/main" objectType="Drop" dropStyle="combo" dx="16" fmlaLink="$E$91" fmlaRange="$C$44:$C$46" noThreeD="1" sel="1" val="0"/>
</file>

<file path=xl/ctrlProps/ctrlProp405.xml><?xml version="1.0" encoding="utf-8"?>
<formControlPr xmlns="http://schemas.microsoft.com/office/spreadsheetml/2009/9/main" objectType="Drop" dropStyle="combo" dx="16" fmlaLink="$E$95" fmlaRange="$C$44:$C$46" noThreeD="1" sel="1" val="0"/>
</file>

<file path=xl/ctrlProps/ctrlProp406.xml><?xml version="1.0" encoding="utf-8"?>
<formControlPr xmlns="http://schemas.microsoft.com/office/spreadsheetml/2009/9/main" objectType="Drop" dropStyle="combo" dx="16" fmlaLink="$E$99" fmlaRange="$C$44:$C$46" noThreeD="1" sel="1" val="0"/>
</file>

<file path=xl/ctrlProps/ctrlProp407.xml><?xml version="1.0" encoding="utf-8"?>
<formControlPr xmlns="http://schemas.microsoft.com/office/spreadsheetml/2009/9/main" objectType="Drop" dropStyle="combo" dx="16" fmlaLink="$E$103" fmlaRange="$C$44:$C$46" noThreeD="1" sel="1" val="0"/>
</file>

<file path=xl/ctrlProps/ctrlProp408.xml><?xml version="1.0" encoding="utf-8"?>
<formControlPr xmlns="http://schemas.microsoft.com/office/spreadsheetml/2009/9/main" objectType="Drop" dropStyle="combo" dx="16" fmlaLink="$E$107" fmlaRange="$C$44:$C$46" noThreeD="1" sel="1" val="0"/>
</file>

<file path=xl/ctrlProps/ctrlProp409.xml><?xml version="1.0" encoding="utf-8"?>
<formControlPr xmlns="http://schemas.microsoft.com/office/spreadsheetml/2009/9/main" objectType="Drop" dropStyle="combo" dx="16" fmlaLink="$J$51" fmlaRange="$J$39:$J$45" noThreeD="1" sel="1" val="0"/>
</file>

<file path=xl/ctrlProps/ctrlProp410.xml><?xml version="1.0" encoding="utf-8"?>
<formControlPr xmlns="http://schemas.microsoft.com/office/spreadsheetml/2009/9/main" objectType="Drop" dropStyle="combo" dx="16" fmlaLink="$J$55" fmlaRange="$J$39:$J$45" noThreeD="1" sel="1" val="0"/>
</file>

<file path=xl/ctrlProps/ctrlProp411.xml><?xml version="1.0" encoding="utf-8"?>
<formControlPr xmlns="http://schemas.microsoft.com/office/spreadsheetml/2009/9/main" objectType="Drop" dropStyle="combo" dx="16" fmlaLink="$J$59" fmlaRange="$J$39:$J$45" noThreeD="1" sel="1" val="0"/>
</file>

<file path=xl/ctrlProps/ctrlProp412.xml><?xml version="1.0" encoding="utf-8"?>
<formControlPr xmlns="http://schemas.microsoft.com/office/spreadsheetml/2009/9/main" objectType="Drop" dropStyle="combo" dx="16" fmlaLink="$J$63" fmlaRange="$J$39:$J$45" noThreeD="1" sel="1" val="0"/>
</file>

<file path=xl/ctrlProps/ctrlProp413.xml><?xml version="1.0" encoding="utf-8"?>
<formControlPr xmlns="http://schemas.microsoft.com/office/spreadsheetml/2009/9/main" objectType="Drop" dropStyle="combo" dx="16" fmlaLink="$J$67" fmlaRange="$J$39:$J$45" noThreeD="1" sel="1" val="0"/>
</file>

<file path=xl/ctrlProps/ctrlProp414.xml><?xml version="1.0" encoding="utf-8"?>
<formControlPr xmlns="http://schemas.microsoft.com/office/spreadsheetml/2009/9/main" objectType="Drop" dropStyle="combo" dx="16" fmlaLink="$J$71" fmlaRange="$J$39:$J$45" noThreeD="1" sel="1" val="0"/>
</file>

<file path=xl/ctrlProps/ctrlProp415.xml><?xml version="1.0" encoding="utf-8"?>
<formControlPr xmlns="http://schemas.microsoft.com/office/spreadsheetml/2009/9/main" objectType="Drop" dropStyle="combo" dx="16" fmlaLink="$J$75" fmlaRange="$J$39:$J$45" noThreeD="1" sel="1" val="0"/>
</file>

<file path=xl/ctrlProps/ctrlProp416.xml><?xml version="1.0" encoding="utf-8"?>
<formControlPr xmlns="http://schemas.microsoft.com/office/spreadsheetml/2009/9/main" objectType="Drop" dropStyle="combo" dx="16" fmlaLink="$J$79" fmlaRange="$J$39:$J$45" noThreeD="1" sel="1" val="0"/>
</file>

<file path=xl/ctrlProps/ctrlProp417.xml><?xml version="1.0" encoding="utf-8"?>
<formControlPr xmlns="http://schemas.microsoft.com/office/spreadsheetml/2009/9/main" objectType="Drop" dropStyle="combo" dx="16" fmlaLink="$J$83" fmlaRange="$J$39:$J$45" noThreeD="1" sel="1" val="0"/>
</file>

<file path=xl/ctrlProps/ctrlProp418.xml><?xml version="1.0" encoding="utf-8"?>
<formControlPr xmlns="http://schemas.microsoft.com/office/spreadsheetml/2009/9/main" objectType="Drop" dropStyle="combo" dx="16" fmlaLink="$J$87" fmlaRange="$J$39:$J$45" noThreeD="1" sel="1" val="0"/>
</file>

<file path=xl/ctrlProps/ctrlProp419.xml><?xml version="1.0" encoding="utf-8"?>
<formControlPr xmlns="http://schemas.microsoft.com/office/spreadsheetml/2009/9/main" objectType="Drop" dropStyle="combo" dx="16" fmlaLink="$J$91" fmlaRange="$J$39:$J$45" noThreeD="1" sel="1" val="0"/>
</file>

<file path=xl/ctrlProps/ctrlProp420.xml><?xml version="1.0" encoding="utf-8"?>
<formControlPr xmlns="http://schemas.microsoft.com/office/spreadsheetml/2009/9/main" objectType="Drop" dropStyle="combo" dx="16" fmlaLink="$J$95" fmlaRange="$J$39:$J$45" noThreeD="1" sel="1" val="0"/>
</file>

<file path=xl/ctrlProps/ctrlProp421.xml><?xml version="1.0" encoding="utf-8"?>
<formControlPr xmlns="http://schemas.microsoft.com/office/spreadsheetml/2009/9/main" objectType="Drop" dropStyle="combo" dx="16" fmlaLink="$J$99" fmlaRange="$J$39:$J$45" noThreeD="1" sel="1" val="0"/>
</file>

<file path=xl/ctrlProps/ctrlProp422.xml><?xml version="1.0" encoding="utf-8"?>
<formControlPr xmlns="http://schemas.microsoft.com/office/spreadsheetml/2009/9/main" objectType="Drop" dropStyle="combo" dx="16" fmlaLink="$J$103" fmlaRange="$J$39:$J$45" noThreeD="1" sel="1" val="0"/>
</file>

<file path=xl/ctrlProps/ctrlProp423.xml><?xml version="1.0" encoding="utf-8"?>
<formControlPr xmlns="http://schemas.microsoft.com/office/spreadsheetml/2009/9/main" objectType="Drop" dropStyle="combo" dx="16" fmlaLink="$J$107" fmlaRange="$J$39:$J$45" noThreeD="1" sel="1" val="0"/>
</file>

<file path=xl/ctrlProps/ctrlProp424.xml><?xml version="1.0" encoding="utf-8"?>
<formControlPr xmlns="http://schemas.microsoft.com/office/spreadsheetml/2009/9/main" objectType="Drop" dropStyle="combo" dx="16" fmlaLink="$J$55" fmlaRange="$J$39:$J$45" noThreeD="1" sel="1" val="0"/>
</file>

<file path=xl/ctrlProps/ctrlProp425.xml><?xml version="1.0" encoding="utf-8"?>
<formControlPr xmlns="http://schemas.microsoft.com/office/spreadsheetml/2009/9/main" objectType="Drop" dropStyle="combo" dx="16" fmlaLink="$J$59" fmlaRange="$J$39:$J$45" noThreeD="1" sel="1" val="0"/>
</file>

<file path=xl/ctrlProps/ctrlProp426.xml><?xml version="1.0" encoding="utf-8"?>
<formControlPr xmlns="http://schemas.microsoft.com/office/spreadsheetml/2009/9/main" objectType="Drop" dropStyle="combo" dx="16" fmlaLink="$J$63" fmlaRange="$J$39:$J$45" noThreeD="1" sel="1" val="0"/>
</file>

<file path=xl/ctrlProps/ctrlProp427.xml><?xml version="1.0" encoding="utf-8"?>
<formControlPr xmlns="http://schemas.microsoft.com/office/spreadsheetml/2009/9/main" objectType="Drop" dropStyle="combo" dx="16" fmlaLink="$J$67" fmlaRange="$J$39:$J$45" noThreeD="1" sel="1" val="0"/>
</file>

<file path=xl/ctrlProps/ctrlProp428.xml><?xml version="1.0" encoding="utf-8"?>
<formControlPr xmlns="http://schemas.microsoft.com/office/spreadsheetml/2009/9/main" objectType="Drop" dropStyle="combo" dx="16" fmlaLink="$J$71" fmlaRange="$J$39:$J$45" noThreeD="1" sel="1" val="0"/>
</file>

<file path=xl/ctrlProps/ctrlProp429.xml><?xml version="1.0" encoding="utf-8"?>
<formControlPr xmlns="http://schemas.microsoft.com/office/spreadsheetml/2009/9/main" objectType="Drop" dropStyle="combo" dx="16" fmlaLink="$J$75" fmlaRange="$J$39:$J$45" noThreeD="1" sel="1" val="0"/>
</file>

<file path=xl/ctrlProps/ctrlProp430.xml><?xml version="1.0" encoding="utf-8"?>
<formControlPr xmlns="http://schemas.microsoft.com/office/spreadsheetml/2009/9/main" objectType="Drop" dropStyle="combo" dx="16" fmlaLink="$J$79" fmlaRange="$J$39:$J$45" noThreeD="1" sel="1" val="0"/>
</file>

<file path=xl/ctrlProps/ctrlProp431.xml><?xml version="1.0" encoding="utf-8"?>
<formControlPr xmlns="http://schemas.microsoft.com/office/spreadsheetml/2009/9/main" objectType="Drop" dropStyle="combo" dx="16" fmlaLink="$J$83" fmlaRange="$J$39:$J$45" noThreeD="1" sel="1" val="0"/>
</file>

<file path=xl/ctrlProps/ctrlProp432.xml><?xml version="1.0" encoding="utf-8"?>
<formControlPr xmlns="http://schemas.microsoft.com/office/spreadsheetml/2009/9/main" objectType="Drop" dropStyle="combo" dx="16" fmlaLink="$J$87" fmlaRange="$J$39:$J$45" noThreeD="1" sel="1" val="0"/>
</file>

<file path=xl/ctrlProps/ctrlProp433.xml><?xml version="1.0" encoding="utf-8"?>
<formControlPr xmlns="http://schemas.microsoft.com/office/spreadsheetml/2009/9/main" objectType="Drop" dropStyle="combo" dx="16" fmlaLink="$J$91" fmlaRange="$J$39:$J$45" noThreeD="1" sel="1" val="0"/>
</file>

<file path=xl/ctrlProps/ctrlProp434.xml><?xml version="1.0" encoding="utf-8"?>
<formControlPr xmlns="http://schemas.microsoft.com/office/spreadsheetml/2009/9/main" objectType="Drop" dropStyle="combo" dx="16" fmlaLink="$J$95" fmlaRange="$J$39:$J$45" noThreeD="1" sel="1" val="0"/>
</file>

<file path=xl/ctrlProps/ctrlProp435.xml><?xml version="1.0" encoding="utf-8"?>
<formControlPr xmlns="http://schemas.microsoft.com/office/spreadsheetml/2009/9/main" objectType="Drop" dropStyle="combo" dx="16" fmlaLink="$J$99" fmlaRange="$J$39:$J$45" noThreeD="1" sel="1" val="0"/>
</file>

<file path=xl/ctrlProps/ctrlProp436.xml><?xml version="1.0" encoding="utf-8"?>
<formControlPr xmlns="http://schemas.microsoft.com/office/spreadsheetml/2009/9/main" objectType="Drop" dropStyle="combo" dx="16" fmlaLink="$J$103" fmlaRange="$J$39:$J$45" noThreeD="1" sel="1" val="0"/>
</file>

<file path=xl/ctrlProps/ctrlProp437.xml><?xml version="1.0" encoding="utf-8"?>
<formControlPr xmlns="http://schemas.microsoft.com/office/spreadsheetml/2009/9/main" objectType="Drop" dropStyle="combo" dx="16" fmlaLink="$J$107" fmlaRange="$J$39:$J$45" noThreeD="1" sel="1" val="0"/>
</file>

<file path=xl/ctrlProps/ctrlProp438.xml><?xml version="1.0" encoding="utf-8"?>
<formControlPr xmlns="http://schemas.microsoft.com/office/spreadsheetml/2009/9/main" objectType="Drop" dropStyle="combo" dx="16" fmlaLink="$J$51" fmlaRange="$J$39:$J$45" noThreeD="1" sel="1" val="0"/>
</file>

<file path=xl/ctrlProps/ctrlProp439.xml><?xml version="1.0" encoding="utf-8"?>
<formControlPr xmlns="http://schemas.microsoft.com/office/spreadsheetml/2009/9/main" objectType="Drop" dropStyle="combo" dx="16" fmlaLink="$J$55" fmlaRange="$J$39:$J$45" noThreeD="1" sel="1" val="0"/>
</file>

<file path=xl/ctrlProps/ctrlProp440.xml><?xml version="1.0" encoding="utf-8"?>
<formControlPr xmlns="http://schemas.microsoft.com/office/spreadsheetml/2009/9/main" objectType="Drop" dropStyle="combo" dx="16" fmlaLink="$J$59" fmlaRange="$J$39:$J$45" noThreeD="1" sel="1" val="0"/>
</file>

<file path=xl/ctrlProps/ctrlProp441.xml><?xml version="1.0" encoding="utf-8"?>
<formControlPr xmlns="http://schemas.microsoft.com/office/spreadsheetml/2009/9/main" objectType="Drop" dropStyle="combo" dx="16" fmlaLink="$J$63" fmlaRange="$J$39:$J$45" noThreeD="1" sel="1" val="0"/>
</file>

<file path=xl/ctrlProps/ctrlProp442.xml><?xml version="1.0" encoding="utf-8"?>
<formControlPr xmlns="http://schemas.microsoft.com/office/spreadsheetml/2009/9/main" objectType="Drop" dropStyle="combo" dx="16" fmlaLink="$J$67" fmlaRange="$J$39:$J$45" noThreeD="1" sel="1" val="0"/>
</file>

<file path=xl/ctrlProps/ctrlProp443.xml><?xml version="1.0" encoding="utf-8"?>
<formControlPr xmlns="http://schemas.microsoft.com/office/spreadsheetml/2009/9/main" objectType="Drop" dropStyle="combo" dx="16" fmlaLink="$J$71" fmlaRange="$J$39:$J$45" noThreeD="1" sel="1" val="0"/>
</file>

<file path=xl/ctrlProps/ctrlProp444.xml><?xml version="1.0" encoding="utf-8"?>
<formControlPr xmlns="http://schemas.microsoft.com/office/spreadsheetml/2009/9/main" objectType="Drop" dropStyle="combo" dx="16" fmlaLink="$J$75" fmlaRange="$J$39:$J$45" noThreeD="1" sel="1" val="0"/>
</file>

<file path=xl/ctrlProps/ctrlProp445.xml><?xml version="1.0" encoding="utf-8"?>
<formControlPr xmlns="http://schemas.microsoft.com/office/spreadsheetml/2009/9/main" objectType="Drop" dropStyle="combo" dx="16" fmlaLink="$J$79" fmlaRange="$J$39:$J$45" noThreeD="1" sel="1" val="0"/>
</file>

<file path=xl/ctrlProps/ctrlProp446.xml><?xml version="1.0" encoding="utf-8"?>
<formControlPr xmlns="http://schemas.microsoft.com/office/spreadsheetml/2009/9/main" objectType="Drop" dropStyle="combo" dx="16" fmlaLink="$J$83" fmlaRange="$J$39:$J$45" noThreeD="1" sel="1" val="0"/>
</file>

<file path=xl/ctrlProps/ctrlProp447.xml><?xml version="1.0" encoding="utf-8"?>
<formControlPr xmlns="http://schemas.microsoft.com/office/spreadsheetml/2009/9/main" objectType="Drop" dropStyle="combo" dx="16" fmlaLink="$J$87" fmlaRange="$J$39:$J$45" noThreeD="1" sel="1" val="0"/>
</file>

<file path=xl/ctrlProps/ctrlProp448.xml><?xml version="1.0" encoding="utf-8"?>
<formControlPr xmlns="http://schemas.microsoft.com/office/spreadsheetml/2009/9/main" objectType="Drop" dropStyle="combo" dx="16" fmlaLink="$J$91" fmlaRange="$J$39:$J$45" noThreeD="1" sel="1" val="0"/>
</file>

<file path=xl/ctrlProps/ctrlProp449.xml><?xml version="1.0" encoding="utf-8"?>
<formControlPr xmlns="http://schemas.microsoft.com/office/spreadsheetml/2009/9/main" objectType="Drop" dropStyle="combo" dx="16" fmlaLink="$J$95" fmlaRange="$J$39:$J$45" noThreeD="1" sel="1" val="0"/>
</file>

<file path=xl/ctrlProps/ctrlProp450.xml><?xml version="1.0" encoding="utf-8"?>
<formControlPr xmlns="http://schemas.microsoft.com/office/spreadsheetml/2009/9/main" objectType="Drop" dropStyle="combo" dx="16" fmlaLink="$J$99" fmlaRange="$J$39:$J$45" noThreeD="1" sel="1" val="0"/>
</file>

<file path=xl/ctrlProps/ctrlProp451.xml><?xml version="1.0" encoding="utf-8"?>
<formControlPr xmlns="http://schemas.microsoft.com/office/spreadsheetml/2009/9/main" objectType="Drop" dropStyle="combo" dx="16" fmlaLink="$J$103" fmlaRange="$J$39:$J$45" noThreeD="1" sel="1" val="0"/>
</file>

<file path=xl/ctrlProps/ctrlProp452.xml><?xml version="1.0" encoding="utf-8"?>
<formControlPr xmlns="http://schemas.microsoft.com/office/spreadsheetml/2009/9/main" objectType="Drop" dropStyle="combo" dx="16" fmlaLink="$J$107" fmlaRange="$J$39:$J$45" noThreeD="1" sel="1" val="0"/>
</file>

<file path=xl/ctrlProps/ctrlProp453.xml><?xml version="1.0" encoding="utf-8"?>
<formControlPr xmlns="http://schemas.microsoft.com/office/spreadsheetml/2009/9/main" objectType="Drop" dropStyle="combo" dx="16" fmlaLink="$J$55" fmlaRange="$J$39:$J$45" noThreeD="1" sel="1" val="0"/>
</file>

<file path=xl/ctrlProps/ctrlProp454.xml><?xml version="1.0" encoding="utf-8"?>
<formControlPr xmlns="http://schemas.microsoft.com/office/spreadsheetml/2009/9/main" objectType="Drop" dropStyle="combo" dx="16" fmlaLink="$J$59" fmlaRange="$J$39:$J$45" noThreeD="1" sel="1" val="0"/>
</file>

<file path=xl/ctrlProps/ctrlProp455.xml><?xml version="1.0" encoding="utf-8"?>
<formControlPr xmlns="http://schemas.microsoft.com/office/spreadsheetml/2009/9/main" objectType="Drop" dropStyle="combo" dx="16" fmlaLink="$J$63" fmlaRange="$J$39:$J$45" noThreeD="1" sel="1" val="0"/>
</file>

<file path=xl/ctrlProps/ctrlProp456.xml><?xml version="1.0" encoding="utf-8"?>
<formControlPr xmlns="http://schemas.microsoft.com/office/spreadsheetml/2009/9/main" objectType="Drop" dropStyle="combo" dx="16" fmlaLink="$J$67" fmlaRange="$J$39:$J$45" noThreeD="1" sel="1" val="0"/>
</file>

<file path=xl/ctrlProps/ctrlProp457.xml><?xml version="1.0" encoding="utf-8"?>
<formControlPr xmlns="http://schemas.microsoft.com/office/spreadsheetml/2009/9/main" objectType="Drop" dropStyle="combo" dx="16" fmlaLink="$J$71" fmlaRange="$J$39:$J$45" noThreeD="1" sel="1" val="0"/>
</file>

<file path=xl/ctrlProps/ctrlProp458.xml><?xml version="1.0" encoding="utf-8"?>
<formControlPr xmlns="http://schemas.microsoft.com/office/spreadsheetml/2009/9/main" objectType="Drop" dropStyle="combo" dx="16" fmlaLink="$J$75" fmlaRange="$J$39:$J$45" noThreeD="1" sel="1" val="0"/>
</file>

<file path=xl/ctrlProps/ctrlProp459.xml><?xml version="1.0" encoding="utf-8"?>
<formControlPr xmlns="http://schemas.microsoft.com/office/spreadsheetml/2009/9/main" objectType="Drop" dropStyle="combo" dx="16" fmlaLink="$J$79" fmlaRange="$J$39:$J$45" noThreeD="1" sel="1" val="0"/>
</file>

<file path=xl/ctrlProps/ctrlProp460.xml><?xml version="1.0" encoding="utf-8"?>
<formControlPr xmlns="http://schemas.microsoft.com/office/spreadsheetml/2009/9/main" objectType="Drop" dropStyle="combo" dx="16" fmlaLink="$J$83" fmlaRange="$J$39:$J$45" noThreeD="1" sel="1" val="0"/>
</file>

<file path=xl/ctrlProps/ctrlProp461.xml><?xml version="1.0" encoding="utf-8"?>
<formControlPr xmlns="http://schemas.microsoft.com/office/spreadsheetml/2009/9/main" objectType="Drop" dropStyle="combo" dx="16" fmlaLink="$J$87" fmlaRange="$J$39:$J$45" noThreeD="1" sel="1" val="0"/>
</file>

<file path=xl/ctrlProps/ctrlProp462.xml><?xml version="1.0" encoding="utf-8"?>
<formControlPr xmlns="http://schemas.microsoft.com/office/spreadsheetml/2009/9/main" objectType="Drop" dropStyle="combo" dx="16" fmlaLink="$J$91" fmlaRange="$J$39:$J$45" noThreeD="1" sel="1" val="0"/>
</file>

<file path=xl/ctrlProps/ctrlProp463.xml><?xml version="1.0" encoding="utf-8"?>
<formControlPr xmlns="http://schemas.microsoft.com/office/spreadsheetml/2009/9/main" objectType="Drop" dropStyle="combo" dx="16" fmlaLink="$J$95" fmlaRange="$J$39:$J$45" noThreeD="1" sel="1" val="0"/>
</file>

<file path=xl/ctrlProps/ctrlProp464.xml><?xml version="1.0" encoding="utf-8"?>
<formControlPr xmlns="http://schemas.microsoft.com/office/spreadsheetml/2009/9/main" objectType="Drop" dropStyle="combo" dx="16" fmlaLink="$J$99" fmlaRange="$J$39:$J$45" noThreeD="1" sel="1" val="0"/>
</file>

<file path=xl/ctrlProps/ctrlProp465.xml><?xml version="1.0" encoding="utf-8"?>
<formControlPr xmlns="http://schemas.microsoft.com/office/spreadsheetml/2009/9/main" objectType="Drop" dropStyle="combo" dx="16" fmlaLink="$J$103" fmlaRange="$J$39:$J$45" noThreeD="1" sel="1" val="0"/>
</file>

<file path=xl/ctrlProps/ctrlProp466.xml><?xml version="1.0" encoding="utf-8"?>
<formControlPr xmlns="http://schemas.microsoft.com/office/spreadsheetml/2009/9/main" objectType="Drop" dropStyle="combo" dx="16" fmlaLink="$J$107" fmlaRange="$J$39:$J$45" noThreeD="1" sel="1" val="0"/>
</file>

<file path=xl/ctrlProps/ctrlProp467.xml><?xml version="1.0" encoding="utf-8"?>
<formControlPr xmlns="http://schemas.microsoft.com/office/spreadsheetml/2009/9/main" objectType="Drop" dropStyle="combo" dx="16" fmlaLink="L51" fmlaRange="$L$44:$L$45" noThreeD="1" sel="1" val="0"/>
</file>

<file path=xl/ctrlProps/ctrlProp468.xml><?xml version="1.0" encoding="utf-8"?>
<formControlPr xmlns="http://schemas.microsoft.com/office/spreadsheetml/2009/9/main" objectType="Drop" dropStyle="combo" dx="16" fmlaLink="$L$55" fmlaRange="$L$44:$L$45" noThreeD="1" sel="1" val="0"/>
</file>

<file path=xl/ctrlProps/ctrlProp469.xml><?xml version="1.0" encoding="utf-8"?>
<formControlPr xmlns="http://schemas.microsoft.com/office/spreadsheetml/2009/9/main" objectType="Drop" dropStyle="combo" dx="16" fmlaLink="L59" fmlaRange="$L$44:$L$45" noThreeD="1" sel="1" val="0"/>
</file>

<file path=xl/ctrlProps/ctrlProp470.xml><?xml version="1.0" encoding="utf-8"?>
<formControlPr xmlns="http://schemas.microsoft.com/office/spreadsheetml/2009/9/main" objectType="Drop" dropStyle="combo" dx="16" fmlaLink="L63" fmlaRange="$L$44:$L$45" noThreeD="1" sel="1" val="0"/>
</file>

<file path=xl/ctrlProps/ctrlProp471.xml><?xml version="1.0" encoding="utf-8"?>
<formControlPr xmlns="http://schemas.microsoft.com/office/spreadsheetml/2009/9/main" objectType="Drop" dropStyle="combo" dx="16" fmlaLink="L67" fmlaRange="$L$44:$L$45" noThreeD="1" sel="1" val="0"/>
</file>

<file path=xl/ctrlProps/ctrlProp472.xml><?xml version="1.0" encoding="utf-8"?>
<formControlPr xmlns="http://schemas.microsoft.com/office/spreadsheetml/2009/9/main" objectType="Drop" dropStyle="combo" dx="16" fmlaLink="L71" fmlaRange="$L$44:$L$45" noThreeD="1" sel="1" val="0"/>
</file>

<file path=xl/ctrlProps/ctrlProp473.xml><?xml version="1.0" encoding="utf-8"?>
<formControlPr xmlns="http://schemas.microsoft.com/office/spreadsheetml/2009/9/main" objectType="Drop" dropStyle="combo" dx="16" fmlaLink="L75" fmlaRange="$L$44:$L$45" noThreeD="1" sel="1" val="0"/>
</file>

<file path=xl/ctrlProps/ctrlProp474.xml><?xml version="1.0" encoding="utf-8"?>
<formControlPr xmlns="http://schemas.microsoft.com/office/spreadsheetml/2009/9/main" objectType="Drop" dropStyle="combo" dx="16" fmlaLink="L79" fmlaRange="$L$44:$L$45" noThreeD="1" sel="1" val="0"/>
</file>

<file path=xl/ctrlProps/ctrlProp475.xml><?xml version="1.0" encoding="utf-8"?>
<formControlPr xmlns="http://schemas.microsoft.com/office/spreadsheetml/2009/9/main" objectType="Drop" dropStyle="combo" dx="16" fmlaLink="L83" fmlaRange="$L$44:$L$45" noThreeD="1" sel="1" val="0"/>
</file>

<file path=xl/ctrlProps/ctrlProp476.xml><?xml version="1.0" encoding="utf-8"?>
<formControlPr xmlns="http://schemas.microsoft.com/office/spreadsheetml/2009/9/main" objectType="Drop" dropStyle="combo" dx="16" fmlaLink="L87" fmlaRange="$L$44:$L$45" noThreeD="1" sel="1" val="0"/>
</file>

<file path=xl/ctrlProps/ctrlProp477.xml><?xml version="1.0" encoding="utf-8"?>
<formControlPr xmlns="http://schemas.microsoft.com/office/spreadsheetml/2009/9/main" objectType="Drop" dropStyle="combo" dx="16" fmlaLink="L91" fmlaRange="$L$44:$L$45" noThreeD="1" sel="1" val="0"/>
</file>

<file path=xl/ctrlProps/ctrlProp478.xml><?xml version="1.0" encoding="utf-8"?>
<formControlPr xmlns="http://schemas.microsoft.com/office/spreadsheetml/2009/9/main" objectType="Drop" dropStyle="combo" dx="16" fmlaLink="L95" fmlaRange="$L$44:$L$45" noThreeD="1" sel="1" val="0"/>
</file>

<file path=xl/ctrlProps/ctrlProp479.xml><?xml version="1.0" encoding="utf-8"?>
<formControlPr xmlns="http://schemas.microsoft.com/office/spreadsheetml/2009/9/main" objectType="Drop" dropStyle="combo" dx="16" fmlaLink="L99" fmlaRange="$L$44:$L$45" noThreeD="1" sel="1" val="0"/>
</file>

<file path=xl/ctrlProps/ctrlProp480.xml><?xml version="1.0" encoding="utf-8"?>
<formControlPr xmlns="http://schemas.microsoft.com/office/spreadsheetml/2009/9/main" objectType="Drop" dropStyle="combo" dx="16" fmlaLink="L103" fmlaRange="$L$44:$L$45" noThreeD="1" sel="1" val="0"/>
</file>

<file path=xl/ctrlProps/ctrlProp481.xml><?xml version="1.0" encoding="utf-8"?>
<formControlPr xmlns="http://schemas.microsoft.com/office/spreadsheetml/2009/9/main" objectType="Drop" dropStyle="combo" dx="16" fmlaLink="L107" fmlaRange="$L$44:$L$45" noThreeD="1" sel="1" val="0"/>
</file>

<file path=xl/ctrlProps/ctrlProp482.xml><?xml version="1.0" encoding="utf-8"?>
<formControlPr xmlns="http://schemas.microsoft.com/office/spreadsheetml/2009/9/main" objectType="Drop" dropStyle="combo" dx="16" fmlaLink="$J$55" fmlaRange="$J$39:$J$45" noThreeD="1" sel="1" val="0"/>
</file>

<file path=xl/ctrlProps/ctrlProp483.xml><?xml version="1.0" encoding="utf-8"?>
<formControlPr xmlns="http://schemas.microsoft.com/office/spreadsheetml/2009/9/main" objectType="Drop" dropStyle="combo" dx="16" fmlaLink="$J$59" fmlaRange="$J$39:$J$45" noThreeD="1" sel="1" val="0"/>
</file>

<file path=xl/ctrlProps/ctrlProp484.xml><?xml version="1.0" encoding="utf-8"?>
<formControlPr xmlns="http://schemas.microsoft.com/office/spreadsheetml/2009/9/main" objectType="Drop" dropStyle="combo" dx="16" fmlaLink="$J$63" fmlaRange="$J$39:$J$45" noThreeD="1" sel="1" val="0"/>
</file>

<file path=xl/ctrlProps/ctrlProp485.xml><?xml version="1.0" encoding="utf-8"?>
<formControlPr xmlns="http://schemas.microsoft.com/office/spreadsheetml/2009/9/main" objectType="Drop" dropStyle="combo" dx="16" fmlaLink="$J$67" fmlaRange="$J$39:$J$45" noThreeD="1" sel="1" val="0"/>
</file>

<file path=xl/ctrlProps/ctrlProp486.xml><?xml version="1.0" encoding="utf-8"?>
<formControlPr xmlns="http://schemas.microsoft.com/office/spreadsheetml/2009/9/main" objectType="Drop" dropStyle="combo" dx="16" fmlaLink="$J$71" fmlaRange="$J$39:$J$45" noThreeD="1" sel="1" val="0"/>
</file>

<file path=xl/ctrlProps/ctrlProp487.xml><?xml version="1.0" encoding="utf-8"?>
<formControlPr xmlns="http://schemas.microsoft.com/office/spreadsheetml/2009/9/main" objectType="Drop" dropStyle="combo" dx="16" fmlaLink="$J$75" fmlaRange="$J$39:$J$45" noThreeD="1" sel="1" val="0"/>
</file>

<file path=xl/ctrlProps/ctrlProp488.xml><?xml version="1.0" encoding="utf-8"?>
<formControlPr xmlns="http://schemas.microsoft.com/office/spreadsheetml/2009/9/main" objectType="Drop" dropStyle="combo" dx="16" fmlaLink="$J$79" fmlaRange="$J$39:$J$45" noThreeD="1" sel="1" val="0"/>
</file>

<file path=xl/ctrlProps/ctrlProp489.xml><?xml version="1.0" encoding="utf-8"?>
<formControlPr xmlns="http://schemas.microsoft.com/office/spreadsheetml/2009/9/main" objectType="Drop" dropStyle="combo" dx="16" fmlaLink="$J$83" fmlaRange="$J$39:$J$45" noThreeD="1" sel="1" val="0"/>
</file>

<file path=xl/ctrlProps/ctrlProp490.xml><?xml version="1.0" encoding="utf-8"?>
<formControlPr xmlns="http://schemas.microsoft.com/office/spreadsheetml/2009/9/main" objectType="Drop" dropStyle="combo" dx="16" fmlaLink="$J$87" fmlaRange="$J$39:$J$45" noThreeD="1" sel="1" val="0"/>
</file>

<file path=xl/ctrlProps/ctrlProp491.xml><?xml version="1.0" encoding="utf-8"?>
<formControlPr xmlns="http://schemas.microsoft.com/office/spreadsheetml/2009/9/main" objectType="Drop" dropStyle="combo" dx="16" fmlaLink="$J$91" fmlaRange="$J$39:$J$45" noThreeD="1" sel="1" val="0"/>
</file>

<file path=xl/ctrlProps/ctrlProp492.xml><?xml version="1.0" encoding="utf-8"?>
<formControlPr xmlns="http://schemas.microsoft.com/office/spreadsheetml/2009/9/main" objectType="Drop" dropStyle="combo" dx="16" fmlaLink="$J$95" fmlaRange="$J$39:$J$45" noThreeD="1" sel="1" val="0"/>
</file>

<file path=xl/ctrlProps/ctrlProp493.xml><?xml version="1.0" encoding="utf-8"?>
<formControlPr xmlns="http://schemas.microsoft.com/office/spreadsheetml/2009/9/main" objectType="Drop" dropStyle="combo" dx="16" fmlaLink="$J$99" fmlaRange="$J$39:$J$45" noThreeD="1" sel="1" val="0"/>
</file>

<file path=xl/ctrlProps/ctrlProp494.xml><?xml version="1.0" encoding="utf-8"?>
<formControlPr xmlns="http://schemas.microsoft.com/office/spreadsheetml/2009/9/main" objectType="Drop" dropStyle="combo" dx="16" fmlaLink="$J$103" fmlaRange="$J$39:$J$45" noThreeD="1" sel="1" val="0"/>
</file>

<file path=xl/ctrlProps/ctrlProp495.xml><?xml version="1.0" encoding="utf-8"?>
<formControlPr xmlns="http://schemas.microsoft.com/office/spreadsheetml/2009/9/main" objectType="Drop" dropStyle="combo" dx="16" fmlaLink="$J$107" fmlaRange="$J$39:$J$45" noThreeD="1" sel="1" val="0"/>
</file>

<file path=xl/ctrlProps/ctrlProp496.xml><?xml version="1.0" encoding="utf-8"?>
<formControlPr xmlns="http://schemas.microsoft.com/office/spreadsheetml/2009/9/main" objectType="Drop" dropStyle="combo" dx="16" fmlaLink="$E$51" fmlaRange="$C$44:$C$46" noThreeD="1" sel="1" val="0"/>
</file>

<file path=xl/ctrlProps/ctrlProp497.xml><?xml version="1.0" encoding="utf-8"?>
<formControlPr xmlns="http://schemas.microsoft.com/office/spreadsheetml/2009/9/main" objectType="Drop" dropStyle="combo" dx="16" fmlaLink="$E$55" fmlaRange="$C$44:$C$46" noThreeD="1" sel="1" val="0"/>
</file>

<file path=xl/ctrlProps/ctrlProp498.xml><?xml version="1.0" encoding="utf-8"?>
<formControlPr xmlns="http://schemas.microsoft.com/office/spreadsheetml/2009/9/main" objectType="Drop" dropStyle="combo" dx="16" fmlaLink="$E$59" fmlaRange="$C$44:$C$46" noThreeD="1" sel="1" val="0"/>
</file>

<file path=xl/ctrlProps/ctrlProp499.xml><?xml version="1.0" encoding="utf-8"?>
<formControlPr xmlns="http://schemas.microsoft.com/office/spreadsheetml/2009/9/main" objectType="Drop" dropStyle="combo" dx="16" fmlaLink="$E$63" fmlaRange="$C$44:$C$46" noThreeD="1" sel="1" val="0"/>
</file>

<file path=xl/ctrlProps/ctrlProp500.xml><?xml version="1.0" encoding="utf-8"?>
<formControlPr xmlns="http://schemas.microsoft.com/office/spreadsheetml/2009/9/main" objectType="Drop" dropStyle="combo" dx="16" fmlaLink="$E$67" fmlaRange="$C$44:$C$46" noThreeD="1" sel="1" val="0"/>
</file>

<file path=xl/ctrlProps/ctrlProp501.xml><?xml version="1.0" encoding="utf-8"?>
<formControlPr xmlns="http://schemas.microsoft.com/office/spreadsheetml/2009/9/main" objectType="Drop" dropStyle="combo" dx="16" fmlaLink="$E$71" fmlaRange="$C$44:$C$46" noThreeD="1" sel="1" val="0"/>
</file>

<file path=xl/ctrlProps/ctrlProp502.xml><?xml version="1.0" encoding="utf-8"?>
<formControlPr xmlns="http://schemas.microsoft.com/office/spreadsheetml/2009/9/main" objectType="Drop" dropStyle="combo" dx="16" fmlaLink="$E$75" fmlaRange="$C$44:$C$46" noThreeD="1" sel="1" val="0"/>
</file>

<file path=xl/ctrlProps/ctrlProp503.xml><?xml version="1.0" encoding="utf-8"?>
<formControlPr xmlns="http://schemas.microsoft.com/office/spreadsheetml/2009/9/main" objectType="Drop" dropStyle="combo" dx="16" fmlaLink="$E$79" fmlaRange="$C$44:$C$46" noThreeD="1" sel="1" val="0"/>
</file>

<file path=xl/ctrlProps/ctrlProp504.xml><?xml version="1.0" encoding="utf-8"?>
<formControlPr xmlns="http://schemas.microsoft.com/office/spreadsheetml/2009/9/main" objectType="Drop" dropStyle="combo" dx="16" fmlaLink="$E$83" fmlaRange="$C$44:$C$46" noThreeD="1" sel="1" val="0"/>
</file>

<file path=xl/ctrlProps/ctrlProp505.xml><?xml version="1.0" encoding="utf-8"?>
<formControlPr xmlns="http://schemas.microsoft.com/office/spreadsheetml/2009/9/main" objectType="Drop" dropStyle="combo" dx="16" fmlaLink="$E$87" fmlaRange="$C$44:$C$46" noThreeD="1" sel="1" val="0"/>
</file>

<file path=xl/ctrlProps/ctrlProp506.xml><?xml version="1.0" encoding="utf-8"?>
<formControlPr xmlns="http://schemas.microsoft.com/office/spreadsheetml/2009/9/main" objectType="Drop" dropStyle="combo" dx="16" fmlaLink="$E$91" fmlaRange="$C$44:$C$46" noThreeD="1" sel="1" val="0"/>
</file>

<file path=xl/ctrlProps/ctrlProp507.xml><?xml version="1.0" encoding="utf-8"?>
<formControlPr xmlns="http://schemas.microsoft.com/office/spreadsheetml/2009/9/main" objectType="Drop" dropStyle="combo" dx="16" fmlaLink="$E$95" fmlaRange="$C$44:$C$46" noThreeD="1" sel="1" val="0"/>
</file>

<file path=xl/ctrlProps/ctrlProp508.xml><?xml version="1.0" encoding="utf-8"?>
<formControlPr xmlns="http://schemas.microsoft.com/office/spreadsheetml/2009/9/main" objectType="Drop" dropStyle="combo" dx="16" fmlaLink="$E$99" fmlaRange="$C$44:$C$46" noThreeD="1" sel="1" val="0"/>
</file>

<file path=xl/ctrlProps/ctrlProp509.xml><?xml version="1.0" encoding="utf-8"?>
<formControlPr xmlns="http://schemas.microsoft.com/office/spreadsheetml/2009/9/main" objectType="Drop" dropStyle="combo" dx="16" fmlaLink="$E$103" fmlaRange="$C$44:$C$46" noThreeD="1" sel="1" val="0"/>
</file>

<file path=xl/ctrlProps/ctrlProp510.xml><?xml version="1.0" encoding="utf-8"?>
<formControlPr xmlns="http://schemas.microsoft.com/office/spreadsheetml/2009/9/main" objectType="Drop" dropStyle="combo" dx="16" fmlaLink="$E$107" fmlaRange="$C$44:$C$46" noThreeD="1" sel="1" val="0"/>
</file>

<file path=xl/ctrlProps/ctrlProp511.xml><?xml version="1.0" encoding="utf-8"?>
<formControlPr xmlns="http://schemas.microsoft.com/office/spreadsheetml/2009/9/main" objectType="Drop" dropStyle="combo" dx="16" fmlaLink="$J$51" fmlaRange="$J$39:$J$45" noThreeD="1" sel="1" val="0"/>
</file>

<file path=xl/ctrlProps/ctrlProp512.xml><?xml version="1.0" encoding="utf-8"?>
<formControlPr xmlns="http://schemas.microsoft.com/office/spreadsheetml/2009/9/main" objectType="Drop" dropStyle="combo" dx="16" fmlaLink="$J$55" fmlaRange="$J$39:$J$45" noThreeD="1" sel="1" val="0"/>
</file>

<file path=xl/ctrlProps/ctrlProp513.xml><?xml version="1.0" encoding="utf-8"?>
<formControlPr xmlns="http://schemas.microsoft.com/office/spreadsheetml/2009/9/main" objectType="Drop" dropStyle="combo" dx="16" fmlaLink="$J$59" fmlaRange="$J$39:$J$45" noThreeD="1" sel="1" val="0"/>
</file>

<file path=xl/ctrlProps/ctrlProp514.xml><?xml version="1.0" encoding="utf-8"?>
<formControlPr xmlns="http://schemas.microsoft.com/office/spreadsheetml/2009/9/main" objectType="Drop" dropStyle="combo" dx="16" fmlaLink="$J$63" fmlaRange="$J$39:$J$45" noThreeD="1" sel="1" val="0"/>
</file>

<file path=xl/ctrlProps/ctrlProp515.xml><?xml version="1.0" encoding="utf-8"?>
<formControlPr xmlns="http://schemas.microsoft.com/office/spreadsheetml/2009/9/main" objectType="Drop" dropStyle="combo" dx="16" fmlaLink="$J$67" fmlaRange="$J$39:$J$45" noThreeD="1" sel="1" val="0"/>
</file>

<file path=xl/ctrlProps/ctrlProp516.xml><?xml version="1.0" encoding="utf-8"?>
<formControlPr xmlns="http://schemas.microsoft.com/office/spreadsheetml/2009/9/main" objectType="Drop" dropStyle="combo" dx="16" fmlaLink="$J$71" fmlaRange="$J$39:$J$45" noThreeD="1" sel="1" val="0"/>
</file>

<file path=xl/ctrlProps/ctrlProp517.xml><?xml version="1.0" encoding="utf-8"?>
<formControlPr xmlns="http://schemas.microsoft.com/office/spreadsheetml/2009/9/main" objectType="Drop" dropStyle="combo" dx="16" fmlaLink="$J$75" fmlaRange="$J$39:$J$45" noThreeD="1" sel="1" val="0"/>
</file>

<file path=xl/ctrlProps/ctrlProp518.xml><?xml version="1.0" encoding="utf-8"?>
<formControlPr xmlns="http://schemas.microsoft.com/office/spreadsheetml/2009/9/main" objectType="Drop" dropStyle="combo" dx="16" fmlaLink="$J$79" fmlaRange="$J$39:$J$45" noThreeD="1" sel="1" val="0"/>
</file>

<file path=xl/ctrlProps/ctrlProp519.xml><?xml version="1.0" encoding="utf-8"?>
<formControlPr xmlns="http://schemas.microsoft.com/office/spreadsheetml/2009/9/main" objectType="Drop" dropStyle="combo" dx="16" fmlaLink="$J$83" fmlaRange="$J$39:$J$45" noThreeD="1" sel="1" val="0"/>
</file>

<file path=xl/ctrlProps/ctrlProp520.xml><?xml version="1.0" encoding="utf-8"?>
<formControlPr xmlns="http://schemas.microsoft.com/office/spreadsheetml/2009/9/main" objectType="Drop" dropStyle="combo" dx="16" fmlaLink="$J$87" fmlaRange="$J$39:$J$45" noThreeD="1" sel="1" val="0"/>
</file>

<file path=xl/ctrlProps/ctrlProp521.xml><?xml version="1.0" encoding="utf-8"?>
<formControlPr xmlns="http://schemas.microsoft.com/office/spreadsheetml/2009/9/main" objectType="Drop" dropStyle="combo" dx="16" fmlaLink="$J$91" fmlaRange="$J$39:$J$45" noThreeD="1" sel="1" val="0"/>
</file>

<file path=xl/ctrlProps/ctrlProp522.xml><?xml version="1.0" encoding="utf-8"?>
<formControlPr xmlns="http://schemas.microsoft.com/office/spreadsheetml/2009/9/main" objectType="Drop" dropStyle="combo" dx="16" fmlaLink="$J$95" fmlaRange="$J$39:$J$45" noThreeD="1" sel="1" val="0"/>
</file>

<file path=xl/ctrlProps/ctrlProp523.xml><?xml version="1.0" encoding="utf-8"?>
<formControlPr xmlns="http://schemas.microsoft.com/office/spreadsheetml/2009/9/main" objectType="Drop" dropStyle="combo" dx="16" fmlaLink="$J$99" fmlaRange="$J$39:$J$45" noThreeD="1" sel="1" val="0"/>
</file>

<file path=xl/ctrlProps/ctrlProp524.xml><?xml version="1.0" encoding="utf-8"?>
<formControlPr xmlns="http://schemas.microsoft.com/office/spreadsheetml/2009/9/main" objectType="Drop" dropStyle="combo" dx="16" fmlaLink="$J$103" fmlaRange="$J$39:$J$45" noThreeD="1" sel="1" val="0"/>
</file>

<file path=xl/ctrlProps/ctrlProp525.xml><?xml version="1.0" encoding="utf-8"?>
<formControlPr xmlns="http://schemas.microsoft.com/office/spreadsheetml/2009/9/main" objectType="Drop" dropStyle="combo" dx="16" fmlaLink="$J$107" fmlaRange="$J$39:$J$45" noThreeD="1" sel="1" val="0"/>
</file>

<file path=xl/ctrlProps/ctrlProp526.xml><?xml version="1.0" encoding="utf-8"?>
<formControlPr xmlns="http://schemas.microsoft.com/office/spreadsheetml/2009/9/main" objectType="Drop" dropStyle="combo" dx="16" fmlaLink="$J$55" fmlaRange="$J$39:$J$45" noThreeD="1" sel="1" val="0"/>
</file>

<file path=xl/ctrlProps/ctrlProp527.xml><?xml version="1.0" encoding="utf-8"?>
<formControlPr xmlns="http://schemas.microsoft.com/office/spreadsheetml/2009/9/main" objectType="Drop" dropStyle="combo" dx="16" fmlaLink="$J$59" fmlaRange="$J$39:$J$45" noThreeD="1" sel="1" val="0"/>
</file>

<file path=xl/ctrlProps/ctrlProp528.xml><?xml version="1.0" encoding="utf-8"?>
<formControlPr xmlns="http://schemas.microsoft.com/office/spreadsheetml/2009/9/main" objectType="Drop" dropStyle="combo" dx="16" fmlaLink="$J$63" fmlaRange="$J$39:$J$45" noThreeD="1" sel="1" val="0"/>
</file>

<file path=xl/ctrlProps/ctrlProp529.xml><?xml version="1.0" encoding="utf-8"?>
<formControlPr xmlns="http://schemas.microsoft.com/office/spreadsheetml/2009/9/main" objectType="Drop" dropStyle="combo" dx="16" fmlaLink="$J$67" fmlaRange="$J$39:$J$45" noThreeD="1" sel="1" val="0"/>
</file>

<file path=xl/ctrlProps/ctrlProp530.xml><?xml version="1.0" encoding="utf-8"?>
<formControlPr xmlns="http://schemas.microsoft.com/office/spreadsheetml/2009/9/main" objectType="Drop" dropStyle="combo" dx="16" fmlaLink="$J$71" fmlaRange="$J$39:$J$45" noThreeD="1" sel="1" val="0"/>
</file>

<file path=xl/ctrlProps/ctrlProp531.xml><?xml version="1.0" encoding="utf-8"?>
<formControlPr xmlns="http://schemas.microsoft.com/office/spreadsheetml/2009/9/main" objectType="Drop" dropStyle="combo" dx="16" fmlaLink="$J$75" fmlaRange="$J$39:$J$45" noThreeD="1" sel="1" val="0"/>
</file>

<file path=xl/ctrlProps/ctrlProp532.xml><?xml version="1.0" encoding="utf-8"?>
<formControlPr xmlns="http://schemas.microsoft.com/office/spreadsheetml/2009/9/main" objectType="Drop" dropStyle="combo" dx="16" fmlaLink="$J$79" fmlaRange="$J$39:$J$45" noThreeD="1" sel="1" val="0"/>
</file>

<file path=xl/ctrlProps/ctrlProp533.xml><?xml version="1.0" encoding="utf-8"?>
<formControlPr xmlns="http://schemas.microsoft.com/office/spreadsheetml/2009/9/main" objectType="Drop" dropStyle="combo" dx="16" fmlaLink="$J$83" fmlaRange="$J$39:$J$45" noThreeD="1" sel="1" val="0"/>
</file>

<file path=xl/ctrlProps/ctrlProp534.xml><?xml version="1.0" encoding="utf-8"?>
<formControlPr xmlns="http://schemas.microsoft.com/office/spreadsheetml/2009/9/main" objectType="Drop" dropStyle="combo" dx="16" fmlaLink="$J$87" fmlaRange="$J$39:$J$45" noThreeD="1" sel="1" val="0"/>
</file>

<file path=xl/ctrlProps/ctrlProp535.xml><?xml version="1.0" encoding="utf-8"?>
<formControlPr xmlns="http://schemas.microsoft.com/office/spreadsheetml/2009/9/main" objectType="Drop" dropStyle="combo" dx="16" fmlaLink="$J$91" fmlaRange="$J$39:$J$45" noThreeD="1" sel="1" val="0"/>
</file>

<file path=xl/ctrlProps/ctrlProp536.xml><?xml version="1.0" encoding="utf-8"?>
<formControlPr xmlns="http://schemas.microsoft.com/office/spreadsheetml/2009/9/main" objectType="Drop" dropStyle="combo" dx="16" fmlaLink="$J$95" fmlaRange="$J$39:$J$45" noThreeD="1" sel="1" val="0"/>
</file>

<file path=xl/ctrlProps/ctrlProp537.xml><?xml version="1.0" encoding="utf-8"?>
<formControlPr xmlns="http://schemas.microsoft.com/office/spreadsheetml/2009/9/main" objectType="Drop" dropStyle="combo" dx="16" fmlaLink="$J$99" fmlaRange="$J$39:$J$45" noThreeD="1" sel="1" val="0"/>
</file>

<file path=xl/ctrlProps/ctrlProp538.xml><?xml version="1.0" encoding="utf-8"?>
<formControlPr xmlns="http://schemas.microsoft.com/office/spreadsheetml/2009/9/main" objectType="Drop" dropStyle="combo" dx="16" fmlaLink="$J$103" fmlaRange="$J$39:$J$45" noThreeD="1" sel="1" val="0"/>
</file>

<file path=xl/ctrlProps/ctrlProp539.xml><?xml version="1.0" encoding="utf-8"?>
<formControlPr xmlns="http://schemas.microsoft.com/office/spreadsheetml/2009/9/main" objectType="Drop" dropStyle="combo" dx="16" fmlaLink="$J$107" fmlaRange="$J$39:$J$45" noThreeD="1" sel="1" val="0"/>
</file>

<file path=xl/ctrlProps/ctrlProp540.xml><?xml version="1.0" encoding="utf-8"?>
<formControlPr xmlns="http://schemas.microsoft.com/office/spreadsheetml/2009/9/main" objectType="Drop" dropStyle="combo" dx="16" fmlaLink="$E$59" fmlaRange="$C$44:$C$46" noThreeD="1" sel="1" val="0"/>
</file>

<file path=xl/ctrlProps/ctrlProp541.xml><?xml version="1.0" encoding="utf-8"?>
<formControlPr xmlns="http://schemas.microsoft.com/office/spreadsheetml/2009/9/main" objectType="Drop" dropStyle="combo" dx="16" fmlaLink="$E$63" fmlaRange="$C$44:$C$46" noThreeD="1" sel="1" val="0"/>
</file>

<file path=xl/ctrlProps/ctrlProp542.xml><?xml version="1.0" encoding="utf-8"?>
<formControlPr xmlns="http://schemas.microsoft.com/office/spreadsheetml/2009/9/main" objectType="Drop" dropStyle="combo" dx="16" fmlaLink="$E$67" fmlaRange="$C$44:$C$46" noThreeD="1" sel="1" val="0"/>
</file>

<file path=xl/ctrlProps/ctrlProp543.xml><?xml version="1.0" encoding="utf-8"?>
<formControlPr xmlns="http://schemas.microsoft.com/office/spreadsheetml/2009/9/main" objectType="Drop" dropStyle="combo" dx="16" fmlaLink="$E$71" fmlaRange="$C$44:$C$46" noThreeD="1" sel="1" val="0"/>
</file>

<file path=xl/ctrlProps/ctrlProp544.xml><?xml version="1.0" encoding="utf-8"?>
<formControlPr xmlns="http://schemas.microsoft.com/office/spreadsheetml/2009/9/main" objectType="Drop" dropStyle="combo" dx="16" fmlaLink="$E$75" fmlaRange="$C$44:$C$46" noThreeD="1" sel="1" val="0"/>
</file>

<file path=xl/ctrlProps/ctrlProp545.xml><?xml version="1.0" encoding="utf-8"?>
<formControlPr xmlns="http://schemas.microsoft.com/office/spreadsheetml/2009/9/main" objectType="Drop" dropStyle="combo" dx="16" fmlaLink="$E$79" fmlaRange="$C$44:$C$46" noThreeD="1" sel="1" val="0"/>
</file>

<file path=xl/ctrlProps/ctrlProp546.xml><?xml version="1.0" encoding="utf-8"?>
<formControlPr xmlns="http://schemas.microsoft.com/office/spreadsheetml/2009/9/main" objectType="Drop" dropStyle="combo" dx="16" fmlaLink="$E$83" fmlaRange="$C$44:$C$46" noThreeD="1" sel="1" val="0"/>
</file>

<file path=xl/ctrlProps/ctrlProp547.xml><?xml version="1.0" encoding="utf-8"?>
<formControlPr xmlns="http://schemas.microsoft.com/office/spreadsheetml/2009/9/main" objectType="Drop" dropStyle="combo" dx="16" fmlaLink="$E$87" fmlaRange="$C$44:$C$46" noThreeD="1" sel="1" val="0"/>
</file>

<file path=xl/ctrlProps/ctrlProp548.xml><?xml version="1.0" encoding="utf-8"?>
<formControlPr xmlns="http://schemas.microsoft.com/office/spreadsheetml/2009/9/main" objectType="Drop" dropStyle="combo" dx="16" fmlaLink="$E$91" fmlaRange="$C$44:$C$46" noThreeD="1" sel="1" val="0"/>
</file>

<file path=xl/ctrlProps/ctrlProp549.xml><?xml version="1.0" encoding="utf-8"?>
<formControlPr xmlns="http://schemas.microsoft.com/office/spreadsheetml/2009/9/main" objectType="Drop" dropStyle="combo" dx="16" fmlaLink="$E$95" fmlaRange="$C$44:$C$46" noThreeD="1" sel="1" val="0"/>
</file>

<file path=xl/ctrlProps/ctrlProp550.xml><?xml version="1.0" encoding="utf-8"?>
<formControlPr xmlns="http://schemas.microsoft.com/office/spreadsheetml/2009/9/main" objectType="Drop" dropStyle="combo" dx="16" fmlaLink="$E$99" fmlaRange="$C$44:$C$46" noThreeD="1" sel="1" val="0"/>
</file>

<file path=xl/ctrlProps/ctrlProp551.xml><?xml version="1.0" encoding="utf-8"?>
<formControlPr xmlns="http://schemas.microsoft.com/office/spreadsheetml/2009/9/main" objectType="Drop" dropStyle="combo" dx="16" fmlaLink="$E$103" fmlaRange="$C$44:$C$46" noThreeD="1" sel="1" val="0"/>
</file>

<file path=xl/ctrlProps/ctrlProp552.xml><?xml version="1.0" encoding="utf-8"?>
<formControlPr xmlns="http://schemas.microsoft.com/office/spreadsheetml/2009/9/main" objectType="Drop" dropStyle="combo" dx="16" fmlaLink="$E$107" fmlaRange="$C$44:$C$46" noThreeD="1" sel="1" val="0"/>
</file>

<file path=xl/ctrlProps/ctrlProp553.xml><?xml version="1.0" encoding="utf-8"?>
<formControlPr xmlns="http://schemas.microsoft.com/office/spreadsheetml/2009/9/main" objectType="Drop" dropStyle="combo" dx="16" fmlaLink="$J$51" fmlaRange="$J$39:$J$45" noThreeD="1" sel="1" val="0"/>
</file>

<file path=xl/ctrlProps/ctrlProp554.xml><?xml version="1.0" encoding="utf-8"?>
<formControlPr xmlns="http://schemas.microsoft.com/office/spreadsheetml/2009/9/main" objectType="Drop" dropStyle="combo" dx="16" fmlaLink="$J$55" fmlaRange="$J$39:$J$45" noThreeD="1" sel="1" val="0"/>
</file>

<file path=xl/ctrlProps/ctrlProp555.xml><?xml version="1.0" encoding="utf-8"?>
<formControlPr xmlns="http://schemas.microsoft.com/office/spreadsheetml/2009/9/main" objectType="Drop" dropStyle="combo" dx="16" fmlaLink="$J$59" fmlaRange="$J$39:$J$45" noThreeD="1" sel="1" val="0"/>
</file>

<file path=xl/ctrlProps/ctrlProp556.xml><?xml version="1.0" encoding="utf-8"?>
<formControlPr xmlns="http://schemas.microsoft.com/office/spreadsheetml/2009/9/main" objectType="Drop" dropStyle="combo" dx="16" fmlaLink="$J$63" fmlaRange="$J$39:$J$45" noThreeD="1" sel="1" val="0"/>
</file>

<file path=xl/ctrlProps/ctrlProp557.xml><?xml version="1.0" encoding="utf-8"?>
<formControlPr xmlns="http://schemas.microsoft.com/office/spreadsheetml/2009/9/main" objectType="Drop" dropStyle="combo" dx="16" fmlaLink="$J$67" fmlaRange="$J$39:$J$45" noThreeD="1" sel="1" val="0"/>
</file>

<file path=xl/ctrlProps/ctrlProp558.xml><?xml version="1.0" encoding="utf-8"?>
<formControlPr xmlns="http://schemas.microsoft.com/office/spreadsheetml/2009/9/main" objectType="Drop" dropStyle="combo" dx="16" fmlaLink="$J$71" fmlaRange="$J$39:$J$45" noThreeD="1" sel="1" val="0"/>
</file>

<file path=xl/ctrlProps/ctrlProp559.xml><?xml version="1.0" encoding="utf-8"?>
<formControlPr xmlns="http://schemas.microsoft.com/office/spreadsheetml/2009/9/main" objectType="Drop" dropStyle="combo" dx="16" fmlaLink="$J$75" fmlaRange="$J$39:$J$45" noThreeD="1" sel="1" val="0"/>
</file>

<file path=xl/ctrlProps/ctrlProp560.xml><?xml version="1.0" encoding="utf-8"?>
<formControlPr xmlns="http://schemas.microsoft.com/office/spreadsheetml/2009/9/main" objectType="Drop" dropStyle="combo" dx="16" fmlaLink="$J$79" fmlaRange="$J$39:$J$45" noThreeD="1" sel="1" val="0"/>
</file>

<file path=xl/ctrlProps/ctrlProp561.xml><?xml version="1.0" encoding="utf-8"?>
<formControlPr xmlns="http://schemas.microsoft.com/office/spreadsheetml/2009/9/main" objectType="Drop" dropStyle="combo" dx="16" fmlaLink="$J$83" fmlaRange="$J$39:$J$45" noThreeD="1" sel="1" val="0"/>
</file>

<file path=xl/ctrlProps/ctrlProp562.xml><?xml version="1.0" encoding="utf-8"?>
<formControlPr xmlns="http://schemas.microsoft.com/office/spreadsheetml/2009/9/main" objectType="Drop" dropStyle="combo" dx="16" fmlaLink="$J$87" fmlaRange="$J$39:$J$45" noThreeD="1" sel="1" val="0"/>
</file>

<file path=xl/ctrlProps/ctrlProp563.xml><?xml version="1.0" encoding="utf-8"?>
<formControlPr xmlns="http://schemas.microsoft.com/office/spreadsheetml/2009/9/main" objectType="Drop" dropStyle="combo" dx="16" fmlaLink="$J$91" fmlaRange="$J$39:$J$45" noThreeD="1" sel="1" val="0"/>
</file>

<file path=xl/ctrlProps/ctrlProp564.xml><?xml version="1.0" encoding="utf-8"?>
<formControlPr xmlns="http://schemas.microsoft.com/office/spreadsheetml/2009/9/main" objectType="Drop" dropStyle="combo" dx="16" fmlaLink="$J$95" fmlaRange="$J$39:$J$45" noThreeD="1" sel="1" val="0"/>
</file>

<file path=xl/ctrlProps/ctrlProp565.xml><?xml version="1.0" encoding="utf-8"?>
<formControlPr xmlns="http://schemas.microsoft.com/office/spreadsheetml/2009/9/main" objectType="Drop" dropStyle="combo" dx="16" fmlaLink="$J$99" fmlaRange="$J$39:$J$45" noThreeD="1" sel="1" val="0"/>
</file>

<file path=xl/ctrlProps/ctrlProp566.xml><?xml version="1.0" encoding="utf-8"?>
<formControlPr xmlns="http://schemas.microsoft.com/office/spreadsheetml/2009/9/main" objectType="Drop" dropStyle="combo" dx="16" fmlaLink="$J$103" fmlaRange="$J$39:$J$45" noThreeD="1" sel="1" val="0"/>
</file>

<file path=xl/ctrlProps/ctrlProp567.xml><?xml version="1.0" encoding="utf-8"?>
<formControlPr xmlns="http://schemas.microsoft.com/office/spreadsheetml/2009/9/main" objectType="Drop" dropStyle="combo" dx="16" fmlaLink="$J$107" fmlaRange="$J$39:$J$45" noThreeD="1" sel="1" val="0"/>
</file>

<file path=xl/ctrlProps/ctrlProp568.xml><?xml version="1.0" encoding="utf-8"?>
<formControlPr xmlns="http://schemas.microsoft.com/office/spreadsheetml/2009/9/main" objectType="Drop" dropStyle="combo" dx="16" fmlaLink="$J$55" fmlaRange="$J$39:$J$45" noThreeD="1" sel="1" val="0"/>
</file>

<file path=xl/ctrlProps/ctrlProp569.xml><?xml version="1.0" encoding="utf-8"?>
<formControlPr xmlns="http://schemas.microsoft.com/office/spreadsheetml/2009/9/main" objectType="Drop" dropStyle="combo" dx="16" fmlaLink="$J$59" fmlaRange="$J$39:$J$45" noThreeD="1" sel="1" val="0"/>
</file>

<file path=xl/ctrlProps/ctrlProp570.xml><?xml version="1.0" encoding="utf-8"?>
<formControlPr xmlns="http://schemas.microsoft.com/office/spreadsheetml/2009/9/main" objectType="Drop" dropStyle="combo" dx="16" fmlaLink="$J$63" fmlaRange="$J$39:$J$45" noThreeD="1" sel="1" val="0"/>
</file>

<file path=xl/ctrlProps/ctrlProp571.xml><?xml version="1.0" encoding="utf-8"?>
<formControlPr xmlns="http://schemas.microsoft.com/office/spreadsheetml/2009/9/main" objectType="Drop" dropStyle="combo" dx="16" fmlaLink="$J$67" fmlaRange="$J$39:$J$45" noThreeD="1" sel="1" val="0"/>
</file>

<file path=xl/ctrlProps/ctrlProp572.xml><?xml version="1.0" encoding="utf-8"?>
<formControlPr xmlns="http://schemas.microsoft.com/office/spreadsheetml/2009/9/main" objectType="Drop" dropStyle="combo" dx="16" fmlaLink="$J$71" fmlaRange="$J$39:$J$45" noThreeD="1" sel="1" val="0"/>
</file>

<file path=xl/ctrlProps/ctrlProp573.xml><?xml version="1.0" encoding="utf-8"?>
<formControlPr xmlns="http://schemas.microsoft.com/office/spreadsheetml/2009/9/main" objectType="Drop" dropStyle="combo" dx="16" fmlaLink="$J$75" fmlaRange="$J$39:$J$45" noThreeD="1" sel="1" val="0"/>
</file>

<file path=xl/ctrlProps/ctrlProp574.xml><?xml version="1.0" encoding="utf-8"?>
<formControlPr xmlns="http://schemas.microsoft.com/office/spreadsheetml/2009/9/main" objectType="Drop" dropStyle="combo" dx="16" fmlaLink="$J$79" fmlaRange="$J$39:$J$45" noThreeD="1" sel="1" val="0"/>
</file>

<file path=xl/ctrlProps/ctrlProp575.xml><?xml version="1.0" encoding="utf-8"?>
<formControlPr xmlns="http://schemas.microsoft.com/office/spreadsheetml/2009/9/main" objectType="Drop" dropStyle="combo" dx="16" fmlaLink="$J$83" fmlaRange="$J$39:$J$45" noThreeD="1" sel="1" val="0"/>
</file>

<file path=xl/ctrlProps/ctrlProp576.xml><?xml version="1.0" encoding="utf-8"?>
<formControlPr xmlns="http://schemas.microsoft.com/office/spreadsheetml/2009/9/main" objectType="Drop" dropStyle="combo" dx="16" fmlaLink="$J$87" fmlaRange="$J$39:$J$45" noThreeD="1" sel="1" val="0"/>
</file>

<file path=xl/ctrlProps/ctrlProp577.xml><?xml version="1.0" encoding="utf-8"?>
<formControlPr xmlns="http://schemas.microsoft.com/office/spreadsheetml/2009/9/main" objectType="Drop" dropStyle="combo" dx="16" fmlaLink="$J$91" fmlaRange="$J$39:$J$45" noThreeD="1" sel="1" val="0"/>
</file>

<file path=xl/ctrlProps/ctrlProp578.xml><?xml version="1.0" encoding="utf-8"?>
<formControlPr xmlns="http://schemas.microsoft.com/office/spreadsheetml/2009/9/main" objectType="Drop" dropStyle="combo" dx="16" fmlaLink="$J$95" fmlaRange="$J$39:$J$45" noThreeD="1" sel="1" val="0"/>
</file>

<file path=xl/ctrlProps/ctrlProp579.xml><?xml version="1.0" encoding="utf-8"?>
<formControlPr xmlns="http://schemas.microsoft.com/office/spreadsheetml/2009/9/main" objectType="Drop" dropStyle="combo" dx="16" fmlaLink="$J$99" fmlaRange="$J$39:$J$45" noThreeD="1" sel="1" val="0"/>
</file>

<file path=xl/ctrlProps/ctrlProp580.xml><?xml version="1.0" encoding="utf-8"?>
<formControlPr xmlns="http://schemas.microsoft.com/office/spreadsheetml/2009/9/main" objectType="Drop" dropStyle="combo" dx="16" fmlaLink="$J$103" fmlaRange="$J$39:$J$45" noThreeD="1" sel="1" val="0"/>
</file>

<file path=xl/ctrlProps/ctrlProp581.xml><?xml version="1.0" encoding="utf-8"?>
<formControlPr xmlns="http://schemas.microsoft.com/office/spreadsheetml/2009/9/main" objectType="Drop" dropStyle="combo" dx="16" fmlaLink="$J$107" fmlaRange="$J$39:$J$45" noThreeD="1" sel="1" val="0"/>
</file>

<file path=xl/ctrlProps/ctrlProp582.xml><?xml version="1.0" encoding="utf-8"?>
<formControlPr xmlns="http://schemas.microsoft.com/office/spreadsheetml/2009/9/main" objectType="Drop" dropStyle="combo" dx="16" fmlaLink="L51" fmlaRange="$L$44:$L$45" noThreeD="1" sel="1" val="0"/>
</file>

<file path=xl/ctrlProps/ctrlProp583.xml><?xml version="1.0" encoding="utf-8"?>
<formControlPr xmlns="http://schemas.microsoft.com/office/spreadsheetml/2009/9/main" objectType="Drop" dropStyle="combo" dx="16" fmlaLink="$L$55" fmlaRange="$L$44:$L$45" noThreeD="1" sel="1" val="0"/>
</file>

<file path=xl/ctrlProps/ctrlProp584.xml><?xml version="1.0" encoding="utf-8"?>
<formControlPr xmlns="http://schemas.microsoft.com/office/spreadsheetml/2009/9/main" objectType="Drop" dropStyle="combo" dx="16" fmlaLink="L59" fmlaRange="$L$44:$L$45" noThreeD="1" sel="1" val="0"/>
</file>

<file path=xl/ctrlProps/ctrlProp585.xml><?xml version="1.0" encoding="utf-8"?>
<formControlPr xmlns="http://schemas.microsoft.com/office/spreadsheetml/2009/9/main" objectType="Drop" dropStyle="combo" dx="16" fmlaLink="L63" fmlaRange="$L$44:$L$45" noThreeD="1" sel="1" val="0"/>
</file>

<file path=xl/ctrlProps/ctrlProp586.xml><?xml version="1.0" encoding="utf-8"?>
<formControlPr xmlns="http://schemas.microsoft.com/office/spreadsheetml/2009/9/main" objectType="Drop" dropStyle="combo" dx="16" fmlaLink="L67" fmlaRange="$L$44:$L$45" noThreeD="1" sel="1" val="0"/>
</file>

<file path=xl/ctrlProps/ctrlProp587.xml><?xml version="1.0" encoding="utf-8"?>
<formControlPr xmlns="http://schemas.microsoft.com/office/spreadsheetml/2009/9/main" objectType="Drop" dropStyle="combo" dx="16" fmlaLink="L71" fmlaRange="$L$44:$L$45" noThreeD="1" sel="1" val="0"/>
</file>

<file path=xl/ctrlProps/ctrlProp588.xml><?xml version="1.0" encoding="utf-8"?>
<formControlPr xmlns="http://schemas.microsoft.com/office/spreadsheetml/2009/9/main" objectType="Drop" dropStyle="combo" dx="16" fmlaLink="L75" fmlaRange="$L$44:$L$45" noThreeD="1" sel="1" val="0"/>
</file>

<file path=xl/ctrlProps/ctrlProp589.xml><?xml version="1.0" encoding="utf-8"?>
<formControlPr xmlns="http://schemas.microsoft.com/office/spreadsheetml/2009/9/main" objectType="Drop" dropStyle="combo" dx="16" fmlaLink="L79" fmlaRange="$L$44:$L$45" noThreeD="1" sel="1" val="0"/>
</file>

<file path=xl/ctrlProps/ctrlProp590.xml><?xml version="1.0" encoding="utf-8"?>
<formControlPr xmlns="http://schemas.microsoft.com/office/spreadsheetml/2009/9/main" objectType="Drop" dropStyle="combo" dx="16" fmlaLink="L83" fmlaRange="$L$44:$L$45" noThreeD="1" sel="1" val="0"/>
</file>

<file path=xl/ctrlProps/ctrlProp591.xml><?xml version="1.0" encoding="utf-8"?>
<formControlPr xmlns="http://schemas.microsoft.com/office/spreadsheetml/2009/9/main" objectType="Drop" dropStyle="combo" dx="16" fmlaLink="L87" fmlaRange="$L$44:$L$45" noThreeD="1" sel="1" val="0"/>
</file>

<file path=xl/ctrlProps/ctrlProp592.xml><?xml version="1.0" encoding="utf-8"?>
<formControlPr xmlns="http://schemas.microsoft.com/office/spreadsheetml/2009/9/main" objectType="Drop" dropStyle="combo" dx="16" fmlaLink="L91" fmlaRange="$L$44:$L$45" noThreeD="1" sel="1" val="0"/>
</file>

<file path=xl/ctrlProps/ctrlProp593.xml><?xml version="1.0" encoding="utf-8"?>
<formControlPr xmlns="http://schemas.microsoft.com/office/spreadsheetml/2009/9/main" objectType="Drop" dropStyle="combo" dx="16" fmlaLink="L95" fmlaRange="$L$44:$L$45" noThreeD="1" sel="1" val="0"/>
</file>

<file path=xl/ctrlProps/ctrlProp594.xml><?xml version="1.0" encoding="utf-8"?>
<formControlPr xmlns="http://schemas.microsoft.com/office/spreadsheetml/2009/9/main" objectType="Drop" dropStyle="combo" dx="16" fmlaLink="L99" fmlaRange="$L$44:$L$45" noThreeD="1" sel="1" val="0"/>
</file>

<file path=xl/ctrlProps/ctrlProp595.xml><?xml version="1.0" encoding="utf-8"?>
<formControlPr xmlns="http://schemas.microsoft.com/office/spreadsheetml/2009/9/main" objectType="Drop" dropStyle="combo" dx="16" fmlaLink="L103" fmlaRange="$L$44:$L$45" noThreeD="1" sel="1" val="0"/>
</file>

<file path=xl/ctrlProps/ctrlProp596.xml><?xml version="1.0" encoding="utf-8"?>
<formControlPr xmlns="http://schemas.microsoft.com/office/spreadsheetml/2009/9/main" objectType="Drop" dropStyle="combo" dx="16" fmlaLink="L107" fmlaRange="$L$44:$L$45" noThreeD="1" sel="1" val="0"/>
</file>

<file path=xl/ctrlProps/ctrlProp597.xml><?xml version="1.0" encoding="utf-8"?>
<formControlPr xmlns="http://schemas.microsoft.com/office/spreadsheetml/2009/9/main" objectType="Drop" dropStyle="combo" dx="16" fmlaLink="$J$55" fmlaRange="$J$39:$J$45" noThreeD="1" sel="1" val="0"/>
</file>

<file path=xl/ctrlProps/ctrlProp598.xml><?xml version="1.0" encoding="utf-8"?>
<formControlPr xmlns="http://schemas.microsoft.com/office/spreadsheetml/2009/9/main" objectType="Drop" dropStyle="combo" dx="16" fmlaLink="$J$59" fmlaRange="$J$39:$J$45" noThreeD="1" sel="1" val="0"/>
</file>

<file path=xl/ctrlProps/ctrlProp599.xml><?xml version="1.0" encoding="utf-8"?>
<formControlPr xmlns="http://schemas.microsoft.com/office/spreadsheetml/2009/9/main" objectType="Drop" dropStyle="combo" dx="16" fmlaLink="$J$63" fmlaRange="$J$39:$J$45" noThreeD="1" sel="1" val="0"/>
</file>

<file path=xl/ctrlProps/ctrlProp600.xml><?xml version="1.0" encoding="utf-8"?>
<formControlPr xmlns="http://schemas.microsoft.com/office/spreadsheetml/2009/9/main" objectType="Drop" dropStyle="combo" dx="16" fmlaLink="$J$67" fmlaRange="$J$39:$J$45" noThreeD="1" sel="1" val="0"/>
</file>

<file path=xl/ctrlProps/ctrlProp601.xml><?xml version="1.0" encoding="utf-8"?>
<formControlPr xmlns="http://schemas.microsoft.com/office/spreadsheetml/2009/9/main" objectType="Drop" dropStyle="combo" dx="16" fmlaLink="$J$71" fmlaRange="$J$39:$J$45" noThreeD="1" sel="1" val="0"/>
</file>

<file path=xl/ctrlProps/ctrlProp602.xml><?xml version="1.0" encoding="utf-8"?>
<formControlPr xmlns="http://schemas.microsoft.com/office/spreadsheetml/2009/9/main" objectType="Drop" dropStyle="combo" dx="16" fmlaLink="$J$75" fmlaRange="$J$39:$J$45" noThreeD="1" sel="1" val="0"/>
</file>

<file path=xl/ctrlProps/ctrlProp603.xml><?xml version="1.0" encoding="utf-8"?>
<formControlPr xmlns="http://schemas.microsoft.com/office/spreadsheetml/2009/9/main" objectType="Drop" dropStyle="combo" dx="16" fmlaLink="$J$79" fmlaRange="$J$39:$J$45" noThreeD="1" sel="1" val="0"/>
</file>

<file path=xl/ctrlProps/ctrlProp604.xml><?xml version="1.0" encoding="utf-8"?>
<formControlPr xmlns="http://schemas.microsoft.com/office/spreadsheetml/2009/9/main" objectType="Drop" dropStyle="combo" dx="16" fmlaLink="$J$83" fmlaRange="$J$39:$J$45" noThreeD="1" sel="1" val="0"/>
</file>

<file path=xl/ctrlProps/ctrlProp605.xml><?xml version="1.0" encoding="utf-8"?>
<formControlPr xmlns="http://schemas.microsoft.com/office/spreadsheetml/2009/9/main" objectType="Drop" dropStyle="combo" dx="16" fmlaLink="$J$87" fmlaRange="$J$39:$J$45" noThreeD="1" sel="1" val="0"/>
</file>

<file path=xl/ctrlProps/ctrlProp606.xml><?xml version="1.0" encoding="utf-8"?>
<formControlPr xmlns="http://schemas.microsoft.com/office/spreadsheetml/2009/9/main" objectType="Drop" dropStyle="combo" dx="16" fmlaLink="$J$91" fmlaRange="$J$39:$J$45" noThreeD="1" sel="1" val="0"/>
</file>

<file path=xl/ctrlProps/ctrlProp607.xml><?xml version="1.0" encoding="utf-8"?>
<formControlPr xmlns="http://schemas.microsoft.com/office/spreadsheetml/2009/9/main" objectType="Drop" dropStyle="combo" dx="16" fmlaLink="$J$95" fmlaRange="$J$39:$J$45" noThreeD="1" sel="1" val="0"/>
</file>

<file path=xl/ctrlProps/ctrlProp608.xml><?xml version="1.0" encoding="utf-8"?>
<formControlPr xmlns="http://schemas.microsoft.com/office/spreadsheetml/2009/9/main" objectType="Drop" dropStyle="combo" dx="16" fmlaLink="$J$99" fmlaRange="$J$39:$J$45" noThreeD="1" sel="1" val="0"/>
</file>

<file path=xl/ctrlProps/ctrlProp609.xml><?xml version="1.0" encoding="utf-8"?>
<formControlPr xmlns="http://schemas.microsoft.com/office/spreadsheetml/2009/9/main" objectType="Drop" dropStyle="combo" dx="16" fmlaLink="$J$103" fmlaRange="$J$39:$J$45" noThreeD="1" sel="1" val="0"/>
</file>

<file path=xl/ctrlProps/ctrlProp610.xml><?xml version="1.0" encoding="utf-8"?>
<formControlPr xmlns="http://schemas.microsoft.com/office/spreadsheetml/2009/9/main" objectType="Drop" dropStyle="combo" dx="16" fmlaLink="$J$107" fmlaRange="$J$39:$J$45" noThreeD="1" sel="1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7</xdr:row>
          <xdr:rowOff>9525</xdr:rowOff>
        </xdr:from>
        <xdr:to>
          <xdr:col>5</xdr:col>
          <xdr:colOff>9525</xdr:colOff>
          <xdr:row>7</xdr:row>
          <xdr:rowOff>180975</xdr:rowOff>
        </xdr:to>
        <xdr:sp macro="" textlink="">
          <xdr:nvSpPr>
            <xdr:cNvPr id="1039" name="Drop Dow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8</xdr:row>
          <xdr:rowOff>9525</xdr:rowOff>
        </xdr:from>
        <xdr:to>
          <xdr:col>5</xdr:col>
          <xdr:colOff>9525</xdr:colOff>
          <xdr:row>8</xdr:row>
          <xdr:rowOff>180975</xdr:rowOff>
        </xdr:to>
        <xdr:sp macro="" textlink="">
          <xdr:nvSpPr>
            <xdr:cNvPr id="1040" name="Drop Down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9</xdr:row>
          <xdr:rowOff>9525</xdr:rowOff>
        </xdr:from>
        <xdr:to>
          <xdr:col>5</xdr:col>
          <xdr:colOff>9525</xdr:colOff>
          <xdr:row>9</xdr:row>
          <xdr:rowOff>180975</xdr:rowOff>
        </xdr:to>
        <xdr:sp macro="" textlink="">
          <xdr:nvSpPr>
            <xdr:cNvPr id="1041" name="Drop Down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10</xdr:row>
          <xdr:rowOff>9525</xdr:rowOff>
        </xdr:from>
        <xdr:to>
          <xdr:col>5</xdr:col>
          <xdr:colOff>9525</xdr:colOff>
          <xdr:row>10</xdr:row>
          <xdr:rowOff>180975</xdr:rowOff>
        </xdr:to>
        <xdr:sp macro="" textlink="">
          <xdr:nvSpPr>
            <xdr:cNvPr id="1042" name="Drop Down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11</xdr:row>
          <xdr:rowOff>9525</xdr:rowOff>
        </xdr:from>
        <xdr:to>
          <xdr:col>5</xdr:col>
          <xdr:colOff>9525</xdr:colOff>
          <xdr:row>11</xdr:row>
          <xdr:rowOff>180975</xdr:rowOff>
        </xdr:to>
        <xdr:sp macro="" textlink="">
          <xdr:nvSpPr>
            <xdr:cNvPr id="1043" name="Drop Down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12</xdr:row>
          <xdr:rowOff>9525</xdr:rowOff>
        </xdr:from>
        <xdr:to>
          <xdr:col>5</xdr:col>
          <xdr:colOff>9525</xdr:colOff>
          <xdr:row>12</xdr:row>
          <xdr:rowOff>180975</xdr:rowOff>
        </xdr:to>
        <xdr:sp macro="" textlink="">
          <xdr:nvSpPr>
            <xdr:cNvPr id="1044" name="Drop Down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13</xdr:row>
          <xdr:rowOff>9525</xdr:rowOff>
        </xdr:from>
        <xdr:to>
          <xdr:col>5</xdr:col>
          <xdr:colOff>9525</xdr:colOff>
          <xdr:row>13</xdr:row>
          <xdr:rowOff>180975</xdr:rowOff>
        </xdr:to>
        <xdr:sp macro="" textlink="">
          <xdr:nvSpPr>
            <xdr:cNvPr id="1045" name="Drop Down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14</xdr:row>
          <xdr:rowOff>9525</xdr:rowOff>
        </xdr:from>
        <xdr:to>
          <xdr:col>5</xdr:col>
          <xdr:colOff>9525</xdr:colOff>
          <xdr:row>14</xdr:row>
          <xdr:rowOff>180975</xdr:rowOff>
        </xdr:to>
        <xdr:sp macro="" textlink="">
          <xdr:nvSpPr>
            <xdr:cNvPr id="1046" name="Drop Down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15</xdr:row>
          <xdr:rowOff>9525</xdr:rowOff>
        </xdr:from>
        <xdr:to>
          <xdr:col>5</xdr:col>
          <xdr:colOff>9525</xdr:colOff>
          <xdr:row>15</xdr:row>
          <xdr:rowOff>180975</xdr:rowOff>
        </xdr:to>
        <xdr:sp macro="" textlink="">
          <xdr:nvSpPr>
            <xdr:cNvPr id="1047" name="Drop Down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16</xdr:row>
          <xdr:rowOff>9525</xdr:rowOff>
        </xdr:from>
        <xdr:to>
          <xdr:col>5</xdr:col>
          <xdr:colOff>9525</xdr:colOff>
          <xdr:row>16</xdr:row>
          <xdr:rowOff>180975</xdr:rowOff>
        </xdr:to>
        <xdr:sp macro="" textlink="">
          <xdr:nvSpPr>
            <xdr:cNvPr id="1048" name="Drop Down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17</xdr:row>
          <xdr:rowOff>9525</xdr:rowOff>
        </xdr:from>
        <xdr:to>
          <xdr:col>5</xdr:col>
          <xdr:colOff>9525</xdr:colOff>
          <xdr:row>17</xdr:row>
          <xdr:rowOff>180975</xdr:rowOff>
        </xdr:to>
        <xdr:sp macro="" textlink="">
          <xdr:nvSpPr>
            <xdr:cNvPr id="1049" name="Drop Down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18</xdr:row>
          <xdr:rowOff>9525</xdr:rowOff>
        </xdr:from>
        <xdr:to>
          <xdr:col>5</xdr:col>
          <xdr:colOff>9525</xdr:colOff>
          <xdr:row>18</xdr:row>
          <xdr:rowOff>180975</xdr:rowOff>
        </xdr:to>
        <xdr:sp macro="" textlink="">
          <xdr:nvSpPr>
            <xdr:cNvPr id="1050" name="Drop Down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19</xdr:row>
          <xdr:rowOff>9525</xdr:rowOff>
        </xdr:from>
        <xdr:to>
          <xdr:col>5</xdr:col>
          <xdr:colOff>9525</xdr:colOff>
          <xdr:row>19</xdr:row>
          <xdr:rowOff>180975</xdr:rowOff>
        </xdr:to>
        <xdr:sp macro="" textlink="">
          <xdr:nvSpPr>
            <xdr:cNvPr id="1051" name="Drop Down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20</xdr:row>
          <xdr:rowOff>9525</xdr:rowOff>
        </xdr:from>
        <xdr:to>
          <xdr:col>5</xdr:col>
          <xdr:colOff>9525</xdr:colOff>
          <xdr:row>20</xdr:row>
          <xdr:rowOff>180975</xdr:rowOff>
        </xdr:to>
        <xdr:sp macro="" textlink="">
          <xdr:nvSpPr>
            <xdr:cNvPr id="1052" name="Drop Down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21</xdr:row>
          <xdr:rowOff>9525</xdr:rowOff>
        </xdr:from>
        <xdr:to>
          <xdr:col>5</xdr:col>
          <xdr:colOff>9525</xdr:colOff>
          <xdr:row>21</xdr:row>
          <xdr:rowOff>180975</xdr:rowOff>
        </xdr:to>
        <xdr:sp macro="" textlink="">
          <xdr:nvSpPr>
            <xdr:cNvPr id="1053" name="Drop Down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7</xdr:row>
          <xdr:rowOff>9525</xdr:rowOff>
        </xdr:from>
        <xdr:to>
          <xdr:col>10</xdr:col>
          <xdr:colOff>9525</xdr:colOff>
          <xdr:row>7</xdr:row>
          <xdr:rowOff>180975</xdr:rowOff>
        </xdr:to>
        <xdr:sp macro="" textlink="">
          <xdr:nvSpPr>
            <xdr:cNvPr id="1054" name="Drop Down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8</xdr:row>
          <xdr:rowOff>9525</xdr:rowOff>
        </xdr:from>
        <xdr:to>
          <xdr:col>10</xdr:col>
          <xdr:colOff>9525</xdr:colOff>
          <xdr:row>8</xdr:row>
          <xdr:rowOff>180975</xdr:rowOff>
        </xdr:to>
        <xdr:sp macro="" textlink="">
          <xdr:nvSpPr>
            <xdr:cNvPr id="1055" name="Drop Down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9</xdr:row>
          <xdr:rowOff>9525</xdr:rowOff>
        </xdr:from>
        <xdr:to>
          <xdr:col>10</xdr:col>
          <xdr:colOff>9525</xdr:colOff>
          <xdr:row>9</xdr:row>
          <xdr:rowOff>180975</xdr:rowOff>
        </xdr:to>
        <xdr:sp macro="" textlink="">
          <xdr:nvSpPr>
            <xdr:cNvPr id="1056" name="Drop Down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10</xdr:row>
          <xdr:rowOff>9525</xdr:rowOff>
        </xdr:from>
        <xdr:to>
          <xdr:col>10</xdr:col>
          <xdr:colOff>9525</xdr:colOff>
          <xdr:row>10</xdr:row>
          <xdr:rowOff>180975</xdr:rowOff>
        </xdr:to>
        <xdr:sp macro="" textlink="">
          <xdr:nvSpPr>
            <xdr:cNvPr id="1057" name="Drop Down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11</xdr:row>
          <xdr:rowOff>9525</xdr:rowOff>
        </xdr:from>
        <xdr:to>
          <xdr:col>10</xdr:col>
          <xdr:colOff>9525</xdr:colOff>
          <xdr:row>11</xdr:row>
          <xdr:rowOff>180975</xdr:rowOff>
        </xdr:to>
        <xdr:sp macro="" textlink="">
          <xdr:nvSpPr>
            <xdr:cNvPr id="1058" name="Drop Down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12</xdr:row>
          <xdr:rowOff>9525</xdr:rowOff>
        </xdr:from>
        <xdr:to>
          <xdr:col>10</xdr:col>
          <xdr:colOff>9525</xdr:colOff>
          <xdr:row>12</xdr:row>
          <xdr:rowOff>180975</xdr:rowOff>
        </xdr:to>
        <xdr:sp macro="" textlink="">
          <xdr:nvSpPr>
            <xdr:cNvPr id="1059" name="Drop Down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13</xdr:row>
          <xdr:rowOff>9525</xdr:rowOff>
        </xdr:from>
        <xdr:to>
          <xdr:col>10</xdr:col>
          <xdr:colOff>9525</xdr:colOff>
          <xdr:row>13</xdr:row>
          <xdr:rowOff>180975</xdr:rowOff>
        </xdr:to>
        <xdr:sp macro="" textlink="">
          <xdr:nvSpPr>
            <xdr:cNvPr id="1060" name="Drop Down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14</xdr:row>
          <xdr:rowOff>9525</xdr:rowOff>
        </xdr:from>
        <xdr:to>
          <xdr:col>10</xdr:col>
          <xdr:colOff>9525</xdr:colOff>
          <xdr:row>14</xdr:row>
          <xdr:rowOff>180975</xdr:rowOff>
        </xdr:to>
        <xdr:sp macro="" textlink="">
          <xdr:nvSpPr>
            <xdr:cNvPr id="1061" name="Drop Down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15</xdr:row>
          <xdr:rowOff>9525</xdr:rowOff>
        </xdr:from>
        <xdr:to>
          <xdr:col>10</xdr:col>
          <xdr:colOff>9525</xdr:colOff>
          <xdr:row>15</xdr:row>
          <xdr:rowOff>180975</xdr:rowOff>
        </xdr:to>
        <xdr:sp macro="" textlink="">
          <xdr:nvSpPr>
            <xdr:cNvPr id="1062" name="Drop Down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16</xdr:row>
          <xdr:rowOff>9525</xdr:rowOff>
        </xdr:from>
        <xdr:to>
          <xdr:col>10</xdr:col>
          <xdr:colOff>9525</xdr:colOff>
          <xdr:row>16</xdr:row>
          <xdr:rowOff>180975</xdr:rowOff>
        </xdr:to>
        <xdr:sp macro="" textlink="">
          <xdr:nvSpPr>
            <xdr:cNvPr id="1063" name="Drop Down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17</xdr:row>
          <xdr:rowOff>9525</xdr:rowOff>
        </xdr:from>
        <xdr:to>
          <xdr:col>10</xdr:col>
          <xdr:colOff>9525</xdr:colOff>
          <xdr:row>17</xdr:row>
          <xdr:rowOff>180975</xdr:rowOff>
        </xdr:to>
        <xdr:sp macro="" textlink="">
          <xdr:nvSpPr>
            <xdr:cNvPr id="1064" name="Drop Down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18</xdr:row>
          <xdr:rowOff>9525</xdr:rowOff>
        </xdr:from>
        <xdr:to>
          <xdr:col>10</xdr:col>
          <xdr:colOff>9525</xdr:colOff>
          <xdr:row>18</xdr:row>
          <xdr:rowOff>180975</xdr:rowOff>
        </xdr:to>
        <xdr:sp macro="" textlink="">
          <xdr:nvSpPr>
            <xdr:cNvPr id="1065" name="Drop Down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19</xdr:row>
          <xdr:rowOff>9525</xdr:rowOff>
        </xdr:from>
        <xdr:to>
          <xdr:col>10</xdr:col>
          <xdr:colOff>9525</xdr:colOff>
          <xdr:row>19</xdr:row>
          <xdr:rowOff>180975</xdr:rowOff>
        </xdr:to>
        <xdr:sp macro="" textlink="">
          <xdr:nvSpPr>
            <xdr:cNvPr id="1066" name="Drop Down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20</xdr:row>
          <xdr:rowOff>9525</xdr:rowOff>
        </xdr:from>
        <xdr:to>
          <xdr:col>10</xdr:col>
          <xdr:colOff>9525</xdr:colOff>
          <xdr:row>20</xdr:row>
          <xdr:rowOff>180975</xdr:rowOff>
        </xdr:to>
        <xdr:sp macro="" textlink="">
          <xdr:nvSpPr>
            <xdr:cNvPr id="1067" name="Drop Down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21</xdr:row>
          <xdr:rowOff>9525</xdr:rowOff>
        </xdr:from>
        <xdr:to>
          <xdr:col>10</xdr:col>
          <xdr:colOff>9525</xdr:colOff>
          <xdr:row>21</xdr:row>
          <xdr:rowOff>180975</xdr:rowOff>
        </xdr:to>
        <xdr:sp macro="" textlink="">
          <xdr:nvSpPr>
            <xdr:cNvPr id="1068" name="Drop Down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8</xdr:row>
          <xdr:rowOff>9525</xdr:rowOff>
        </xdr:from>
        <xdr:to>
          <xdr:col>10</xdr:col>
          <xdr:colOff>9525</xdr:colOff>
          <xdr:row>8</xdr:row>
          <xdr:rowOff>180975</xdr:rowOff>
        </xdr:to>
        <xdr:sp macro="" textlink="">
          <xdr:nvSpPr>
            <xdr:cNvPr id="1069" name="Drop Down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9</xdr:row>
          <xdr:rowOff>9525</xdr:rowOff>
        </xdr:from>
        <xdr:to>
          <xdr:col>10</xdr:col>
          <xdr:colOff>9525</xdr:colOff>
          <xdr:row>9</xdr:row>
          <xdr:rowOff>180975</xdr:rowOff>
        </xdr:to>
        <xdr:sp macro="" textlink="">
          <xdr:nvSpPr>
            <xdr:cNvPr id="1070" name="Drop Down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10</xdr:row>
          <xdr:rowOff>9525</xdr:rowOff>
        </xdr:from>
        <xdr:to>
          <xdr:col>10</xdr:col>
          <xdr:colOff>9525</xdr:colOff>
          <xdr:row>10</xdr:row>
          <xdr:rowOff>180975</xdr:rowOff>
        </xdr:to>
        <xdr:sp macro="" textlink="">
          <xdr:nvSpPr>
            <xdr:cNvPr id="1071" name="Drop Down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11</xdr:row>
          <xdr:rowOff>9525</xdr:rowOff>
        </xdr:from>
        <xdr:to>
          <xdr:col>10</xdr:col>
          <xdr:colOff>9525</xdr:colOff>
          <xdr:row>11</xdr:row>
          <xdr:rowOff>180975</xdr:rowOff>
        </xdr:to>
        <xdr:sp macro="" textlink="">
          <xdr:nvSpPr>
            <xdr:cNvPr id="1072" name="Drop Down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12</xdr:row>
          <xdr:rowOff>9525</xdr:rowOff>
        </xdr:from>
        <xdr:to>
          <xdr:col>10</xdr:col>
          <xdr:colOff>9525</xdr:colOff>
          <xdr:row>12</xdr:row>
          <xdr:rowOff>180975</xdr:rowOff>
        </xdr:to>
        <xdr:sp macro="" textlink="">
          <xdr:nvSpPr>
            <xdr:cNvPr id="1073" name="Drop Down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13</xdr:row>
          <xdr:rowOff>9525</xdr:rowOff>
        </xdr:from>
        <xdr:to>
          <xdr:col>10</xdr:col>
          <xdr:colOff>9525</xdr:colOff>
          <xdr:row>13</xdr:row>
          <xdr:rowOff>180975</xdr:rowOff>
        </xdr:to>
        <xdr:sp macro="" textlink="">
          <xdr:nvSpPr>
            <xdr:cNvPr id="1074" name="Drop Down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14</xdr:row>
          <xdr:rowOff>9525</xdr:rowOff>
        </xdr:from>
        <xdr:to>
          <xdr:col>10</xdr:col>
          <xdr:colOff>9525</xdr:colOff>
          <xdr:row>14</xdr:row>
          <xdr:rowOff>180975</xdr:rowOff>
        </xdr:to>
        <xdr:sp macro="" textlink="">
          <xdr:nvSpPr>
            <xdr:cNvPr id="1075" name="Drop Down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15</xdr:row>
          <xdr:rowOff>9525</xdr:rowOff>
        </xdr:from>
        <xdr:to>
          <xdr:col>10</xdr:col>
          <xdr:colOff>9525</xdr:colOff>
          <xdr:row>15</xdr:row>
          <xdr:rowOff>180975</xdr:rowOff>
        </xdr:to>
        <xdr:sp macro="" textlink="">
          <xdr:nvSpPr>
            <xdr:cNvPr id="1076" name="Drop Down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16</xdr:row>
          <xdr:rowOff>9525</xdr:rowOff>
        </xdr:from>
        <xdr:to>
          <xdr:col>10</xdr:col>
          <xdr:colOff>9525</xdr:colOff>
          <xdr:row>16</xdr:row>
          <xdr:rowOff>180975</xdr:rowOff>
        </xdr:to>
        <xdr:sp macro="" textlink="">
          <xdr:nvSpPr>
            <xdr:cNvPr id="1077" name="Drop Down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17</xdr:row>
          <xdr:rowOff>9525</xdr:rowOff>
        </xdr:from>
        <xdr:to>
          <xdr:col>10</xdr:col>
          <xdr:colOff>9525</xdr:colOff>
          <xdr:row>17</xdr:row>
          <xdr:rowOff>180975</xdr:rowOff>
        </xdr:to>
        <xdr:sp macro="" textlink="">
          <xdr:nvSpPr>
            <xdr:cNvPr id="1078" name="Drop Down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18</xdr:row>
          <xdr:rowOff>9525</xdr:rowOff>
        </xdr:from>
        <xdr:to>
          <xdr:col>10</xdr:col>
          <xdr:colOff>9525</xdr:colOff>
          <xdr:row>18</xdr:row>
          <xdr:rowOff>180975</xdr:rowOff>
        </xdr:to>
        <xdr:sp macro="" textlink="">
          <xdr:nvSpPr>
            <xdr:cNvPr id="1079" name="Drop Down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19</xdr:row>
          <xdr:rowOff>9525</xdr:rowOff>
        </xdr:from>
        <xdr:to>
          <xdr:col>10</xdr:col>
          <xdr:colOff>9525</xdr:colOff>
          <xdr:row>19</xdr:row>
          <xdr:rowOff>180975</xdr:rowOff>
        </xdr:to>
        <xdr:sp macro="" textlink="">
          <xdr:nvSpPr>
            <xdr:cNvPr id="1080" name="Drop Down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20</xdr:row>
          <xdr:rowOff>9525</xdr:rowOff>
        </xdr:from>
        <xdr:to>
          <xdr:col>10</xdr:col>
          <xdr:colOff>9525</xdr:colOff>
          <xdr:row>20</xdr:row>
          <xdr:rowOff>180975</xdr:rowOff>
        </xdr:to>
        <xdr:sp macro="" textlink="">
          <xdr:nvSpPr>
            <xdr:cNvPr id="1081" name="Drop Down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21</xdr:row>
          <xdr:rowOff>9525</xdr:rowOff>
        </xdr:from>
        <xdr:to>
          <xdr:col>10</xdr:col>
          <xdr:colOff>9525</xdr:colOff>
          <xdr:row>21</xdr:row>
          <xdr:rowOff>180975</xdr:rowOff>
        </xdr:to>
        <xdr:sp macro="" textlink="">
          <xdr:nvSpPr>
            <xdr:cNvPr id="1082" name="Drop Down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13</xdr:col>
      <xdr:colOff>304800</xdr:colOff>
      <xdr:row>4</xdr:row>
      <xdr:rowOff>0</xdr:rowOff>
    </xdr:from>
    <xdr:to>
      <xdr:col>13</xdr:col>
      <xdr:colOff>628651</xdr:colOff>
      <xdr:row>4</xdr:row>
      <xdr:rowOff>180975</xdr:rowOff>
    </xdr:to>
    <xdr:cxnSp macro="">
      <xdr:nvCxnSpPr>
        <xdr:cNvPr id="46" name="Lige pilforbindels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CxnSpPr/>
      </xdr:nvCxnSpPr>
      <xdr:spPr>
        <a:xfrm flipH="1">
          <a:off x="6534150" y="971550"/>
          <a:ext cx="323851" cy="180975"/>
        </a:xfrm>
        <a:prstGeom prst="straightConnector1">
          <a:avLst/>
        </a:prstGeom>
        <a:ln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7</xdr:row>
          <xdr:rowOff>9525</xdr:rowOff>
        </xdr:from>
        <xdr:to>
          <xdr:col>11</xdr:col>
          <xdr:colOff>714375</xdr:colOff>
          <xdr:row>7</xdr:row>
          <xdr:rowOff>161925</xdr:rowOff>
        </xdr:to>
        <xdr:sp macro="" textlink="">
          <xdr:nvSpPr>
            <xdr:cNvPr id="1083" name="Drop Down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8</xdr:row>
          <xdr:rowOff>9525</xdr:rowOff>
        </xdr:from>
        <xdr:to>
          <xdr:col>11</xdr:col>
          <xdr:colOff>714375</xdr:colOff>
          <xdr:row>8</xdr:row>
          <xdr:rowOff>161925</xdr:rowOff>
        </xdr:to>
        <xdr:sp macro="" textlink="">
          <xdr:nvSpPr>
            <xdr:cNvPr id="1084" name="Drop Down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9</xdr:row>
          <xdr:rowOff>9525</xdr:rowOff>
        </xdr:from>
        <xdr:to>
          <xdr:col>11</xdr:col>
          <xdr:colOff>714375</xdr:colOff>
          <xdr:row>9</xdr:row>
          <xdr:rowOff>161925</xdr:rowOff>
        </xdr:to>
        <xdr:sp macro="" textlink="">
          <xdr:nvSpPr>
            <xdr:cNvPr id="1085" name="Drop Down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10</xdr:row>
          <xdr:rowOff>9525</xdr:rowOff>
        </xdr:from>
        <xdr:to>
          <xdr:col>11</xdr:col>
          <xdr:colOff>714375</xdr:colOff>
          <xdr:row>10</xdr:row>
          <xdr:rowOff>161925</xdr:rowOff>
        </xdr:to>
        <xdr:sp macro="" textlink="">
          <xdr:nvSpPr>
            <xdr:cNvPr id="1086" name="Drop Down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11</xdr:row>
          <xdr:rowOff>9525</xdr:rowOff>
        </xdr:from>
        <xdr:to>
          <xdr:col>11</xdr:col>
          <xdr:colOff>714375</xdr:colOff>
          <xdr:row>11</xdr:row>
          <xdr:rowOff>161925</xdr:rowOff>
        </xdr:to>
        <xdr:sp macro="" textlink="">
          <xdr:nvSpPr>
            <xdr:cNvPr id="1087" name="Drop Down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12</xdr:row>
          <xdr:rowOff>9525</xdr:rowOff>
        </xdr:from>
        <xdr:to>
          <xdr:col>11</xdr:col>
          <xdr:colOff>714375</xdr:colOff>
          <xdr:row>12</xdr:row>
          <xdr:rowOff>161925</xdr:rowOff>
        </xdr:to>
        <xdr:sp macro="" textlink="">
          <xdr:nvSpPr>
            <xdr:cNvPr id="1088" name="Drop Down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13</xdr:row>
          <xdr:rowOff>9525</xdr:rowOff>
        </xdr:from>
        <xdr:to>
          <xdr:col>11</xdr:col>
          <xdr:colOff>714375</xdr:colOff>
          <xdr:row>13</xdr:row>
          <xdr:rowOff>161925</xdr:rowOff>
        </xdr:to>
        <xdr:sp macro="" textlink="">
          <xdr:nvSpPr>
            <xdr:cNvPr id="1089" name="Drop Down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14</xdr:row>
          <xdr:rowOff>9525</xdr:rowOff>
        </xdr:from>
        <xdr:to>
          <xdr:col>11</xdr:col>
          <xdr:colOff>714375</xdr:colOff>
          <xdr:row>14</xdr:row>
          <xdr:rowOff>161925</xdr:rowOff>
        </xdr:to>
        <xdr:sp macro="" textlink="">
          <xdr:nvSpPr>
            <xdr:cNvPr id="1090" name="Drop Down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15</xdr:row>
          <xdr:rowOff>9525</xdr:rowOff>
        </xdr:from>
        <xdr:to>
          <xdr:col>11</xdr:col>
          <xdr:colOff>714375</xdr:colOff>
          <xdr:row>15</xdr:row>
          <xdr:rowOff>161925</xdr:rowOff>
        </xdr:to>
        <xdr:sp macro="" textlink="">
          <xdr:nvSpPr>
            <xdr:cNvPr id="1091" name="Drop Down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16</xdr:row>
          <xdr:rowOff>9525</xdr:rowOff>
        </xdr:from>
        <xdr:to>
          <xdr:col>11</xdr:col>
          <xdr:colOff>714375</xdr:colOff>
          <xdr:row>16</xdr:row>
          <xdr:rowOff>161925</xdr:rowOff>
        </xdr:to>
        <xdr:sp macro="" textlink="">
          <xdr:nvSpPr>
            <xdr:cNvPr id="1092" name="Drop Down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17</xdr:row>
          <xdr:rowOff>9525</xdr:rowOff>
        </xdr:from>
        <xdr:to>
          <xdr:col>11</xdr:col>
          <xdr:colOff>714375</xdr:colOff>
          <xdr:row>17</xdr:row>
          <xdr:rowOff>161925</xdr:rowOff>
        </xdr:to>
        <xdr:sp macro="" textlink="">
          <xdr:nvSpPr>
            <xdr:cNvPr id="1093" name="Drop Down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18</xdr:row>
          <xdr:rowOff>9525</xdr:rowOff>
        </xdr:from>
        <xdr:to>
          <xdr:col>11</xdr:col>
          <xdr:colOff>714375</xdr:colOff>
          <xdr:row>18</xdr:row>
          <xdr:rowOff>161925</xdr:rowOff>
        </xdr:to>
        <xdr:sp macro="" textlink="">
          <xdr:nvSpPr>
            <xdr:cNvPr id="1094" name="Drop Down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19</xdr:row>
          <xdr:rowOff>9525</xdr:rowOff>
        </xdr:from>
        <xdr:to>
          <xdr:col>11</xdr:col>
          <xdr:colOff>714375</xdr:colOff>
          <xdr:row>19</xdr:row>
          <xdr:rowOff>161925</xdr:rowOff>
        </xdr:to>
        <xdr:sp macro="" textlink="">
          <xdr:nvSpPr>
            <xdr:cNvPr id="1095" name="Drop Down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20</xdr:row>
          <xdr:rowOff>9525</xdr:rowOff>
        </xdr:from>
        <xdr:to>
          <xdr:col>11</xdr:col>
          <xdr:colOff>714375</xdr:colOff>
          <xdr:row>20</xdr:row>
          <xdr:rowOff>161925</xdr:rowOff>
        </xdr:to>
        <xdr:sp macro="" textlink="">
          <xdr:nvSpPr>
            <xdr:cNvPr id="1096" name="Drop Down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21</xdr:row>
          <xdr:rowOff>9525</xdr:rowOff>
        </xdr:from>
        <xdr:to>
          <xdr:col>11</xdr:col>
          <xdr:colOff>714375</xdr:colOff>
          <xdr:row>21</xdr:row>
          <xdr:rowOff>161925</xdr:rowOff>
        </xdr:to>
        <xdr:sp macro="" textlink="">
          <xdr:nvSpPr>
            <xdr:cNvPr id="1097" name="Drop Down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8</xdr:row>
          <xdr:rowOff>9525</xdr:rowOff>
        </xdr:from>
        <xdr:to>
          <xdr:col>10</xdr:col>
          <xdr:colOff>9525</xdr:colOff>
          <xdr:row>8</xdr:row>
          <xdr:rowOff>180975</xdr:rowOff>
        </xdr:to>
        <xdr:sp macro="" textlink="">
          <xdr:nvSpPr>
            <xdr:cNvPr id="1113" name="Drop Down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9</xdr:row>
          <xdr:rowOff>9525</xdr:rowOff>
        </xdr:from>
        <xdr:to>
          <xdr:col>10</xdr:col>
          <xdr:colOff>9525</xdr:colOff>
          <xdr:row>9</xdr:row>
          <xdr:rowOff>180975</xdr:rowOff>
        </xdr:to>
        <xdr:sp macro="" textlink="">
          <xdr:nvSpPr>
            <xdr:cNvPr id="1114" name="Drop Down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10</xdr:row>
          <xdr:rowOff>9525</xdr:rowOff>
        </xdr:from>
        <xdr:to>
          <xdr:col>10</xdr:col>
          <xdr:colOff>9525</xdr:colOff>
          <xdr:row>10</xdr:row>
          <xdr:rowOff>180975</xdr:rowOff>
        </xdr:to>
        <xdr:sp macro="" textlink="">
          <xdr:nvSpPr>
            <xdr:cNvPr id="1115" name="Drop Down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11</xdr:row>
          <xdr:rowOff>9525</xdr:rowOff>
        </xdr:from>
        <xdr:to>
          <xdr:col>10</xdr:col>
          <xdr:colOff>9525</xdr:colOff>
          <xdr:row>11</xdr:row>
          <xdr:rowOff>180975</xdr:rowOff>
        </xdr:to>
        <xdr:sp macro="" textlink="">
          <xdr:nvSpPr>
            <xdr:cNvPr id="1116" name="Drop Down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12</xdr:row>
          <xdr:rowOff>9525</xdr:rowOff>
        </xdr:from>
        <xdr:to>
          <xdr:col>10</xdr:col>
          <xdr:colOff>9525</xdr:colOff>
          <xdr:row>12</xdr:row>
          <xdr:rowOff>180975</xdr:rowOff>
        </xdr:to>
        <xdr:sp macro="" textlink="">
          <xdr:nvSpPr>
            <xdr:cNvPr id="1117" name="Drop Down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13</xdr:row>
          <xdr:rowOff>9525</xdr:rowOff>
        </xdr:from>
        <xdr:to>
          <xdr:col>10</xdr:col>
          <xdr:colOff>9525</xdr:colOff>
          <xdr:row>13</xdr:row>
          <xdr:rowOff>180975</xdr:rowOff>
        </xdr:to>
        <xdr:sp macro="" textlink="">
          <xdr:nvSpPr>
            <xdr:cNvPr id="1118" name="Drop Down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14</xdr:row>
          <xdr:rowOff>9525</xdr:rowOff>
        </xdr:from>
        <xdr:to>
          <xdr:col>10</xdr:col>
          <xdr:colOff>9525</xdr:colOff>
          <xdr:row>14</xdr:row>
          <xdr:rowOff>180975</xdr:rowOff>
        </xdr:to>
        <xdr:sp macro="" textlink="">
          <xdr:nvSpPr>
            <xdr:cNvPr id="1119" name="Drop Down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15</xdr:row>
          <xdr:rowOff>9525</xdr:rowOff>
        </xdr:from>
        <xdr:to>
          <xdr:col>10</xdr:col>
          <xdr:colOff>9525</xdr:colOff>
          <xdr:row>15</xdr:row>
          <xdr:rowOff>180975</xdr:rowOff>
        </xdr:to>
        <xdr:sp macro="" textlink="">
          <xdr:nvSpPr>
            <xdr:cNvPr id="1120" name="Drop Down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16</xdr:row>
          <xdr:rowOff>9525</xdr:rowOff>
        </xdr:from>
        <xdr:to>
          <xdr:col>10</xdr:col>
          <xdr:colOff>9525</xdr:colOff>
          <xdr:row>16</xdr:row>
          <xdr:rowOff>180975</xdr:rowOff>
        </xdr:to>
        <xdr:sp macro="" textlink="">
          <xdr:nvSpPr>
            <xdr:cNvPr id="1121" name="Drop Down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17</xdr:row>
          <xdr:rowOff>9525</xdr:rowOff>
        </xdr:from>
        <xdr:to>
          <xdr:col>10</xdr:col>
          <xdr:colOff>9525</xdr:colOff>
          <xdr:row>17</xdr:row>
          <xdr:rowOff>180975</xdr:rowOff>
        </xdr:to>
        <xdr:sp macro="" textlink="">
          <xdr:nvSpPr>
            <xdr:cNvPr id="1122" name="Drop Down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18</xdr:row>
          <xdr:rowOff>9525</xdr:rowOff>
        </xdr:from>
        <xdr:to>
          <xdr:col>10</xdr:col>
          <xdr:colOff>9525</xdr:colOff>
          <xdr:row>18</xdr:row>
          <xdr:rowOff>180975</xdr:rowOff>
        </xdr:to>
        <xdr:sp macro="" textlink="">
          <xdr:nvSpPr>
            <xdr:cNvPr id="1123" name="Drop Down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19</xdr:row>
          <xdr:rowOff>9525</xdr:rowOff>
        </xdr:from>
        <xdr:to>
          <xdr:col>10</xdr:col>
          <xdr:colOff>9525</xdr:colOff>
          <xdr:row>19</xdr:row>
          <xdr:rowOff>180975</xdr:rowOff>
        </xdr:to>
        <xdr:sp macro="" textlink="">
          <xdr:nvSpPr>
            <xdr:cNvPr id="1124" name="Drop Down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20</xdr:row>
          <xdr:rowOff>9525</xdr:rowOff>
        </xdr:from>
        <xdr:to>
          <xdr:col>10</xdr:col>
          <xdr:colOff>9525</xdr:colOff>
          <xdr:row>20</xdr:row>
          <xdr:rowOff>180975</xdr:rowOff>
        </xdr:to>
        <xdr:sp macro="" textlink="">
          <xdr:nvSpPr>
            <xdr:cNvPr id="1125" name="Drop Down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21</xdr:row>
          <xdr:rowOff>9525</xdr:rowOff>
        </xdr:from>
        <xdr:to>
          <xdr:col>10</xdr:col>
          <xdr:colOff>9525</xdr:colOff>
          <xdr:row>21</xdr:row>
          <xdr:rowOff>180975</xdr:rowOff>
        </xdr:to>
        <xdr:sp macro="" textlink="">
          <xdr:nvSpPr>
            <xdr:cNvPr id="1126" name="Drop Down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7</xdr:row>
          <xdr:rowOff>9525</xdr:rowOff>
        </xdr:from>
        <xdr:to>
          <xdr:col>5</xdr:col>
          <xdr:colOff>9525</xdr:colOff>
          <xdr:row>7</xdr:row>
          <xdr:rowOff>180975</xdr:rowOff>
        </xdr:to>
        <xdr:sp macro="" textlink="">
          <xdr:nvSpPr>
            <xdr:cNvPr id="2049" name="Drop Dow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8</xdr:row>
          <xdr:rowOff>9525</xdr:rowOff>
        </xdr:from>
        <xdr:to>
          <xdr:col>5</xdr:col>
          <xdr:colOff>9525</xdr:colOff>
          <xdr:row>8</xdr:row>
          <xdr:rowOff>180975</xdr:rowOff>
        </xdr:to>
        <xdr:sp macro="" textlink="">
          <xdr:nvSpPr>
            <xdr:cNvPr id="2050" name="Drop Dow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9</xdr:row>
          <xdr:rowOff>9525</xdr:rowOff>
        </xdr:from>
        <xdr:to>
          <xdr:col>5</xdr:col>
          <xdr:colOff>9525</xdr:colOff>
          <xdr:row>9</xdr:row>
          <xdr:rowOff>180975</xdr:rowOff>
        </xdr:to>
        <xdr:sp macro="" textlink="">
          <xdr:nvSpPr>
            <xdr:cNvPr id="2051" name="Drop Down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10</xdr:row>
          <xdr:rowOff>9525</xdr:rowOff>
        </xdr:from>
        <xdr:to>
          <xdr:col>5</xdr:col>
          <xdr:colOff>9525</xdr:colOff>
          <xdr:row>10</xdr:row>
          <xdr:rowOff>180975</xdr:rowOff>
        </xdr:to>
        <xdr:sp macro="" textlink="">
          <xdr:nvSpPr>
            <xdr:cNvPr id="2052" name="Drop Down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11</xdr:row>
          <xdr:rowOff>9525</xdr:rowOff>
        </xdr:from>
        <xdr:to>
          <xdr:col>5</xdr:col>
          <xdr:colOff>9525</xdr:colOff>
          <xdr:row>11</xdr:row>
          <xdr:rowOff>180975</xdr:rowOff>
        </xdr:to>
        <xdr:sp macro="" textlink="">
          <xdr:nvSpPr>
            <xdr:cNvPr id="2053" name="Drop Down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12</xdr:row>
          <xdr:rowOff>9525</xdr:rowOff>
        </xdr:from>
        <xdr:to>
          <xdr:col>5</xdr:col>
          <xdr:colOff>9525</xdr:colOff>
          <xdr:row>12</xdr:row>
          <xdr:rowOff>180975</xdr:rowOff>
        </xdr:to>
        <xdr:sp macro="" textlink="">
          <xdr:nvSpPr>
            <xdr:cNvPr id="2054" name="Drop Down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13</xdr:row>
          <xdr:rowOff>9525</xdr:rowOff>
        </xdr:from>
        <xdr:to>
          <xdr:col>5</xdr:col>
          <xdr:colOff>9525</xdr:colOff>
          <xdr:row>13</xdr:row>
          <xdr:rowOff>180975</xdr:rowOff>
        </xdr:to>
        <xdr:sp macro="" textlink="">
          <xdr:nvSpPr>
            <xdr:cNvPr id="2055" name="Drop Down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14</xdr:row>
          <xdr:rowOff>9525</xdr:rowOff>
        </xdr:from>
        <xdr:to>
          <xdr:col>5</xdr:col>
          <xdr:colOff>9525</xdr:colOff>
          <xdr:row>14</xdr:row>
          <xdr:rowOff>180975</xdr:rowOff>
        </xdr:to>
        <xdr:sp macro="" textlink="">
          <xdr:nvSpPr>
            <xdr:cNvPr id="2056" name="Drop Down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15</xdr:row>
          <xdr:rowOff>9525</xdr:rowOff>
        </xdr:from>
        <xdr:to>
          <xdr:col>5</xdr:col>
          <xdr:colOff>9525</xdr:colOff>
          <xdr:row>15</xdr:row>
          <xdr:rowOff>180975</xdr:rowOff>
        </xdr:to>
        <xdr:sp macro="" textlink="">
          <xdr:nvSpPr>
            <xdr:cNvPr id="2057" name="Drop Down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16</xdr:row>
          <xdr:rowOff>9525</xdr:rowOff>
        </xdr:from>
        <xdr:to>
          <xdr:col>5</xdr:col>
          <xdr:colOff>9525</xdr:colOff>
          <xdr:row>16</xdr:row>
          <xdr:rowOff>180975</xdr:rowOff>
        </xdr:to>
        <xdr:sp macro="" textlink="">
          <xdr:nvSpPr>
            <xdr:cNvPr id="2058" name="Drop Down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17</xdr:row>
          <xdr:rowOff>9525</xdr:rowOff>
        </xdr:from>
        <xdr:to>
          <xdr:col>5</xdr:col>
          <xdr:colOff>9525</xdr:colOff>
          <xdr:row>17</xdr:row>
          <xdr:rowOff>180975</xdr:rowOff>
        </xdr:to>
        <xdr:sp macro="" textlink="">
          <xdr:nvSpPr>
            <xdr:cNvPr id="2059" name="Drop Down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18</xdr:row>
          <xdr:rowOff>9525</xdr:rowOff>
        </xdr:from>
        <xdr:to>
          <xdr:col>5</xdr:col>
          <xdr:colOff>9525</xdr:colOff>
          <xdr:row>18</xdr:row>
          <xdr:rowOff>180975</xdr:rowOff>
        </xdr:to>
        <xdr:sp macro="" textlink="">
          <xdr:nvSpPr>
            <xdr:cNvPr id="2060" name="Drop Down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19</xdr:row>
          <xdr:rowOff>9525</xdr:rowOff>
        </xdr:from>
        <xdr:to>
          <xdr:col>5</xdr:col>
          <xdr:colOff>9525</xdr:colOff>
          <xdr:row>19</xdr:row>
          <xdr:rowOff>180975</xdr:rowOff>
        </xdr:to>
        <xdr:sp macro="" textlink="">
          <xdr:nvSpPr>
            <xdr:cNvPr id="2061" name="Drop Down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20</xdr:row>
          <xdr:rowOff>9525</xdr:rowOff>
        </xdr:from>
        <xdr:to>
          <xdr:col>5</xdr:col>
          <xdr:colOff>9525</xdr:colOff>
          <xdr:row>20</xdr:row>
          <xdr:rowOff>180975</xdr:rowOff>
        </xdr:to>
        <xdr:sp macro="" textlink="">
          <xdr:nvSpPr>
            <xdr:cNvPr id="2062" name="Drop Down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21</xdr:row>
          <xdr:rowOff>9525</xdr:rowOff>
        </xdr:from>
        <xdr:to>
          <xdr:col>5</xdr:col>
          <xdr:colOff>9525</xdr:colOff>
          <xdr:row>21</xdr:row>
          <xdr:rowOff>180975</xdr:rowOff>
        </xdr:to>
        <xdr:sp macro="" textlink="">
          <xdr:nvSpPr>
            <xdr:cNvPr id="2063" name="Drop Down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7</xdr:row>
          <xdr:rowOff>9525</xdr:rowOff>
        </xdr:from>
        <xdr:to>
          <xdr:col>10</xdr:col>
          <xdr:colOff>9525</xdr:colOff>
          <xdr:row>7</xdr:row>
          <xdr:rowOff>180975</xdr:rowOff>
        </xdr:to>
        <xdr:sp macro="" textlink="">
          <xdr:nvSpPr>
            <xdr:cNvPr id="2064" name="Drop Down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8</xdr:row>
          <xdr:rowOff>9525</xdr:rowOff>
        </xdr:from>
        <xdr:to>
          <xdr:col>10</xdr:col>
          <xdr:colOff>9525</xdr:colOff>
          <xdr:row>8</xdr:row>
          <xdr:rowOff>180975</xdr:rowOff>
        </xdr:to>
        <xdr:sp macro="" textlink="">
          <xdr:nvSpPr>
            <xdr:cNvPr id="2065" name="Drop Down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9</xdr:row>
          <xdr:rowOff>9525</xdr:rowOff>
        </xdr:from>
        <xdr:to>
          <xdr:col>10</xdr:col>
          <xdr:colOff>9525</xdr:colOff>
          <xdr:row>9</xdr:row>
          <xdr:rowOff>180975</xdr:rowOff>
        </xdr:to>
        <xdr:sp macro="" textlink="">
          <xdr:nvSpPr>
            <xdr:cNvPr id="2066" name="Drop Down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10</xdr:row>
          <xdr:rowOff>9525</xdr:rowOff>
        </xdr:from>
        <xdr:to>
          <xdr:col>10</xdr:col>
          <xdr:colOff>9525</xdr:colOff>
          <xdr:row>10</xdr:row>
          <xdr:rowOff>180975</xdr:rowOff>
        </xdr:to>
        <xdr:sp macro="" textlink="">
          <xdr:nvSpPr>
            <xdr:cNvPr id="2067" name="Drop Down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11</xdr:row>
          <xdr:rowOff>9525</xdr:rowOff>
        </xdr:from>
        <xdr:to>
          <xdr:col>10</xdr:col>
          <xdr:colOff>9525</xdr:colOff>
          <xdr:row>11</xdr:row>
          <xdr:rowOff>180975</xdr:rowOff>
        </xdr:to>
        <xdr:sp macro="" textlink="">
          <xdr:nvSpPr>
            <xdr:cNvPr id="2068" name="Drop Down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12</xdr:row>
          <xdr:rowOff>9525</xdr:rowOff>
        </xdr:from>
        <xdr:to>
          <xdr:col>10</xdr:col>
          <xdr:colOff>9525</xdr:colOff>
          <xdr:row>12</xdr:row>
          <xdr:rowOff>180975</xdr:rowOff>
        </xdr:to>
        <xdr:sp macro="" textlink="">
          <xdr:nvSpPr>
            <xdr:cNvPr id="2069" name="Drop Down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13</xdr:row>
          <xdr:rowOff>9525</xdr:rowOff>
        </xdr:from>
        <xdr:to>
          <xdr:col>10</xdr:col>
          <xdr:colOff>9525</xdr:colOff>
          <xdr:row>13</xdr:row>
          <xdr:rowOff>180975</xdr:rowOff>
        </xdr:to>
        <xdr:sp macro="" textlink="">
          <xdr:nvSpPr>
            <xdr:cNvPr id="2070" name="Drop Down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14</xdr:row>
          <xdr:rowOff>9525</xdr:rowOff>
        </xdr:from>
        <xdr:to>
          <xdr:col>10</xdr:col>
          <xdr:colOff>9525</xdr:colOff>
          <xdr:row>14</xdr:row>
          <xdr:rowOff>180975</xdr:rowOff>
        </xdr:to>
        <xdr:sp macro="" textlink="">
          <xdr:nvSpPr>
            <xdr:cNvPr id="2071" name="Drop Down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15</xdr:row>
          <xdr:rowOff>9525</xdr:rowOff>
        </xdr:from>
        <xdr:to>
          <xdr:col>10</xdr:col>
          <xdr:colOff>9525</xdr:colOff>
          <xdr:row>15</xdr:row>
          <xdr:rowOff>180975</xdr:rowOff>
        </xdr:to>
        <xdr:sp macro="" textlink="">
          <xdr:nvSpPr>
            <xdr:cNvPr id="2072" name="Drop Down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16</xdr:row>
          <xdr:rowOff>9525</xdr:rowOff>
        </xdr:from>
        <xdr:to>
          <xdr:col>10</xdr:col>
          <xdr:colOff>9525</xdr:colOff>
          <xdr:row>16</xdr:row>
          <xdr:rowOff>180975</xdr:rowOff>
        </xdr:to>
        <xdr:sp macro="" textlink="">
          <xdr:nvSpPr>
            <xdr:cNvPr id="2073" name="Drop Down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17</xdr:row>
          <xdr:rowOff>9525</xdr:rowOff>
        </xdr:from>
        <xdr:to>
          <xdr:col>10</xdr:col>
          <xdr:colOff>9525</xdr:colOff>
          <xdr:row>17</xdr:row>
          <xdr:rowOff>180975</xdr:rowOff>
        </xdr:to>
        <xdr:sp macro="" textlink="">
          <xdr:nvSpPr>
            <xdr:cNvPr id="2074" name="Drop Down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18</xdr:row>
          <xdr:rowOff>9525</xdr:rowOff>
        </xdr:from>
        <xdr:to>
          <xdr:col>10</xdr:col>
          <xdr:colOff>9525</xdr:colOff>
          <xdr:row>18</xdr:row>
          <xdr:rowOff>180975</xdr:rowOff>
        </xdr:to>
        <xdr:sp macro="" textlink="">
          <xdr:nvSpPr>
            <xdr:cNvPr id="2075" name="Drop Down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19</xdr:row>
          <xdr:rowOff>9525</xdr:rowOff>
        </xdr:from>
        <xdr:to>
          <xdr:col>10</xdr:col>
          <xdr:colOff>9525</xdr:colOff>
          <xdr:row>19</xdr:row>
          <xdr:rowOff>180975</xdr:rowOff>
        </xdr:to>
        <xdr:sp macro="" textlink="">
          <xdr:nvSpPr>
            <xdr:cNvPr id="2076" name="Drop Down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20</xdr:row>
          <xdr:rowOff>9525</xdr:rowOff>
        </xdr:from>
        <xdr:to>
          <xdr:col>10</xdr:col>
          <xdr:colOff>9525</xdr:colOff>
          <xdr:row>20</xdr:row>
          <xdr:rowOff>180975</xdr:rowOff>
        </xdr:to>
        <xdr:sp macro="" textlink="">
          <xdr:nvSpPr>
            <xdr:cNvPr id="2077" name="Drop Down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21</xdr:row>
          <xdr:rowOff>9525</xdr:rowOff>
        </xdr:from>
        <xdr:to>
          <xdr:col>10</xdr:col>
          <xdr:colOff>9525</xdr:colOff>
          <xdr:row>21</xdr:row>
          <xdr:rowOff>180975</xdr:rowOff>
        </xdr:to>
        <xdr:sp macro="" textlink="">
          <xdr:nvSpPr>
            <xdr:cNvPr id="2078" name="Drop Down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8</xdr:row>
          <xdr:rowOff>9525</xdr:rowOff>
        </xdr:from>
        <xdr:to>
          <xdr:col>10</xdr:col>
          <xdr:colOff>9525</xdr:colOff>
          <xdr:row>8</xdr:row>
          <xdr:rowOff>180975</xdr:rowOff>
        </xdr:to>
        <xdr:sp macro="" textlink="">
          <xdr:nvSpPr>
            <xdr:cNvPr id="2079" name="Drop Down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9</xdr:row>
          <xdr:rowOff>9525</xdr:rowOff>
        </xdr:from>
        <xdr:to>
          <xdr:col>10</xdr:col>
          <xdr:colOff>9525</xdr:colOff>
          <xdr:row>9</xdr:row>
          <xdr:rowOff>180975</xdr:rowOff>
        </xdr:to>
        <xdr:sp macro="" textlink="">
          <xdr:nvSpPr>
            <xdr:cNvPr id="2080" name="Drop Down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10</xdr:row>
          <xdr:rowOff>9525</xdr:rowOff>
        </xdr:from>
        <xdr:to>
          <xdr:col>10</xdr:col>
          <xdr:colOff>9525</xdr:colOff>
          <xdr:row>10</xdr:row>
          <xdr:rowOff>180975</xdr:rowOff>
        </xdr:to>
        <xdr:sp macro="" textlink="">
          <xdr:nvSpPr>
            <xdr:cNvPr id="2081" name="Drop Down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11</xdr:row>
          <xdr:rowOff>9525</xdr:rowOff>
        </xdr:from>
        <xdr:to>
          <xdr:col>10</xdr:col>
          <xdr:colOff>9525</xdr:colOff>
          <xdr:row>11</xdr:row>
          <xdr:rowOff>180975</xdr:rowOff>
        </xdr:to>
        <xdr:sp macro="" textlink="">
          <xdr:nvSpPr>
            <xdr:cNvPr id="2082" name="Drop Down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12</xdr:row>
          <xdr:rowOff>9525</xdr:rowOff>
        </xdr:from>
        <xdr:to>
          <xdr:col>10</xdr:col>
          <xdr:colOff>9525</xdr:colOff>
          <xdr:row>12</xdr:row>
          <xdr:rowOff>180975</xdr:rowOff>
        </xdr:to>
        <xdr:sp macro="" textlink="">
          <xdr:nvSpPr>
            <xdr:cNvPr id="2083" name="Drop Down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13</xdr:row>
          <xdr:rowOff>9525</xdr:rowOff>
        </xdr:from>
        <xdr:to>
          <xdr:col>10</xdr:col>
          <xdr:colOff>9525</xdr:colOff>
          <xdr:row>13</xdr:row>
          <xdr:rowOff>180975</xdr:rowOff>
        </xdr:to>
        <xdr:sp macro="" textlink="">
          <xdr:nvSpPr>
            <xdr:cNvPr id="2084" name="Drop Down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14</xdr:row>
          <xdr:rowOff>9525</xdr:rowOff>
        </xdr:from>
        <xdr:to>
          <xdr:col>10</xdr:col>
          <xdr:colOff>9525</xdr:colOff>
          <xdr:row>14</xdr:row>
          <xdr:rowOff>180975</xdr:rowOff>
        </xdr:to>
        <xdr:sp macro="" textlink="">
          <xdr:nvSpPr>
            <xdr:cNvPr id="2085" name="Drop Down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15</xdr:row>
          <xdr:rowOff>9525</xdr:rowOff>
        </xdr:from>
        <xdr:to>
          <xdr:col>10</xdr:col>
          <xdr:colOff>9525</xdr:colOff>
          <xdr:row>15</xdr:row>
          <xdr:rowOff>180975</xdr:rowOff>
        </xdr:to>
        <xdr:sp macro="" textlink="">
          <xdr:nvSpPr>
            <xdr:cNvPr id="2086" name="Drop Down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16</xdr:row>
          <xdr:rowOff>9525</xdr:rowOff>
        </xdr:from>
        <xdr:to>
          <xdr:col>10</xdr:col>
          <xdr:colOff>9525</xdr:colOff>
          <xdr:row>16</xdr:row>
          <xdr:rowOff>180975</xdr:rowOff>
        </xdr:to>
        <xdr:sp macro="" textlink="">
          <xdr:nvSpPr>
            <xdr:cNvPr id="2087" name="Drop Down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17</xdr:row>
          <xdr:rowOff>9525</xdr:rowOff>
        </xdr:from>
        <xdr:to>
          <xdr:col>10</xdr:col>
          <xdr:colOff>9525</xdr:colOff>
          <xdr:row>17</xdr:row>
          <xdr:rowOff>180975</xdr:rowOff>
        </xdr:to>
        <xdr:sp macro="" textlink="">
          <xdr:nvSpPr>
            <xdr:cNvPr id="2088" name="Drop Down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18</xdr:row>
          <xdr:rowOff>9525</xdr:rowOff>
        </xdr:from>
        <xdr:to>
          <xdr:col>10</xdr:col>
          <xdr:colOff>9525</xdr:colOff>
          <xdr:row>18</xdr:row>
          <xdr:rowOff>180975</xdr:rowOff>
        </xdr:to>
        <xdr:sp macro="" textlink="">
          <xdr:nvSpPr>
            <xdr:cNvPr id="2089" name="Drop Down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19</xdr:row>
          <xdr:rowOff>9525</xdr:rowOff>
        </xdr:from>
        <xdr:to>
          <xdr:col>10</xdr:col>
          <xdr:colOff>9525</xdr:colOff>
          <xdr:row>19</xdr:row>
          <xdr:rowOff>180975</xdr:rowOff>
        </xdr:to>
        <xdr:sp macro="" textlink="">
          <xdr:nvSpPr>
            <xdr:cNvPr id="2090" name="Drop Down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20</xdr:row>
          <xdr:rowOff>9525</xdr:rowOff>
        </xdr:from>
        <xdr:to>
          <xdr:col>10</xdr:col>
          <xdr:colOff>9525</xdr:colOff>
          <xdr:row>20</xdr:row>
          <xdr:rowOff>180975</xdr:rowOff>
        </xdr:to>
        <xdr:sp macro="" textlink="">
          <xdr:nvSpPr>
            <xdr:cNvPr id="2091" name="Drop Down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21</xdr:row>
          <xdr:rowOff>9525</xdr:rowOff>
        </xdr:from>
        <xdr:to>
          <xdr:col>10</xdr:col>
          <xdr:colOff>9525</xdr:colOff>
          <xdr:row>21</xdr:row>
          <xdr:rowOff>180975</xdr:rowOff>
        </xdr:to>
        <xdr:sp macro="" textlink="">
          <xdr:nvSpPr>
            <xdr:cNvPr id="2092" name="Drop Down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13</xdr:col>
      <xdr:colOff>285750</xdr:colOff>
      <xdr:row>4</xdr:row>
      <xdr:rowOff>19050</xdr:rowOff>
    </xdr:from>
    <xdr:to>
      <xdr:col>13</xdr:col>
      <xdr:colOff>609601</xdr:colOff>
      <xdr:row>4</xdr:row>
      <xdr:rowOff>200025</xdr:rowOff>
    </xdr:to>
    <xdr:cxnSp macro="">
      <xdr:nvCxnSpPr>
        <xdr:cNvPr id="46" name="Lige pilforbindelse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CxnSpPr/>
      </xdr:nvCxnSpPr>
      <xdr:spPr>
        <a:xfrm flipH="1">
          <a:off x="6515100" y="990600"/>
          <a:ext cx="323851" cy="180975"/>
        </a:xfrm>
        <a:prstGeom prst="straightConnector1">
          <a:avLst/>
        </a:prstGeom>
        <a:ln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7</xdr:row>
          <xdr:rowOff>9525</xdr:rowOff>
        </xdr:from>
        <xdr:to>
          <xdr:col>10</xdr:col>
          <xdr:colOff>9525</xdr:colOff>
          <xdr:row>7</xdr:row>
          <xdr:rowOff>180975</xdr:rowOff>
        </xdr:to>
        <xdr:sp macro="" textlink="">
          <xdr:nvSpPr>
            <xdr:cNvPr id="2093" name="Drop Down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8</xdr:row>
          <xdr:rowOff>9525</xdr:rowOff>
        </xdr:from>
        <xdr:to>
          <xdr:col>10</xdr:col>
          <xdr:colOff>9525</xdr:colOff>
          <xdr:row>8</xdr:row>
          <xdr:rowOff>180975</xdr:rowOff>
        </xdr:to>
        <xdr:sp macro="" textlink="">
          <xdr:nvSpPr>
            <xdr:cNvPr id="2094" name="Drop Down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9</xdr:row>
          <xdr:rowOff>9525</xdr:rowOff>
        </xdr:from>
        <xdr:to>
          <xdr:col>10</xdr:col>
          <xdr:colOff>9525</xdr:colOff>
          <xdr:row>9</xdr:row>
          <xdr:rowOff>180975</xdr:rowOff>
        </xdr:to>
        <xdr:sp macro="" textlink="">
          <xdr:nvSpPr>
            <xdr:cNvPr id="2095" name="Drop Down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10</xdr:row>
          <xdr:rowOff>9525</xdr:rowOff>
        </xdr:from>
        <xdr:to>
          <xdr:col>10</xdr:col>
          <xdr:colOff>9525</xdr:colOff>
          <xdr:row>10</xdr:row>
          <xdr:rowOff>180975</xdr:rowOff>
        </xdr:to>
        <xdr:sp macro="" textlink="">
          <xdr:nvSpPr>
            <xdr:cNvPr id="2096" name="Drop Down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11</xdr:row>
          <xdr:rowOff>9525</xdr:rowOff>
        </xdr:from>
        <xdr:to>
          <xdr:col>10</xdr:col>
          <xdr:colOff>9525</xdr:colOff>
          <xdr:row>11</xdr:row>
          <xdr:rowOff>180975</xdr:rowOff>
        </xdr:to>
        <xdr:sp macro="" textlink="">
          <xdr:nvSpPr>
            <xdr:cNvPr id="2097" name="Drop Down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12</xdr:row>
          <xdr:rowOff>9525</xdr:rowOff>
        </xdr:from>
        <xdr:to>
          <xdr:col>10</xdr:col>
          <xdr:colOff>9525</xdr:colOff>
          <xdr:row>12</xdr:row>
          <xdr:rowOff>180975</xdr:rowOff>
        </xdr:to>
        <xdr:sp macro="" textlink="">
          <xdr:nvSpPr>
            <xdr:cNvPr id="2098" name="Drop Down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13</xdr:row>
          <xdr:rowOff>9525</xdr:rowOff>
        </xdr:from>
        <xdr:to>
          <xdr:col>10</xdr:col>
          <xdr:colOff>9525</xdr:colOff>
          <xdr:row>13</xdr:row>
          <xdr:rowOff>180975</xdr:rowOff>
        </xdr:to>
        <xdr:sp macro="" textlink="">
          <xdr:nvSpPr>
            <xdr:cNvPr id="2099" name="Drop Down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14</xdr:row>
          <xdr:rowOff>9525</xdr:rowOff>
        </xdr:from>
        <xdr:to>
          <xdr:col>10</xdr:col>
          <xdr:colOff>9525</xdr:colOff>
          <xdr:row>14</xdr:row>
          <xdr:rowOff>180975</xdr:rowOff>
        </xdr:to>
        <xdr:sp macro="" textlink="">
          <xdr:nvSpPr>
            <xdr:cNvPr id="2100" name="Drop Down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15</xdr:row>
          <xdr:rowOff>9525</xdr:rowOff>
        </xdr:from>
        <xdr:to>
          <xdr:col>10</xdr:col>
          <xdr:colOff>9525</xdr:colOff>
          <xdr:row>15</xdr:row>
          <xdr:rowOff>180975</xdr:rowOff>
        </xdr:to>
        <xdr:sp macro="" textlink="">
          <xdr:nvSpPr>
            <xdr:cNvPr id="2101" name="Drop Down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16</xdr:row>
          <xdr:rowOff>9525</xdr:rowOff>
        </xdr:from>
        <xdr:to>
          <xdr:col>10</xdr:col>
          <xdr:colOff>9525</xdr:colOff>
          <xdr:row>16</xdr:row>
          <xdr:rowOff>180975</xdr:rowOff>
        </xdr:to>
        <xdr:sp macro="" textlink="">
          <xdr:nvSpPr>
            <xdr:cNvPr id="2102" name="Drop Down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17</xdr:row>
          <xdr:rowOff>9525</xdr:rowOff>
        </xdr:from>
        <xdr:to>
          <xdr:col>10</xdr:col>
          <xdr:colOff>9525</xdr:colOff>
          <xdr:row>17</xdr:row>
          <xdr:rowOff>180975</xdr:rowOff>
        </xdr:to>
        <xdr:sp macro="" textlink="">
          <xdr:nvSpPr>
            <xdr:cNvPr id="2103" name="Drop Down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18</xdr:row>
          <xdr:rowOff>9525</xdr:rowOff>
        </xdr:from>
        <xdr:to>
          <xdr:col>10</xdr:col>
          <xdr:colOff>9525</xdr:colOff>
          <xdr:row>18</xdr:row>
          <xdr:rowOff>180975</xdr:rowOff>
        </xdr:to>
        <xdr:sp macro="" textlink="">
          <xdr:nvSpPr>
            <xdr:cNvPr id="2104" name="Drop Down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19</xdr:row>
          <xdr:rowOff>9525</xdr:rowOff>
        </xdr:from>
        <xdr:to>
          <xdr:col>10</xdr:col>
          <xdr:colOff>9525</xdr:colOff>
          <xdr:row>19</xdr:row>
          <xdr:rowOff>180975</xdr:rowOff>
        </xdr:to>
        <xdr:sp macro="" textlink="">
          <xdr:nvSpPr>
            <xdr:cNvPr id="2105" name="Drop Down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20</xdr:row>
          <xdr:rowOff>9525</xdr:rowOff>
        </xdr:from>
        <xdr:to>
          <xdr:col>10</xdr:col>
          <xdr:colOff>9525</xdr:colOff>
          <xdr:row>20</xdr:row>
          <xdr:rowOff>180975</xdr:rowOff>
        </xdr:to>
        <xdr:sp macro="" textlink="">
          <xdr:nvSpPr>
            <xdr:cNvPr id="2106" name="Drop Down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21</xdr:row>
          <xdr:rowOff>9525</xdr:rowOff>
        </xdr:from>
        <xdr:to>
          <xdr:col>10</xdr:col>
          <xdr:colOff>9525</xdr:colOff>
          <xdr:row>21</xdr:row>
          <xdr:rowOff>180975</xdr:rowOff>
        </xdr:to>
        <xdr:sp macro="" textlink="">
          <xdr:nvSpPr>
            <xdr:cNvPr id="2107" name="Drop Down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8</xdr:row>
          <xdr:rowOff>9525</xdr:rowOff>
        </xdr:from>
        <xdr:to>
          <xdr:col>10</xdr:col>
          <xdr:colOff>9525</xdr:colOff>
          <xdr:row>8</xdr:row>
          <xdr:rowOff>180975</xdr:rowOff>
        </xdr:to>
        <xdr:sp macro="" textlink="">
          <xdr:nvSpPr>
            <xdr:cNvPr id="2108" name="Drop Down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9</xdr:row>
          <xdr:rowOff>9525</xdr:rowOff>
        </xdr:from>
        <xdr:to>
          <xdr:col>10</xdr:col>
          <xdr:colOff>9525</xdr:colOff>
          <xdr:row>9</xdr:row>
          <xdr:rowOff>180975</xdr:rowOff>
        </xdr:to>
        <xdr:sp macro="" textlink="">
          <xdr:nvSpPr>
            <xdr:cNvPr id="2109" name="Drop Down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10</xdr:row>
          <xdr:rowOff>9525</xdr:rowOff>
        </xdr:from>
        <xdr:to>
          <xdr:col>10</xdr:col>
          <xdr:colOff>9525</xdr:colOff>
          <xdr:row>10</xdr:row>
          <xdr:rowOff>180975</xdr:rowOff>
        </xdr:to>
        <xdr:sp macro="" textlink="">
          <xdr:nvSpPr>
            <xdr:cNvPr id="2110" name="Drop Down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11</xdr:row>
          <xdr:rowOff>9525</xdr:rowOff>
        </xdr:from>
        <xdr:to>
          <xdr:col>10</xdr:col>
          <xdr:colOff>9525</xdr:colOff>
          <xdr:row>11</xdr:row>
          <xdr:rowOff>180975</xdr:rowOff>
        </xdr:to>
        <xdr:sp macro="" textlink="">
          <xdr:nvSpPr>
            <xdr:cNvPr id="2111" name="Drop Down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12</xdr:row>
          <xdr:rowOff>9525</xdr:rowOff>
        </xdr:from>
        <xdr:to>
          <xdr:col>10</xdr:col>
          <xdr:colOff>9525</xdr:colOff>
          <xdr:row>12</xdr:row>
          <xdr:rowOff>180975</xdr:rowOff>
        </xdr:to>
        <xdr:sp macro="" textlink="">
          <xdr:nvSpPr>
            <xdr:cNvPr id="2112" name="Drop Down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13</xdr:row>
          <xdr:rowOff>9525</xdr:rowOff>
        </xdr:from>
        <xdr:to>
          <xdr:col>10</xdr:col>
          <xdr:colOff>9525</xdr:colOff>
          <xdr:row>13</xdr:row>
          <xdr:rowOff>180975</xdr:rowOff>
        </xdr:to>
        <xdr:sp macro="" textlink="">
          <xdr:nvSpPr>
            <xdr:cNvPr id="2113" name="Drop Down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14</xdr:row>
          <xdr:rowOff>9525</xdr:rowOff>
        </xdr:from>
        <xdr:to>
          <xdr:col>10</xdr:col>
          <xdr:colOff>9525</xdr:colOff>
          <xdr:row>14</xdr:row>
          <xdr:rowOff>180975</xdr:rowOff>
        </xdr:to>
        <xdr:sp macro="" textlink="">
          <xdr:nvSpPr>
            <xdr:cNvPr id="2114" name="Drop Down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15</xdr:row>
          <xdr:rowOff>9525</xdr:rowOff>
        </xdr:from>
        <xdr:to>
          <xdr:col>10</xdr:col>
          <xdr:colOff>9525</xdr:colOff>
          <xdr:row>15</xdr:row>
          <xdr:rowOff>180975</xdr:rowOff>
        </xdr:to>
        <xdr:sp macro="" textlink="">
          <xdr:nvSpPr>
            <xdr:cNvPr id="2115" name="Drop Down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16</xdr:row>
          <xdr:rowOff>9525</xdr:rowOff>
        </xdr:from>
        <xdr:to>
          <xdr:col>10</xdr:col>
          <xdr:colOff>9525</xdr:colOff>
          <xdr:row>16</xdr:row>
          <xdr:rowOff>180975</xdr:rowOff>
        </xdr:to>
        <xdr:sp macro="" textlink="">
          <xdr:nvSpPr>
            <xdr:cNvPr id="2116" name="Drop Down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17</xdr:row>
          <xdr:rowOff>9525</xdr:rowOff>
        </xdr:from>
        <xdr:to>
          <xdr:col>10</xdr:col>
          <xdr:colOff>9525</xdr:colOff>
          <xdr:row>17</xdr:row>
          <xdr:rowOff>180975</xdr:rowOff>
        </xdr:to>
        <xdr:sp macro="" textlink="">
          <xdr:nvSpPr>
            <xdr:cNvPr id="2117" name="Drop Down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18</xdr:row>
          <xdr:rowOff>9525</xdr:rowOff>
        </xdr:from>
        <xdr:to>
          <xdr:col>10</xdr:col>
          <xdr:colOff>9525</xdr:colOff>
          <xdr:row>18</xdr:row>
          <xdr:rowOff>180975</xdr:rowOff>
        </xdr:to>
        <xdr:sp macro="" textlink="">
          <xdr:nvSpPr>
            <xdr:cNvPr id="2118" name="Drop Down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19</xdr:row>
          <xdr:rowOff>9525</xdr:rowOff>
        </xdr:from>
        <xdr:to>
          <xdr:col>10</xdr:col>
          <xdr:colOff>9525</xdr:colOff>
          <xdr:row>19</xdr:row>
          <xdr:rowOff>180975</xdr:rowOff>
        </xdr:to>
        <xdr:sp macro="" textlink="">
          <xdr:nvSpPr>
            <xdr:cNvPr id="2119" name="Drop Down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20</xdr:row>
          <xdr:rowOff>9525</xdr:rowOff>
        </xdr:from>
        <xdr:to>
          <xdr:col>10</xdr:col>
          <xdr:colOff>9525</xdr:colOff>
          <xdr:row>20</xdr:row>
          <xdr:rowOff>180975</xdr:rowOff>
        </xdr:to>
        <xdr:sp macro="" textlink="">
          <xdr:nvSpPr>
            <xdr:cNvPr id="2120" name="Drop Down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21</xdr:row>
          <xdr:rowOff>9525</xdr:rowOff>
        </xdr:from>
        <xdr:to>
          <xdr:col>10</xdr:col>
          <xdr:colOff>9525</xdr:colOff>
          <xdr:row>21</xdr:row>
          <xdr:rowOff>180975</xdr:rowOff>
        </xdr:to>
        <xdr:sp macro="" textlink="">
          <xdr:nvSpPr>
            <xdr:cNvPr id="2121" name="Drop Down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7</xdr:row>
          <xdr:rowOff>9525</xdr:rowOff>
        </xdr:from>
        <xdr:to>
          <xdr:col>11</xdr:col>
          <xdr:colOff>714375</xdr:colOff>
          <xdr:row>7</xdr:row>
          <xdr:rowOff>161925</xdr:rowOff>
        </xdr:to>
        <xdr:sp macro="" textlink="">
          <xdr:nvSpPr>
            <xdr:cNvPr id="2122" name="Drop Down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8</xdr:row>
          <xdr:rowOff>9525</xdr:rowOff>
        </xdr:from>
        <xdr:to>
          <xdr:col>11</xdr:col>
          <xdr:colOff>714375</xdr:colOff>
          <xdr:row>8</xdr:row>
          <xdr:rowOff>161925</xdr:rowOff>
        </xdr:to>
        <xdr:sp macro="" textlink="">
          <xdr:nvSpPr>
            <xdr:cNvPr id="2123" name="Drop Down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9</xdr:row>
          <xdr:rowOff>9525</xdr:rowOff>
        </xdr:from>
        <xdr:to>
          <xdr:col>11</xdr:col>
          <xdr:colOff>714375</xdr:colOff>
          <xdr:row>9</xdr:row>
          <xdr:rowOff>161925</xdr:rowOff>
        </xdr:to>
        <xdr:sp macro="" textlink="">
          <xdr:nvSpPr>
            <xdr:cNvPr id="2124" name="Drop Down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10</xdr:row>
          <xdr:rowOff>9525</xdr:rowOff>
        </xdr:from>
        <xdr:to>
          <xdr:col>11</xdr:col>
          <xdr:colOff>714375</xdr:colOff>
          <xdr:row>10</xdr:row>
          <xdr:rowOff>161925</xdr:rowOff>
        </xdr:to>
        <xdr:sp macro="" textlink="">
          <xdr:nvSpPr>
            <xdr:cNvPr id="2125" name="Drop Down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11</xdr:row>
          <xdr:rowOff>9525</xdr:rowOff>
        </xdr:from>
        <xdr:to>
          <xdr:col>11</xdr:col>
          <xdr:colOff>714375</xdr:colOff>
          <xdr:row>11</xdr:row>
          <xdr:rowOff>161925</xdr:rowOff>
        </xdr:to>
        <xdr:sp macro="" textlink="">
          <xdr:nvSpPr>
            <xdr:cNvPr id="2126" name="Drop Down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12</xdr:row>
          <xdr:rowOff>9525</xdr:rowOff>
        </xdr:from>
        <xdr:to>
          <xdr:col>11</xdr:col>
          <xdr:colOff>714375</xdr:colOff>
          <xdr:row>12</xdr:row>
          <xdr:rowOff>161925</xdr:rowOff>
        </xdr:to>
        <xdr:sp macro="" textlink="">
          <xdr:nvSpPr>
            <xdr:cNvPr id="2127" name="Drop Down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13</xdr:row>
          <xdr:rowOff>9525</xdr:rowOff>
        </xdr:from>
        <xdr:to>
          <xdr:col>11</xdr:col>
          <xdr:colOff>714375</xdr:colOff>
          <xdr:row>13</xdr:row>
          <xdr:rowOff>161925</xdr:rowOff>
        </xdr:to>
        <xdr:sp macro="" textlink="">
          <xdr:nvSpPr>
            <xdr:cNvPr id="2128" name="Drop Down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14</xdr:row>
          <xdr:rowOff>9525</xdr:rowOff>
        </xdr:from>
        <xdr:to>
          <xdr:col>11</xdr:col>
          <xdr:colOff>714375</xdr:colOff>
          <xdr:row>14</xdr:row>
          <xdr:rowOff>161925</xdr:rowOff>
        </xdr:to>
        <xdr:sp macro="" textlink="">
          <xdr:nvSpPr>
            <xdr:cNvPr id="2129" name="Drop Down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15</xdr:row>
          <xdr:rowOff>9525</xdr:rowOff>
        </xdr:from>
        <xdr:to>
          <xdr:col>11</xdr:col>
          <xdr:colOff>714375</xdr:colOff>
          <xdr:row>15</xdr:row>
          <xdr:rowOff>161925</xdr:rowOff>
        </xdr:to>
        <xdr:sp macro="" textlink="">
          <xdr:nvSpPr>
            <xdr:cNvPr id="2130" name="Drop Down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16</xdr:row>
          <xdr:rowOff>9525</xdr:rowOff>
        </xdr:from>
        <xdr:to>
          <xdr:col>11</xdr:col>
          <xdr:colOff>714375</xdr:colOff>
          <xdr:row>16</xdr:row>
          <xdr:rowOff>161925</xdr:rowOff>
        </xdr:to>
        <xdr:sp macro="" textlink="">
          <xdr:nvSpPr>
            <xdr:cNvPr id="2131" name="Drop Down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17</xdr:row>
          <xdr:rowOff>9525</xdr:rowOff>
        </xdr:from>
        <xdr:to>
          <xdr:col>11</xdr:col>
          <xdr:colOff>714375</xdr:colOff>
          <xdr:row>17</xdr:row>
          <xdr:rowOff>161925</xdr:rowOff>
        </xdr:to>
        <xdr:sp macro="" textlink="">
          <xdr:nvSpPr>
            <xdr:cNvPr id="2132" name="Drop Down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18</xdr:row>
          <xdr:rowOff>9525</xdr:rowOff>
        </xdr:from>
        <xdr:to>
          <xdr:col>11</xdr:col>
          <xdr:colOff>714375</xdr:colOff>
          <xdr:row>18</xdr:row>
          <xdr:rowOff>161925</xdr:rowOff>
        </xdr:to>
        <xdr:sp macro="" textlink="">
          <xdr:nvSpPr>
            <xdr:cNvPr id="2133" name="Drop Down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19</xdr:row>
          <xdr:rowOff>9525</xdr:rowOff>
        </xdr:from>
        <xdr:to>
          <xdr:col>11</xdr:col>
          <xdr:colOff>714375</xdr:colOff>
          <xdr:row>19</xdr:row>
          <xdr:rowOff>161925</xdr:rowOff>
        </xdr:to>
        <xdr:sp macro="" textlink="">
          <xdr:nvSpPr>
            <xdr:cNvPr id="2134" name="Drop Down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20</xdr:row>
          <xdr:rowOff>9525</xdr:rowOff>
        </xdr:from>
        <xdr:to>
          <xdr:col>11</xdr:col>
          <xdr:colOff>714375</xdr:colOff>
          <xdr:row>20</xdr:row>
          <xdr:rowOff>161925</xdr:rowOff>
        </xdr:to>
        <xdr:sp macro="" textlink="">
          <xdr:nvSpPr>
            <xdr:cNvPr id="2135" name="Drop Down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21</xdr:row>
          <xdr:rowOff>9525</xdr:rowOff>
        </xdr:from>
        <xdr:to>
          <xdr:col>11</xdr:col>
          <xdr:colOff>714375</xdr:colOff>
          <xdr:row>21</xdr:row>
          <xdr:rowOff>161925</xdr:rowOff>
        </xdr:to>
        <xdr:sp macro="" textlink="">
          <xdr:nvSpPr>
            <xdr:cNvPr id="2136" name="Drop Down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8</xdr:row>
          <xdr:rowOff>9525</xdr:rowOff>
        </xdr:from>
        <xdr:to>
          <xdr:col>10</xdr:col>
          <xdr:colOff>9525</xdr:colOff>
          <xdr:row>8</xdr:row>
          <xdr:rowOff>180975</xdr:rowOff>
        </xdr:to>
        <xdr:sp macro="" textlink="">
          <xdr:nvSpPr>
            <xdr:cNvPr id="2137" name="Drop Down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9</xdr:row>
          <xdr:rowOff>9525</xdr:rowOff>
        </xdr:from>
        <xdr:to>
          <xdr:col>10</xdr:col>
          <xdr:colOff>9525</xdr:colOff>
          <xdr:row>9</xdr:row>
          <xdr:rowOff>180975</xdr:rowOff>
        </xdr:to>
        <xdr:sp macro="" textlink="">
          <xdr:nvSpPr>
            <xdr:cNvPr id="2138" name="Drop Down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10</xdr:row>
          <xdr:rowOff>9525</xdr:rowOff>
        </xdr:from>
        <xdr:to>
          <xdr:col>10</xdr:col>
          <xdr:colOff>9525</xdr:colOff>
          <xdr:row>10</xdr:row>
          <xdr:rowOff>180975</xdr:rowOff>
        </xdr:to>
        <xdr:sp macro="" textlink="">
          <xdr:nvSpPr>
            <xdr:cNvPr id="2139" name="Drop Down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11</xdr:row>
          <xdr:rowOff>9525</xdr:rowOff>
        </xdr:from>
        <xdr:to>
          <xdr:col>10</xdr:col>
          <xdr:colOff>9525</xdr:colOff>
          <xdr:row>11</xdr:row>
          <xdr:rowOff>180975</xdr:rowOff>
        </xdr:to>
        <xdr:sp macro="" textlink="">
          <xdr:nvSpPr>
            <xdr:cNvPr id="2140" name="Drop Down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12</xdr:row>
          <xdr:rowOff>9525</xdr:rowOff>
        </xdr:from>
        <xdr:to>
          <xdr:col>10</xdr:col>
          <xdr:colOff>9525</xdr:colOff>
          <xdr:row>12</xdr:row>
          <xdr:rowOff>180975</xdr:rowOff>
        </xdr:to>
        <xdr:sp macro="" textlink="">
          <xdr:nvSpPr>
            <xdr:cNvPr id="2141" name="Drop Down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13</xdr:row>
          <xdr:rowOff>9525</xdr:rowOff>
        </xdr:from>
        <xdr:to>
          <xdr:col>10</xdr:col>
          <xdr:colOff>9525</xdr:colOff>
          <xdr:row>13</xdr:row>
          <xdr:rowOff>180975</xdr:rowOff>
        </xdr:to>
        <xdr:sp macro="" textlink="">
          <xdr:nvSpPr>
            <xdr:cNvPr id="2142" name="Drop Down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14</xdr:row>
          <xdr:rowOff>9525</xdr:rowOff>
        </xdr:from>
        <xdr:to>
          <xdr:col>10</xdr:col>
          <xdr:colOff>9525</xdr:colOff>
          <xdr:row>14</xdr:row>
          <xdr:rowOff>180975</xdr:rowOff>
        </xdr:to>
        <xdr:sp macro="" textlink="">
          <xdr:nvSpPr>
            <xdr:cNvPr id="2143" name="Drop Down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15</xdr:row>
          <xdr:rowOff>9525</xdr:rowOff>
        </xdr:from>
        <xdr:to>
          <xdr:col>10</xdr:col>
          <xdr:colOff>9525</xdr:colOff>
          <xdr:row>15</xdr:row>
          <xdr:rowOff>180975</xdr:rowOff>
        </xdr:to>
        <xdr:sp macro="" textlink="">
          <xdr:nvSpPr>
            <xdr:cNvPr id="2144" name="Drop Down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16</xdr:row>
          <xdr:rowOff>9525</xdr:rowOff>
        </xdr:from>
        <xdr:to>
          <xdr:col>10</xdr:col>
          <xdr:colOff>9525</xdr:colOff>
          <xdr:row>16</xdr:row>
          <xdr:rowOff>180975</xdr:rowOff>
        </xdr:to>
        <xdr:sp macro="" textlink="">
          <xdr:nvSpPr>
            <xdr:cNvPr id="2145" name="Drop Down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17</xdr:row>
          <xdr:rowOff>9525</xdr:rowOff>
        </xdr:from>
        <xdr:to>
          <xdr:col>10</xdr:col>
          <xdr:colOff>9525</xdr:colOff>
          <xdr:row>17</xdr:row>
          <xdr:rowOff>180975</xdr:rowOff>
        </xdr:to>
        <xdr:sp macro="" textlink="">
          <xdr:nvSpPr>
            <xdr:cNvPr id="2146" name="Drop Down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18</xdr:row>
          <xdr:rowOff>9525</xdr:rowOff>
        </xdr:from>
        <xdr:to>
          <xdr:col>10</xdr:col>
          <xdr:colOff>9525</xdr:colOff>
          <xdr:row>18</xdr:row>
          <xdr:rowOff>180975</xdr:rowOff>
        </xdr:to>
        <xdr:sp macro="" textlink="">
          <xdr:nvSpPr>
            <xdr:cNvPr id="2147" name="Drop Down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19</xdr:row>
          <xdr:rowOff>9525</xdr:rowOff>
        </xdr:from>
        <xdr:to>
          <xdr:col>10</xdr:col>
          <xdr:colOff>9525</xdr:colOff>
          <xdr:row>19</xdr:row>
          <xdr:rowOff>180975</xdr:rowOff>
        </xdr:to>
        <xdr:sp macro="" textlink="">
          <xdr:nvSpPr>
            <xdr:cNvPr id="2148" name="Drop Down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20</xdr:row>
          <xdr:rowOff>9525</xdr:rowOff>
        </xdr:from>
        <xdr:to>
          <xdr:col>10</xdr:col>
          <xdr:colOff>9525</xdr:colOff>
          <xdr:row>20</xdr:row>
          <xdr:rowOff>180975</xdr:rowOff>
        </xdr:to>
        <xdr:sp macro="" textlink="">
          <xdr:nvSpPr>
            <xdr:cNvPr id="2149" name="Drop Down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21</xdr:row>
          <xdr:rowOff>9525</xdr:rowOff>
        </xdr:from>
        <xdr:to>
          <xdr:col>10</xdr:col>
          <xdr:colOff>9525</xdr:colOff>
          <xdr:row>21</xdr:row>
          <xdr:rowOff>180975</xdr:rowOff>
        </xdr:to>
        <xdr:sp macro="" textlink="">
          <xdr:nvSpPr>
            <xdr:cNvPr id="2150" name="Drop Down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7</xdr:row>
          <xdr:rowOff>9525</xdr:rowOff>
        </xdr:from>
        <xdr:to>
          <xdr:col>5</xdr:col>
          <xdr:colOff>9525</xdr:colOff>
          <xdr:row>7</xdr:row>
          <xdr:rowOff>180975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8</xdr:row>
          <xdr:rowOff>9525</xdr:rowOff>
        </xdr:from>
        <xdr:to>
          <xdr:col>5</xdr:col>
          <xdr:colOff>9525</xdr:colOff>
          <xdr:row>8</xdr:row>
          <xdr:rowOff>180975</xdr:rowOff>
        </xdr:to>
        <xdr:sp macro="" textlink="">
          <xdr:nvSpPr>
            <xdr:cNvPr id="3074" name="Drop Down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2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9</xdr:row>
          <xdr:rowOff>9525</xdr:rowOff>
        </xdr:from>
        <xdr:to>
          <xdr:col>5</xdr:col>
          <xdr:colOff>9525</xdr:colOff>
          <xdr:row>9</xdr:row>
          <xdr:rowOff>180975</xdr:rowOff>
        </xdr:to>
        <xdr:sp macro="" textlink="">
          <xdr:nvSpPr>
            <xdr:cNvPr id="3075" name="Drop Down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2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10</xdr:row>
          <xdr:rowOff>9525</xdr:rowOff>
        </xdr:from>
        <xdr:to>
          <xdr:col>5</xdr:col>
          <xdr:colOff>9525</xdr:colOff>
          <xdr:row>10</xdr:row>
          <xdr:rowOff>180975</xdr:rowOff>
        </xdr:to>
        <xdr:sp macro="" textlink="">
          <xdr:nvSpPr>
            <xdr:cNvPr id="3076" name="Drop Down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2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11</xdr:row>
          <xdr:rowOff>9525</xdr:rowOff>
        </xdr:from>
        <xdr:to>
          <xdr:col>5</xdr:col>
          <xdr:colOff>9525</xdr:colOff>
          <xdr:row>11</xdr:row>
          <xdr:rowOff>180975</xdr:rowOff>
        </xdr:to>
        <xdr:sp macro="" textlink="">
          <xdr:nvSpPr>
            <xdr:cNvPr id="3077" name="Drop Down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2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12</xdr:row>
          <xdr:rowOff>9525</xdr:rowOff>
        </xdr:from>
        <xdr:to>
          <xdr:col>5</xdr:col>
          <xdr:colOff>9525</xdr:colOff>
          <xdr:row>12</xdr:row>
          <xdr:rowOff>180975</xdr:rowOff>
        </xdr:to>
        <xdr:sp macro="" textlink="">
          <xdr:nvSpPr>
            <xdr:cNvPr id="3078" name="Drop Down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2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13</xdr:row>
          <xdr:rowOff>9525</xdr:rowOff>
        </xdr:from>
        <xdr:to>
          <xdr:col>5</xdr:col>
          <xdr:colOff>9525</xdr:colOff>
          <xdr:row>13</xdr:row>
          <xdr:rowOff>180975</xdr:rowOff>
        </xdr:to>
        <xdr:sp macro="" textlink="">
          <xdr:nvSpPr>
            <xdr:cNvPr id="3079" name="Drop Down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2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14</xdr:row>
          <xdr:rowOff>9525</xdr:rowOff>
        </xdr:from>
        <xdr:to>
          <xdr:col>5</xdr:col>
          <xdr:colOff>9525</xdr:colOff>
          <xdr:row>14</xdr:row>
          <xdr:rowOff>180975</xdr:rowOff>
        </xdr:to>
        <xdr:sp macro="" textlink="">
          <xdr:nvSpPr>
            <xdr:cNvPr id="3080" name="Drop Down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2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15</xdr:row>
          <xdr:rowOff>9525</xdr:rowOff>
        </xdr:from>
        <xdr:to>
          <xdr:col>5</xdr:col>
          <xdr:colOff>9525</xdr:colOff>
          <xdr:row>15</xdr:row>
          <xdr:rowOff>180975</xdr:rowOff>
        </xdr:to>
        <xdr:sp macro="" textlink="">
          <xdr:nvSpPr>
            <xdr:cNvPr id="3081" name="Drop Down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2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16</xdr:row>
          <xdr:rowOff>9525</xdr:rowOff>
        </xdr:from>
        <xdr:to>
          <xdr:col>5</xdr:col>
          <xdr:colOff>9525</xdr:colOff>
          <xdr:row>16</xdr:row>
          <xdr:rowOff>180975</xdr:rowOff>
        </xdr:to>
        <xdr:sp macro="" textlink="">
          <xdr:nvSpPr>
            <xdr:cNvPr id="3082" name="Drop Down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2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17</xdr:row>
          <xdr:rowOff>9525</xdr:rowOff>
        </xdr:from>
        <xdr:to>
          <xdr:col>5</xdr:col>
          <xdr:colOff>9525</xdr:colOff>
          <xdr:row>17</xdr:row>
          <xdr:rowOff>180975</xdr:rowOff>
        </xdr:to>
        <xdr:sp macro="" textlink="">
          <xdr:nvSpPr>
            <xdr:cNvPr id="3083" name="Drop Down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2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18</xdr:row>
          <xdr:rowOff>9525</xdr:rowOff>
        </xdr:from>
        <xdr:to>
          <xdr:col>5</xdr:col>
          <xdr:colOff>9525</xdr:colOff>
          <xdr:row>18</xdr:row>
          <xdr:rowOff>180975</xdr:rowOff>
        </xdr:to>
        <xdr:sp macro="" textlink="">
          <xdr:nvSpPr>
            <xdr:cNvPr id="3084" name="Drop Down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2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19</xdr:row>
          <xdr:rowOff>9525</xdr:rowOff>
        </xdr:from>
        <xdr:to>
          <xdr:col>5</xdr:col>
          <xdr:colOff>9525</xdr:colOff>
          <xdr:row>19</xdr:row>
          <xdr:rowOff>180975</xdr:rowOff>
        </xdr:to>
        <xdr:sp macro="" textlink="">
          <xdr:nvSpPr>
            <xdr:cNvPr id="3085" name="Drop Down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2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20</xdr:row>
          <xdr:rowOff>9525</xdr:rowOff>
        </xdr:from>
        <xdr:to>
          <xdr:col>5</xdr:col>
          <xdr:colOff>9525</xdr:colOff>
          <xdr:row>20</xdr:row>
          <xdr:rowOff>180975</xdr:rowOff>
        </xdr:to>
        <xdr:sp macro="" textlink="">
          <xdr:nvSpPr>
            <xdr:cNvPr id="3086" name="Drop Down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2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21</xdr:row>
          <xdr:rowOff>9525</xdr:rowOff>
        </xdr:from>
        <xdr:to>
          <xdr:col>5</xdr:col>
          <xdr:colOff>9525</xdr:colOff>
          <xdr:row>21</xdr:row>
          <xdr:rowOff>180975</xdr:rowOff>
        </xdr:to>
        <xdr:sp macro="" textlink="">
          <xdr:nvSpPr>
            <xdr:cNvPr id="3087" name="Drop Down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2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7</xdr:row>
          <xdr:rowOff>9525</xdr:rowOff>
        </xdr:from>
        <xdr:to>
          <xdr:col>10</xdr:col>
          <xdr:colOff>9525</xdr:colOff>
          <xdr:row>7</xdr:row>
          <xdr:rowOff>180975</xdr:rowOff>
        </xdr:to>
        <xdr:sp macro="" textlink="">
          <xdr:nvSpPr>
            <xdr:cNvPr id="3088" name="Drop Down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2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8</xdr:row>
          <xdr:rowOff>9525</xdr:rowOff>
        </xdr:from>
        <xdr:to>
          <xdr:col>10</xdr:col>
          <xdr:colOff>9525</xdr:colOff>
          <xdr:row>8</xdr:row>
          <xdr:rowOff>180975</xdr:rowOff>
        </xdr:to>
        <xdr:sp macro="" textlink="">
          <xdr:nvSpPr>
            <xdr:cNvPr id="3089" name="Drop Down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2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9</xdr:row>
          <xdr:rowOff>9525</xdr:rowOff>
        </xdr:from>
        <xdr:to>
          <xdr:col>10</xdr:col>
          <xdr:colOff>9525</xdr:colOff>
          <xdr:row>9</xdr:row>
          <xdr:rowOff>180975</xdr:rowOff>
        </xdr:to>
        <xdr:sp macro="" textlink="">
          <xdr:nvSpPr>
            <xdr:cNvPr id="3090" name="Drop Down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2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10</xdr:row>
          <xdr:rowOff>9525</xdr:rowOff>
        </xdr:from>
        <xdr:to>
          <xdr:col>10</xdr:col>
          <xdr:colOff>9525</xdr:colOff>
          <xdr:row>10</xdr:row>
          <xdr:rowOff>180975</xdr:rowOff>
        </xdr:to>
        <xdr:sp macro="" textlink="">
          <xdr:nvSpPr>
            <xdr:cNvPr id="3091" name="Drop Down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2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11</xdr:row>
          <xdr:rowOff>9525</xdr:rowOff>
        </xdr:from>
        <xdr:to>
          <xdr:col>10</xdr:col>
          <xdr:colOff>9525</xdr:colOff>
          <xdr:row>11</xdr:row>
          <xdr:rowOff>180975</xdr:rowOff>
        </xdr:to>
        <xdr:sp macro="" textlink="">
          <xdr:nvSpPr>
            <xdr:cNvPr id="3092" name="Drop Down 20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2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12</xdr:row>
          <xdr:rowOff>9525</xdr:rowOff>
        </xdr:from>
        <xdr:to>
          <xdr:col>10</xdr:col>
          <xdr:colOff>9525</xdr:colOff>
          <xdr:row>12</xdr:row>
          <xdr:rowOff>180975</xdr:rowOff>
        </xdr:to>
        <xdr:sp macro="" textlink="">
          <xdr:nvSpPr>
            <xdr:cNvPr id="3093" name="Drop Down 21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2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13</xdr:row>
          <xdr:rowOff>9525</xdr:rowOff>
        </xdr:from>
        <xdr:to>
          <xdr:col>10</xdr:col>
          <xdr:colOff>9525</xdr:colOff>
          <xdr:row>13</xdr:row>
          <xdr:rowOff>180975</xdr:rowOff>
        </xdr:to>
        <xdr:sp macro="" textlink="">
          <xdr:nvSpPr>
            <xdr:cNvPr id="3094" name="Drop Down 22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2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14</xdr:row>
          <xdr:rowOff>9525</xdr:rowOff>
        </xdr:from>
        <xdr:to>
          <xdr:col>10</xdr:col>
          <xdr:colOff>9525</xdr:colOff>
          <xdr:row>14</xdr:row>
          <xdr:rowOff>180975</xdr:rowOff>
        </xdr:to>
        <xdr:sp macro="" textlink="">
          <xdr:nvSpPr>
            <xdr:cNvPr id="3095" name="Drop Down 23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2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15</xdr:row>
          <xdr:rowOff>9525</xdr:rowOff>
        </xdr:from>
        <xdr:to>
          <xdr:col>10</xdr:col>
          <xdr:colOff>9525</xdr:colOff>
          <xdr:row>15</xdr:row>
          <xdr:rowOff>180975</xdr:rowOff>
        </xdr:to>
        <xdr:sp macro="" textlink="">
          <xdr:nvSpPr>
            <xdr:cNvPr id="3096" name="Drop Down 24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2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16</xdr:row>
          <xdr:rowOff>9525</xdr:rowOff>
        </xdr:from>
        <xdr:to>
          <xdr:col>10</xdr:col>
          <xdr:colOff>9525</xdr:colOff>
          <xdr:row>16</xdr:row>
          <xdr:rowOff>180975</xdr:rowOff>
        </xdr:to>
        <xdr:sp macro="" textlink="">
          <xdr:nvSpPr>
            <xdr:cNvPr id="3097" name="Drop Down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2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17</xdr:row>
          <xdr:rowOff>9525</xdr:rowOff>
        </xdr:from>
        <xdr:to>
          <xdr:col>10</xdr:col>
          <xdr:colOff>9525</xdr:colOff>
          <xdr:row>17</xdr:row>
          <xdr:rowOff>180975</xdr:rowOff>
        </xdr:to>
        <xdr:sp macro="" textlink="">
          <xdr:nvSpPr>
            <xdr:cNvPr id="3098" name="Drop Down 26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2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18</xdr:row>
          <xdr:rowOff>9525</xdr:rowOff>
        </xdr:from>
        <xdr:to>
          <xdr:col>10</xdr:col>
          <xdr:colOff>9525</xdr:colOff>
          <xdr:row>18</xdr:row>
          <xdr:rowOff>180975</xdr:rowOff>
        </xdr:to>
        <xdr:sp macro="" textlink="">
          <xdr:nvSpPr>
            <xdr:cNvPr id="3099" name="Drop Down 27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2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19</xdr:row>
          <xdr:rowOff>9525</xdr:rowOff>
        </xdr:from>
        <xdr:to>
          <xdr:col>10</xdr:col>
          <xdr:colOff>9525</xdr:colOff>
          <xdr:row>19</xdr:row>
          <xdr:rowOff>180975</xdr:rowOff>
        </xdr:to>
        <xdr:sp macro="" textlink="">
          <xdr:nvSpPr>
            <xdr:cNvPr id="3100" name="Drop Down 28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2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20</xdr:row>
          <xdr:rowOff>9525</xdr:rowOff>
        </xdr:from>
        <xdr:to>
          <xdr:col>10</xdr:col>
          <xdr:colOff>9525</xdr:colOff>
          <xdr:row>20</xdr:row>
          <xdr:rowOff>180975</xdr:rowOff>
        </xdr:to>
        <xdr:sp macro="" textlink="">
          <xdr:nvSpPr>
            <xdr:cNvPr id="3101" name="Drop Down 29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2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21</xdr:row>
          <xdr:rowOff>9525</xdr:rowOff>
        </xdr:from>
        <xdr:to>
          <xdr:col>10</xdr:col>
          <xdr:colOff>9525</xdr:colOff>
          <xdr:row>21</xdr:row>
          <xdr:rowOff>180975</xdr:rowOff>
        </xdr:to>
        <xdr:sp macro="" textlink="">
          <xdr:nvSpPr>
            <xdr:cNvPr id="3102" name="Drop Down 30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2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8</xdr:row>
          <xdr:rowOff>9525</xdr:rowOff>
        </xdr:from>
        <xdr:to>
          <xdr:col>10</xdr:col>
          <xdr:colOff>9525</xdr:colOff>
          <xdr:row>8</xdr:row>
          <xdr:rowOff>180975</xdr:rowOff>
        </xdr:to>
        <xdr:sp macro="" textlink="">
          <xdr:nvSpPr>
            <xdr:cNvPr id="3103" name="Drop Down 31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2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9</xdr:row>
          <xdr:rowOff>9525</xdr:rowOff>
        </xdr:from>
        <xdr:to>
          <xdr:col>10</xdr:col>
          <xdr:colOff>9525</xdr:colOff>
          <xdr:row>9</xdr:row>
          <xdr:rowOff>180975</xdr:rowOff>
        </xdr:to>
        <xdr:sp macro="" textlink="">
          <xdr:nvSpPr>
            <xdr:cNvPr id="3104" name="Drop Down 32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2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10</xdr:row>
          <xdr:rowOff>9525</xdr:rowOff>
        </xdr:from>
        <xdr:to>
          <xdr:col>10</xdr:col>
          <xdr:colOff>9525</xdr:colOff>
          <xdr:row>10</xdr:row>
          <xdr:rowOff>180975</xdr:rowOff>
        </xdr:to>
        <xdr:sp macro="" textlink="">
          <xdr:nvSpPr>
            <xdr:cNvPr id="3105" name="Drop Down 33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2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11</xdr:row>
          <xdr:rowOff>9525</xdr:rowOff>
        </xdr:from>
        <xdr:to>
          <xdr:col>10</xdr:col>
          <xdr:colOff>9525</xdr:colOff>
          <xdr:row>11</xdr:row>
          <xdr:rowOff>180975</xdr:rowOff>
        </xdr:to>
        <xdr:sp macro="" textlink="">
          <xdr:nvSpPr>
            <xdr:cNvPr id="3106" name="Drop Down 34" hidden="1">
              <a:extLst>
                <a:ext uri="{63B3BB69-23CF-44E3-9099-C40C66FF867C}">
                  <a14:compatExt spid="_x0000_s3106"/>
                </a:ext>
                <a:ext uri="{FF2B5EF4-FFF2-40B4-BE49-F238E27FC236}">
                  <a16:creationId xmlns:a16="http://schemas.microsoft.com/office/drawing/2014/main" id="{00000000-0008-0000-0200-00002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12</xdr:row>
          <xdr:rowOff>9525</xdr:rowOff>
        </xdr:from>
        <xdr:to>
          <xdr:col>10</xdr:col>
          <xdr:colOff>9525</xdr:colOff>
          <xdr:row>12</xdr:row>
          <xdr:rowOff>180975</xdr:rowOff>
        </xdr:to>
        <xdr:sp macro="" textlink="">
          <xdr:nvSpPr>
            <xdr:cNvPr id="3107" name="Drop Down 35" hidden="1">
              <a:extLst>
                <a:ext uri="{63B3BB69-23CF-44E3-9099-C40C66FF867C}">
                  <a14:compatExt spid="_x0000_s3107"/>
                </a:ext>
                <a:ext uri="{FF2B5EF4-FFF2-40B4-BE49-F238E27FC236}">
                  <a16:creationId xmlns:a16="http://schemas.microsoft.com/office/drawing/2014/main" id="{00000000-0008-0000-0200-00002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13</xdr:row>
          <xdr:rowOff>9525</xdr:rowOff>
        </xdr:from>
        <xdr:to>
          <xdr:col>10</xdr:col>
          <xdr:colOff>9525</xdr:colOff>
          <xdr:row>13</xdr:row>
          <xdr:rowOff>180975</xdr:rowOff>
        </xdr:to>
        <xdr:sp macro="" textlink="">
          <xdr:nvSpPr>
            <xdr:cNvPr id="3108" name="Drop Down 36" hidden="1">
              <a:extLst>
                <a:ext uri="{63B3BB69-23CF-44E3-9099-C40C66FF867C}">
                  <a14:compatExt spid="_x0000_s3108"/>
                </a:ext>
                <a:ext uri="{FF2B5EF4-FFF2-40B4-BE49-F238E27FC236}">
                  <a16:creationId xmlns:a16="http://schemas.microsoft.com/office/drawing/2014/main" id="{00000000-0008-0000-0200-00002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14</xdr:row>
          <xdr:rowOff>9525</xdr:rowOff>
        </xdr:from>
        <xdr:to>
          <xdr:col>10</xdr:col>
          <xdr:colOff>9525</xdr:colOff>
          <xdr:row>14</xdr:row>
          <xdr:rowOff>180975</xdr:rowOff>
        </xdr:to>
        <xdr:sp macro="" textlink="">
          <xdr:nvSpPr>
            <xdr:cNvPr id="3109" name="Drop Down 37" hidden="1">
              <a:extLst>
                <a:ext uri="{63B3BB69-23CF-44E3-9099-C40C66FF867C}">
                  <a14:compatExt spid="_x0000_s3109"/>
                </a:ext>
                <a:ext uri="{FF2B5EF4-FFF2-40B4-BE49-F238E27FC236}">
                  <a16:creationId xmlns:a16="http://schemas.microsoft.com/office/drawing/2014/main" id="{00000000-0008-0000-0200-00002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15</xdr:row>
          <xdr:rowOff>9525</xdr:rowOff>
        </xdr:from>
        <xdr:to>
          <xdr:col>10</xdr:col>
          <xdr:colOff>9525</xdr:colOff>
          <xdr:row>15</xdr:row>
          <xdr:rowOff>180975</xdr:rowOff>
        </xdr:to>
        <xdr:sp macro="" textlink="">
          <xdr:nvSpPr>
            <xdr:cNvPr id="3110" name="Drop Down 38" hidden="1">
              <a:extLst>
                <a:ext uri="{63B3BB69-23CF-44E3-9099-C40C66FF867C}">
                  <a14:compatExt spid="_x0000_s3110"/>
                </a:ext>
                <a:ext uri="{FF2B5EF4-FFF2-40B4-BE49-F238E27FC236}">
                  <a16:creationId xmlns:a16="http://schemas.microsoft.com/office/drawing/2014/main" id="{00000000-0008-0000-0200-00002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16</xdr:row>
          <xdr:rowOff>9525</xdr:rowOff>
        </xdr:from>
        <xdr:to>
          <xdr:col>10</xdr:col>
          <xdr:colOff>9525</xdr:colOff>
          <xdr:row>16</xdr:row>
          <xdr:rowOff>180975</xdr:rowOff>
        </xdr:to>
        <xdr:sp macro="" textlink="">
          <xdr:nvSpPr>
            <xdr:cNvPr id="3111" name="Drop Down 39" hidden="1">
              <a:extLst>
                <a:ext uri="{63B3BB69-23CF-44E3-9099-C40C66FF867C}">
                  <a14:compatExt spid="_x0000_s3111"/>
                </a:ext>
                <a:ext uri="{FF2B5EF4-FFF2-40B4-BE49-F238E27FC236}">
                  <a16:creationId xmlns:a16="http://schemas.microsoft.com/office/drawing/2014/main" id="{00000000-0008-0000-0200-00002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17</xdr:row>
          <xdr:rowOff>9525</xdr:rowOff>
        </xdr:from>
        <xdr:to>
          <xdr:col>10</xdr:col>
          <xdr:colOff>9525</xdr:colOff>
          <xdr:row>17</xdr:row>
          <xdr:rowOff>180975</xdr:rowOff>
        </xdr:to>
        <xdr:sp macro="" textlink="">
          <xdr:nvSpPr>
            <xdr:cNvPr id="3112" name="Drop Down 40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02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18</xdr:row>
          <xdr:rowOff>9525</xdr:rowOff>
        </xdr:from>
        <xdr:to>
          <xdr:col>10</xdr:col>
          <xdr:colOff>9525</xdr:colOff>
          <xdr:row>18</xdr:row>
          <xdr:rowOff>180975</xdr:rowOff>
        </xdr:to>
        <xdr:sp macro="" textlink="">
          <xdr:nvSpPr>
            <xdr:cNvPr id="3113" name="Drop Down 41" hidden="1">
              <a:extLst>
                <a:ext uri="{63B3BB69-23CF-44E3-9099-C40C66FF867C}">
                  <a14:compatExt spid="_x0000_s3113"/>
                </a:ext>
                <a:ext uri="{FF2B5EF4-FFF2-40B4-BE49-F238E27FC236}">
                  <a16:creationId xmlns:a16="http://schemas.microsoft.com/office/drawing/2014/main" id="{00000000-0008-0000-0200-00002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19</xdr:row>
          <xdr:rowOff>9525</xdr:rowOff>
        </xdr:from>
        <xdr:to>
          <xdr:col>10</xdr:col>
          <xdr:colOff>9525</xdr:colOff>
          <xdr:row>19</xdr:row>
          <xdr:rowOff>180975</xdr:rowOff>
        </xdr:to>
        <xdr:sp macro="" textlink="">
          <xdr:nvSpPr>
            <xdr:cNvPr id="3114" name="Drop Down 42" hidden="1">
              <a:extLst>
                <a:ext uri="{63B3BB69-23CF-44E3-9099-C40C66FF867C}">
                  <a14:compatExt spid="_x0000_s3114"/>
                </a:ext>
                <a:ext uri="{FF2B5EF4-FFF2-40B4-BE49-F238E27FC236}">
                  <a16:creationId xmlns:a16="http://schemas.microsoft.com/office/drawing/2014/main" id="{00000000-0008-0000-0200-00002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20</xdr:row>
          <xdr:rowOff>9525</xdr:rowOff>
        </xdr:from>
        <xdr:to>
          <xdr:col>10</xdr:col>
          <xdr:colOff>9525</xdr:colOff>
          <xdr:row>20</xdr:row>
          <xdr:rowOff>180975</xdr:rowOff>
        </xdr:to>
        <xdr:sp macro="" textlink="">
          <xdr:nvSpPr>
            <xdr:cNvPr id="3115" name="Drop Down 43" hidden="1">
              <a:extLst>
                <a:ext uri="{63B3BB69-23CF-44E3-9099-C40C66FF867C}">
                  <a14:compatExt spid="_x0000_s3115"/>
                </a:ext>
                <a:ext uri="{FF2B5EF4-FFF2-40B4-BE49-F238E27FC236}">
                  <a16:creationId xmlns:a16="http://schemas.microsoft.com/office/drawing/2014/main" id="{00000000-0008-0000-0200-00002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21</xdr:row>
          <xdr:rowOff>9525</xdr:rowOff>
        </xdr:from>
        <xdr:to>
          <xdr:col>10</xdr:col>
          <xdr:colOff>9525</xdr:colOff>
          <xdr:row>21</xdr:row>
          <xdr:rowOff>180975</xdr:rowOff>
        </xdr:to>
        <xdr:sp macro="" textlink="">
          <xdr:nvSpPr>
            <xdr:cNvPr id="3116" name="Drop Down 44" hidden="1">
              <a:extLst>
                <a:ext uri="{63B3BB69-23CF-44E3-9099-C40C66FF867C}">
                  <a14:compatExt spid="_x0000_s3116"/>
                </a:ext>
                <a:ext uri="{FF2B5EF4-FFF2-40B4-BE49-F238E27FC236}">
                  <a16:creationId xmlns:a16="http://schemas.microsoft.com/office/drawing/2014/main" id="{00000000-0008-0000-0200-00002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13</xdr:col>
      <xdr:colOff>266700</xdr:colOff>
      <xdr:row>4</xdr:row>
      <xdr:rowOff>9525</xdr:rowOff>
    </xdr:from>
    <xdr:to>
      <xdr:col>13</xdr:col>
      <xdr:colOff>590551</xdr:colOff>
      <xdr:row>4</xdr:row>
      <xdr:rowOff>190500</xdr:rowOff>
    </xdr:to>
    <xdr:cxnSp macro="">
      <xdr:nvCxnSpPr>
        <xdr:cNvPr id="46" name="Lige pilforbindelse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CxnSpPr/>
      </xdr:nvCxnSpPr>
      <xdr:spPr>
        <a:xfrm flipH="1">
          <a:off x="6496050" y="981075"/>
          <a:ext cx="323851" cy="180975"/>
        </a:xfrm>
        <a:prstGeom prst="straightConnector1">
          <a:avLst/>
        </a:prstGeom>
        <a:ln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8</xdr:row>
          <xdr:rowOff>9525</xdr:rowOff>
        </xdr:from>
        <xdr:to>
          <xdr:col>5</xdr:col>
          <xdr:colOff>9525</xdr:colOff>
          <xdr:row>8</xdr:row>
          <xdr:rowOff>180975</xdr:rowOff>
        </xdr:to>
        <xdr:sp macro="" textlink="">
          <xdr:nvSpPr>
            <xdr:cNvPr id="3117" name="Drop Down 45" hidden="1">
              <a:extLst>
                <a:ext uri="{63B3BB69-23CF-44E3-9099-C40C66FF867C}">
                  <a14:compatExt spid="_x0000_s3117"/>
                </a:ext>
                <a:ext uri="{FF2B5EF4-FFF2-40B4-BE49-F238E27FC236}">
                  <a16:creationId xmlns:a16="http://schemas.microsoft.com/office/drawing/2014/main" id="{00000000-0008-0000-0200-00002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9</xdr:row>
          <xdr:rowOff>9525</xdr:rowOff>
        </xdr:from>
        <xdr:to>
          <xdr:col>5</xdr:col>
          <xdr:colOff>9525</xdr:colOff>
          <xdr:row>9</xdr:row>
          <xdr:rowOff>180975</xdr:rowOff>
        </xdr:to>
        <xdr:sp macro="" textlink="">
          <xdr:nvSpPr>
            <xdr:cNvPr id="3118" name="Drop Down 46" hidden="1">
              <a:extLst>
                <a:ext uri="{63B3BB69-23CF-44E3-9099-C40C66FF867C}">
                  <a14:compatExt spid="_x0000_s3118"/>
                </a:ext>
                <a:ext uri="{FF2B5EF4-FFF2-40B4-BE49-F238E27FC236}">
                  <a16:creationId xmlns:a16="http://schemas.microsoft.com/office/drawing/2014/main" id="{00000000-0008-0000-0200-00002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10</xdr:row>
          <xdr:rowOff>9525</xdr:rowOff>
        </xdr:from>
        <xdr:to>
          <xdr:col>5</xdr:col>
          <xdr:colOff>9525</xdr:colOff>
          <xdr:row>10</xdr:row>
          <xdr:rowOff>180975</xdr:rowOff>
        </xdr:to>
        <xdr:sp macro="" textlink="">
          <xdr:nvSpPr>
            <xdr:cNvPr id="3119" name="Drop Down 47" hidden="1">
              <a:extLst>
                <a:ext uri="{63B3BB69-23CF-44E3-9099-C40C66FF867C}">
                  <a14:compatExt spid="_x0000_s3119"/>
                </a:ext>
                <a:ext uri="{FF2B5EF4-FFF2-40B4-BE49-F238E27FC236}">
                  <a16:creationId xmlns:a16="http://schemas.microsoft.com/office/drawing/2014/main" id="{00000000-0008-0000-0200-00002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11</xdr:row>
          <xdr:rowOff>9525</xdr:rowOff>
        </xdr:from>
        <xdr:to>
          <xdr:col>5</xdr:col>
          <xdr:colOff>9525</xdr:colOff>
          <xdr:row>11</xdr:row>
          <xdr:rowOff>180975</xdr:rowOff>
        </xdr:to>
        <xdr:sp macro="" textlink="">
          <xdr:nvSpPr>
            <xdr:cNvPr id="3120" name="Drop Down 48" hidden="1">
              <a:extLst>
                <a:ext uri="{63B3BB69-23CF-44E3-9099-C40C66FF867C}">
                  <a14:compatExt spid="_x0000_s3120"/>
                </a:ext>
                <a:ext uri="{FF2B5EF4-FFF2-40B4-BE49-F238E27FC236}">
                  <a16:creationId xmlns:a16="http://schemas.microsoft.com/office/drawing/2014/main" id="{00000000-0008-0000-0200-00003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12</xdr:row>
          <xdr:rowOff>9525</xdr:rowOff>
        </xdr:from>
        <xdr:to>
          <xdr:col>5</xdr:col>
          <xdr:colOff>9525</xdr:colOff>
          <xdr:row>12</xdr:row>
          <xdr:rowOff>180975</xdr:rowOff>
        </xdr:to>
        <xdr:sp macro="" textlink="">
          <xdr:nvSpPr>
            <xdr:cNvPr id="3121" name="Drop Down 49" hidden="1">
              <a:extLst>
                <a:ext uri="{63B3BB69-23CF-44E3-9099-C40C66FF867C}">
                  <a14:compatExt spid="_x0000_s3121"/>
                </a:ext>
                <a:ext uri="{FF2B5EF4-FFF2-40B4-BE49-F238E27FC236}">
                  <a16:creationId xmlns:a16="http://schemas.microsoft.com/office/drawing/2014/main" id="{00000000-0008-0000-0200-00003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13</xdr:row>
          <xdr:rowOff>9525</xdr:rowOff>
        </xdr:from>
        <xdr:to>
          <xdr:col>5</xdr:col>
          <xdr:colOff>9525</xdr:colOff>
          <xdr:row>13</xdr:row>
          <xdr:rowOff>180975</xdr:rowOff>
        </xdr:to>
        <xdr:sp macro="" textlink="">
          <xdr:nvSpPr>
            <xdr:cNvPr id="3122" name="Drop Down 50" hidden="1">
              <a:extLst>
                <a:ext uri="{63B3BB69-23CF-44E3-9099-C40C66FF867C}">
                  <a14:compatExt spid="_x0000_s3122"/>
                </a:ext>
                <a:ext uri="{FF2B5EF4-FFF2-40B4-BE49-F238E27FC236}">
                  <a16:creationId xmlns:a16="http://schemas.microsoft.com/office/drawing/2014/main" id="{00000000-0008-0000-0200-00003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14</xdr:row>
          <xdr:rowOff>9525</xdr:rowOff>
        </xdr:from>
        <xdr:to>
          <xdr:col>5</xdr:col>
          <xdr:colOff>9525</xdr:colOff>
          <xdr:row>14</xdr:row>
          <xdr:rowOff>180975</xdr:rowOff>
        </xdr:to>
        <xdr:sp macro="" textlink="">
          <xdr:nvSpPr>
            <xdr:cNvPr id="3123" name="Drop Down 51" hidden="1">
              <a:extLst>
                <a:ext uri="{63B3BB69-23CF-44E3-9099-C40C66FF867C}">
                  <a14:compatExt spid="_x0000_s3123"/>
                </a:ext>
                <a:ext uri="{FF2B5EF4-FFF2-40B4-BE49-F238E27FC236}">
                  <a16:creationId xmlns:a16="http://schemas.microsoft.com/office/drawing/2014/main" id="{00000000-0008-0000-0200-00003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15</xdr:row>
          <xdr:rowOff>9525</xdr:rowOff>
        </xdr:from>
        <xdr:to>
          <xdr:col>5</xdr:col>
          <xdr:colOff>9525</xdr:colOff>
          <xdr:row>15</xdr:row>
          <xdr:rowOff>180975</xdr:rowOff>
        </xdr:to>
        <xdr:sp macro="" textlink="">
          <xdr:nvSpPr>
            <xdr:cNvPr id="3124" name="Drop Down 52" hidden="1">
              <a:extLst>
                <a:ext uri="{63B3BB69-23CF-44E3-9099-C40C66FF867C}">
                  <a14:compatExt spid="_x0000_s3124"/>
                </a:ext>
                <a:ext uri="{FF2B5EF4-FFF2-40B4-BE49-F238E27FC236}">
                  <a16:creationId xmlns:a16="http://schemas.microsoft.com/office/drawing/2014/main" id="{00000000-0008-0000-0200-00003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16</xdr:row>
          <xdr:rowOff>9525</xdr:rowOff>
        </xdr:from>
        <xdr:to>
          <xdr:col>5</xdr:col>
          <xdr:colOff>9525</xdr:colOff>
          <xdr:row>16</xdr:row>
          <xdr:rowOff>180975</xdr:rowOff>
        </xdr:to>
        <xdr:sp macro="" textlink="">
          <xdr:nvSpPr>
            <xdr:cNvPr id="3125" name="Drop Down 53" hidden="1">
              <a:extLst>
                <a:ext uri="{63B3BB69-23CF-44E3-9099-C40C66FF867C}">
                  <a14:compatExt spid="_x0000_s3125"/>
                </a:ext>
                <a:ext uri="{FF2B5EF4-FFF2-40B4-BE49-F238E27FC236}">
                  <a16:creationId xmlns:a16="http://schemas.microsoft.com/office/drawing/2014/main" id="{00000000-0008-0000-0200-00003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17</xdr:row>
          <xdr:rowOff>9525</xdr:rowOff>
        </xdr:from>
        <xdr:to>
          <xdr:col>5</xdr:col>
          <xdr:colOff>9525</xdr:colOff>
          <xdr:row>17</xdr:row>
          <xdr:rowOff>180975</xdr:rowOff>
        </xdr:to>
        <xdr:sp macro="" textlink="">
          <xdr:nvSpPr>
            <xdr:cNvPr id="3126" name="Drop Down 54" hidden="1">
              <a:extLst>
                <a:ext uri="{63B3BB69-23CF-44E3-9099-C40C66FF867C}">
                  <a14:compatExt spid="_x0000_s3126"/>
                </a:ext>
                <a:ext uri="{FF2B5EF4-FFF2-40B4-BE49-F238E27FC236}">
                  <a16:creationId xmlns:a16="http://schemas.microsoft.com/office/drawing/2014/main" id="{00000000-0008-0000-0200-00003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18</xdr:row>
          <xdr:rowOff>9525</xdr:rowOff>
        </xdr:from>
        <xdr:to>
          <xdr:col>5</xdr:col>
          <xdr:colOff>9525</xdr:colOff>
          <xdr:row>18</xdr:row>
          <xdr:rowOff>180975</xdr:rowOff>
        </xdr:to>
        <xdr:sp macro="" textlink="">
          <xdr:nvSpPr>
            <xdr:cNvPr id="3127" name="Drop Down 55" hidden="1">
              <a:extLst>
                <a:ext uri="{63B3BB69-23CF-44E3-9099-C40C66FF867C}">
                  <a14:compatExt spid="_x0000_s3127"/>
                </a:ext>
                <a:ext uri="{FF2B5EF4-FFF2-40B4-BE49-F238E27FC236}">
                  <a16:creationId xmlns:a16="http://schemas.microsoft.com/office/drawing/2014/main" id="{00000000-0008-0000-0200-00003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19</xdr:row>
          <xdr:rowOff>9525</xdr:rowOff>
        </xdr:from>
        <xdr:to>
          <xdr:col>5</xdr:col>
          <xdr:colOff>9525</xdr:colOff>
          <xdr:row>19</xdr:row>
          <xdr:rowOff>180975</xdr:rowOff>
        </xdr:to>
        <xdr:sp macro="" textlink="">
          <xdr:nvSpPr>
            <xdr:cNvPr id="3128" name="Drop Down 56" hidden="1">
              <a:extLst>
                <a:ext uri="{63B3BB69-23CF-44E3-9099-C40C66FF867C}">
                  <a14:compatExt spid="_x0000_s3128"/>
                </a:ext>
                <a:ext uri="{FF2B5EF4-FFF2-40B4-BE49-F238E27FC236}">
                  <a16:creationId xmlns:a16="http://schemas.microsoft.com/office/drawing/2014/main" id="{00000000-0008-0000-0200-00003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20</xdr:row>
          <xdr:rowOff>9525</xdr:rowOff>
        </xdr:from>
        <xdr:to>
          <xdr:col>5</xdr:col>
          <xdr:colOff>9525</xdr:colOff>
          <xdr:row>20</xdr:row>
          <xdr:rowOff>180975</xdr:rowOff>
        </xdr:to>
        <xdr:sp macro="" textlink="">
          <xdr:nvSpPr>
            <xdr:cNvPr id="3129" name="Drop Down 57" hidden="1">
              <a:extLst>
                <a:ext uri="{63B3BB69-23CF-44E3-9099-C40C66FF867C}">
                  <a14:compatExt spid="_x0000_s3129"/>
                </a:ext>
                <a:ext uri="{FF2B5EF4-FFF2-40B4-BE49-F238E27FC236}">
                  <a16:creationId xmlns:a16="http://schemas.microsoft.com/office/drawing/2014/main" id="{00000000-0008-0000-0200-00003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21</xdr:row>
          <xdr:rowOff>9525</xdr:rowOff>
        </xdr:from>
        <xdr:to>
          <xdr:col>5</xdr:col>
          <xdr:colOff>9525</xdr:colOff>
          <xdr:row>21</xdr:row>
          <xdr:rowOff>180975</xdr:rowOff>
        </xdr:to>
        <xdr:sp macro="" textlink="">
          <xdr:nvSpPr>
            <xdr:cNvPr id="3130" name="Drop Down 58" hidden="1">
              <a:extLst>
                <a:ext uri="{63B3BB69-23CF-44E3-9099-C40C66FF867C}">
                  <a14:compatExt spid="_x0000_s3130"/>
                </a:ext>
                <a:ext uri="{FF2B5EF4-FFF2-40B4-BE49-F238E27FC236}">
                  <a16:creationId xmlns:a16="http://schemas.microsoft.com/office/drawing/2014/main" id="{00000000-0008-0000-0200-00003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7</xdr:row>
          <xdr:rowOff>9525</xdr:rowOff>
        </xdr:from>
        <xdr:to>
          <xdr:col>10</xdr:col>
          <xdr:colOff>9525</xdr:colOff>
          <xdr:row>7</xdr:row>
          <xdr:rowOff>180975</xdr:rowOff>
        </xdr:to>
        <xdr:sp macro="" textlink="">
          <xdr:nvSpPr>
            <xdr:cNvPr id="3131" name="Drop Down 59" hidden="1">
              <a:extLst>
                <a:ext uri="{63B3BB69-23CF-44E3-9099-C40C66FF867C}">
                  <a14:compatExt spid="_x0000_s3131"/>
                </a:ext>
                <a:ext uri="{FF2B5EF4-FFF2-40B4-BE49-F238E27FC236}">
                  <a16:creationId xmlns:a16="http://schemas.microsoft.com/office/drawing/2014/main" id="{00000000-0008-0000-0200-00003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8</xdr:row>
          <xdr:rowOff>9525</xdr:rowOff>
        </xdr:from>
        <xdr:to>
          <xdr:col>10</xdr:col>
          <xdr:colOff>9525</xdr:colOff>
          <xdr:row>8</xdr:row>
          <xdr:rowOff>180975</xdr:rowOff>
        </xdr:to>
        <xdr:sp macro="" textlink="">
          <xdr:nvSpPr>
            <xdr:cNvPr id="3132" name="Drop Down 60" hidden="1">
              <a:extLst>
                <a:ext uri="{63B3BB69-23CF-44E3-9099-C40C66FF867C}">
                  <a14:compatExt spid="_x0000_s3132"/>
                </a:ext>
                <a:ext uri="{FF2B5EF4-FFF2-40B4-BE49-F238E27FC236}">
                  <a16:creationId xmlns:a16="http://schemas.microsoft.com/office/drawing/2014/main" id="{00000000-0008-0000-0200-00003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9</xdr:row>
          <xdr:rowOff>9525</xdr:rowOff>
        </xdr:from>
        <xdr:to>
          <xdr:col>10</xdr:col>
          <xdr:colOff>9525</xdr:colOff>
          <xdr:row>9</xdr:row>
          <xdr:rowOff>180975</xdr:rowOff>
        </xdr:to>
        <xdr:sp macro="" textlink="">
          <xdr:nvSpPr>
            <xdr:cNvPr id="3133" name="Drop Down 61" hidden="1">
              <a:extLst>
                <a:ext uri="{63B3BB69-23CF-44E3-9099-C40C66FF867C}">
                  <a14:compatExt spid="_x0000_s3133"/>
                </a:ext>
                <a:ext uri="{FF2B5EF4-FFF2-40B4-BE49-F238E27FC236}">
                  <a16:creationId xmlns:a16="http://schemas.microsoft.com/office/drawing/2014/main" id="{00000000-0008-0000-0200-00003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10</xdr:row>
          <xdr:rowOff>9525</xdr:rowOff>
        </xdr:from>
        <xdr:to>
          <xdr:col>10</xdr:col>
          <xdr:colOff>9525</xdr:colOff>
          <xdr:row>10</xdr:row>
          <xdr:rowOff>180975</xdr:rowOff>
        </xdr:to>
        <xdr:sp macro="" textlink="">
          <xdr:nvSpPr>
            <xdr:cNvPr id="3134" name="Drop Down 62" hidden="1">
              <a:extLst>
                <a:ext uri="{63B3BB69-23CF-44E3-9099-C40C66FF867C}">
                  <a14:compatExt spid="_x0000_s3134"/>
                </a:ext>
                <a:ext uri="{FF2B5EF4-FFF2-40B4-BE49-F238E27FC236}">
                  <a16:creationId xmlns:a16="http://schemas.microsoft.com/office/drawing/2014/main" id="{00000000-0008-0000-0200-00003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11</xdr:row>
          <xdr:rowOff>9525</xdr:rowOff>
        </xdr:from>
        <xdr:to>
          <xdr:col>10</xdr:col>
          <xdr:colOff>9525</xdr:colOff>
          <xdr:row>11</xdr:row>
          <xdr:rowOff>180975</xdr:rowOff>
        </xdr:to>
        <xdr:sp macro="" textlink="">
          <xdr:nvSpPr>
            <xdr:cNvPr id="3135" name="Drop Down 63" hidden="1">
              <a:extLst>
                <a:ext uri="{63B3BB69-23CF-44E3-9099-C40C66FF867C}">
                  <a14:compatExt spid="_x0000_s3135"/>
                </a:ext>
                <a:ext uri="{FF2B5EF4-FFF2-40B4-BE49-F238E27FC236}">
                  <a16:creationId xmlns:a16="http://schemas.microsoft.com/office/drawing/2014/main" id="{00000000-0008-0000-0200-00003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12</xdr:row>
          <xdr:rowOff>9525</xdr:rowOff>
        </xdr:from>
        <xdr:to>
          <xdr:col>10</xdr:col>
          <xdr:colOff>9525</xdr:colOff>
          <xdr:row>12</xdr:row>
          <xdr:rowOff>180975</xdr:rowOff>
        </xdr:to>
        <xdr:sp macro="" textlink="">
          <xdr:nvSpPr>
            <xdr:cNvPr id="3136" name="Drop Down 64" hidden="1">
              <a:extLst>
                <a:ext uri="{63B3BB69-23CF-44E3-9099-C40C66FF867C}">
                  <a14:compatExt spid="_x0000_s3136"/>
                </a:ext>
                <a:ext uri="{FF2B5EF4-FFF2-40B4-BE49-F238E27FC236}">
                  <a16:creationId xmlns:a16="http://schemas.microsoft.com/office/drawing/2014/main" id="{00000000-0008-0000-0200-00004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13</xdr:row>
          <xdr:rowOff>9525</xdr:rowOff>
        </xdr:from>
        <xdr:to>
          <xdr:col>10</xdr:col>
          <xdr:colOff>9525</xdr:colOff>
          <xdr:row>13</xdr:row>
          <xdr:rowOff>180975</xdr:rowOff>
        </xdr:to>
        <xdr:sp macro="" textlink="">
          <xdr:nvSpPr>
            <xdr:cNvPr id="3137" name="Drop Down 65" hidden="1">
              <a:extLst>
                <a:ext uri="{63B3BB69-23CF-44E3-9099-C40C66FF867C}">
                  <a14:compatExt spid="_x0000_s3137"/>
                </a:ext>
                <a:ext uri="{FF2B5EF4-FFF2-40B4-BE49-F238E27FC236}">
                  <a16:creationId xmlns:a16="http://schemas.microsoft.com/office/drawing/2014/main" id="{00000000-0008-0000-0200-00004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14</xdr:row>
          <xdr:rowOff>9525</xdr:rowOff>
        </xdr:from>
        <xdr:to>
          <xdr:col>10</xdr:col>
          <xdr:colOff>9525</xdr:colOff>
          <xdr:row>14</xdr:row>
          <xdr:rowOff>180975</xdr:rowOff>
        </xdr:to>
        <xdr:sp macro="" textlink="">
          <xdr:nvSpPr>
            <xdr:cNvPr id="3138" name="Drop Down 66" hidden="1">
              <a:extLst>
                <a:ext uri="{63B3BB69-23CF-44E3-9099-C40C66FF867C}">
                  <a14:compatExt spid="_x0000_s3138"/>
                </a:ext>
                <a:ext uri="{FF2B5EF4-FFF2-40B4-BE49-F238E27FC236}">
                  <a16:creationId xmlns:a16="http://schemas.microsoft.com/office/drawing/2014/main" id="{00000000-0008-0000-0200-00004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15</xdr:row>
          <xdr:rowOff>9525</xdr:rowOff>
        </xdr:from>
        <xdr:to>
          <xdr:col>10</xdr:col>
          <xdr:colOff>9525</xdr:colOff>
          <xdr:row>15</xdr:row>
          <xdr:rowOff>180975</xdr:rowOff>
        </xdr:to>
        <xdr:sp macro="" textlink="">
          <xdr:nvSpPr>
            <xdr:cNvPr id="3139" name="Drop Down 67" hidden="1">
              <a:extLst>
                <a:ext uri="{63B3BB69-23CF-44E3-9099-C40C66FF867C}">
                  <a14:compatExt spid="_x0000_s3139"/>
                </a:ext>
                <a:ext uri="{FF2B5EF4-FFF2-40B4-BE49-F238E27FC236}">
                  <a16:creationId xmlns:a16="http://schemas.microsoft.com/office/drawing/2014/main" id="{00000000-0008-0000-0200-00004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16</xdr:row>
          <xdr:rowOff>9525</xdr:rowOff>
        </xdr:from>
        <xdr:to>
          <xdr:col>10</xdr:col>
          <xdr:colOff>9525</xdr:colOff>
          <xdr:row>16</xdr:row>
          <xdr:rowOff>180975</xdr:rowOff>
        </xdr:to>
        <xdr:sp macro="" textlink="">
          <xdr:nvSpPr>
            <xdr:cNvPr id="3140" name="Drop Down 68" hidden="1">
              <a:extLst>
                <a:ext uri="{63B3BB69-23CF-44E3-9099-C40C66FF867C}">
                  <a14:compatExt spid="_x0000_s3140"/>
                </a:ext>
                <a:ext uri="{FF2B5EF4-FFF2-40B4-BE49-F238E27FC236}">
                  <a16:creationId xmlns:a16="http://schemas.microsoft.com/office/drawing/2014/main" id="{00000000-0008-0000-0200-00004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17</xdr:row>
          <xdr:rowOff>9525</xdr:rowOff>
        </xdr:from>
        <xdr:to>
          <xdr:col>10</xdr:col>
          <xdr:colOff>9525</xdr:colOff>
          <xdr:row>17</xdr:row>
          <xdr:rowOff>180975</xdr:rowOff>
        </xdr:to>
        <xdr:sp macro="" textlink="">
          <xdr:nvSpPr>
            <xdr:cNvPr id="3141" name="Drop Down 69" hidden="1">
              <a:extLst>
                <a:ext uri="{63B3BB69-23CF-44E3-9099-C40C66FF867C}">
                  <a14:compatExt spid="_x0000_s3141"/>
                </a:ext>
                <a:ext uri="{FF2B5EF4-FFF2-40B4-BE49-F238E27FC236}">
                  <a16:creationId xmlns:a16="http://schemas.microsoft.com/office/drawing/2014/main" id="{00000000-0008-0000-0200-00004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18</xdr:row>
          <xdr:rowOff>9525</xdr:rowOff>
        </xdr:from>
        <xdr:to>
          <xdr:col>10</xdr:col>
          <xdr:colOff>9525</xdr:colOff>
          <xdr:row>18</xdr:row>
          <xdr:rowOff>180975</xdr:rowOff>
        </xdr:to>
        <xdr:sp macro="" textlink="">
          <xdr:nvSpPr>
            <xdr:cNvPr id="3142" name="Drop Down 70" hidden="1">
              <a:extLst>
                <a:ext uri="{63B3BB69-23CF-44E3-9099-C40C66FF867C}">
                  <a14:compatExt spid="_x0000_s3142"/>
                </a:ext>
                <a:ext uri="{FF2B5EF4-FFF2-40B4-BE49-F238E27FC236}">
                  <a16:creationId xmlns:a16="http://schemas.microsoft.com/office/drawing/2014/main" id="{00000000-0008-0000-0200-00004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19</xdr:row>
          <xdr:rowOff>9525</xdr:rowOff>
        </xdr:from>
        <xdr:to>
          <xdr:col>10</xdr:col>
          <xdr:colOff>9525</xdr:colOff>
          <xdr:row>19</xdr:row>
          <xdr:rowOff>180975</xdr:rowOff>
        </xdr:to>
        <xdr:sp macro="" textlink="">
          <xdr:nvSpPr>
            <xdr:cNvPr id="3143" name="Drop Down 71" hidden="1">
              <a:extLst>
                <a:ext uri="{63B3BB69-23CF-44E3-9099-C40C66FF867C}">
                  <a14:compatExt spid="_x0000_s3143"/>
                </a:ext>
                <a:ext uri="{FF2B5EF4-FFF2-40B4-BE49-F238E27FC236}">
                  <a16:creationId xmlns:a16="http://schemas.microsoft.com/office/drawing/2014/main" id="{00000000-0008-0000-0200-00004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20</xdr:row>
          <xdr:rowOff>9525</xdr:rowOff>
        </xdr:from>
        <xdr:to>
          <xdr:col>10</xdr:col>
          <xdr:colOff>9525</xdr:colOff>
          <xdr:row>20</xdr:row>
          <xdr:rowOff>180975</xdr:rowOff>
        </xdr:to>
        <xdr:sp macro="" textlink="">
          <xdr:nvSpPr>
            <xdr:cNvPr id="3144" name="Drop Down 72" hidden="1">
              <a:extLst>
                <a:ext uri="{63B3BB69-23CF-44E3-9099-C40C66FF867C}">
                  <a14:compatExt spid="_x0000_s3144"/>
                </a:ext>
                <a:ext uri="{FF2B5EF4-FFF2-40B4-BE49-F238E27FC236}">
                  <a16:creationId xmlns:a16="http://schemas.microsoft.com/office/drawing/2014/main" id="{00000000-0008-0000-0200-00004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21</xdr:row>
          <xdr:rowOff>9525</xdr:rowOff>
        </xdr:from>
        <xdr:to>
          <xdr:col>10</xdr:col>
          <xdr:colOff>9525</xdr:colOff>
          <xdr:row>21</xdr:row>
          <xdr:rowOff>180975</xdr:rowOff>
        </xdr:to>
        <xdr:sp macro="" textlink="">
          <xdr:nvSpPr>
            <xdr:cNvPr id="3145" name="Drop Down 73" hidden="1">
              <a:extLst>
                <a:ext uri="{63B3BB69-23CF-44E3-9099-C40C66FF867C}">
                  <a14:compatExt spid="_x0000_s3145"/>
                </a:ext>
                <a:ext uri="{FF2B5EF4-FFF2-40B4-BE49-F238E27FC236}">
                  <a16:creationId xmlns:a16="http://schemas.microsoft.com/office/drawing/2014/main" id="{00000000-0008-0000-0200-00004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8</xdr:row>
          <xdr:rowOff>9525</xdr:rowOff>
        </xdr:from>
        <xdr:to>
          <xdr:col>10</xdr:col>
          <xdr:colOff>9525</xdr:colOff>
          <xdr:row>8</xdr:row>
          <xdr:rowOff>180975</xdr:rowOff>
        </xdr:to>
        <xdr:sp macro="" textlink="">
          <xdr:nvSpPr>
            <xdr:cNvPr id="3146" name="Drop Down 74" hidden="1">
              <a:extLst>
                <a:ext uri="{63B3BB69-23CF-44E3-9099-C40C66FF867C}">
                  <a14:compatExt spid="_x0000_s3146"/>
                </a:ext>
                <a:ext uri="{FF2B5EF4-FFF2-40B4-BE49-F238E27FC236}">
                  <a16:creationId xmlns:a16="http://schemas.microsoft.com/office/drawing/2014/main" id="{00000000-0008-0000-0200-00004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9</xdr:row>
          <xdr:rowOff>9525</xdr:rowOff>
        </xdr:from>
        <xdr:to>
          <xdr:col>10</xdr:col>
          <xdr:colOff>9525</xdr:colOff>
          <xdr:row>9</xdr:row>
          <xdr:rowOff>180975</xdr:rowOff>
        </xdr:to>
        <xdr:sp macro="" textlink="">
          <xdr:nvSpPr>
            <xdr:cNvPr id="3147" name="Drop Down 75" hidden="1">
              <a:extLst>
                <a:ext uri="{63B3BB69-23CF-44E3-9099-C40C66FF867C}">
                  <a14:compatExt spid="_x0000_s3147"/>
                </a:ext>
                <a:ext uri="{FF2B5EF4-FFF2-40B4-BE49-F238E27FC236}">
                  <a16:creationId xmlns:a16="http://schemas.microsoft.com/office/drawing/2014/main" id="{00000000-0008-0000-0200-00004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10</xdr:row>
          <xdr:rowOff>9525</xdr:rowOff>
        </xdr:from>
        <xdr:to>
          <xdr:col>10</xdr:col>
          <xdr:colOff>9525</xdr:colOff>
          <xdr:row>10</xdr:row>
          <xdr:rowOff>180975</xdr:rowOff>
        </xdr:to>
        <xdr:sp macro="" textlink="">
          <xdr:nvSpPr>
            <xdr:cNvPr id="3148" name="Drop Down 76" hidden="1">
              <a:extLst>
                <a:ext uri="{63B3BB69-23CF-44E3-9099-C40C66FF867C}">
                  <a14:compatExt spid="_x0000_s3148"/>
                </a:ext>
                <a:ext uri="{FF2B5EF4-FFF2-40B4-BE49-F238E27FC236}">
                  <a16:creationId xmlns:a16="http://schemas.microsoft.com/office/drawing/2014/main" id="{00000000-0008-0000-0200-00004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11</xdr:row>
          <xdr:rowOff>9525</xdr:rowOff>
        </xdr:from>
        <xdr:to>
          <xdr:col>10</xdr:col>
          <xdr:colOff>9525</xdr:colOff>
          <xdr:row>11</xdr:row>
          <xdr:rowOff>180975</xdr:rowOff>
        </xdr:to>
        <xdr:sp macro="" textlink="">
          <xdr:nvSpPr>
            <xdr:cNvPr id="3149" name="Drop Down 77" hidden="1">
              <a:extLst>
                <a:ext uri="{63B3BB69-23CF-44E3-9099-C40C66FF867C}">
                  <a14:compatExt spid="_x0000_s3149"/>
                </a:ext>
                <a:ext uri="{FF2B5EF4-FFF2-40B4-BE49-F238E27FC236}">
                  <a16:creationId xmlns:a16="http://schemas.microsoft.com/office/drawing/2014/main" id="{00000000-0008-0000-0200-00004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12</xdr:row>
          <xdr:rowOff>9525</xdr:rowOff>
        </xdr:from>
        <xdr:to>
          <xdr:col>10</xdr:col>
          <xdr:colOff>9525</xdr:colOff>
          <xdr:row>12</xdr:row>
          <xdr:rowOff>180975</xdr:rowOff>
        </xdr:to>
        <xdr:sp macro="" textlink="">
          <xdr:nvSpPr>
            <xdr:cNvPr id="3150" name="Drop Down 78" hidden="1">
              <a:extLst>
                <a:ext uri="{63B3BB69-23CF-44E3-9099-C40C66FF867C}">
                  <a14:compatExt spid="_x0000_s3150"/>
                </a:ext>
                <a:ext uri="{FF2B5EF4-FFF2-40B4-BE49-F238E27FC236}">
                  <a16:creationId xmlns:a16="http://schemas.microsoft.com/office/drawing/2014/main" id="{00000000-0008-0000-0200-00004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13</xdr:row>
          <xdr:rowOff>9525</xdr:rowOff>
        </xdr:from>
        <xdr:to>
          <xdr:col>10</xdr:col>
          <xdr:colOff>9525</xdr:colOff>
          <xdr:row>13</xdr:row>
          <xdr:rowOff>180975</xdr:rowOff>
        </xdr:to>
        <xdr:sp macro="" textlink="">
          <xdr:nvSpPr>
            <xdr:cNvPr id="3151" name="Drop Down 79" hidden="1">
              <a:extLst>
                <a:ext uri="{63B3BB69-23CF-44E3-9099-C40C66FF867C}">
                  <a14:compatExt spid="_x0000_s3151"/>
                </a:ext>
                <a:ext uri="{FF2B5EF4-FFF2-40B4-BE49-F238E27FC236}">
                  <a16:creationId xmlns:a16="http://schemas.microsoft.com/office/drawing/2014/main" id="{00000000-0008-0000-0200-00004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14</xdr:row>
          <xdr:rowOff>9525</xdr:rowOff>
        </xdr:from>
        <xdr:to>
          <xdr:col>10</xdr:col>
          <xdr:colOff>9525</xdr:colOff>
          <xdr:row>14</xdr:row>
          <xdr:rowOff>180975</xdr:rowOff>
        </xdr:to>
        <xdr:sp macro="" textlink="">
          <xdr:nvSpPr>
            <xdr:cNvPr id="3152" name="Drop Down 80" hidden="1">
              <a:extLst>
                <a:ext uri="{63B3BB69-23CF-44E3-9099-C40C66FF867C}">
                  <a14:compatExt spid="_x0000_s3152"/>
                </a:ext>
                <a:ext uri="{FF2B5EF4-FFF2-40B4-BE49-F238E27FC236}">
                  <a16:creationId xmlns:a16="http://schemas.microsoft.com/office/drawing/2014/main" id="{00000000-0008-0000-0200-00005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15</xdr:row>
          <xdr:rowOff>9525</xdr:rowOff>
        </xdr:from>
        <xdr:to>
          <xdr:col>10</xdr:col>
          <xdr:colOff>9525</xdr:colOff>
          <xdr:row>15</xdr:row>
          <xdr:rowOff>180975</xdr:rowOff>
        </xdr:to>
        <xdr:sp macro="" textlink="">
          <xdr:nvSpPr>
            <xdr:cNvPr id="3153" name="Drop Down 81" hidden="1">
              <a:extLst>
                <a:ext uri="{63B3BB69-23CF-44E3-9099-C40C66FF867C}">
                  <a14:compatExt spid="_x0000_s3153"/>
                </a:ext>
                <a:ext uri="{FF2B5EF4-FFF2-40B4-BE49-F238E27FC236}">
                  <a16:creationId xmlns:a16="http://schemas.microsoft.com/office/drawing/2014/main" id="{00000000-0008-0000-0200-00005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16</xdr:row>
          <xdr:rowOff>9525</xdr:rowOff>
        </xdr:from>
        <xdr:to>
          <xdr:col>10</xdr:col>
          <xdr:colOff>9525</xdr:colOff>
          <xdr:row>16</xdr:row>
          <xdr:rowOff>180975</xdr:rowOff>
        </xdr:to>
        <xdr:sp macro="" textlink="">
          <xdr:nvSpPr>
            <xdr:cNvPr id="3154" name="Drop Down 82" hidden="1">
              <a:extLst>
                <a:ext uri="{63B3BB69-23CF-44E3-9099-C40C66FF867C}">
                  <a14:compatExt spid="_x0000_s3154"/>
                </a:ext>
                <a:ext uri="{FF2B5EF4-FFF2-40B4-BE49-F238E27FC236}">
                  <a16:creationId xmlns:a16="http://schemas.microsoft.com/office/drawing/2014/main" id="{00000000-0008-0000-0200-00005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17</xdr:row>
          <xdr:rowOff>9525</xdr:rowOff>
        </xdr:from>
        <xdr:to>
          <xdr:col>10</xdr:col>
          <xdr:colOff>9525</xdr:colOff>
          <xdr:row>17</xdr:row>
          <xdr:rowOff>180975</xdr:rowOff>
        </xdr:to>
        <xdr:sp macro="" textlink="">
          <xdr:nvSpPr>
            <xdr:cNvPr id="3155" name="Drop Down 83" hidden="1">
              <a:extLst>
                <a:ext uri="{63B3BB69-23CF-44E3-9099-C40C66FF867C}">
                  <a14:compatExt spid="_x0000_s3155"/>
                </a:ext>
                <a:ext uri="{FF2B5EF4-FFF2-40B4-BE49-F238E27FC236}">
                  <a16:creationId xmlns:a16="http://schemas.microsoft.com/office/drawing/2014/main" id="{00000000-0008-0000-0200-00005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18</xdr:row>
          <xdr:rowOff>9525</xdr:rowOff>
        </xdr:from>
        <xdr:to>
          <xdr:col>10</xdr:col>
          <xdr:colOff>9525</xdr:colOff>
          <xdr:row>18</xdr:row>
          <xdr:rowOff>180975</xdr:rowOff>
        </xdr:to>
        <xdr:sp macro="" textlink="">
          <xdr:nvSpPr>
            <xdr:cNvPr id="3156" name="Drop Down 84" hidden="1">
              <a:extLst>
                <a:ext uri="{63B3BB69-23CF-44E3-9099-C40C66FF867C}">
                  <a14:compatExt spid="_x0000_s3156"/>
                </a:ext>
                <a:ext uri="{FF2B5EF4-FFF2-40B4-BE49-F238E27FC236}">
                  <a16:creationId xmlns:a16="http://schemas.microsoft.com/office/drawing/2014/main" id="{00000000-0008-0000-0200-00005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19</xdr:row>
          <xdr:rowOff>9525</xdr:rowOff>
        </xdr:from>
        <xdr:to>
          <xdr:col>10</xdr:col>
          <xdr:colOff>9525</xdr:colOff>
          <xdr:row>19</xdr:row>
          <xdr:rowOff>180975</xdr:rowOff>
        </xdr:to>
        <xdr:sp macro="" textlink="">
          <xdr:nvSpPr>
            <xdr:cNvPr id="3157" name="Drop Down 85" hidden="1">
              <a:extLst>
                <a:ext uri="{63B3BB69-23CF-44E3-9099-C40C66FF867C}">
                  <a14:compatExt spid="_x0000_s3157"/>
                </a:ext>
                <a:ext uri="{FF2B5EF4-FFF2-40B4-BE49-F238E27FC236}">
                  <a16:creationId xmlns:a16="http://schemas.microsoft.com/office/drawing/2014/main" id="{00000000-0008-0000-0200-00005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20</xdr:row>
          <xdr:rowOff>9525</xdr:rowOff>
        </xdr:from>
        <xdr:to>
          <xdr:col>10</xdr:col>
          <xdr:colOff>9525</xdr:colOff>
          <xdr:row>20</xdr:row>
          <xdr:rowOff>180975</xdr:rowOff>
        </xdr:to>
        <xdr:sp macro="" textlink="">
          <xdr:nvSpPr>
            <xdr:cNvPr id="3158" name="Drop Down 86" hidden="1">
              <a:extLst>
                <a:ext uri="{63B3BB69-23CF-44E3-9099-C40C66FF867C}">
                  <a14:compatExt spid="_x0000_s3158"/>
                </a:ext>
                <a:ext uri="{FF2B5EF4-FFF2-40B4-BE49-F238E27FC236}">
                  <a16:creationId xmlns:a16="http://schemas.microsoft.com/office/drawing/2014/main" id="{00000000-0008-0000-0200-00005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21</xdr:row>
          <xdr:rowOff>9525</xdr:rowOff>
        </xdr:from>
        <xdr:to>
          <xdr:col>10</xdr:col>
          <xdr:colOff>9525</xdr:colOff>
          <xdr:row>21</xdr:row>
          <xdr:rowOff>180975</xdr:rowOff>
        </xdr:to>
        <xdr:sp macro="" textlink="">
          <xdr:nvSpPr>
            <xdr:cNvPr id="3159" name="Drop Down 87" hidden="1">
              <a:extLst>
                <a:ext uri="{63B3BB69-23CF-44E3-9099-C40C66FF867C}">
                  <a14:compatExt spid="_x0000_s3159"/>
                </a:ext>
                <a:ext uri="{FF2B5EF4-FFF2-40B4-BE49-F238E27FC236}">
                  <a16:creationId xmlns:a16="http://schemas.microsoft.com/office/drawing/2014/main" id="{00000000-0008-0000-0200-00005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7</xdr:row>
          <xdr:rowOff>9525</xdr:rowOff>
        </xdr:from>
        <xdr:to>
          <xdr:col>11</xdr:col>
          <xdr:colOff>714375</xdr:colOff>
          <xdr:row>7</xdr:row>
          <xdr:rowOff>161925</xdr:rowOff>
        </xdr:to>
        <xdr:sp macro="" textlink="">
          <xdr:nvSpPr>
            <xdr:cNvPr id="3160" name="Drop Down 88" hidden="1">
              <a:extLst>
                <a:ext uri="{63B3BB69-23CF-44E3-9099-C40C66FF867C}">
                  <a14:compatExt spid="_x0000_s3160"/>
                </a:ext>
                <a:ext uri="{FF2B5EF4-FFF2-40B4-BE49-F238E27FC236}">
                  <a16:creationId xmlns:a16="http://schemas.microsoft.com/office/drawing/2014/main" id="{00000000-0008-0000-0200-00005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8</xdr:row>
          <xdr:rowOff>9525</xdr:rowOff>
        </xdr:from>
        <xdr:to>
          <xdr:col>11</xdr:col>
          <xdr:colOff>714375</xdr:colOff>
          <xdr:row>8</xdr:row>
          <xdr:rowOff>161925</xdr:rowOff>
        </xdr:to>
        <xdr:sp macro="" textlink="">
          <xdr:nvSpPr>
            <xdr:cNvPr id="3161" name="Drop Down 89" hidden="1">
              <a:extLst>
                <a:ext uri="{63B3BB69-23CF-44E3-9099-C40C66FF867C}">
                  <a14:compatExt spid="_x0000_s3161"/>
                </a:ext>
                <a:ext uri="{FF2B5EF4-FFF2-40B4-BE49-F238E27FC236}">
                  <a16:creationId xmlns:a16="http://schemas.microsoft.com/office/drawing/2014/main" id="{00000000-0008-0000-0200-00005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9</xdr:row>
          <xdr:rowOff>9525</xdr:rowOff>
        </xdr:from>
        <xdr:to>
          <xdr:col>11</xdr:col>
          <xdr:colOff>714375</xdr:colOff>
          <xdr:row>9</xdr:row>
          <xdr:rowOff>161925</xdr:rowOff>
        </xdr:to>
        <xdr:sp macro="" textlink="">
          <xdr:nvSpPr>
            <xdr:cNvPr id="3162" name="Drop Down 90" hidden="1">
              <a:extLst>
                <a:ext uri="{63B3BB69-23CF-44E3-9099-C40C66FF867C}">
                  <a14:compatExt spid="_x0000_s3162"/>
                </a:ext>
                <a:ext uri="{FF2B5EF4-FFF2-40B4-BE49-F238E27FC236}">
                  <a16:creationId xmlns:a16="http://schemas.microsoft.com/office/drawing/2014/main" id="{00000000-0008-0000-0200-00005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10</xdr:row>
          <xdr:rowOff>9525</xdr:rowOff>
        </xdr:from>
        <xdr:to>
          <xdr:col>11</xdr:col>
          <xdr:colOff>714375</xdr:colOff>
          <xdr:row>10</xdr:row>
          <xdr:rowOff>161925</xdr:rowOff>
        </xdr:to>
        <xdr:sp macro="" textlink="">
          <xdr:nvSpPr>
            <xdr:cNvPr id="3163" name="Drop Down 91" hidden="1">
              <a:extLst>
                <a:ext uri="{63B3BB69-23CF-44E3-9099-C40C66FF867C}">
                  <a14:compatExt spid="_x0000_s3163"/>
                </a:ext>
                <a:ext uri="{FF2B5EF4-FFF2-40B4-BE49-F238E27FC236}">
                  <a16:creationId xmlns:a16="http://schemas.microsoft.com/office/drawing/2014/main" id="{00000000-0008-0000-0200-00005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11</xdr:row>
          <xdr:rowOff>9525</xdr:rowOff>
        </xdr:from>
        <xdr:to>
          <xdr:col>11</xdr:col>
          <xdr:colOff>714375</xdr:colOff>
          <xdr:row>11</xdr:row>
          <xdr:rowOff>161925</xdr:rowOff>
        </xdr:to>
        <xdr:sp macro="" textlink="">
          <xdr:nvSpPr>
            <xdr:cNvPr id="3164" name="Drop Down 92" hidden="1">
              <a:extLst>
                <a:ext uri="{63B3BB69-23CF-44E3-9099-C40C66FF867C}">
                  <a14:compatExt spid="_x0000_s3164"/>
                </a:ext>
                <a:ext uri="{FF2B5EF4-FFF2-40B4-BE49-F238E27FC236}">
                  <a16:creationId xmlns:a16="http://schemas.microsoft.com/office/drawing/2014/main" id="{00000000-0008-0000-0200-00005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12</xdr:row>
          <xdr:rowOff>9525</xdr:rowOff>
        </xdr:from>
        <xdr:to>
          <xdr:col>11</xdr:col>
          <xdr:colOff>714375</xdr:colOff>
          <xdr:row>12</xdr:row>
          <xdr:rowOff>161925</xdr:rowOff>
        </xdr:to>
        <xdr:sp macro="" textlink="">
          <xdr:nvSpPr>
            <xdr:cNvPr id="3165" name="Drop Down 93" hidden="1">
              <a:extLst>
                <a:ext uri="{63B3BB69-23CF-44E3-9099-C40C66FF867C}">
                  <a14:compatExt spid="_x0000_s3165"/>
                </a:ext>
                <a:ext uri="{FF2B5EF4-FFF2-40B4-BE49-F238E27FC236}">
                  <a16:creationId xmlns:a16="http://schemas.microsoft.com/office/drawing/2014/main" id="{00000000-0008-0000-0200-00005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13</xdr:row>
          <xdr:rowOff>9525</xdr:rowOff>
        </xdr:from>
        <xdr:to>
          <xdr:col>11</xdr:col>
          <xdr:colOff>714375</xdr:colOff>
          <xdr:row>13</xdr:row>
          <xdr:rowOff>161925</xdr:rowOff>
        </xdr:to>
        <xdr:sp macro="" textlink="">
          <xdr:nvSpPr>
            <xdr:cNvPr id="3166" name="Drop Down 94" hidden="1">
              <a:extLst>
                <a:ext uri="{63B3BB69-23CF-44E3-9099-C40C66FF867C}">
                  <a14:compatExt spid="_x0000_s3166"/>
                </a:ext>
                <a:ext uri="{FF2B5EF4-FFF2-40B4-BE49-F238E27FC236}">
                  <a16:creationId xmlns:a16="http://schemas.microsoft.com/office/drawing/2014/main" id="{00000000-0008-0000-0200-00005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14</xdr:row>
          <xdr:rowOff>9525</xdr:rowOff>
        </xdr:from>
        <xdr:to>
          <xdr:col>11</xdr:col>
          <xdr:colOff>714375</xdr:colOff>
          <xdr:row>14</xdr:row>
          <xdr:rowOff>161925</xdr:rowOff>
        </xdr:to>
        <xdr:sp macro="" textlink="">
          <xdr:nvSpPr>
            <xdr:cNvPr id="3167" name="Drop Down 95" hidden="1">
              <a:extLst>
                <a:ext uri="{63B3BB69-23CF-44E3-9099-C40C66FF867C}">
                  <a14:compatExt spid="_x0000_s3167"/>
                </a:ext>
                <a:ext uri="{FF2B5EF4-FFF2-40B4-BE49-F238E27FC236}">
                  <a16:creationId xmlns:a16="http://schemas.microsoft.com/office/drawing/2014/main" id="{00000000-0008-0000-0200-00005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15</xdr:row>
          <xdr:rowOff>9525</xdr:rowOff>
        </xdr:from>
        <xdr:to>
          <xdr:col>11</xdr:col>
          <xdr:colOff>714375</xdr:colOff>
          <xdr:row>15</xdr:row>
          <xdr:rowOff>161925</xdr:rowOff>
        </xdr:to>
        <xdr:sp macro="" textlink="">
          <xdr:nvSpPr>
            <xdr:cNvPr id="3168" name="Drop Down 96" hidden="1">
              <a:extLst>
                <a:ext uri="{63B3BB69-23CF-44E3-9099-C40C66FF867C}">
                  <a14:compatExt spid="_x0000_s3168"/>
                </a:ext>
                <a:ext uri="{FF2B5EF4-FFF2-40B4-BE49-F238E27FC236}">
                  <a16:creationId xmlns:a16="http://schemas.microsoft.com/office/drawing/2014/main" id="{00000000-0008-0000-0200-00006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16</xdr:row>
          <xdr:rowOff>9525</xdr:rowOff>
        </xdr:from>
        <xdr:to>
          <xdr:col>11</xdr:col>
          <xdr:colOff>714375</xdr:colOff>
          <xdr:row>16</xdr:row>
          <xdr:rowOff>161925</xdr:rowOff>
        </xdr:to>
        <xdr:sp macro="" textlink="">
          <xdr:nvSpPr>
            <xdr:cNvPr id="3169" name="Drop Down 97" hidden="1">
              <a:extLst>
                <a:ext uri="{63B3BB69-23CF-44E3-9099-C40C66FF867C}">
                  <a14:compatExt spid="_x0000_s3169"/>
                </a:ext>
                <a:ext uri="{FF2B5EF4-FFF2-40B4-BE49-F238E27FC236}">
                  <a16:creationId xmlns:a16="http://schemas.microsoft.com/office/drawing/2014/main" id="{00000000-0008-0000-0200-00006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17</xdr:row>
          <xdr:rowOff>9525</xdr:rowOff>
        </xdr:from>
        <xdr:to>
          <xdr:col>11</xdr:col>
          <xdr:colOff>714375</xdr:colOff>
          <xdr:row>17</xdr:row>
          <xdr:rowOff>161925</xdr:rowOff>
        </xdr:to>
        <xdr:sp macro="" textlink="">
          <xdr:nvSpPr>
            <xdr:cNvPr id="3170" name="Drop Down 98" hidden="1">
              <a:extLst>
                <a:ext uri="{63B3BB69-23CF-44E3-9099-C40C66FF867C}">
                  <a14:compatExt spid="_x0000_s3170"/>
                </a:ext>
                <a:ext uri="{FF2B5EF4-FFF2-40B4-BE49-F238E27FC236}">
                  <a16:creationId xmlns:a16="http://schemas.microsoft.com/office/drawing/2014/main" id="{00000000-0008-0000-0200-00006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18</xdr:row>
          <xdr:rowOff>9525</xdr:rowOff>
        </xdr:from>
        <xdr:to>
          <xdr:col>11</xdr:col>
          <xdr:colOff>714375</xdr:colOff>
          <xdr:row>18</xdr:row>
          <xdr:rowOff>161925</xdr:rowOff>
        </xdr:to>
        <xdr:sp macro="" textlink="">
          <xdr:nvSpPr>
            <xdr:cNvPr id="3171" name="Drop Down 99" hidden="1">
              <a:extLst>
                <a:ext uri="{63B3BB69-23CF-44E3-9099-C40C66FF867C}">
                  <a14:compatExt spid="_x0000_s3171"/>
                </a:ext>
                <a:ext uri="{FF2B5EF4-FFF2-40B4-BE49-F238E27FC236}">
                  <a16:creationId xmlns:a16="http://schemas.microsoft.com/office/drawing/2014/main" id="{00000000-0008-0000-0200-00006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19</xdr:row>
          <xdr:rowOff>9525</xdr:rowOff>
        </xdr:from>
        <xdr:to>
          <xdr:col>11</xdr:col>
          <xdr:colOff>714375</xdr:colOff>
          <xdr:row>19</xdr:row>
          <xdr:rowOff>161925</xdr:rowOff>
        </xdr:to>
        <xdr:sp macro="" textlink="">
          <xdr:nvSpPr>
            <xdr:cNvPr id="3172" name="Drop Down 100" hidden="1">
              <a:extLst>
                <a:ext uri="{63B3BB69-23CF-44E3-9099-C40C66FF867C}">
                  <a14:compatExt spid="_x0000_s3172"/>
                </a:ext>
                <a:ext uri="{FF2B5EF4-FFF2-40B4-BE49-F238E27FC236}">
                  <a16:creationId xmlns:a16="http://schemas.microsoft.com/office/drawing/2014/main" id="{00000000-0008-0000-0200-00006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20</xdr:row>
          <xdr:rowOff>9525</xdr:rowOff>
        </xdr:from>
        <xdr:to>
          <xdr:col>11</xdr:col>
          <xdr:colOff>714375</xdr:colOff>
          <xdr:row>20</xdr:row>
          <xdr:rowOff>161925</xdr:rowOff>
        </xdr:to>
        <xdr:sp macro="" textlink="">
          <xdr:nvSpPr>
            <xdr:cNvPr id="3173" name="Drop Down 101" hidden="1">
              <a:extLst>
                <a:ext uri="{63B3BB69-23CF-44E3-9099-C40C66FF867C}">
                  <a14:compatExt spid="_x0000_s3173"/>
                </a:ext>
                <a:ext uri="{FF2B5EF4-FFF2-40B4-BE49-F238E27FC236}">
                  <a16:creationId xmlns:a16="http://schemas.microsoft.com/office/drawing/2014/main" id="{00000000-0008-0000-0200-00006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21</xdr:row>
          <xdr:rowOff>9525</xdr:rowOff>
        </xdr:from>
        <xdr:to>
          <xdr:col>11</xdr:col>
          <xdr:colOff>714375</xdr:colOff>
          <xdr:row>21</xdr:row>
          <xdr:rowOff>161925</xdr:rowOff>
        </xdr:to>
        <xdr:sp macro="" textlink="">
          <xdr:nvSpPr>
            <xdr:cNvPr id="3174" name="Drop Down 102" hidden="1">
              <a:extLst>
                <a:ext uri="{63B3BB69-23CF-44E3-9099-C40C66FF867C}">
                  <a14:compatExt spid="_x0000_s3174"/>
                </a:ext>
                <a:ext uri="{FF2B5EF4-FFF2-40B4-BE49-F238E27FC236}">
                  <a16:creationId xmlns:a16="http://schemas.microsoft.com/office/drawing/2014/main" id="{00000000-0008-0000-0200-00006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8</xdr:row>
          <xdr:rowOff>9525</xdr:rowOff>
        </xdr:from>
        <xdr:to>
          <xdr:col>10</xdr:col>
          <xdr:colOff>9525</xdr:colOff>
          <xdr:row>8</xdr:row>
          <xdr:rowOff>180975</xdr:rowOff>
        </xdr:to>
        <xdr:sp macro="" textlink="">
          <xdr:nvSpPr>
            <xdr:cNvPr id="3175" name="Drop Down 103" hidden="1">
              <a:extLst>
                <a:ext uri="{63B3BB69-23CF-44E3-9099-C40C66FF867C}">
                  <a14:compatExt spid="_x0000_s3175"/>
                </a:ext>
                <a:ext uri="{FF2B5EF4-FFF2-40B4-BE49-F238E27FC236}">
                  <a16:creationId xmlns:a16="http://schemas.microsoft.com/office/drawing/2014/main" id="{00000000-0008-0000-0200-00006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9</xdr:row>
          <xdr:rowOff>9525</xdr:rowOff>
        </xdr:from>
        <xdr:to>
          <xdr:col>10</xdr:col>
          <xdr:colOff>9525</xdr:colOff>
          <xdr:row>9</xdr:row>
          <xdr:rowOff>180975</xdr:rowOff>
        </xdr:to>
        <xdr:sp macro="" textlink="">
          <xdr:nvSpPr>
            <xdr:cNvPr id="3176" name="Drop Down 104" hidden="1">
              <a:extLst>
                <a:ext uri="{63B3BB69-23CF-44E3-9099-C40C66FF867C}">
                  <a14:compatExt spid="_x0000_s3176"/>
                </a:ext>
                <a:ext uri="{FF2B5EF4-FFF2-40B4-BE49-F238E27FC236}">
                  <a16:creationId xmlns:a16="http://schemas.microsoft.com/office/drawing/2014/main" id="{00000000-0008-0000-0200-00006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10</xdr:row>
          <xdr:rowOff>9525</xdr:rowOff>
        </xdr:from>
        <xdr:to>
          <xdr:col>10</xdr:col>
          <xdr:colOff>9525</xdr:colOff>
          <xdr:row>10</xdr:row>
          <xdr:rowOff>180975</xdr:rowOff>
        </xdr:to>
        <xdr:sp macro="" textlink="">
          <xdr:nvSpPr>
            <xdr:cNvPr id="3177" name="Drop Down 105" hidden="1">
              <a:extLst>
                <a:ext uri="{63B3BB69-23CF-44E3-9099-C40C66FF867C}">
                  <a14:compatExt spid="_x0000_s3177"/>
                </a:ext>
                <a:ext uri="{FF2B5EF4-FFF2-40B4-BE49-F238E27FC236}">
                  <a16:creationId xmlns:a16="http://schemas.microsoft.com/office/drawing/2014/main" id="{00000000-0008-0000-0200-00006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11</xdr:row>
          <xdr:rowOff>9525</xdr:rowOff>
        </xdr:from>
        <xdr:to>
          <xdr:col>10</xdr:col>
          <xdr:colOff>9525</xdr:colOff>
          <xdr:row>11</xdr:row>
          <xdr:rowOff>180975</xdr:rowOff>
        </xdr:to>
        <xdr:sp macro="" textlink="">
          <xdr:nvSpPr>
            <xdr:cNvPr id="3178" name="Drop Down 106" hidden="1">
              <a:extLst>
                <a:ext uri="{63B3BB69-23CF-44E3-9099-C40C66FF867C}">
                  <a14:compatExt spid="_x0000_s3178"/>
                </a:ext>
                <a:ext uri="{FF2B5EF4-FFF2-40B4-BE49-F238E27FC236}">
                  <a16:creationId xmlns:a16="http://schemas.microsoft.com/office/drawing/2014/main" id="{00000000-0008-0000-0200-00006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12</xdr:row>
          <xdr:rowOff>9525</xdr:rowOff>
        </xdr:from>
        <xdr:to>
          <xdr:col>10</xdr:col>
          <xdr:colOff>9525</xdr:colOff>
          <xdr:row>12</xdr:row>
          <xdr:rowOff>180975</xdr:rowOff>
        </xdr:to>
        <xdr:sp macro="" textlink="">
          <xdr:nvSpPr>
            <xdr:cNvPr id="3179" name="Drop Down 107" hidden="1">
              <a:extLst>
                <a:ext uri="{63B3BB69-23CF-44E3-9099-C40C66FF867C}">
                  <a14:compatExt spid="_x0000_s3179"/>
                </a:ext>
                <a:ext uri="{FF2B5EF4-FFF2-40B4-BE49-F238E27FC236}">
                  <a16:creationId xmlns:a16="http://schemas.microsoft.com/office/drawing/2014/main" id="{00000000-0008-0000-0200-00006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13</xdr:row>
          <xdr:rowOff>9525</xdr:rowOff>
        </xdr:from>
        <xdr:to>
          <xdr:col>10</xdr:col>
          <xdr:colOff>9525</xdr:colOff>
          <xdr:row>13</xdr:row>
          <xdr:rowOff>180975</xdr:rowOff>
        </xdr:to>
        <xdr:sp macro="" textlink="">
          <xdr:nvSpPr>
            <xdr:cNvPr id="3180" name="Drop Down 108" hidden="1">
              <a:extLst>
                <a:ext uri="{63B3BB69-23CF-44E3-9099-C40C66FF867C}">
                  <a14:compatExt spid="_x0000_s3180"/>
                </a:ext>
                <a:ext uri="{FF2B5EF4-FFF2-40B4-BE49-F238E27FC236}">
                  <a16:creationId xmlns:a16="http://schemas.microsoft.com/office/drawing/2014/main" id="{00000000-0008-0000-0200-00006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14</xdr:row>
          <xdr:rowOff>9525</xdr:rowOff>
        </xdr:from>
        <xdr:to>
          <xdr:col>10</xdr:col>
          <xdr:colOff>9525</xdr:colOff>
          <xdr:row>14</xdr:row>
          <xdr:rowOff>180975</xdr:rowOff>
        </xdr:to>
        <xdr:sp macro="" textlink="">
          <xdr:nvSpPr>
            <xdr:cNvPr id="3181" name="Drop Down 109" hidden="1">
              <a:extLst>
                <a:ext uri="{63B3BB69-23CF-44E3-9099-C40C66FF867C}">
                  <a14:compatExt spid="_x0000_s3181"/>
                </a:ext>
                <a:ext uri="{FF2B5EF4-FFF2-40B4-BE49-F238E27FC236}">
                  <a16:creationId xmlns:a16="http://schemas.microsoft.com/office/drawing/2014/main" id="{00000000-0008-0000-0200-00006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15</xdr:row>
          <xdr:rowOff>9525</xdr:rowOff>
        </xdr:from>
        <xdr:to>
          <xdr:col>10</xdr:col>
          <xdr:colOff>9525</xdr:colOff>
          <xdr:row>15</xdr:row>
          <xdr:rowOff>180975</xdr:rowOff>
        </xdr:to>
        <xdr:sp macro="" textlink="">
          <xdr:nvSpPr>
            <xdr:cNvPr id="3182" name="Drop Down 110" hidden="1">
              <a:extLst>
                <a:ext uri="{63B3BB69-23CF-44E3-9099-C40C66FF867C}">
                  <a14:compatExt spid="_x0000_s3182"/>
                </a:ext>
                <a:ext uri="{FF2B5EF4-FFF2-40B4-BE49-F238E27FC236}">
                  <a16:creationId xmlns:a16="http://schemas.microsoft.com/office/drawing/2014/main" id="{00000000-0008-0000-0200-00006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16</xdr:row>
          <xdr:rowOff>9525</xdr:rowOff>
        </xdr:from>
        <xdr:to>
          <xdr:col>10</xdr:col>
          <xdr:colOff>9525</xdr:colOff>
          <xdr:row>16</xdr:row>
          <xdr:rowOff>180975</xdr:rowOff>
        </xdr:to>
        <xdr:sp macro="" textlink="">
          <xdr:nvSpPr>
            <xdr:cNvPr id="3183" name="Drop Down 111" hidden="1">
              <a:extLst>
                <a:ext uri="{63B3BB69-23CF-44E3-9099-C40C66FF867C}">
                  <a14:compatExt spid="_x0000_s3183"/>
                </a:ext>
                <a:ext uri="{FF2B5EF4-FFF2-40B4-BE49-F238E27FC236}">
                  <a16:creationId xmlns:a16="http://schemas.microsoft.com/office/drawing/2014/main" id="{00000000-0008-0000-0200-00006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17</xdr:row>
          <xdr:rowOff>9525</xdr:rowOff>
        </xdr:from>
        <xdr:to>
          <xdr:col>10</xdr:col>
          <xdr:colOff>9525</xdr:colOff>
          <xdr:row>17</xdr:row>
          <xdr:rowOff>180975</xdr:rowOff>
        </xdr:to>
        <xdr:sp macro="" textlink="">
          <xdr:nvSpPr>
            <xdr:cNvPr id="3184" name="Drop Down 112" hidden="1">
              <a:extLst>
                <a:ext uri="{63B3BB69-23CF-44E3-9099-C40C66FF867C}">
                  <a14:compatExt spid="_x0000_s3184"/>
                </a:ext>
                <a:ext uri="{FF2B5EF4-FFF2-40B4-BE49-F238E27FC236}">
                  <a16:creationId xmlns:a16="http://schemas.microsoft.com/office/drawing/2014/main" id="{00000000-0008-0000-0200-00007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18</xdr:row>
          <xdr:rowOff>9525</xdr:rowOff>
        </xdr:from>
        <xdr:to>
          <xdr:col>10</xdr:col>
          <xdr:colOff>9525</xdr:colOff>
          <xdr:row>18</xdr:row>
          <xdr:rowOff>180975</xdr:rowOff>
        </xdr:to>
        <xdr:sp macro="" textlink="">
          <xdr:nvSpPr>
            <xdr:cNvPr id="3185" name="Drop Down 113" hidden="1">
              <a:extLst>
                <a:ext uri="{63B3BB69-23CF-44E3-9099-C40C66FF867C}">
                  <a14:compatExt spid="_x0000_s3185"/>
                </a:ext>
                <a:ext uri="{FF2B5EF4-FFF2-40B4-BE49-F238E27FC236}">
                  <a16:creationId xmlns:a16="http://schemas.microsoft.com/office/drawing/2014/main" id="{00000000-0008-0000-0200-00007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19</xdr:row>
          <xdr:rowOff>9525</xdr:rowOff>
        </xdr:from>
        <xdr:to>
          <xdr:col>10</xdr:col>
          <xdr:colOff>9525</xdr:colOff>
          <xdr:row>19</xdr:row>
          <xdr:rowOff>180975</xdr:rowOff>
        </xdr:to>
        <xdr:sp macro="" textlink="">
          <xdr:nvSpPr>
            <xdr:cNvPr id="3186" name="Drop Down 114" hidden="1">
              <a:extLst>
                <a:ext uri="{63B3BB69-23CF-44E3-9099-C40C66FF867C}">
                  <a14:compatExt spid="_x0000_s3186"/>
                </a:ext>
                <a:ext uri="{FF2B5EF4-FFF2-40B4-BE49-F238E27FC236}">
                  <a16:creationId xmlns:a16="http://schemas.microsoft.com/office/drawing/2014/main" id="{00000000-0008-0000-0200-00007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20</xdr:row>
          <xdr:rowOff>9525</xdr:rowOff>
        </xdr:from>
        <xdr:to>
          <xdr:col>10</xdr:col>
          <xdr:colOff>9525</xdr:colOff>
          <xdr:row>20</xdr:row>
          <xdr:rowOff>180975</xdr:rowOff>
        </xdr:to>
        <xdr:sp macro="" textlink="">
          <xdr:nvSpPr>
            <xdr:cNvPr id="3187" name="Drop Down 115" hidden="1">
              <a:extLst>
                <a:ext uri="{63B3BB69-23CF-44E3-9099-C40C66FF867C}">
                  <a14:compatExt spid="_x0000_s3187"/>
                </a:ext>
                <a:ext uri="{FF2B5EF4-FFF2-40B4-BE49-F238E27FC236}">
                  <a16:creationId xmlns:a16="http://schemas.microsoft.com/office/drawing/2014/main" id="{00000000-0008-0000-0200-00007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21</xdr:row>
          <xdr:rowOff>9525</xdr:rowOff>
        </xdr:from>
        <xdr:to>
          <xdr:col>10</xdr:col>
          <xdr:colOff>9525</xdr:colOff>
          <xdr:row>21</xdr:row>
          <xdr:rowOff>180975</xdr:rowOff>
        </xdr:to>
        <xdr:sp macro="" textlink="">
          <xdr:nvSpPr>
            <xdr:cNvPr id="3188" name="Drop Down 116" hidden="1">
              <a:extLst>
                <a:ext uri="{63B3BB69-23CF-44E3-9099-C40C66FF867C}">
                  <a14:compatExt spid="_x0000_s3188"/>
                </a:ext>
                <a:ext uri="{FF2B5EF4-FFF2-40B4-BE49-F238E27FC236}">
                  <a16:creationId xmlns:a16="http://schemas.microsoft.com/office/drawing/2014/main" id="{00000000-0008-0000-0200-00007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7</xdr:row>
          <xdr:rowOff>9525</xdr:rowOff>
        </xdr:from>
        <xdr:to>
          <xdr:col>5</xdr:col>
          <xdr:colOff>9525</xdr:colOff>
          <xdr:row>7</xdr:row>
          <xdr:rowOff>180975</xdr:rowOff>
        </xdr:to>
        <xdr:sp macro="" textlink="">
          <xdr:nvSpPr>
            <xdr:cNvPr id="4097" name="Drop Dow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8</xdr:row>
          <xdr:rowOff>9525</xdr:rowOff>
        </xdr:from>
        <xdr:to>
          <xdr:col>5</xdr:col>
          <xdr:colOff>9525</xdr:colOff>
          <xdr:row>8</xdr:row>
          <xdr:rowOff>180975</xdr:rowOff>
        </xdr:to>
        <xdr:sp macro="" textlink="">
          <xdr:nvSpPr>
            <xdr:cNvPr id="4098" name="Drop Down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9</xdr:row>
          <xdr:rowOff>9525</xdr:rowOff>
        </xdr:from>
        <xdr:to>
          <xdr:col>5</xdr:col>
          <xdr:colOff>9525</xdr:colOff>
          <xdr:row>9</xdr:row>
          <xdr:rowOff>180975</xdr:rowOff>
        </xdr:to>
        <xdr:sp macro="" textlink="">
          <xdr:nvSpPr>
            <xdr:cNvPr id="4099" name="Drop Down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10</xdr:row>
          <xdr:rowOff>9525</xdr:rowOff>
        </xdr:from>
        <xdr:to>
          <xdr:col>5</xdr:col>
          <xdr:colOff>9525</xdr:colOff>
          <xdr:row>10</xdr:row>
          <xdr:rowOff>180975</xdr:rowOff>
        </xdr:to>
        <xdr:sp macro="" textlink="">
          <xdr:nvSpPr>
            <xdr:cNvPr id="4100" name="Drop Down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11</xdr:row>
          <xdr:rowOff>9525</xdr:rowOff>
        </xdr:from>
        <xdr:to>
          <xdr:col>5</xdr:col>
          <xdr:colOff>9525</xdr:colOff>
          <xdr:row>11</xdr:row>
          <xdr:rowOff>180975</xdr:rowOff>
        </xdr:to>
        <xdr:sp macro="" textlink="">
          <xdr:nvSpPr>
            <xdr:cNvPr id="4101" name="Drop Down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12</xdr:row>
          <xdr:rowOff>9525</xdr:rowOff>
        </xdr:from>
        <xdr:to>
          <xdr:col>5</xdr:col>
          <xdr:colOff>9525</xdr:colOff>
          <xdr:row>12</xdr:row>
          <xdr:rowOff>180975</xdr:rowOff>
        </xdr:to>
        <xdr:sp macro="" textlink="">
          <xdr:nvSpPr>
            <xdr:cNvPr id="4102" name="Drop Down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13</xdr:row>
          <xdr:rowOff>9525</xdr:rowOff>
        </xdr:from>
        <xdr:to>
          <xdr:col>5</xdr:col>
          <xdr:colOff>9525</xdr:colOff>
          <xdr:row>13</xdr:row>
          <xdr:rowOff>180975</xdr:rowOff>
        </xdr:to>
        <xdr:sp macro="" textlink="">
          <xdr:nvSpPr>
            <xdr:cNvPr id="4103" name="Drop Down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14</xdr:row>
          <xdr:rowOff>9525</xdr:rowOff>
        </xdr:from>
        <xdr:to>
          <xdr:col>5</xdr:col>
          <xdr:colOff>9525</xdr:colOff>
          <xdr:row>14</xdr:row>
          <xdr:rowOff>180975</xdr:rowOff>
        </xdr:to>
        <xdr:sp macro="" textlink="">
          <xdr:nvSpPr>
            <xdr:cNvPr id="4104" name="Drop Down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15</xdr:row>
          <xdr:rowOff>9525</xdr:rowOff>
        </xdr:from>
        <xdr:to>
          <xdr:col>5</xdr:col>
          <xdr:colOff>9525</xdr:colOff>
          <xdr:row>15</xdr:row>
          <xdr:rowOff>180975</xdr:rowOff>
        </xdr:to>
        <xdr:sp macro="" textlink="">
          <xdr:nvSpPr>
            <xdr:cNvPr id="4105" name="Drop Down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16</xdr:row>
          <xdr:rowOff>9525</xdr:rowOff>
        </xdr:from>
        <xdr:to>
          <xdr:col>5</xdr:col>
          <xdr:colOff>9525</xdr:colOff>
          <xdr:row>16</xdr:row>
          <xdr:rowOff>180975</xdr:rowOff>
        </xdr:to>
        <xdr:sp macro="" textlink="">
          <xdr:nvSpPr>
            <xdr:cNvPr id="4106" name="Drop Down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17</xdr:row>
          <xdr:rowOff>9525</xdr:rowOff>
        </xdr:from>
        <xdr:to>
          <xdr:col>5</xdr:col>
          <xdr:colOff>9525</xdr:colOff>
          <xdr:row>17</xdr:row>
          <xdr:rowOff>180975</xdr:rowOff>
        </xdr:to>
        <xdr:sp macro="" textlink="">
          <xdr:nvSpPr>
            <xdr:cNvPr id="4107" name="Drop Down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18</xdr:row>
          <xdr:rowOff>9525</xdr:rowOff>
        </xdr:from>
        <xdr:to>
          <xdr:col>5</xdr:col>
          <xdr:colOff>9525</xdr:colOff>
          <xdr:row>18</xdr:row>
          <xdr:rowOff>180975</xdr:rowOff>
        </xdr:to>
        <xdr:sp macro="" textlink="">
          <xdr:nvSpPr>
            <xdr:cNvPr id="4108" name="Drop Down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19</xdr:row>
          <xdr:rowOff>9525</xdr:rowOff>
        </xdr:from>
        <xdr:to>
          <xdr:col>5</xdr:col>
          <xdr:colOff>9525</xdr:colOff>
          <xdr:row>19</xdr:row>
          <xdr:rowOff>180975</xdr:rowOff>
        </xdr:to>
        <xdr:sp macro="" textlink="">
          <xdr:nvSpPr>
            <xdr:cNvPr id="4109" name="Drop Down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20</xdr:row>
          <xdr:rowOff>9525</xdr:rowOff>
        </xdr:from>
        <xdr:to>
          <xdr:col>5</xdr:col>
          <xdr:colOff>9525</xdr:colOff>
          <xdr:row>20</xdr:row>
          <xdr:rowOff>180975</xdr:rowOff>
        </xdr:to>
        <xdr:sp macro="" textlink="">
          <xdr:nvSpPr>
            <xdr:cNvPr id="4110" name="Drop Down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21</xdr:row>
          <xdr:rowOff>9525</xdr:rowOff>
        </xdr:from>
        <xdr:to>
          <xdr:col>5</xdr:col>
          <xdr:colOff>9525</xdr:colOff>
          <xdr:row>21</xdr:row>
          <xdr:rowOff>180975</xdr:rowOff>
        </xdr:to>
        <xdr:sp macro="" textlink="">
          <xdr:nvSpPr>
            <xdr:cNvPr id="4111" name="Drop Down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7</xdr:row>
          <xdr:rowOff>9525</xdr:rowOff>
        </xdr:from>
        <xdr:to>
          <xdr:col>10</xdr:col>
          <xdr:colOff>9525</xdr:colOff>
          <xdr:row>7</xdr:row>
          <xdr:rowOff>180975</xdr:rowOff>
        </xdr:to>
        <xdr:sp macro="" textlink="">
          <xdr:nvSpPr>
            <xdr:cNvPr id="4112" name="Drop Down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8</xdr:row>
          <xdr:rowOff>9525</xdr:rowOff>
        </xdr:from>
        <xdr:to>
          <xdr:col>10</xdr:col>
          <xdr:colOff>9525</xdr:colOff>
          <xdr:row>8</xdr:row>
          <xdr:rowOff>180975</xdr:rowOff>
        </xdr:to>
        <xdr:sp macro="" textlink="">
          <xdr:nvSpPr>
            <xdr:cNvPr id="4113" name="Drop Down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9</xdr:row>
          <xdr:rowOff>9525</xdr:rowOff>
        </xdr:from>
        <xdr:to>
          <xdr:col>10</xdr:col>
          <xdr:colOff>9525</xdr:colOff>
          <xdr:row>9</xdr:row>
          <xdr:rowOff>180975</xdr:rowOff>
        </xdr:to>
        <xdr:sp macro="" textlink="">
          <xdr:nvSpPr>
            <xdr:cNvPr id="4114" name="Drop Down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10</xdr:row>
          <xdr:rowOff>9525</xdr:rowOff>
        </xdr:from>
        <xdr:to>
          <xdr:col>10</xdr:col>
          <xdr:colOff>9525</xdr:colOff>
          <xdr:row>10</xdr:row>
          <xdr:rowOff>180975</xdr:rowOff>
        </xdr:to>
        <xdr:sp macro="" textlink="">
          <xdr:nvSpPr>
            <xdr:cNvPr id="4115" name="Drop Down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11</xdr:row>
          <xdr:rowOff>9525</xdr:rowOff>
        </xdr:from>
        <xdr:to>
          <xdr:col>10</xdr:col>
          <xdr:colOff>9525</xdr:colOff>
          <xdr:row>11</xdr:row>
          <xdr:rowOff>180975</xdr:rowOff>
        </xdr:to>
        <xdr:sp macro="" textlink="">
          <xdr:nvSpPr>
            <xdr:cNvPr id="4116" name="Drop Down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12</xdr:row>
          <xdr:rowOff>9525</xdr:rowOff>
        </xdr:from>
        <xdr:to>
          <xdr:col>10</xdr:col>
          <xdr:colOff>9525</xdr:colOff>
          <xdr:row>12</xdr:row>
          <xdr:rowOff>180975</xdr:rowOff>
        </xdr:to>
        <xdr:sp macro="" textlink="">
          <xdr:nvSpPr>
            <xdr:cNvPr id="4117" name="Drop Down 21" hidden="1">
              <a:extLst>
                <a:ext uri="{63B3BB69-23CF-44E3-9099-C40C66FF867C}">
                  <a14:compatExt spid="_x0000_s4117"/>
                </a:ext>
                <a:ext uri="{FF2B5EF4-FFF2-40B4-BE49-F238E27FC236}">
                  <a16:creationId xmlns:a16="http://schemas.microsoft.com/office/drawing/2014/main" id="{00000000-0008-0000-0300-00001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13</xdr:row>
          <xdr:rowOff>9525</xdr:rowOff>
        </xdr:from>
        <xdr:to>
          <xdr:col>10</xdr:col>
          <xdr:colOff>9525</xdr:colOff>
          <xdr:row>13</xdr:row>
          <xdr:rowOff>180975</xdr:rowOff>
        </xdr:to>
        <xdr:sp macro="" textlink="">
          <xdr:nvSpPr>
            <xdr:cNvPr id="4118" name="Drop Down 22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00000000-0008-0000-0300-00001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14</xdr:row>
          <xdr:rowOff>9525</xdr:rowOff>
        </xdr:from>
        <xdr:to>
          <xdr:col>10</xdr:col>
          <xdr:colOff>9525</xdr:colOff>
          <xdr:row>14</xdr:row>
          <xdr:rowOff>180975</xdr:rowOff>
        </xdr:to>
        <xdr:sp macro="" textlink="">
          <xdr:nvSpPr>
            <xdr:cNvPr id="4119" name="Drop Down 23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00000000-0008-0000-0300-00001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15</xdr:row>
          <xdr:rowOff>9525</xdr:rowOff>
        </xdr:from>
        <xdr:to>
          <xdr:col>10</xdr:col>
          <xdr:colOff>9525</xdr:colOff>
          <xdr:row>15</xdr:row>
          <xdr:rowOff>180975</xdr:rowOff>
        </xdr:to>
        <xdr:sp macro="" textlink="">
          <xdr:nvSpPr>
            <xdr:cNvPr id="4120" name="Drop Down 24" hidden="1">
              <a:extLst>
                <a:ext uri="{63B3BB69-23CF-44E3-9099-C40C66FF867C}">
                  <a14:compatExt spid="_x0000_s4120"/>
                </a:ext>
                <a:ext uri="{FF2B5EF4-FFF2-40B4-BE49-F238E27FC236}">
                  <a16:creationId xmlns:a16="http://schemas.microsoft.com/office/drawing/2014/main" id="{00000000-0008-0000-0300-00001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16</xdr:row>
          <xdr:rowOff>9525</xdr:rowOff>
        </xdr:from>
        <xdr:to>
          <xdr:col>10</xdr:col>
          <xdr:colOff>9525</xdr:colOff>
          <xdr:row>16</xdr:row>
          <xdr:rowOff>180975</xdr:rowOff>
        </xdr:to>
        <xdr:sp macro="" textlink="">
          <xdr:nvSpPr>
            <xdr:cNvPr id="4121" name="Drop Down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17</xdr:row>
          <xdr:rowOff>9525</xdr:rowOff>
        </xdr:from>
        <xdr:to>
          <xdr:col>10</xdr:col>
          <xdr:colOff>9525</xdr:colOff>
          <xdr:row>17</xdr:row>
          <xdr:rowOff>180975</xdr:rowOff>
        </xdr:to>
        <xdr:sp macro="" textlink="">
          <xdr:nvSpPr>
            <xdr:cNvPr id="4122" name="Drop Down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18</xdr:row>
          <xdr:rowOff>9525</xdr:rowOff>
        </xdr:from>
        <xdr:to>
          <xdr:col>10</xdr:col>
          <xdr:colOff>9525</xdr:colOff>
          <xdr:row>18</xdr:row>
          <xdr:rowOff>180975</xdr:rowOff>
        </xdr:to>
        <xdr:sp macro="" textlink="">
          <xdr:nvSpPr>
            <xdr:cNvPr id="4123" name="Drop Down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19</xdr:row>
          <xdr:rowOff>9525</xdr:rowOff>
        </xdr:from>
        <xdr:to>
          <xdr:col>10</xdr:col>
          <xdr:colOff>9525</xdr:colOff>
          <xdr:row>19</xdr:row>
          <xdr:rowOff>180975</xdr:rowOff>
        </xdr:to>
        <xdr:sp macro="" textlink="">
          <xdr:nvSpPr>
            <xdr:cNvPr id="4124" name="Drop Down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20</xdr:row>
          <xdr:rowOff>9525</xdr:rowOff>
        </xdr:from>
        <xdr:to>
          <xdr:col>10</xdr:col>
          <xdr:colOff>9525</xdr:colOff>
          <xdr:row>20</xdr:row>
          <xdr:rowOff>180975</xdr:rowOff>
        </xdr:to>
        <xdr:sp macro="" textlink="">
          <xdr:nvSpPr>
            <xdr:cNvPr id="4125" name="Drop Down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21</xdr:row>
          <xdr:rowOff>9525</xdr:rowOff>
        </xdr:from>
        <xdr:to>
          <xdr:col>10</xdr:col>
          <xdr:colOff>9525</xdr:colOff>
          <xdr:row>21</xdr:row>
          <xdr:rowOff>180975</xdr:rowOff>
        </xdr:to>
        <xdr:sp macro="" textlink="">
          <xdr:nvSpPr>
            <xdr:cNvPr id="4126" name="Drop Down 30" hidden="1">
              <a:extLst>
                <a:ext uri="{63B3BB69-23CF-44E3-9099-C40C66FF867C}">
                  <a14:compatExt spid="_x0000_s4126"/>
                </a:ext>
                <a:ext uri="{FF2B5EF4-FFF2-40B4-BE49-F238E27FC236}">
                  <a16:creationId xmlns:a16="http://schemas.microsoft.com/office/drawing/2014/main" id="{00000000-0008-0000-0300-00001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8</xdr:row>
          <xdr:rowOff>9525</xdr:rowOff>
        </xdr:from>
        <xdr:to>
          <xdr:col>10</xdr:col>
          <xdr:colOff>9525</xdr:colOff>
          <xdr:row>8</xdr:row>
          <xdr:rowOff>180975</xdr:rowOff>
        </xdr:to>
        <xdr:sp macro="" textlink="">
          <xdr:nvSpPr>
            <xdr:cNvPr id="4127" name="Drop Down 31" hidden="1">
              <a:extLst>
                <a:ext uri="{63B3BB69-23CF-44E3-9099-C40C66FF867C}">
                  <a14:compatExt spid="_x0000_s4127"/>
                </a:ext>
                <a:ext uri="{FF2B5EF4-FFF2-40B4-BE49-F238E27FC236}">
                  <a16:creationId xmlns:a16="http://schemas.microsoft.com/office/drawing/2014/main" id="{00000000-0008-0000-0300-00001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9</xdr:row>
          <xdr:rowOff>9525</xdr:rowOff>
        </xdr:from>
        <xdr:to>
          <xdr:col>10</xdr:col>
          <xdr:colOff>9525</xdr:colOff>
          <xdr:row>9</xdr:row>
          <xdr:rowOff>180975</xdr:rowOff>
        </xdr:to>
        <xdr:sp macro="" textlink="">
          <xdr:nvSpPr>
            <xdr:cNvPr id="4128" name="Drop Down 32" hidden="1">
              <a:extLst>
                <a:ext uri="{63B3BB69-23CF-44E3-9099-C40C66FF867C}">
                  <a14:compatExt spid="_x0000_s4128"/>
                </a:ext>
                <a:ext uri="{FF2B5EF4-FFF2-40B4-BE49-F238E27FC236}">
                  <a16:creationId xmlns:a16="http://schemas.microsoft.com/office/drawing/2014/main" id="{00000000-0008-0000-0300-00002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10</xdr:row>
          <xdr:rowOff>9525</xdr:rowOff>
        </xdr:from>
        <xdr:to>
          <xdr:col>10</xdr:col>
          <xdr:colOff>9525</xdr:colOff>
          <xdr:row>10</xdr:row>
          <xdr:rowOff>180975</xdr:rowOff>
        </xdr:to>
        <xdr:sp macro="" textlink="">
          <xdr:nvSpPr>
            <xdr:cNvPr id="4129" name="Drop Down 33" hidden="1">
              <a:extLst>
                <a:ext uri="{63B3BB69-23CF-44E3-9099-C40C66FF867C}">
                  <a14:compatExt spid="_x0000_s4129"/>
                </a:ext>
                <a:ext uri="{FF2B5EF4-FFF2-40B4-BE49-F238E27FC236}">
                  <a16:creationId xmlns:a16="http://schemas.microsoft.com/office/drawing/2014/main" id="{00000000-0008-0000-0300-00002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11</xdr:row>
          <xdr:rowOff>9525</xdr:rowOff>
        </xdr:from>
        <xdr:to>
          <xdr:col>10</xdr:col>
          <xdr:colOff>9525</xdr:colOff>
          <xdr:row>11</xdr:row>
          <xdr:rowOff>180975</xdr:rowOff>
        </xdr:to>
        <xdr:sp macro="" textlink="">
          <xdr:nvSpPr>
            <xdr:cNvPr id="4130" name="Drop Down 34" hidden="1">
              <a:extLst>
                <a:ext uri="{63B3BB69-23CF-44E3-9099-C40C66FF867C}">
                  <a14:compatExt spid="_x0000_s4130"/>
                </a:ext>
                <a:ext uri="{FF2B5EF4-FFF2-40B4-BE49-F238E27FC236}">
                  <a16:creationId xmlns:a16="http://schemas.microsoft.com/office/drawing/2014/main" id="{00000000-0008-0000-0300-00002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12</xdr:row>
          <xdr:rowOff>9525</xdr:rowOff>
        </xdr:from>
        <xdr:to>
          <xdr:col>10</xdr:col>
          <xdr:colOff>9525</xdr:colOff>
          <xdr:row>12</xdr:row>
          <xdr:rowOff>180975</xdr:rowOff>
        </xdr:to>
        <xdr:sp macro="" textlink="">
          <xdr:nvSpPr>
            <xdr:cNvPr id="4131" name="Drop Down 35" hidden="1">
              <a:extLst>
                <a:ext uri="{63B3BB69-23CF-44E3-9099-C40C66FF867C}">
                  <a14:compatExt spid="_x0000_s4131"/>
                </a:ext>
                <a:ext uri="{FF2B5EF4-FFF2-40B4-BE49-F238E27FC236}">
                  <a16:creationId xmlns:a16="http://schemas.microsoft.com/office/drawing/2014/main" id="{00000000-0008-0000-0300-00002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13</xdr:row>
          <xdr:rowOff>9525</xdr:rowOff>
        </xdr:from>
        <xdr:to>
          <xdr:col>10</xdr:col>
          <xdr:colOff>9525</xdr:colOff>
          <xdr:row>13</xdr:row>
          <xdr:rowOff>180975</xdr:rowOff>
        </xdr:to>
        <xdr:sp macro="" textlink="">
          <xdr:nvSpPr>
            <xdr:cNvPr id="4132" name="Drop Down 36" hidden="1">
              <a:extLst>
                <a:ext uri="{63B3BB69-23CF-44E3-9099-C40C66FF867C}">
                  <a14:compatExt spid="_x0000_s4132"/>
                </a:ext>
                <a:ext uri="{FF2B5EF4-FFF2-40B4-BE49-F238E27FC236}">
                  <a16:creationId xmlns:a16="http://schemas.microsoft.com/office/drawing/2014/main" id="{00000000-0008-0000-0300-00002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14</xdr:row>
          <xdr:rowOff>9525</xdr:rowOff>
        </xdr:from>
        <xdr:to>
          <xdr:col>10</xdr:col>
          <xdr:colOff>9525</xdr:colOff>
          <xdr:row>14</xdr:row>
          <xdr:rowOff>180975</xdr:rowOff>
        </xdr:to>
        <xdr:sp macro="" textlink="">
          <xdr:nvSpPr>
            <xdr:cNvPr id="4133" name="Drop Down 37" hidden="1">
              <a:extLst>
                <a:ext uri="{63B3BB69-23CF-44E3-9099-C40C66FF867C}">
                  <a14:compatExt spid="_x0000_s4133"/>
                </a:ext>
                <a:ext uri="{FF2B5EF4-FFF2-40B4-BE49-F238E27FC236}">
                  <a16:creationId xmlns:a16="http://schemas.microsoft.com/office/drawing/2014/main" id="{00000000-0008-0000-0300-00002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15</xdr:row>
          <xdr:rowOff>9525</xdr:rowOff>
        </xdr:from>
        <xdr:to>
          <xdr:col>10</xdr:col>
          <xdr:colOff>9525</xdr:colOff>
          <xdr:row>15</xdr:row>
          <xdr:rowOff>180975</xdr:rowOff>
        </xdr:to>
        <xdr:sp macro="" textlink="">
          <xdr:nvSpPr>
            <xdr:cNvPr id="4134" name="Drop Down 38" hidden="1">
              <a:extLst>
                <a:ext uri="{63B3BB69-23CF-44E3-9099-C40C66FF867C}">
                  <a14:compatExt spid="_x0000_s4134"/>
                </a:ext>
                <a:ext uri="{FF2B5EF4-FFF2-40B4-BE49-F238E27FC236}">
                  <a16:creationId xmlns:a16="http://schemas.microsoft.com/office/drawing/2014/main" id="{00000000-0008-0000-0300-00002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16</xdr:row>
          <xdr:rowOff>9525</xdr:rowOff>
        </xdr:from>
        <xdr:to>
          <xdr:col>10</xdr:col>
          <xdr:colOff>9525</xdr:colOff>
          <xdr:row>16</xdr:row>
          <xdr:rowOff>180975</xdr:rowOff>
        </xdr:to>
        <xdr:sp macro="" textlink="">
          <xdr:nvSpPr>
            <xdr:cNvPr id="4135" name="Drop Down 39" hidden="1">
              <a:extLst>
                <a:ext uri="{63B3BB69-23CF-44E3-9099-C40C66FF867C}">
                  <a14:compatExt spid="_x0000_s4135"/>
                </a:ext>
                <a:ext uri="{FF2B5EF4-FFF2-40B4-BE49-F238E27FC236}">
                  <a16:creationId xmlns:a16="http://schemas.microsoft.com/office/drawing/2014/main" id="{00000000-0008-0000-0300-00002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17</xdr:row>
          <xdr:rowOff>9525</xdr:rowOff>
        </xdr:from>
        <xdr:to>
          <xdr:col>10</xdr:col>
          <xdr:colOff>9525</xdr:colOff>
          <xdr:row>17</xdr:row>
          <xdr:rowOff>180975</xdr:rowOff>
        </xdr:to>
        <xdr:sp macro="" textlink="">
          <xdr:nvSpPr>
            <xdr:cNvPr id="4136" name="Drop Down 40" hidden="1">
              <a:extLst>
                <a:ext uri="{63B3BB69-23CF-44E3-9099-C40C66FF867C}">
                  <a14:compatExt spid="_x0000_s4136"/>
                </a:ext>
                <a:ext uri="{FF2B5EF4-FFF2-40B4-BE49-F238E27FC236}">
                  <a16:creationId xmlns:a16="http://schemas.microsoft.com/office/drawing/2014/main" id="{00000000-0008-0000-0300-00002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18</xdr:row>
          <xdr:rowOff>9525</xdr:rowOff>
        </xdr:from>
        <xdr:to>
          <xdr:col>10</xdr:col>
          <xdr:colOff>9525</xdr:colOff>
          <xdr:row>18</xdr:row>
          <xdr:rowOff>180975</xdr:rowOff>
        </xdr:to>
        <xdr:sp macro="" textlink="">
          <xdr:nvSpPr>
            <xdr:cNvPr id="4137" name="Drop Down 41" hidden="1">
              <a:extLst>
                <a:ext uri="{63B3BB69-23CF-44E3-9099-C40C66FF867C}">
                  <a14:compatExt spid="_x0000_s4137"/>
                </a:ext>
                <a:ext uri="{FF2B5EF4-FFF2-40B4-BE49-F238E27FC236}">
                  <a16:creationId xmlns:a16="http://schemas.microsoft.com/office/drawing/2014/main" id="{00000000-0008-0000-0300-00002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19</xdr:row>
          <xdr:rowOff>9525</xdr:rowOff>
        </xdr:from>
        <xdr:to>
          <xdr:col>10</xdr:col>
          <xdr:colOff>9525</xdr:colOff>
          <xdr:row>19</xdr:row>
          <xdr:rowOff>180975</xdr:rowOff>
        </xdr:to>
        <xdr:sp macro="" textlink="">
          <xdr:nvSpPr>
            <xdr:cNvPr id="4138" name="Drop Down 42" hidden="1">
              <a:extLst>
                <a:ext uri="{63B3BB69-23CF-44E3-9099-C40C66FF867C}">
                  <a14:compatExt spid="_x0000_s4138"/>
                </a:ext>
                <a:ext uri="{FF2B5EF4-FFF2-40B4-BE49-F238E27FC236}">
                  <a16:creationId xmlns:a16="http://schemas.microsoft.com/office/drawing/2014/main" id="{00000000-0008-0000-0300-00002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20</xdr:row>
          <xdr:rowOff>9525</xdr:rowOff>
        </xdr:from>
        <xdr:to>
          <xdr:col>10</xdr:col>
          <xdr:colOff>9525</xdr:colOff>
          <xdr:row>20</xdr:row>
          <xdr:rowOff>180975</xdr:rowOff>
        </xdr:to>
        <xdr:sp macro="" textlink="">
          <xdr:nvSpPr>
            <xdr:cNvPr id="4139" name="Drop Down 43" hidden="1">
              <a:extLst>
                <a:ext uri="{63B3BB69-23CF-44E3-9099-C40C66FF867C}">
                  <a14:compatExt spid="_x0000_s4139"/>
                </a:ext>
                <a:ext uri="{FF2B5EF4-FFF2-40B4-BE49-F238E27FC236}">
                  <a16:creationId xmlns:a16="http://schemas.microsoft.com/office/drawing/2014/main" id="{00000000-0008-0000-0300-00002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21</xdr:row>
          <xdr:rowOff>9525</xdr:rowOff>
        </xdr:from>
        <xdr:to>
          <xdr:col>10</xdr:col>
          <xdr:colOff>9525</xdr:colOff>
          <xdr:row>21</xdr:row>
          <xdr:rowOff>180975</xdr:rowOff>
        </xdr:to>
        <xdr:sp macro="" textlink="">
          <xdr:nvSpPr>
            <xdr:cNvPr id="4140" name="Drop Down 44" hidden="1">
              <a:extLst>
                <a:ext uri="{63B3BB69-23CF-44E3-9099-C40C66FF867C}">
                  <a14:compatExt spid="_x0000_s4140"/>
                </a:ext>
                <a:ext uri="{FF2B5EF4-FFF2-40B4-BE49-F238E27FC236}">
                  <a16:creationId xmlns:a16="http://schemas.microsoft.com/office/drawing/2014/main" id="{00000000-0008-0000-0300-00002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13</xdr:col>
      <xdr:colOff>228600</xdr:colOff>
      <xdr:row>4</xdr:row>
      <xdr:rowOff>19050</xdr:rowOff>
    </xdr:from>
    <xdr:to>
      <xdr:col>13</xdr:col>
      <xdr:colOff>552451</xdr:colOff>
      <xdr:row>4</xdr:row>
      <xdr:rowOff>200025</xdr:rowOff>
    </xdr:to>
    <xdr:cxnSp macro="">
      <xdr:nvCxnSpPr>
        <xdr:cNvPr id="46" name="Lige pilforbindelse 45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CxnSpPr/>
      </xdr:nvCxnSpPr>
      <xdr:spPr>
        <a:xfrm flipH="1">
          <a:off x="6457950" y="990600"/>
          <a:ext cx="323851" cy="180975"/>
        </a:xfrm>
        <a:prstGeom prst="straightConnector1">
          <a:avLst/>
        </a:prstGeom>
        <a:ln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7</xdr:row>
          <xdr:rowOff>9525</xdr:rowOff>
        </xdr:from>
        <xdr:to>
          <xdr:col>10</xdr:col>
          <xdr:colOff>9525</xdr:colOff>
          <xdr:row>7</xdr:row>
          <xdr:rowOff>180975</xdr:rowOff>
        </xdr:to>
        <xdr:sp macro="" textlink="">
          <xdr:nvSpPr>
            <xdr:cNvPr id="4141" name="Drop Down 45" hidden="1">
              <a:extLst>
                <a:ext uri="{63B3BB69-23CF-44E3-9099-C40C66FF867C}">
                  <a14:compatExt spid="_x0000_s4141"/>
                </a:ext>
                <a:ext uri="{FF2B5EF4-FFF2-40B4-BE49-F238E27FC236}">
                  <a16:creationId xmlns:a16="http://schemas.microsoft.com/office/drawing/2014/main" id="{00000000-0008-0000-0300-00002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8</xdr:row>
          <xdr:rowOff>9525</xdr:rowOff>
        </xdr:from>
        <xdr:to>
          <xdr:col>10</xdr:col>
          <xdr:colOff>9525</xdr:colOff>
          <xdr:row>8</xdr:row>
          <xdr:rowOff>180975</xdr:rowOff>
        </xdr:to>
        <xdr:sp macro="" textlink="">
          <xdr:nvSpPr>
            <xdr:cNvPr id="4142" name="Drop Down 46" hidden="1">
              <a:extLst>
                <a:ext uri="{63B3BB69-23CF-44E3-9099-C40C66FF867C}">
                  <a14:compatExt spid="_x0000_s4142"/>
                </a:ext>
                <a:ext uri="{FF2B5EF4-FFF2-40B4-BE49-F238E27FC236}">
                  <a16:creationId xmlns:a16="http://schemas.microsoft.com/office/drawing/2014/main" id="{00000000-0008-0000-0300-00002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9</xdr:row>
          <xdr:rowOff>9525</xdr:rowOff>
        </xdr:from>
        <xdr:to>
          <xdr:col>10</xdr:col>
          <xdr:colOff>9525</xdr:colOff>
          <xdr:row>9</xdr:row>
          <xdr:rowOff>180975</xdr:rowOff>
        </xdr:to>
        <xdr:sp macro="" textlink="">
          <xdr:nvSpPr>
            <xdr:cNvPr id="4143" name="Drop Down 47" hidden="1">
              <a:extLst>
                <a:ext uri="{63B3BB69-23CF-44E3-9099-C40C66FF867C}">
                  <a14:compatExt spid="_x0000_s4143"/>
                </a:ext>
                <a:ext uri="{FF2B5EF4-FFF2-40B4-BE49-F238E27FC236}">
                  <a16:creationId xmlns:a16="http://schemas.microsoft.com/office/drawing/2014/main" id="{00000000-0008-0000-0300-00002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10</xdr:row>
          <xdr:rowOff>9525</xdr:rowOff>
        </xdr:from>
        <xdr:to>
          <xdr:col>10</xdr:col>
          <xdr:colOff>9525</xdr:colOff>
          <xdr:row>10</xdr:row>
          <xdr:rowOff>180975</xdr:rowOff>
        </xdr:to>
        <xdr:sp macro="" textlink="">
          <xdr:nvSpPr>
            <xdr:cNvPr id="4144" name="Drop Down 48" hidden="1">
              <a:extLst>
                <a:ext uri="{63B3BB69-23CF-44E3-9099-C40C66FF867C}">
                  <a14:compatExt spid="_x0000_s4144"/>
                </a:ext>
                <a:ext uri="{FF2B5EF4-FFF2-40B4-BE49-F238E27FC236}">
                  <a16:creationId xmlns:a16="http://schemas.microsoft.com/office/drawing/2014/main" id="{00000000-0008-0000-0300-00003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11</xdr:row>
          <xdr:rowOff>9525</xdr:rowOff>
        </xdr:from>
        <xdr:to>
          <xdr:col>10</xdr:col>
          <xdr:colOff>9525</xdr:colOff>
          <xdr:row>11</xdr:row>
          <xdr:rowOff>180975</xdr:rowOff>
        </xdr:to>
        <xdr:sp macro="" textlink="">
          <xdr:nvSpPr>
            <xdr:cNvPr id="4145" name="Drop Down 49" hidden="1">
              <a:extLst>
                <a:ext uri="{63B3BB69-23CF-44E3-9099-C40C66FF867C}">
                  <a14:compatExt spid="_x0000_s4145"/>
                </a:ext>
                <a:ext uri="{FF2B5EF4-FFF2-40B4-BE49-F238E27FC236}">
                  <a16:creationId xmlns:a16="http://schemas.microsoft.com/office/drawing/2014/main" id="{00000000-0008-0000-0300-00003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12</xdr:row>
          <xdr:rowOff>9525</xdr:rowOff>
        </xdr:from>
        <xdr:to>
          <xdr:col>10</xdr:col>
          <xdr:colOff>9525</xdr:colOff>
          <xdr:row>12</xdr:row>
          <xdr:rowOff>180975</xdr:rowOff>
        </xdr:to>
        <xdr:sp macro="" textlink="">
          <xdr:nvSpPr>
            <xdr:cNvPr id="4146" name="Drop Down 50" hidden="1">
              <a:extLst>
                <a:ext uri="{63B3BB69-23CF-44E3-9099-C40C66FF867C}">
                  <a14:compatExt spid="_x0000_s4146"/>
                </a:ext>
                <a:ext uri="{FF2B5EF4-FFF2-40B4-BE49-F238E27FC236}">
                  <a16:creationId xmlns:a16="http://schemas.microsoft.com/office/drawing/2014/main" id="{00000000-0008-0000-0300-00003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13</xdr:row>
          <xdr:rowOff>9525</xdr:rowOff>
        </xdr:from>
        <xdr:to>
          <xdr:col>10</xdr:col>
          <xdr:colOff>9525</xdr:colOff>
          <xdr:row>13</xdr:row>
          <xdr:rowOff>180975</xdr:rowOff>
        </xdr:to>
        <xdr:sp macro="" textlink="">
          <xdr:nvSpPr>
            <xdr:cNvPr id="4147" name="Drop Down 51" hidden="1">
              <a:extLst>
                <a:ext uri="{63B3BB69-23CF-44E3-9099-C40C66FF867C}">
                  <a14:compatExt spid="_x0000_s4147"/>
                </a:ext>
                <a:ext uri="{FF2B5EF4-FFF2-40B4-BE49-F238E27FC236}">
                  <a16:creationId xmlns:a16="http://schemas.microsoft.com/office/drawing/2014/main" id="{00000000-0008-0000-0300-00003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14</xdr:row>
          <xdr:rowOff>9525</xdr:rowOff>
        </xdr:from>
        <xdr:to>
          <xdr:col>10</xdr:col>
          <xdr:colOff>9525</xdr:colOff>
          <xdr:row>14</xdr:row>
          <xdr:rowOff>180975</xdr:rowOff>
        </xdr:to>
        <xdr:sp macro="" textlink="">
          <xdr:nvSpPr>
            <xdr:cNvPr id="4148" name="Drop Down 52" hidden="1">
              <a:extLst>
                <a:ext uri="{63B3BB69-23CF-44E3-9099-C40C66FF867C}">
                  <a14:compatExt spid="_x0000_s4148"/>
                </a:ext>
                <a:ext uri="{FF2B5EF4-FFF2-40B4-BE49-F238E27FC236}">
                  <a16:creationId xmlns:a16="http://schemas.microsoft.com/office/drawing/2014/main" id="{00000000-0008-0000-0300-00003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15</xdr:row>
          <xdr:rowOff>9525</xdr:rowOff>
        </xdr:from>
        <xdr:to>
          <xdr:col>10</xdr:col>
          <xdr:colOff>9525</xdr:colOff>
          <xdr:row>15</xdr:row>
          <xdr:rowOff>180975</xdr:rowOff>
        </xdr:to>
        <xdr:sp macro="" textlink="">
          <xdr:nvSpPr>
            <xdr:cNvPr id="4149" name="Drop Down 53" hidden="1">
              <a:extLst>
                <a:ext uri="{63B3BB69-23CF-44E3-9099-C40C66FF867C}">
                  <a14:compatExt spid="_x0000_s4149"/>
                </a:ext>
                <a:ext uri="{FF2B5EF4-FFF2-40B4-BE49-F238E27FC236}">
                  <a16:creationId xmlns:a16="http://schemas.microsoft.com/office/drawing/2014/main" id="{00000000-0008-0000-0300-00003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16</xdr:row>
          <xdr:rowOff>9525</xdr:rowOff>
        </xdr:from>
        <xdr:to>
          <xdr:col>10</xdr:col>
          <xdr:colOff>9525</xdr:colOff>
          <xdr:row>16</xdr:row>
          <xdr:rowOff>180975</xdr:rowOff>
        </xdr:to>
        <xdr:sp macro="" textlink="">
          <xdr:nvSpPr>
            <xdr:cNvPr id="4150" name="Drop Down 54" hidden="1">
              <a:extLst>
                <a:ext uri="{63B3BB69-23CF-44E3-9099-C40C66FF867C}">
                  <a14:compatExt spid="_x0000_s4150"/>
                </a:ext>
                <a:ext uri="{FF2B5EF4-FFF2-40B4-BE49-F238E27FC236}">
                  <a16:creationId xmlns:a16="http://schemas.microsoft.com/office/drawing/2014/main" id="{00000000-0008-0000-0300-00003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17</xdr:row>
          <xdr:rowOff>9525</xdr:rowOff>
        </xdr:from>
        <xdr:to>
          <xdr:col>10</xdr:col>
          <xdr:colOff>9525</xdr:colOff>
          <xdr:row>17</xdr:row>
          <xdr:rowOff>180975</xdr:rowOff>
        </xdr:to>
        <xdr:sp macro="" textlink="">
          <xdr:nvSpPr>
            <xdr:cNvPr id="4151" name="Drop Down 55" hidden="1">
              <a:extLst>
                <a:ext uri="{63B3BB69-23CF-44E3-9099-C40C66FF867C}">
                  <a14:compatExt spid="_x0000_s4151"/>
                </a:ext>
                <a:ext uri="{FF2B5EF4-FFF2-40B4-BE49-F238E27FC236}">
                  <a16:creationId xmlns:a16="http://schemas.microsoft.com/office/drawing/2014/main" id="{00000000-0008-0000-0300-00003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18</xdr:row>
          <xdr:rowOff>9525</xdr:rowOff>
        </xdr:from>
        <xdr:to>
          <xdr:col>10</xdr:col>
          <xdr:colOff>9525</xdr:colOff>
          <xdr:row>18</xdr:row>
          <xdr:rowOff>180975</xdr:rowOff>
        </xdr:to>
        <xdr:sp macro="" textlink="">
          <xdr:nvSpPr>
            <xdr:cNvPr id="4152" name="Drop Down 56" hidden="1">
              <a:extLst>
                <a:ext uri="{63B3BB69-23CF-44E3-9099-C40C66FF867C}">
                  <a14:compatExt spid="_x0000_s4152"/>
                </a:ext>
                <a:ext uri="{FF2B5EF4-FFF2-40B4-BE49-F238E27FC236}">
                  <a16:creationId xmlns:a16="http://schemas.microsoft.com/office/drawing/2014/main" id="{00000000-0008-0000-0300-00003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19</xdr:row>
          <xdr:rowOff>9525</xdr:rowOff>
        </xdr:from>
        <xdr:to>
          <xdr:col>10</xdr:col>
          <xdr:colOff>9525</xdr:colOff>
          <xdr:row>19</xdr:row>
          <xdr:rowOff>180975</xdr:rowOff>
        </xdr:to>
        <xdr:sp macro="" textlink="">
          <xdr:nvSpPr>
            <xdr:cNvPr id="4153" name="Drop Down 57" hidden="1">
              <a:extLst>
                <a:ext uri="{63B3BB69-23CF-44E3-9099-C40C66FF867C}">
                  <a14:compatExt spid="_x0000_s4153"/>
                </a:ext>
                <a:ext uri="{FF2B5EF4-FFF2-40B4-BE49-F238E27FC236}">
                  <a16:creationId xmlns:a16="http://schemas.microsoft.com/office/drawing/2014/main" id="{00000000-0008-0000-0300-00003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20</xdr:row>
          <xdr:rowOff>9525</xdr:rowOff>
        </xdr:from>
        <xdr:to>
          <xdr:col>10</xdr:col>
          <xdr:colOff>9525</xdr:colOff>
          <xdr:row>20</xdr:row>
          <xdr:rowOff>180975</xdr:rowOff>
        </xdr:to>
        <xdr:sp macro="" textlink="">
          <xdr:nvSpPr>
            <xdr:cNvPr id="4154" name="Drop Down 58" hidden="1">
              <a:extLst>
                <a:ext uri="{63B3BB69-23CF-44E3-9099-C40C66FF867C}">
                  <a14:compatExt spid="_x0000_s4154"/>
                </a:ext>
                <a:ext uri="{FF2B5EF4-FFF2-40B4-BE49-F238E27FC236}">
                  <a16:creationId xmlns:a16="http://schemas.microsoft.com/office/drawing/2014/main" id="{00000000-0008-0000-0300-00003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21</xdr:row>
          <xdr:rowOff>9525</xdr:rowOff>
        </xdr:from>
        <xdr:to>
          <xdr:col>10</xdr:col>
          <xdr:colOff>9525</xdr:colOff>
          <xdr:row>21</xdr:row>
          <xdr:rowOff>180975</xdr:rowOff>
        </xdr:to>
        <xdr:sp macro="" textlink="">
          <xdr:nvSpPr>
            <xdr:cNvPr id="4155" name="Drop Down 59" hidden="1">
              <a:extLst>
                <a:ext uri="{63B3BB69-23CF-44E3-9099-C40C66FF867C}">
                  <a14:compatExt spid="_x0000_s4155"/>
                </a:ext>
                <a:ext uri="{FF2B5EF4-FFF2-40B4-BE49-F238E27FC236}">
                  <a16:creationId xmlns:a16="http://schemas.microsoft.com/office/drawing/2014/main" id="{00000000-0008-0000-0300-00003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8</xdr:row>
          <xdr:rowOff>9525</xdr:rowOff>
        </xdr:from>
        <xdr:to>
          <xdr:col>10</xdr:col>
          <xdr:colOff>9525</xdr:colOff>
          <xdr:row>8</xdr:row>
          <xdr:rowOff>180975</xdr:rowOff>
        </xdr:to>
        <xdr:sp macro="" textlink="">
          <xdr:nvSpPr>
            <xdr:cNvPr id="4156" name="Drop Down 60" hidden="1">
              <a:extLst>
                <a:ext uri="{63B3BB69-23CF-44E3-9099-C40C66FF867C}">
                  <a14:compatExt spid="_x0000_s4156"/>
                </a:ext>
                <a:ext uri="{FF2B5EF4-FFF2-40B4-BE49-F238E27FC236}">
                  <a16:creationId xmlns:a16="http://schemas.microsoft.com/office/drawing/2014/main" id="{00000000-0008-0000-0300-00003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9</xdr:row>
          <xdr:rowOff>9525</xdr:rowOff>
        </xdr:from>
        <xdr:to>
          <xdr:col>10</xdr:col>
          <xdr:colOff>9525</xdr:colOff>
          <xdr:row>9</xdr:row>
          <xdr:rowOff>180975</xdr:rowOff>
        </xdr:to>
        <xdr:sp macro="" textlink="">
          <xdr:nvSpPr>
            <xdr:cNvPr id="4157" name="Drop Down 61" hidden="1">
              <a:extLst>
                <a:ext uri="{63B3BB69-23CF-44E3-9099-C40C66FF867C}">
                  <a14:compatExt spid="_x0000_s4157"/>
                </a:ext>
                <a:ext uri="{FF2B5EF4-FFF2-40B4-BE49-F238E27FC236}">
                  <a16:creationId xmlns:a16="http://schemas.microsoft.com/office/drawing/2014/main" id="{00000000-0008-0000-0300-00003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10</xdr:row>
          <xdr:rowOff>9525</xdr:rowOff>
        </xdr:from>
        <xdr:to>
          <xdr:col>10</xdr:col>
          <xdr:colOff>9525</xdr:colOff>
          <xdr:row>10</xdr:row>
          <xdr:rowOff>180975</xdr:rowOff>
        </xdr:to>
        <xdr:sp macro="" textlink="">
          <xdr:nvSpPr>
            <xdr:cNvPr id="4158" name="Drop Down 62" hidden="1">
              <a:extLst>
                <a:ext uri="{63B3BB69-23CF-44E3-9099-C40C66FF867C}">
                  <a14:compatExt spid="_x0000_s4158"/>
                </a:ext>
                <a:ext uri="{FF2B5EF4-FFF2-40B4-BE49-F238E27FC236}">
                  <a16:creationId xmlns:a16="http://schemas.microsoft.com/office/drawing/2014/main" id="{00000000-0008-0000-0300-00003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11</xdr:row>
          <xdr:rowOff>9525</xdr:rowOff>
        </xdr:from>
        <xdr:to>
          <xdr:col>10</xdr:col>
          <xdr:colOff>9525</xdr:colOff>
          <xdr:row>11</xdr:row>
          <xdr:rowOff>180975</xdr:rowOff>
        </xdr:to>
        <xdr:sp macro="" textlink="">
          <xdr:nvSpPr>
            <xdr:cNvPr id="4159" name="Drop Down 63" hidden="1">
              <a:extLst>
                <a:ext uri="{63B3BB69-23CF-44E3-9099-C40C66FF867C}">
                  <a14:compatExt spid="_x0000_s4159"/>
                </a:ext>
                <a:ext uri="{FF2B5EF4-FFF2-40B4-BE49-F238E27FC236}">
                  <a16:creationId xmlns:a16="http://schemas.microsoft.com/office/drawing/2014/main" id="{00000000-0008-0000-0300-00003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12</xdr:row>
          <xdr:rowOff>9525</xdr:rowOff>
        </xdr:from>
        <xdr:to>
          <xdr:col>10</xdr:col>
          <xdr:colOff>9525</xdr:colOff>
          <xdr:row>12</xdr:row>
          <xdr:rowOff>180975</xdr:rowOff>
        </xdr:to>
        <xdr:sp macro="" textlink="">
          <xdr:nvSpPr>
            <xdr:cNvPr id="4160" name="Drop Down 64" hidden="1">
              <a:extLst>
                <a:ext uri="{63B3BB69-23CF-44E3-9099-C40C66FF867C}">
                  <a14:compatExt spid="_x0000_s4160"/>
                </a:ext>
                <a:ext uri="{FF2B5EF4-FFF2-40B4-BE49-F238E27FC236}">
                  <a16:creationId xmlns:a16="http://schemas.microsoft.com/office/drawing/2014/main" id="{00000000-0008-0000-0300-00004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13</xdr:row>
          <xdr:rowOff>9525</xdr:rowOff>
        </xdr:from>
        <xdr:to>
          <xdr:col>10</xdr:col>
          <xdr:colOff>9525</xdr:colOff>
          <xdr:row>13</xdr:row>
          <xdr:rowOff>180975</xdr:rowOff>
        </xdr:to>
        <xdr:sp macro="" textlink="">
          <xdr:nvSpPr>
            <xdr:cNvPr id="4161" name="Drop Down 65" hidden="1">
              <a:extLst>
                <a:ext uri="{63B3BB69-23CF-44E3-9099-C40C66FF867C}">
                  <a14:compatExt spid="_x0000_s4161"/>
                </a:ext>
                <a:ext uri="{FF2B5EF4-FFF2-40B4-BE49-F238E27FC236}">
                  <a16:creationId xmlns:a16="http://schemas.microsoft.com/office/drawing/2014/main" id="{00000000-0008-0000-0300-00004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14</xdr:row>
          <xdr:rowOff>9525</xdr:rowOff>
        </xdr:from>
        <xdr:to>
          <xdr:col>10</xdr:col>
          <xdr:colOff>9525</xdr:colOff>
          <xdr:row>14</xdr:row>
          <xdr:rowOff>180975</xdr:rowOff>
        </xdr:to>
        <xdr:sp macro="" textlink="">
          <xdr:nvSpPr>
            <xdr:cNvPr id="4162" name="Drop Down 66" hidden="1">
              <a:extLst>
                <a:ext uri="{63B3BB69-23CF-44E3-9099-C40C66FF867C}">
                  <a14:compatExt spid="_x0000_s4162"/>
                </a:ext>
                <a:ext uri="{FF2B5EF4-FFF2-40B4-BE49-F238E27FC236}">
                  <a16:creationId xmlns:a16="http://schemas.microsoft.com/office/drawing/2014/main" id="{00000000-0008-0000-0300-00004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15</xdr:row>
          <xdr:rowOff>9525</xdr:rowOff>
        </xdr:from>
        <xdr:to>
          <xdr:col>10</xdr:col>
          <xdr:colOff>9525</xdr:colOff>
          <xdr:row>15</xdr:row>
          <xdr:rowOff>180975</xdr:rowOff>
        </xdr:to>
        <xdr:sp macro="" textlink="">
          <xdr:nvSpPr>
            <xdr:cNvPr id="4163" name="Drop Down 67" hidden="1">
              <a:extLst>
                <a:ext uri="{63B3BB69-23CF-44E3-9099-C40C66FF867C}">
                  <a14:compatExt spid="_x0000_s4163"/>
                </a:ext>
                <a:ext uri="{FF2B5EF4-FFF2-40B4-BE49-F238E27FC236}">
                  <a16:creationId xmlns:a16="http://schemas.microsoft.com/office/drawing/2014/main" id="{00000000-0008-0000-0300-00004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16</xdr:row>
          <xdr:rowOff>9525</xdr:rowOff>
        </xdr:from>
        <xdr:to>
          <xdr:col>10</xdr:col>
          <xdr:colOff>9525</xdr:colOff>
          <xdr:row>16</xdr:row>
          <xdr:rowOff>180975</xdr:rowOff>
        </xdr:to>
        <xdr:sp macro="" textlink="">
          <xdr:nvSpPr>
            <xdr:cNvPr id="4164" name="Drop Down 68" hidden="1">
              <a:extLst>
                <a:ext uri="{63B3BB69-23CF-44E3-9099-C40C66FF867C}">
                  <a14:compatExt spid="_x0000_s4164"/>
                </a:ext>
                <a:ext uri="{FF2B5EF4-FFF2-40B4-BE49-F238E27FC236}">
                  <a16:creationId xmlns:a16="http://schemas.microsoft.com/office/drawing/2014/main" id="{00000000-0008-0000-0300-00004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17</xdr:row>
          <xdr:rowOff>9525</xdr:rowOff>
        </xdr:from>
        <xdr:to>
          <xdr:col>10</xdr:col>
          <xdr:colOff>9525</xdr:colOff>
          <xdr:row>17</xdr:row>
          <xdr:rowOff>180975</xdr:rowOff>
        </xdr:to>
        <xdr:sp macro="" textlink="">
          <xdr:nvSpPr>
            <xdr:cNvPr id="4165" name="Drop Down 69" hidden="1">
              <a:extLst>
                <a:ext uri="{63B3BB69-23CF-44E3-9099-C40C66FF867C}">
                  <a14:compatExt spid="_x0000_s4165"/>
                </a:ext>
                <a:ext uri="{FF2B5EF4-FFF2-40B4-BE49-F238E27FC236}">
                  <a16:creationId xmlns:a16="http://schemas.microsoft.com/office/drawing/2014/main" id="{00000000-0008-0000-0300-00004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18</xdr:row>
          <xdr:rowOff>9525</xdr:rowOff>
        </xdr:from>
        <xdr:to>
          <xdr:col>10</xdr:col>
          <xdr:colOff>9525</xdr:colOff>
          <xdr:row>18</xdr:row>
          <xdr:rowOff>180975</xdr:rowOff>
        </xdr:to>
        <xdr:sp macro="" textlink="">
          <xdr:nvSpPr>
            <xdr:cNvPr id="4166" name="Drop Down 70" hidden="1">
              <a:extLst>
                <a:ext uri="{63B3BB69-23CF-44E3-9099-C40C66FF867C}">
                  <a14:compatExt spid="_x0000_s4166"/>
                </a:ext>
                <a:ext uri="{FF2B5EF4-FFF2-40B4-BE49-F238E27FC236}">
                  <a16:creationId xmlns:a16="http://schemas.microsoft.com/office/drawing/2014/main" id="{00000000-0008-0000-0300-00004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19</xdr:row>
          <xdr:rowOff>9525</xdr:rowOff>
        </xdr:from>
        <xdr:to>
          <xdr:col>10</xdr:col>
          <xdr:colOff>9525</xdr:colOff>
          <xdr:row>19</xdr:row>
          <xdr:rowOff>180975</xdr:rowOff>
        </xdr:to>
        <xdr:sp macro="" textlink="">
          <xdr:nvSpPr>
            <xdr:cNvPr id="4167" name="Drop Down 71" hidden="1">
              <a:extLst>
                <a:ext uri="{63B3BB69-23CF-44E3-9099-C40C66FF867C}">
                  <a14:compatExt spid="_x0000_s4167"/>
                </a:ext>
                <a:ext uri="{FF2B5EF4-FFF2-40B4-BE49-F238E27FC236}">
                  <a16:creationId xmlns:a16="http://schemas.microsoft.com/office/drawing/2014/main" id="{00000000-0008-0000-0300-00004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20</xdr:row>
          <xdr:rowOff>9525</xdr:rowOff>
        </xdr:from>
        <xdr:to>
          <xdr:col>10</xdr:col>
          <xdr:colOff>9525</xdr:colOff>
          <xdr:row>20</xdr:row>
          <xdr:rowOff>180975</xdr:rowOff>
        </xdr:to>
        <xdr:sp macro="" textlink="">
          <xdr:nvSpPr>
            <xdr:cNvPr id="4168" name="Drop Down 72" hidden="1">
              <a:extLst>
                <a:ext uri="{63B3BB69-23CF-44E3-9099-C40C66FF867C}">
                  <a14:compatExt spid="_x0000_s4168"/>
                </a:ext>
                <a:ext uri="{FF2B5EF4-FFF2-40B4-BE49-F238E27FC236}">
                  <a16:creationId xmlns:a16="http://schemas.microsoft.com/office/drawing/2014/main" id="{00000000-0008-0000-0300-00004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21</xdr:row>
          <xdr:rowOff>9525</xdr:rowOff>
        </xdr:from>
        <xdr:to>
          <xdr:col>10</xdr:col>
          <xdr:colOff>9525</xdr:colOff>
          <xdr:row>21</xdr:row>
          <xdr:rowOff>180975</xdr:rowOff>
        </xdr:to>
        <xdr:sp macro="" textlink="">
          <xdr:nvSpPr>
            <xdr:cNvPr id="4169" name="Drop Down 73" hidden="1">
              <a:extLst>
                <a:ext uri="{63B3BB69-23CF-44E3-9099-C40C66FF867C}">
                  <a14:compatExt spid="_x0000_s4169"/>
                </a:ext>
                <a:ext uri="{FF2B5EF4-FFF2-40B4-BE49-F238E27FC236}">
                  <a16:creationId xmlns:a16="http://schemas.microsoft.com/office/drawing/2014/main" id="{00000000-0008-0000-0300-00004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7</xdr:row>
          <xdr:rowOff>9525</xdr:rowOff>
        </xdr:from>
        <xdr:to>
          <xdr:col>12</xdr:col>
          <xdr:colOff>0</xdr:colOff>
          <xdr:row>7</xdr:row>
          <xdr:rowOff>161925</xdr:rowOff>
        </xdr:to>
        <xdr:sp macro="" textlink="">
          <xdr:nvSpPr>
            <xdr:cNvPr id="4170" name="Drop Down 74" hidden="1">
              <a:extLst>
                <a:ext uri="{63B3BB69-23CF-44E3-9099-C40C66FF867C}">
                  <a14:compatExt spid="_x0000_s4170"/>
                </a:ext>
                <a:ext uri="{FF2B5EF4-FFF2-40B4-BE49-F238E27FC236}">
                  <a16:creationId xmlns:a16="http://schemas.microsoft.com/office/drawing/2014/main" id="{00000000-0008-0000-0300-00004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8</xdr:row>
          <xdr:rowOff>9525</xdr:rowOff>
        </xdr:from>
        <xdr:to>
          <xdr:col>12</xdr:col>
          <xdr:colOff>0</xdr:colOff>
          <xdr:row>8</xdr:row>
          <xdr:rowOff>161925</xdr:rowOff>
        </xdr:to>
        <xdr:sp macro="" textlink="">
          <xdr:nvSpPr>
            <xdr:cNvPr id="4171" name="Drop Down 75" hidden="1">
              <a:extLst>
                <a:ext uri="{63B3BB69-23CF-44E3-9099-C40C66FF867C}">
                  <a14:compatExt spid="_x0000_s4171"/>
                </a:ext>
                <a:ext uri="{FF2B5EF4-FFF2-40B4-BE49-F238E27FC236}">
                  <a16:creationId xmlns:a16="http://schemas.microsoft.com/office/drawing/2014/main" id="{00000000-0008-0000-0300-00004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9</xdr:row>
          <xdr:rowOff>9525</xdr:rowOff>
        </xdr:from>
        <xdr:to>
          <xdr:col>12</xdr:col>
          <xdr:colOff>0</xdr:colOff>
          <xdr:row>9</xdr:row>
          <xdr:rowOff>161925</xdr:rowOff>
        </xdr:to>
        <xdr:sp macro="" textlink="">
          <xdr:nvSpPr>
            <xdr:cNvPr id="4172" name="Drop Down 76" hidden="1">
              <a:extLst>
                <a:ext uri="{63B3BB69-23CF-44E3-9099-C40C66FF867C}">
                  <a14:compatExt spid="_x0000_s4172"/>
                </a:ext>
                <a:ext uri="{FF2B5EF4-FFF2-40B4-BE49-F238E27FC236}">
                  <a16:creationId xmlns:a16="http://schemas.microsoft.com/office/drawing/2014/main" id="{00000000-0008-0000-0300-00004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10</xdr:row>
          <xdr:rowOff>9525</xdr:rowOff>
        </xdr:from>
        <xdr:to>
          <xdr:col>12</xdr:col>
          <xdr:colOff>0</xdr:colOff>
          <xdr:row>10</xdr:row>
          <xdr:rowOff>161925</xdr:rowOff>
        </xdr:to>
        <xdr:sp macro="" textlink="">
          <xdr:nvSpPr>
            <xdr:cNvPr id="4173" name="Drop Down 77" hidden="1">
              <a:extLst>
                <a:ext uri="{63B3BB69-23CF-44E3-9099-C40C66FF867C}">
                  <a14:compatExt spid="_x0000_s4173"/>
                </a:ext>
                <a:ext uri="{FF2B5EF4-FFF2-40B4-BE49-F238E27FC236}">
                  <a16:creationId xmlns:a16="http://schemas.microsoft.com/office/drawing/2014/main" id="{00000000-0008-0000-0300-00004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11</xdr:row>
          <xdr:rowOff>9525</xdr:rowOff>
        </xdr:from>
        <xdr:to>
          <xdr:col>12</xdr:col>
          <xdr:colOff>0</xdr:colOff>
          <xdr:row>11</xdr:row>
          <xdr:rowOff>161925</xdr:rowOff>
        </xdr:to>
        <xdr:sp macro="" textlink="">
          <xdr:nvSpPr>
            <xdr:cNvPr id="4174" name="Drop Down 78" hidden="1">
              <a:extLst>
                <a:ext uri="{63B3BB69-23CF-44E3-9099-C40C66FF867C}">
                  <a14:compatExt spid="_x0000_s4174"/>
                </a:ext>
                <a:ext uri="{FF2B5EF4-FFF2-40B4-BE49-F238E27FC236}">
                  <a16:creationId xmlns:a16="http://schemas.microsoft.com/office/drawing/2014/main" id="{00000000-0008-0000-0300-00004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12</xdr:row>
          <xdr:rowOff>9525</xdr:rowOff>
        </xdr:from>
        <xdr:to>
          <xdr:col>12</xdr:col>
          <xdr:colOff>0</xdr:colOff>
          <xdr:row>12</xdr:row>
          <xdr:rowOff>161925</xdr:rowOff>
        </xdr:to>
        <xdr:sp macro="" textlink="">
          <xdr:nvSpPr>
            <xdr:cNvPr id="4175" name="Drop Down 79" hidden="1">
              <a:extLst>
                <a:ext uri="{63B3BB69-23CF-44E3-9099-C40C66FF867C}">
                  <a14:compatExt spid="_x0000_s4175"/>
                </a:ext>
                <a:ext uri="{FF2B5EF4-FFF2-40B4-BE49-F238E27FC236}">
                  <a16:creationId xmlns:a16="http://schemas.microsoft.com/office/drawing/2014/main" id="{00000000-0008-0000-0300-00004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13</xdr:row>
          <xdr:rowOff>9525</xdr:rowOff>
        </xdr:from>
        <xdr:to>
          <xdr:col>12</xdr:col>
          <xdr:colOff>0</xdr:colOff>
          <xdr:row>13</xdr:row>
          <xdr:rowOff>161925</xdr:rowOff>
        </xdr:to>
        <xdr:sp macro="" textlink="">
          <xdr:nvSpPr>
            <xdr:cNvPr id="4176" name="Drop Down 80" hidden="1">
              <a:extLst>
                <a:ext uri="{63B3BB69-23CF-44E3-9099-C40C66FF867C}">
                  <a14:compatExt spid="_x0000_s4176"/>
                </a:ext>
                <a:ext uri="{FF2B5EF4-FFF2-40B4-BE49-F238E27FC236}">
                  <a16:creationId xmlns:a16="http://schemas.microsoft.com/office/drawing/2014/main" id="{00000000-0008-0000-0300-00005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14</xdr:row>
          <xdr:rowOff>9525</xdr:rowOff>
        </xdr:from>
        <xdr:to>
          <xdr:col>12</xdr:col>
          <xdr:colOff>0</xdr:colOff>
          <xdr:row>14</xdr:row>
          <xdr:rowOff>161925</xdr:rowOff>
        </xdr:to>
        <xdr:sp macro="" textlink="">
          <xdr:nvSpPr>
            <xdr:cNvPr id="4177" name="Drop Down 81" hidden="1">
              <a:extLst>
                <a:ext uri="{63B3BB69-23CF-44E3-9099-C40C66FF867C}">
                  <a14:compatExt spid="_x0000_s4177"/>
                </a:ext>
                <a:ext uri="{FF2B5EF4-FFF2-40B4-BE49-F238E27FC236}">
                  <a16:creationId xmlns:a16="http://schemas.microsoft.com/office/drawing/2014/main" id="{00000000-0008-0000-0300-00005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15</xdr:row>
          <xdr:rowOff>9525</xdr:rowOff>
        </xdr:from>
        <xdr:to>
          <xdr:col>12</xdr:col>
          <xdr:colOff>0</xdr:colOff>
          <xdr:row>15</xdr:row>
          <xdr:rowOff>161925</xdr:rowOff>
        </xdr:to>
        <xdr:sp macro="" textlink="">
          <xdr:nvSpPr>
            <xdr:cNvPr id="4178" name="Drop Down 82" hidden="1">
              <a:extLst>
                <a:ext uri="{63B3BB69-23CF-44E3-9099-C40C66FF867C}">
                  <a14:compatExt spid="_x0000_s4178"/>
                </a:ext>
                <a:ext uri="{FF2B5EF4-FFF2-40B4-BE49-F238E27FC236}">
                  <a16:creationId xmlns:a16="http://schemas.microsoft.com/office/drawing/2014/main" id="{00000000-0008-0000-0300-00005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16</xdr:row>
          <xdr:rowOff>9525</xdr:rowOff>
        </xdr:from>
        <xdr:to>
          <xdr:col>12</xdr:col>
          <xdr:colOff>0</xdr:colOff>
          <xdr:row>16</xdr:row>
          <xdr:rowOff>161925</xdr:rowOff>
        </xdr:to>
        <xdr:sp macro="" textlink="">
          <xdr:nvSpPr>
            <xdr:cNvPr id="4179" name="Drop Down 83" hidden="1">
              <a:extLst>
                <a:ext uri="{63B3BB69-23CF-44E3-9099-C40C66FF867C}">
                  <a14:compatExt spid="_x0000_s4179"/>
                </a:ext>
                <a:ext uri="{FF2B5EF4-FFF2-40B4-BE49-F238E27FC236}">
                  <a16:creationId xmlns:a16="http://schemas.microsoft.com/office/drawing/2014/main" id="{00000000-0008-0000-0300-00005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17</xdr:row>
          <xdr:rowOff>9525</xdr:rowOff>
        </xdr:from>
        <xdr:to>
          <xdr:col>12</xdr:col>
          <xdr:colOff>0</xdr:colOff>
          <xdr:row>17</xdr:row>
          <xdr:rowOff>161925</xdr:rowOff>
        </xdr:to>
        <xdr:sp macro="" textlink="">
          <xdr:nvSpPr>
            <xdr:cNvPr id="4180" name="Drop Down 84" hidden="1">
              <a:extLst>
                <a:ext uri="{63B3BB69-23CF-44E3-9099-C40C66FF867C}">
                  <a14:compatExt spid="_x0000_s4180"/>
                </a:ext>
                <a:ext uri="{FF2B5EF4-FFF2-40B4-BE49-F238E27FC236}">
                  <a16:creationId xmlns:a16="http://schemas.microsoft.com/office/drawing/2014/main" id="{00000000-0008-0000-0300-00005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18</xdr:row>
          <xdr:rowOff>9525</xdr:rowOff>
        </xdr:from>
        <xdr:to>
          <xdr:col>12</xdr:col>
          <xdr:colOff>0</xdr:colOff>
          <xdr:row>18</xdr:row>
          <xdr:rowOff>161925</xdr:rowOff>
        </xdr:to>
        <xdr:sp macro="" textlink="">
          <xdr:nvSpPr>
            <xdr:cNvPr id="4181" name="Drop Down 85" hidden="1">
              <a:extLst>
                <a:ext uri="{63B3BB69-23CF-44E3-9099-C40C66FF867C}">
                  <a14:compatExt spid="_x0000_s4181"/>
                </a:ext>
                <a:ext uri="{FF2B5EF4-FFF2-40B4-BE49-F238E27FC236}">
                  <a16:creationId xmlns:a16="http://schemas.microsoft.com/office/drawing/2014/main" id="{00000000-0008-0000-0300-00005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19</xdr:row>
          <xdr:rowOff>9525</xdr:rowOff>
        </xdr:from>
        <xdr:to>
          <xdr:col>12</xdr:col>
          <xdr:colOff>0</xdr:colOff>
          <xdr:row>19</xdr:row>
          <xdr:rowOff>161925</xdr:rowOff>
        </xdr:to>
        <xdr:sp macro="" textlink="">
          <xdr:nvSpPr>
            <xdr:cNvPr id="4182" name="Drop Down 86" hidden="1">
              <a:extLst>
                <a:ext uri="{63B3BB69-23CF-44E3-9099-C40C66FF867C}">
                  <a14:compatExt spid="_x0000_s4182"/>
                </a:ext>
                <a:ext uri="{FF2B5EF4-FFF2-40B4-BE49-F238E27FC236}">
                  <a16:creationId xmlns:a16="http://schemas.microsoft.com/office/drawing/2014/main" id="{00000000-0008-0000-0300-00005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20</xdr:row>
          <xdr:rowOff>9525</xdr:rowOff>
        </xdr:from>
        <xdr:to>
          <xdr:col>12</xdr:col>
          <xdr:colOff>0</xdr:colOff>
          <xdr:row>20</xdr:row>
          <xdr:rowOff>161925</xdr:rowOff>
        </xdr:to>
        <xdr:sp macro="" textlink="">
          <xdr:nvSpPr>
            <xdr:cNvPr id="4183" name="Drop Down 87" hidden="1">
              <a:extLst>
                <a:ext uri="{63B3BB69-23CF-44E3-9099-C40C66FF867C}">
                  <a14:compatExt spid="_x0000_s4183"/>
                </a:ext>
                <a:ext uri="{FF2B5EF4-FFF2-40B4-BE49-F238E27FC236}">
                  <a16:creationId xmlns:a16="http://schemas.microsoft.com/office/drawing/2014/main" id="{00000000-0008-0000-0300-00005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21</xdr:row>
          <xdr:rowOff>9525</xdr:rowOff>
        </xdr:from>
        <xdr:to>
          <xdr:col>12</xdr:col>
          <xdr:colOff>0</xdr:colOff>
          <xdr:row>21</xdr:row>
          <xdr:rowOff>161925</xdr:rowOff>
        </xdr:to>
        <xdr:sp macro="" textlink="">
          <xdr:nvSpPr>
            <xdr:cNvPr id="4184" name="Drop Down 88" hidden="1">
              <a:extLst>
                <a:ext uri="{63B3BB69-23CF-44E3-9099-C40C66FF867C}">
                  <a14:compatExt spid="_x0000_s4184"/>
                </a:ext>
                <a:ext uri="{FF2B5EF4-FFF2-40B4-BE49-F238E27FC236}">
                  <a16:creationId xmlns:a16="http://schemas.microsoft.com/office/drawing/2014/main" id="{00000000-0008-0000-0300-00005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8</xdr:row>
          <xdr:rowOff>9525</xdr:rowOff>
        </xdr:from>
        <xdr:to>
          <xdr:col>10</xdr:col>
          <xdr:colOff>9525</xdr:colOff>
          <xdr:row>8</xdr:row>
          <xdr:rowOff>180975</xdr:rowOff>
        </xdr:to>
        <xdr:sp macro="" textlink="">
          <xdr:nvSpPr>
            <xdr:cNvPr id="4185" name="Drop Down 89" hidden="1">
              <a:extLst>
                <a:ext uri="{63B3BB69-23CF-44E3-9099-C40C66FF867C}">
                  <a14:compatExt spid="_x0000_s4185"/>
                </a:ext>
                <a:ext uri="{FF2B5EF4-FFF2-40B4-BE49-F238E27FC236}">
                  <a16:creationId xmlns:a16="http://schemas.microsoft.com/office/drawing/2014/main" id="{00000000-0008-0000-0300-00005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9</xdr:row>
          <xdr:rowOff>9525</xdr:rowOff>
        </xdr:from>
        <xdr:to>
          <xdr:col>10</xdr:col>
          <xdr:colOff>9525</xdr:colOff>
          <xdr:row>9</xdr:row>
          <xdr:rowOff>180975</xdr:rowOff>
        </xdr:to>
        <xdr:sp macro="" textlink="">
          <xdr:nvSpPr>
            <xdr:cNvPr id="4186" name="Drop Down 90" hidden="1">
              <a:extLst>
                <a:ext uri="{63B3BB69-23CF-44E3-9099-C40C66FF867C}">
                  <a14:compatExt spid="_x0000_s4186"/>
                </a:ext>
                <a:ext uri="{FF2B5EF4-FFF2-40B4-BE49-F238E27FC236}">
                  <a16:creationId xmlns:a16="http://schemas.microsoft.com/office/drawing/2014/main" id="{00000000-0008-0000-0300-00005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10</xdr:row>
          <xdr:rowOff>9525</xdr:rowOff>
        </xdr:from>
        <xdr:to>
          <xdr:col>10</xdr:col>
          <xdr:colOff>9525</xdr:colOff>
          <xdr:row>10</xdr:row>
          <xdr:rowOff>180975</xdr:rowOff>
        </xdr:to>
        <xdr:sp macro="" textlink="">
          <xdr:nvSpPr>
            <xdr:cNvPr id="4187" name="Drop Down 91" hidden="1">
              <a:extLst>
                <a:ext uri="{63B3BB69-23CF-44E3-9099-C40C66FF867C}">
                  <a14:compatExt spid="_x0000_s4187"/>
                </a:ext>
                <a:ext uri="{FF2B5EF4-FFF2-40B4-BE49-F238E27FC236}">
                  <a16:creationId xmlns:a16="http://schemas.microsoft.com/office/drawing/2014/main" id="{00000000-0008-0000-0300-00005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11</xdr:row>
          <xdr:rowOff>9525</xdr:rowOff>
        </xdr:from>
        <xdr:to>
          <xdr:col>10</xdr:col>
          <xdr:colOff>9525</xdr:colOff>
          <xdr:row>11</xdr:row>
          <xdr:rowOff>180975</xdr:rowOff>
        </xdr:to>
        <xdr:sp macro="" textlink="">
          <xdr:nvSpPr>
            <xdr:cNvPr id="4188" name="Drop Down 92" hidden="1">
              <a:extLst>
                <a:ext uri="{63B3BB69-23CF-44E3-9099-C40C66FF867C}">
                  <a14:compatExt spid="_x0000_s4188"/>
                </a:ext>
                <a:ext uri="{FF2B5EF4-FFF2-40B4-BE49-F238E27FC236}">
                  <a16:creationId xmlns:a16="http://schemas.microsoft.com/office/drawing/2014/main" id="{00000000-0008-0000-0300-00005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12</xdr:row>
          <xdr:rowOff>9525</xdr:rowOff>
        </xdr:from>
        <xdr:to>
          <xdr:col>10</xdr:col>
          <xdr:colOff>9525</xdr:colOff>
          <xdr:row>12</xdr:row>
          <xdr:rowOff>180975</xdr:rowOff>
        </xdr:to>
        <xdr:sp macro="" textlink="">
          <xdr:nvSpPr>
            <xdr:cNvPr id="4189" name="Drop Down 93" hidden="1">
              <a:extLst>
                <a:ext uri="{63B3BB69-23CF-44E3-9099-C40C66FF867C}">
                  <a14:compatExt spid="_x0000_s4189"/>
                </a:ext>
                <a:ext uri="{FF2B5EF4-FFF2-40B4-BE49-F238E27FC236}">
                  <a16:creationId xmlns:a16="http://schemas.microsoft.com/office/drawing/2014/main" id="{00000000-0008-0000-0300-00005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13</xdr:row>
          <xdr:rowOff>9525</xdr:rowOff>
        </xdr:from>
        <xdr:to>
          <xdr:col>10</xdr:col>
          <xdr:colOff>9525</xdr:colOff>
          <xdr:row>13</xdr:row>
          <xdr:rowOff>180975</xdr:rowOff>
        </xdr:to>
        <xdr:sp macro="" textlink="">
          <xdr:nvSpPr>
            <xdr:cNvPr id="4190" name="Drop Down 94" hidden="1">
              <a:extLst>
                <a:ext uri="{63B3BB69-23CF-44E3-9099-C40C66FF867C}">
                  <a14:compatExt spid="_x0000_s4190"/>
                </a:ext>
                <a:ext uri="{FF2B5EF4-FFF2-40B4-BE49-F238E27FC236}">
                  <a16:creationId xmlns:a16="http://schemas.microsoft.com/office/drawing/2014/main" id="{00000000-0008-0000-0300-00005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14</xdr:row>
          <xdr:rowOff>9525</xdr:rowOff>
        </xdr:from>
        <xdr:to>
          <xdr:col>10</xdr:col>
          <xdr:colOff>9525</xdr:colOff>
          <xdr:row>14</xdr:row>
          <xdr:rowOff>180975</xdr:rowOff>
        </xdr:to>
        <xdr:sp macro="" textlink="">
          <xdr:nvSpPr>
            <xdr:cNvPr id="4191" name="Drop Down 95" hidden="1">
              <a:extLst>
                <a:ext uri="{63B3BB69-23CF-44E3-9099-C40C66FF867C}">
                  <a14:compatExt spid="_x0000_s4191"/>
                </a:ext>
                <a:ext uri="{FF2B5EF4-FFF2-40B4-BE49-F238E27FC236}">
                  <a16:creationId xmlns:a16="http://schemas.microsoft.com/office/drawing/2014/main" id="{00000000-0008-0000-0300-00005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15</xdr:row>
          <xdr:rowOff>9525</xdr:rowOff>
        </xdr:from>
        <xdr:to>
          <xdr:col>10</xdr:col>
          <xdr:colOff>9525</xdr:colOff>
          <xdr:row>15</xdr:row>
          <xdr:rowOff>180975</xdr:rowOff>
        </xdr:to>
        <xdr:sp macro="" textlink="">
          <xdr:nvSpPr>
            <xdr:cNvPr id="4192" name="Drop Down 96" hidden="1">
              <a:extLst>
                <a:ext uri="{63B3BB69-23CF-44E3-9099-C40C66FF867C}">
                  <a14:compatExt spid="_x0000_s4192"/>
                </a:ext>
                <a:ext uri="{FF2B5EF4-FFF2-40B4-BE49-F238E27FC236}">
                  <a16:creationId xmlns:a16="http://schemas.microsoft.com/office/drawing/2014/main" id="{00000000-0008-0000-0300-00006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16</xdr:row>
          <xdr:rowOff>9525</xdr:rowOff>
        </xdr:from>
        <xdr:to>
          <xdr:col>10</xdr:col>
          <xdr:colOff>9525</xdr:colOff>
          <xdr:row>16</xdr:row>
          <xdr:rowOff>180975</xdr:rowOff>
        </xdr:to>
        <xdr:sp macro="" textlink="">
          <xdr:nvSpPr>
            <xdr:cNvPr id="4193" name="Drop Down 97" hidden="1">
              <a:extLst>
                <a:ext uri="{63B3BB69-23CF-44E3-9099-C40C66FF867C}">
                  <a14:compatExt spid="_x0000_s4193"/>
                </a:ext>
                <a:ext uri="{FF2B5EF4-FFF2-40B4-BE49-F238E27FC236}">
                  <a16:creationId xmlns:a16="http://schemas.microsoft.com/office/drawing/2014/main" id="{00000000-0008-0000-0300-00006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17</xdr:row>
          <xdr:rowOff>9525</xdr:rowOff>
        </xdr:from>
        <xdr:to>
          <xdr:col>10</xdr:col>
          <xdr:colOff>9525</xdr:colOff>
          <xdr:row>17</xdr:row>
          <xdr:rowOff>180975</xdr:rowOff>
        </xdr:to>
        <xdr:sp macro="" textlink="">
          <xdr:nvSpPr>
            <xdr:cNvPr id="4194" name="Drop Down 98" hidden="1">
              <a:extLst>
                <a:ext uri="{63B3BB69-23CF-44E3-9099-C40C66FF867C}">
                  <a14:compatExt spid="_x0000_s4194"/>
                </a:ext>
                <a:ext uri="{FF2B5EF4-FFF2-40B4-BE49-F238E27FC236}">
                  <a16:creationId xmlns:a16="http://schemas.microsoft.com/office/drawing/2014/main" id="{00000000-0008-0000-0300-00006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18</xdr:row>
          <xdr:rowOff>9525</xdr:rowOff>
        </xdr:from>
        <xdr:to>
          <xdr:col>10</xdr:col>
          <xdr:colOff>9525</xdr:colOff>
          <xdr:row>18</xdr:row>
          <xdr:rowOff>180975</xdr:rowOff>
        </xdr:to>
        <xdr:sp macro="" textlink="">
          <xdr:nvSpPr>
            <xdr:cNvPr id="4195" name="Drop Down 99" hidden="1">
              <a:extLst>
                <a:ext uri="{63B3BB69-23CF-44E3-9099-C40C66FF867C}">
                  <a14:compatExt spid="_x0000_s4195"/>
                </a:ext>
                <a:ext uri="{FF2B5EF4-FFF2-40B4-BE49-F238E27FC236}">
                  <a16:creationId xmlns:a16="http://schemas.microsoft.com/office/drawing/2014/main" id="{00000000-0008-0000-0300-00006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19</xdr:row>
          <xdr:rowOff>9525</xdr:rowOff>
        </xdr:from>
        <xdr:to>
          <xdr:col>10</xdr:col>
          <xdr:colOff>9525</xdr:colOff>
          <xdr:row>19</xdr:row>
          <xdr:rowOff>180975</xdr:rowOff>
        </xdr:to>
        <xdr:sp macro="" textlink="">
          <xdr:nvSpPr>
            <xdr:cNvPr id="4196" name="Drop Down 100" hidden="1">
              <a:extLst>
                <a:ext uri="{63B3BB69-23CF-44E3-9099-C40C66FF867C}">
                  <a14:compatExt spid="_x0000_s4196"/>
                </a:ext>
                <a:ext uri="{FF2B5EF4-FFF2-40B4-BE49-F238E27FC236}">
                  <a16:creationId xmlns:a16="http://schemas.microsoft.com/office/drawing/2014/main" id="{00000000-0008-0000-0300-00006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20</xdr:row>
          <xdr:rowOff>9525</xdr:rowOff>
        </xdr:from>
        <xdr:to>
          <xdr:col>10</xdr:col>
          <xdr:colOff>9525</xdr:colOff>
          <xdr:row>20</xdr:row>
          <xdr:rowOff>180975</xdr:rowOff>
        </xdr:to>
        <xdr:sp macro="" textlink="">
          <xdr:nvSpPr>
            <xdr:cNvPr id="4197" name="Drop Down 101" hidden="1">
              <a:extLst>
                <a:ext uri="{63B3BB69-23CF-44E3-9099-C40C66FF867C}">
                  <a14:compatExt spid="_x0000_s4197"/>
                </a:ext>
                <a:ext uri="{FF2B5EF4-FFF2-40B4-BE49-F238E27FC236}">
                  <a16:creationId xmlns:a16="http://schemas.microsoft.com/office/drawing/2014/main" id="{00000000-0008-0000-0300-00006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21</xdr:row>
          <xdr:rowOff>9525</xdr:rowOff>
        </xdr:from>
        <xdr:to>
          <xdr:col>10</xdr:col>
          <xdr:colOff>9525</xdr:colOff>
          <xdr:row>21</xdr:row>
          <xdr:rowOff>180975</xdr:rowOff>
        </xdr:to>
        <xdr:sp macro="" textlink="">
          <xdr:nvSpPr>
            <xdr:cNvPr id="4198" name="Drop Down 102" hidden="1">
              <a:extLst>
                <a:ext uri="{63B3BB69-23CF-44E3-9099-C40C66FF867C}">
                  <a14:compatExt spid="_x0000_s4198"/>
                </a:ext>
                <a:ext uri="{FF2B5EF4-FFF2-40B4-BE49-F238E27FC236}">
                  <a16:creationId xmlns:a16="http://schemas.microsoft.com/office/drawing/2014/main" id="{00000000-0008-0000-0300-00006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7</xdr:row>
          <xdr:rowOff>9525</xdr:rowOff>
        </xdr:from>
        <xdr:to>
          <xdr:col>5</xdr:col>
          <xdr:colOff>9525</xdr:colOff>
          <xdr:row>7</xdr:row>
          <xdr:rowOff>180975</xdr:rowOff>
        </xdr:to>
        <xdr:sp macro="" textlink="">
          <xdr:nvSpPr>
            <xdr:cNvPr id="5121" name="Drop Down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4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8</xdr:row>
          <xdr:rowOff>9525</xdr:rowOff>
        </xdr:from>
        <xdr:to>
          <xdr:col>5</xdr:col>
          <xdr:colOff>9525</xdr:colOff>
          <xdr:row>8</xdr:row>
          <xdr:rowOff>180975</xdr:rowOff>
        </xdr:to>
        <xdr:sp macro="" textlink="">
          <xdr:nvSpPr>
            <xdr:cNvPr id="5122" name="Drop Down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4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9</xdr:row>
          <xdr:rowOff>9525</xdr:rowOff>
        </xdr:from>
        <xdr:to>
          <xdr:col>5</xdr:col>
          <xdr:colOff>9525</xdr:colOff>
          <xdr:row>9</xdr:row>
          <xdr:rowOff>180975</xdr:rowOff>
        </xdr:to>
        <xdr:sp macro="" textlink="">
          <xdr:nvSpPr>
            <xdr:cNvPr id="5123" name="Drop Down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4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10</xdr:row>
          <xdr:rowOff>9525</xdr:rowOff>
        </xdr:from>
        <xdr:to>
          <xdr:col>5</xdr:col>
          <xdr:colOff>9525</xdr:colOff>
          <xdr:row>10</xdr:row>
          <xdr:rowOff>180975</xdr:rowOff>
        </xdr:to>
        <xdr:sp macro="" textlink="">
          <xdr:nvSpPr>
            <xdr:cNvPr id="5124" name="Drop Down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4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11</xdr:row>
          <xdr:rowOff>9525</xdr:rowOff>
        </xdr:from>
        <xdr:to>
          <xdr:col>5</xdr:col>
          <xdr:colOff>9525</xdr:colOff>
          <xdr:row>11</xdr:row>
          <xdr:rowOff>180975</xdr:rowOff>
        </xdr:to>
        <xdr:sp macro="" textlink="">
          <xdr:nvSpPr>
            <xdr:cNvPr id="5125" name="Drop Down 5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4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12</xdr:row>
          <xdr:rowOff>9525</xdr:rowOff>
        </xdr:from>
        <xdr:to>
          <xdr:col>5</xdr:col>
          <xdr:colOff>9525</xdr:colOff>
          <xdr:row>12</xdr:row>
          <xdr:rowOff>180975</xdr:rowOff>
        </xdr:to>
        <xdr:sp macro="" textlink="">
          <xdr:nvSpPr>
            <xdr:cNvPr id="5126" name="Drop Down 6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00000000-0008-0000-0400-00000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13</xdr:row>
          <xdr:rowOff>9525</xdr:rowOff>
        </xdr:from>
        <xdr:to>
          <xdr:col>5</xdr:col>
          <xdr:colOff>9525</xdr:colOff>
          <xdr:row>13</xdr:row>
          <xdr:rowOff>180975</xdr:rowOff>
        </xdr:to>
        <xdr:sp macro="" textlink="">
          <xdr:nvSpPr>
            <xdr:cNvPr id="5127" name="Drop Down 7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00000000-0008-0000-0400-00000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14</xdr:row>
          <xdr:rowOff>9525</xdr:rowOff>
        </xdr:from>
        <xdr:to>
          <xdr:col>5</xdr:col>
          <xdr:colOff>9525</xdr:colOff>
          <xdr:row>14</xdr:row>
          <xdr:rowOff>180975</xdr:rowOff>
        </xdr:to>
        <xdr:sp macro="" textlink="">
          <xdr:nvSpPr>
            <xdr:cNvPr id="5128" name="Drop Down 8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00000000-0008-0000-0400-00000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15</xdr:row>
          <xdr:rowOff>9525</xdr:rowOff>
        </xdr:from>
        <xdr:to>
          <xdr:col>5</xdr:col>
          <xdr:colOff>9525</xdr:colOff>
          <xdr:row>15</xdr:row>
          <xdr:rowOff>180975</xdr:rowOff>
        </xdr:to>
        <xdr:sp macro="" textlink="">
          <xdr:nvSpPr>
            <xdr:cNvPr id="5129" name="Drop Down 9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00000000-0008-0000-0400-00000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16</xdr:row>
          <xdr:rowOff>9525</xdr:rowOff>
        </xdr:from>
        <xdr:to>
          <xdr:col>5</xdr:col>
          <xdr:colOff>9525</xdr:colOff>
          <xdr:row>16</xdr:row>
          <xdr:rowOff>180975</xdr:rowOff>
        </xdr:to>
        <xdr:sp macro="" textlink="">
          <xdr:nvSpPr>
            <xdr:cNvPr id="5130" name="Drop Down 10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00000000-0008-0000-0400-00000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17</xdr:row>
          <xdr:rowOff>9525</xdr:rowOff>
        </xdr:from>
        <xdr:to>
          <xdr:col>5</xdr:col>
          <xdr:colOff>9525</xdr:colOff>
          <xdr:row>17</xdr:row>
          <xdr:rowOff>180975</xdr:rowOff>
        </xdr:to>
        <xdr:sp macro="" textlink="">
          <xdr:nvSpPr>
            <xdr:cNvPr id="5131" name="Drop Down 11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00000000-0008-0000-0400-00000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18</xdr:row>
          <xdr:rowOff>9525</xdr:rowOff>
        </xdr:from>
        <xdr:to>
          <xdr:col>5</xdr:col>
          <xdr:colOff>9525</xdr:colOff>
          <xdr:row>18</xdr:row>
          <xdr:rowOff>180975</xdr:rowOff>
        </xdr:to>
        <xdr:sp macro="" textlink="">
          <xdr:nvSpPr>
            <xdr:cNvPr id="5132" name="Drop Down 12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00000000-0008-0000-0400-00000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19</xdr:row>
          <xdr:rowOff>9525</xdr:rowOff>
        </xdr:from>
        <xdr:to>
          <xdr:col>5</xdr:col>
          <xdr:colOff>9525</xdr:colOff>
          <xdr:row>19</xdr:row>
          <xdr:rowOff>180975</xdr:rowOff>
        </xdr:to>
        <xdr:sp macro="" textlink="">
          <xdr:nvSpPr>
            <xdr:cNvPr id="5133" name="Drop Down 13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00000000-0008-0000-0400-00000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20</xdr:row>
          <xdr:rowOff>9525</xdr:rowOff>
        </xdr:from>
        <xdr:to>
          <xdr:col>5</xdr:col>
          <xdr:colOff>9525</xdr:colOff>
          <xdr:row>20</xdr:row>
          <xdr:rowOff>180975</xdr:rowOff>
        </xdr:to>
        <xdr:sp macro="" textlink="">
          <xdr:nvSpPr>
            <xdr:cNvPr id="5134" name="Drop Down 14" hidden="1">
              <a:extLst>
                <a:ext uri="{63B3BB69-23CF-44E3-9099-C40C66FF867C}">
                  <a14:compatExt spid="_x0000_s5134"/>
                </a:ext>
                <a:ext uri="{FF2B5EF4-FFF2-40B4-BE49-F238E27FC236}">
                  <a16:creationId xmlns:a16="http://schemas.microsoft.com/office/drawing/2014/main" id="{00000000-0008-0000-0400-00000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21</xdr:row>
          <xdr:rowOff>9525</xdr:rowOff>
        </xdr:from>
        <xdr:to>
          <xdr:col>5</xdr:col>
          <xdr:colOff>9525</xdr:colOff>
          <xdr:row>21</xdr:row>
          <xdr:rowOff>180975</xdr:rowOff>
        </xdr:to>
        <xdr:sp macro="" textlink="">
          <xdr:nvSpPr>
            <xdr:cNvPr id="5135" name="Drop Down 15" hidden="1">
              <a:extLst>
                <a:ext uri="{63B3BB69-23CF-44E3-9099-C40C66FF867C}">
                  <a14:compatExt spid="_x0000_s5135"/>
                </a:ext>
                <a:ext uri="{FF2B5EF4-FFF2-40B4-BE49-F238E27FC236}">
                  <a16:creationId xmlns:a16="http://schemas.microsoft.com/office/drawing/2014/main" id="{00000000-0008-0000-0400-00000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7</xdr:row>
          <xdr:rowOff>9525</xdr:rowOff>
        </xdr:from>
        <xdr:to>
          <xdr:col>10</xdr:col>
          <xdr:colOff>9525</xdr:colOff>
          <xdr:row>7</xdr:row>
          <xdr:rowOff>180975</xdr:rowOff>
        </xdr:to>
        <xdr:sp macro="" textlink="">
          <xdr:nvSpPr>
            <xdr:cNvPr id="5136" name="Drop Down 16" hidden="1">
              <a:extLst>
                <a:ext uri="{63B3BB69-23CF-44E3-9099-C40C66FF867C}">
                  <a14:compatExt spid="_x0000_s5136"/>
                </a:ext>
                <a:ext uri="{FF2B5EF4-FFF2-40B4-BE49-F238E27FC236}">
                  <a16:creationId xmlns:a16="http://schemas.microsoft.com/office/drawing/2014/main" id="{00000000-0008-0000-0400-00001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8</xdr:row>
          <xdr:rowOff>9525</xdr:rowOff>
        </xdr:from>
        <xdr:to>
          <xdr:col>10</xdr:col>
          <xdr:colOff>9525</xdr:colOff>
          <xdr:row>8</xdr:row>
          <xdr:rowOff>180975</xdr:rowOff>
        </xdr:to>
        <xdr:sp macro="" textlink="">
          <xdr:nvSpPr>
            <xdr:cNvPr id="5137" name="Drop Down 17" hidden="1">
              <a:extLst>
                <a:ext uri="{63B3BB69-23CF-44E3-9099-C40C66FF867C}">
                  <a14:compatExt spid="_x0000_s5137"/>
                </a:ext>
                <a:ext uri="{FF2B5EF4-FFF2-40B4-BE49-F238E27FC236}">
                  <a16:creationId xmlns:a16="http://schemas.microsoft.com/office/drawing/2014/main" id="{00000000-0008-0000-0400-00001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9</xdr:row>
          <xdr:rowOff>9525</xdr:rowOff>
        </xdr:from>
        <xdr:to>
          <xdr:col>10</xdr:col>
          <xdr:colOff>9525</xdr:colOff>
          <xdr:row>9</xdr:row>
          <xdr:rowOff>180975</xdr:rowOff>
        </xdr:to>
        <xdr:sp macro="" textlink="">
          <xdr:nvSpPr>
            <xdr:cNvPr id="5138" name="Drop Down 18" hidden="1">
              <a:extLst>
                <a:ext uri="{63B3BB69-23CF-44E3-9099-C40C66FF867C}">
                  <a14:compatExt spid="_x0000_s5138"/>
                </a:ext>
                <a:ext uri="{FF2B5EF4-FFF2-40B4-BE49-F238E27FC236}">
                  <a16:creationId xmlns:a16="http://schemas.microsoft.com/office/drawing/2014/main" id="{00000000-0008-0000-0400-00001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10</xdr:row>
          <xdr:rowOff>9525</xdr:rowOff>
        </xdr:from>
        <xdr:to>
          <xdr:col>10</xdr:col>
          <xdr:colOff>9525</xdr:colOff>
          <xdr:row>10</xdr:row>
          <xdr:rowOff>180975</xdr:rowOff>
        </xdr:to>
        <xdr:sp macro="" textlink="">
          <xdr:nvSpPr>
            <xdr:cNvPr id="5139" name="Drop Down 19" hidden="1">
              <a:extLst>
                <a:ext uri="{63B3BB69-23CF-44E3-9099-C40C66FF867C}">
                  <a14:compatExt spid="_x0000_s5139"/>
                </a:ext>
                <a:ext uri="{FF2B5EF4-FFF2-40B4-BE49-F238E27FC236}">
                  <a16:creationId xmlns:a16="http://schemas.microsoft.com/office/drawing/2014/main" id="{00000000-0008-0000-0400-00001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11</xdr:row>
          <xdr:rowOff>9525</xdr:rowOff>
        </xdr:from>
        <xdr:to>
          <xdr:col>10</xdr:col>
          <xdr:colOff>9525</xdr:colOff>
          <xdr:row>11</xdr:row>
          <xdr:rowOff>180975</xdr:rowOff>
        </xdr:to>
        <xdr:sp macro="" textlink="">
          <xdr:nvSpPr>
            <xdr:cNvPr id="5140" name="Drop Down 20" hidden="1">
              <a:extLst>
                <a:ext uri="{63B3BB69-23CF-44E3-9099-C40C66FF867C}">
                  <a14:compatExt spid="_x0000_s5140"/>
                </a:ext>
                <a:ext uri="{FF2B5EF4-FFF2-40B4-BE49-F238E27FC236}">
                  <a16:creationId xmlns:a16="http://schemas.microsoft.com/office/drawing/2014/main" id="{00000000-0008-0000-0400-00001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12</xdr:row>
          <xdr:rowOff>9525</xdr:rowOff>
        </xdr:from>
        <xdr:to>
          <xdr:col>10</xdr:col>
          <xdr:colOff>9525</xdr:colOff>
          <xdr:row>12</xdr:row>
          <xdr:rowOff>180975</xdr:rowOff>
        </xdr:to>
        <xdr:sp macro="" textlink="">
          <xdr:nvSpPr>
            <xdr:cNvPr id="5141" name="Drop Down 21" hidden="1">
              <a:extLst>
                <a:ext uri="{63B3BB69-23CF-44E3-9099-C40C66FF867C}">
                  <a14:compatExt spid="_x0000_s5141"/>
                </a:ext>
                <a:ext uri="{FF2B5EF4-FFF2-40B4-BE49-F238E27FC236}">
                  <a16:creationId xmlns:a16="http://schemas.microsoft.com/office/drawing/2014/main" id="{00000000-0008-0000-0400-00001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13</xdr:row>
          <xdr:rowOff>9525</xdr:rowOff>
        </xdr:from>
        <xdr:to>
          <xdr:col>10</xdr:col>
          <xdr:colOff>9525</xdr:colOff>
          <xdr:row>13</xdr:row>
          <xdr:rowOff>180975</xdr:rowOff>
        </xdr:to>
        <xdr:sp macro="" textlink="">
          <xdr:nvSpPr>
            <xdr:cNvPr id="5142" name="Drop Down 22" hidden="1">
              <a:extLst>
                <a:ext uri="{63B3BB69-23CF-44E3-9099-C40C66FF867C}">
                  <a14:compatExt spid="_x0000_s5142"/>
                </a:ext>
                <a:ext uri="{FF2B5EF4-FFF2-40B4-BE49-F238E27FC236}">
                  <a16:creationId xmlns:a16="http://schemas.microsoft.com/office/drawing/2014/main" id="{00000000-0008-0000-0400-00001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14</xdr:row>
          <xdr:rowOff>9525</xdr:rowOff>
        </xdr:from>
        <xdr:to>
          <xdr:col>10</xdr:col>
          <xdr:colOff>9525</xdr:colOff>
          <xdr:row>14</xdr:row>
          <xdr:rowOff>180975</xdr:rowOff>
        </xdr:to>
        <xdr:sp macro="" textlink="">
          <xdr:nvSpPr>
            <xdr:cNvPr id="5143" name="Drop Down 23" hidden="1">
              <a:extLst>
                <a:ext uri="{63B3BB69-23CF-44E3-9099-C40C66FF867C}">
                  <a14:compatExt spid="_x0000_s5143"/>
                </a:ext>
                <a:ext uri="{FF2B5EF4-FFF2-40B4-BE49-F238E27FC236}">
                  <a16:creationId xmlns:a16="http://schemas.microsoft.com/office/drawing/2014/main" id="{00000000-0008-0000-0400-00001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15</xdr:row>
          <xdr:rowOff>9525</xdr:rowOff>
        </xdr:from>
        <xdr:to>
          <xdr:col>10</xdr:col>
          <xdr:colOff>9525</xdr:colOff>
          <xdr:row>15</xdr:row>
          <xdr:rowOff>180975</xdr:rowOff>
        </xdr:to>
        <xdr:sp macro="" textlink="">
          <xdr:nvSpPr>
            <xdr:cNvPr id="5144" name="Drop Down 24" hidden="1">
              <a:extLst>
                <a:ext uri="{63B3BB69-23CF-44E3-9099-C40C66FF867C}">
                  <a14:compatExt spid="_x0000_s5144"/>
                </a:ext>
                <a:ext uri="{FF2B5EF4-FFF2-40B4-BE49-F238E27FC236}">
                  <a16:creationId xmlns:a16="http://schemas.microsoft.com/office/drawing/2014/main" id="{00000000-0008-0000-0400-00001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16</xdr:row>
          <xdr:rowOff>9525</xdr:rowOff>
        </xdr:from>
        <xdr:to>
          <xdr:col>10</xdr:col>
          <xdr:colOff>9525</xdr:colOff>
          <xdr:row>16</xdr:row>
          <xdr:rowOff>180975</xdr:rowOff>
        </xdr:to>
        <xdr:sp macro="" textlink="">
          <xdr:nvSpPr>
            <xdr:cNvPr id="5145" name="Drop Down 25" hidden="1">
              <a:extLst>
                <a:ext uri="{63B3BB69-23CF-44E3-9099-C40C66FF867C}">
                  <a14:compatExt spid="_x0000_s5145"/>
                </a:ext>
                <a:ext uri="{FF2B5EF4-FFF2-40B4-BE49-F238E27FC236}">
                  <a16:creationId xmlns:a16="http://schemas.microsoft.com/office/drawing/2014/main" id="{00000000-0008-0000-0400-00001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17</xdr:row>
          <xdr:rowOff>9525</xdr:rowOff>
        </xdr:from>
        <xdr:to>
          <xdr:col>10</xdr:col>
          <xdr:colOff>9525</xdr:colOff>
          <xdr:row>17</xdr:row>
          <xdr:rowOff>180975</xdr:rowOff>
        </xdr:to>
        <xdr:sp macro="" textlink="">
          <xdr:nvSpPr>
            <xdr:cNvPr id="5146" name="Drop Down 26" hidden="1">
              <a:extLst>
                <a:ext uri="{63B3BB69-23CF-44E3-9099-C40C66FF867C}">
                  <a14:compatExt spid="_x0000_s5146"/>
                </a:ext>
                <a:ext uri="{FF2B5EF4-FFF2-40B4-BE49-F238E27FC236}">
                  <a16:creationId xmlns:a16="http://schemas.microsoft.com/office/drawing/2014/main" id="{00000000-0008-0000-0400-00001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18</xdr:row>
          <xdr:rowOff>9525</xdr:rowOff>
        </xdr:from>
        <xdr:to>
          <xdr:col>10</xdr:col>
          <xdr:colOff>9525</xdr:colOff>
          <xdr:row>18</xdr:row>
          <xdr:rowOff>180975</xdr:rowOff>
        </xdr:to>
        <xdr:sp macro="" textlink="">
          <xdr:nvSpPr>
            <xdr:cNvPr id="5147" name="Drop Down 27" hidden="1">
              <a:extLst>
                <a:ext uri="{63B3BB69-23CF-44E3-9099-C40C66FF867C}">
                  <a14:compatExt spid="_x0000_s5147"/>
                </a:ext>
                <a:ext uri="{FF2B5EF4-FFF2-40B4-BE49-F238E27FC236}">
                  <a16:creationId xmlns:a16="http://schemas.microsoft.com/office/drawing/2014/main" id="{00000000-0008-0000-0400-00001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19</xdr:row>
          <xdr:rowOff>9525</xdr:rowOff>
        </xdr:from>
        <xdr:to>
          <xdr:col>10</xdr:col>
          <xdr:colOff>9525</xdr:colOff>
          <xdr:row>19</xdr:row>
          <xdr:rowOff>180975</xdr:rowOff>
        </xdr:to>
        <xdr:sp macro="" textlink="">
          <xdr:nvSpPr>
            <xdr:cNvPr id="5148" name="Drop Down 28" hidden="1">
              <a:extLst>
                <a:ext uri="{63B3BB69-23CF-44E3-9099-C40C66FF867C}">
                  <a14:compatExt spid="_x0000_s5148"/>
                </a:ext>
                <a:ext uri="{FF2B5EF4-FFF2-40B4-BE49-F238E27FC236}">
                  <a16:creationId xmlns:a16="http://schemas.microsoft.com/office/drawing/2014/main" id="{00000000-0008-0000-0400-00001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20</xdr:row>
          <xdr:rowOff>9525</xdr:rowOff>
        </xdr:from>
        <xdr:to>
          <xdr:col>10</xdr:col>
          <xdr:colOff>9525</xdr:colOff>
          <xdr:row>20</xdr:row>
          <xdr:rowOff>180975</xdr:rowOff>
        </xdr:to>
        <xdr:sp macro="" textlink="">
          <xdr:nvSpPr>
            <xdr:cNvPr id="5149" name="Drop Down 29" hidden="1">
              <a:extLst>
                <a:ext uri="{63B3BB69-23CF-44E3-9099-C40C66FF867C}">
                  <a14:compatExt spid="_x0000_s5149"/>
                </a:ext>
                <a:ext uri="{FF2B5EF4-FFF2-40B4-BE49-F238E27FC236}">
                  <a16:creationId xmlns:a16="http://schemas.microsoft.com/office/drawing/2014/main" id="{00000000-0008-0000-0400-00001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21</xdr:row>
          <xdr:rowOff>9525</xdr:rowOff>
        </xdr:from>
        <xdr:to>
          <xdr:col>10</xdr:col>
          <xdr:colOff>9525</xdr:colOff>
          <xdr:row>21</xdr:row>
          <xdr:rowOff>180975</xdr:rowOff>
        </xdr:to>
        <xdr:sp macro="" textlink="">
          <xdr:nvSpPr>
            <xdr:cNvPr id="5150" name="Drop Down 30" hidden="1">
              <a:extLst>
                <a:ext uri="{63B3BB69-23CF-44E3-9099-C40C66FF867C}">
                  <a14:compatExt spid="_x0000_s5150"/>
                </a:ext>
                <a:ext uri="{FF2B5EF4-FFF2-40B4-BE49-F238E27FC236}">
                  <a16:creationId xmlns:a16="http://schemas.microsoft.com/office/drawing/2014/main" id="{00000000-0008-0000-0400-00001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8</xdr:row>
          <xdr:rowOff>9525</xdr:rowOff>
        </xdr:from>
        <xdr:to>
          <xdr:col>10</xdr:col>
          <xdr:colOff>9525</xdr:colOff>
          <xdr:row>8</xdr:row>
          <xdr:rowOff>180975</xdr:rowOff>
        </xdr:to>
        <xdr:sp macro="" textlink="">
          <xdr:nvSpPr>
            <xdr:cNvPr id="5151" name="Drop Down 31" hidden="1">
              <a:extLst>
                <a:ext uri="{63B3BB69-23CF-44E3-9099-C40C66FF867C}">
                  <a14:compatExt spid="_x0000_s5151"/>
                </a:ext>
                <a:ext uri="{FF2B5EF4-FFF2-40B4-BE49-F238E27FC236}">
                  <a16:creationId xmlns:a16="http://schemas.microsoft.com/office/drawing/2014/main" id="{00000000-0008-0000-0400-00001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9</xdr:row>
          <xdr:rowOff>9525</xdr:rowOff>
        </xdr:from>
        <xdr:to>
          <xdr:col>10</xdr:col>
          <xdr:colOff>9525</xdr:colOff>
          <xdr:row>9</xdr:row>
          <xdr:rowOff>180975</xdr:rowOff>
        </xdr:to>
        <xdr:sp macro="" textlink="">
          <xdr:nvSpPr>
            <xdr:cNvPr id="5152" name="Drop Down 32" hidden="1">
              <a:extLst>
                <a:ext uri="{63B3BB69-23CF-44E3-9099-C40C66FF867C}">
                  <a14:compatExt spid="_x0000_s5152"/>
                </a:ext>
                <a:ext uri="{FF2B5EF4-FFF2-40B4-BE49-F238E27FC236}">
                  <a16:creationId xmlns:a16="http://schemas.microsoft.com/office/drawing/2014/main" id="{00000000-0008-0000-0400-00002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10</xdr:row>
          <xdr:rowOff>9525</xdr:rowOff>
        </xdr:from>
        <xdr:to>
          <xdr:col>10</xdr:col>
          <xdr:colOff>9525</xdr:colOff>
          <xdr:row>10</xdr:row>
          <xdr:rowOff>180975</xdr:rowOff>
        </xdr:to>
        <xdr:sp macro="" textlink="">
          <xdr:nvSpPr>
            <xdr:cNvPr id="5153" name="Drop Down 33" hidden="1">
              <a:extLst>
                <a:ext uri="{63B3BB69-23CF-44E3-9099-C40C66FF867C}">
                  <a14:compatExt spid="_x0000_s5153"/>
                </a:ext>
                <a:ext uri="{FF2B5EF4-FFF2-40B4-BE49-F238E27FC236}">
                  <a16:creationId xmlns:a16="http://schemas.microsoft.com/office/drawing/2014/main" id="{00000000-0008-0000-0400-00002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11</xdr:row>
          <xdr:rowOff>9525</xdr:rowOff>
        </xdr:from>
        <xdr:to>
          <xdr:col>10</xdr:col>
          <xdr:colOff>9525</xdr:colOff>
          <xdr:row>11</xdr:row>
          <xdr:rowOff>180975</xdr:rowOff>
        </xdr:to>
        <xdr:sp macro="" textlink="">
          <xdr:nvSpPr>
            <xdr:cNvPr id="5154" name="Drop Down 34" hidden="1">
              <a:extLst>
                <a:ext uri="{63B3BB69-23CF-44E3-9099-C40C66FF867C}">
                  <a14:compatExt spid="_x0000_s5154"/>
                </a:ext>
                <a:ext uri="{FF2B5EF4-FFF2-40B4-BE49-F238E27FC236}">
                  <a16:creationId xmlns:a16="http://schemas.microsoft.com/office/drawing/2014/main" id="{00000000-0008-0000-0400-00002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12</xdr:row>
          <xdr:rowOff>9525</xdr:rowOff>
        </xdr:from>
        <xdr:to>
          <xdr:col>10</xdr:col>
          <xdr:colOff>9525</xdr:colOff>
          <xdr:row>12</xdr:row>
          <xdr:rowOff>180975</xdr:rowOff>
        </xdr:to>
        <xdr:sp macro="" textlink="">
          <xdr:nvSpPr>
            <xdr:cNvPr id="5155" name="Drop Down 35" hidden="1">
              <a:extLst>
                <a:ext uri="{63B3BB69-23CF-44E3-9099-C40C66FF867C}">
                  <a14:compatExt spid="_x0000_s5155"/>
                </a:ext>
                <a:ext uri="{FF2B5EF4-FFF2-40B4-BE49-F238E27FC236}">
                  <a16:creationId xmlns:a16="http://schemas.microsoft.com/office/drawing/2014/main" id="{00000000-0008-0000-0400-00002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13</xdr:row>
          <xdr:rowOff>9525</xdr:rowOff>
        </xdr:from>
        <xdr:to>
          <xdr:col>10</xdr:col>
          <xdr:colOff>9525</xdr:colOff>
          <xdr:row>13</xdr:row>
          <xdr:rowOff>180975</xdr:rowOff>
        </xdr:to>
        <xdr:sp macro="" textlink="">
          <xdr:nvSpPr>
            <xdr:cNvPr id="5156" name="Drop Down 36" hidden="1">
              <a:extLst>
                <a:ext uri="{63B3BB69-23CF-44E3-9099-C40C66FF867C}">
                  <a14:compatExt spid="_x0000_s5156"/>
                </a:ext>
                <a:ext uri="{FF2B5EF4-FFF2-40B4-BE49-F238E27FC236}">
                  <a16:creationId xmlns:a16="http://schemas.microsoft.com/office/drawing/2014/main" id="{00000000-0008-0000-0400-00002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14</xdr:row>
          <xdr:rowOff>9525</xdr:rowOff>
        </xdr:from>
        <xdr:to>
          <xdr:col>10</xdr:col>
          <xdr:colOff>9525</xdr:colOff>
          <xdr:row>14</xdr:row>
          <xdr:rowOff>180975</xdr:rowOff>
        </xdr:to>
        <xdr:sp macro="" textlink="">
          <xdr:nvSpPr>
            <xdr:cNvPr id="5157" name="Drop Down 37" hidden="1">
              <a:extLst>
                <a:ext uri="{63B3BB69-23CF-44E3-9099-C40C66FF867C}">
                  <a14:compatExt spid="_x0000_s5157"/>
                </a:ext>
                <a:ext uri="{FF2B5EF4-FFF2-40B4-BE49-F238E27FC236}">
                  <a16:creationId xmlns:a16="http://schemas.microsoft.com/office/drawing/2014/main" id="{00000000-0008-0000-0400-00002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15</xdr:row>
          <xdr:rowOff>9525</xdr:rowOff>
        </xdr:from>
        <xdr:to>
          <xdr:col>10</xdr:col>
          <xdr:colOff>9525</xdr:colOff>
          <xdr:row>15</xdr:row>
          <xdr:rowOff>180975</xdr:rowOff>
        </xdr:to>
        <xdr:sp macro="" textlink="">
          <xdr:nvSpPr>
            <xdr:cNvPr id="5158" name="Drop Down 38" hidden="1">
              <a:extLst>
                <a:ext uri="{63B3BB69-23CF-44E3-9099-C40C66FF867C}">
                  <a14:compatExt spid="_x0000_s5158"/>
                </a:ext>
                <a:ext uri="{FF2B5EF4-FFF2-40B4-BE49-F238E27FC236}">
                  <a16:creationId xmlns:a16="http://schemas.microsoft.com/office/drawing/2014/main" id="{00000000-0008-0000-0400-00002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16</xdr:row>
          <xdr:rowOff>9525</xdr:rowOff>
        </xdr:from>
        <xdr:to>
          <xdr:col>10</xdr:col>
          <xdr:colOff>9525</xdr:colOff>
          <xdr:row>16</xdr:row>
          <xdr:rowOff>180975</xdr:rowOff>
        </xdr:to>
        <xdr:sp macro="" textlink="">
          <xdr:nvSpPr>
            <xdr:cNvPr id="5159" name="Drop Down 39" hidden="1">
              <a:extLst>
                <a:ext uri="{63B3BB69-23CF-44E3-9099-C40C66FF867C}">
                  <a14:compatExt spid="_x0000_s5159"/>
                </a:ext>
                <a:ext uri="{FF2B5EF4-FFF2-40B4-BE49-F238E27FC236}">
                  <a16:creationId xmlns:a16="http://schemas.microsoft.com/office/drawing/2014/main" id="{00000000-0008-0000-0400-00002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17</xdr:row>
          <xdr:rowOff>9525</xdr:rowOff>
        </xdr:from>
        <xdr:to>
          <xdr:col>10</xdr:col>
          <xdr:colOff>9525</xdr:colOff>
          <xdr:row>17</xdr:row>
          <xdr:rowOff>180975</xdr:rowOff>
        </xdr:to>
        <xdr:sp macro="" textlink="">
          <xdr:nvSpPr>
            <xdr:cNvPr id="5160" name="Drop Down 40" hidden="1">
              <a:extLst>
                <a:ext uri="{63B3BB69-23CF-44E3-9099-C40C66FF867C}">
                  <a14:compatExt spid="_x0000_s5160"/>
                </a:ext>
                <a:ext uri="{FF2B5EF4-FFF2-40B4-BE49-F238E27FC236}">
                  <a16:creationId xmlns:a16="http://schemas.microsoft.com/office/drawing/2014/main" id="{00000000-0008-0000-0400-00002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18</xdr:row>
          <xdr:rowOff>9525</xdr:rowOff>
        </xdr:from>
        <xdr:to>
          <xdr:col>10</xdr:col>
          <xdr:colOff>9525</xdr:colOff>
          <xdr:row>18</xdr:row>
          <xdr:rowOff>180975</xdr:rowOff>
        </xdr:to>
        <xdr:sp macro="" textlink="">
          <xdr:nvSpPr>
            <xdr:cNvPr id="5161" name="Drop Down 41" hidden="1">
              <a:extLst>
                <a:ext uri="{63B3BB69-23CF-44E3-9099-C40C66FF867C}">
                  <a14:compatExt spid="_x0000_s5161"/>
                </a:ext>
                <a:ext uri="{FF2B5EF4-FFF2-40B4-BE49-F238E27FC236}">
                  <a16:creationId xmlns:a16="http://schemas.microsoft.com/office/drawing/2014/main" id="{00000000-0008-0000-0400-00002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19</xdr:row>
          <xdr:rowOff>9525</xdr:rowOff>
        </xdr:from>
        <xdr:to>
          <xdr:col>10</xdr:col>
          <xdr:colOff>9525</xdr:colOff>
          <xdr:row>19</xdr:row>
          <xdr:rowOff>180975</xdr:rowOff>
        </xdr:to>
        <xdr:sp macro="" textlink="">
          <xdr:nvSpPr>
            <xdr:cNvPr id="5162" name="Drop Down 42" hidden="1">
              <a:extLst>
                <a:ext uri="{63B3BB69-23CF-44E3-9099-C40C66FF867C}">
                  <a14:compatExt spid="_x0000_s5162"/>
                </a:ext>
                <a:ext uri="{FF2B5EF4-FFF2-40B4-BE49-F238E27FC236}">
                  <a16:creationId xmlns:a16="http://schemas.microsoft.com/office/drawing/2014/main" id="{00000000-0008-0000-0400-00002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20</xdr:row>
          <xdr:rowOff>9525</xdr:rowOff>
        </xdr:from>
        <xdr:to>
          <xdr:col>10</xdr:col>
          <xdr:colOff>9525</xdr:colOff>
          <xdr:row>20</xdr:row>
          <xdr:rowOff>180975</xdr:rowOff>
        </xdr:to>
        <xdr:sp macro="" textlink="">
          <xdr:nvSpPr>
            <xdr:cNvPr id="5163" name="Drop Down 43" hidden="1">
              <a:extLst>
                <a:ext uri="{63B3BB69-23CF-44E3-9099-C40C66FF867C}">
                  <a14:compatExt spid="_x0000_s5163"/>
                </a:ext>
                <a:ext uri="{FF2B5EF4-FFF2-40B4-BE49-F238E27FC236}">
                  <a16:creationId xmlns:a16="http://schemas.microsoft.com/office/drawing/2014/main" id="{00000000-0008-0000-0400-00002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21</xdr:row>
          <xdr:rowOff>9525</xdr:rowOff>
        </xdr:from>
        <xdr:to>
          <xdr:col>10</xdr:col>
          <xdr:colOff>9525</xdr:colOff>
          <xdr:row>21</xdr:row>
          <xdr:rowOff>180975</xdr:rowOff>
        </xdr:to>
        <xdr:sp macro="" textlink="">
          <xdr:nvSpPr>
            <xdr:cNvPr id="5164" name="Drop Down 44" hidden="1">
              <a:extLst>
                <a:ext uri="{63B3BB69-23CF-44E3-9099-C40C66FF867C}">
                  <a14:compatExt spid="_x0000_s5164"/>
                </a:ext>
                <a:ext uri="{FF2B5EF4-FFF2-40B4-BE49-F238E27FC236}">
                  <a16:creationId xmlns:a16="http://schemas.microsoft.com/office/drawing/2014/main" id="{00000000-0008-0000-0400-00002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13</xdr:col>
      <xdr:colOff>361950</xdr:colOff>
      <xdr:row>4</xdr:row>
      <xdr:rowOff>9525</xdr:rowOff>
    </xdr:from>
    <xdr:to>
      <xdr:col>13</xdr:col>
      <xdr:colOff>685801</xdr:colOff>
      <xdr:row>4</xdr:row>
      <xdr:rowOff>190500</xdr:rowOff>
    </xdr:to>
    <xdr:cxnSp macro="">
      <xdr:nvCxnSpPr>
        <xdr:cNvPr id="46" name="Lige pilforbindels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CxnSpPr/>
      </xdr:nvCxnSpPr>
      <xdr:spPr>
        <a:xfrm flipH="1">
          <a:off x="6629400" y="981075"/>
          <a:ext cx="323851" cy="180975"/>
        </a:xfrm>
        <a:prstGeom prst="straightConnector1">
          <a:avLst/>
        </a:prstGeom>
        <a:ln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7</xdr:row>
          <xdr:rowOff>9525</xdr:rowOff>
        </xdr:from>
        <xdr:to>
          <xdr:col>10</xdr:col>
          <xdr:colOff>9525</xdr:colOff>
          <xdr:row>7</xdr:row>
          <xdr:rowOff>180975</xdr:rowOff>
        </xdr:to>
        <xdr:sp macro="" textlink="">
          <xdr:nvSpPr>
            <xdr:cNvPr id="5165" name="Drop Down 45" hidden="1">
              <a:extLst>
                <a:ext uri="{63B3BB69-23CF-44E3-9099-C40C66FF867C}">
                  <a14:compatExt spid="_x0000_s5165"/>
                </a:ext>
                <a:ext uri="{FF2B5EF4-FFF2-40B4-BE49-F238E27FC236}">
                  <a16:creationId xmlns:a16="http://schemas.microsoft.com/office/drawing/2014/main" id="{00000000-0008-0000-0400-00002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8</xdr:row>
          <xdr:rowOff>9525</xdr:rowOff>
        </xdr:from>
        <xdr:to>
          <xdr:col>10</xdr:col>
          <xdr:colOff>9525</xdr:colOff>
          <xdr:row>8</xdr:row>
          <xdr:rowOff>180975</xdr:rowOff>
        </xdr:to>
        <xdr:sp macro="" textlink="">
          <xdr:nvSpPr>
            <xdr:cNvPr id="5166" name="Drop Down 46" hidden="1">
              <a:extLst>
                <a:ext uri="{63B3BB69-23CF-44E3-9099-C40C66FF867C}">
                  <a14:compatExt spid="_x0000_s5166"/>
                </a:ext>
                <a:ext uri="{FF2B5EF4-FFF2-40B4-BE49-F238E27FC236}">
                  <a16:creationId xmlns:a16="http://schemas.microsoft.com/office/drawing/2014/main" id="{00000000-0008-0000-0400-00002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9</xdr:row>
          <xdr:rowOff>9525</xdr:rowOff>
        </xdr:from>
        <xdr:to>
          <xdr:col>10</xdr:col>
          <xdr:colOff>9525</xdr:colOff>
          <xdr:row>9</xdr:row>
          <xdr:rowOff>180975</xdr:rowOff>
        </xdr:to>
        <xdr:sp macro="" textlink="">
          <xdr:nvSpPr>
            <xdr:cNvPr id="5167" name="Drop Down 47" hidden="1">
              <a:extLst>
                <a:ext uri="{63B3BB69-23CF-44E3-9099-C40C66FF867C}">
                  <a14:compatExt spid="_x0000_s5167"/>
                </a:ext>
                <a:ext uri="{FF2B5EF4-FFF2-40B4-BE49-F238E27FC236}">
                  <a16:creationId xmlns:a16="http://schemas.microsoft.com/office/drawing/2014/main" id="{00000000-0008-0000-0400-00002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10</xdr:row>
          <xdr:rowOff>9525</xdr:rowOff>
        </xdr:from>
        <xdr:to>
          <xdr:col>10</xdr:col>
          <xdr:colOff>9525</xdr:colOff>
          <xdr:row>10</xdr:row>
          <xdr:rowOff>180975</xdr:rowOff>
        </xdr:to>
        <xdr:sp macro="" textlink="">
          <xdr:nvSpPr>
            <xdr:cNvPr id="5168" name="Drop Down 48" hidden="1">
              <a:extLst>
                <a:ext uri="{63B3BB69-23CF-44E3-9099-C40C66FF867C}">
                  <a14:compatExt spid="_x0000_s5168"/>
                </a:ext>
                <a:ext uri="{FF2B5EF4-FFF2-40B4-BE49-F238E27FC236}">
                  <a16:creationId xmlns:a16="http://schemas.microsoft.com/office/drawing/2014/main" id="{00000000-0008-0000-0400-00003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11</xdr:row>
          <xdr:rowOff>9525</xdr:rowOff>
        </xdr:from>
        <xdr:to>
          <xdr:col>10</xdr:col>
          <xdr:colOff>9525</xdr:colOff>
          <xdr:row>11</xdr:row>
          <xdr:rowOff>180975</xdr:rowOff>
        </xdr:to>
        <xdr:sp macro="" textlink="">
          <xdr:nvSpPr>
            <xdr:cNvPr id="5169" name="Drop Down 49" hidden="1">
              <a:extLst>
                <a:ext uri="{63B3BB69-23CF-44E3-9099-C40C66FF867C}">
                  <a14:compatExt spid="_x0000_s5169"/>
                </a:ext>
                <a:ext uri="{FF2B5EF4-FFF2-40B4-BE49-F238E27FC236}">
                  <a16:creationId xmlns:a16="http://schemas.microsoft.com/office/drawing/2014/main" id="{00000000-0008-0000-0400-00003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12</xdr:row>
          <xdr:rowOff>9525</xdr:rowOff>
        </xdr:from>
        <xdr:to>
          <xdr:col>10</xdr:col>
          <xdr:colOff>9525</xdr:colOff>
          <xdr:row>12</xdr:row>
          <xdr:rowOff>180975</xdr:rowOff>
        </xdr:to>
        <xdr:sp macro="" textlink="">
          <xdr:nvSpPr>
            <xdr:cNvPr id="5170" name="Drop Down 50" hidden="1">
              <a:extLst>
                <a:ext uri="{63B3BB69-23CF-44E3-9099-C40C66FF867C}">
                  <a14:compatExt spid="_x0000_s5170"/>
                </a:ext>
                <a:ext uri="{FF2B5EF4-FFF2-40B4-BE49-F238E27FC236}">
                  <a16:creationId xmlns:a16="http://schemas.microsoft.com/office/drawing/2014/main" id="{00000000-0008-0000-0400-00003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13</xdr:row>
          <xdr:rowOff>9525</xdr:rowOff>
        </xdr:from>
        <xdr:to>
          <xdr:col>10</xdr:col>
          <xdr:colOff>9525</xdr:colOff>
          <xdr:row>13</xdr:row>
          <xdr:rowOff>180975</xdr:rowOff>
        </xdr:to>
        <xdr:sp macro="" textlink="">
          <xdr:nvSpPr>
            <xdr:cNvPr id="5171" name="Drop Down 51" hidden="1">
              <a:extLst>
                <a:ext uri="{63B3BB69-23CF-44E3-9099-C40C66FF867C}">
                  <a14:compatExt spid="_x0000_s5171"/>
                </a:ext>
                <a:ext uri="{FF2B5EF4-FFF2-40B4-BE49-F238E27FC236}">
                  <a16:creationId xmlns:a16="http://schemas.microsoft.com/office/drawing/2014/main" id="{00000000-0008-0000-0400-00003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14</xdr:row>
          <xdr:rowOff>9525</xdr:rowOff>
        </xdr:from>
        <xdr:to>
          <xdr:col>10</xdr:col>
          <xdr:colOff>9525</xdr:colOff>
          <xdr:row>14</xdr:row>
          <xdr:rowOff>180975</xdr:rowOff>
        </xdr:to>
        <xdr:sp macro="" textlink="">
          <xdr:nvSpPr>
            <xdr:cNvPr id="5172" name="Drop Down 52" hidden="1">
              <a:extLst>
                <a:ext uri="{63B3BB69-23CF-44E3-9099-C40C66FF867C}">
                  <a14:compatExt spid="_x0000_s5172"/>
                </a:ext>
                <a:ext uri="{FF2B5EF4-FFF2-40B4-BE49-F238E27FC236}">
                  <a16:creationId xmlns:a16="http://schemas.microsoft.com/office/drawing/2014/main" id="{00000000-0008-0000-0400-00003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15</xdr:row>
          <xdr:rowOff>9525</xdr:rowOff>
        </xdr:from>
        <xdr:to>
          <xdr:col>10</xdr:col>
          <xdr:colOff>9525</xdr:colOff>
          <xdr:row>15</xdr:row>
          <xdr:rowOff>180975</xdr:rowOff>
        </xdr:to>
        <xdr:sp macro="" textlink="">
          <xdr:nvSpPr>
            <xdr:cNvPr id="5173" name="Drop Down 53" hidden="1">
              <a:extLst>
                <a:ext uri="{63B3BB69-23CF-44E3-9099-C40C66FF867C}">
                  <a14:compatExt spid="_x0000_s5173"/>
                </a:ext>
                <a:ext uri="{FF2B5EF4-FFF2-40B4-BE49-F238E27FC236}">
                  <a16:creationId xmlns:a16="http://schemas.microsoft.com/office/drawing/2014/main" id="{00000000-0008-0000-0400-00003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16</xdr:row>
          <xdr:rowOff>9525</xdr:rowOff>
        </xdr:from>
        <xdr:to>
          <xdr:col>10</xdr:col>
          <xdr:colOff>9525</xdr:colOff>
          <xdr:row>16</xdr:row>
          <xdr:rowOff>180975</xdr:rowOff>
        </xdr:to>
        <xdr:sp macro="" textlink="">
          <xdr:nvSpPr>
            <xdr:cNvPr id="5174" name="Drop Down 54" hidden="1">
              <a:extLst>
                <a:ext uri="{63B3BB69-23CF-44E3-9099-C40C66FF867C}">
                  <a14:compatExt spid="_x0000_s5174"/>
                </a:ext>
                <a:ext uri="{FF2B5EF4-FFF2-40B4-BE49-F238E27FC236}">
                  <a16:creationId xmlns:a16="http://schemas.microsoft.com/office/drawing/2014/main" id="{00000000-0008-0000-0400-00003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17</xdr:row>
          <xdr:rowOff>9525</xdr:rowOff>
        </xdr:from>
        <xdr:to>
          <xdr:col>10</xdr:col>
          <xdr:colOff>9525</xdr:colOff>
          <xdr:row>17</xdr:row>
          <xdr:rowOff>180975</xdr:rowOff>
        </xdr:to>
        <xdr:sp macro="" textlink="">
          <xdr:nvSpPr>
            <xdr:cNvPr id="5175" name="Drop Down 55" hidden="1">
              <a:extLst>
                <a:ext uri="{63B3BB69-23CF-44E3-9099-C40C66FF867C}">
                  <a14:compatExt spid="_x0000_s5175"/>
                </a:ext>
                <a:ext uri="{FF2B5EF4-FFF2-40B4-BE49-F238E27FC236}">
                  <a16:creationId xmlns:a16="http://schemas.microsoft.com/office/drawing/2014/main" id="{00000000-0008-0000-0400-00003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18</xdr:row>
          <xdr:rowOff>9525</xdr:rowOff>
        </xdr:from>
        <xdr:to>
          <xdr:col>10</xdr:col>
          <xdr:colOff>9525</xdr:colOff>
          <xdr:row>18</xdr:row>
          <xdr:rowOff>180975</xdr:rowOff>
        </xdr:to>
        <xdr:sp macro="" textlink="">
          <xdr:nvSpPr>
            <xdr:cNvPr id="5176" name="Drop Down 56" hidden="1">
              <a:extLst>
                <a:ext uri="{63B3BB69-23CF-44E3-9099-C40C66FF867C}">
                  <a14:compatExt spid="_x0000_s5176"/>
                </a:ext>
                <a:ext uri="{FF2B5EF4-FFF2-40B4-BE49-F238E27FC236}">
                  <a16:creationId xmlns:a16="http://schemas.microsoft.com/office/drawing/2014/main" id="{00000000-0008-0000-0400-00003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19</xdr:row>
          <xdr:rowOff>9525</xdr:rowOff>
        </xdr:from>
        <xdr:to>
          <xdr:col>10</xdr:col>
          <xdr:colOff>9525</xdr:colOff>
          <xdr:row>19</xdr:row>
          <xdr:rowOff>180975</xdr:rowOff>
        </xdr:to>
        <xdr:sp macro="" textlink="">
          <xdr:nvSpPr>
            <xdr:cNvPr id="5177" name="Drop Down 57" hidden="1">
              <a:extLst>
                <a:ext uri="{63B3BB69-23CF-44E3-9099-C40C66FF867C}">
                  <a14:compatExt spid="_x0000_s5177"/>
                </a:ext>
                <a:ext uri="{FF2B5EF4-FFF2-40B4-BE49-F238E27FC236}">
                  <a16:creationId xmlns:a16="http://schemas.microsoft.com/office/drawing/2014/main" id="{00000000-0008-0000-0400-00003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20</xdr:row>
          <xdr:rowOff>9525</xdr:rowOff>
        </xdr:from>
        <xdr:to>
          <xdr:col>10</xdr:col>
          <xdr:colOff>9525</xdr:colOff>
          <xdr:row>20</xdr:row>
          <xdr:rowOff>180975</xdr:rowOff>
        </xdr:to>
        <xdr:sp macro="" textlink="">
          <xdr:nvSpPr>
            <xdr:cNvPr id="5178" name="Drop Down 58" hidden="1">
              <a:extLst>
                <a:ext uri="{63B3BB69-23CF-44E3-9099-C40C66FF867C}">
                  <a14:compatExt spid="_x0000_s5178"/>
                </a:ext>
                <a:ext uri="{FF2B5EF4-FFF2-40B4-BE49-F238E27FC236}">
                  <a16:creationId xmlns:a16="http://schemas.microsoft.com/office/drawing/2014/main" id="{00000000-0008-0000-0400-00003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21</xdr:row>
          <xdr:rowOff>9525</xdr:rowOff>
        </xdr:from>
        <xdr:to>
          <xdr:col>10</xdr:col>
          <xdr:colOff>9525</xdr:colOff>
          <xdr:row>21</xdr:row>
          <xdr:rowOff>180975</xdr:rowOff>
        </xdr:to>
        <xdr:sp macro="" textlink="">
          <xdr:nvSpPr>
            <xdr:cNvPr id="5179" name="Drop Down 59" hidden="1">
              <a:extLst>
                <a:ext uri="{63B3BB69-23CF-44E3-9099-C40C66FF867C}">
                  <a14:compatExt spid="_x0000_s5179"/>
                </a:ext>
                <a:ext uri="{FF2B5EF4-FFF2-40B4-BE49-F238E27FC236}">
                  <a16:creationId xmlns:a16="http://schemas.microsoft.com/office/drawing/2014/main" id="{00000000-0008-0000-0400-00003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8</xdr:row>
          <xdr:rowOff>9525</xdr:rowOff>
        </xdr:from>
        <xdr:to>
          <xdr:col>10</xdr:col>
          <xdr:colOff>9525</xdr:colOff>
          <xdr:row>8</xdr:row>
          <xdr:rowOff>180975</xdr:rowOff>
        </xdr:to>
        <xdr:sp macro="" textlink="">
          <xdr:nvSpPr>
            <xdr:cNvPr id="5180" name="Drop Down 60" hidden="1">
              <a:extLst>
                <a:ext uri="{63B3BB69-23CF-44E3-9099-C40C66FF867C}">
                  <a14:compatExt spid="_x0000_s5180"/>
                </a:ext>
                <a:ext uri="{FF2B5EF4-FFF2-40B4-BE49-F238E27FC236}">
                  <a16:creationId xmlns:a16="http://schemas.microsoft.com/office/drawing/2014/main" id="{00000000-0008-0000-0400-00003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9</xdr:row>
          <xdr:rowOff>9525</xdr:rowOff>
        </xdr:from>
        <xdr:to>
          <xdr:col>10</xdr:col>
          <xdr:colOff>9525</xdr:colOff>
          <xdr:row>9</xdr:row>
          <xdr:rowOff>180975</xdr:rowOff>
        </xdr:to>
        <xdr:sp macro="" textlink="">
          <xdr:nvSpPr>
            <xdr:cNvPr id="5181" name="Drop Down 61" hidden="1">
              <a:extLst>
                <a:ext uri="{63B3BB69-23CF-44E3-9099-C40C66FF867C}">
                  <a14:compatExt spid="_x0000_s5181"/>
                </a:ext>
                <a:ext uri="{FF2B5EF4-FFF2-40B4-BE49-F238E27FC236}">
                  <a16:creationId xmlns:a16="http://schemas.microsoft.com/office/drawing/2014/main" id="{00000000-0008-0000-0400-00003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10</xdr:row>
          <xdr:rowOff>9525</xdr:rowOff>
        </xdr:from>
        <xdr:to>
          <xdr:col>10</xdr:col>
          <xdr:colOff>9525</xdr:colOff>
          <xdr:row>10</xdr:row>
          <xdr:rowOff>180975</xdr:rowOff>
        </xdr:to>
        <xdr:sp macro="" textlink="">
          <xdr:nvSpPr>
            <xdr:cNvPr id="5182" name="Drop Down 62" hidden="1">
              <a:extLst>
                <a:ext uri="{63B3BB69-23CF-44E3-9099-C40C66FF867C}">
                  <a14:compatExt spid="_x0000_s5182"/>
                </a:ext>
                <a:ext uri="{FF2B5EF4-FFF2-40B4-BE49-F238E27FC236}">
                  <a16:creationId xmlns:a16="http://schemas.microsoft.com/office/drawing/2014/main" id="{00000000-0008-0000-0400-00003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11</xdr:row>
          <xdr:rowOff>9525</xdr:rowOff>
        </xdr:from>
        <xdr:to>
          <xdr:col>10</xdr:col>
          <xdr:colOff>9525</xdr:colOff>
          <xdr:row>11</xdr:row>
          <xdr:rowOff>180975</xdr:rowOff>
        </xdr:to>
        <xdr:sp macro="" textlink="">
          <xdr:nvSpPr>
            <xdr:cNvPr id="5183" name="Drop Down 63" hidden="1">
              <a:extLst>
                <a:ext uri="{63B3BB69-23CF-44E3-9099-C40C66FF867C}">
                  <a14:compatExt spid="_x0000_s5183"/>
                </a:ext>
                <a:ext uri="{FF2B5EF4-FFF2-40B4-BE49-F238E27FC236}">
                  <a16:creationId xmlns:a16="http://schemas.microsoft.com/office/drawing/2014/main" id="{00000000-0008-0000-0400-00003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12</xdr:row>
          <xdr:rowOff>9525</xdr:rowOff>
        </xdr:from>
        <xdr:to>
          <xdr:col>10</xdr:col>
          <xdr:colOff>9525</xdr:colOff>
          <xdr:row>12</xdr:row>
          <xdr:rowOff>180975</xdr:rowOff>
        </xdr:to>
        <xdr:sp macro="" textlink="">
          <xdr:nvSpPr>
            <xdr:cNvPr id="5184" name="Drop Down 64" hidden="1">
              <a:extLst>
                <a:ext uri="{63B3BB69-23CF-44E3-9099-C40C66FF867C}">
                  <a14:compatExt spid="_x0000_s5184"/>
                </a:ext>
                <a:ext uri="{FF2B5EF4-FFF2-40B4-BE49-F238E27FC236}">
                  <a16:creationId xmlns:a16="http://schemas.microsoft.com/office/drawing/2014/main" id="{00000000-0008-0000-0400-00004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13</xdr:row>
          <xdr:rowOff>9525</xdr:rowOff>
        </xdr:from>
        <xdr:to>
          <xdr:col>10</xdr:col>
          <xdr:colOff>9525</xdr:colOff>
          <xdr:row>13</xdr:row>
          <xdr:rowOff>180975</xdr:rowOff>
        </xdr:to>
        <xdr:sp macro="" textlink="">
          <xdr:nvSpPr>
            <xdr:cNvPr id="5185" name="Drop Down 65" hidden="1">
              <a:extLst>
                <a:ext uri="{63B3BB69-23CF-44E3-9099-C40C66FF867C}">
                  <a14:compatExt spid="_x0000_s5185"/>
                </a:ext>
                <a:ext uri="{FF2B5EF4-FFF2-40B4-BE49-F238E27FC236}">
                  <a16:creationId xmlns:a16="http://schemas.microsoft.com/office/drawing/2014/main" id="{00000000-0008-0000-0400-00004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14</xdr:row>
          <xdr:rowOff>9525</xdr:rowOff>
        </xdr:from>
        <xdr:to>
          <xdr:col>10</xdr:col>
          <xdr:colOff>9525</xdr:colOff>
          <xdr:row>14</xdr:row>
          <xdr:rowOff>180975</xdr:rowOff>
        </xdr:to>
        <xdr:sp macro="" textlink="">
          <xdr:nvSpPr>
            <xdr:cNvPr id="5186" name="Drop Down 66" hidden="1">
              <a:extLst>
                <a:ext uri="{63B3BB69-23CF-44E3-9099-C40C66FF867C}">
                  <a14:compatExt spid="_x0000_s5186"/>
                </a:ext>
                <a:ext uri="{FF2B5EF4-FFF2-40B4-BE49-F238E27FC236}">
                  <a16:creationId xmlns:a16="http://schemas.microsoft.com/office/drawing/2014/main" id="{00000000-0008-0000-0400-00004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15</xdr:row>
          <xdr:rowOff>9525</xdr:rowOff>
        </xdr:from>
        <xdr:to>
          <xdr:col>10</xdr:col>
          <xdr:colOff>9525</xdr:colOff>
          <xdr:row>15</xdr:row>
          <xdr:rowOff>180975</xdr:rowOff>
        </xdr:to>
        <xdr:sp macro="" textlink="">
          <xdr:nvSpPr>
            <xdr:cNvPr id="5187" name="Drop Down 67" hidden="1">
              <a:extLst>
                <a:ext uri="{63B3BB69-23CF-44E3-9099-C40C66FF867C}">
                  <a14:compatExt spid="_x0000_s5187"/>
                </a:ext>
                <a:ext uri="{FF2B5EF4-FFF2-40B4-BE49-F238E27FC236}">
                  <a16:creationId xmlns:a16="http://schemas.microsoft.com/office/drawing/2014/main" id="{00000000-0008-0000-0400-00004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16</xdr:row>
          <xdr:rowOff>9525</xdr:rowOff>
        </xdr:from>
        <xdr:to>
          <xdr:col>10</xdr:col>
          <xdr:colOff>9525</xdr:colOff>
          <xdr:row>16</xdr:row>
          <xdr:rowOff>180975</xdr:rowOff>
        </xdr:to>
        <xdr:sp macro="" textlink="">
          <xdr:nvSpPr>
            <xdr:cNvPr id="5188" name="Drop Down 68" hidden="1">
              <a:extLst>
                <a:ext uri="{63B3BB69-23CF-44E3-9099-C40C66FF867C}">
                  <a14:compatExt spid="_x0000_s5188"/>
                </a:ext>
                <a:ext uri="{FF2B5EF4-FFF2-40B4-BE49-F238E27FC236}">
                  <a16:creationId xmlns:a16="http://schemas.microsoft.com/office/drawing/2014/main" id="{00000000-0008-0000-0400-00004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17</xdr:row>
          <xdr:rowOff>9525</xdr:rowOff>
        </xdr:from>
        <xdr:to>
          <xdr:col>10</xdr:col>
          <xdr:colOff>9525</xdr:colOff>
          <xdr:row>17</xdr:row>
          <xdr:rowOff>180975</xdr:rowOff>
        </xdr:to>
        <xdr:sp macro="" textlink="">
          <xdr:nvSpPr>
            <xdr:cNvPr id="5189" name="Drop Down 69" hidden="1">
              <a:extLst>
                <a:ext uri="{63B3BB69-23CF-44E3-9099-C40C66FF867C}">
                  <a14:compatExt spid="_x0000_s5189"/>
                </a:ext>
                <a:ext uri="{FF2B5EF4-FFF2-40B4-BE49-F238E27FC236}">
                  <a16:creationId xmlns:a16="http://schemas.microsoft.com/office/drawing/2014/main" id="{00000000-0008-0000-0400-00004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18</xdr:row>
          <xdr:rowOff>9525</xdr:rowOff>
        </xdr:from>
        <xdr:to>
          <xdr:col>10</xdr:col>
          <xdr:colOff>9525</xdr:colOff>
          <xdr:row>18</xdr:row>
          <xdr:rowOff>180975</xdr:rowOff>
        </xdr:to>
        <xdr:sp macro="" textlink="">
          <xdr:nvSpPr>
            <xdr:cNvPr id="5190" name="Drop Down 70" hidden="1">
              <a:extLst>
                <a:ext uri="{63B3BB69-23CF-44E3-9099-C40C66FF867C}">
                  <a14:compatExt spid="_x0000_s5190"/>
                </a:ext>
                <a:ext uri="{FF2B5EF4-FFF2-40B4-BE49-F238E27FC236}">
                  <a16:creationId xmlns:a16="http://schemas.microsoft.com/office/drawing/2014/main" id="{00000000-0008-0000-0400-00004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19</xdr:row>
          <xdr:rowOff>9525</xdr:rowOff>
        </xdr:from>
        <xdr:to>
          <xdr:col>10</xdr:col>
          <xdr:colOff>9525</xdr:colOff>
          <xdr:row>19</xdr:row>
          <xdr:rowOff>180975</xdr:rowOff>
        </xdr:to>
        <xdr:sp macro="" textlink="">
          <xdr:nvSpPr>
            <xdr:cNvPr id="5191" name="Drop Down 71" hidden="1">
              <a:extLst>
                <a:ext uri="{63B3BB69-23CF-44E3-9099-C40C66FF867C}">
                  <a14:compatExt spid="_x0000_s5191"/>
                </a:ext>
                <a:ext uri="{FF2B5EF4-FFF2-40B4-BE49-F238E27FC236}">
                  <a16:creationId xmlns:a16="http://schemas.microsoft.com/office/drawing/2014/main" id="{00000000-0008-0000-0400-00004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20</xdr:row>
          <xdr:rowOff>9525</xdr:rowOff>
        </xdr:from>
        <xdr:to>
          <xdr:col>10</xdr:col>
          <xdr:colOff>9525</xdr:colOff>
          <xdr:row>20</xdr:row>
          <xdr:rowOff>180975</xdr:rowOff>
        </xdr:to>
        <xdr:sp macro="" textlink="">
          <xdr:nvSpPr>
            <xdr:cNvPr id="5192" name="Drop Down 72" hidden="1">
              <a:extLst>
                <a:ext uri="{63B3BB69-23CF-44E3-9099-C40C66FF867C}">
                  <a14:compatExt spid="_x0000_s5192"/>
                </a:ext>
                <a:ext uri="{FF2B5EF4-FFF2-40B4-BE49-F238E27FC236}">
                  <a16:creationId xmlns:a16="http://schemas.microsoft.com/office/drawing/2014/main" id="{00000000-0008-0000-0400-00004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21</xdr:row>
          <xdr:rowOff>9525</xdr:rowOff>
        </xdr:from>
        <xdr:to>
          <xdr:col>10</xdr:col>
          <xdr:colOff>9525</xdr:colOff>
          <xdr:row>21</xdr:row>
          <xdr:rowOff>180975</xdr:rowOff>
        </xdr:to>
        <xdr:sp macro="" textlink="">
          <xdr:nvSpPr>
            <xdr:cNvPr id="5193" name="Drop Down 73" hidden="1">
              <a:extLst>
                <a:ext uri="{63B3BB69-23CF-44E3-9099-C40C66FF867C}">
                  <a14:compatExt spid="_x0000_s5193"/>
                </a:ext>
                <a:ext uri="{FF2B5EF4-FFF2-40B4-BE49-F238E27FC236}">
                  <a16:creationId xmlns:a16="http://schemas.microsoft.com/office/drawing/2014/main" id="{00000000-0008-0000-0400-00004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7</xdr:row>
          <xdr:rowOff>9525</xdr:rowOff>
        </xdr:from>
        <xdr:to>
          <xdr:col>11</xdr:col>
          <xdr:colOff>714375</xdr:colOff>
          <xdr:row>7</xdr:row>
          <xdr:rowOff>161925</xdr:rowOff>
        </xdr:to>
        <xdr:sp macro="" textlink="">
          <xdr:nvSpPr>
            <xdr:cNvPr id="5194" name="Drop Down 74" hidden="1">
              <a:extLst>
                <a:ext uri="{63B3BB69-23CF-44E3-9099-C40C66FF867C}">
                  <a14:compatExt spid="_x0000_s5194"/>
                </a:ext>
                <a:ext uri="{FF2B5EF4-FFF2-40B4-BE49-F238E27FC236}">
                  <a16:creationId xmlns:a16="http://schemas.microsoft.com/office/drawing/2014/main" id="{00000000-0008-0000-0400-00004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8</xdr:row>
          <xdr:rowOff>9525</xdr:rowOff>
        </xdr:from>
        <xdr:to>
          <xdr:col>11</xdr:col>
          <xdr:colOff>714375</xdr:colOff>
          <xdr:row>8</xdr:row>
          <xdr:rowOff>161925</xdr:rowOff>
        </xdr:to>
        <xdr:sp macro="" textlink="">
          <xdr:nvSpPr>
            <xdr:cNvPr id="5195" name="Drop Down 75" hidden="1">
              <a:extLst>
                <a:ext uri="{63B3BB69-23CF-44E3-9099-C40C66FF867C}">
                  <a14:compatExt spid="_x0000_s5195"/>
                </a:ext>
                <a:ext uri="{FF2B5EF4-FFF2-40B4-BE49-F238E27FC236}">
                  <a16:creationId xmlns:a16="http://schemas.microsoft.com/office/drawing/2014/main" id="{00000000-0008-0000-0400-00004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9</xdr:row>
          <xdr:rowOff>9525</xdr:rowOff>
        </xdr:from>
        <xdr:to>
          <xdr:col>11</xdr:col>
          <xdr:colOff>714375</xdr:colOff>
          <xdr:row>9</xdr:row>
          <xdr:rowOff>161925</xdr:rowOff>
        </xdr:to>
        <xdr:sp macro="" textlink="">
          <xdr:nvSpPr>
            <xdr:cNvPr id="5196" name="Drop Down 76" hidden="1">
              <a:extLst>
                <a:ext uri="{63B3BB69-23CF-44E3-9099-C40C66FF867C}">
                  <a14:compatExt spid="_x0000_s5196"/>
                </a:ext>
                <a:ext uri="{FF2B5EF4-FFF2-40B4-BE49-F238E27FC236}">
                  <a16:creationId xmlns:a16="http://schemas.microsoft.com/office/drawing/2014/main" id="{00000000-0008-0000-0400-00004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10</xdr:row>
          <xdr:rowOff>9525</xdr:rowOff>
        </xdr:from>
        <xdr:to>
          <xdr:col>11</xdr:col>
          <xdr:colOff>714375</xdr:colOff>
          <xdr:row>10</xdr:row>
          <xdr:rowOff>161925</xdr:rowOff>
        </xdr:to>
        <xdr:sp macro="" textlink="">
          <xdr:nvSpPr>
            <xdr:cNvPr id="5197" name="Drop Down 77" hidden="1">
              <a:extLst>
                <a:ext uri="{63B3BB69-23CF-44E3-9099-C40C66FF867C}">
                  <a14:compatExt spid="_x0000_s5197"/>
                </a:ext>
                <a:ext uri="{FF2B5EF4-FFF2-40B4-BE49-F238E27FC236}">
                  <a16:creationId xmlns:a16="http://schemas.microsoft.com/office/drawing/2014/main" id="{00000000-0008-0000-0400-00004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11</xdr:row>
          <xdr:rowOff>9525</xdr:rowOff>
        </xdr:from>
        <xdr:to>
          <xdr:col>11</xdr:col>
          <xdr:colOff>714375</xdr:colOff>
          <xdr:row>11</xdr:row>
          <xdr:rowOff>161925</xdr:rowOff>
        </xdr:to>
        <xdr:sp macro="" textlink="">
          <xdr:nvSpPr>
            <xdr:cNvPr id="5198" name="Drop Down 78" hidden="1">
              <a:extLst>
                <a:ext uri="{63B3BB69-23CF-44E3-9099-C40C66FF867C}">
                  <a14:compatExt spid="_x0000_s5198"/>
                </a:ext>
                <a:ext uri="{FF2B5EF4-FFF2-40B4-BE49-F238E27FC236}">
                  <a16:creationId xmlns:a16="http://schemas.microsoft.com/office/drawing/2014/main" id="{00000000-0008-0000-0400-00004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12</xdr:row>
          <xdr:rowOff>9525</xdr:rowOff>
        </xdr:from>
        <xdr:to>
          <xdr:col>11</xdr:col>
          <xdr:colOff>714375</xdr:colOff>
          <xdr:row>12</xdr:row>
          <xdr:rowOff>161925</xdr:rowOff>
        </xdr:to>
        <xdr:sp macro="" textlink="">
          <xdr:nvSpPr>
            <xdr:cNvPr id="5199" name="Drop Down 79" hidden="1">
              <a:extLst>
                <a:ext uri="{63B3BB69-23CF-44E3-9099-C40C66FF867C}">
                  <a14:compatExt spid="_x0000_s5199"/>
                </a:ext>
                <a:ext uri="{FF2B5EF4-FFF2-40B4-BE49-F238E27FC236}">
                  <a16:creationId xmlns:a16="http://schemas.microsoft.com/office/drawing/2014/main" id="{00000000-0008-0000-0400-00004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13</xdr:row>
          <xdr:rowOff>9525</xdr:rowOff>
        </xdr:from>
        <xdr:to>
          <xdr:col>11</xdr:col>
          <xdr:colOff>714375</xdr:colOff>
          <xdr:row>13</xdr:row>
          <xdr:rowOff>161925</xdr:rowOff>
        </xdr:to>
        <xdr:sp macro="" textlink="">
          <xdr:nvSpPr>
            <xdr:cNvPr id="5200" name="Drop Down 80" hidden="1">
              <a:extLst>
                <a:ext uri="{63B3BB69-23CF-44E3-9099-C40C66FF867C}">
                  <a14:compatExt spid="_x0000_s5200"/>
                </a:ext>
                <a:ext uri="{FF2B5EF4-FFF2-40B4-BE49-F238E27FC236}">
                  <a16:creationId xmlns:a16="http://schemas.microsoft.com/office/drawing/2014/main" id="{00000000-0008-0000-0400-00005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14</xdr:row>
          <xdr:rowOff>9525</xdr:rowOff>
        </xdr:from>
        <xdr:to>
          <xdr:col>11</xdr:col>
          <xdr:colOff>714375</xdr:colOff>
          <xdr:row>14</xdr:row>
          <xdr:rowOff>161925</xdr:rowOff>
        </xdr:to>
        <xdr:sp macro="" textlink="">
          <xdr:nvSpPr>
            <xdr:cNvPr id="5201" name="Drop Down 81" hidden="1">
              <a:extLst>
                <a:ext uri="{63B3BB69-23CF-44E3-9099-C40C66FF867C}">
                  <a14:compatExt spid="_x0000_s5201"/>
                </a:ext>
                <a:ext uri="{FF2B5EF4-FFF2-40B4-BE49-F238E27FC236}">
                  <a16:creationId xmlns:a16="http://schemas.microsoft.com/office/drawing/2014/main" id="{00000000-0008-0000-0400-00005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15</xdr:row>
          <xdr:rowOff>9525</xdr:rowOff>
        </xdr:from>
        <xdr:to>
          <xdr:col>11</xdr:col>
          <xdr:colOff>714375</xdr:colOff>
          <xdr:row>15</xdr:row>
          <xdr:rowOff>161925</xdr:rowOff>
        </xdr:to>
        <xdr:sp macro="" textlink="">
          <xdr:nvSpPr>
            <xdr:cNvPr id="5202" name="Drop Down 82" hidden="1">
              <a:extLst>
                <a:ext uri="{63B3BB69-23CF-44E3-9099-C40C66FF867C}">
                  <a14:compatExt spid="_x0000_s5202"/>
                </a:ext>
                <a:ext uri="{FF2B5EF4-FFF2-40B4-BE49-F238E27FC236}">
                  <a16:creationId xmlns:a16="http://schemas.microsoft.com/office/drawing/2014/main" id="{00000000-0008-0000-0400-00005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16</xdr:row>
          <xdr:rowOff>9525</xdr:rowOff>
        </xdr:from>
        <xdr:to>
          <xdr:col>11</xdr:col>
          <xdr:colOff>714375</xdr:colOff>
          <xdr:row>16</xdr:row>
          <xdr:rowOff>161925</xdr:rowOff>
        </xdr:to>
        <xdr:sp macro="" textlink="">
          <xdr:nvSpPr>
            <xdr:cNvPr id="5203" name="Drop Down 83" hidden="1">
              <a:extLst>
                <a:ext uri="{63B3BB69-23CF-44E3-9099-C40C66FF867C}">
                  <a14:compatExt spid="_x0000_s5203"/>
                </a:ext>
                <a:ext uri="{FF2B5EF4-FFF2-40B4-BE49-F238E27FC236}">
                  <a16:creationId xmlns:a16="http://schemas.microsoft.com/office/drawing/2014/main" id="{00000000-0008-0000-0400-00005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17</xdr:row>
          <xdr:rowOff>9525</xdr:rowOff>
        </xdr:from>
        <xdr:to>
          <xdr:col>11</xdr:col>
          <xdr:colOff>714375</xdr:colOff>
          <xdr:row>17</xdr:row>
          <xdr:rowOff>161925</xdr:rowOff>
        </xdr:to>
        <xdr:sp macro="" textlink="">
          <xdr:nvSpPr>
            <xdr:cNvPr id="5204" name="Drop Down 84" hidden="1">
              <a:extLst>
                <a:ext uri="{63B3BB69-23CF-44E3-9099-C40C66FF867C}">
                  <a14:compatExt spid="_x0000_s5204"/>
                </a:ext>
                <a:ext uri="{FF2B5EF4-FFF2-40B4-BE49-F238E27FC236}">
                  <a16:creationId xmlns:a16="http://schemas.microsoft.com/office/drawing/2014/main" id="{00000000-0008-0000-0400-00005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18</xdr:row>
          <xdr:rowOff>9525</xdr:rowOff>
        </xdr:from>
        <xdr:to>
          <xdr:col>11</xdr:col>
          <xdr:colOff>714375</xdr:colOff>
          <xdr:row>18</xdr:row>
          <xdr:rowOff>161925</xdr:rowOff>
        </xdr:to>
        <xdr:sp macro="" textlink="">
          <xdr:nvSpPr>
            <xdr:cNvPr id="5205" name="Drop Down 85" hidden="1">
              <a:extLst>
                <a:ext uri="{63B3BB69-23CF-44E3-9099-C40C66FF867C}">
                  <a14:compatExt spid="_x0000_s5205"/>
                </a:ext>
                <a:ext uri="{FF2B5EF4-FFF2-40B4-BE49-F238E27FC236}">
                  <a16:creationId xmlns:a16="http://schemas.microsoft.com/office/drawing/2014/main" id="{00000000-0008-0000-0400-00005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19</xdr:row>
          <xdr:rowOff>9525</xdr:rowOff>
        </xdr:from>
        <xdr:to>
          <xdr:col>11</xdr:col>
          <xdr:colOff>714375</xdr:colOff>
          <xdr:row>19</xdr:row>
          <xdr:rowOff>161925</xdr:rowOff>
        </xdr:to>
        <xdr:sp macro="" textlink="">
          <xdr:nvSpPr>
            <xdr:cNvPr id="5206" name="Drop Down 86" hidden="1">
              <a:extLst>
                <a:ext uri="{63B3BB69-23CF-44E3-9099-C40C66FF867C}">
                  <a14:compatExt spid="_x0000_s5206"/>
                </a:ext>
                <a:ext uri="{FF2B5EF4-FFF2-40B4-BE49-F238E27FC236}">
                  <a16:creationId xmlns:a16="http://schemas.microsoft.com/office/drawing/2014/main" id="{00000000-0008-0000-0400-00005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20</xdr:row>
          <xdr:rowOff>9525</xdr:rowOff>
        </xdr:from>
        <xdr:to>
          <xdr:col>11</xdr:col>
          <xdr:colOff>714375</xdr:colOff>
          <xdr:row>20</xdr:row>
          <xdr:rowOff>161925</xdr:rowOff>
        </xdr:to>
        <xdr:sp macro="" textlink="">
          <xdr:nvSpPr>
            <xdr:cNvPr id="5207" name="Drop Down 87" hidden="1">
              <a:extLst>
                <a:ext uri="{63B3BB69-23CF-44E3-9099-C40C66FF867C}">
                  <a14:compatExt spid="_x0000_s5207"/>
                </a:ext>
                <a:ext uri="{FF2B5EF4-FFF2-40B4-BE49-F238E27FC236}">
                  <a16:creationId xmlns:a16="http://schemas.microsoft.com/office/drawing/2014/main" id="{00000000-0008-0000-0400-00005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21</xdr:row>
          <xdr:rowOff>9525</xdr:rowOff>
        </xdr:from>
        <xdr:to>
          <xdr:col>11</xdr:col>
          <xdr:colOff>714375</xdr:colOff>
          <xdr:row>21</xdr:row>
          <xdr:rowOff>161925</xdr:rowOff>
        </xdr:to>
        <xdr:sp macro="" textlink="">
          <xdr:nvSpPr>
            <xdr:cNvPr id="5208" name="Drop Down 88" hidden="1">
              <a:extLst>
                <a:ext uri="{63B3BB69-23CF-44E3-9099-C40C66FF867C}">
                  <a14:compatExt spid="_x0000_s5208"/>
                </a:ext>
                <a:ext uri="{FF2B5EF4-FFF2-40B4-BE49-F238E27FC236}">
                  <a16:creationId xmlns:a16="http://schemas.microsoft.com/office/drawing/2014/main" id="{00000000-0008-0000-0400-00005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8</xdr:row>
          <xdr:rowOff>9525</xdr:rowOff>
        </xdr:from>
        <xdr:to>
          <xdr:col>10</xdr:col>
          <xdr:colOff>9525</xdr:colOff>
          <xdr:row>8</xdr:row>
          <xdr:rowOff>180975</xdr:rowOff>
        </xdr:to>
        <xdr:sp macro="" textlink="">
          <xdr:nvSpPr>
            <xdr:cNvPr id="5209" name="Drop Down 89" hidden="1">
              <a:extLst>
                <a:ext uri="{63B3BB69-23CF-44E3-9099-C40C66FF867C}">
                  <a14:compatExt spid="_x0000_s5209"/>
                </a:ext>
                <a:ext uri="{FF2B5EF4-FFF2-40B4-BE49-F238E27FC236}">
                  <a16:creationId xmlns:a16="http://schemas.microsoft.com/office/drawing/2014/main" id="{00000000-0008-0000-0400-00005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9</xdr:row>
          <xdr:rowOff>9525</xdr:rowOff>
        </xdr:from>
        <xdr:to>
          <xdr:col>10</xdr:col>
          <xdr:colOff>9525</xdr:colOff>
          <xdr:row>9</xdr:row>
          <xdr:rowOff>180975</xdr:rowOff>
        </xdr:to>
        <xdr:sp macro="" textlink="">
          <xdr:nvSpPr>
            <xdr:cNvPr id="5210" name="Drop Down 90" hidden="1">
              <a:extLst>
                <a:ext uri="{63B3BB69-23CF-44E3-9099-C40C66FF867C}">
                  <a14:compatExt spid="_x0000_s5210"/>
                </a:ext>
                <a:ext uri="{FF2B5EF4-FFF2-40B4-BE49-F238E27FC236}">
                  <a16:creationId xmlns:a16="http://schemas.microsoft.com/office/drawing/2014/main" id="{00000000-0008-0000-0400-00005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10</xdr:row>
          <xdr:rowOff>9525</xdr:rowOff>
        </xdr:from>
        <xdr:to>
          <xdr:col>10</xdr:col>
          <xdr:colOff>9525</xdr:colOff>
          <xdr:row>10</xdr:row>
          <xdr:rowOff>180975</xdr:rowOff>
        </xdr:to>
        <xdr:sp macro="" textlink="">
          <xdr:nvSpPr>
            <xdr:cNvPr id="5211" name="Drop Down 91" hidden="1">
              <a:extLst>
                <a:ext uri="{63B3BB69-23CF-44E3-9099-C40C66FF867C}">
                  <a14:compatExt spid="_x0000_s5211"/>
                </a:ext>
                <a:ext uri="{FF2B5EF4-FFF2-40B4-BE49-F238E27FC236}">
                  <a16:creationId xmlns:a16="http://schemas.microsoft.com/office/drawing/2014/main" id="{00000000-0008-0000-0400-00005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11</xdr:row>
          <xdr:rowOff>9525</xdr:rowOff>
        </xdr:from>
        <xdr:to>
          <xdr:col>10</xdr:col>
          <xdr:colOff>9525</xdr:colOff>
          <xdr:row>11</xdr:row>
          <xdr:rowOff>180975</xdr:rowOff>
        </xdr:to>
        <xdr:sp macro="" textlink="">
          <xdr:nvSpPr>
            <xdr:cNvPr id="5212" name="Drop Down 92" hidden="1">
              <a:extLst>
                <a:ext uri="{63B3BB69-23CF-44E3-9099-C40C66FF867C}">
                  <a14:compatExt spid="_x0000_s5212"/>
                </a:ext>
                <a:ext uri="{FF2B5EF4-FFF2-40B4-BE49-F238E27FC236}">
                  <a16:creationId xmlns:a16="http://schemas.microsoft.com/office/drawing/2014/main" id="{00000000-0008-0000-0400-00005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12</xdr:row>
          <xdr:rowOff>9525</xdr:rowOff>
        </xdr:from>
        <xdr:to>
          <xdr:col>10</xdr:col>
          <xdr:colOff>9525</xdr:colOff>
          <xdr:row>12</xdr:row>
          <xdr:rowOff>180975</xdr:rowOff>
        </xdr:to>
        <xdr:sp macro="" textlink="">
          <xdr:nvSpPr>
            <xdr:cNvPr id="5213" name="Drop Down 93" hidden="1">
              <a:extLst>
                <a:ext uri="{63B3BB69-23CF-44E3-9099-C40C66FF867C}">
                  <a14:compatExt spid="_x0000_s5213"/>
                </a:ext>
                <a:ext uri="{FF2B5EF4-FFF2-40B4-BE49-F238E27FC236}">
                  <a16:creationId xmlns:a16="http://schemas.microsoft.com/office/drawing/2014/main" id="{00000000-0008-0000-0400-00005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13</xdr:row>
          <xdr:rowOff>9525</xdr:rowOff>
        </xdr:from>
        <xdr:to>
          <xdr:col>10</xdr:col>
          <xdr:colOff>9525</xdr:colOff>
          <xdr:row>13</xdr:row>
          <xdr:rowOff>180975</xdr:rowOff>
        </xdr:to>
        <xdr:sp macro="" textlink="">
          <xdr:nvSpPr>
            <xdr:cNvPr id="5214" name="Drop Down 94" hidden="1">
              <a:extLst>
                <a:ext uri="{63B3BB69-23CF-44E3-9099-C40C66FF867C}">
                  <a14:compatExt spid="_x0000_s5214"/>
                </a:ext>
                <a:ext uri="{FF2B5EF4-FFF2-40B4-BE49-F238E27FC236}">
                  <a16:creationId xmlns:a16="http://schemas.microsoft.com/office/drawing/2014/main" id="{00000000-0008-0000-0400-00005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14</xdr:row>
          <xdr:rowOff>9525</xdr:rowOff>
        </xdr:from>
        <xdr:to>
          <xdr:col>10</xdr:col>
          <xdr:colOff>9525</xdr:colOff>
          <xdr:row>14</xdr:row>
          <xdr:rowOff>180975</xdr:rowOff>
        </xdr:to>
        <xdr:sp macro="" textlink="">
          <xdr:nvSpPr>
            <xdr:cNvPr id="5215" name="Drop Down 95" hidden="1">
              <a:extLst>
                <a:ext uri="{63B3BB69-23CF-44E3-9099-C40C66FF867C}">
                  <a14:compatExt spid="_x0000_s5215"/>
                </a:ext>
                <a:ext uri="{FF2B5EF4-FFF2-40B4-BE49-F238E27FC236}">
                  <a16:creationId xmlns:a16="http://schemas.microsoft.com/office/drawing/2014/main" id="{00000000-0008-0000-0400-00005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15</xdr:row>
          <xdr:rowOff>9525</xdr:rowOff>
        </xdr:from>
        <xdr:to>
          <xdr:col>10</xdr:col>
          <xdr:colOff>9525</xdr:colOff>
          <xdr:row>15</xdr:row>
          <xdr:rowOff>180975</xdr:rowOff>
        </xdr:to>
        <xdr:sp macro="" textlink="">
          <xdr:nvSpPr>
            <xdr:cNvPr id="5216" name="Drop Down 96" hidden="1">
              <a:extLst>
                <a:ext uri="{63B3BB69-23CF-44E3-9099-C40C66FF867C}">
                  <a14:compatExt spid="_x0000_s5216"/>
                </a:ext>
                <a:ext uri="{FF2B5EF4-FFF2-40B4-BE49-F238E27FC236}">
                  <a16:creationId xmlns:a16="http://schemas.microsoft.com/office/drawing/2014/main" id="{00000000-0008-0000-0400-00006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16</xdr:row>
          <xdr:rowOff>9525</xdr:rowOff>
        </xdr:from>
        <xdr:to>
          <xdr:col>10</xdr:col>
          <xdr:colOff>9525</xdr:colOff>
          <xdr:row>16</xdr:row>
          <xdr:rowOff>180975</xdr:rowOff>
        </xdr:to>
        <xdr:sp macro="" textlink="">
          <xdr:nvSpPr>
            <xdr:cNvPr id="5217" name="Drop Down 97" hidden="1">
              <a:extLst>
                <a:ext uri="{63B3BB69-23CF-44E3-9099-C40C66FF867C}">
                  <a14:compatExt spid="_x0000_s5217"/>
                </a:ext>
                <a:ext uri="{FF2B5EF4-FFF2-40B4-BE49-F238E27FC236}">
                  <a16:creationId xmlns:a16="http://schemas.microsoft.com/office/drawing/2014/main" id="{00000000-0008-0000-0400-00006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17</xdr:row>
          <xdr:rowOff>9525</xdr:rowOff>
        </xdr:from>
        <xdr:to>
          <xdr:col>10</xdr:col>
          <xdr:colOff>9525</xdr:colOff>
          <xdr:row>17</xdr:row>
          <xdr:rowOff>180975</xdr:rowOff>
        </xdr:to>
        <xdr:sp macro="" textlink="">
          <xdr:nvSpPr>
            <xdr:cNvPr id="5218" name="Drop Down 98" hidden="1">
              <a:extLst>
                <a:ext uri="{63B3BB69-23CF-44E3-9099-C40C66FF867C}">
                  <a14:compatExt spid="_x0000_s5218"/>
                </a:ext>
                <a:ext uri="{FF2B5EF4-FFF2-40B4-BE49-F238E27FC236}">
                  <a16:creationId xmlns:a16="http://schemas.microsoft.com/office/drawing/2014/main" id="{00000000-0008-0000-0400-00006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18</xdr:row>
          <xdr:rowOff>9525</xdr:rowOff>
        </xdr:from>
        <xdr:to>
          <xdr:col>10</xdr:col>
          <xdr:colOff>9525</xdr:colOff>
          <xdr:row>18</xdr:row>
          <xdr:rowOff>180975</xdr:rowOff>
        </xdr:to>
        <xdr:sp macro="" textlink="">
          <xdr:nvSpPr>
            <xdr:cNvPr id="5219" name="Drop Down 99" hidden="1">
              <a:extLst>
                <a:ext uri="{63B3BB69-23CF-44E3-9099-C40C66FF867C}">
                  <a14:compatExt spid="_x0000_s5219"/>
                </a:ext>
                <a:ext uri="{FF2B5EF4-FFF2-40B4-BE49-F238E27FC236}">
                  <a16:creationId xmlns:a16="http://schemas.microsoft.com/office/drawing/2014/main" id="{00000000-0008-0000-0400-00006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19</xdr:row>
          <xdr:rowOff>9525</xdr:rowOff>
        </xdr:from>
        <xdr:to>
          <xdr:col>10</xdr:col>
          <xdr:colOff>9525</xdr:colOff>
          <xdr:row>19</xdr:row>
          <xdr:rowOff>180975</xdr:rowOff>
        </xdr:to>
        <xdr:sp macro="" textlink="">
          <xdr:nvSpPr>
            <xdr:cNvPr id="5220" name="Drop Down 100" hidden="1">
              <a:extLst>
                <a:ext uri="{63B3BB69-23CF-44E3-9099-C40C66FF867C}">
                  <a14:compatExt spid="_x0000_s5220"/>
                </a:ext>
                <a:ext uri="{FF2B5EF4-FFF2-40B4-BE49-F238E27FC236}">
                  <a16:creationId xmlns:a16="http://schemas.microsoft.com/office/drawing/2014/main" id="{00000000-0008-0000-0400-00006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20</xdr:row>
          <xdr:rowOff>9525</xdr:rowOff>
        </xdr:from>
        <xdr:to>
          <xdr:col>10</xdr:col>
          <xdr:colOff>9525</xdr:colOff>
          <xdr:row>20</xdr:row>
          <xdr:rowOff>180975</xdr:rowOff>
        </xdr:to>
        <xdr:sp macro="" textlink="">
          <xdr:nvSpPr>
            <xdr:cNvPr id="5221" name="Drop Down 101" hidden="1">
              <a:extLst>
                <a:ext uri="{63B3BB69-23CF-44E3-9099-C40C66FF867C}">
                  <a14:compatExt spid="_x0000_s5221"/>
                </a:ext>
                <a:ext uri="{FF2B5EF4-FFF2-40B4-BE49-F238E27FC236}">
                  <a16:creationId xmlns:a16="http://schemas.microsoft.com/office/drawing/2014/main" id="{00000000-0008-0000-0400-00006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21</xdr:row>
          <xdr:rowOff>9525</xdr:rowOff>
        </xdr:from>
        <xdr:to>
          <xdr:col>10</xdr:col>
          <xdr:colOff>9525</xdr:colOff>
          <xdr:row>21</xdr:row>
          <xdr:rowOff>180975</xdr:rowOff>
        </xdr:to>
        <xdr:sp macro="" textlink="">
          <xdr:nvSpPr>
            <xdr:cNvPr id="5222" name="Drop Down 102" hidden="1">
              <a:extLst>
                <a:ext uri="{63B3BB69-23CF-44E3-9099-C40C66FF867C}">
                  <a14:compatExt spid="_x0000_s5222"/>
                </a:ext>
                <a:ext uri="{FF2B5EF4-FFF2-40B4-BE49-F238E27FC236}">
                  <a16:creationId xmlns:a16="http://schemas.microsoft.com/office/drawing/2014/main" id="{00000000-0008-0000-0400-00006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7</xdr:row>
          <xdr:rowOff>9525</xdr:rowOff>
        </xdr:from>
        <xdr:to>
          <xdr:col>5</xdr:col>
          <xdr:colOff>9525</xdr:colOff>
          <xdr:row>7</xdr:row>
          <xdr:rowOff>180975</xdr:rowOff>
        </xdr:to>
        <xdr:sp macro="" textlink="">
          <xdr:nvSpPr>
            <xdr:cNvPr id="6145" name="Drop Down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5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8</xdr:row>
          <xdr:rowOff>9525</xdr:rowOff>
        </xdr:from>
        <xdr:to>
          <xdr:col>5</xdr:col>
          <xdr:colOff>9525</xdr:colOff>
          <xdr:row>8</xdr:row>
          <xdr:rowOff>180975</xdr:rowOff>
        </xdr:to>
        <xdr:sp macro="" textlink="">
          <xdr:nvSpPr>
            <xdr:cNvPr id="6146" name="Drop Down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5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9</xdr:row>
          <xdr:rowOff>9525</xdr:rowOff>
        </xdr:from>
        <xdr:to>
          <xdr:col>5</xdr:col>
          <xdr:colOff>9525</xdr:colOff>
          <xdr:row>9</xdr:row>
          <xdr:rowOff>180975</xdr:rowOff>
        </xdr:to>
        <xdr:sp macro="" textlink="">
          <xdr:nvSpPr>
            <xdr:cNvPr id="6147" name="Drop Down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5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10</xdr:row>
          <xdr:rowOff>9525</xdr:rowOff>
        </xdr:from>
        <xdr:to>
          <xdr:col>5</xdr:col>
          <xdr:colOff>9525</xdr:colOff>
          <xdr:row>10</xdr:row>
          <xdr:rowOff>180975</xdr:rowOff>
        </xdr:to>
        <xdr:sp macro="" textlink="">
          <xdr:nvSpPr>
            <xdr:cNvPr id="6148" name="Drop Down 4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00000000-0008-0000-0500-00000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11</xdr:row>
          <xdr:rowOff>9525</xdr:rowOff>
        </xdr:from>
        <xdr:to>
          <xdr:col>5</xdr:col>
          <xdr:colOff>9525</xdr:colOff>
          <xdr:row>11</xdr:row>
          <xdr:rowOff>180975</xdr:rowOff>
        </xdr:to>
        <xdr:sp macro="" textlink="">
          <xdr:nvSpPr>
            <xdr:cNvPr id="6149" name="Drop Down 5" hidden="1">
              <a:extLst>
                <a:ext uri="{63B3BB69-23CF-44E3-9099-C40C66FF867C}">
                  <a14:compatExt spid="_x0000_s6149"/>
                </a:ext>
                <a:ext uri="{FF2B5EF4-FFF2-40B4-BE49-F238E27FC236}">
                  <a16:creationId xmlns:a16="http://schemas.microsoft.com/office/drawing/2014/main" id="{00000000-0008-0000-0500-00000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12</xdr:row>
          <xdr:rowOff>9525</xdr:rowOff>
        </xdr:from>
        <xdr:to>
          <xdr:col>5</xdr:col>
          <xdr:colOff>9525</xdr:colOff>
          <xdr:row>12</xdr:row>
          <xdr:rowOff>180975</xdr:rowOff>
        </xdr:to>
        <xdr:sp macro="" textlink="">
          <xdr:nvSpPr>
            <xdr:cNvPr id="6150" name="Drop Down 6" hidden="1">
              <a:extLst>
                <a:ext uri="{63B3BB69-23CF-44E3-9099-C40C66FF867C}">
                  <a14:compatExt spid="_x0000_s6150"/>
                </a:ext>
                <a:ext uri="{FF2B5EF4-FFF2-40B4-BE49-F238E27FC236}">
                  <a16:creationId xmlns:a16="http://schemas.microsoft.com/office/drawing/2014/main" id="{00000000-0008-0000-0500-00000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13</xdr:row>
          <xdr:rowOff>9525</xdr:rowOff>
        </xdr:from>
        <xdr:to>
          <xdr:col>5</xdr:col>
          <xdr:colOff>9525</xdr:colOff>
          <xdr:row>13</xdr:row>
          <xdr:rowOff>180975</xdr:rowOff>
        </xdr:to>
        <xdr:sp macro="" textlink="">
          <xdr:nvSpPr>
            <xdr:cNvPr id="6151" name="Drop Down 7" hidden="1">
              <a:extLst>
                <a:ext uri="{63B3BB69-23CF-44E3-9099-C40C66FF867C}">
                  <a14:compatExt spid="_x0000_s6151"/>
                </a:ext>
                <a:ext uri="{FF2B5EF4-FFF2-40B4-BE49-F238E27FC236}">
                  <a16:creationId xmlns:a16="http://schemas.microsoft.com/office/drawing/2014/main" id="{00000000-0008-0000-0500-00000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14</xdr:row>
          <xdr:rowOff>9525</xdr:rowOff>
        </xdr:from>
        <xdr:to>
          <xdr:col>5</xdr:col>
          <xdr:colOff>9525</xdr:colOff>
          <xdr:row>14</xdr:row>
          <xdr:rowOff>180975</xdr:rowOff>
        </xdr:to>
        <xdr:sp macro="" textlink="">
          <xdr:nvSpPr>
            <xdr:cNvPr id="6152" name="Drop Down 8" hidden="1">
              <a:extLst>
                <a:ext uri="{63B3BB69-23CF-44E3-9099-C40C66FF867C}">
                  <a14:compatExt spid="_x0000_s6152"/>
                </a:ext>
                <a:ext uri="{FF2B5EF4-FFF2-40B4-BE49-F238E27FC236}">
                  <a16:creationId xmlns:a16="http://schemas.microsoft.com/office/drawing/2014/main" id="{00000000-0008-0000-0500-00000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15</xdr:row>
          <xdr:rowOff>9525</xdr:rowOff>
        </xdr:from>
        <xdr:to>
          <xdr:col>5</xdr:col>
          <xdr:colOff>9525</xdr:colOff>
          <xdr:row>15</xdr:row>
          <xdr:rowOff>180975</xdr:rowOff>
        </xdr:to>
        <xdr:sp macro="" textlink="">
          <xdr:nvSpPr>
            <xdr:cNvPr id="6153" name="Drop Down 9" hidden="1">
              <a:extLst>
                <a:ext uri="{63B3BB69-23CF-44E3-9099-C40C66FF867C}">
                  <a14:compatExt spid="_x0000_s6153"/>
                </a:ext>
                <a:ext uri="{FF2B5EF4-FFF2-40B4-BE49-F238E27FC236}">
                  <a16:creationId xmlns:a16="http://schemas.microsoft.com/office/drawing/2014/main" id="{00000000-0008-0000-0500-00000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16</xdr:row>
          <xdr:rowOff>9525</xdr:rowOff>
        </xdr:from>
        <xdr:to>
          <xdr:col>5</xdr:col>
          <xdr:colOff>9525</xdr:colOff>
          <xdr:row>16</xdr:row>
          <xdr:rowOff>180975</xdr:rowOff>
        </xdr:to>
        <xdr:sp macro="" textlink="">
          <xdr:nvSpPr>
            <xdr:cNvPr id="6154" name="Drop Down 10" hidden="1">
              <a:extLst>
                <a:ext uri="{63B3BB69-23CF-44E3-9099-C40C66FF867C}">
                  <a14:compatExt spid="_x0000_s6154"/>
                </a:ext>
                <a:ext uri="{FF2B5EF4-FFF2-40B4-BE49-F238E27FC236}">
                  <a16:creationId xmlns:a16="http://schemas.microsoft.com/office/drawing/2014/main" id="{00000000-0008-0000-0500-00000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17</xdr:row>
          <xdr:rowOff>9525</xdr:rowOff>
        </xdr:from>
        <xdr:to>
          <xdr:col>5</xdr:col>
          <xdr:colOff>9525</xdr:colOff>
          <xdr:row>17</xdr:row>
          <xdr:rowOff>180975</xdr:rowOff>
        </xdr:to>
        <xdr:sp macro="" textlink="">
          <xdr:nvSpPr>
            <xdr:cNvPr id="6155" name="Drop Down 11" hidden="1">
              <a:extLst>
                <a:ext uri="{63B3BB69-23CF-44E3-9099-C40C66FF867C}">
                  <a14:compatExt spid="_x0000_s6155"/>
                </a:ext>
                <a:ext uri="{FF2B5EF4-FFF2-40B4-BE49-F238E27FC236}">
                  <a16:creationId xmlns:a16="http://schemas.microsoft.com/office/drawing/2014/main" id="{00000000-0008-0000-0500-00000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18</xdr:row>
          <xdr:rowOff>9525</xdr:rowOff>
        </xdr:from>
        <xdr:to>
          <xdr:col>5</xdr:col>
          <xdr:colOff>9525</xdr:colOff>
          <xdr:row>18</xdr:row>
          <xdr:rowOff>180975</xdr:rowOff>
        </xdr:to>
        <xdr:sp macro="" textlink="">
          <xdr:nvSpPr>
            <xdr:cNvPr id="6156" name="Drop Down 12" hidden="1">
              <a:extLst>
                <a:ext uri="{63B3BB69-23CF-44E3-9099-C40C66FF867C}">
                  <a14:compatExt spid="_x0000_s6156"/>
                </a:ext>
                <a:ext uri="{FF2B5EF4-FFF2-40B4-BE49-F238E27FC236}">
                  <a16:creationId xmlns:a16="http://schemas.microsoft.com/office/drawing/2014/main" id="{00000000-0008-0000-0500-00000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19</xdr:row>
          <xdr:rowOff>9525</xdr:rowOff>
        </xdr:from>
        <xdr:to>
          <xdr:col>5</xdr:col>
          <xdr:colOff>9525</xdr:colOff>
          <xdr:row>19</xdr:row>
          <xdr:rowOff>180975</xdr:rowOff>
        </xdr:to>
        <xdr:sp macro="" textlink="">
          <xdr:nvSpPr>
            <xdr:cNvPr id="6157" name="Drop Down 13" hidden="1">
              <a:extLst>
                <a:ext uri="{63B3BB69-23CF-44E3-9099-C40C66FF867C}">
                  <a14:compatExt spid="_x0000_s6157"/>
                </a:ext>
                <a:ext uri="{FF2B5EF4-FFF2-40B4-BE49-F238E27FC236}">
                  <a16:creationId xmlns:a16="http://schemas.microsoft.com/office/drawing/2014/main" id="{00000000-0008-0000-0500-00000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20</xdr:row>
          <xdr:rowOff>9525</xdr:rowOff>
        </xdr:from>
        <xdr:to>
          <xdr:col>5</xdr:col>
          <xdr:colOff>9525</xdr:colOff>
          <xdr:row>20</xdr:row>
          <xdr:rowOff>180975</xdr:rowOff>
        </xdr:to>
        <xdr:sp macro="" textlink="">
          <xdr:nvSpPr>
            <xdr:cNvPr id="6158" name="Drop Down 14" hidden="1">
              <a:extLst>
                <a:ext uri="{63B3BB69-23CF-44E3-9099-C40C66FF867C}">
                  <a14:compatExt spid="_x0000_s6158"/>
                </a:ext>
                <a:ext uri="{FF2B5EF4-FFF2-40B4-BE49-F238E27FC236}">
                  <a16:creationId xmlns:a16="http://schemas.microsoft.com/office/drawing/2014/main" id="{00000000-0008-0000-0500-00000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21</xdr:row>
          <xdr:rowOff>9525</xdr:rowOff>
        </xdr:from>
        <xdr:to>
          <xdr:col>5</xdr:col>
          <xdr:colOff>9525</xdr:colOff>
          <xdr:row>21</xdr:row>
          <xdr:rowOff>180975</xdr:rowOff>
        </xdr:to>
        <xdr:sp macro="" textlink="">
          <xdr:nvSpPr>
            <xdr:cNvPr id="6159" name="Drop Down 15" hidden="1">
              <a:extLst>
                <a:ext uri="{63B3BB69-23CF-44E3-9099-C40C66FF867C}">
                  <a14:compatExt spid="_x0000_s6159"/>
                </a:ext>
                <a:ext uri="{FF2B5EF4-FFF2-40B4-BE49-F238E27FC236}">
                  <a16:creationId xmlns:a16="http://schemas.microsoft.com/office/drawing/2014/main" id="{00000000-0008-0000-0500-00000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7</xdr:row>
          <xdr:rowOff>9525</xdr:rowOff>
        </xdr:from>
        <xdr:to>
          <xdr:col>10</xdr:col>
          <xdr:colOff>9525</xdr:colOff>
          <xdr:row>7</xdr:row>
          <xdr:rowOff>180975</xdr:rowOff>
        </xdr:to>
        <xdr:sp macro="" textlink="">
          <xdr:nvSpPr>
            <xdr:cNvPr id="6160" name="Drop Down 16" hidden="1">
              <a:extLst>
                <a:ext uri="{63B3BB69-23CF-44E3-9099-C40C66FF867C}">
                  <a14:compatExt spid="_x0000_s6160"/>
                </a:ext>
                <a:ext uri="{FF2B5EF4-FFF2-40B4-BE49-F238E27FC236}">
                  <a16:creationId xmlns:a16="http://schemas.microsoft.com/office/drawing/2014/main" id="{00000000-0008-0000-0500-00001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8</xdr:row>
          <xdr:rowOff>9525</xdr:rowOff>
        </xdr:from>
        <xdr:to>
          <xdr:col>10</xdr:col>
          <xdr:colOff>9525</xdr:colOff>
          <xdr:row>8</xdr:row>
          <xdr:rowOff>180975</xdr:rowOff>
        </xdr:to>
        <xdr:sp macro="" textlink="">
          <xdr:nvSpPr>
            <xdr:cNvPr id="6161" name="Drop Down 17" hidden="1">
              <a:extLst>
                <a:ext uri="{63B3BB69-23CF-44E3-9099-C40C66FF867C}">
                  <a14:compatExt spid="_x0000_s6161"/>
                </a:ext>
                <a:ext uri="{FF2B5EF4-FFF2-40B4-BE49-F238E27FC236}">
                  <a16:creationId xmlns:a16="http://schemas.microsoft.com/office/drawing/2014/main" id="{00000000-0008-0000-0500-00001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9</xdr:row>
          <xdr:rowOff>9525</xdr:rowOff>
        </xdr:from>
        <xdr:to>
          <xdr:col>10</xdr:col>
          <xdr:colOff>9525</xdr:colOff>
          <xdr:row>9</xdr:row>
          <xdr:rowOff>180975</xdr:rowOff>
        </xdr:to>
        <xdr:sp macro="" textlink="">
          <xdr:nvSpPr>
            <xdr:cNvPr id="6162" name="Drop Down 18" hidden="1">
              <a:extLst>
                <a:ext uri="{63B3BB69-23CF-44E3-9099-C40C66FF867C}">
                  <a14:compatExt spid="_x0000_s6162"/>
                </a:ext>
                <a:ext uri="{FF2B5EF4-FFF2-40B4-BE49-F238E27FC236}">
                  <a16:creationId xmlns:a16="http://schemas.microsoft.com/office/drawing/2014/main" id="{00000000-0008-0000-0500-00001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10</xdr:row>
          <xdr:rowOff>9525</xdr:rowOff>
        </xdr:from>
        <xdr:to>
          <xdr:col>10</xdr:col>
          <xdr:colOff>9525</xdr:colOff>
          <xdr:row>10</xdr:row>
          <xdr:rowOff>180975</xdr:rowOff>
        </xdr:to>
        <xdr:sp macro="" textlink="">
          <xdr:nvSpPr>
            <xdr:cNvPr id="6163" name="Drop Down 19" hidden="1">
              <a:extLst>
                <a:ext uri="{63B3BB69-23CF-44E3-9099-C40C66FF867C}">
                  <a14:compatExt spid="_x0000_s6163"/>
                </a:ext>
                <a:ext uri="{FF2B5EF4-FFF2-40B4-BE49-F238E27FC236}">
                  <a16:creationId xmlns:a16="http://schemas.microsoft.com/office/drawing/2014/main" id="{00000000-0008-0000-0500-00001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11</xdr:row>
          <xdr:rowOff>9525</xdr:rowOff>
        </xdr:from>
        <xdr:to>
          <xdr:col>10</xdr:col>
          <xdr:colOff>9525</xdr:colOff>
          <xdr:row>11</xdr:row>
          <xdr:rowOff>180975</xdr:rowOff>
        </xdr:to>
        <xdr:sp macro="" textlink="">
          <xdr:nvSpPr>
            <xdr:cNvPr id="6164" name="Drop Down 20" hidden="1">
              <a:extLst>
                <a:ext uri="{63B3BB69-23CF-44E3-9099-C40C66FF867C}">
                  <a14:compatExt spid="_x0000_s6164"/>
                </a:ext>
                <a:ext uri="{FF2B5EF4-FFF2-40B4-BE49-F238E27FC236}">
                  <a16:creationId xmlns:a16="http://schemas.microsoft.com/office/drawing/2014/main" id="{00000000-0008-0000-0500-00001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12</xdr:row>
          <xdr:rowOff>9525</xdr:rowOff>
        </xdr:from>
        <xdr:to>
          <xdr:col>10</xdr:col>
          <xdr:colOff>9525</xdr:colOff>
          <xdr:row>12</xdr:row>
          <xdr:rowOff>180975</xdr:rowOff>
        </xdr:to>
        <xdr:sp macro="" textlink="">
          <xdr:nvSpPr>
            <xdr:cNvPr id="6165" name="Drop Down 21" hidden="1">
              <a:extLst>
                <a:ext uri="{63B3BB69-23CF-44E3-9099-C40C66FF867C}">
                  <a14:compatExt spid="_x0000_s6165"/>
                </a:ext>
                <a:ext uri="{FF2B5EF4-FFF2-40B4-BE49-F238E27FC236}">
                  <a16:creationId xmlns:a16="http://schemas.microsoft.com/office/drawing/2014/main" id="{00000000-0008-0000-0500-00001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13</xdr:row>
          <xdr:rowOff>9525</xdr:rowOff>
        </xdr:from>
        <xdr:to>
          <xdr:col>10</xdr:col>
          <xdr:colOff>9525</xdr:colOff>
          <xdr:row>13</xdr:row>
          <xdr:rowOff>180975</xdr:rowOff>
        </xdr:to>
        <xdr:sp macro="" textlink="">
          <xdr:nvSpPr>
            <xdr:cNvPr id="6166" name="Drop Down 22" hidden="1">
              <a:extLst>
                <a:ext uri="{63B3BB69-23CF-44E3-9099-C40C66FF867C}">
                  <a14:compatExt spid="_x0000_s6166"/>
                </a:ext>
                <a:ext uri="{FF2B5EF4-FFF2-40B4-BE49-F238E27FC236}">
                  <a16:creationId xmlns:a16="http://schemas.microsoft.com/office/drawing/2014/main" id="{00000000-0008-0000-0500-00001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14</xdr:row>
          <xdr:rowOff>9525</xdr:rowOff>
        </xdr:from>
        <xdr:to>
          <xdr:col>10</xdr:col>
          <xdr:colOff>9525</xdr:colOff>
          <xdr:row>14</xdr:row>
          <xdr:rowOff>180975</xdr:rowOff>
        </xdr:to>
        <xdr:sp macro="" textlink="">
          <xdr:nvSpPr>
            <xdr:cNvPr id="6167" name="Drop Down 23" hidden="1">
              <a:extLst>
                <a:ext uri="{63B3BB69-23CF-44E3-9099-C40C66FF867C}">
                  <a14:compatExt spid="_x0000_s6167"/>
                </a:ext>
                <a:ext uri="{FF2B5EF4-FFF2-40B4-BE49-F238E27FC236}">
                  <a16:creationId xmlns:a16="http://schemas.microsoft.com/office/drawing/2014/main" id="{00000000-0008-0000-0500-00001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15</xdr:row>
          <xdr:rowOff>9525</xdr:rowOff>
        </xdr:from>
        <xdr:to>
          <xdr:col>10</xdr:col>
          <xdr:colOff>9525</xdr:colOff>
          <xdr:row>15</xdr:row>
          <xdr:rowOff>180975</xdr:rowOff>
        </xdr:to>
        <xdr:sp macro="" textlink="">
          <xdr:nvSpPr>
            <xdr:cNvPr id="6168" name="Drop Down 24" hidden="1">
              <a:extLst>
                <a:ext uri="{63B3BB69-23CF-44E3-9099-C40C66FF867C}">
                  <a14:compatExt spid="_x0000_s6168"/>
                </a:ext>
                <a:ext uri="{FF2B5EF4-FFF2-40B4-BE49-F238E27FC236}">
                  <a16:creationId xmlns:a16="http://schemas.microsoft.com/office/drawing/2014/main" id="{00000000-0008-0000-0500-00001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16</xdr:row>
          <xdr:rowOff>9525</xdr:rowOff>
        </xdr:from>
        <xdr:to>
          <xdr:col>10</xdr:col>
          <xdr:colOff>9525</xdr:colOff>
          <xdr:row>16</xdr:row>
          <xdr:rowOff>180975</xdr:rowOff>
        </xdr:to>
        <xdr:sp macro="" textlink="">
          <xdr:nvSpPr>
            <xdr:cNvPr id="6169" name="Drop Down 25" hidden="1">
              <a:extLst>
                <a:ext uri="{63B3BB69-23CF-44E3-9099-C40C66FF867C}">
                  <a14:compatExt spid="_x0000_s6169"/>
                </a:ext>
                <a:ext uri="{FF2B5EF4-FFF2-40B4-BE49-F238E27FC236}">
                  <a16:creationId xmlns:a16="http://schemas.microsoft.com/office/drawing/2014/main" id="{00000000-0008-0000-0500-00001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17</xdr:row>
          <xdr:rowOff>9525</xdr:rowOff>
        </xdr:from>
        <xdr:to>
          <xdr:col>10</xdr:col>
          <xdr:colOff>9525</xdr:colOff>
          <xdr:row>17</xdr:row>
          <xdr:rowOff>180975</xdr:rowOff>
        </xdr:to>
        <xdr:sp macro="" textlink="">
          <xdr:nvSpPr>
            <xdr:cNvPr id="6170" name="Drop Down 26" hidden="1">
              <a:extLst>
                <a:ext uri="{63B3BB69-23CF-44E3-9099-C40C66FF867C}">
                  <a14:compatExt spid="_x0000_s6170"/>
                </a:ext>
                <a:ext uri="{FF2B5EF4-FFF2-40B4-BE49-F238E27FC236}">
                  <a16:creationId xmlns:a16="http://schemas.microsoft.com/office/drawing/2014/main" id="{00000000-0008-0000-0500-00001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18</xdr:row>
          <xdr:rowOff>9525</xdr:rowOff>
        </xdr:from>
        <xdr:to>
          <xdr:col>10</xdr:col>
          <xdr:colOff>9525</xdr:colOff>
          <xdr:row>18</xdr:row>
          <xdr:rowOff>180975</xdr:rowOff>
        </xdr:to>
        <xdr:sp macro="" textlink="">
          <xdr:nvSpPr>
            <xdr:cNvPr id="6171" name="Drop Down 27" hidden="1">
              <a:extLst>
                <a:ext uri="{63B3BB69-23CF-44E3-9099-C40C66FF867C}">
                  <a14:compatExt spid="_x0000_s6171"/>
                </a:ext>
                <a:ext uri="{FF2B5EF4-FFF2-40B4-BE49-F238E27FC236}">
                  <a16:creationId xmlns:a16="http://schemas.microsoft.com/office/drawing/2014/main" id="{00000000-0008-0000-0500-00001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19</xdr:row>
          <xdr:rowOff>9525</xdr:rowOff>
        </xdr:from>
        <xdr:to>
          <xdr:col>10</xdr:col>
          <xdr:colOff>9525</xdr:colOff>
          <xdr:row>19</xdr:row>
          <xdr:rowOff>180975</xdr:rowOff>
        </xdr:to>
        <xdr:sp macro="" textlink="">
          <xdr:nvSpPr>
            <xdr:cNvPr id="6172" name="Drop Down 28" hidden="1">
              <a:extLst>
                <a:ext uri="{63B3BB69-23CF-44E3-9099-C40C66FF867C}">
                  <a14:compatExt spid="_x0000_s6172"/>
                </a:ext>
                <a:ext uri="{FF2B5EF4-FFF2-40B4-BE49-F238E27FC236}">
                  <a16:creationId xmlns:a16="http://schemas.microsoft.com/office/drawing/2014/main" id="{00000000-0008-0000-0500-00001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20</xdr:row>
          <xdr:rowOff>9525</xdr:rowOff>
        </xdr:from>
        <xdr:to>
          <xdr:col>10</xdr:col>
          <xdr:colOff>9525</xdr:colOff>
          <xdr:row>20</xdr:row>
          <xdr:rowOff>180975</xdr:rowOff>
        </xdr:to>
        <xdr:sp macro="" textlink="">
          <xdr:nvSpPr>
            <xdr:cNvPr id="6173" name="Drop Down 29" hidden="1">
              <a:extLst>
                <a:ext uri="{63B3BB69-23CF-44E3-9099-C40C66FF867C}">
                  <a14:compatExt spid="_x0000_s6173"/>
                </a:ext>
                <a:ext uri="{FF2B5EF4-FFF2-40B4-BE49-F238E27FC236}">
                  <a16:creationId xmlns:a16="http://schemas.microsoft.com/office/drawing/2014/main" id="{00000000-0008-0000-0500-00001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21</xdr:row>
          <xdr:rowOff>9525</xdr:rowOff>
        </xdr:from>
        <xdr:to>
          <xdr:col>10</xdr:col>
          <xdr:colOff>9525</xdr:colOff>
          <xdr:row>21</xdr:row>
          <xdr:rowOff>180975</xdr:rowOff>
        </xdr:to>
        <xdr:sp macro="" textlink="">
          <xdr:nvSpPr>
            <xdr:cNvPr id="6174" name="Drop Down 30" hidden="1">
              <a:extLst>
                <a:ext uri="{63B3BB69-23CF-44E3-9099-C40C66FF867C}">
                  <a14:compatExt spid="_x0000_s6174"/>
                </a:ext>
                <a:ext uri="{FF2B5EF4-FFF2-40B4-BE49-F238E27FC236}">
                  <a16:creationId xmlns:a16="http://schemas.microsoft.com/office/drawing/2014/main" id="{00000000-0008-0000-0500-00001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8</xdr:row>
          <xdr:rowOff>9525</xdr:rowOff>
        </xdr:from>
        <xdr:to>
          <xdr:col>10</xdr:col>
          <xdr:colOff>9525</xdr:colOff>
          <xdr:row>8</xdr:row>
          <xdr:rowOff>180975</xdr:rowOff>
        </xdr:to>
        <xdr:sp macro="" textlink="">
          <xdr:nvSpPr>
            <xdr:cNvPr id="6175" name="Drop Down 31" hidden="1">
              <a:extLst>
                <a:ext uri="{63B3BB69-23CF-44E3-9099-C40C66FF867C}">
                  <a14:compatExt spid="_x0000_s6175"/>
                </a:ext>
                <a:ext uri="{FF2B5EF4-FFF2-40B4-BE49-F238E27FC236}">
                  <a16:creationId xmlns:a16="http://schemas.microsoft.com/office/drawing/2014/main" id="{00000000-0008-0000-0500-00001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9</xdr:row>
          <xdr:rowOff>9525</xdr:rowOff>
        </xdr:from>
        <xdr:to>
          <xdr:col>10</xdr:col>
          <xdr:colOff>9525</xdr:colOff>
          <xdr:row>9</xdr:row>
          <xdr:rowOff>180975</xdr:rowOff>
        </xdr:to>
        <xdr:sp macro="" textlink="">
          <xdr:nvSpPr>
            <xdr:cNvPr id="6176" name="Drop Down 32" hidden="1">
              <a:extLst>
                <a:ext uri="{63B3BB69-23CF-44E3-9099-C40C66FF867C}">
                  <a14:compatExt spid="_x0000_s6176"/>
                </a:ext>
                <a:ext uri="{FF2B5EF4-FFF2-40B4-BE49-F238E27FC236}">
                  <a16:creationId xmlns:a16="http://schemas.microsoft.com/office/drawing/2014/main" id="{00000000-0008-0000-0500-00002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10</xdr:row>
          <xdr:rowOff>9525</xdr:rowOff>
        </xdr:from>
        <xdr:to>
          <xdr:col>10</xdr:col>
          <xdr:colOff>9525</xdr:colOff>
          <xdr:row>10</xdr:row>
          <xdr:rowOff>180975</xdr:rowOff>
        </xdr:to>
        <xdr:sp macro="" textlink="">
          <xdr:nvSpPr>
            <xdr:cNvPr id="6177" name="Drop Down 33" hidden="1">
              <a:extLst>
                <a:ext uri="{63B3BB69-23CF-44E3-9099-C40C66FF867C}">
                  <a14:compatExt spid="_x0000_s6177"/>
                </a:ext>
                <a:ext uri="{FF2B5EF4-FFF2-40B4-BE49-F238E27FC236}">
                  <a16:creationId xmlns:a16="http://schemas.microsoft.com/office/drawing/2014/main" id="{00000000-0008-0000-0500-00002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11</xdr:row>
          <xdr:rowOff>9525</xdr:rowOff>
        </xdr:from>
        <xdr:to>
          <xdr:col>10</xdr:col>
          <xdr:colOff>9525</xdr:colOff>
          <xdr:row>11</xdr:row>
          <xdr:rowOff>180975</xdr:rowOff>
        </xdr:to>
        <xdr:sp macro="" textlink="">
          <xdr:nvSpPr>
            <xdr:cNvPr id="6178" name="Drop Down 34" hidden="1">
              <a:extLst>
                <a:ext uri="{63B3BB69-23CF-44E3-9099-C40C66FF867C}">
                  <a14:compatExt spid="_x0000_s6178"/>
                </a:ext>
                <a:ext uri="{FF2B5EF4-FFF2-40B4-BE49-F238E27FC236}">
                  <a16:creationId xmlns:a16="http://schemas.microsoft.com/office/drawing/2014/main" id="{00000000-0008-0000-0500-00002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12</xdr:row>
          <xdr:rowOff>9525</xdr:rowOff>
        </xdr:from>
        <xdr:to>
          <xdr:col>10</xdr:col>
          <xdr:colOff>9525</xdr:colOff>
          <xdr:row>12</xdr:row>
          <xdr:rowOff>180975</xdr:rowOff>
        </xdr:to>
        <xdr:sp macro="" textlink="">
          <xdr:nvSpPr>
            <xdr:cNvPr id="6179" name="Drop Down 35" hidden="1">
              <a:extLst>
                <a:ext uri="{63B3BB69-23CF-44E3-9099-C40C66FF867C}">
                  <a14:compatExt spid="_x0000_s6179"/>
                </a:ext>
                <a:ext uri="{FF2B5EF4-FFF2-40B4-BE49-F238E27FC236}">
                  <a16:creationId xmlns:a16="http://schemas.microsoft.com/office/drawing/2014/main" id="{00000000-0008-0000-0500-00002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13</xdr:row>
          <xdr:rowOff>9525</xdr:rowOff>
        </xdr:from>
        <xdr:to>
          <xdr:col>10</xdr:col>
          <xdr:colOff>9525</xdr:colOff>
          <xdr:row>13</xdr:row>
          <xdr:rowOff>180975</xdr:rowOff>
        </xdr:to>
        <xdr:sp macro="" textlink="">
          <xdr:nvSpPr>
            <xdr:cNvPr id="6180" name="Drop Down 36" hidden="1">
              <a:extLst>
                <a:ext uri="{63B3BB69-23CF-44E3-9099-C40C66FF867C}">
                  <a14:compatExt spid="_x0000_s6180"/>
                </a:ext>
                <a:ext uri="{FF2B5EF4-FFF2-40B4-BE49-F238E27FC236}">
                  <a16:creationId xmlns:a16="http://schemas.microsoft.com/office/drawing/2014/main" id="{00000000-0008-0000-0500-00002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14</xdr:row>
          <xdr:rowOff>9525</xdr:rowOff>
        </xdr:from>
        <xdr:to>
          <xdr:col>10</xdr:col>
          <xdr:colOff>9525</xdr:colOff>
          <xdr:row>14</xdr:row>
          <xdr:rowOff>180975</xdr:rowOff>
        </xdr:to>
        <xdr:sp macro="" textlink="">
          <xdr:nvSpPr>
            <xdr:cNvPr id="6181" name="Drop Down 37" hidden="1">
              <a:extLst>
                <a:ext uri="{63B3BB69-23CF-44E3-9099-C40C66FF867C}">
                  <a14:compatExt spid="_x0000_s6181"/>
                </a:ext>
                <a:ext uri="{FF2B5EF4-FFF2-40B4-BE49-F238E27FC236}">
                  <a16:creationId xmlns:a16="http://schemas.microsoft.com/office/drawing/2014/main" id="{00000000-0008-0000-0500-00002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15</xdr:row>
          <xdr:rowOff>9525</xdr:rowOff>
        </xdr:from>
        <xdr:to>
          <xdr:col>10</xdr:col>
          <xdr:colOff>9525</xdr:colOff>
          <xdr:row>15</xdr:row>
          <xdr:rowOff>180975</xdr:rowOff>
        </xdr:to>
        <xdr:sp macro="" textlink="">
          <xdr:nvSpPr>
            <xdr:cNvPr id="6182" name="Drop Down 38" hidden="1">
              <a:extLst>
                <a:ext uri="{63B3BB69-23CF-44E3-9099-C40C66FF867C}">
                  <a14:compatExt spid="_x0000_s6182"/>
                </a:ext>
                <a:ext uri="{FF2B5EF4-FFF2-40B4-BE49-F238E27FC236}">
                  <a16:creationId xmlns:a16="http://schemas.microsoft.com/office/drawing/2014/main" id="{00000000-0008-0000-0500-00002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16</xdr:row>
          <xdr:rowOff>9525</xdr:rowOff>
        </xdr:from>
        <xdr:to>
          <xdr:col>10</xdr:col>
          <xdr:colOff>9525</xdr:colOff>
          <xdr:row>16</xdr:row>
          <xdr:rowOff>180975</xdr:rowOff>
        </xdr:to>
        <xdr:sp macro="" textlink="">
          <xdr:nvSpPr>
            <xdr:cNvPr id="6183" name="Drop Down 39" hidden="1">
              <a:extLst>
                <a:ext uri="{63B3BB69-23CF-44E3-9099-C40C66FF867C}">
                  <a14:compatExt spid="_x0000_s6183"/>
                </a:ext>
                <a:ext uri="{FF2B5EF4-FFF2-40B4-BE49-F238E27FC236}">
                  <a16:creationId xmlns:a16="http://schemas.microsoft.com/office/drawing/2014/main" id="{00000000-0008-0000-0500-00002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17</xdr:row>
          <xdr:rowOff>9525</xdr:rowOff>
        </xdr:from>
        <xdr:to>
          <xdr:col>10</xdr:col>
          <xdr:colOff>9525</xdr:colOff>
          <xdr:row>17</xdr:row>
          <xdr:rowOff>180975</xdr:rowOff>
        </xdr:to>
        <xdr:sp macro="" textlink="">
          <xdr:nvSpPr>
            <xdr:cNvPr id="6184" name="Drop Down 40" hidden="1">
              <a:extLst>
                <a:ext uri="{63B3BB69-23CF-44E3-9099-C40C66FF867C}">
                  <a14:compatExt spid="_x0000_s6184"/>
                </a:ext>
                <a:ext uri="{FF2B5EF4-FFF2-40B4-BE49-F238E27FC236}">
                  <a16:creationId xmlns:a16="http://schemas.microsoft.com/office/drawing/2014/main" id="{00000000-0008-0000-0500-00002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18</xdr:row>
          <xdr:rowOff>9525</xdr:rowOff>
        </xdr:from>
        <xdr:to>
          <xdr:col>10</xdr:col>
          <xdr:colOff>9525</xdr:colOff>
          <xdr:row>18</xdr:row>
          <xdr:rowOff>180975</xdr:rowOff>
        </xdr:to>
        <xdr:sp macro="" textlink="">
          <xdr:nvSpPr>
            <xdr:cNvPr id="6185" name="Drop Down 41" hidden="1">
              <a:extLst>
                <a:ext uri="{63B3BB69-23CF-44E3-9099-C40C66FF867C}">
                  <a14:compatExt spid="_x0000_s6185"/>
                </a:ext>
                <a:ext uri="{FF2B5EF4-FFF2-40B4-BE49-F238E27FC236}">
                  <a16:creationId xmlns:a16="http://schemas.microsoft.com/office/drawing/2014/main" id="{00000000-0008-0000-0500-00002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19</xdr:row>
          <xdr:rowOff>9525</xdr:rowOff>
        </xdr:from>
        <xdr:to>
          <xdr:col>10</xdr:col>
          <xdr:colOff>9525</xdr:colOff>
          <xdr:row>19</xdr:row>
          <xdr:rowOff>180975</xdr:rowOff>
        </xdr:to>
        <xdr:sp macro="" textlink="">
          <xdr:nvSpPr>
            <xdr:cNvPr id="6186" name="Drop Down 42" hidden="1">
              <a:extLst>
                <a:ext uri="{63B3BB69-23CF-44E3-9099-C40C66FF867C}">
                  <a14:compatExt spid="_x0000_s6186"/>
                </a:ext>
                <a:ext uri="{FF2B5EF4-FFF2-40B4-BE49-F238E27FC236}">
                  <a16:creationId xmlns:a16="http://schemas.microsoft.com/office/drawing/2014/main" id="{00000000-0008-0000-0500-00002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20</xdr:row>
          <xdr:rowOff>9525</xdr:rowOff>
        </xdr:from>
        <xdr:to>
          <xdr:col>10</xdr:col>
          <xdr:colOff>9525</xdr:colOff>
          <xdr:row>20</xdr:row>
          <xdr:rowOff>180975</xdr:rowOff>
        </xdr:to>
        <xdr:sp macro="" textlink="">
          <xdr:nvSpPr>
            <xdr:cNvPr id="6187" name="Drop Down 43" hidden="1">
              <a:extLst>
                <a:ext uri="{63B3BB69-23CF-44E3-9099-C40C66FF867C}">
                  <a14:compatExt spid="_x0000_s6187"/>
                </a:ext>
                <a:ext uri="{FF2B5EF4-FFF2-40B4-BE49-F238E27FC236}">
                  <a16:creationId xmlns:a16="http://schemas.microsoft.com/office/drawing/2014/main" id="{00000000-0008-0000-0500-00002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21</xdr:row>
          <xdr:rowOff>9525</xdr:rowOff>
        </xdr:from>
        <xdr:to>
          <xdr:col>10</xdr:col>
          <xdr:colOff>9525</xdr:colOff>
          <xdr:row>21</xdr:row>
          <xdr:rowOff>180975</xdr:rowOff>
        </xdr:to>
        <xdr:sp macro="" textlink="">
          <xdr:nvSpPr>
            <xdr:cNvPr id="6188" name="Drop Down 44" hidden="1">
              <a:extLst>
                <a:ext uri="{63B3BB69-23CF-44E3-9099-C40C66FF867C}">
                  <a14:compatExt spid="_x0000_s6188"/>
                </a:ext>
                <a:ext uri="{FF2B5EF4-FFF2-40B4-BE49-F238E27FC236}">
                  <a16:creationId xmlns:a16="http://schemas.microsoft.com/office/drawing/2014/main" id="{00000000-0008-0000-0500-00002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13</xdr:col>
      <xdr:colOff>276225</xdr:colOff>
      <xdr:row>3</xdr:row>
      <xdr:rowOff>180975</xdr:rowOff>
    </xdr:from>
    <xdr:to>
      <xdr:col>13</xdr:col>
      <xdr:colOff>600076</xdr:colOff>
      <xdr:row>4</xdr:row>
      <xdr:rowOff>171450</xdr:rowOff>
    </xdr:to>
    <xdr:cxnSp macro="">
      <xdr:nvCxnSpPr>
        <xdr:cNvPr id="5" name="Lige pilforbindels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CxnSpPr/>
      </xdr:nvCxnSpPr>
      <xdr:spPr>
        <a:xfrm flipH="1">
          <a:off x="6753225" y="962025"/>
          <a:ext cx="323851" cy="180975"/>
        </a:xfrm>
        <a:prstGeom prst="straightConnector1">
          <a:avLst/>
        </a:prstGeom>
        <a:ln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9</xdr:row>
          <xdr:rowOff>9525</xdr:rowOff>
        </xdr:from>
        <xdr:to>
          <xdr:col>5</xdr:col>
          <xdr:colOff>9525</xdr:colOff>
          <xdr:row>9</xdr:row>
          <xdr:rowOff>180975</xdr:rowOff>
        </xdr:to>
        <xdr:sp macro="" textlink="">
          <xdr:nvSpPr>
            <xdr:cNvPr id="6189" name="Drop Down 45" hidden="1">
              <a:extLst>
                <a:ext uri="{63B3BB69-23CF-44E3-9099-C40C66FF867C}">
                  <a14:compatExt spid="_x0000_s6189"/>
                </a:ext>
                <a:ext uri="{FF2B5EF4-FFF2-40B4-BE49-F238E27FC236}">
                  <a16:creationId xmlns:a16="http://schemas.microsoft.com/office/drawing/2014/main" id="{00000000-0008-0000-0500-00002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10</xdr:row>
          <xdr:rowOff>9525</xdr:rowOff>
        </xdr:from>
        <xdr:to>
          <xdr:col>5</xdr:col>
          <xdr:colOff>9525</xdr:colOff>
          <xdr:row>10</xdr:row>
          <xdr:rowOff>180975</xdr:rowOff>
        </xdr:to>
        <xdr:sp macro="" textlink="">
          <xdr:nvSpPr>
            <xdr:cNvPr id="6190" name="Drop Down 46" hidden="1">
              <a:extLst>
                <a:ext uri="{63B3BB69-23CF-44E3-9099-C40C66FF867C}">
                  <a14:compatExt spid="_x0000_s6190"/>
                </a:ext>
                <a:ext uri="{FF2B5EF4-FFF2-40B4-BE49-F238E27FC236}">
                  <a16:creationId xmlns:a16="http://schemas.microsoft.com/office/drawing/2014/main" id="{00000000-0008-0000-0500-00002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11</xdr:row>
          <xdr:rowOff>9525</xdr:rowOff>
        </xdr:from>
        <xdr:to>
          <xdr:col>5</xdr:col>
          <xdr:colOff>9525</xdr:colOff>
          <xdr:row>11</xdr:row>
          <xdr:rowOff>180975</xdr:rowOff>
        </xdr:to>
        <xdr:sp macro="" textlink="">
          <xdr:nvSpPr>
            <xdr:cNvPr id="6191" name="Drop Down 47" hidden="1">
              <a:extLst>
                <a:ext uri="{63B3BB69-23CF-44E3-9099-C40C66FF867C}">
                  <a14:compatExt spid="_x0000_s6191"/>
                </a:ext>
                <a:ext uri="{FF2B5EF4-FFF2-40B4-BE49-F238E27FC236}">
                  <a16:creationId xmlns:a16="http://schemas.microsoft.com/office/drawing/2014/main" id="{00000000-0008-0000-0500-00002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12</xdr:row>
          <xdr:rowOff>9525</xdr:rowOff>
        </xdr:from>
        <xdr:to>
          <xdr:col>5</xdr:col>
          <xdr:colOff>9525</xdr:colOff>
          <xdr:row>12</xdr:row>
          <xdr:rowOff>180975</xdr:rowOff>
        </xdr:to>
        <xdr:sp macro="" textlink="">
          <xdr:nvSpPr>
            <xdr:cNvPr id="6192" name="Drop Down 48" hidden="1">
              <a:extLst>
                <a:ext uri="{63B3BB69-23CF-44E3-9099-C40C66FF867C}">
                  <a14:compatExt spid="_x0000_s6192"/>
                </a:ext>
                <a:ext uri="{FF2B5EF4-FFF2-40B4-BE49-F238E27FC236}">
                  <a16:creationId xmlns:a16="http://schemas.microsoft.com/office/drawing/2014/main" id="{00000000-0008-0000-0500-00003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13</xdr:row>
          <xdr:rowOff>9525</xdr:rowOff>
        </xdr:from>
        <xdr:to>
          <xdr:col>5</xdr:col>
          <xdr:colOff>9525</xdr:colOff>
          <xdr:row>13</xdr:row>
          <xdr:rowOff>180975</xdr:rowOff>
        </xdr:to>
        <xdr:sp macro="" textlink="">
          <xdr:nvSpPr>
            <xdr:cNvPr id="6193" name="Drop Down 49" hidden="1">
              <a:extLst>
                <a:ext uri="{63B3BB69-23CF-44E3-9099-C40C66FF867C}">
                  <a14:compatExt spid="_x0000_s6193"/>
                </a:ext>
                <a:ext uri="{FF2B5EF4-FFF2-40B4-BE49-F238E27FC236}">
                  <a16:creationId xmlns:a16="http://schemas.microsoft.com/office/drawing/2014/main" id="{00000000-0008-0000-0500-00003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14</xdr:row>
          <xdr:rowOff>9525</xdr:rowOff>
        </xdr:from>
        <xdr:to>
          <xdr:col>5</xdr:col>
          <xdr:colOff>9525</xdr:colOff>
          <xdr:row>14</xdr:row>
          <xdr:rowOff>180975</xdr:rowOff>
        </xdr:to>
        <xdr:sp macro="" textlink="">
          <xdr:nvSpPr>
            <xdr:cNvPr id="6194" name="Drop Down 50" hidden="1">
              <a:extLst>
                <a:ext uri="{63B3BB69-23CF-44E3-9099-C40C66FF867C}">
                  <a14:compatExt spid="_x0000_s6194"/>
                </a:ext>
                <a:ext uri="{FF2B5EF4-FFF2-40B4-BE49-F238E27FC236}">
                  <a16:creationId xmlns:a16="http://schemas.microsoft.com/office/drawing/2014/main" id="{00000000-0008-0000-0500-00003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15</xdr:row>
          <xdr:rowOff>9525</xdr:rowOff>
        </xdr:from>
        <xdr:to>
          <xdr:col>5</xdr:col>
          <xdr:colOff>9525</xdr:colOff>
          <xdr:row>15</xdr:row>
          <xdr:rowOff>180975</xdr:rowOff>
        </xdr:to>
        <xdr:sp macro="" textlink="">
          <xdr:nvSpPr>
            <xdr:cNvPr id="6195" name="Drop Down 51" hidden="1">
              <a:extLst>
                <a:ext uri="{63B3BB69-23CF-44E3-9099-C40C66FF867C}">
                  <a14:compatExt spid="_x0000_s6195"/>
                </a:ext>
                <a:ext uri="{FF2B5EF4-FFF2-40B4-BE49-F238E27FC236}">
                  <a16:creationId xmlns:a16="http://schemas.microsoft.com/office/drawing/2014/main" id="{00000000-0008-0000-0500-00003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16</xdr:row>
          <xdr:rowOff>9525</xdr:rowOff>
        </xdr:from>
        <xdr:to>
          <xdr:col>5</xdr:col>
          <xdr:colOff>9525</xdr:colOff>
          <xdr:row>16</xdr:row>
          <xdr:rowOff>180975</xdr:rowOff>
        </xdr:to>
        <xdr:sp macro="" textlink="">
          <xdr:nvSpPr>
            <xdr:cNvPr id="6196" name="Drop Down 52" hidden="1">
              <a:extLst>
                <a:ext uri="{63B3BB69-23CF-44E3-9099-C40C66FF867C}">
                  <a14:compatExt spid="_x0000_s6196"/>
                </a:ext>
                <a:ext uri="{FF2B5EF4-FFF2-40B4-BE49-F238E27FC236}">
                  <a16:creationId xmlns:a16="http://schemas.microsoft.com/office/drawing/2014/main" id="{00000000-0008-0000-0500-00003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17</xdr:row>
          <xdr:rowOff>9525</xdr:rowOff>
        </xdr:from>
        <xdr:to>
          <xdr:col>5</xdr:col>
          <xdr:colOff>9525</xdr:colOff>
          <xdr:row>17</xdr:row>
          <xdr:rowOff>180975</xdr:rowOff>
        </xdr:to>
        <xdr:sp macro="" textlink="">
          <xdr:nvSpPr>
            <xdr:cNvPr id="6197" name="Drop Down 53" hidden="1">
              <a:extLst>
                <a:ext uri="{63B3BB69-23CF-44E3-9099-C40C66FF867C}">
                  <a14:compatExt spid="_x0000_s6197"/>
                </a:ext>
                <a:ext uri="{FF2B5EF4-FFF2-40B4-BE49-F238E27FC236}">
                  <a16:creationId xmlns:a16="http://schemas.microsoft.com/office/drawing/2014/main" id="{00000000-0008-0000-0500-00003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18</xdr:row>
          <xdr:rowOff>9525</xdr:rowOff>
        </xdr:from>
        <xdr:to>
          <xdr:col>5</xdr:col>
          <xdr:colOff>9525</xdr:colOff>
          <xdr:row>18</xdr:row>
          <xdr:rowOff>180975</xdr:rowOff>
        </xdr:to>
        <xdr:sp macro="" textlink="">
          <xdr:nvSpPr>
            <xdr:cNvPr id="6198" name="Drop Down 54" hidden="1">
              <a:extLst>
                <a:ext uri="{63B3BB69-23CF-44E3-9099-C40C66FF867C}">
                  <a14:compatExt spid="_x0000_s6198"/>
                </a:ext>
                <a:ext uri="{FF2B5EF4-FFF2-40B4-BE49-F238E27FC236}">
                  <a16:creationId xmlns:a16="http://schemas.microsoft.com/office/drawing/2014/main" id="{00000000-0008-0000-0500-00003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19</xdr:row>
          <xdr:rowOff>9525</xdr:rowOff>
        </xdr:from>
        <xdr:to>
          <xdr:col>5</xdr:col>
          <xdr:colOff>9525</xdr:colOff>
          <xdr:row>19</xdr:row>
          <xdr:rowOff>180975</xdr:rowOff>
        </xdr:to>
        <xdr:sp macro="" textlink="">
          <xdr:nvSpPr>
            <xdr:cNvPr id="6199" name="Drop Down 55" hidden="1">
              <a:extLst>
                <a:ext uri="{63B3BB69-23CF-44E3-9099-C40C66FF867C}">
                  <a14:compatExt spid="_x0000_s6199"/>
                </a:ext>
                <a:ext uri="{FF2B5EF4-FFF2-40B4-BE49-F238E27FC236}">
                  <a16:creationId xmlns:a16="http://schemas.microsoft.com/office/drawing/2014/main" id="{00000000-0008-0000-0500-00003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20</xdr:row>
          <xdr:rowOff>9525</xdr:rowOff>
        </xdr:from>
        <xdr:to>
          <xdr:col>5</xdr:col>
          <xdr:colOff>9525</xdr:colOff>
          <xdr:row>20</xdr:row>
          <xdr:rowOff>180975</xdr:rowOff>
        </xdr:to>
        <xdr:sp macro="" textlink="">
          <xdr:nvSpPr>
            <xdr:cNvPr id="6200" name="Drop Down 56" hidden="1">
              <a:extLst>
                <a:ext uri="{63B3BB69-23CF-44E3-9099-C40C66FF867C}">
                  <a14:compatExt spid="_x0000_s6200"/>
                </a:ext>
                <a:ext uri="{FF2B5EF4-FFF2-40B4-BE49-F238E27FC236}">
                  <a16:creationId xmlns:a16="http://schemas.microsoft.com/office/drawing/2014/main" id="{00000000-0008-0000-0500-00003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21</xdr:row>
          <xdr:rowOff>9525</xdr:rowOff>
        </xdr:from>
        <xdr:to>
          <xdr:col>5</xdr:col>
          <xdr:colOff>9525</xdr:colOff>
          <xdr:row>21</xdr:row>
          <xdr:rowOff>180975</xdr:rowOff>
        </xdr:to>
        <xdr:sp macro="" textlink="">
          <xdr:nvSpPr>
            <xdr:cNvPr id="6201" name="Drop Down 57" hidden="1">
              <a:extLst>
                <a:ext uri="{63B3BB69-23CF-44E3-9099-C40C66FF867C}">
                  <a14:compatExt spid="_x0000_s6201"/>
                </a:ext>
                <a:ext uri="{FF2B5EF4-FFF2-40B4-BE49-F238E27FC236}">
                  <a16:creationId xmlns:a16="http://schemas.microsoft.com/office/drawing/2014/main" id="{00000000-0008-0000-0500-00003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7</xdr:row>
          <xdr:rowOff>9525</xdr:rowOff>
        </xdr:from>
        <xdr:to>
          <xdr:col>10</xdr:col>
          <xdr:colOff>9525</xdr:colOff>
          <xdr:row>7</xdr:row>
          <xdr:rowOff>180975</xdr:rowOff>
        </xdr:to>
        <xdr:sp macro="" textlink="">
          <xdr:nvSpPr>
            <xdr:cNvPr id="6260" name="Drop Down 116" hidden="1">
              <a:extLst>
                <a:ext uri="{63B3BB69-23CF-44E3-9099-C40C66FF867C}">
                  <a14:compatExt spid="_x0000_s6260"/>
                </a:ext>
                <a:ext uri="{FF2B5EF4-FFF2-40B4-BE49-F238E27FC236}">
                  <a16:creationId xmlns:a16="http://schemas.microsoft.com/office/drawing/2014/main" id="{00000000-0008-0000-0500-00007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8</xdr:row>
          <xdr:rowOff>9525</xdr:rowOff>
        </xdr:from>
        <xdr:to>
          <xdr:col>10</xdr:col>
          <xdr:colOff>9525</xdr:colOff>
          <xdr:row>8</xdr:row>
          <xdr:rowOff>180975</xdr:rowOff>
        </xdr:to>
        <xdr:sp macro="" textlink="">
          <xdr:nvSpPr>
            <xdr:cNvPr id="6261" name="Drop Down 117" hidden="1">
              <a:extLst>
                <a:ext uri="{63B3BB69-23CF-44E3-9099-C40C66FF867C}">
                  <a14:compatExt spid="_x0000_s6261"/>
                </a:ext>
                <a:ext uri="{FF2B5EF4-FFF2-40B4-BE49-F238E27FC236}">
                  <a16:creationId xmlns:a16="http://schemas.microsoft.com/office/drawing/2014/main" id="{00000000-0008-0000-0500-00007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9</xdr:row>
          <xdr:rowOff>9525</xdr:rowOff>
        </xdr:from>
        <xdr:to>
          <xdr:col>10</xdr:col>
          <xdr:colOff>9525</xdr:colOff>
          <xdr:row>9</xdr:row>
          <xdr:rowOff>180975</xdr:rowOff>
        </xdr:to>
        <xdr:sp macro="" textlink="">
          <xdr:nvSpPr>
            <xdr:cNvPr id="6262" name="Drop Down 118" hidden="1">
              <a:extLst>
                <a:ext uri="{63B3BB69-23CF-44E3-9099-C40C66FF867C}">
                  <a14:compatExt spid="_x0000_s6262"/>
                </a:ext>
                <a:ext uri="{FF2B5EF4-FFF2-40B4-BE49-F238E27FC236}">
                  <a16:creationId xmlns:a16="http://schemas.microsoft.com/office/drawing/2014/main" id="{00000000-0008-0000-0500-00007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10</xdr:row>
          <xdr:rowOff>9525</xdr:rowOff>
        </xdr:from>
        <xdr:to>
          <xdr:col>10</xdr:col>
          <xdr:colOff>9525</xdr:colOff>
          <xdr:row>10</xdr:row>
          <xdr:rowOff>180975</xdr:rowOff>
        </xdr:to>
        <xdr:sp macro="" textlink="">
          <xdr:nvSpPr>
            <xdr:cNvPr id="6263" name="Drop Down 119" hidden="1">
              <a:extLst>
                <a:ext uri="{63B3BB69-23CF-44E3-9099-C40C66FF867C}">
                  <a14:compatExt spid="_x0000_s6263"/>
                </a:ext>
                <a:ext uri="{FF2B5EF4-FFF2-40B4-BE49-F238E27FC236}">
                  <a16:creationId xmlns:a16="http://schemas.microsoft.com/office/drawing/2014/main" id="{00000000-0008-0000-0500-00007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11</xdr:row>
          <xdr:rowOff>9525</xdr:rowOff>
        </xdr:from>
        <xdr:to>
          <xdr:col>10</xdr:col>
          <xdr:colOff>9525</xdr:colOff>
          <xdr:row>11</xdr:row>
          <xdr:rowOff>180975</xdr:rowOff>
        </xdr:to>
        <xdr:sp macro="" textlink="">
          <xdr:nvSpPr>
            <xdr:cNvPr id="6264" name="Drop Down 120" hidden="1">
              <a:extLst>
                <a:ext uri="{63B3BB69-23CF-44E3-9099-C40C66FF867C}">
                  <a14:compatExt spid="_x0000_s6264"/>
                </a:ext>
                <a:ext uri="{FF2B5EF4-FFF2-40B4-BE49-F238E27FC236}">
                  <a16:creationId xmlns:a16="http://schemas.microsoft.com/office/drawing/2014/main" id="{00000000-0008-0000-0500-00007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12</xdr:row>
          <xdr:rowOff>9525</xdr:rowOff>
        </xdr:from>
        <xdr:to>
          <xdr:col>10</xdr:col>
          <xdr:colOff>9525</xdr:colOff>
          <xdr:row>12</xdr:row>
          <xdr:rowOff>180975</xdr:rowOff>
        </xdr:to>
        <xdr:sp macro="" textlink="">
          <xdr:nvSpPr>
            <xdr:cNvPr id="6265" name="Drop Down 121" hidden="1">
              <a:extLst>
                <a:ext uri="{63B3BB69-23CF-44E3-9099-C40C66FF867C}">
                  <a14:compatExt spid="_x0000_s6265"/>
                </a:ext>
                <a:ext uri="{FF2B5EF4-FFF2-40B4-BE49-F238E27FC236}">
                  <a16:creationId xmlns:a16="http://schemas.microsoft.com/office/drawing/2014/main" id="{00000000-0008-0000-0500-00007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13</xdr:row>
          <xdr:rowOff>9525</xdr:rowOff>
        </xdr:from>
        <xdr:to>
          <xdr:col>10</xdr:col>
          <xdr:colOff>9525</xdr:colOff>
          <xdr:row>13</xdr:row>
          <xdr:rowOff>180975</xdr:rowOff>
        </xdr:to>
        <xdr:sp macro="" textlink="">
          <xdr:nvSpPr>
            <xdr:cNvPr id="6266" name="Drop Down 122" hidden="1">
              <a:extLst>
                <a:ext uri="{63B3BB69-23CF-44E3-9099-C40C66FF867C}">
                  <a14:compatExt spid="_x0000_s6266"/>
                </a:ext>
                <a:ext uri="{FF2B5EF4-FFF2-40B4-BE49-F238E27FC236}">
                  <a16:creationId xmlns:a16="http://schemas.microsoft.com/office/drawing/2014/main" id="{00000000-0008-0000-0500-00007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14</xdr:row>
          <xdr:rowOff>9525</xdr:rowOff>
        </xdr:from>
        <xdr:to>
          <xdr:col>10</xdr:col>
          <xdr:colOff>9525</xdr:colOff>
          <xdr:row>14</xdr:row>
          <xdr:rowOff>180975</xdr:rowOff>
        </xdr:to>
        <xdr:sp macro="" textlink="">
          <xdr:nvSpPr>
            <xdr:cNvPr id="6267" name="Drop Down 123" hidden="1">
              <a:extLst>
                <a:ext uri="{63B3BB69-23CF-44E3-9099-C40C66FF867C}">
                  <a14:compatExt spid="_x0000_s6267"/>
                </a:ext>
                <a:ext uri="{FF2B5EF4-FFF2-40B4-BE49-F238E27FC236}">
                  <a16:creationId xmlns:a16="http://schemas.microsoft.com/office/drawing/2014/main" id="{00000000-0008-0000-0500-00007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15</xdr:row>
          <xdr:rowOff>9525</xdr:rowOff>
        </xdr:from>
        <xdr:to>
          <xdr:col>10</xdr:col>
          <xdr:colOff>9525</xdr:colOff>
          <xdr:row>15</xdr:row>
          <xdr:rowOff>180975</xdr:rowOff>
        </xdr:to>
        <xdr:sp macro="" textlink="">
          <xdr:nvSpPr>
            <xdr:cNvPr id="6268" name="Drop Down 124" hidden="1">
              <a:extLst>
                <a:ext uri="{63B3BB69-23CF-44E3-9099-C40C66FF867C}">
                  <a14:compatExt spid="_x0000_s6268"/>
                </a:ext>
                <a:ext uri="{FF2B5EF4-FFF2-40B4-BE49-F238E27FC236}">
                  <a16:creationId xmlns:a16="http://schemas.microsoft.com/office/drawing/2014/main" id="{00000000-0008-0000-0500-00007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16</xdr:row>
          <xdr:rowOff>9525</xdr:rowOff>
        </xdr:from>
        <xdr:to>
          <xdr:col>10</xdr:col>
          <xdr:colOff>9525</xdr:colOff>
          <xdr:row>16</xdr:row>
          <xdr:rowOff>180975</xdr:rowOff>
        </xdr:to>
        <xdr:sp macro="" textlink="">
          <xdr:nvSpPr>
            <xdr:cNvPr id="6269" name="Drop Down 125" hidden="1">
              <a:extLst>
                <a:ext uri="{63B3BB69-23CF-44E3-9099-C40C66FF867C}">
                  <a14:compatExt spid="_x0000_s6269"/>
                </a:ext>
                <a:ext uri="{FF2B5EF4-FFF2-40B4-BE49-F238E27FC236}">
                  <a16:creationId xmlns:a16="http://schemas.microsoft.com/office/drawing/2014/main" id="{00000000-0008-0000-0500-00007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17</xdr:row>
          <xdr:rowOff>9525</xdr:rowOff>
        </xdr:from>
        <xdr:to>
          <xdr:col>10</xdr:col>
          <xdr:colOff>9525</xdr:colOff>
          <xdr:row>17</xdr:row>
          <xdr:rowOff>180975</xdr:rowOff>
        </xdr:to>
        <xdr:sp macro="" textlink="">
          <xdr:nvSpPr>
            <xdr:cNvPr id="6270" name="Drop Down 126" hidden="1">
              <a:extLst>
                <a:ext uri="{63B3BB69-23CF-44E3-9099-C40C66FF867C}">
                  <a14:compatExt spid="_x0000_s6270"/>
                </a:ext>
                <a:ext uri="{FF2B5EF4-FFF2-40B4-BE49-F238E27FC236}">
                  <a16:creationId xmlns:a16="http://schemas.microsoft.com/office/drawing/2014/main" id="{00000000-0008-0000-0500-00007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18</xdr:row>
          <xdr:rowOff>9525</xdr:rowOff>
        </xdr:from>
        <xdr:to>
          <xdr:col>10</xdr:col>
          <xdr:colOff>9525</xdr:colOff>
          <xdr:row>18</xdr:row>
          <xdr:rowOff>180975</xdr:rowOff>
        </xdr:to>
        <xdr:sp macro="" textlink="">
          <xdr:nvSpPr>
            <xdr:cNvPr id="6271" name="Drop Down 127" hidden="1">
              <a:extLst>
                <a:ext uri="{63B3BB69-23CF-44E3-9099-C40C66FF867C}">
                  <a14:compatExt spid="_x0000_s6271"/>
                </a:ext>
                <a:ext uri="{FF2B5EF4-FFF2-40B4-BE49-F238E27FC236}">
                  <a16:creationId xmlns:a16="http://schemas.microsoft.com/office/drawing/2014/main" id="{00000000-0008-0000-0500-00007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19</xdr:row>
          <xdr:rowOff>9525</xdr:rowOff>
        </xdr:from>
        <xdr:to>
          <xdr:col>10</xdr:col>
          <xdr:colOff>9525</xdr:colOff>
          <xdr:row>19</xdr:row>
          <xdr:rowOff>180975</xdr:rowOff>
        </xdr:to>
        <xdr:sp macro="" textlink="">
          <xdr:nvSpPr>
            <xdr:cNvPr id="6272" name="Drop Down 128" hidden="1">
              <a:extLst>
                <a:ext uri="{63B3BB69-23CF-44E3-9099-C40C66FF867C}">
                  <a14:compatExt spid="_x0000_s6272"/>
                </a:ext>
                <a:ext uri="{FF2B5EF4-FFF2-40B4-BE49-F238E27FC236}">
                  <a16:creationId xmlns:a16="http://schemas.microsoft.com/office/drawing/2014/main" id="{00000000-0008-0000-0500-00008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20</xdr:row>
          <xdr:rowOff>9525</xdr:rowOff>
        </xdr:from>
        <xdr:to>
          <xdr:col>10</xdr:col>
          <xdr:colOff>9525</xdr:colOff>
          <xdr:row>20</xdr:row>
          <xdr:rowOff>180975</xdr:rowOff>
        </xdr:to>
        <xdr:sp macro="" textlink="">
          <xdr:nvSpPr>
            <xdr:cNvPr id="6273" name="Drop Down 129" hidden="1">
              <a:extLst>
                <a:ext uri="{63B3BB69-23CF-44E3-9099-C40C66FF867C}">
                  <a14:compatExt spid="_x0000_s6273"/>
                </a:ext>
                <a:ext uri="{FF2B5EF4-FFF2-40B4-BE49-F238E27FC236}">
                  <a16:creationId xmlns:a16="http://schemas.microsoft.com/office/drawing/2014/main" id="{00000000-0008-0000-0500-00008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21</xdr:row>
          <xdr:rowOff>9525</xdr:rowOff>
        </xdr:from>
        <xdr:to>
          <xdr:col>10</xdr:col>
          <xdr:colOff>9525</xdr:colOff>
          <xdr:row>21</xdr:row>
          <xdr:rowOff>180975</xdr:rowOff>
        </xdr:to>
        <xdr:sp macro="" textlink="">
          <xdr:nvSpPr>
            <xdr:cNvPr id="6274" name="Drop Down 130" hidden="1">
              <a:extLst>
                <a:ext uri="{63B3BB69-23CF-44E3-9099-C40C66FF867C}">
                  <a14:compatExt spid="_x0000_s6274"/>
                </a:ext>
                <a:ext uri="{FF2B5EF4-FFF2-40B4-BE49-F238E27FC236}">
                  <a16:creationId xmlns:a16="http://schemas.microsoft.com/office/drawing/2014/main" id="{00000000-0008-0000-0500-00008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8</xdr:row>
          <xdr:rowOff>9525</xdr:rowOff>
        </xdr:from>
        <xdr:to>
          <xdr:col>10</xdr:col>
          <xdr:colOff>9525</xdr:colOff>
          <xdr:row>8</xdr:row>
          <xdr:rowOff>180975</xdr:rowOff>
        </xdr:to>
        <xdr:sp macro="" textlink="">
          <xdr:nvSpPr>
            <xdr:cNvPr id="6275" name="Drop Down 131" hidden="1">
              <a:extLst>
                <a:ext uri="{63B3BB69-23CF-44E3-9099-C40C66FF867C}">
                  <a14:compatExt spid="_x0000_s6275"/>
                </a:ext>
                <a:ext uri="{FF2B5EF4-FFF2-40B4-BE49-F238E27FC236}">
                  <a16:creationId xmlns:a16="http://schemas.microsoft.com/office/drawing/2014/main" id="{00000000-0008-0000-0500-00008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9</xdr:row>
          <xdr:rowOff>9525</xdr:rowOff>
        </xdr:from>
        <xdr:to>
          <xdr:col>10</xdr:col>
          <xdr:colOff>9525</xdr:colOff>
          <xdr:row>9</xdr:row>
          <xdr:rowOff>180975</xdr:rowOff>
        </xdr:to>
        <xdr:sp macro="" textlink="">
          <xdr:nvSpPr>
            <xdr:cNvPr id="6276" name="Drop Down 132" hidden="1">
              <a:extLst>
                <a:ext uri="{63B3BB69-23CF-44E3-9099-C40C66FF867C}">
                  <a14:compatExt spid="_x0000_s6276"/>
                </a:ext>
                <a:ext uri="{FF2B5EF4-FFF2-40B4-BE49-F238E27FC236}">
                  <a16:creationId xmlns:a16="http://schemas.microsoft.com/office/drawing/2014/main" id="{00000000-0008-0000-0500-00008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10</xdr:row>
          <xdr:rowOff>9525</xdr:rowOff>
        </xdr:from>
        <xdr:to>
          <xdr:col>10</xdr:col>
          <xdr:colOff>9525</xdr:colOff>
          <xdr:row>10</xdr:row>
          <xdr:rowOff>180975</xdr:rowOff>
        </xdr:to>
        <xdr:sp macro="" textlink="">
          <xdr:nvSpPr>
            <xdr:cNvPr id="6277" name="Drop Down 133" hidden="1">
              <a:extLst>
                <a:ext uri="{63B3BB69-23CF-44E3-9099-C40C66FF867C}">
                  <a14:compatExt spid="_x0000_s6277"/>
                </a:ext>
                <a:ext uri="{FF2B5EF4-FFF2-40B4-BE49-F238E27FC236}">
                  <a16:creationId xmlns:a16="http://schemas.microsoft.com/office/drawing/2014/main" id="{00000000-0008-0000-0500-00008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11</xdr:row>
          <xdr:rowOff>9525</xdr:rowOff>
        </xdr:from>
        <xdr:to>
          <xdr:col>10</xdr:col>
          <xdr:colOff>9525</xdr:colOff>
          <xdr:row>11</xdr:row>
          <xdr:rowOff>180975</xdr:rowOff>
        </xdr:to>
        <xdr:sp macro="" textlink="">
          <xdr:nvSpPr>
            <xdr:cNvPr id="6278" name="Drop Down 134" hidden="1">
              <a:extLst>
                <a:ext uri="{63B3BB69-23CF-44E3-9099-C40C66FF867C}">
                  <a14:compatExt spid="_x0000_s6278"/>
                </a:ext>
                <a:ext uri="{FF2B5EF4-FFF2-40B4-BE49-F238E27FC236}">
                  <a16:creationId xmlns:a16="http://schemas.microsoft.com/office/drawing/2014/main" id="{00000000-0008-0000-0500-00008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12</xdr:row>
          <xdr:rowOff>9525</xdr:rowOff>
        </xdr:from>
        <xdr:to>
          <xdr:col>10</xdr:col>
          <xdr:colOff>9525</xdr:colOff>
          <xdr:row>12</xdr:row>
          <xdr:rowOff>180975</xdr:rowOff>
        </xdr:to>
        <xdr:sp macro="" textlink="">
          <xdr:nvSpPr>
            <xdr:cNvPr id="6279" name="Drop Down 135" hidden="1">
              <a:extLst>
                <a:ext uri="{63B3BB69-23CF-44E3-9099-C40C66FF867C}">
                  <a14:compatExt spid="_x0000_s6279"/>
                </a:ext>
                <a:ext uri="{FF2B5EF4-FFF2-40B4-BE49-F238E27FC236}">
                  <a16:creationId xmlns:a16="http://schemas.microsoft.com/office/drawing/2014/main" id="{00000000-0008-0000-0500-00008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13</xdr:row>
          <xdr:rowOff>9525</xdr:rowOff>
        </xdr:from>
        <xdr:to>
          <xdr:col>10</xdr:col>
          <xdr:colOff>9525</xdr:colOff>
          <xdr:row>13</xdr:row>
          <xdr:rowOff>180975</xdr:rowOff>
        </xdr:to>
        <xdr:sp macro="" textlink="">
          <xdr:nvSpPr>
            <xdr:cNvPr id="6280" name="Drop Down 136" hidden="1">
              <a:extLst>
                <a:ext uri="{63B3BB69-23CF-44E3-9099-C40C66FF867C}">
                  <a14:compatExt spid="_x0000_s6280"/>
                </a:ext>
                <a:ext uri="{FF2B5EF4-FFF2-40B4-BE49-F238E27FC236}">
                  <a16:creationId xmlns:a16="http://schemas.microsoft.com/office/drawing/2014/main" id="{00000000-0008-0000-0500-00008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14</xdr:row>
          <xdr:rowOff>9525</xdr:rowOff>
        </xdr:from>
        <xdr:to>
          <xdr:col>10</xdr:col>
          <xdr:colOff>9525</xdr:colOff>
          <xdr:row>14</xdr:row>
          <xdr:rowOff>180975</xdr:rowOff>
        </xdr:to>
        <xdr:sp macro="" textlink="">
          <xdr:nvSpPr>
            <xdr:cNvPr id="6281" name="Drop Down 137" hidden="1">
              <a:extLst>
                <a:ext uri="{63B3BB69-23CF-44E3-9099-C40C66FF867C}">
                  <a14:compatExt spid="_x0000_s6281"/>
                </a:ext>
                <a:ext uri="{FF2B5EF4-FFF2-40B4-BE49-F238E27FC236}">
                  <a16:creationId xmlns:a16="http://schemas.microsoft.com/office/drawing/2014/main" id="{00000000-0008-0000-0500-00008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15</xdr:row>
          <xdr:rowOff>9525</xdr:rowOff>
        </xdr:from>
        <xdr:to>
          <xdr:col>10</xdr:col>
          <xdr:colOff>9525</xdr:colOff>
          <xdr:row>15</xdr:row>
          <xdr:rowOff>180975</xdr:rowOff>
        </xdr:to>
        <xdr:sp macro="" textlink="">
          <xdr:nvSpPr>
            <xdr:cNvPr id="6282" name="Drop Down 138" hidden="1">
              <a:extLst>
                <a:ext uri="{63B3BB69-23CF-44E3-9099-C40C66FF867C}">
                  <a14:compatExt spid="_x0000_s6282"/>
                </a:ext>
                <a:ext uri="{FF2B5EF4-FFF2-40B4-BE49-F238E27FC236}">
                  <a16:creationId xmlns:a16="http://schemas.microsoft.com/office/drawing/2014/main" id="{00000000-0008-0000-0500-00008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16</xdr:row>
          <xdr:rowOff>9525</xdr:rowOff>
        </xdr:from>
        <xdr:to>
          <xdr:col>10</xdr:col>
          <xdr:colOff>9525</xdr:colOff>
          <xdr:row>16</xdr:row>
          <xdr:rowOff>180975</xdr:rowOff>
        </xdr:to>
        <xdr:sp macro="" textlink="">
          <xdr:nvSpPr>
            <xdr:cNvPr id="6283" name="Drop Down 139" hidden="1">
              <a:extLst>
                <a:ext uri="{63B3BB69-23CF-44E3-9099-C40C66FF867C}">
                  <a14:compatExt spid="_x0000_s6283"/>
                </a:ext>
                <a:ext uri="{FF2B5EF4-FFF2-40B4-BE49-F238E27FC236}">
                  <a16:creationId xmlns:a16="http://schemas.microsoft.com/office/drawing/2014/main" id="{00000000-0008-0000-0500-00008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17</xdr:row>
          <xdr:rowOff>9525</xdr:rowOff>
        </xdr:from>
        <xdr:to>
          <xdr:col>10</xdr:col>
          <xdr:colOff>9525</xdr:colOff>
          <xdr:row>17</xdr:row>
          <xdr:rowOff>180975</xdr:rowOff>
        </xdr:to>
        <xdr:sp macro="" textlink="">
          <xdr:nvSpPr>
            <xdr:cNvPr id="6284" name="Drop Down 140" hidden="1">
              <a:extLst>
                <a:ext uri="{63B3BB69-23CF-44E3-9099-C40C66FF867C}">
                  <a14:compatExt spid="_x0000_s6284"/>
                </a:ext>
                <a:ext uri="{FF2B5EF4-FFF2-40B4-BE49-F238E27FC236}">
                  <a16:creationId xmlns:a16="http://schemas.microsoft.com/office/drawing/2014/main" id="{00000000-0008-0000-0500-00008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18</xdr:row>
          <xdr:rowOff>9525</xdr:rowOff>
        </xdr:from>
        <xdr:to>
          <xdr:col>10</xdr:col>
          <xdr:colOff>9525</xdr:colOff>
          <xdr:row>18</xdr:row>
          <xdr:rowOff>180975</xdr:rowOff>
        </xdr:to>
        <xdr:sp macro="" textlink="">
          <xdr:nvSpPr>
            <xdr:cNvPr id="6285" name="Drop Down 141" hidden="1">
              <a:extLst>
                <a:ext uri="{63B3BB69-23CF-44E3-9099-C40C66FF867C}">
                  <a14:compatExt spid="_x0000_s6285"/>
                </a:ext>
                <a:ext uri="{FF2B5EF4-FFF2-40B4-BE49-F238E27FC236}">
                  <a16:creationId xmlns:a16="http://schemas.microsoft.com/office/drawing/2014/main" id="{00000000-0008-0000-0500-00008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19</xdr:row>
          <xdr:rowOff>9525</xdr:rowOff>
        </xdr:from>
        <xdr:to>
          <xdr:col>10</xdr:col>
          <xdr:colOff>9525</xdr:colOff>
          <xdr:row>19</xdr:row>
          <xdr:rowOff>180975</xdr:rowOff>
        </xdr:to>
        <xdr:sp macro="" textlink="">
          <xdr:nvSpPr>
            <xdr:cNvPr id="6286" name="Drop Down 142" hidden="1">
              <a:extLst>
                <a:ext uri="{63B3BB69-23CF-44E3-9099-C40C66FF867C}">
                  <a14:compatExt spid="_x0000_s6286"/>
                </a:ext>
                <a:ext uri="{FF2B5EF4-FFF2-40B4-BE49-F238E27FC236}">
                  <a16:creationId xmlns:a16="http://schemas.microsoft.com/office/drawing/2014/main" id="{00000000-0008-0000-0500-00008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20</xdr:row>
          <xdr:rowOff>9525</xdr:rowOff>
        </xdr:from>
        <xdr:to>
          <xdr:col>10</xdr:col>
          <xdr:colOff>9525</xdr:colOff>
          <xdr:row>20</xdr:row>
          <xdr:rowOff>180975</xdr:rowOff>
        </xdr:to>
        <xdr:sp macro="" textlink="">
          <xdr:nvSpPr>
            <xdr:cNvPr id="6287" name="Drop Down 143" hidden="1">
              <a:extLst>
                <a:ext uri="{63B3BB69-23CF-44E3-9099-C40C66FF867C}">
                  <a14:compatExt spid="_x0000_s6287"/>
                </a:ext>
                <a:ext uri="{FF2B5EF4-FFF2-40B4-BE49-F238E27FC236}">
                  <a16:creationId xmlns:a16="http://schemas.microsoft.com/office/drawing/2014/main" id="{00000000-0008-0000-0500-00008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21</xdr:row>
          <xdr:rowOff>9525</xdr:rowOff>
        </xdr:from>
        <xdr:to>
          <xdr:col>10</xdr:col>
          <xdr:colOff>9525</xdr:colOff>
          <xdr:row>21</xdr:row>
          <xdr:rowOff>180975</xdr:rowOff>
        </xdr:to>
        <xdr:sp macro="" textlink="">
          <xdr:nvSpPr>
            <xdr:cNvPr id="6288" name="Drop Down 144" hidden="1">
              <a:extLst>
                <a:ext uri="{63B3BB69-23CF-44E3-9099-C40C66FF867C}">
                  <a14:compatExt spid="_x0000_s6288"/>
                </a:ext>
                <a:ext uri="{FF2B5EF4-FFF2-40B4-BE49-F238E27FC236}">
                  <a16:creationId xmlns:a16="http://schemas.microsoft.com/office/drawing/2014/main" id="{00000000-0008-0000-0500-00009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7</xdr:row>
          <xdr:rowOff>9525</xdr:rowOff>
        </xdr:from>
        <xdr:to>
          <xdr:col>11</xdr:col>
          <xdr:colOff>714375</xdr:colOff>
          <xdr:row>7</xdr:row>
          <xdr:rowOff>161925</xdr:rowOff>
        </xdr:to>
        <xdr:sp macro="" textlink="">
          <xdr:nvSpPr>
            <xdr:cNvPr id="6289" name="Drop Down 145" hidden="1">
              <a:extLst>
                <a:ext uri="{63B3BB69-23CF-44E3-9099-C40C66FF867C}">
                  <a14:compatExt spid="_x0000_s6289"/>
                </a:ext>
                <a:ext uri="{FF2B5EF4-FFF2-40B4-BE49-F238E27FC236}">
                  <a16:creationId xmlns:a16="http://schemas.microsoft.com/office/drawing/2014/main" id="{00000000-0008-0000-0500-00009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8</xdr:row>
          <xdr:rowOff>9525</xdr:rowOff>
        </xdr:from>
        <xdr:to>
          <xdr:col>11</xdr:col>
          <xdr:colOff>714375</xdr:colOff>
          <xdr:row>8</xdr:row>
          <xdr:rowOff>161925</xdr:rowOff>
        </xdr:to>
        <xdr:sp macro="" textlink="">
          <xdr:nvSpPr>
            <xdr:cNvPr id="6290" name="Drop Down 146" hidden="1">
              <a:extLst>
                <a:ext uri="{63B3BB69-23CF-44E3-9099-C40C66FF867C}">
                  <a14:compatExt spid="_x0000_s6290"/>
                </a:ext>
                <a:ext uri="{FF2B5EF4-FFF2-40B4-BE49-F238E27FC236}">
                  <a16:creationId xmlns:a16="http://schemas.microsoft.com/office/drawing/2014/main" id="{00000000-0008-0000-0500-00009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9</xdr:row>
          <xdr:rowOff>9525</xdr:rowOff>
        </xdr:from>
        <xdr:to>
          <xdr:col>11</xdr:col>
          <xdr:colOff>714375</xdr:colOff>
          <xdr:row>9</xdr:row>
          <xdr:rowOff>161925</xdr:rowOff>
        </xdr:to>
        <xdr:sp macro="" textlink="">
          <xdr:nvSpPr>
            <xdr:cNvPr id="6291" name="Drop Down 147" hidden="1">
              <a:extLst>
                <a:ext uri="{63B3BB69-23CF-44E3-9099-C40C66FF867C}">
                  <a14:compatExt spid="_x0000_s6291"/>
                </a:ext>
                <a:ext uri="{FF2B5EF4-FFF2-40B4-BE49-F238E27FC236}">
                  <a16:creationId xmlns:a16="http://schemas.microsoft.com/office/drawing/2014/main" id="{00000000-0008-0000-0500-00009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10</xdr:row>
          <xdr:rowOff>9525</xdr:rowOff>
        </xdr:from>
        <xdr:to>
          <xdr:col>11</xdr:col>
          <xdr:colOff>714375</xdr:colOff>
          <xdr:row>10</xdr:row>
          <xdr:rowOff>161925</xdr:rowOff>
        </xdr:to>
        <xdr:sp macro="" textlink="">
          <xdr:nvSpPr>
            <xdr:cNvPr id="6292" name="Drop Down 148" hidden="1">
              <a:extLst>
                <a:ext uri="{63B3BB69-23CF-44E3-9099-C40C66FF867C}">
                  <a14:compatExt spid="_x0000_s6292"/>
                </a:ext>
                <a:ext uri="{FF2B5EF4-FFF2-40B4-BE49-F238E27FC236}">
                  <a16:creationId xmlns:a16="http://schemas.microsoft.com/office/drawing/2014/main" id="{00000000-0008-0000-0500-00009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11</xdr:row>
          <xdr:rowOff>9525</xdr:rowOff>
        </xdr:from>
        <xdr:to>
          <xdr:col>11</xdr:col>
          <xdr:colOff>714375</xdr:colOff>
          <xdr:row>11</xdr:row>
          <xdr:rowOff>161925</xdr:rowOff>
        </xdr:to>
        <xdr:sp macro="" textlink="">
          <xdr:nvSpPr>
            <xdr:cNvPr id="6293" name="Drop Down 149" hidden="1">
              <a:extLst>
                <a:ext uri="{63B3BB69-23CF-44E3-9099-C40C66FF867C}">
                  <a14:compatExt spid="_x0000_s6293"/>
                </a:ext>
                <a:ext uri="{FF2B5EF4-FFF2-40B4-BE49-F238E27FC236}">
                  <a16:creationId xmlns:a16="http://schemas.microsoft.com/office/drawing/2014/main" id="{00000000-0008-0000-0500-00009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12</xdr:row>
          <xdr:rowOff>9525</xdr:rowOff>
        </xdr:from>
        <xdr:to>
          <xdr:col>11</xdr:col>
          <xdr:colOff>714375</xdr:colOff>
          <xdr:row>12</xdr:row>
          <xdr:rowOff>161925</xdr:rowOff>
        </xdr:to>
        <xdr:sp macro="" textlink="">
          <xdr:nvSpPr>
            <xdr:cNvPr id="6294" name="Drop Down 150" hidden="1">
              <a:extLst>
                <a:ext uri="{63B3BB69-23CF-44E3-9099-C40C66FF867C}">
                  <a14:compatExt spid="_x0000_s6294"/>
                </a:ext>
                <a:ext uri="{FF2B5EF4-FFF2-40B4-BE49-F238E27FC236}">
                  <a16:creationId xmlns:a16="http://schemas.microsoft.com/office/drawing/2014/main" id="{00000000-0008-0000-0500-00009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13</xdr:row>
          <xdr:rowOff>9525</xdr:rowOff>
        </xdr:from>
        <xdr:to>
          <xdr:col>11</xdr:col>
          <xdr:colOff>714375</xdr:colOff>
          <xdr:row>13</xdr:row>
          <xdr:rowOff>161925</xdr:rowOff>
        </xdr:to>
        <xdr:sp macro="" textlink="">
          <xdr:nvSpPr>
            <xdr:cNvPr id="6295" name="Drop Down 151" hidden="1">
              <a:extLst>
                <a:ext uri="{63B3BB69-23CF-44E3-9099-C40C66FF867C}">
                  <a14:compatExt spid="_x0000_s6295"/>
                </a:ext>
                <a:ext uri="{FF2B5EF4-FFF2-40B4-BE49-F238E27FC236}">
                  <a16:creationId xmlns:a16="http://schemas.microsoft.com/office/drawing/2014/main" id="{00000000-0008-0000-0500-00009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14</xdr:row>
          <xdr:rowOff>9525</xdr:rowOff>
        </xdr:from>
        <xdr:to>
          <xdr:col>11</xdr:col>
          <xdr:colOff>714375</xdr:colOff>
          <xdr:row>14</xdr:row>
          <xdr:rowOff>161925</xdr:rowOff>
        </xdr:to>
        <xdr:sp macro="" textlink="">
          <xdr:nvSpPr>
            <xdr:cNvPr id="6296" name="Drop Down 152" hidden="1">
              <a:extLst>
                <a:ext uri="{63B3BB69-23CF-44E3-9099-C40C66FF867C}">
                  <a14:compatExt spid="_x0000_s6296"/>
                </a:ext>
                <a:ext uri="{FF2B5EF4-FFF2-40B4-BE49-F238E27FC236}">
                  <a16:creationId xmlns:a16="http://schemas.microsoft.com/office/drawing/2014/main" id="{00000000-0008-0000-0500-00009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15</xdr:row>
          <xdr:rowOff>9525</xdr:rowOff>
        </xdr:from>
        <xdr:to>
          <xdr:col>11</xdr:col>
          <xdr:colOff>714375</xdr:colOff>
          <xdr:row>15</xdr:row>
          <xdr:rowOff>161925</xdr:rowOff>
        </xdr:to>
        <xdr:sp macro="" textlink="">
          <xdr:nvSpPr>
            <xdr:cNvPr id="6297" name="Drop Down 153" hidden="1">
              <a:extLst>
                <a:ext uri="{63B3BB69-23CF-44E3-9099-C40C66FF867C}">
                  <a14:compatExt spid="_x0000_s6297"/>
                </a:ext>
                <a:ext uri="{FF2B5EF4-FFF2-40B4-BE49-F238E27FC236}">
                  <a16:creationId xmlns:a16="http://schemas.microsoft.com/office/drawing/2014/main" id="{00000000-0008-0000-0500-00009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16</xdr:row>
          <xdr:rowOff>9525</xdr:rowOff>
        </xdr:from>
        <xdr:to>
          <xdr:col>11</xdr:col>
          <xdr:colOff>714375</xdr:colOff>
          <xdr:row>16</xdr:row>
          <xdr:rowOff>161925</xdr:rowOff>
        </xdr:to>
        <xdr:sp macro="" textlink="">
          <xdr:nvSpPr>
            <xdr:cNvPr id="6298" name="Drop Down 154" hidden="1">
              <a:extLst>
                <a:ext uri="{63B3BB69-23CF-44E3-9099-C40C66FF867C}">
                  <a14:compatExt spid="_x0000_s6298"/>
                </a:ext>
                <a:ext uri="{FF2B5EF4-FFF2-40B4-BE49-F238E27FC236}">
                  <a16:creationId xmlns:a16="http://schemas.microsoft.com/office/drawing/2014/main" id="{00000000-0008-0000-0500-00009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17</xdr:row>
          <xdr:rowOff>9525</xdr:rowOff>
        </xdr:from>
        <xdr:to>
          <xdr:col>11</xdr:col>
          <xdr:colOff>714375</xdr:colOff>
          <xdr:row>17</xdr:row>
          <xdr:rowOff>161925</xdr:rowOff>
        </xdr:to>
        <xdr:sp macro="" textlink="">
          <xdr:nvSpPr>
            <xdr:cNvPr id="6299" name="Drop Down 155" hidden="1">
              <a:extLst>
                <a:ext uri="{63B3BB69-23CF-44E3-9099-C40C66FF867C}">
                  <a14:compatExt spid="_x0000_s6299"/>
                </a:ext>
                <a:ext uri="{FF2B5EF4-FFF2-40B4-BE49-F238E27FC236}">
                  <a16:creationId xmlns:a16="http://schemas.microsoft.com/office/drawing/2014/main" id="{00000000-0008-0000-0500-00009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18</xdr:row>
          <xdr:rowOff>9525</xdr:rowOff>
        </xdr:from>
        <xdr:to>
          <xdr:col>11</xdr:col>
          <xdr:colOff>714375</xdr:colOff>
          <xdr:row>18</xdr:row>
          <xdr:rowOff>161925</xdr:rowOff>
        </xdr:to>
        <xdr:sp macro="" textlink="">
          <xdr:nvSpPr>
            <xdr:cNvPr id="6300" name="Drop Down 156" hidden="1">
              <a:extLst>
                <a:ext uri="{63B3BB69-23CF-44E3-9099-C40C66FF867C}">
                  <a14:compatExt spid="_x0000_s6300"/>
                </a:ext>
                <a:ext uri="{FF2B5EF4-FFF2-40B4-BE49-F238E27FC236}">
                  <a16:creationId xmlns:a16="http://schemas.microsoft.com/office/drawing/2014/main" id="{00000000-0008-0000-0500-00009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19</xdr:row>
          <xdr:rowOff>9525</xdr:rowOff>
        </xdr:from>
        <xdr:to>
          <xdr:col>11</xdr:col>
          <xdr:colOff>714375</xdr:colOff>
          <xdr:row>19</xdr:row>
          <xdr:rowOff>161925</xdr:rowOff>
        </xdr:to>
        <xdr:sp macro="" textlink="">
          <xdr:nvSpPr>
            <xdr:cNvPr id="6301" name="Drop Down 157" hidden="1">
              <a:extLst>
                <a:ext uri="{63B3BB69-23CF-44E3-9099-C40C66FF867C}">
                  <a14:compatExt spid="_x0000_s6301"/>
                </a:ext>
                <a:ext uri="{FF2B5EF4-FFF2-40B4-BE49-F238E27FC236}">
                  <a16:creationId xmlns:a16="http://schemas.microsoft.com/office/drawing/2014/main" id="{00000000-0008-0000-0500-00009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20</xdr:row>
          <xdr:rowOff>9525</xdr:rowOff>
        </xdr:from>
        <xdr:to>
          <xdr:col>11</xdr:col>
          <xdr:colOff>714375</xdr:colOff>
          <xdr:row>20</xdr:row>
          <xdr:rowOff>161925</xdr:rowOff>
        </xdr:to>
        <xdr:sp macro="" textlink="">
          <xdr:nvSpPr>
            <xdr:cNvPr id="6302" name="Drop Down 158" hidden="1">
              <a:extLst>
                <a:ext uri="{63B3BB69-23CF-44E3-9099-C40C66FF867C}">
                  <a14:compatExt spid="_x0000_s6302"/>
                </a:ext>
                <a:ext uri="{FF2B5EF4-FFF2-40B4-BE49-F238E27FC236}">
                  <a16:creationId xmlns:a16="http://schemas.microsoft.com/office/drawing/2014/main" id="{00000000-0008-0000-0500-00009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21</xdr:row>
          <xdr:rowOff>9525</xdr:rowOff>
        </xdr:from>
        <xdr:to>
          <xdr:col>11</xdr:col>
          <xdr:colOff>714375</xdr:colOff>
          <xdr:row>21</xdr:row>
          <xdr:rowOff>161925</xdr:rowOff>
        </xdr:to>
        <xdr:sp macro="" textlink="">
          <xdr:nvSpPr>
            <xdr:cNvPr id="6303" name="Drop Down 159" hidden="1">
              <a:extLst>
                <a:ext uri="{63B3BB69-23CF-44E3-9099-C40C66FF867C}">
                  <a14:compatExt spid="_x0000_s6303"/>
                </a:ext>
                <a:ext uri="{FF2B5EF4-FFF2-40B4-BE49-F238E27FC236}">
                  <a16:creationId xmlns:a16="http://schemas.microsoft.com/office/drawing/2014/main" id="{00000000-0008-0000-0500-00009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8</xdr:row>
          <xdr:rowOff>9525</xdr:rowOff>
        </xdr:from>
        <xdr:to>
          <xdr:col>10</xdr:col>
          <xdr:colOff>9525</xdr:colOff>
          <xdr:row>8</xdr:row>
          <xdr:rowOff>180975</xdr:rowOff>
        </xdr:to>
        <xdr:sp macro="" textlink="">
          <xdr:nvSpPr>
            <xdr:cNvPr id="6304" name="Drop Down 160" hidden="1">
              <a:extLst>
                <a:ext uri="{63B3BB69-23CF-44E3-9099-C40C66FF867C}">
                  <a14:compatExt spid="_x0000_s6304"/>
                </a:ext>
                <a:ext uri="{FF2B5EF4-FFF2-40B4-BE49-F238E27FC236}">
                  <a16:creationId xmlns:a16="http://schemas.microsoft.com/office/drawing/2014/main" id="{00000000-0008-0000-0500-0000A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9</xdr:row>
          <xdr:rowOff>9525</xdr:rowOff>
        </xdr:from>
        <xdr:to>
          <xdr:col>10</xdr:col>
          <xdr:colOff>9525</xdr:colOff>
          <xdr:row>9</xdr:row>
          <xdr:rowOff>180975</xdr:rowOff>
        </xdr:to>
        <xdr:sp macro="" textlink="">
          <xdr:nvSpPr>
            <xdr:cNvPr id="6305" name="Drop Down 161" hidden="1">
              <a:extLst>
                <a:ext uri="{63B3BB69-23CF-44E3-9099-C40C66FF867C}">
                  <a14:compatExt spid="_x0000_s6305"/>
                </a:ext>
                <a:ext uri="{FF2B5EF4-FFF2-40B4-BE49-F238E27FC236}">
                  <a16:creationId xmlns:a16="http://schemas.microsoft.com/office/drawing/2014/main" id="{00000000-0008-0000-0500-0000A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10</xdr:row>
          <xdr:rowOff>9525</xdr:rowOff>
        </xdr:from>
        <xdr:to>
          <xdr:col>10</xdr:col>
          <xdr:colOff>9525</xdr:colOff>
          <xdr:row>10</xdr:row>
          <xdr:rowOff>180975</xdr:rowOff>
        </xdr:to>
        <xdr:sp macro="" textlink="">
          <xdr:nvSpPr>
            <xdr:cNvPr id="6306" name="Drop Down 162" hidden="1">
              <a:extLst>
                <a:ext uri="{63B3BB69-23CF-44E3-9099-C40C66FF867C}">
                  <a14:compatExt spid="_x0000_s6306"/>
                </a:ext>
                <a:ext uri="{FF2B5EF4-FFF2-40B4-BE49-F238E27FC236}">
                  <a16:creationId xmlns:a16="http://schemas.microsoft.com/office/drawing/2014/main" id="{00000000-0008-0000-0500-0000A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11</xdr:row>
          <xdr:rowOff>9525</xdr:rowOff>
        </xdr:from>
        <xdr:to>
          <xdr:col>10</xdr:col>
          <xdr:colOff>9525</xdr:colOff>
          <xdr:row>11</xdr:row>
          <xdr:rowOff>180975</xdr:rowOff>
        </xdr:to>
        <xdr:sp macro="" textlink="">
          <xdr:nvSpPr>
            <xdr:cNvPr id="6307" name="Drop Down 163" hidden="1">
              <a:extLst>
                <a:ext uri="{63B3BB69-23CF-44E3-9099-C40C66FF867C}">
                  <a14:compatExt spid="_x0000_s6307"/>
                </a:ext>
                <a:ext uri="{FF2B5EF4-FFF2-40B4-BE49-F238E27FC236}">
                  <a16:creationId xmlns:a16="http://schemas.microsoft.com/office/drawing/2014/main" id="{00000000-0008-0000-0500-0000A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12</xdr:row>
          <xdr:rowOff>9525</xdr:rowOff>
        </xdr:from>
        <xdr:to>
          <xdr:col>10</xdr:col>
          <xdr:colOff>9525</xdr:colOff>
          <xdr:row>12</xdr:row>
          <xdr:rowOff>180975</xdr:rowOff>
        </xdr:to>
        <xdr:sp macro="" textlink="">
          <xdr:nvSpPr>
            <xdr:cNvPr id="6308" name="Drop Down 164" hidden="1">
              <a:extLst>
                <a:ext uri="{63B3BB69-23CF-44E3-9099-C40C66FF867C}">
                  <a14:compatExt spid="_x0000_s6308"/>
                </a:ext>
                <a:ext uri="{FF2B5EF4-FFF2-40B4-BE49-F238E27FC236}">
                  <a16:creationId xmlns:a16="http://schemas.microsoft.com/office/drawing/2014/main" id="{00000000-0008-0000-0500-0000A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13</xdr:row>
          <xdr:rowOff>9525</xdr:rowOff>
        </xdr:from>
        <xdr:to>
          <xdr:col>10</xdr:col>
          <xdr:colOff>9525</xdr:colOff>
          <xdr:row>13</xdr:row>
          <xdr:rowOff>180975</xdr:rowOff>
        </xdr:to>
        <xdr:sp macro="" textlink="">
          <xdr:nvSpPr>
            <xdr:cNvPr id="6309" name="Drop Down 165" hidden="1">
              <a:extLst>
                <a:ext uri="{63B3BB69-23CF-44E3-9099-C40C66FF867C}">
                  <a14:compatExt spid="_x0000_s6309"/>
                </a:ext>
                <a:ext uri="{FF2B5EF4-FFF2-40B4-BE49-F238E27FC236}">
                  <a16:creationId xmlns:a16="http://schemas.microsoft.com/office/drawing/2014/main" id="{00000000-0008-0000-0500-0000A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14</xdr:row>
          <xdr:rowOff>9525</xdr:rowOff>
        </xdr:from>
        <xdr:to>
          <xdr:col>10</xdr:col>
          <xdr:colOff>9525</xdr:colOff>
          <xdr:row>14</xdr:row>
          <xdr:rowOff>180975</xdr:rowOff>
        </xdr:to>
        <xdr:sp macro="" textlink="">
          <xdr:nvSpPr>
            <xdr:cNvPr id="6310" name="Drop Down 166" hidden="1">
              <a:extLst>
                <a:ext uri="{63B3BB69-23CF-44E3-9099-C40C66FF867C}">
                  <a14:compatExt spid="_x0000_s6310"/>
                </a:ext>
                <a:ext uri="{FF2B5EF4-FFF2-40B4-BE49-F238E27FC236}">
                  <a16:creationId xmlns:a16="http://schemas.microsoft.com/office/drawing/2014/main" id="{00000000-0008-0000-0500-0000A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15</xdr:row>
          <xdr:rowOff>9525</xdr:rowOff>
        </xdr:from>
        <xdr:to>
          <xdr:col>10</xdr:col>
          <xdr:colOff>9525</xdr:colOff>
          <xdr:row>15</xdr:row>
          <xdr:rowOff>180975</xdr:rowOff>
        </xdr:to>
        <xdr:sp macro="" textlink="">
          <xdr:nvSpPr>
            <xdr:cNvPr id="6311" name="Drop Down 167" hidden="1">
              <a:extLst>
                <a:ext uri="{63B3BB69-23CF-44E3-9099-C40C66FF867C}">
                  <a14:compatExt spid="_x0000_s6311"/>
                </a:ext>
                <a:ext uri="{FF2B5EF4-FFF2-40B4-BE49-F238E27FC236}">
                  <a16:creationId xmlns:a16="http://schemas.microsoft.com/office/drawing/2014/main" id="{00000000-0008-0000-0500-0000A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16</xdr:row>
          <xdr:rowOff>9525</xdr:rowOff>
        </xdr:from>
        <xdr:to>
          <xdr:col>10</xdr:col>
          <xdr:colOff>9525</xdr:colOff>
          <xdr:row>16</xdr:row>
          <xdr:rowOff>180975</xdr:rowOff>
        </xdr:to>
        <xdr:sp macro="" textlink="">
          <xdr:nvSpPr>
            <xdr:cNvPr id="6312" name="Drop Down 168" hidden="1">
              <a:extLst>
                <a:ext uri="{63B3BB69-23CF-44E3-9099-C40C66FF867C}">
                  <a14:compatExt spid="_x0000_s6312"/>
                </a:ext>
                <a:ext uri="{FF2B5EF4-FFF2-40B4-BE49-F238E27FC236}">
                  <a16:creationId xmlns:a16="http://schemas.microsoft.com/office/drawing/2014/main" id="{00000000-0008-0000-0500-0000A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17</xdr:row>
          <xdr:rowOff>9525</xdr:rowOff>
        </xdr:from>
        <xdr:to>
          <xdr:col>10</xdr:col>
          <xdr:colOff>9525</xdr:colOff>
          <xdr:row>17</xdr:row>
          <xdr:rowOff>180975</xdr:rowOff>
        </xdr:to>
        <xdr:sp macro="" textlink="">
          <xdr:nvSpPr>
            <xdr:cNvPr id="6313" name="Drop Down 169" hidden="1">
              <a:extLst>
                <a:ext uri="{63B3BB69-23CF-44E3-9099-C40C66FF867C}">
                  <a14:compatExt spid="_x0000_s6313"/>
                </a:ext>
                <a:ext uri="{FF2B5EF4-FFF2-40B4-BE49-F238E27FC236}">
                  <a16:creationId xmlns:a16="http://schemas.microsoft.com/office/drawing/2014/main" id="{00000000-0008-0000-0500-0000A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18</xdr:row>
          <xdr:rowOff>9525</xdr:rowOff>
        </xdr:from>
        <xdr:to>
          <xdr:col>10</xdr:col>
          <xdr:colOff>9525</xdr:colOff>
          <xdr:row>18</xdr:row>
          <xdr:rowOff>180975</xdr:rowOff>
        </xdr:to>
        <xdr:sp macro="" textlink="">
          <xdr:nvSpPr>
            <xdr:cNvPr id="6314" name="Drop Down 170" hidden="1">
              <a:extLst>
                <a:ext uri="{63B3BB69-23CF-44E3-9099-C40C66FF867C}">
                  <a14:compatExt spid="_x0000_s6314"/>
                </a:ext>
                <a:ext uri="{FF2B5EF4-FFF2-40B4-BE49-F238E27FC236}">
                  <a16:creationId xmlns:a16="http://schemas.microsoft.com/office/drawing/2014/main" id="{00000000-0008-0000-0500-0000A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19</xdr:row>
          <xdr:rowOff>9525</xdr:rowOff>
        </xdr:from>
        <xdr:to>
          <xdr:col>10</xdr:col>
          <xdr:colOff>9525</xdr:colOff>
          <xdr:row>19</xdr:row>
          <xdr:rowOff>180975</xdr:rowOff>
        </xdr:to>
        <xdr:sp macro="" textlink="">
          <xdr:nvSpPr>
            <xdr:cNvPr id="6315" name="Drop Down 171" hidden="1">
              <a:extLst>
                <a:ext uri="{63B3BB69-23CF-44E3-9099-C40C66FF867C}">
                  <a14:compatExt spid="_x0000_s6315"/>
                </a:ext>
                <a:ext uri="{FF2B5EF4-FFF2-40B4-BE49-F238E27FC236}">
                  <a16:creationId xmlns:a16="http://schemas.microsoft.com/office/drawing/2014/main" id="{00000000-0008-0000-0500-0000A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20</xdr:row>
          <xdr:rowOff>9525</xdr:rowOff>
        </xdr:from>
        <xdr:to>
          <xdr:col>10</xdr:col>
          <xdr:colOff>9525</xdr:colOff>
          <xdr:row>20</xdr:row>
          <xdr:rowOff>180975</xdr:rowOff>
        </xdr:to>
        <xdr:sp macro="" textlink="">
          <xdr:nvSpPr>
            <xdr:cNvPr id="6316" name="Drop Down 172" hidden="1">
              <a:extLst>
                <a:ext uri="{63B3BB69-23CF-44E3-9099-C40C66FF867C}">
                  <a14:compatExt spid="_x0000_s6316"/>
                </a:ext>
                <a:ext uri="{FF2B5EF4-FFF2-40B4-BE49-F238E27FC236}">
                  <a16:creationId xmlns:a16="http://schemas.microsoft.com/office/drawing/2014/main" id="{00000000-0008-0000-0500-0000A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21</xdr:row>
          <xdr:rowOff>9525</xdr:rowOff>
        </xdr:from>
        <xdr:to>
          <xdr:col>10</xdr:col>
          <xdr:colOff>9525</xdr:colOff>
          <xdr:row>21</xdr:row>
          <xdr:rowOff>180975</xdr:rowOff>
        </xdr:to>
        <xdr:sp macro="" textlink="">
          <xdr:nvSpPr>
            <xdr:cNvPr id="6317" name="Drop Down 173" hidden="1">
              <a:extLst>
                <a:ext uri="{63B3BB69-23CF-44E3-9099-C40C66FF867C}">
                  <a14:compatExt spid="_x0000_s6317"/>
                </a:ext>
                <a:ext uri="{FF2B5EF4-FFF2-40B4-BE49-F238E27FC236}">
                  <a16:creationId xmlns:a16="http://schemas.microsoft.com/office/drawing/2014/main" id="{00000000-0008-0000-0500-0000A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66" Type="http://schemas.openxmlformats.org/officeDocument/2006/relationships/ctrlProp" Target="../ctrlProps/ctrlProp63.xml"/><Relationship Id="rId74" Type="http://schemas.openxmlformats.org/officeDocument/2006/relationships/ctrlProp" Target="../ctrlProps/ctrlProp71.xml"/><Relationship Id="rId5" Type="http://schemas.openxmlformats.org/officeDocument/2006/relationships/ctrlProp" Target="../ctrlProps/ctrlProp2.xml"/><Relationship Id="rId61" Type="http://schemas.openxmlformats.org/officeDocument/2006/relationships/ctrlProp" Target="../ctrlProps/ctrlProp58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96.xml"/><Relationship Id="rId21" Type="http://schemas.openxmlformats.org/officeDocument/2006/relationships/ctrlProp" Target="../ctrlProps/ctrlProp91.xml"/><Relationship Id="rId42" Type="http://schemas.openxmlformats.org/officeDocument/2006/relationships/ctrlProp" Target="../ctrlProps/ctrlProp112.xml"/><Relationship Id="rId47" Type="http://schemas.openxmlformats.org/officeDocument/2006/relationships/ctrlProp" Target="../ctrlProps/ctrlProp117.xml"/><Relationship Id="rId63" Type="http://schemas.openxmlformats.org/officeDocument/2006/relationships/ctrlProp" Target="../ctrlProps/ctrlProp133.xml"/><Relationship Id="rId68" Type="http://schemas.openxmlformats.org/officeDocument/2006/relationships/ctrlProp" Target="../ctrlProps/ctrlProp138.xml"/><Relationship Id="rId84" Type="http://schemas.openxmlformats.org/officeDocument/2006/relationships/ctrlProp" Target="../ctrlProps/ctrlProp154.xml"/><Relationship Id="rId89" Type="http://schemas.openxmlformats.org/officeDocument/2006/relationships/ctrlProp" Target="../ctrlProps/ctrlProp159.xml"/><Relationship Id="rId16" Type="http://schemas.openxmlformats.org/officeDocument/2006/relationships/ctrlProp" Target="../ctrlProps/ctrlProp86.xml"/><Relationship Id="rId11" Type="http://schemas.openxmlformats.org/officeDocument/2006/relationships/ctrlProp" Target="../ctrlProps/ctrlProp81.xml"/><Relationship Id="rId32" Type="http://schemas.openxmlformats.org/officeDocument/2006/relationships/ctrlProp" Target="../ctrlProps/ctrlProp102.xml"/><Relationship Id="rId37" Type="http://schemas.openxmlformats.org/officeDocument/2006/relationships/ctrlProp" Target="../ctrlProps/ctrlProp107.xml"/><Relationship Id="rId53" Type="http://schemas.openxmlformats.org/officeDocument/2006/relationships/ctrlProp" Target="../ctrlProps/ctrlProp123.xml"/><Relationship Id="rId58" Type="http://schemas.openxmlformats.org/officeDocument/2006/relationships/ctrlProp" Target="../ctrlProps/ctrlProp128.xml"/><Relationship Id="rId74" Type="http://schemas.openxmlformats.org/officeDocument/2006/relationships/ctrlProp" Target="../ctrlProps/ctrlProp144.xml"/><Relationship Id="rId79" Type="http://schemas.openxmlformats.org/officeDocument/2006/relationships/ctrlProp" Target="../ctrlProps/ctrlProp149.xml"/><Relationship Id="rId102" Type="http://schemas.openxmlformats.org/officeDocument/2006/relationships/ctrlProp" Target="../ctrlProps/ctrlProp172.xml"/><Relationship Id="rId5" Type="http://schemas.openxmlformats.org/officeDocument/2006/relationships/ctrlProp" Target="../ctrlProps/ctrlProp75.xml"/><Relationship Id="rId90" Type="http://schemas.openxmlformats.org/officeDocument/2006/relationships/ctrlProp" Target="../ctrlProps/ctrlProp160.xml"/><Relationship Id="rId95" Type="http://schemas.openxmlformats.org/officeDocument/2006/relationships/ctrlProp" Target="../ctrlProps/ctrlProp165.xml"/><Relationship Id="rId22" Type="http://schemas.openxmlformats.org/officeDocument/2006/relationships/ctrlProp" Target="../ctrlProps/ctrlProp92.xml"/><Relationship Id="rId27" Type="http://schemas.openxmlformats.org/officeDocument/2006/relationships/ctrlProp" Target="../ctrlProps/ctrlProp97.xml"/><Relationship Id="rId43" Type="http://schemas.openxmlformats.org/officeDocument/2006/relationships/ctrlProp" Target="../ctrlProps/ctrlProp113.xml"/><Relationship Id="rId48" Type="http://schemas.openxmlformats.org/officeDocument/2006/relationships/ctrlProp" Target="../ctrlProps/ctrlProp118.xml"/><Relationship Id="rId64" Type="http://schemas.openxmlformats.org/officeDocument/2006/relationships/ctrlProp" Target="../ctrlProps/ctrlProp134.xml"/><Relationship Id="rId69" Type="http://schemas.openxmlformats.org/officeDocument/2006/relationships/ctrlProp" Target="../ctrlProps/ctrlProp139.xml"/><Relationship Id="rId80" Type="http://schemas.openxmlformats.org/officeDocument/2006/relationships/ctrlProp" Target="../ctrlProps/ctrlProp150.xml"/><Relationship Id="rId85" Type="http://schemas.openxmlformats.org/officeDocument/2006/relationships/ctrlProp" Target="../ctrlProps/ctrlProp155.xml"/><Relationship Id="rId12" Type="http://schemas.openxmlformats.org/officeDocument/2006/relationships/ctrlProp" Target="../ctrlProps/ctrlProp82.xml"/><Relationship Id="rId17" Type="http://schemas.openxmlformats.org/officeDocument/2006/relationships/ctrlProp" Target="../ctrlProps/ctrlProp87.xml"/><Relationship Id="rId33" Type="http://schemas.openxmlformats.org/officeDocument/2006/relationships/ctrlProp" Target="../ctrlProps/ctrlProp103.xml"/><Relationship Id="rId38" Type="http://schemas.openxmlformats.org/officeDocument/2006/relationships/ctrlProp" Target="../ctrlProps/ctrlProp108.xml"/><Relationship Id="rId59" Type="http://schemas.openxmlformats.org/officeDocument/2006/relationships/ctrlProp" Target="../ctrlProps/ctrlProp129.xml"/><Relationship Id="rId103" Type="http://schemas.openxmlformats.org/officeDocument/2006/relationships/ctrlProp" Target="../ctrlProps/ctrlProp173.xml"/><Relationship Id="rId20" Type="http://schemas.openxmlformats.org/officeDocument/2006/relationships/ctrlProp" Target="../ctrlProps/ctrlProp90.xml"/><Relationship Id="rId41" Type="http://schemas.openxmlformats.org/officeDocument/2006/relationships/ctrlProp" Target="../ctrlProps/ctrlProp111.xml"/><Relationship Id="rId54" Type="http://schemas.openxmlformats.org/officeDocument/2006/relationships/ctrlProp" Target="../ctrlProps/ctrlProp124.xml"/><Relationship Id="rId62" Type="http://schemas.openxmlformats.org/officeDocument/2006/relationships/ctrlProp" Target="../ctrlProps/ctrlProp132.xml"/><Relationship Id="rId70" Type="http://schemas.openxmlformats.org/officeDocument/2006/relationships/ctrlProp" Target="../ctrlProps/ctrlProp140.xml"/><Relationship Id="rId75" Type="http://schemas.openxmlformats.org/officeDocument/2006/relationships/ctrlProp" Target="../ctrlProps/ctrlProp145.xml"/><Relationship Id="rId83" Type="http://schemas.openxmlformats.org/officeDocument/2006/relationships/ctrlProp" Target="../ctrlProps/ctrlProp153.xml"/><Relationship Id="rId88" Type="http://schemas.openxmlformats.org/officeDocument/2006/relationships/ctrlProp" Target="../ctrlProps/ctrlProp158.xml"/><Relationship Id="rId91" Type="http://schemas.openxmlformats.org/officeDocument/2006/relationships/ctrlProp" Target="../ctrlProps/ctrlProp161.xml"/><Relationship Id="rId96" Type="http://schemas.openxmlformats.org/officeDocument/2006/relationships/ctrlProp" Target="../ctrlProps/ctrlProp166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76.xml"/><Relationship Id="rId15" Type="http://schemas.openxmlformats.org/officeDocument/2006/relationships/ctrlProp" Target="../ctrlProps/ctrlProp85.xml"/><Relationship Id="rId23" Type="http://schemas.openxmlformats.org/officeDocument/2006/relationships/ctrlProp" Target="../ctrlProps/ctrlProp93.xml"/><Relationship Id="rId28" Type="http://schemas.openxmlformats.org/officeDocument/2006/relationships/ctrlProp" Target="../ctrlProps/ctrlProp98.xml"/><Relationship Id="rId36" Type="http://schemas.openxmlformats.org/officeDocument/2006/relationships/ctrlProp" Target="../ctrlProps/ctrlProp106.xml"/><Relationship Id="rId49" Type="http://schemas.openxmlformats.org/officeDocument/2006/relationships/ctrlProp" Target="../ctrlProps/ctrlProp119.xml"/><Relationship Id="rId57" Type="http://schemas.openxmlformats.org/officeDocument/2006/relationships/ctrlProp" Target="../ctrlProps/ctrlProp127.xml"/><Relationship Id="rId10" Type="http://schemas.openxmlformats.org/officeDocument/2006/relationships/ctrlProp" Target="../ctrlProps/ctrlProp80.xml"/><Relationship Id="rId31" Type="http://schemas.openxmlformats.org/officeDocument/2006/relationships/ctrlProp" Target="../ctrlProps/ctrlProp101.xml"/><Relationship Id="rId44" Type="http://schemas.openxmlformats.org/officeDocument/2006/relationships/ctrlProp" Target="../ctrlProps/ctrlProp114.xml"/><Relationship Id="rId52" Type="http://schemas.openxmlformats.org/officeDocument/2006/relationships/ctrlProp" Target="../ctrlProps/ctrlProp122.xml"/><Relationship Id="rId60" Type="http://schemas.openxmlformats.org/officeDocument/2006/relationships/ctrlProp" Target="../ctrlProps/ctrlProp130.xml"/><Relationship Id="rId65" Type="http://schemas.openxmlformats.org/officeDocument/2006/relationships/ctrlProp" Target="../ctrlProps/ctrlProp135.xml"/><Relationship Id="rId73" Type="http://schemas.openxmlformats.org/officeDocument/2006/relationships/ctrlProp" Target="../ctrlProps/ctrlProp143.xml"/><Relationship Id="rId78" Type="http://schemas.openxmlformats.org/officeDocument/2006/relationships/ctrlProp" Target="../ctrlProps/ctrlProp148.xml"/><Relationship Id="rId81" Type="http://schemas.openxmlformats.org/officeDocument/2006/relationships/ctrlProp" Target="../ctrlProps/ctrlProp151.xml"/><Relationship Id="rId86" Type="http://schemas.openxmlformats.org/officeDocument/2006/relationships/ctrlProp" Target="../ctrlProps/ctrlProp156.xml"/><Relationship Id="rId94" Type="http://schemas.openxmlformats.org/officeDocument/2006/relationships/ctrlProp" Target="../ctrlProps/ctrlProp164.xml"/><Relationship Id="rId99" Type="http://schemas.openxmlformats.org/officeDocument/2006/relationships/ctrlProp" Target="../ctrlProps/ctrlProp169.xml"/><Relationship Id="rId101" Type="http://schemas.openxmlformats.org/officeDocument/2006/relationships/ctrlProp" Target="../ctrlProps/ctrlProp171.xml"/><Relationship Id="rId4" Type="http://schemas.openxmlformats.org/officeDocument/2006/relationships/ctrlProp" Target="../ctrlProps/ctrlProp74.xml"/><Relationship Id="rId9" Type="http://schemas.openxmlformats.org/officeDocument/2006/relationships/ctrlProp" Target="../ctrlProps/ctrlProp79.xml"/><Relationship Id="rId13" Type="http://schemas.openxmlformats.org/officeDocument/2006/relationships/ctrlProp" Target="../ctrlProps/ctrlProp83.xml"/><Relationship Id="rId18" Type="http://schemas.openxmlformats.org/officeDocument/2006/relationships/ctrlProp" Target="../ctrlProps/ctrlProp88.xml"/><Relationship Id="rId39" Type="http://schemas.openxmlformats.org/officeDocument/2006/relationships/ctrlProp" Target="../ctrlProps/ctrlProp109.xml"/><Relationship Id="rId34" Type="http://schemas.openxmlformats.org/officeDocument/2006/relationships/ctrlProp" Target="../ctrlProps/ctrlProp104.xml"/><Relationship Id="rId50" Type="http://schemas.openxmlformats.org/officeDocument/2006/relationships/ctrlProp" Target="../ctrlProps/ctrlProp120.xml"/><Relationship Id="rId55" Type="http://schemas.openxmlformats.org/officeDocument/2006/relationships/ctrlProp" Target="../ctrlProps/ctrlProp125.xml"/><Relationship Id="rId76" Type="http://schemas.openxmlformats.org/officeDocument/2006/relationships/ctrlProp" Target="../ctrlProps/ctrlProp146.xml"/><Relationship Id="rId97" Type="http://schemas.openxmlformats.org/officeDocument/2006/relationships/ctrlProp" Target="../ctrlProps/ctrlProp167.xml"/><Relationship Id="rId104" Type="http://schemas.openxmlformats.org/officeDocument/2006/relationships/ctrlProp" Target="../ctrlProps/ctrlProp174.xml"/><Relationship Id="rId7" Type="http://schemas.openxmlformats.org/officeDocument/2006/relationships/ctrlProp" Target="../ctrlProps/ctrlProp77.xml"/><Relationship Id="rId71" Type="http://schemas.openxmlformats.org/officeDocument/2006/relationships/ctrlProp" Target="../ctrlProps/ctrlProp141.xml"/><Relationship Id="rId92" Type="http://schemas.openxmlformats.org/officeDocument/2006/relationships/ctrlProp" Target="../ctrlProps/ctrlProp162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99.xml"/><Relationship Id="rId24" Type="http://schemas.openxmlformats.org/officeDocument/2006/relationships/ctrlProp" Target="../ctrlProps/ctrlProp94.xml"/><Relationship Id="rId40" Type="http://schemas.openxmlformats.org/officeDocument/2006/relationships/ctrlProp" Target="../ctrlProps/ctrlProp110.xml"/><Relationship Id="rId45" Type="http://schemas.openxmlformats.org/officeDocument/2006/relationships/ctrlProp" Target="../ctrlProps/ctrlProp115.xml"/><Relationship Id="rId66" Type="http://schemas.openxmlformats.org/officeDocument/2006/relationships/ctrlProp" Target="../ctrlProps/ctrlProp136.xml"/><Relationship Id="rId87" Type="http://schemas.openxmlformats.org/officeDocument/2006/relationships/ctrlProp" Target="../ctrlProps/ctrlProp157.xml"/><Relationship Id="rId61" Type="http://schemas.openxmlformats.org/officeDocument/2006/relationships/ctrlProp" Target="../ctrlProps/ctrlProp131.xml"/><Relationship Id="rId82" Type="http://schemas.openxmlformats.org/officeDocument/2006/relationships/ctrlProp" Target="../ctrlProps/ctrlProp152.xml"/><Relationship Id="rId19" Type="http://schemas.openxmlformats.org/officeDocument/2006/relationships/ctrlProp" Target="../ctrlProps/ctrlProp89.xml"/><Relationship Id="rId14" Type="http://schemas.openxmlformats.org/officeDocument/2006/relationships/ctrlProp" Target="../ctrlProps/ctrlProp84.xml"/><Relationship Id="rId30" Type="http://schemas.openxmlformats.org/officeDocument/2006/relationships/ctrlProp" Target="../ctrlProps/ctrlProp100.xml"/><Relationship Id="rId35" Type="http://schemas.openxmlformats.org/officeDocument/2006/relationships/ctrlProp" Target="../ctrlProps/ctrlProp105.xml"/><Relationship Id="rId56" Type="http://schemas.openxmlformats.org/officeDocument/2006/relationships/ctrlProp" Target="../ctrlProps/ctrlProp126.xml"/><Relationship Id="rId77" Type="http://schemas.openxmlformats.org/officeDocument/2006/relationships/ctrlProp" Target="../ctrlProps/ctrlProp147.xml"/><Relationship Id="rId100" Type="http://schemas.openxmlformats.org/officeDocument/2006/relationships/ctrlProp" Target="../ctrlProps/ctrlProp170.xml"/><Relationship Id="rId105" Type="http://schemas.openxmlformats.org/officeDocument/2006/relationships/ctrlProp" Target="../ctrlProps/ctrlProp175.xml"/><Relationship Id="rId8" Type="http://schemas.openxmlformats.org/officeDocument/2006/relationships/ctrlProp" Target="../ctrlProps/ctrlProp78.xml"/><Relationship Id="rId51" Type="http://schemas.openxmlformats.org/officeDocument/2006/relationships/ctrlProp" Target="../ctrlProps/ctrlProp121.xml"/><Relationship Id="rId72" Type="http://schemas.openxmlformats.org/officeDocument/2006/relationships/ctrlProp" Target="../ctrlProps/ctrlProp142.xml"/><Relationship Id="rId93" Type="http://schemas.openxmlformats.org/officeDocument/2006/relationships/ctrlProp" Target="../ctrlProps/ctrlProp163.xml"/><Relationship Id="rId98" Type="http://schemas.openxmlformats.org/officeDocument/2006/relationships/ctrlProp" Target="../ctrlProps/ctrlProp168.xml"/><Relationship Id="rId3" Type="http://schemas.openxmlformats.org/officeDocument/2006/relationships/vmlDrawing" Target="../drawings/vmlDrawing2.vml"/><Relationship Id="rId25" Type="http://schemas.openxmlformats.org/officeDocument/2006/relationships/ctrlProp" Target="../ctrlProps/ctrlProp95.xml"/><Relationship Id="rId46" Type="http://schemas.openxmlformats.org/officeDocument/2006/relationships/ctrlProp" Target="../ctrlProps/ctrlProp116.xml"/><Relationship Id="rId67" Type="http://schemas.openxmlformats.org/officeDocument/2006/relationships/ctrlProp" Target="../ctrlProps/ctrlProp137.xm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199.xml"/><Relationship Id="rId117" Type="http://schemas.openxmlformats.org/officeDocument/2006/relationships/ctrlProp" Target="../ctrlProps/ctrlProp290.xml"/><Relationship Id="rId21" Type="http://schemas.openxmlformats.org/officeDocument/2006/relationships/ctrlProp" Target="../ctrlProps/ctrlProp194.xml"/><Relationship Id="rId42" Type="http://schemas.openxmlformats.org/officeDocument/2006/relationships/ctrlProp" Target="../ctrlProps/ctrlProp215.xml"/><Relationship Id="rId47" Type="http://schemas.openxmlformats.org/officeDocument/2006/relationships/ctrlProp" Target="../ctrlProps/ctrlProp220.xml"/><Relationship Id="rId63" Type="http://schemas.openxmlformats.org/officeDocument/2006/relationships/ctrlProp" Target="../ctrlProps/ctrlProp236.xml"/><Relationship Id="rId68" Type="http://schemas.openxmlformats.org/officeDocument/2006/relationships/ctrlProp" Target="../ctrlProps/ctrlProp241.xml"/><Relationship Id="rId84" Type="http://schemas.openxmlformats.org/officeDocument/2006/relationships/ctrlProp" Target="../ctrlProps/ctrlProp257.xml"/><Relationship Id="rId89" Type="http://schemas.openxmlformats.org/officeDocument/2006/relationships/ctrlProp" Target="../ctrlProps/ctrlProp262.xml"/><Relationship Id="rId112" Type="http://schemas.openxmlformats.org/officeDocument/2006/relationships/ctrlProp" Target="../ctrlProps/ctrlProp285.xml"/><Relationship Id="rId16" Type="http://schemas.openxmlformats.org/officeDocument/2006/relationships/ctrlProp" Target="../ctrlProps/ctrlProp189.xml"/><Relationship Id="rId107" Type="http://schemas.openxmlformats.org/officeDocument/2006/relationships/ctrlProp" Target="../ctrlProps/ctrlProp280.xml"/><Relationship Id="rId11" Type="http://schemas.openxmlformats.org/officeDocument/2006/relationships/ctrlProp" Target="../ctrlProps/ctrlProp184.xml"/><Relationship Id="rId32" Type="http://schemas.openxmlformats.org/officeDocument/2006/relationships/ctrlProp" Target="../ctrlProps/ctrlProp205.xml"/><Relationship Id="rId37" Type="http://schemas.openxmlformats.org/officeDocument/2006/relationships/ctrlProp" Target="../ctrlProps/ctrlProp210.xml"/><Relationship Id="rId53" Type="http://schemas.openxmlformats.org/officeDocument/2006/relationships/ctrlProp" Target="../ctrlProps/ctrlProp226.xml"/><Relationship Id="rId58" Type="http://schemas.openxmlformats.org/officeDocument/2006/relationships/ctrlProp" Target="../ctrlProps/ctrlProp231.xml"/><Relationship Id="rId74" Type="http://schemas.openxmlformats.org/officeDocument/2006/relationships/ctrlProp" Target="../ctrlProps/ctrlProp247.xml"/><Relationship Id="rId79" Type="http://schemas.openxmlformats.org/officeDocument/2006/relationships/ctrlProp" Target="../ctrlProps/ctrlProp252.xml"/><Relationship Id="rId102" Type="http://schemas.openxmlformats.org/officeDocument/2006/relationships/ctrlProp" Target="../ctrlProps/ctrlProp275.xml"/><Relationship Id="rId5" Type="http://schemas.openxmlformats.org/officeDocument/2006/relationships/ctrlProp" Target="../ctrlProps/ctrlProp178.xml"/><Relationship Id="rId90" Type="http://schemas.openxmlformats.org/officeDocument/2006/relationships/ctrlProp" Target="../ctrlProps/ctrlProp263.xml"/><Relationship Id="rId95" Type="http://schemas.openxmlformats.org/officeDocument/2006/relationships/ctrlProp" Target="../ctrlProps/ctrlProp268.xml"/><Relationship Id="rId22" Type="http://schemas.openxmlformats.org/officeDocument/2006/relationships/ctrlProp" Target="../ctrlProps/ctrlProp195.xml"/><Relationship Id="rId27" Type="http://schemas.openxmlformats.org/officeDocument/2006/relationships/ctrlProp" Target="../ctrlProps/ctrlProp200.xml"/><Relationship Id="rId43" Type="http://schemas.openxmlformats.org/officeDocument/2006/relationships/ctrlProp" Target="../ctrlProps/ctrlProp216.xml"/><Relationship Id="rId48" Type="http://schemas.openxmlformats.org/officeDocument/2006/relationships/ctrlProp" Target="../ctrlProps/ctrlProp221.xml"/><Relationship Id="rId64" Type="http://schemas.openxmlformats.org/officeDocument/2006/relationships/ctrlProp" Target="../ctrlProps/ctrlProp237.xml"/><Relationship Id="rId69" Type="http://schemas.openxmlformats.org/officeDocument/2006/relationships/ctrlProp" Target="../ctrlProps/ctrlProp242.xml"/><Relationship Id="rId113" Type="http://schemas.openxmlformats.org/officeDocument/2006/relationships/ctrlProp" Target="../ctrlProps/ctrlProp286.xml"/><Relationship Id="rId118" Type="http://schemas.openxmlformats.org/officeDocument/2006/relationships/ctrlProp" Target="../ctrlProps/ctrlProp291.xml"/><Relationship Id="rId80" Type="http://schemas.openxmlformats.org/officeDocument/2006/relationships/ctrlProp" Target="../ctrlProps/ctrlProp253.xml"/><Relationship Id="rId85" Type="http://schemas.openxmlformats.org/officeDocument/2006/relationships/ctrlProp" Target="../ctrlProps/ctrlProp258.xml"/><Relationship Id="rId12" Type="http://schemas.openxmlformats.org/officeDocument/2006/relationships/ctrlProp" Target="../ctrlProps/ctrlProp185.xml"/><Relationship Id="rId17" Type="http://schemas.openxmlformats.org/officeDocument/2006/relationships/ctrlProp" Target="../ctrlProps/ctrlProp190.xml"/><Relationship Id="rId33" Type="http://schemas.openxmlformats.org/officeDocument/2006/relationships/ctrlProp" Target="../ctrlProps/ctrlProp206.xml"/><Relationship Id="rId38" Type="http://schemas.openxmlformats.org/officeDocument/2006/relationships/ctrlProp" Target="../ctrlProps/ctrlProp211.xml"/><Relationship Id="rId59" Type="http://schemas.openxmlformats.org/officeDocument/2006/relationships/ctrlProp" Target="../ctrlProps/ctrlProp232.xml"/><Relationship Id="rId103" Type="http://schemas.openxmlformats.org/officeDocument/2006/relationships/ctrlProp" Target="../ctrlProps/ctrlProp276.xml"/><Relationship Id="rId108" Type="http://schemas.openxmlformats.org/officeDocument/2006/relationships/ctrlProp" Target="../ctrlProps/ctrlProp281.xml"/><Relationship Id="rId54" Type="http://schemas.openxmlformats.org/officeDocument/2006/relationships/ctrlProp" Target="../ctrlProps/ctrlProp227.xml"/><Relationship Id="rId70" Type="http://schemas.openxmlformats.org/officeDocument/2006/relationships/ctrlProp" Target="../ctrlProps/ctrlProp243.xml"/><Relationship Id="rId75" Type="http://schemas.openxmlformats.org/officeDocument/2006/relationships/ctrlProp" Target="../ctrlProps/ctrlProp248.xml"/><Relationship Id="rId91" Type="http://schemas.openxmlformats.org/officeDocument/2006/relationships/ctrlProp" Target="../ctrlProps/ctrlProp264.xml"/><Relationship Id="rId96" Type="http://schemas.openxmlformats.org/officeDocument/2006/relationships/ctrlProp" Target="../ctrlProps/ctrlProp269.xml"/><Relationship Id="rId1" Type="http://schemas.openxmlformats.org/officeDocument/2006/relationships/drawing" Target="../drawings/drawing3.xml"/><Relationship Id="rId6" Type="http://schemas.openxmlformats.org/officeDocument/2006/relationships/ctrlProp" Target="../ctrlProps/ctrlProp179.xml"/><Relationship Id="rId23" Type="http://schemas.openxmlformats.org/officeDocument/2006/relationships/ctrlProp" Target="../ctrlProps/ctrlProp196.xml"/><Relationship Id="rId28" Type="http://schemas.openxmlformats.org/officeDocument/2006/relationships/ctrlProp" Target="../ctrlProps/ctrlProp201.xml"/><Relationship Id="rId49" Type="http://schemas.openxmlformats.org/officeDocument/2006/relationships/ctrlProp" Target="../ctrlProps/ctrlProp222.xml"/><Relationship Id="rId114" Type="http://schemas.openxmlformats.org/officeDocument/2006/relationships/ctrlProp" Target="../ctrlProps/ctrlProp287.xml"/><Relationship Id="rId10" Type="http://schemas.openxmlformats.org/officeDocument/2006/relationships/ctrlProp" Target="../ctrlProps/ctrlProp183.xml"/><Relationship Id="rId31" Type="http://schemas.openxmlformats.org/officeDocument/2006/relationships/ctrlProp" Target="../ctrlProps/ctrlProp204.xml"/><Relationship Id="rId44" Type="http://schemas.openxmlformats.org/officeDocument/2006/relationships/ctrlProp" Target="../ctrlProps/ctrlProp217.xml"/><Relationship Id="rId52" Type="http://schemas.openxmlformats.org/officeDocument/2006/relationships/ctrlProp" Target="../ctrlProps/ctrlProp225.xml"/><Relationship Id="rId60" Type="http://schemas.openxmlformats.org/officeDocument/2006/relationships/ctrlProp" Target="../ctrlProps/ctrlProp233.xml"/><Relationship Id="rId65" Type="http://schemas.openxmlformats.org/officeDocument/2006/relationships/ctrlProp" Target="../ctrlProps/ctrlProp238.xml"/><Relationship Id="rId73" Type="http://schemas.openxmlformats.org/officeDocument/2006/relationships/ctrlProp" Target="../ctrlProps/ctrlProp246.xml"/><Relationship Id="rId78" Type="http://schemas.openxmlformats.org/officeDocument/2006/relationships/ctrlProp" Target="../ctrlProps/ctrlProp251.xml"/><Relationship Id="rId81" Type="http://schemas.openxmlformats.org/officeDocument/2006/relationships/ctrlProp" Target="../ctrlProps/ctrlProp254.xml"/><Relationship Id="rId86" Type="http://schemas.openxmlformats.org/officeDocument/2006/relationships/ctrlProp" Target="../ctrlProps/ctrlProp259.xml"/><Relationship Id="rId94" Type="http://schemas.openxmlformats.org/officeDocument/2006/relationships/ctrlProp" Target="../ctrlProps/ctrlProp267.xml"/><Relationship Id="rId99" Type="http://schemas.openxmlformats.org/officeDocument/2006/relationships/ctrlProp" Target="../ctrlProps/ctrlProp272.xml"/><Relationship Id="rId101" Type="http://schemas.openxmlformats.org/officeDocument/2006/relationships/ctrlProp" Target="../ctrlProps/ctrlProp274.xml"/><Relationship Id="rId4" Type="http://schemas.openxmlformats.org/officeDocument/2006/relationships/ctrlProp" Target="../ctrlProps/ctrlProp177.xml"/><Relationship Id="rId9" Type="http://schemas.openxmlformats.org/officeDocument/2006/relationships/ctrlProp" Target="../ctrlProps/ctrlProp182.xml"/><Relationship Id="rId13" Type="http://schemas.openxmlformats.org/officeDocument/2006/relationships/ctrlProp" Target="../ctrlProps/ctrlProp186.xml"/><Relationship Id="rId18" Type="http://schemas.openxmlformats.org/officeDocument/2006/relationships/ctrlProp" Target="../ctrlProps/ctrlProp191.xml"/><Relationship Id="rId39" Type="http://schemas.openxmlformats.org/officeDocument/2006/relationships/ctrlProp" Target="../ctrlProps/ctrlProp212.xml"/><Relationship Id="rId109" Type="http://schemas.openxmlformats.org/officeDocument/2006/relationships/ctrlProp" Target="../ctrlProps/ctrlProp282.xml"/><Relationship Id="rId34" Type="http://schemas.openxmlformats.org/officeDocument/2006/relationships/ctrlProp" Target="../ctrlProps/ctrlProp207.xml"/><Relationship Id="rId50" Type="http://schemas.openxmlformats.org/officeDocument/2006/relationships/ctrlProp" Target="../ctrlProps/ctrlProp223.xml"/><Relationship Id="rId55" Type="http://schemas.openxmlformats.org/officeDocument/2006/relationships/ctrlProp" Target="../ctrlProps/ctrlProp228.xml"/><Relationship Id="rId76" Type="http://schemas.openxmlformats.org/officeDocument/2006/relationships/ctrlProp" Target="../ctrlProps/ctrlProp249.xml"/><Relationship Id="rId97" Type="http://schemas.openxmlformats.org/officeDocument/2006/relationships/ctrlProp" Target="../ctrlProps/ctrlProp270.xml"/><Relationship Id="rId104" Type="http://schemas.openxmlformats.org/officeDocument/2006/relationships/ctrlProp" Target="../ctrlProps/ctrlProp277.xml"/><Relationship Id="rId7" Type="http://schemas.openxmlformats.org/officeDocument/2006/relationships/ctrlProp" Target="../ctrlProps/ctrlProp180.xml"/><Relationship Id="rId71" Type="http://schemas.openxmlformats.org/officeDocument/2006/relationships/ctrlProp" Target="../ctrlProps/ctrlProp244.xml"/><Relationship Id="rId92" Type="http://schemas.openxmlformats.org/officeDocument/2006/relationships/ctrlProp" Target="../ctrlProps/ctrlProp265.xml"/><Relationship Id="rId2" Type="http://schemas.openxmlformats.org/officeDocument/2006/relationships/vmlDrawing" Target="../drawings/vmlDrawing3.vml"/><Relationship Id="rId29" Type="http://schemas.openxmlformats.org/officeDocument/2006/relationships/ctrlProp" Target="../ctrlProps/ctrlProp202.xml"/><Relationship Id="rId24" Type="http://schemas.openxmlformats.org/officeDocument/2006/relationships/ctrlProp" Target="../ctrlProps/ctrlProp197.xml"/><Relationship Id="rId40" Type="http://schemas.openxmlformats.org/officeDocument/2006/relationships/ctrlProp" Target="../ctrlProps/ctrlProp213.xml"/><Relationship Id="rId45" Type="http://schemas.openxmlformats.org/officeDocument/2006/relationships/ctrlProp" Target="../ctrlProps/ctrlProp218.xml"/><Relationship Id="rId66" Type="http://schemas.openxmlformats.org/officeDocument/2006/relationships/ctrlProp" Target="../ctrlProps/ctrlProp239.xml"/><Relationship Id="rId87" Type="http://schemas.openxmlformats.org/officeDocument/2006/relationships/ctrlProp" Target="../ctrlProps/ctrlProp260.xml"/><Relationship Id="rId110" Type="http://schemas.openxmlformats.org/officeDocument/2006/relationships/ctrlProp" Target="../ctrlProps/ctrlProp283.xml"/><Relationship Id="rId115" Type="http://schemas.openxmlformats.org/officeDocument/2006/relationships/ctrlProp" Target="../ctrlProps/ctrlProp288.xml"/><Relationship Id="rId61" Type="http://schemas.openxmlformats.org/officeDocument/2006/relationships/ctrlProp" Target="../ctrlProps/ctrlProp234.xml"/><Relationship Id="rId82" Type="http://schemas.openxmlformats.org/officeDocument/2006/relationships/ctrlProp" Target="../ctrlProps/ctrlProp255.xml"/><Relationship Id="rId19" Type="http://schemas.openxmlformats.org/officeDocument/2006/relationships/ctrlProp" Target="../ctrlProps/ctrlProp192.xml"/><Relationship Id="rId14" Type="http://schemas.openxmlformats.org/officeDocument/2006/relationships/ctrlProp" Target="../ctrlProps/ctrlProp187.xml"/><Relationship Id="rId30" Type="http://schemas.openxmlformats.org/officeDocument/2006/relationships/ctrlProp" Target="../ctrlProps/ctrlProp203.xml"/><Relationship Id="rId35" Type="http://schemas.openxmlformats.org/officeDocument/2006/relationships/ctrlProp" Target="../ctrlProps/ctrlProp208.xml"/><Relationship Id="rId56" Type="http://schemas.openxmlformats.org/officeDocument/2006/relationships/ctrlProp" Target="../ctrlProps/ctrlProp229.xml"/><Relationship Id="rId77" Type="http://schemas.openxmlformats.org/officeDocument/2006/relationships/ctrlProp" Target="../ctrlProps/ctrlProp250.xml"/><Relationship Id="rId100" Type="http://schemas.openxmlformats.org/officeDocument/2006/relationships/ctrlProp" Target="../ctrlProps/ctrlProp273.xml"/><Relationship Id="rId105" Type="http://schemas.openxmlformats.org/officeDocument/2006/relationships/ctrlProp" Target="../ctrlProps/ctrlProp278.xml"/><Relationship Id="rId8" Type="http://schemas.openxmlformats.org/officeDocument/2006/relationships/ctrlProp" Target="../ctrlProps/ctrlProp181.xml"/><Relationship Id="rId51" Type="http://schemas.openxmlformats.org/officeDocument/2006/relationships/ctrlProp" Target="../ctrlProps/ctrlProp224.xml"/><Relationship Id="rId72" Type="http://schemas.openxmlformats.org/officeDocument/2006/relationships/ctrlProp" Target="../ctrlProps/ctrlProp245.xml"/><Relationship Id="rId93" Type="http://schemas.openxmlformats.org/officeDocument/2006/relationships/ctrlProp" Target="../ctrlProps/ctrlProp266.xml"/><Relationship Id="rId98" Type="http://schemas.openxmlformats.org/officeDocument/2006/relationships/ctrlProp" Target="../ctrlProps/ctrlProp271.xml"/><Relationship Id="rId3" Type="http://schemas.openxmlformats.org/officeDocument/2006/relationships/ctrlProp" Target="../ctrlProps/ctrlProp176.xml"/><Relationship Id="rId25" Type="http://schemas.openxmlformats.org/officeDocument/2006/relationships/ctrlProp" Target="../ctrlProps/ctrlProp198.xml"/><Relationship Id="rId46" Type="http://schemas.openxmlformats.org/officeDocument/2006/relationships/ctrlProp" Target="../ctrlProps/ctrlProp219.xml"/><Relationship Id="rId67" Type="http://schemas.openxmlformats.org/officeDocument/2006/relationships/ctrlProp" Target="../ctrlProps/ctrlProp240.xml"/><Relationship Id="rId116" Type="http://schemas.openxmlformats.org/officeDocument/2006/relationships/ctrlProp" Target="../ctrlProps/ctrlProp289.xml"/><Relationship Id="rId20" Type="http://schemas.openxmlformats.org/officeDocument/2006/relationships/ctrlProp" Target="../ctrlProps/ctrlProp193.xml"/><Relationship Id="rId41" Type="http://schemas.openxmlformats.org/officeDocument/2006/relationships/ctrlProp" Target="../ctrlProps/ctrlProp214.xml"/><Relationship Id="rId62" Type="http://schemas.openxmlformats.org/officeDocument/2006/relationships/ctrlProp" Target="../ctrlProps/ctrlProp235.xml"/><Relationship Id="rId83" Type="http://schemas.openxmlformats.org/officeDocument/2006/relationships/ctrlProp" Target="../ctrlProps/ctrlProp256.xml"/><Relationship Id="rId88" Type="http://schemas.openxmlformats.org/officeDocument/2006/relationships/ctrlProp" Target="../ctrlProps/ctrlProp261.xml"/><Relationship Id="rId111" Type="http://schemas.openxmlformats.org/officeDocument/2006/relationships/ctrlProp" Target="../ctrlProps/ctrlProp284.xml"/><Relationship Id="rId15" Type="http://schemas.openxmlformats.org/officeDocument/2006/relationships/ctrlProp" Target="../ctrlProps/ctrlProp188.xml"/><Relationship Id="rId36" Type="http://schemas.openxmlformats.org/officeDocument/2006/relationships/ctrlProp" Target="../ctrlProps/ctrlProp209.xml"/><Relationship Id="rId57" Type="http://schemas.openxmlformats.org/officeDocument/2006/relationships/ctrlProp" Target="../ctrlProps/ctrlProp230.xml"/><Relationship Id="rId106" Type="http://schemas.openxmlformats.org/officeDocument/2006/relationships/ctrlProp" Target="../ctrlProps/ctrlProp279.xm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315.xml"/><Relationship Id="rId21" Type="http://schemas.openxmlformats.org/officeDocument/2006/relationships/ctrlProp" Target="../ctrlProps/ctrlProp310.xml"/><Relationship Id="rId42" Type="http://schemas.openxmlformats.org/officeDocument/2006/relationships/ctrlProp" Target="../ctrlProps/ctrlProp331.xml"/><Relationship Id="rId47" Type="http://schemas.openxmlformats.org/officeDocument/2006/relationships/ctrlProp" Target="../ctrlProps/ctrlProp336.xml"/><Relationship Id="rId63" Type="http://schemas.openxmlformats.org/officeDocument/2006/relationships/ctrlProp" Target="../ctrlProps/ctrlProp352.xml"/><Relationship Id="rId68" Type="http://schemas.openxmlformats.org/officeDocument/2006/relationships/ctrlProp" Target="../ctrlProps/ctrlProp357.xml"/><Relationship Id="rId84" Type="http://schemas.openxmlformats.org/officeDocument/2006/relationships/ctrlProp" Target="../ctrlProps/ctrlProp373.xml"/><Relationship Id="rId89" Type="http://schemas.openxmlformats.org/officeDocument/2006/relationships/ctrlProp" Target="../ctrlProps/ctrlProp378.xml"/><Relationship Id="rId16" Type="http://schemas.openxmlformats.org/officeDocument/2006/relationships/ctrlProp" Target="../ctrlProps/ctrlProp305.xml"/><Relationship Id="rId11" Type="http://schemas.openxmlformats.org/officeDocument/2006/relationships/ctrlProp" Target="../ctrlProps/ctrlProp300.xml"/><Relationship Id="rId32" Type="http://schemas.openxmlformats.org/officeDocument/2006/relationships/ctrlProp" Target="../ctrlProps/ctrlProp321.xml"/><Relationship Id="rId37" Type="http://schemas.openxmlformats.org/officeDocument/2006/relationships/ctrlProp" Target="../ctrlProps/ctrlProp326.xml"/><Relationship Id="rId53" Type="http://schemas.openxmlformats.org/officeDocument/2006/relationships/ctrlProp" Target="../ctrlProps/ctrlProp342.xml"/><Relationship Id="rId58" Type="http://schemas.openxmlformats.org/officeDocument/2006/relationships/ctrlProp" Target="../ctrlProps/ctrlProp347.xml"/><Relationship Id="rId74" Type="http://schemas.openxmlformats.org/officeDocument/2006/relationships/ctrlProp" Target="../ctrlProps/ctrlProp363.xml"/><Relationship Id="rId79" Type="http://schemas.openxmlformats.org/officeDocument/2006/relationships/ctrlProp" Target="../ctrlProps/ctrlProp368.xml"/><Relationship Id="rId102" Type="http://schemas.openxmlformats.org/officeDocument/2006/relationships/ctrlProp" Target="../ctrlProps/ctrlProp391.xml"/><Relationship Id="rId5" Type="http://schemas.openxmlformats.org/officeDocument/2006/relationships/ctrlProp" Target="../ctrlProps/ctrlProp294.xml"/><Relationship Id="rId90" Type="http://schemas.openxmlformats.org/officeDocument/2006/relationships/ctrlProp" Target="../ctrlProps/ctrlProp379.xml"/><Relationship Id="rId95" Type="http://schemas.openxmlformats.org/officeDocument/2006/relationships/ctrlProp" Target="../ctrlProps/ctrlProp384.xml"/><Relationship Id="rId22" Type="http://schemas.openxmlformats.org/officeDocument/2006/relationships/ctrlProp" Target="../ctrlProps/ctrlProp311.xml"/><Relationship Id="rId27" Type="http://schemas.openxmlformats.org/officeDocument/2006/relationships/ctrlProp" Target="../ctrlProps/ctrlProp316.xml"/><Relationship Id="rId43" Type="http://schemas.openxmlformats.org/officeDocument/2006/relationships/ctrlProp" Target="../ctrlProps/ctrlProp332.xml"/><Relationship Id="rId48" Type="http://schemas.openxmlformats.org/officeDocument/2006/relationships/ctrlProp" Target="../ctrlProps/ctrlProp337.xml"/><Relationship Id="rId64" Type="http://schemas.openxmlformats.org/officeDocument/2006/relationships/ctrlProp" Target="../ctrlProps/ctrlProp353.xml"/><Relationship Id="rId69" Type="http://schemas.openxmlformats.org/officeDocument/2006/relationships/ctrlProp" Target="../ctrlProps/ctrlProp358.xml"/><Relationship Id="rId80" Type="http://schemas.openxmlformats.org/officeDocument/2006/relationships/ctrlProp" Target="../ctrlProps/ctrlProp369.xml"/><Relationship Id="rId85" Type="http://schemas.openxmlformats.org/officeDocument/2006/relationships/ctrlProp" Target="../ctrlProps/ctrlProp374.xml"/><Relationship Id="rId12" Type="http://schemas.openxmlformats.org/officeDocument/2006/relationships/ctrlProp" Target="../ctrlProps/ctrlProp301.xml"/><Relationship Id="rId17" Type="http://schemas.openxmlformats.org/officeDocument/2006/relationships/ctrlProp" Target="../ctrlProps/ctrlProp306.xml"/><Relationship Id="rId25" Type="http://schemas.openxmlformats.org/officeDocument/2006/relationships/ctrlProp" Target="../ctrlProps/ctrlProp314.xml"/><Relationship Id="rId33" Type="http://schemas.openxmlformats.org/officeDocument/2006/relationships/ctrlProp" Target="../ctrlProps/ctrlProp322.xml"/><Relationship Id="rId38" Type="http://schemas.openxmlformats.org/officeDocument/2006/relationships/ctrlProp" Target="../ctrlProps/ctrlProp327.xml"/><Relationship Id="rId46" Type="http://schemas.openxmlformats.org/officeDocument/2006/relationships/ctrlProp" Target="../ctrlProps/ctrlProp335.xml"/><Relationship Id="rId59" Type="http://schemas.openxmlformats.org/officeDocument/2006/relationships/ctrlProp" Target="../ctrlProps/ctrlProp348.xml"/><Relationship Id="rId67" Type="http://schemas.openxmlformats.org/officeDocument/2006/relationships/ctrlProp" Target="../ctrlProps/ctrlProp356.xml"/><Relationship Id="rId103" Type="http://schemas.openxmlformats.org/officeDocument/2006/relationships/ctrlProp" Target="../ctrlProps/ctrlProp392.xml"/><Relationship Id="rId20" Type="http://schemas.openxmlformats.org/officeDocument/2006/relationships/ctrlProp" Target="../ctrlProps/ctrlProp309.xml"/><Relationship Id="rId41" Type="http://schemas.openxmlformats.org/officeDocument/2006/relationships/ctrlProp" Target="../ctrlProps/ctrlProp330.xml"/><Relationship Id="rId54" Type="http://schemas.openxmlformats.org/officeDocument/2006/relationships/ctrlProp" Target="../ctrlProps/ctrlProp343.xml"/><Relationship Id="rId62" Type="http://schemas.openxmlformats.org/officeDocument/2006/relationships/ctrlProp" Target="../ctrlProps/ctrlProp351.xml"/><Relationship Id="rId70" Type="http://schemas.openxmlformats.org/officeDocument/2006/relationships/ctrlProp" Target="../ctrlProps/ctrlProp359.xml"/><Relationship Id="rId75" Type="http://schemas.openxmlformats.org/officeDocument/2006/relationships/ctrlProp" Target="../ctrlProps/ctrlProp364.xml"/><Relationship Id="rId83" Type="http://schemas.openxmlformats.org/officeDocument/2006/relationships/ctrlProp" Target="../ctrlProps/ctrlProp372.xml"/><Relationship Id="rId88" Type="http://schemas.openxmlformats.org/officeDocument/2006/relationships/ctrlProp" Target="../ctrlProps/ctrlProp377.xml"/><Relationship Id="rId91" Type="http://schemas.openxmlformats.org/officeDocument/2006/relationships/ctrlProp" Target="../ctrlProps/ctrlProp380.xml"/><Relationship Id="rId96" Type="http://schemas.openxmlformats.org/officeDocument/2006/relationships/ctrlProp" Target="../ctrlProps/ctrlProp385.xml"/><Relationship Id="rId1" Type="http://schemas.openxmlformats.org/officeDocument/2006/relationships/drawing" Target="../drawings/drawing4.xml"/><Relationship Id="rId6" Type="http://schemas.openxmlformats.org/officeDocument/2006/relationships/ctrlProp" Target="../ctrlProps/ctrlProp295.xml"/><Relationship Id="rId15" Type="http://schemas.openxmlformats.org/officeDocument/2006/relationships/ctrlProp" Target="../ctrlProps/ctrlProp304.xml"/><Relationship Id="rId23" Type="http://schemas.openxmlformats.org/officeDocument/2006/relationships/ctrlProp" Target="../ctrlProps/ctrlProp312.xml"/><Relationship Id="rId28" Type="http://schemas.openxmlformats.org/officeDocument/2006/relationships/ctrlProp" Target="../ctrlProps/ctrlProp317.xml"/><Relationship Id="rId36" Type="http://schemas.openxmlformats.org/officeDocument/2006/relationships/ctrlProp" Target="../ctrlProps/ctrlProp325.xml"/><Relationship Id="rId49" Type="http://schemas.openxmlformats.org/officeDocument/2006/relationships/ctrlProp" Target="../ctrlProps/ctrlProp338.xml"/><Relationship Id="rId57" Type="http://schemas.openxmlformats.org/officeDocument/2006/relationships/ctrlProp" Target="../ctrlProps/ctrlProp346.xml"/><Relationship Id="rId10" Type="http://schemas.openxmlformats.org/officeDocument/2006/relationships/ctrlProp" Target="../ctrlProps/ctrlProp299.xml"/><Relationship Id="rId31" Type="http://schemas.openxmlformats.org/officeDocument/2006/relationships/ctrlProp" Target="../ctrlProps/ctrlProp320.xml"/><Relationship Id="rId44" Type="http://schemas.openxmlformats.org/officeDocument/2006/relationships/ctrlProp" Target="../ctrlProps/ctrlProp333.xml"/><Relationship Id="rId52" Type="http://schemas.openxmlformats.org/officeDocument/2006/relationships/ctrlProp" Target="../ctrlProps/ctrlProp341.xml"/><Relationship Id="rId60" Type="http://schemas.openxmlformats.org/officeDocument/2006/relationships/ctrlProp" Target="../ctrlProps/ctrlProp349.xml"/><Relationship Id="rId65" Type="http://schemas.openxmlformats.org/officeDocument/2006/relationships/ctrlProp" Target="../ctrlProps/ctrlProp354.xml"/><Relationship Id="rId73" Type="http://schemas.openxmlformats.org/officeDocument/2006/relationships/ctrlProp" Target="../ctrlProps/ctrlProp362.xml"/><Relationship Id="rId78" Type="http://schemas.openxmlformats.org/officeDocument/2006/relationships/ctrlProp" Target="../ctrlProps/ctrlProp367.xml"/><Relationship Id="rId81" Type="http://schemas.openxmlformats.org/officeDocument/2006/relationships/ctrlProp" Target="../ctrlProps/ctrlProp370.xml"/><Relationship Id="rId86" Type="http://schemas.openxmlformats.org/officeDocument/2006/relationships/ctrlProp" Target="../ctrlProps/ctrlProp375.xml"/><Relationship Id="rId94" Type="http://schemas.openxmlformats.org/officeDocument/2006/relationships/ctrlProp" Target="../ctrlProps/ctrlProp383.xml"/><Relationship Id="rId99" Type="http://schemas.openxmlformats.org/officeDocument/2006/relationships/ctrlProp" Target="../ctrlProps/ctrlProp388.xml"/><Relationship Id="rId101" Type="http://schemas.openxmlformats.org/officeDocument/2006/relationships/ctrlProp" Target="../ctrlProps/ctrlProp390.xml"/><Relationship Id="rId4" Type="http://schemas.openxmlformats.org/officeDocument/2006/relationships/ctrlProp" Target="../ctrlProps/ctrlProp293.xml"/><Relationship Id="rId9" Type="http://schemas.openxmlformats.org/officeDocument/2006/relationships/ctrlProp" Target="../ctrlProps/ctrlProp298.xml"/><Relationship Id="rId13" Type="http://schemas.openxmlformats.org/officeDocument/2006/relationships/ctrlProp" Target="../ctrlProps/ctrlProp302.xml"/><Relationship Id="rId18" Type="http://schemas.openxmlformats.org/officeDocument/2006/relationships/ctrlProp" Target="../ctrlProps/ctrlProp307.xml"/><Relationship Id="rId39" Type="http://schemas.openxmlformats.org/officeDocument/2006/relationships/ctrlProp" Target="../ctrlProps/ctrlProp328.xml"/><Relationship Id="rId34" Type="http://schemas.openxmlformats.org/officeDocument/2006/relationships/ctrlProp" Target="../ctrlProps/ctrlProp323.xml"/><Relationship Id="rId50" Type="http://schemas.openxmlformats.org/officeDocument/2006/relationships/ctrlProp" Target="../ctrlProps/ctrlProp339.xml"/><Relationship Id="rId55" Type="http://schemas.openxmlformats.org/officeDocument/2006/relationships/ctrlProp" Target="../ctrlProps/ctrlProp344.xml"/><Relationship Id="rId76" Type="http://schemas.openxmlformats.org/officeDocument/2006/relationships/ctrlProp" Target="../ctrlProps/ctrlProp365.xml"/><Relationship Id="rId97" Type="http://schemas.openxmlformats.org/officeDocument/2006/relationships/ctrlProp" Target="../ctrlProps/ctrlProp386.xml"/><Relationship Id="rId104" Type="http://schemas.openxmlformats.org/officeDocument/2006/relationships/ctrlProp" Target="../ctrlProps/ctrlProp393.xml"/><Relationship Id="rId7" Type="http://schemas.openxmlformats.org/officeDocument/2006/relationships/ctrlProp" Target="../ctrlProps/ctrlProp296.xml"/><Relationship Id="rId71" Type="http://schemas.openxmlformats.org/officeDocument/2006/relationships/ctrlProp" Target="../ctrlProps/ctrlProp360.xml"/><Relationship Id="rId92" Type="http://schemas.openxmlformats.org/officeDocument/2006/relationships/ctrlProp" Target="../ctrlProps/ctrlProp381.xml"/><Relationship Id="rId2" Type="http://schemas.openxmlformats.org/officeDocument/2006/relationships/vmlDrawing" Target="../drawings/vmlDrawing4.vml"/><Relationship Id="rId29" Type="http://schemas.openxmlformats.org/officeDocument/2006/relationships/ctrlProp" Target="../ctrlProps/ctrlProp318.xml"/><Relationship Id="rId24" Type="http://schemas.openxmlformats.org/officeDocument/2006/relationships/ctrlProp" Target="../ctrlProps/ctrlProp313.xml"/><Relationship Id="rId40" Type="http://schemas.openxmlformats.org/officeDocument/2006/relationships/ctrlProp" Target="../ctrlProps/ctrlProp329.xml"/><Relationship Id="rId45" Type="http://schemas.openxmlformats.org/officeDocument/2006/relationships/ctrlProp" Target="../ctrlProps/ctrlProp334.xml"/><Relationship Id="rId66" Type="http://schemas.openxmlformats.org/officeDocument/2006/relationships/ctrlProp" Target="../ctrlProps/ctrlProp355.xml"/><Relationship Id="rId87" Type="http://schemas.openxmlformats.org/officeDocument/2006/relationships/ctrlProp" Target="../ctrlProps/ctrlProp376.xml"/><Relationship Id="rId61" Type="http://schemas.openxmlformats.org/officeDocument/2006/relationships/ctrlProp" Target="../ctrlProps/ctrlProp350.xml"/><Relationship Id="rId82" Type="http://schemas.openxmlformats.org/officeDocument/2006/relationships/ctrlProp" Target="../ctrlProps/ctrlProp371.xml"/><Relationship Id="rId19" Type="http://schemas.openxmlformats.org/officeDocument/2006/relationships/ctrlProp" Target="../ctrlProps/ctrlProp308.xml"/><Relationship Id="rId14" Type="http://schemas.openxmlformats.org/officeDocument/2006/relationships/ctrlProp" Target="../ctrlProps/ctrlProp303.xml"/><Relationship Id="rId30" Type="http://schemas.openxmlformats.org/officeDocument/2006/relationships/ctrlProp" Target="../ctrlProps/ctrlProp319.xml"/><Relationship Id="rId35" Type="http://schemas.openxmlformats.org/officeDocument/2006/relationships/ctrlProp" Target="../ctrlProps/ctrlProp324.xml"/><Relationship Id="rId56" Type="http://schemas.openxmlformats.org/officeDocument/2006/relationships/ctrlProp" Target="../ctrlProps/ctrlProp345.xml"/><Relationship Id="rId77" Type="http://schemas.openxmlformats.org/officeDocument/2006/relationships/ctrlProp" Target="../ctrlProps/ctrlProp366.xml"/><Relationship Id="rId100" Type="http://schemas.openxmlformats.org/officeDocument/2006/relationships/ctrlProp" Target="../ctrlProps/ctrlProp389.xml"/><Relationship Id="rId8" Type="http://schemas.openxmlformats.org/officeDocument/2006/relationships/ctrlProp" Target="../ctrlProps/ctrlProp297.xml"/><Relationship Id="rId51" Type="http://schemas.openxmlformats.org/officeDocument/2006/relationships/ctrlProp" Target="../ctrlProps/ctrlProp340.xml"/><Relationship Id="rId72" Type="http://schemas.openxmlformats.org/officeDocument/2006/relationships/ctrlProp" Target="../ctrlProps/ctrlProp361.xml"/><Relationship Id="rId93" Type="http://schemas.openxmlformats.org/officeDocument/2006/relationships/ctrlProp" Target="../ctrlProps/ctrlProp382.xml"/><Relationship Id="rId98" Type="http://schemas.openxmlformats.org/officeDocument/2006/relationships/ctrlProp" Target="../ctrlProps/ctrlProp387.xml"/><Relationship Id="rId3" Type="http://schemas.openxmlformats.org/officeDocument/2006/relationships/ctrlProp" Target="../ctrlProps/ctrlProp292.xm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417.xml"/><Relationship Id="rId21" Type="http://schemas.openxmlformats.org/officeDocument/2006/relationships/ctrlProp" Target="../ctrlProps/ctrlProp412.xml"/><Relationship Id="rId42" Type="http://schemas.openxmlformats.org/officeDocument/2006/relationships/ctrlProp" Target="../ctrlProps/ctrlProp433.xml"/><Relationship Id="rId47" Type="http://schemas.openxmlformats.org/officeDocument/2006/relationships/ctrlProp" Target="../ctrlProps/ctrlProp438.xml"/><Relationship Id="rId63" Type="http://schemas.openxmlformats.org/officeDocument/2006/relationships/ctrlProp" Target="../ctrlProps/ctrlProp454.xml"/><Relationship Id="rId68" Type="http://schemas.openxmlformats.org/officeDocument/2006/relationships/ctrlProp" Target="../ctrlProps/ctrlProp459.xml"/><Relationship Id="rId84" Type="http://schemas.openxmlformats.org/officeDocument/2006/relationships/ctrlProp" Target="../ctrlProps/ctrlProp475.xml"/><Relationship Id="rId89" Type="http://schemas.openxmlformats.org/officeDocument/2006/relationships/ctrlProp" Target="../ctrlProps/ctrlProp480.xml"/><Relationship Id="rId16" Type="http://schemas.openxmlformats.org/officeDocument/2006/relationships/ctrlProp" Target="../ctrlProps/ctrlProp407.xml"/><Relationship Id="rId11" Type="http://schemas.openxmlformats.org/officeDocument/2006/relationships/ctrlProp" Target="../ctrlProps/ctrlProp402.xml"/><Relationship Id="rId32" Type="http://schemas.openxmlformats.org/officeDocument/2006/relationships/ctrlProp" Target="../ctrlProps/ctrlProp423.xml"/><Relationship Id="rId37" Type="http://schemas.openxmlformats.org/officeDocument/2006/relationships/ctrlProp" Target="../ctrlProps/ctrlProp428.xml"/><Relationship Id="rId53" Type="http://schemas.openxmlformats.org/officeDocument/2006/relationships/ctrlProp" Target="../ctrlProps/ctrlProp444.xml"/><Relationship Id="rId58" Type="http://schemas.openxmlformats.org/officeDocument/2006/relationships/ctrlProp" Target="../ctrlProps/ctrlProp449.xml"/><Relationship Id="rId74" Type="http://schemas.openxmlformats.org/officeDocument/2006/relationships/ctrlProp" Target="../ctrlProps/ctrlProp465.xml"/><Relationship Id="rId79" Type="http://schemas.openxmlformats.org/officeDocument/2006/relationships/ctrlProp" Target="../ctrlProps/ctrlProp470.xml"/><Relationship Id="rId102" Type="http://schemas.openxmlformats.org/officeDocument/2006/relationships/ctrlProp" Target="../ctrlProps/ctrlProp493.xml"/><Relationship Id="rId5" Type="http://schemas.openxmlformats.org/officeDocument/2006/relationships/ctrlProp" Target="../ctrlProps/ctrlProp396.xml"/><Relationship Id="rId90" Type="http://schemas.openxmlformats.org/officeDocument/2006/relationships/ctrlProp" Target="../ctrlProps/ctrlProp481.xml"/><Relationship Id="rId95" Type="http://schemas.openxmlformats.org/officeDocument/2006/relationships/ctrlProp" Target="../ctrlProps/ctrlProp486.xml"/><Relationship Id="rId22" Type="http://schemas.openxmlformats.org/officeDocument/2006/relationships/ctrlProp" Target="../ctrlProps/ctrlProp413.xml"/><Relationship Id="rId27" Type="http://schemas.openxmlformats.org/officeDocument/2006/relationships/ctrlProp" Target="../ctrlProps/ctrlProp418.xml"/><Relationship Id="rId43" Type="http://schemas.openxmlformats.org/officeDocument/2006/relationships/ctrlProp" Target="../ctrlProps/ctrlProp434.xml"/><Relationship Id="rId48" Type="http://schemas.openxmlformats.org/officeDocument/2006/relationships/ctrlProp" Target="../ctrlProps/ctrlProp439.xml"/><Relationship Id="rId64" Type="http://schemas.openxmlformats.org/officeDocument/2006/relationships/ctrlProp" Target="../ctrlProps/ctrlProp455.xml"/><Relationship Id="rId69" Type="http://schemas.openxmlformats.org/officeDocument/2006/relationships/ctrlProp" Target="../ctrlProps/ctrlProp460.xml"/><Relationship Id="rId80" Type="http://schemas.openxmlformats.org/officeDocument/2006/relationships/ctrlProp" Target="../ctrlProps/ctrlProp471.xml"/><Relationship Id="rId85" Type="http://schemas.openxmlformats.org/officeDocument/2006/relationships/ctrlProp" Target="../ctrlProps/ctrlProp476.xml"/><Relationship Id="rId12" Type="http://schemas.openxmlformats.org/officeDocument/2006/relationships/ctrlProp" Target="../ctrlProps/ctrlProp403.xml"/><Relationship Id="rId17" Type="http://schemas.openxmlformats.org/officeDocument/2006/relationships/ctrlProp" Target="../ctrlProps/ctrlProp408.xml"/><Relationship Id="rId25" Type="http://schemas.openxmlformats.org/officeDocument/2006/relationships/ctrlProp" Target="../ctrlProps/ctrlProp416.xml"/><Relationship Id="rId33" Type="http://schemas.openxmlformats.org/officeDocument/2006/relationships/ctrlProp" Target="../ctrlProps/ctrlProp424.xml"/><Relationship Id="rId38" Type="http://schemas.openxmlformats.org/officeDocument/2006/relationships/ctrlProp" Target="../ctrlProps/ctrlProp429.xml"/><Relationship Id="rId46" Type="http://schemas.openxmlformats.org/officeDocument/2006/relationships/ctrlProp" Target="../ctrlProps/ctrlProp437.xml"/><Relationship Id="rId59" Type="http://schemas.openxmlformats.org/officeDocument/2006/relationships/ctrlProp" Target="../ctrlProps/ctrlProp450.xml"/><Relationship Id="rId67" Type="http://schemas.openxmlformats.org/officeDocument/2006/relationships/ctrlProp" Target="../ctrlProps/ctrlProp458.xml"/><Relationship Id="rId103" Type="http://schemas.openxmlformats.org/officeDocument/2006/relationships/ctrlProp" Target="../ctrlProps/ctrlProp494.xml"/><Relationship Id="rId20" Type="http://schemas.openxmlformats.org/officeDocument/2006/relationships/ctrlProp" Target="../ctrlProps/ctrlProp411.xml"/><Relationship Id="rId41" Type="http://schemas.openxmlformats.org/officeDocument/2006/relationships/ctrlProp" Target="../ctrlProps/ctrlProp432.xml"/><Relationship Id="rId54" Type="http://schemas.openxmlformats.org/officeDocument/2006/relationships/ctrlProp" Target="../ctrlProps/ctrlProp445.xml"/><Relationship Id="rId62" Type="http://schemas.openxmlformats.org/officeDocument/2006/relationships/ctrlProp" Target="../ctrlProps/ctrlProp453.xml"/><Relationship Id="rId70" Type="http://schemas.openxmlformats.org/officeDocument/2006/relationships/ctrlProp" Target="../ctrlProps/ctrlProp461.xml"/><Relationship Id="rId75" Type="http://schemas.openxmlformats.org/officeDocument/2006/relationships/ctrlProp" Target="../ctrlProps/ctrlProp466.xml"/><Relationship Id="rId83" Type="http://schemas.openxmlformats.org/officeDocument/2006/relationships/ctrlProp" Target="../ctrlProps/ctrlProp474.xml"/><Relationship Id="rId88" Type="http://schemas.openxmlformats.org/officeDocument/2006/relationships/ctrlProp" Target="../ctrlProps/ctrlProp479.xml"/><Relationship Id="rId91" Type="http://schemas.openxmlformats.org/officeDocument/2006/relationships/ctrlProp" Target="../ctrlProps/ctrlProp482.xml"/><Relationship Id="rId96" Type="http://schemas.openxmlformats.org/officeDocument/2006/relationships/ctrlProp" Target="../ctrlProps/ctrlProp487.xml"/><Relationship Id="rId1" Type="http://schemas.openxmlformats.org/officeDocument/2006/relationships/drawing" Target="../drawings/drawing5.xml"/><Relationship Id="rId6" Type="http://schemas.openxmlformats.org/officeDocument/2006/relationships/ctrlProp" Target="../ctrlProps/ctrlProp397.xml"/><Relationship Id="rId15" Type="http://schemas.openxmlformats.org/officeDocument/2006/relationships/ctrlProp" Target="../ctrlProps/ctrlProp406.xml"/><Relationship Id="rId23" Type="http://schemas.openxmlformats.org/officeDocument/2006/relationships/ctrlProp" Target="../ctrlProps/ctrlProp414.xml"/><Relationship Id="rId28" Type="http://schemas.openxmlformats.org/officeDocument/2006/relationships/ctrlProp" Target="../ctrlProps/ctrlProp419.xml"/><Relationship Id="rId36" Type="http://schemas.openxmlformats.org/officeDocument/2006/relationships/ctrlProp" Target="../ctrlProps/ctrlProp427.xml"/><Relationship Id="rId49" Type="http://schemas.openxmlformats.org/officeDocument/2006/relationships/ctrlProp" Target="../ctrlProps/ctrlProp440.xml"/><Relationship Id="rId57" Type="http://schemas.openxmlformats.org/officeDocument/2006/relationships/ctrlProp" Target="../ctrlProps/ctrlProp448.xml"/><Relationship Id="rId10" Type="http://schemas.openxmlformats.org/officeDocument/2006/relationships/ctrlProp" Target="../ctrlProps/ctrlProp401.xml"/><Relationship Id="rId31" Type="http://schemas.openxmlformats.org/officeDocument/2006/relationships/ctrlProp" Target="../ctrlProps/ctrlProp422.xml"/><Relationship Id="rId44" Type="http://schemas.openxmlformats.org/officeDocument/2006/relationships/ctrlProp" Target="../ctrlProps/ctrlProp435.xml"/><Relationship Id="rId52" Type="http://schemas.openxmlformats.org/officeDocument/2006/relationships/ctrlProp" Target="../ctrlProps/ctrlProp443.xml"/><Relationship Id="rId60" Type="http://schemas.openxmlformats.org/officeDocument/2006/relationships/ctrlProp" Target="../ctrlProps/ctrlProp451.xml"/><Relationship Id="rId65" Type="http://schemas.openxmlformats.org/officeDocument/2006/relationships/ctrlProp" Target="../ctrlProps/ctrlProp456.xml"/><Relationship Id="rId73" Type="http://schemas.openxmlformats.org/officeDocument/2006/relationships/ctrlProp" Target="../ctrlProps/ctrlProp464.xml"/><Relationship Id="rId78" Type="http://schemas.openxmlformats.org/officeDocument/2006/relationships/ctrlProp" Target="../ctrlProps/ctrlProp469.xml"/><Relationship Id="rId81" Type="http://schemas.openxmlformats.org/officeDocument/2006/relationships/ctrlProp" Target="../ctrlProps/ctrlProp472.xml"/><Relationship Id="rId86" Type="http://schemas.openxmlformats.org/officeDocument/2006/relationships/ctrlProp" Target="../ctrlProps/ctrlProp477.xml"/><Relationship Id="rId94" Type="http://schemas.openxmlformats.org/officeDocument/2006/relationships/ctrlProp" Target="../ctrlProps/ctrlProp485.xml"/><Relationship Id="rId99" Type="http://schemas.openxmlformats.org/officeDocument/2006/relationships/ctrlProp" Target="../ctrlProps/ctrlProp490.xml"/><Relationship Id="rId101" Type="http://schemas.openxmlformats.org/officeDocument/2006/relationships/ctrlProp" Target="../ctrlProps/ctrlProp492.xml"/><Relationship Id="rId4" Type="http://schemas.openxmlformats.org/officeDocument/2006/relationships/ctrlProp" Target="../ctrlProps/ctrlProp395.xml"/><Relationship Id="rId9" Type="http://schemas.openxmlformats.org/officeDocument/2006/relationships/ctrlProp" Target="../ctrlProps/ctrlProp400.xml"/><Relationship Id="rId13" Type="http://schemas.openxmlformats.org/officeDocument/2006/relationships/ctrlProp" Target="../ctrlProps/ctrlProp404.xml"/><Relationship Id="rId18" Type="http://schemas.openxmlformats.org/officeDocument/2006/relationships/ctrlProp" Target="../ctrlProps/ctrlProp409.xml"/><Relationship Id="rId39" Type="http://schemas.openxmlformats.org/officeDocument/2006/relationships/ctrlProp" Target="../ctrlProps/ctrlProp430.xml"/><Relationship Id="rId34" Type="http://schemas.openxmlformats.org/officeDocument/2006/relationships/ctrlProp" Target="../ctrlProps/ctrlProp425.xml"/><Relationship Id="rId50" Type="http://schemas.openxmlformats.org/officeDocument/2006/relationships/ctrlProp" Target="../ctrlProps/ctrlProp441.xml"/><Relationship Id="rId55" Type="http://schemas.openxmlformats.org/officeDocument/2006/relationships/ctrlProp" Target="../ctrlProps/ctrlProp446.xml"/><Relationship Id="rId76" Type="http://schemas.openxmlformats.org/officeDocument/2006/relationships/ctrlProp" Target="../ctrlProps/ctrlProp467.xml"/><Relationship Id="rId97" Type="http://schemas.openxmlformats.org/officeDocument/2006/relationships/ctrlProp" Target="../ctrlProps/ctrlProp488.xml"/><Relationship Id="rId104" Type="http://schemas.openxmlformats.org/officeDocument/2006/relationships/ctrlProp" Target="../ctrlProps/ctrlProp495.xml"/><Relationship Id="rId7" Type="http://schemas.openxmlformats.org/officeDocument/2006/relationships/ctrlProp" Target="../ctrlProps/ctrlProp398.xml"/><Relationship Id="rId71" Type="http://schemas.openxmlformats.org/officeDocument/2006/relationships/ctrlProp" Target="../ctrlProps/ctrlProp462.xml"/><Relationship Id="rId92" Type="http://schemas.openxmlformats.org/officeDocument/2006/relationships/ctrlProp" Target="../ctrlProps/ctrlProp483.xml"/><Relationship Id="rId2" Type="http://schemas.openxmlformats.org/officeDocument/2006/relationships/vmlDrawing" Target="../drawings/vmlDrawing5.vml"/><Relationship Id="rId29" Type="http://schemas.openxmlformats.org/officeDocument/2006/relationships/ctrlProp" Target="../ctrlProps/ctrlProp420.xml"/><Relationship Id="rId24" Type="http://schemas.openxmlformats.org/officeDocument/2006/relationships/ctrlProp" Target="../ctrlProps/ctrlProp415.xml"/><Relationship Id="rId40" Type="http://schemas.openxmlformats.org/officeDocument/2006/relationships/ctrlProp" Target="../ctrlProps/ctrlProp431.xml"/><Relationship Id="rId45" Type="http://schemas.openxmlformats.org/officeDocument/2006/relationships/ctrlProp" Target="../ctrlProps/ctrlProp436.xml"/><Relationship Id="rId66" Type="http://schemas.openxmlformats.org/officeDocument/2006/relationships/ctrlProp" Target="../ctrlProps/ctrlProp457.xml"/><Relationship Id="rId87" Type="http://schemas.openxmlformats.org/officeDocument/2006/relationships/ctrlProp" Target="../ctrlProps/ctrlProp478.xml"/><Relationship Id="rId61" Type="http://schemas.openxmlformats.org/officeDocument/2006/relationships/ctrlProp" Target="../ctrlProps/ctrlProp452.xml"/><Relationship Id="rId82" Type="http://schemas.openxmlformats.org/officeDocument/2006/relationships/ctrlProp" Target="../ctrlProps/ctrlProp473.xml"/><Relationship Id="rId19" Type="http://schemas.openxmlformats.org/officeDocument/2006/relationships/ctrlProp" Target="../ctrlProps/ctrlProp410.xml"/><Relationship Id="rId14" Type="http://schemas.openxmlformats.org/officeDocument/2006/relationships/ctrlProp" Target="../ctrlProps/ctrlProp405.xml"/><Relationship Id="rId30" Type="http://schemas.openxmlformats.org/officeDocument/2006/relationships/ctrlProp" Target="../ctrlProps/ctrlProp421.xml"/><Relationship Id="rId35" Type="http://schemas.openxmlformats.org/officeDocument/2006/relationships/ctrlProp" Target="../ctrlProps/ctrlProp426.xml"/><Relationship Id="rId56" Type="http://schemas.openxmlformats.org/officeDocument/2006/relationships/ctrlProp" Target="../ctrlProps/ctrlProp447.xml"/><Relationship Id="rId77" Type="http://schemas.openxmlformats.org/officeDocument/2006/relationships/ctrlProp" Target="../ctrlProps/ctrlProp468.xml"/><Relationship Id="rId100" Type="http://schemas.openxmlformats.org/officeDocument/2006/relationships/ctrlProp" Target="../ctrlProps/ctrlProp491.xml"/><Relationship Id="rId8" Type="http://schemas.openxmlformats.org/officeDocument/2006/relationships/ctrlProp" Target="../ctrlProps/ctrlProp399.xml"/><Relationship Id="rId51" Type="http://schemas.openxmlformats.org/officeDocument/2006/relationships/ctrlProp" Target="../ctrlProps/ctrlProp442.xml"/><Relationship Id="rId72" Type="http://schemas.openxmlformats.org/officeDocument/2006/relationships/ctrlProp" Target="../ctrlProps/ctrlProp463.xml"/><Relationship Id="rId93" Type="http://schemas.openxmlformats.org/officeDocument/2006/relationships/ctrlProp" Target="../ctrlProps/ctrlProp484.xml"/><Relationship Id="rId98" Type="http://schemas.openxmlformats.org/officeDocument/2006/relationships/ctrlProp" Target="../ctrlProps/ctrlProp489.xml"/><Relationship Id="rId3" Type="http://schemas.openxmlformats.org/officeDocument/2006/relationships/ctrlProp" Target="../ctrlProps/ctrlProp394.xm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518.xml"/><Relationship Id="rId117" Type="http://schemas.openxmlformats.org/officeDocument/2006/relationships/ctrlProp" Target="../ctrlProps/ctrlProp609.xml"/><Relationship Id="rId21" Type="http://schemas.openxmlformats.org/officeDocument/2006/relationships/ctrlProp" Target="../ctrlProps/ctrlProp513.xml"/><Relationship Id="rId42" Type="http://schemas.openxmlformats.org/officeDocument/2006/relationships/ctrlProp" Target="../ctrlProps/ctrlProp534.xml"/><Relationship Id="rId47" Type="http://schemas.openxmlformats.org/officeDocument/2006/relationships/ctrlProp" Target="../ctrlProps/ctrlProp539.xml"/><Relationship Id="rId63" Type="http://schemas.openxmlformats.org/officeDocument/2006/relationships/ctrlProp" Target="../ctrlProps/ctrlProp555.xml"/><Relationship Id="rId68" Type="http://schemas.openxmlformats.org/officeDocument/2006/relationships/ctrlProp" Target="../ctrlProps/ctrlProp560.xml"/><Relationship Id="rId84" Type="http://schemas.openxmlformats.org/officeDocument/2006/relationships/ctrlProp" Target="../ctrlProps/ctrlProp576.xml"/><Relationship Id="rId89" Type="http://schemas.openxmlformats.org/officeDocument/2006/relationships/ctrlProp" Target="../ctrlProps/ctrlProp581.xml"/><Relationship Id="rId112" Type="http://schemas.openxmlformats.org/officeDocument/2006/relationships/ctrlProp" Target="../ctrlProps/ctrlProp604.xml"/><Relationship Id="rId16" Type="http://schemas.openxmlformats.org/officeDocument/2006/relationships/ctrlProp" Target="../ctrlProps/ctrlProp508.xml"/><Relationship Id="rId107" Type="http://schemas.openxmlformats.org/officeDocument/2006/relationships/ctrlProp" Target="../ctrlProps/ctrlProp599.xml"/><Relationship Id="rId11" Type="http://schemas.openxmlformats.org/officeDocument/2006/relationships/ctrlProp" Target="../ctrlProps/ctrlProp503.xml"/><Relationship Id="rId32" Type="http://schemas.openxmlformats.org/officeDocument/2006/relationships/ctrlProp" Target="../ctrlProps/ctrlProp524.xml"/><Relationship Id="rId37" Type="http://schemas.openxmlformats.org/officeDocument/2006/relationships/ctrlProp" Target="../ctrlProps/ctrlProp529.xml"/><Relationship Id="rId53" Type="http://schemas.openxmlformats.org/officeDocument/2006/relationships/ctrlProp" Target="../ctrlProps/ctrlProp545.xml"/><Relationship Id="rId58" Type="http://schemas.openxmlformats.org/officeDocument/2006/relationships/ctrlProp" Target="../ctrlProps/ctrlProp550.xml"/><Relationship Id="rId74" Type="http://schemas.openxmlformats.org/officeDocument/2006/relationships/ctrlProp" Target="../ctrlProps/ctrlProp566.xml"/><Relationship Id="rId79" Type="http://schemas.openxmlformats.org/officeDocument/2006/relationships/ctrlProp" Target="../ctrlProps/ctrlProp571.xml"/><Relationship Id="rId102" Type="http://schemas.openxmlformats.org/officeDocument/2006/relationships/ctrlProp" Target="../ctrlProps/ctrlProp594.xml"/><Relationship Id="rId5" Type="http://schemas.openxmlformats.org/officeDocument/2006/relationships/ctrlProp" Target="../ctrlProps/ctrlProp497.xml"/><Relationship Id="rId90" Type="http://schemas.openxmlformats.org/officeDocument/2006/relationships/ctrlProp" Target="../ctrlProps/ctrlProp582.xml"/><Relationship Id="rId95" Type="http://schemas.openxmlformats.org/officeDocument/2006/relationships/ctrlProp" Target="../ctrlProps/ctrlProp587.xml"/><Relationship Id="rId22" Type="http://schemas.openxmlformats.org/officeDocument/2006/relationships/ctrlProp" Target="../ctrlProps/ctrlProp514.xml"/><Relationship Id="rId27" Type="http://schemas.openxmlformats.org/officeDocument/2006/relationships/ctrlProp" Target="../ctrlProps/ctrlProp519.xml"/><Relationship Id="rId43" Type="http://schemas.openxmlformats.org/officeDocument/2006/relationships/ctrlProp" Target="../ctrlProps/ctrlProp535.xml"/><Relationship Id="rId48" Type="http://schemas.openxmlformats.org/officeDocument/2006/relationships/ctrlProp" Target="../ctrlProps/ctrlProp540.xml"/><Relationship Id="rId64" Type="http://schemas.openxmlformats.org/officeDocument/2006/relationships/ctrlProp" Target="../ctrlProps/ctrlProp556.xml"/><Relationship Id="rId69" Type="http://schemas.openxmlformats.org/officeDocument/2006/relationships/ctrlProp" Target="../ctrlProps/ctrlProp561.xml"/><Relationship Id="rId113" Type="http://schemas.openxmlformats.org/officeDocument/2006/relationships/ctrlProp" Target="../ctrlProps/ctrlProp605.xml"/><Relationship Id="rId118" Type="http://schemas.openxmlformats.org/officeDocument/2006/relationships/ctrlProp" Target="../ctrlProps/ctrlProp610.xml"/><Relationship Id="rId80" Type="http://schemas.openxmlformats.org/officeDocument/2006/relationships/ctrlProp" Target="../ctrlProps/ctrlProp572.xml"/><Relationship Id="rId85" Type="http://schemas.openxmlformats.org/officeDocument/2006/relationships/ctrlProp" Target="../ctrlProps/ctrlProp577.xml"/><Relationship Id="rId12" Type="http://schemas.openxmlformats.org/officeDocument/2006/relationships/ctrlProp" Target="../ctrlProps/ctrlProp504.xml"/><Relationship Id="rId17" Type="http://schemas.openxmlformats.org/officeDocument/2006/relationships/ctrlProp" Target="../ctrlProps/ctrlProp509.xml"/><Relationship Id="rId33" Type="http://schemas.openxmlformats.org/officeDocument/2006/relationships/ctrlProp" Target="../ctrlProps/ctrlProp525.xml"/><Relationship Id="rId38" Type="http://schemas.openxmlformats.org/officeDocument/2006/relationships/ctrlProp" Target="../ctrlProps/ctrlProp530.xml"/><Relationship Id="rId59" Type="http://schemas.openxmlformats.org/officeDocument/2006/relationships/ctrlProp" Target="../ctrlProps/ctrlProp551.xml"/><Relationship Id="rId103" Type="http://schemas.openxmlformats.org/officeDocument/2006/relationships/ctrlProp" Target="../ctrlProps/ctrlProp595.xml"/><Relationship Id="rId108" Type="http://schemas.openxmlformats.org/officeDocument/2006/relationships/ctrlProp" Target="../ctrlProps/ctrlProp600.xml"/><Relationship Id="rId54" Type="http://schemas.openxmlformats.org/officeDocument/2006/relationships/ctrlProp" Target="../ctrlProps/ctrlProp546.xml"/><Relationship Id="rId70" Type="http://schemas.openxmlformats.org/officeDocument/2006/relationships/ctrlProp" Target="../ctrlProps/ctrlProp562.xml"/><Relationship Id="rId75" Type="http://schemas.openxmlformats.org/officeDocument/2006/relationships/ctrlProp" Target="../ctrlProps/ctrlProp567.xml"/><Relationship Id="rId91" Type="http://schemas.openxmlformats.org/officeDocument/2006/relationships/ctrlProp" Target="../ctrlProps/ctrlProp583.xml"/><Relationship Id="rId96" Type="http://schemas.openxmlformats.org/officeDocument/2006/relationships/ctrlProp" Target="../ctrlProps/ctrlProp588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498.xml"/><Relationship Id="rId23" Type="http://schemas.openxmlformats.org/officeDocument/2006/relationships/ctrlProp" Target="../ctrlProps/ctrlProp515.xml"/><Relationship Id="rId28" Type="http://schemas.openxmlformats.org/officeDocument/2006/relationships/ctrlProp" Target="../ctrlProps/ctrlProp520.xml"/><Relationship Id="rId49" Type="http://schemas.openxmlformats.org/officeDocument/2006/relationships/ctrlProp" Target="../ctrlProps/ctrlProp541.xml"/><Relationship Id="rId114" Type="http://schemas.openxmlformats.org/officeDocument/2006/relationships/ctrlProp" Target="../ctrlProps/ctrlProp606.xml"/><Relationship Id="rId10" Type="http://schemas.openxmlformats.org/officeDocument/2006/relationships/ctrlProp" Target="../ctrlProps/ctrlProp502.xml"/><Relationship Id="rId31" Type="http://schemas.openxmlformats.org/officeDocument/2006/relationships/ctrlProp" Target="../ctrlProps/ctrlProp523.xml"/><Relationship Id="rId44" Type="http://schemas.openxmlformats.org/officeDocument/2006/relationships/ctrlProp" Target="../ctrlProps/ctrlProp536.xml"/><Relationship Id="rId52" Type="http://schemas.openxmlformats.org/officeDocument/2006/relationships/ctrlProp" Target="../ctrlProps/ctrlProp544.xml"/><Relationship Id="rId60" Type="http://schemas.openxmlformats.org/officeDocument/2006/relationships/ctrlProp" Target="../ctrlProps/ctrlProp552.xml"/><Relationship Id="rId65" Type="http://schemas.openxmlformats.org/officeDocument/2006/relationships/ctrlProp" Target="../ctrlProps/ctrlProp557.xml"/><Relationship Id="rId73" Type="http://schemas.openxmlformats.org/officeDocument/2006/relationships/ctrlProp" Target="../ctrlProps/ctrlProp565.xml"/><Relationship Id="rId78" Type="http://schemas.openxmlformats.org/officeDocument/2006/relationships/ctrlProp" Target="../ctrlProps/ctrlProp570.xml"/><Relationship Id="rId81" Type="http://schemas.openxmlformats.org/officeDocument/2006/relationships/ctrlProp" Target="../ctrlProps/ctrlProp573.xml"/><Relationship Id="rId86" Type="http://schemas.openxmlformats.org/officeDocument/2006/relationships/ctrlProp" Target="../ctrlProps/ctrlProp578.xml"/><Relationship Id="rId94" Type="http://schemas.openxmlformats.org/officeDocument/2006/relationships/ctrlProp" Target="../ctrlProps/ctrlProp586.xml"/><Relationship Id="rId99" Type="http://schemas.openxmlformats.org/officeDocument/2006/relationships/ctrlProp" Target="../ctrlProps/ctrlProp591.xml"/><Relationship Id="rId101" Type="http://schemas.openxmlformats.org/officeDocument/2006/relationships/ctrlProp" Target="../ctrlProps/ctrlProp593.xml"/><Relationship Id="rId4" Type="http://schemas.openxmlformats.org/officeDocument/2006/relationships/ctrlProp" Target="../ctrlProps/ctrlProp496.xml"/><Relationship Id="rId9" Type="http://schemas.openxmlformats.org/officeDocument/2006/relationships/ctrlProp" Target="../ctrlProps/ctrlProp501.xml"/><Relationship Id="rId13" Type="http://schemas.openxmlformats.org/officeDocument/2006/relationships/ctrlProp" Target="../ctrlProps/ctrlProp505.xml"/><Relationship Id="rId18" Type="http://schemas.openxmlformats.org/officeDocument/2006/relationships/ctrlProp" Target="../ctrlProps/ctrlProp510.xml"/><Relationship Id="rId39" Type="http://schemas.openxmlformats.org/officeDocument/2006/relationships/ctrlProp" Target="../ctrlProps/ctrlProp531.xml"/><Relationship Id="rId109" Type="http://schemas.openxmlformats.org/officeDocument/2006/relationships/ctrlProp" Target="../ctrlProps/ctrlProp601.xml"/><Relationship Id="rId34" Type="http://schemas.openxmlformats.org/officeDocument/2006/relationships/ctrlProp" Target="../ctrlProps/ctrlProp526.xml"/><Relationship Id="rId50" Type="http://schemas.openxmlformats.org/officeDocument/2006/relationships/ctrlProp" Target="../ctrlProps/ctrlProp542.xml"/><Relationship Id="rId55" Type="http://schemas.openxmlformats.org/officeDocument/2006/relationships/ctrlProp" Target="../ctrlProps/ctrlProp547.xml"/><Relationship Id="rId76" Type="http://schemas.openxmlformats.org/officeDocument/2006/relationships/ctrlProp" Target="../ctrlProps/ctrlProp568.xml"/><Relationship Id="rId97" Type="http://schemas.openxmlformats.org/officeDocument/2006/relationships/ctrlProp" Target="../ctrlProps/ctrlProp589.xml"/><Relationship Id="rId104" Type="http://schemas.openxmlformats.org/officeDocument/2006/relationships/ctrlProp" Target="../ctrlProps/ctrlProp596.xml"/><Relationship Id="rId7" Type="http://schemas.openxmlformats.org/officeDocument/2006/relationships/ctrlProp" Target="../ctrlProps/ctrlProp499.xml"/><Relationship Id="rId71" Type="http://schemas.openxmlformats.org/officeDocument/2006/relationships/ctrlProp" Target="../ctrlProps/ctrlProp563.xml"/><Relationship Id="rId92" Type="http://schemas.openxmlformats.org/officeDocument/2006/relationships/ctrlProp" Target="../ctrlProps/ctrlProp584.xml"/><Relationship Id="rId2" Type="http://schemas.openxmlformats.org/officeDocument/2006/relationships/drawing" Target="../drawings/drawing6.xml"/><Relationship Id="rId29" Type="http://schemas.openxmlformats.org/officeDocument/2006/relationships/ctrlProp" Target="../ctrlProps/ctrlProp521.xml"/><Relationship Id="rId24" Type="http://schemas.openxmlformats.org/officeDocument/2006/relationships/ctrlProp" Target="../ctrlProps/ctrlProp516.xml"/><Relationship Id="rId40" Type="http://schemas.openxmlformats.org/officeDocument/2006/relationships/ctrlProp" Target="../ctrlProps/ctrlProp532.xml"/><Relationship Id="rId45" Type="http://schemas.openxmlformats.org/officeDocument/2006/relationships/ctrlProp" Target="../ctrlProps/ctrlProp537.xml"/><Relationship Id="rId66" Type="http://schemas.openxmlformats.org/officeDocument/2006/relationships/ctrlProp" Target="../ctrlProps/ctrlProp558.xml"/><Relationship Id="rId87" Type="http://schemas.openxmlformats.org/officeDocument/2006/relationships/ctrlProp" Target="../ctrlProps/ctrlProp579.xml"/><Relationship Id="rId110" Type="http://schemas.openxmlformats.org/officeDocument/2006/relationships/ctrlProp" Target="../ctrlProps/ctrlProp602.xml"/><Relationship Id="rId115" Type="http://schemas.openxmlformats.org/officeDocument/2006/relationships/ctrlProp" Target="../ctrlProps/ctrlProp607.xml"/><Relationship Id="rId61" Type="http://schemas.openxmlformats.org/officeDocument/2006/relationships/ctrlProp" Target="../ctrlProps/ctrlProp553.xml"/><Relationship Id="rId82" Type="http://schemas.openxmlformats.org/officeDocument/2006/relationships/ctrlProp" Target="../ctrlProps/ctrlProp574.xml"/><Relationship Id="rId19" Type="http://schemas.openxmlformats.org/officeDocument/2006/relationships/ctrlProp" Target="../ctrlProps/ctrlProp511.xml"/><Relationship Id="rId14" Type="http://schemas.openxmlformats.org/officeDocument/2006/relationships/ctrlProp" Target="../ctrlProps/ctrlProp506.xml"/><Relationship Id="rId30" Type="http://schemas.openxmlformats.org/officeDocument/2006/relationships/ctrlProp" Target="../ctrlProps/ctrlProp522.xml"/><Relationship Id="rId35" Type="http://schemas.openxmlformats.org/officeDocument/2006/relationships/ctrlProp" Target="../ctrlProps/ctrlProp527.xml"/><Relationship Id="rId56" Type="http://schemas.openxmlformats.org/officeDocument/2006/relationships/ctrlProp" Target="../ctrlProps/ctrlProp548.xml"/><Relationship Id="rId77" Type="http://schemas.openxmlformats.org/officeDocument/2006/relationships/ctrlProp" Target="../ctrlProps/ctrlProp569.xml"/><Relationship Id="rId100" Type="http://schemas.openxmlformats.org/officeDocument/2006/relationships/ctrlProp" Target="../ctrlProps/ctrlProp592.xml"/><Relationship Id="rId105" Type="http://schemas.openxmlformats.org/officeDocument/2006/relationships/ctrlProp" Target="../ctrlProps/ctrlProp597.xml"/><Relationship Id="rId8" Type="http://schemas.openxmlformats.org/officeDocument/2006/relationships/ctrlProp" Target="../ctrlProps/ctrlProp500.xml"/><Relationship Id="rId51" Type="http://schemas.openxmlformats.org/officeDocument/2006/relationships/ctrlProp" Target="../ctrlProps/ctrlProp543.xml"/><Relationship Id="rId72" Type="http://schemas.openxmlformats.org/officeDocument/2006/relationships/ctrlProp" Target="../ctrlProps/ctrlProp564.xml"/><Relationship Id="rId93" Type="http://schemas.openxmlformats.org/officeDocument/2006/relationships/ctrlProp" Target="../ctrlProps/ctrlProp585.xml"/><Relationship Id="rId98" Type="http://schemas.openxmlformats.org/officeDocument/2006/relationships/ctrlProp" Target="../ctrlProps/ctrlProp590.xml"/><Relationship Id="rId3" Type="http://schemas.openxmlformats.org/officeDocument/2006/relationships/vmlDrawing" Target="../drawings/vmlDrawing6.vml"/><Relationship Id="rId25" Type="http://schemas.openxmlformats.org/officeDocument/2006/relationships/ctrlProp" Target="../ctrlProps/ctrlProp517.xml"/><Relationship Id="rId46" Type="http://schemas.openxmlformats.org/officeDocument/2006/relationships/ctrlProp" Target="../ctrlProps/ctrlProp538.xml"/><Relationship Id="rId67" Type="http://schemas.openxmlformats.org/officeDocument/2006/relationships/ctrlProp" Target="../ctrlProps/ctrlProp559.xml"/><Relationship Id="rId116" Type="http://schemas.openxmlformats.org/officeDocument/2006/relationships/ctrlProp" Target="../ctrlProps/ctrlProp608.xml"/><Relationship Id="rId20" Type="http://schemas.openxmlformats.org/officeDocument/2006/relationships/ctrlProp" Target="../ctrlProps/ctrlProp512.xml"/><Relationship Id="rId41" Type="http://schemas.openxmlformats.org/officeDocument/2006/relationships/ctrlProp" Target="../ctrlProps/ctrlProp533.xml"/><Relationship Id="rId62" Type="http://schemas.openxmlformats.org/officeDocument/2006/relationships/ctrlProp" Target="../ctrlProps/ctrlProp554.xml"/><Relationship Id="rId83" Type="http://schemas.openxmlformats.org/officeDocument/2006/relationships/ctrlProp" Target="../ctrlProps/ctrlProp575.xml"/><Relationship Id="rId88" Type="http://schemas.openxmlformats.org/officeDocument/2006/relationships/ctrlProp" Target="../ctrlProps/ctrlProp580.xml"/><Relationship Id="rId111" Type="http://schemas.openxmlformats.org/officeDocument/2006/relationships/ctrlProp" Target="../ctrlProps/ctrlProp603.xml"/><Relationship Id="rId15" Type="http://schemas.openxmlformats.org/officeDocument/2006/relationships/ctrlProp" Target="../ctrlProps/ctrlProp507.xml"/><Relationship Id="rId36" Type="http://schemas.openxmlformats.org/officeDocument/2006/relationships/ctrlProp" Target="../ctrlProps/ctrlProp528.xml"/><Relationship Id="rId57" Type="http://schemas.openxmlformats.org/officeDocument/2006/relationships/ctrlProp" Target="../ctrlProps/ctrlProp549.xml"/><Relationship Id="rId106" Type="http://schemas.openxmlformats.org/officeDocument/2006/relationships/ctrlProp" Target="../ctrlProps/ctrlProp59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1"/>
  <dimension ref="A1:AP600"/>
  <sheetViews>
    <sheetView workbookViewId="0">
      <selection activeCell="K33" sqref="K33"/>
    </sheetView>
  </sheetViews>
  <sheetFormatPr defaultRowHeight="15" x14ac:dyDescent="0.25"/>
  <cols>
    <col min="1" max="1" width="2.28515625" customWidth="1"/>
    <col min="2" max="2" width="1.5703125" customWidth="1"/>
    <col min="3" max="3" width="9.140625" customWidth="1"/>
    <col min="5" max="6" width="9.140625" customWidth="1"/>
    <col min="11" max="11" width="11.85546875" customWidth="1"/>
    <col min="12" max="12" width="11.140625" customWidth="1"/>
    <col min="13" max="13" width="2.7109375" customWidth="1"/>
    <col min="14" max="14" width="16" customWidth="1"/>
    <col min="15" max="15" width="8.140625" customWidth="1"/>
    <col min="16" max="16" width="2.5703125" customWidth="1"/>
    <col min="17" max="17" width="6.28515625" customWidth="1"/>
    <col min="18" max="18" width="8.140625" customWidth="1"/>
    <col min="19" max="19" width="2.7109375" customWidth="1"/>
    <col min="20" max="20" width="6.85546875" customWidth="1"/>
    <col min="21" max="21" width="8" customWidth="1"/>
    <col min="22" max="22" width="2.7109375" customWidth="1"/>
    <col min="23" max="23" width="6.7109375" customWidth="1"/>
    <col min="24" max="24" width="7.7109375" customWidth="1"/>
    <col min="25" max="25" width="2.7109375" customWidth="1"/>
    <col min="26" max="26" width="7.140625" customWidth="1"/>
  </cols>
  <sheetData>
    <row r="1" spans="1:2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7" ht="31.5" x14ac:dyDescent="0.5">
      <c r="A2" s="1"/>
      <c r="B2" s="1"/>
      <c r="C2" s="42" t="s">
        <v>64</v>
      </c>
      <c r="D2" s="1"/>
      <c r="E2" s="1"/>
      <c r="F2" s="1"/>
      <c r="G2" s="1"/>
      <c r="H2" s="42">
        <v>11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 t="s">
        <v>58</v>
      </c>
      <c r="Q3" s="26">
        <v>1</v>
      </c>
      <c r="R3" s="1"/>
      <c r="S3" s="1" t="s">
        <v>57</v>
      </c>
      <c r="T3" s="26">
        <v>1</v>
      </c>
      <c r="U3" s="1"/>
      <c r="V3" s="1"/>
      <c r="W3" s="1"/>
      <c r="X3" s="1"/>
      <c r="Y3" s="1"/>
      <c r="Z3" s="1"/>
    </row>
    <row r="4" spans="1:27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53" t="s">
        <v>76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7" ht="18" x14ac:dyDescent="0.35">
      <c r="A5" s="1"/>
      <c r="B5" s="1"/>
      <c r="C5" s="1" t="s">
        <v>33</v>
      </c>
      <c r="D5" s="26">
        <v>400</v>
      </c>
      <c r="E5" s="27" t="s">
        <v>66</v>
      </c>
      <c r="F5" s="1" t="s">
        <v>65</v>
      </c>
      <c r="G5" s="1"/>
      <c r="H5" s="1"/>
      <c r="I5" s="26">
        <v>0</v>
      </c>
      <c r="J5" s="27" t="s">
        <v>62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7" ht="17.25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45" t="s">
        <v>95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44"/>
    </row>
    <row r="7" spans="1:27" ht="18" x14ac:dyDescent="0.35">
      <c r="A7" s="1"/>
      <c r="B7" s="1"/>
      <c r="C7" s="1"/>
      <c r="D7" s="1"/>
      <c r="E7" s="1"/>
      <c r="F7" s="1" t="s">
        <v>19</v>
      </c>
      <c r="G7" s="1"/>
      <c r="H7" s="1" t="s">
        <v>40</v>
      </c>
      <c r="I7" s="1" t="s">
        <v>20</v>
      </c>
      <c r="J7" s="1" t="s">
        <v>21</v>
      </c>
      <c r="K7" s="28" t="s">
        <v>54</v>
      </c>
      <c r="L7" s="1" t="s">
        <v>89</v>
      </c>
      <c r="M7" s="1"/>
      <c r="N7" s="34" t="s">
        <v>41</v>
      </c>
      <c r="O7" s="34"/>
      <c r="P7" s="35" t="s">
        <v>44</v>
      </c>
      <c r="Q7" s="36"/>
      <c r="R7" s="34"/>
      <c r="S7" s="35" t="s">
        <v>45</v>
      </c>
      <c r="T7" s="36"/>
      <c r="U7" s="34"/>
      <c r="V7" s="35" t="s">
        <v>46</v>
      </c>
      <c r="W7" s="36"/>
      <c r="X7" s="34"/>
      <c r="Y7" s="35" t="s">
        <v>47</v>
      </c>
      <c r="Z7" s="43"/>
      <c r="AA7" s="2"/>
    </row>
    <row r="8" spans="1:27" x14ac:dyDescent="0.25">
      <c r="A8" s="1"/>
      <c r="B8" s="1"/>
      <c r="C8" s="26" t="s">
        <v>0</v>
      </c>
      <c r="F8" s="26">
        <v>0</v>
      </c>
      <c r="G8" s="54" t="str">
        <f>VLOOKUP(E51,B44:D46,3)</f>
        <v>[kW]</v>
      </c>
      <c r="H8" s="41">
        <f>VLOOKUP(E51,M50:U53,J51+2)</f>
        <v>0</v>
      </c>
      <c r="I8" s="26">
        <v>1</v>
      </c>
      <c r="K8" s="41">
        <f>IF(L51=1,-DEGREES(ACOS(I8)),DEGREES(ACOS(I8)))</f>
        <v>0</v>
      </c>
      <c r="L8" s="1"/>
      <c r="M8" s="1"/>
      <c r="N8" s="2" t="str">
        <f>C8</f>
        <v>Belastning 1</v>
      </c>
      <c r="O8" s="31">
        <f>HLOOKUP($J$51,$AA$49:$AG$54,3)</f>
        <v>0</v>
      </c>
      <c r="P8" s="46" t="s">
        <v>43</v>
      </c>
      <c r="Q8" s="32">
        <f>HLOOKUP($J$51,$AJ$49:$AP$54,3)</f>
        <v>0</v>
      </c>
      <c r="R8" s="31">
        <f>HLOOKUP($J$51,$AA$49:$AG$54,4)</f>
        <v>0</v>
      </c>
      <c r="S8" s="46" t="s">
        <v>43</v>
      </c>
      <c r="T8" s="32">
        <f>HLOOKUP($J$51,$AJ$49:$AP$54,4)</f>
        <v>-120</v>
      </c>
      <c r="U8" s="31">
        <f>HLOOKUP($J$51,$AA$49:$AG$54,5)</f>
        <v>0</v>
      </c>
      <c r="V8" s="46" t="s">
        <v>43</v>
      </c>
      <c r="W8" s="32">
        <f>HLOOKUP($J$51,$AJ$49:$AP$54,5)</f>
        <v>120</v>
      </c>
      <c r="X8" s="31">
        <f>HLOOKUP($J$51,$AA$49:$AG$54,6)</f>
        <v>0</v>
      </c>
      <c r="Y8" s="46" t="s">
        <v>43</v>
      </c>
      <c r="Z8" s="33">
        <f>HLOOKUP($J$51,$AJ$49:$AP$54,6)</f>
        <v>0</v>
      </c>
      <c r="AA8" s="2"/>
    </row>
    <row r="9" spans="1:27" x14ac:dyDescent="0.25">
      <c r="A9" s="1"/>
      <c r="B9" s="1"/>
      <c r="C9" s="26" t="s">
        <v>1</v>
      </c>
      <c r="F9" s="26">
        <v>0</v>
      </c>
      <c r="G9" s="54" t="str">
        <f>VLOOKUP(E55,B44:D46,3)</f>
        <v>[kW]</v>
      </c>
      <c r="H9" s="41">
        <f>VLOOKUP(E55,M55:U57,J55+2)</f>
        <v>0</v>
      </c>
      <c r="I9" s="26">
        <v>1</v>
      </c>
      <c r="K9" s="41">
        <f>IF(L55=1,-DEGREES(ACOS(I9)),DEGREES(ACOS(I9)))</f>
        <v>0</v>
      </c>
      <c r="L9" s="1" t="s">
        <v>92</v>
      </c>
      <c r="M9" s="1"/>
      <c r="N9" s="2" t="str">
        <f t="shared" ref="N9:N22" si="0">C9</f>
        <v>Belastning 2</v>
      </c>
      <c r="O9" s="31">
        <f>HLOOKUP($J$55,$AA$56:$AG$61,3)</f>
        <v>0</v>
      </c>
      <c r="P9" s="46" t="s">
        <v>43</v>
      </c>
      <c r="Q9" s="32">
        <f>HLOOKUP($J$55,$AJ$56:$AP$61,3)</f>
        <v>0</v>
      </c>
      <c r="R9" s="31">
        <f>HLOOKUP($J$55,$AA$56:$AG$61,4)</f>
        <v>0</v>
      </c>
      <c r="S9" s="46" t="s">
        <v>43</v>
      </c>
      <c r="T9" s="32">
        <f>HLOOKUP($J$55,$AJ$56:$AP$61,4)</f>
        <v>-120</v>
      </c>
      <c r="U9" s="31">
        <f>HLOOKUP($J$55,$AA$56:$AG$61,5)</f>
        <v>0</v>
      </c>
      <c r="V9" s="46" t="s">
        <v>43</v>
      </c>
      <c r="W9" s="32">
        <f>HLOOKUP($J$55,$AJ$56:$AP$61,5)</f>
        <v>120</v>
      </c>
      <c r="X9" s="31">
        <f>HLOOKUP($J$55,$AA$56:$AG$61,6)</f>
        <v>0</v>
      </c>
      <c r="Y9" s="46" t="s">
        <v>43</v>
      </c>
      <c r="Z9" s="33">
        <f>HLOOKUP($J$55,$AJ$56:$AP$61,6)</f>
        <v>0</v>
      </c>
      <c r="AA9" s="2"/>
    </row>
    <row r="10" spans="1:27" x14ac:dyDescent="0.25">
      <c r="A10" s="1"/>
      <c r="B10" s="1"/>
      <c r="C10" s="26" t="s">
        <v>2</v>
      </c>
      <c r="F10" s="26">
        <v>0</v>
      </c>
      <c r="G10" s="54" t="str">
        <f>VLOOKUP(E59,B44:D46,3)</f>
        <v>[kW]</v>
      </c>
      <c r="H10" s="41">
        <f>VLOOKUP(E59,M59:U61,J59+2)</f>
        <v>0</v>
      </c>
      <c r="I10" s="26">
        <v>1</v>
      </c>
      <c r="K10" s="41">
        <f>IF(L59=1,-DEGREES(ACOS(I10)),DEGREES(ACOS(I10)))</f>
        <v>0</v>
      </c>
      <c r="L10" s="1"/>
      <c r="M10" s="1"/>
      <c r="N10" s="2" t="str">
        <f t="shared" si="0"/>
        <v>Belastning 3</v>
      </c>
      <c r="O10" s="31">
        <f>HLOOKUP($J$59,$AA$63:$AG468,3)</f>
        <v>0</v>
      </c>
      <c r="P10" s="46" t="s">
        <v>43</v>
      </c>
      <c r="Q10" s="32">
        <f>HLOOKUP($J$59,$AJ$63:$AP$68,3)</f>
        <v>0</v>
      </c>
      <c r="R10" s="31">
        <f>HLOOKUP($J$59,$AA$63:$AG468,4)</f>
        <v>0</v>
      </c>
      <c r="S10" s="46" t="s">
        <v>43</v>
      </c>
      <c r="T10" s="32">
        <f>HLOOKUP($J$59,$AJ$63:$AP$68,4)</f>
        <v>-120</v>
      </c>
      <c r="U10" s="31">
        <f>HLOOKUP($J$59,$AA$63:$AG468,5)</f>
        <v>0</v>
      </c>
      <c r="V10" s="46" t="s">
        <v>43</v>
      </c>
      <c r="W10" s="32">
        <f>HLOOKUP($J$59,$AJ$63:$AP$68,5)</f>
        <v>120</v>
      </c>
      <c r="X10" s="31">
        <f>HLOOKUP($J$59,$AA$63:$AG468,6)</f>
        <v>0</v>
      </c>
      <c r="Y10" s="46" t="s">
        <v>43</v>
      </c>
      <c r="Z10" s="33">
        <f>HLOOKUP($J$59,$AJ$63:$AP$68,6)</f>
        <v>0</v>
      </c>
      <c r="AA10" s="2"/>
    </row>
    <row r="11" spans="1:27" x14ac:dyDescent="0.25">
      <c r="A11" s="1"/>
      <c r="B11" s="1"/>
      <c r="C11" s="26" t="s">
        <v>3</v>
      </c>
      <c r="F11" s="26">
        <v>0</v>
      </c>
      <c r="G11" s="54" t="str">
        <f>VLOOKUP(E63,B44:D46,3)</f>
        <v>[kW]</v>
      </c>
      <c r="H11" s="41">
        <f>VLOOKUP(E63,M63:U65,J63+2)</f>
        <v>0</v>
      </c>
      <c r="I11" s="26">
        <v>1</v>
      </c>
      <c r="K11" s="41">
        <f>IF(L63=1,-DEGREES(ACOS(I11)),DEGREES(ACOS(I11)))</f>
        <v>0</v>
      </c>
      <c r="L11" s="1"/>
      <c r="M11" s="1"/>
      <c r="N11" s="2" t="str">
        <f t="shared" si="0"/>
        <v>Belastning 4</v>
      </c>
      <c r="O11" s="31">
        <f>HLOOKUP($J$63,$AA$70:$AG$75,3)</f>
        <v>0</v>
      </c>
      <c r="P11" s="46" t="s">
        <v>43</v>
      </c>
      <c r="Q11" s="32">
        <f>HLOOKUP($J$63,$AJ$70:$AP$75,3)</f>
        <v>0</v>
      </c>
      <c r="R11" s="31">
        <f>HLOOKUP($J$63,$AA$70:$AG$75,4)</f>
        <v>0</v>
      </c>
      <c r="S11" s="46" t="s">
        <v>43</v>
      </c>
      <c r="T11" s="32">
        <f>HLOOKUP($J$63,$AJ$70:$AP$75,4)</f>
        <v>-120</v>
      </c>
      <c r="U11" s="31">
        <f>HLOOKUP($J$63,$AA$70:$AG$75,5)</f>
        <v>0</v>
      </c>
      <c r="V11" s="46" t="s">
        <v>43</v>
      </c>
      <c r="W11" s="32">
        <f>HLOOKUP($J$63,$AJ$70:$AP$75,5)</f>
        <v>120</v>
      </c>
      <c r="X11" s="31">
        <f>HLOOKUP($J$63,$AA$70:$AG$75,6)</f>
        <v>0</v>
      </c>
      <c r="Y11" s="46" t="s">
        <v>43</v>
      </c>
      <c r="Z11" s="33">
        <f>HLOOKUP($J$63,$AJ$70:$AP$75,6)</f>
        <v>0</v>
      </c>
      <c r="AA11" s="2"/>
    </row>
    <row r="12" spans="1:27" x14ac:dyDescent="0.25">
      <c r="A12" s="1"/>
      <c r="B12" s="1"/>
      <c r="C12" s="26" t="s">
        <v>4</v>
      </c>
      <c r="F12" s="26">
        <v>0</v>
      </c>
      <c r="G12" s="54" t="str">
        <f>VLOOKUP(E67,B44:D46,3)</f>
        <v>[kW]</v>
      </c>
      <c r="H12" s="41">
        <f>VLOOKUP(E67,M67:U69,J67+2)</f>
        <v>0</v>
      </c>
      <c r="I12" s="26">
        <v>1</v>
      </c>
      <c r="K12" s="41">
        <f>IF(L67=1,-DEGREES(ACOS(I12)),DEGREES(ACOS(I12)))</f>
        <v>0</v>
      </c>
      <c r="L12" s="1"/>
      <c r="M12" s="1"/>
      <c r="N12" s="2" t="str">
        <f t="shared" si="0"/>
        <v>Belastning 5</v>
      </c>
      <c r="O12" s="31">
        <f>HLOOKUP($J$67,$AA$77:$AG$82,3)</f>
        <v>0</v>
      </c>
      <c r="P12" s="46" t="s">
        <v>43</v>
      </c>
      <c r="Q12" s="32">
        <f>HLOOKUP($J$67,$AJ$77:$AP$82,3)</f>
        <v>0</v>
      </c>
      <c r="R12" s="31">
        <f>HLOOKUP($J$67,$AA$77:$AG$82,4)</f>
        <v>0</v>
      </c>
      <c r="S12" s="46" t="s">
        <v>43</v>
      </c>
      <c r="T12" s="32">
        <f>HLOOKUP($J$67,$AJ$77:$AP$82,4)</f>
        <v>-120</v>
      </c>
      <c r="U12" s="31">
        <f>HLOOKUP($J$67,$AA$77:$AG$82,5)</f>
        <v>0</v>
      </c>
      <c r="V12" s="46" t="s">
        <v>43</v>
      </c>
      <c r="W12" s="32">
        <f>HLOOKUP($J$67,$AJ$77:$AP$82,5)</f>
        <v>120</v>
      </c>
      <c r="X12" s="31">
        <f>HLOOKUP($J$67,$AA$77:$AG$82,6)</f>
        <v>0</v>
      </c>
      <c r="Y12" s="46" t="s">
        <v>43</v>
      </c>
      <c r="Z12" s="33">
        <f>HLOOKUP($J$67,$AJ$77:$AP$82,6)</f>
        <v>0</v>
      </c>
      <c r="AA12" s="2"/>
    </row>
    <row r="13" spans="1:27" x14ac:dyDescent="0.25">
      <c r="A13" s="1"/>
      <c r="B13" s="1"/>
      <c r="C13" s="26" t="s">
        <v>5</v>
      </c>
      <c r="F13" s="26">
        <v>0</v>
      </c>
      <c r="G13" s="54" t="str">
        <f>VLOOKUP(E71,B44:D46,3)</f>
        <v>[kW]</v>
      </c>
      <c r="H13" s="41">
        <f>VLOOKUP(E71,M71:U73,J71+2)</f>
        <v>0</v>
      </c>
      <c r="I13" s="26">
        <v>1</v>
      </c>
      <c r="K13" s="41">
        <f>IF(L71=1,-DEGREES(ACOS(I13)),DEGREES(ACOS(I13)))</f>
        <v>0</v>
      </c>
      <c r="L13" s="1"/>
      <c r="M13" s="1"/>
      <c r="N13" s="2" t="str">
        <f t="shared" si="0"/>
        <v>Belastning 6</v>
      </c>
      <c r="O13" s="31">
        <f>HLOOKUP($J$71,$AA$84:$AG$89,3)</f>
        <v>0</v>
      </c>
      <c r="P13" s="46" t="s">
        <v>43</v>
      </c>
      <c r="Q13" s="32">
        <f>HLOOKUP($J$71,$AJ$84:$AP$89,3)</f>
        <v>0</v>
      </c>
      <c r="R13" s="31">
        <f>HLOOKUP($J$71,$AA$84:$AG$89,4)</f>
        <v>0</v>
      </c>
      <c r="S13" s="46" t="s">
        <v>43</v>
      </c>
      <c r="T13" s="32">
        <f>HLOOKUP($J$71,$AJ$84:$AP$89,4)</f>
        <v>-120</v>
      </c>
      <c r="U13" s="31">
        <f>HLOOKUP($J$71,$AA$84:$AG$89,5)</f>
        <v>0</v>
      </c>
      <c r="V13" s="46" t="s">
        <v>43</v>
      </c>
      <c r="W13" s="32">
        <f>HLOOKUP($J$71,$AJ$84:$AP$89,5)</f>
        <v>120</v>
      </c>
      <c r="X13" s="31">
        <f>HLOOKUP($J$71,$AA$84:$AG$89,6)</f>
        <v>0</v>
      </c>
      <c r="Y13" s="46" t="s">
        <v>43</v>
      </c>
      <c r="Z13" s="33">
        <f>HLOOKUP($J$71,$AJ$84:$AP$89,6)</f>
        <v>0</v>
      </c>
      <c r="AA13" s="2"/>
    </row>
    <row r="14" spans="1:27" x14ac:dyDescent="0.25">
      <c r="A14" s="1"/>
      <c r="B14" s="1"/>
      <c r="C14" s="26" t="s">
        <v>6</v>
      </c>
      <c r="F14" s="26">
        <v>0</v>
      </c>
      <c r="G14" s="54" t="str">
        <f>VLOOKUP(E75,B44:D46,3)</f>
        <v>[kW]</v>
      </c>
      <c r="H14" s="41">
        <f>VLOOKUP(E75,M75:U77,J75+2)</f>
        <v>0</v>
      </c>
      <c r="I14" s="26">
        <v>1</v>
      </c>
      <c r="K14" s="41">
        <f>IF(L75=1,-DEGREES(ACOS(I14)),DEGREES(ACOS(I14)))</f>
        <v>0</v>
      </c>
      <c r="L14" s="1"/>
      <c r="M14" s="1"/>
      <c r="N14" s="2" t="str">
        <f t="shared" si="0"/>
        <v>Belastning 7</v>
      </c>
      <c r="O14" s="31">
        <f>HLOOKUP($J$75,$AA$91:$AG$96,3)</f>
        <v>0</v>
      </c>
      <c r="P14" s="46" t="s">
        <v>43</v>
      </c>
      <c r="Q14" s="32">
        <f>HLOOKUP($J$75,$AJ$91:$AP$96,3)</f>
        <v>0</v>
      </c>
      <c r="R14" s="31">
        <f>HLOOKUP($J$75,$AA$91:$AG$96,4)</f>
        <v>0</v>
      </c>
      <c r="S14" s="46" t="s">
        <v>43</v>
      </c>
      <c r="T14" s="32">
        <f>HLOOKUP($J$75,$AJ$91:$AP$96,4)</f>
        <v>-120</v>
      </c>
      <c r="U14" s="31">
        <f>HLOOKUP($J$75,$AA$91:$AG$96,5)</f>
        <v>0</v>
      </c>
      <c r="V14" s="46" t="s">
        <v>43</v>
      </c>
      <c r="W14" s="32">
        <f>HLOOKUP($J$75,$AJ$91:$AP$96,5)</f>
        <v>120</v>
      </c>
      <c r="X14" s="31">
        <f>HLOOKUP($J$75,$AA$91:$AG$96,6)</f>
        <v>0</v>
      </c>
      <c r="Y14" s="46" t="s">
        <v>43</v>
      </c>
      <c r="Z14" s="33">
        <f>HLOOKUP($J$75,$AJ$91:$AP$96,6)</f>
        <v>0</v>
      </c>
      <c r="AA14" s="2"/>
    </row>
    <row r="15" spans="1:27" x14ac:dyDescent="0.25">
      <c r="A15" s="1"/>
      <c r="B15" s="1"/>
      <c r="C15" s="26" t="s">
        <v>7</v>
      </c>
      <c r="F15" s="26">
        <v>0</v>
      </c>
      <c r="G15" s="54" t="str">
        <f>VLOOKUP(E79,B44:D46,3)</f>
        <v>[kW]</v>
      </c>
      <c r="H15" s="41">
        <f>VLOOKUP(E79,M79:U81,J79+2)</f>
        <v>0</v>
      </c>
      <c r="I15" s="26">
        <v>1</v>
      </c>
      <c r="K15" s="41">
        <f>IF(L79=1,-DEGREES(ACOS(I15)),DEGREES(ACOS(I15)))</f>
        <v>0</v>
      </c>
      <c r="L15" s="1"/>
      <c r="M15" s="1"/>
      <c r="N15" s="2" t="str">
        <f t="shared" si="0"/>
        <v>Belastning 8</v>
      </c>
      <c r="O15" s="31">
        <f>HLOOKUP($J$79,$AA$98:$AG$103,3)</f>
        <v>0</v>
      </c>
      <c r="P15" s="46" t="s">
        <v>43</v>
      </c>
      <c r="Q15" s="32">
        <f>HLOOKUP($J$79,$AJ$98:$AP$103,3)</f>
        <v>0</v>
      </c>
      <c r="R15" s="31">
        <f>HLOOKUP($J$79,$AA$98:$AG$103,4)</f>
        <v>0</v>
      </c>
      <c r="S15" s="46" t="s">
        <v>43</v>
      </c>
      <c r="T15" s="32">
        <f>HLOOKUP($J$79,$AJ$98:$AP$103,4)</f>
        <v>-120</v>
      </c>
      <c r="U15" s="31">
        <f>HLOOKUP($J$79,$AA$98:$AG$103,5)</f>
        <v>0</v>
      </c>
      <c r="V15" s="46" t="s">
        <v>43</v>
      </c>
      <c r="W15" s="32">
        <f>HLOOKUP($J$79,$AJ$98:$AP$103,5)</f>
        <v>120</v>
      </c>
      <c r="X15" s="31">
        <f>HLOOKUP($J$79,$AA$98:$AG$103,6)</f>
        <v>0</v>
      </c>
      <c r="Y15" s="46" t="s">
        <v>43</v>
      </c>
      <c r="Z15" s="33">
        <f>HLOOKUP($J$79,$AJ$98:$AP$103,6)</f>
        <v>0</v>
      </c>
      <c r="AA15" s="2"/>
    </row>
    <row r="16" spans="1:27" x14ac:dyDescent="0.25">
      <c r="A16" s="1"/>
      <c r="B16" s="1"/>
      <c r="C16" s="26" t="s">
        <v>8</v>
      </c>
      <c r="F16" s="26">
        <v>0</v>
      </c>
      <c r="G16" s="54" t="str">
        <f>VLOOKUP(E83,B44:D46,3)</f>
        <v>[kW]</v>
      </c>
      <c r="H16" s="41">
        <f>VLOOKUP(E83,M83:U85,J83+2)</f>
        <v>0</v>
      </c>
      <c r="I16" s="26">
        <v>1</v>
      </c>
      <c r="K16" s="41">
        <f>IF(L83=1,-DEGREES(ACOS(I16)),DEGREES(ACOS(I16)))</f>
        <v>0</v>
      </c>
      <c r="L16" s="1"/>
      <c r="M16" s="1"/>
      <c r="N16" s="2" t="str">
        <f t="shared" si="0"/>
        <v>Belastning 9</v>
      </c>
      <c r="O16" s="31">
        <f>HLOOKUP($J$83,$AA$105:$AG$110,3)</f>
        <v>0</v>
      </c>
      <c r="P16" s="46" t="s">
        <v>43</v>
      </c>
      <c r="Q16" s="32">
        <f>HLOOKUP($J$83,$AJ$105:$AP$110,3)</f>
        <v>0</v>
      </c>
      <c r="R16" s="31">
        <f>HLOOKUP($J$83,$AA$105:$AG$110,4)</f>
        <v>0</v>
      </c>
      <c r="S16" s="46" t="s">
        <v>43</v>
      </c>
      <c r="T16" s="32">
        <f>HLOOKUP($J$83,$AJ$105:$AP$110,4)</f>
        <v>-120</v>
      </c>
      <c r="U16" s="31">
        <f>HLOOKUP($J$83,$AA$105:$AG$110,5)</f>
        <v>0</v>
      </c>
      <c r="V16" s="46" t="s">
        <v>43</v>
      </c>
      <c r="W16" s="32">
        <f>HLOOKUP($J$83,$AJ$105:$AP$110,5)</f>
        <v>120</v>
      </c>
      <c r="X16" s="31">
        <f>HLOOKUP($J$83,$AA$105:$AG$110,6)</f>
        <v>0</v>
      </c>
      <c r="Y16" s="46" t="s">
        <v>43</v>
      </c>
      <c r="Z16" s="33">
        <f>HLOOKUP($J$83,$AJ$105:$AP$110,6)</f>
        <v>0</v>
      </c>
      <c r="AA16" s="2"/>
    </row>
    <row r="17" spans="1:27" x14ac:dyDescent="0.25">
      <c r="A17" s="1"/>
      <c r="B17" s="1"/>
      <c r="C17" s="26" t="s">
        <v>9</v>
      </c>
      <c r="F17" s="26">
        <v>0</v>
      </c>
      <c r="G17" s="54" t="str">
        <f>VLOOKUP(E87,B44:D46,3)</f>
        <v>[kW]</v>
      </c>
      <c r="H17" s="41">
        <f>VLOOKUP(E87,M87:U89,J87+2)</f>
        <v>0</v>
      </c>
      <c r="I17" s="26">
        <v>1</v>
      </c>
      <c r="K17" s="41">
        <f>IF(L87=1,-DEGREES(ACOS(I17)),DEGREES(ACOS(I17)))</f>
        <v>0</v>
      </c>
      <c r="L17" s="1"/>
      <c r="M17" s="1"/>
      <c r="N17" s="2" t="str">
        <f t="shared" si="0"/>
        <v>Belastning 10</v>
      </c>
      <c r="O17" s="31">
        <f>HLOOKUP($J$87,$AA$112:$AG$117,3)</f>
        <v>0</v>
      </c>
      <c r="P17" s="46" t="s">
        <v>43</v>
      </c>
      <c r="Q17" s="32">
        <f>HLOOKUP($J$87,$AJ$112:$AP$117,3)</f>
        <v>0</v>
      </c>
      <c r="R17" s="31">
        <f>HLOOKUP($J$87,$AA$112:$AG$117,4)</f>
        <v>0</v>
      </c>
      <c r="S17" s="46" t="s">
        <v>43</v>
      </c>
      <c r="T17" s="32">
        <f>HLOOKUP($J$87,$AJ$112:$AP$117,4)</f>
        <v>-120</v>
      </c>
      <c r="U17" s="31">
        <f>HLOOKUP($J$87,$AA$112:$AG$117,5)</f>
        <v>0</v>
      </c>
      <c r="V17" s="46" t="s">
        <v>43</v>
      </c>
      <c r="W17" s="32">
        <f>HLOOKUP($J$87,$AJ$112:$AP$117,5)</f>
        <v>120</v>
      </c>
      <c r="X17" s="31">
        <f>HLOOKUP($J$87,$AA$112:$AG$117,6)</f>
        <v>0</v>
      </c>
      <c r="Y17" s="46" t="s">
        <v>43</v>
      </c>
      <c r="Z17" s="33">
        <f>HLOOKUP($J$87,$AJ$112:$AP$117,6)</f>
        <v>0</v>
      </c>
      <c r="AA17" s="2"/>
    </row>
    <row r="18" spans="1:27" x14ac:dyDescent="0.25">
      <c r="A18" s="1"/>
      <c r="B18" s="1"/>
      <c r="C18" s="26" t="s">
        <v>10</v>
      </c>
      <c r="F18" s="26">
        <v>0</v>
      </c>
      <c r="G18" s="54" t="str">
        <f>VLOOKUP(E91,B44:D46,3)</f>
        <v>[kW]</v>
      </c>
      <c r="H18" s="41">
        <f>VLOOKUP(E91,M91:U93,J91+2)</f>
        <v>0</v>
      </c>
      <c r="I18" s="26">
        <v>1</v>
      </c>
      <c r="K18" s="41">
        <f>IF(L91=1,-DEGREES(ACOS(I18)),DEGREES(ACOS(I18)))</f>
        <v>0</v>
      </c>
      <c r="L18" s="1"/>
      <c r="M18" s="1"/>
      <c r="N18" s="2" t="str">
        <f t="shared" si="0"/>
        <v>Belastning 11</v>
      </c>
      <c r="O18" s="31">
        <f>HLOOKUP($J$91,$AA$119:$AG$124,3)</f>
        <v>0</v>
      </c>
      <c r="P18" s="46" t="s">
        <v>43</v>
      </c>
      <c r="Q18" s="32">
        <f>HLOOKUP($J$91,$AJ$119:$AP$124,3)</f>
        <v>0</v>
      </c>
      <c r="R18" s="31">
        <f>HLOOKUP($J$91,$AA$119:$AG$124,4)</f>
        <v>0</v>
      </c>
      <c r="S18" s="46" t="s">
        <v>43</v>
      </c>
      <c r="T18" s="32">
        <f>HLOOKUP($J$91,$AJ$119:$AP$124,4)</f>
        <v>-120</v>
      </c>
      <c r="U18" s="31">
        <f>HLOOKUP($J$91,$AA$119:$AG$124,5)</f>
        <v>0</v>
      </c>
      <c r="V18" s="46" t="s">
        <v>43</v>
      </c>
      <c r="W18" s="32">
        <f>HLOOKUP($J$91,$AJ$119:$AP$124,5)</f>
        <v>120</v>
      </c>
      <c r="X18" s="31">
        <f>HLOOKUP($J$91,$AA$119:$AG$124,6)</f>
        <v>0</v>
      </c>
      <c r="Y18" s="46" t="s">
        <v>43</v>
      </c>
      <c r="Z18" s="33">
        <f>HLOOKUP($J$91,$AJ$119:$AP$124,6)</f>
        <v>0</v>
      </c>
      <c r="AA18" s="2"/>
    </row>
    <row r="19" spans="1:27" x14ac:dyDescent="0.25">
      <c r="A19" s="1"/>
      <c r="B19" s="1"/>
      <c r="C19" s="26" t="s">
        <v>11</v>
      </c>
      <c r="F19" s="26">
        <v>0</v>
      </c>
      <c r="G19" s="54" t="str">
        <f>VLOOKUP(E95,B44:D46,3)</f>
        <v>[kW]</v>
      </c>
      <c r="H19" s="41">
        <f>VLOOKUP(E95,M95:U97,J95+2)</f>
        <v>0</v>
      </c>
      <c r="I19" s="26">
        <v>1</v>
      </c>
      <c r="K19" s="41">
        <f>IF(L95=1,-DEGREES(ACOS(I19)),DEGREES(ACOS(I19)))</f>
        <v>0</v>
      </c>
      <c r="L19" s="1"/>
      <c r="M19" s="1"/>
      <c r="N19" s="2" t="str">
        <f t="shared" si="0"/>
        <v>Belastning 12</v>
      </c>
      <c r="O19" s="31">
        <f>HLOOKUP($J$95,$AA$126:$AG$131,3)</f>
        <v>0</v>
      </c>
      <c r="P19" s="46" t="s">
        <v>43</v>
      </c>
      <c r="Q19" s="32">
        <f>HLOOKUP($J$95,$AJ$126:$AP$131,3)</f>
        <v>0</v>
      </c>
      <c r="R19" s="31">
        <f>HLOOKUP($J$95,$AA$126:$AG$131,4)</f>
        <v>0</v>
      </c>
      <c r="S19" s="46" t="s">
        <v>43</v>
      </c>
      <c r="T19" s="32">
        <f>HLOOKUP($J$95,$AJ$126:$AP$131,4)</f>
        <v>-120</v>
      </c>
      <c r="U19" s="31">
        <f>HLOOKUP($J$95,$AA$126:$AG$131,5)</f>
        <v>0</v>
      </c>
      <c r="V19" s="46" t="s">
        <v>43</v>
      </c>
      <c r="W19" s="32">
        <f>HLOOKUP($J$95,$AJ$126:$AP$131,5)</f>
        <v>120</v>
      </c>
      <c r="X19" s="31">
        <f>HLOOKUP($J$95,$AA$126:$AG$131,6)</f>
        <v>0</v>
      </c>
      <c r="Y19" s="46" t="s">
        <v>43</v>
      </c>
      <c r="Z19" s="33">
        <f>HLOOKUP($J$95,$AJ$126:$AP$131,6)</f>
        <v>0</v>
      </c>
      <c r="AA19" s="2"/>
    </row>
    <row r="20" spans="1:27" x14ac:dyDescent="0.25">
      <c r="A20" s="1"/>
      <c r="B20" s="1"/>
      <c r="C20" s="26" t="s">
        <v>12</v>
      </c>
      <c r="F20" s="26">
        <v>0</v>
      </c>
      <c r="G20" s="54" t="str">
        <f>VLOOKUP(E99,B44:D46,3)</f>
        <v>[kW]</v>
      </c>
      <c r="H20" s="41">
        <f>VLOOKUP(E99,M99:U101,J99+2)</f>
        <v>0</v>
      </c>
      <c r="I20" s="26">
        <v>1</v>
      </c>
      <c r="K20" s="41">
        <f>IF(L99=1,-DEGREES(ACOS(I20)),DEGREES(ACOS(I20)))</f>
        <v>0</v>
      </c>
      <c r="L20" s="1"/>
      <c r="M20" s="1"/>
      <c r="N20" s="2" t="str">
        <f t="shared" si="0"/>
        <v>Belastning 13</v>
      </c>
      <c r="O20" s="31">
        <f>HLOOKUP($J$99,$AA$133:$AG$138,3)</f>
        <v>0</v>
      </c>
      <c r="P20" s="46" t="s">
        <v>43</v>
      </c>
      <c r="Q20" s="32">
        <f>HLOOKUP($J$99,$AJ$133:$AP$138,3)</f>
        <v>0</v>
      </c>
      <c r="R20" s="31">
        <f>HLOOKUP($J$99,$AA$133:$AG$138,4)</f>
        <v>0</v>
      </c>
      <c r="S20" s="46" t="s">
        <v>43</v>
      </c>
      <c r="T20" s="32">
        <f>HLOOKUP($J$99,$AJ$133:$AP$138,4)</f>
        <v>-120</v>
      </c>
      <c r="U20" s="31">
        <f>HLOOKUP($J$99,$AA$133:$AG$138,5)</f>
        <v>0</v>
      </c>
      <c r="V20" s="46" t="s">
        <v>43</v>
      </c>
      <c r="W20" s="32">
        <f>HLOOKUP($J$99,$AJ$133:$AP$138,5)</f>
        <v>120</v>
      </c>
      <c r="X20" s="31">
        <f>HLOOKUP($J$99,$AA$133:$AG$138,6)</f>
        <v>0</v>
      </c>
      <c r="Y20" s="46" t="s">
        <v>43</v>
      </c>
      <c r="Z20" s="33">
        <f>HLOOKUP($J$99,$AJ$133:$AP$138,6)</f>
        <v>0</v>
      </c>
      <c r="AA20" s="2"/>
    </row>
    <row r="21" spans="1:27" x14ac:dyDescent="0.25">
      <c r="A21" s="1"/>
      <c r="B21" s="1"/>
      <c r="C21" s="26" t="s">
        <v>13</v>
      </c>
      <c r="F21" s="26">
        <v>0</v>
      </c>
      <c r="G21" s="54" t="str">
        <f>VLOOKUP(E103,B44:D46,3)</f>
        <v>[kW]</v>
      </c>
      <c r="H21" s="41">
        <f>VLOOKUP(E103,M103:U105,J103+2)</f>
        <v>0</v>
      </c>
      <c r="I21" s="26">
        <v>1</v>
      </c>
      <c r="K21" s="41">
        <f>IF(L103=1,-DEGREES(ACOS(I21)),DEGREES(ACOS(I21)))</f>
        <v>0</v>
      </c>
      <c r="L21" s="1"/>
      <c r="M21" s="1"/>
      <c r="N21" s="2" t="str">
        <f t="shared" si="0"/>
        <v>Belastning 14</v>
      </c>
      <c r="O21" s="31">
        <f>HLOOKUP($J$103,$AA$140:$AG$145,3)</f>
        <v>0</v>
      </c>
      <c r="P21" s="46" t="s">
        <v>43</v>
      </c>
      <c r="Q21" s="32">
        <f>HLOOKUP($J$103,$AJ$140:$AP$145,3)</f>
        <v>0</v>
      </c>
      <c r="R21" s="31">
        <f>HLOOKUP($J$103,$AA$140:$AG$145,4)</f>
        <v>0</v>
      </c>
      <c r="S21" s="46" t="s">
        <v>43</v>
      </c>
      <c r="T21" s="32">
        <f>HLOOKUP($J$103,$AJ$140:$AP$145,4)</f>
        <v>-120</v>
      </c>
      <c r="U21" s="31">
        <f>HLOOKUP($J$103,$AA$140:$AG$145,5)</f>
        <v>0</v>
      </c>
      <c r="V21" s="46" t="s">
        <v>43</v>
      </c>
      <c r="W21" s="32">
        <f>HLOOKUP($J$103,$AJ$140:$AP$145,5)</f>
        <v>120</v>
      </c>
      <c r="X21" s="31">
        <f>HLOOKUP($J$103,$AA$140:$AG$145,6)</f>
        <v>0</v>
      </c>
      <c r="Y21" s="46" t="s">
        <v>43</v>
      </c>
      <c r="Z21" s="33">
        <f>HLOOKUP($J$103,$AJ$140:$AP$145,6)</f>
        <v>0</v>
      </c>
    </row>
    <row r="22" spans="1:27" x14ac:dyDescent="0.25">
      <c r="A22" s="1"/>
      <c r="B22" s="1"/>
      <c r="C22" s="26" t="s">
        <v>14</v>
      </c>
      <c r="F22" s="26">
        <v>0</v>
      </c>
      <c r="G22" s="54" t="str">
        <f>VLOOKUP(E107,B44:D46,3)</f>
        <v>[kW]</v>
      </c>
      <c r="H22" s="41">
        <f>VLOOKUP(E107,M107:U109,J107+2)</f>
        <v>0</v>
      </c>
      <c r="I22" s="26">
        <v>1</v>
      </c>
      <c r="K22" s="41">
        <f>IF(L107=1,-DEGREES(ACOS(I22)),DEGREES(ACOS(I22)))</f>
        <v>0</v>
      </c>
      <c r="L22" s="1"/>
      <c r="M22" s="1"/>
      <c r="N22" s="2" t="str">
        <f t="shared" si="0"/>
        <v>Belastning 15</v>
      </c>
      <c r="O22" s="31">
        <f>HLOOKUP($J$107,$AA$147:$AG$152,3)</f>
        <v>0</v>
      </c>
      <c r="P22" s="46" t="s">
        <v>43</v>
      </c>
      <c r="Q22" s="32">
        <f>HLOOKUP($J$107,$AJ$147:$AP$152,3)</f>
        <v>0</v>
      </c>
      <c r="R22" s="31">
        <f>HLOOKUP($J$107,$AA$147:$AG$152,4)</f>
        <v>0</v>
      </c>
      <c r="S22" s="46" t="s">
        <v>43</v>
      </c>
      <c r="T22" s="32">
        <f>HLOOKUP($J$107,$AJ$147:$AP$152,4)</f>
        <v>-120</v>
      </c>
      <c r="U22" s="31">
        <f>HLOOKUP($J$107,$AA$147:$AG$152,5)</f>
        <v>0</v>
      </c>
      <c r="V22" s="46" t="s">
        <v>43</v>
      </c>
      <c r="W22" s="32">
        <f>HLOOKUP($J$107,$AJ$147:$AP$152,5)</f>
        <v>120</v>
      </c>
      <c r="X22" s="31">
        <f>HLOOKUP($J$107,$AA$147:$AG$152,6)</f>
        <v>0</v>
      </c>
      <c r="Y22" s="46" t="s">
        <v>43</v>
      </c>
      <c r="Z22" s="33">
        <f>HLOOKUP($J$107,$AJ$147:$AP$152,6)</f>
        <v>0</v>
      </c>
    </row>
    <row r="23" spans="1:27" ht="18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37" t="s">
        <v>86</v>
      </c>
      <c r="O23" s="38">
        <f>SQRT(E128^2+F128^2)</f>
        <v>0</v>
      </c>
      <c r="P23" s="47" t="s">
        <v>43</v>
      </c>
      <c r="Q23" s="39">
        <f>IFERROR(DEGREES(ATAN(F128/E128)),0)</f>
        <v>0</v>
      </c>
      <c r="R23" s="38">
        <f>SQRT(G128^2+H128^2)</f>
        <v>0</v>
      </c>
      <c r="S23" s="47" t="s">
        <v>43</v>
      </c>
      <c r="T23" s="39">
        <f>IFERROR(-DEGREES(ATAN(G128/H128))-90,0)</f>
        <v>0</v>
      </c>
      <c r="U23" s="38">
        <f>SQRT(I128^2+J128^2)</f>
        <v>0</v>
      </c>
      <c r="V23" s="47" t="s">
        <v>43</v>
      </c>
      <c r="W23" s="39">
        <f>IFERROR(-DEGREES(ATAN(I128/J128))+90,0)</f>
        <v>0</v>
      </c>
      <c r="X23" s="40">
        <f>IMABS(COMPLEX(C134+F134+I134,C135+F135+I135))</f>
        <v>0</v>
      </c>
      <c r="Y23" s="47" t="s">
        <v>43</v>
      </c>
      <c r="Z23" s="39">
        <f>IFERROR(DEGREES(IMARGUMENT(IMSUM(L135)))+180,0)</f>
        <v>0</v>
      </c>
    </row>
    <row r="24" spans="1:27" ht="18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37" t="s">
        <v>88</v>
      </c>
      <c r="O24" s="38">
        <f>O23*Q3*T3</f>
        <v>0</v>
      </c>
      <c r="P24" s="47" t="s">
        <v>43</v>
      </c>
      <c r="Q24" s="39">
        <f>Q23</f>
        <v>0</v>
      </c>
      <c r="R24" s="38">
        <f>R23*Q3*T3</f>
        <v>0</v>
      </c>
      <c r="S24" s="47" t="s">
        <v>43</v>
      </c>
      <c r="T24" s="39">
        <f>T23</f>
        <v>0</v>
      </c>
      <c r="U24" s="38">
        <f>U23*Q3*T3</f>
        <v>0</v>
      </c>
      <c r="V24" s="47" t="s">
        <v>43</v>
      </c>
      <c r="W24" s="39">
        <f>W23</f>
        <v>0</v>
      </c>
      <c r="X24" s="40">
        <f>(X23)*Q3*T3</f>
        <v>0</v>
      </c>
      <c r="Y24" s="47" t="s">
        <v>43</v>
      </c>
      <c r="Z24" s="39">
        <f>Z23</f>
        <v>0</v>
      </c>
    </row>
    <row r="25" spans="1:27" ht="18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37" t="s">
        <v>87</v>
      </c>
      <c r="O25" s="38">
        <f>O24</f>
        <v>0</v>
      </c>
      <c r="P25" s="47" t="s">
        <v>43</v>
      </c>
      <c r="Q25" s="39">
        <f>Q23</f>
        <v>0</v>
      </c>
      <c r="R25" s="38">
        <f>R24</f>
        <v>0</v>
      </c>
      <c r="S25" s="47" t="s">
        <v>43</v>
      </c>
      <c r="T25" s="39">
        <f>T24+120</f>
        <v>120</v>
      </c>
      <c r="U25" s="38">
        <f>U24</f>
        <v>0</v>
      </c>
      <c r="V25" s="47" t="s">
        <v>43</v>
      </c>
      <c r="W25" s="39">
        <f>W24-120</f>
        <v>-120</v>
      </c>
      <c r="X25" s="40">
        <f>(X24)</f>
        <v>0</v>
      </c>
      <c r="Y25" s="47" t="s">
        <v>43</v>
      </c>
      <c r="Z25" s="39">
        <f>Z24</f>
        <v>0</v>
      </c>
    </row>
    <row r="26" spans="1:2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49" t="s">
        <v>69</v>
      </c>
      <c r="O26" s="50">
        <f>IFERROR(((I5/3)/O24)*100,0)</f>
        <v>0</v>
      </c>
      <c r="P26" s="51" t="s">
        <v>68</v>
      </c>
      <c r="Q26" s="52"/>
      <c r="R26" s="50">
        <f>IFERROR(((I5/3)/R24)*100,0)</f>
        <v>0</v>
      </c>
      <c r="S26" s="51" t="s">
        <v>68</v>
      </c>
      <c r="T26" s="52"/>
      <c r="U26" s="50">
        <f>IFERROR(((I5/3)/U24)*100,0)</f>
        <v>0</v>
      </c>
      <c r="V26" s="51" t="s">
        <v>68</v>
      </c>
      <c r="W26" s="52"/>
      <c r="X26" s="40"/>
      <c r="Y26" s="51"/>
      <c r="Z26" s="52"/>
    </row>
    <row r="27" spans="1:2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53" t="s">
        <v>70</v>
      </c>
      <c r="L27" s="1"/>
      <c r="M27" s="1"/>
    </row>
    <row r="39" spans="2:28" x14ac:dyDescent="0.25">
      <c r="I39">
        <v>1</v>
      </c>
      <c r="J39" t="s">
        <v>22</v>
      </c>
    </row>
    <row r="40" spans="2:28" x14ac:dyDescent="0.25">
      <c r="I40">
        <v>2</v>
      </c>
      <c r="J40" t="s">
        <v>23</v>
      </c>
    </row>
    <row r="41" spans="2:28" x14ac:dyDescent="0.25">
      <c r="I41">
        <v>3</v>
      </c>
      <c r="J41" t="s">
        <v>24</v>
      </c>
    </row>
    <row r="42" spans="2:28" x14ac:dyDescent="0.25">
      <c r="I42">
        <v>4</v>
      </c>
      <c r="J42" t="s">
        <v>25</v>
      </c>
      <c r="Z42" s="4"/>
      <c r="AA42" s="5"/>
    </row>
    <row r="43" spans="2:28" x14ac:dyDescent="0.25">
      <c r="I43">
        <v>5</v>
      </c>
      <c r="J43" t="s">
        <v>26</v>
      </c>
      <c r="Z43" s="2"/>
      <c r="AA43" t="s">
        <v>67</v>
      </c>
    </row>
    <row r="44" spans="2:28" x14ac:dyDescent="0.25">
      <c r="B44">
        <v>1</v>
      </c>
      <c r="C44" t="s">
        <v>15</v>
      </c>
      <c r="D44" t="s">
        <v>60</v>
      </c>
      <c r="I44">
        <v>6</v>
      </c>
      <c r="J44" t="s">
        <v>27</v>
      </c>
      <c r="L44" t="s">
        <v>90</v>
      </c>
      <c r="Y44">
        <v>1</v>
      </c>
      <c r="Z44" s="2" t="s">
        <v>50</v>
      </c>
      <c r="AB44" t="s">
        <v>68</v>
      </c>
    </row>
    <row r="45" spans="2:28" x14ac:dyDescent="0.25">
      <c r="B45">
        <v>2</v>
      </c>
      <c r="C45" t="s">
        <v>16</v>
      </c>
      <c r="D45" t="s">
        <v>61</v>
      </c>
      <c r="I45">
        <v>7</v>
      </c>
      <c r="J45" t="s">
        <v>28</v>
      </c>
      <c r="L45" t="s">
        <v>91</v>
      </c>
      <c r="Y45">
        <v>2</v>
      </c>
      <c r="Z45" s="2" t="s">
        <v>51</v>
      </c>
      <c r="AB45" t="s">
        <v>68</v>
      </c>
    </row>
    <row r="46" spans="2:28" x14ac:dyDescent="0.25">
      <c r="B46">
        <v>3</v>
      </c>
      <c r="C46" t="s">
        <v>17</v>
      </c>
      <c r="D46" t="s">
        <v>62</v>
      </c>
      <c r="Y46">
        <v>3</v>
      </c>
      <c r="Z46" s="2" t="s">
        <v>52</v>
      </c>
      <c r="AB46" t="s">
        <v>68</v>
      </c>
    </row>
    <row r="47" spans="2:28" x14ac:dyDescent="0.25">
      <c r="Y47">
        <v>4</v>
      </c>
      <c r="Z47" s="13" t="s">
        <v>42</v>
      </c>
      <c r="AA47" s="19"/>
    </row>
    <row r="49" spans="3:42" x14ac:dyDescent="0.25">
      <c r="E49" t="s">
        <v>18</v>
      </c>
      <c r="Z49" s="4"/>
      <c r="AA49" s="5">
        <v>1</v>
      </c>
      <c r="AB49" s="5">
        <v>2</v>
      </c>
      <c r="AC49" s="5">
        <v>3</v>
      </c>
      <c r="AD49" s="5">
        <v>4</v>
      </c>
      <c r="AE49" s="5">
        <v>5</v>
      </c>
      <c r="AF49" s="5">
        <v>6</v>
      </c>
      <c r="AG49" s="6">
        <v>7</v>
      </c>
      <c r="AI49" s="4"/>
      <c r="AJ49" s="5">
        <v>1</v>
      </c>
      <c r="AK49" s="5">
        <v>2</v>
      </c>
      <c r="AL49" s="5">
        <v>3</v>
      </c>
      <c r="AM49" s="5">
        <v>4</v>
      </c>
      <c r="AN49" s="5">
        <v>5</v>
      </c>
      <c r="AO49" s="5">
        <v>6</v>
      </c>
      <c r="AP49" s="6">
        <v>7</v>
      </c>
    </row>
    <row r="50" spans="3:42" x14ac:dyDescent="0.25">
      <c r="O50" t="s">
        <v>32</v>
      </c>
      <c r="P50" t="s">
        <v>34</v>
      </c>
      <c r="Q50" t="s">
        <v>35</v>
      </c>
      <c r="R50" t="s">
        <v>36</v>
      </c>
      <c r="S50" t="s">
        <v>37</v>
      </c>
      <c r="T50" t="s">
        <v>38</v>
      </c>
      <c r="U50" t="s">
        <v>39</v>
      </c>
      <c r="Z50" s="2"/>
      <c r="AA50" t="s">
        <v>32</v>
      </c>
      <c r="AB50" t="s">
        <v>34</v>
      </c>
      <c r="AC50" t="s">
        <v>35</v>
      </c>
      <c r="AD50" t="s">
        <v>36</v>
      </c>
      <c r="AE50" t="s">
        <v>37</v>
      </c>
      <c r="AF50" t="s">
        <v>38</v>
      </c>
      <c r="AG50" s="3" t="s">
        <v>39</v>
      </c>
      <c r="AI50" s="29" t="s">
        <v>55</v>
      </c>
      <c r="AJ50" t="s">
        <v>32</v>
      </c>
      <c r="AK50" t="s">
        <v>34</v>
      </c>
      <c r="AL50" t="s">
        <v>35</v>
      </c>
      <c r="AM50" t="s">
        <v>36</v>
      </c>
      <c r="AN50" t="s">
        <v>37</v>
      </c>
      <c r="AO50" t="s">
        <v>38</v>
      </c>
      <c r="AP50" s="3" t="s">
        <v>39</v>
      </c>
    </row>
    <row r="51" spans="3:42" x14ac:dyDescent="0.25">
      <c r="C51" t="s">
        <v>0</v>
      </c>
      <c r="E51">
        <v>1</v>
      </c>
      <c r="J51">
        <v>1</v>
      </c>
      <c r="L51">
        <v>1</v>
      </c>
      <c r="M51">
        <v>1</v>
      </c>
      <c r="N51" t="s">
        <v>29</v>
      </c>
      <c r="O51">
        <f>(F8*1000)/($D$5*SQRT(3)*I8)</f>
        <v>0</v>
      </c>
      <c r="P51">
        <f>($F$8*1000)/(($D$5/SQRT(3))*$I$8)</f>
        <v>0</v>
      </c>
      <c r="Q51">
        <f>P51</f>
        <v>0</v>
      </c>
      <c r="R51">
        <f>P51</f>
        <v>0</v>
      </c>
      <c r="S51">
        <f>($F$8*1000)/($D$5*$I$8)</f>
        <v>0</v>
      </c>
      <c r="T51">
        <f>S51</f>
        <v>0</v>
      </c>
      <c r="U51">
        <f>S51</f>
        <v>0</v>
      </c>
      <c r="Z51" s="2" t="s">
        <v>50</v>
      </c>
      <c r="AA51" s="17">
        <f>H8</f>
        <v>0</v>
      </c>
      <c r="AB51" s="17">
        <f>AA51</f>
        <v>0</v>
      </c>
      <c r="AC51">
        <v>0</v>
      </c>
      <c r="AD51">
        <v>0</v>
      </c>
      <c r="AE51" s="17">
        <f>AA51</f>
        <v>0</v>
      </c>
      <c r="AF51">
        <v>0</v>
      </c>
      <c r="AG51" s="18">
        <f>AA51</f>
        <v>0</v>
      </c>
      <c r="AI51" s="2" t="s">
        <v>50</v>
      </c>
      <c r="AJ51" s="17">
        <f>K8</f>
        <v>0</v>
      </c>
      <c r="AK51" s="17">
        <f>AJ51</f>
        <v>0</v>
      </c>
      <c r="AL51">
        <v>0</v>
      </c>
      <c r="AM51">
        <v>0</v>
      </c>
      <c r="AN51" s="17">
        <f>AJ51+30</f>
        <v>30</v>
      </c>
      <c r="AO51">
        <v>0</v>
      </c>
      <c r="AP51" s="18">
        <f>AJ51-30</f>
        <v>-30</v>
      </c>
    </row>
    <row r="52" spans="3:42" x14ac:dyDescent="0.25">
      <c r="M52">
        <v>2</v>
      </c>
      <c r="N52" t="s">
        <v>30</v>
      </c>
      <c r="O52">
        <f>(F8*1000)/($D$5*SQRT(3))</f>
        <v>0</v>
      </c>
      <c r="P52">
        <f>($F$8*1000)/(($D$5/SQRT(3)))</f>
        <v>0</v>
      </c>
      <c r="Q52">
        <f>P52</f>
        <v>0</v>
      </c>
      <c r="R52">
        <f>P52</f>
        <v>0</v>
      </c>
      <c r="S52">
        <f>($F$8*1000)/($D$5)</f>
        <v>0</v>
      </c>
      <c r="T52">
        <f>S52</f>
        <v>0</v>
      </c>
      <c r="U52">
        <f>S52</f>
        <v>0</v>
      </c>
      <c r="Y52">
        <v>1</v>
      </c>
      <c r="Z52" s="2" t="s">
        <v>51</v>
      </c>
      <c r="AA52" s="17">
        <f>AA51</f>
        <v>0</v>
      </c>
      <c r="AB52">
        <v>0</v>
      </c>
      <c r="AC52" s="17">
        <f>AA51</f>
        <v>0</v>
      </c>
      <c r="AD52">
        <v>0</v>
      </c>
      <c r="AE52" s="17">
        <f>AA51</f>
        <v>0</v>
      </c>
      <c r="AF52" s="17">
        <f>AA51</f>
        <v>0</v>
      </c>
      <c r="AG52" s="3">
        <v>0</v>
      </c>
      <c r="AI52" s="2" t="s">
        <v>51</v>
      </c>
      <c r="AJ52" s="17">
        <f>AJ51-120</f>
        <v>-120</v>
      </c>
      <c r="AK52">
        <v>0</v>
      </c>
      <c r="AL52" s="17">
        <f>AJ51-120</f>
        <v>-120</v>
      </c>
      <c r="AM52">
        <v>0</v>
      </c>
      <c r="AN52" s="17">
        <f>AJ51-150</f>
        <v>-150</v>
      </c>
      <c r="AO52" s="17">
        <f>AJ51-90</f>
        <v>-90</v>
      </c>
      <c r="AP52" s="3">
        <v>0</v>
      </c>
    </row>
    <row r="53" spans="3:42" x14ac:dyDescent="0.25">
      <c r="M53">
        <v>3</v>
      </c>
      <c r="N53" t="s">
        <v>31</v>
      </c>
      <c r="O53">
        <f>F8</f>
        <v>0</v>
      </c>
      <c r="P53">
        <f t="shared" ref="P53:U53" si="1">$F$8</f>
        <v>0</v>
      </c>
      <c r="Q53">
        <f t="shared" si="1"/>
        <v>0</v>
      </c>
      <c r="R53">
        <f t="shared" si="1"/>
        <v>0</v>
      </c>
      <c r="S53">
        <f t="shared" si="1"/>
        <v>0</v>
      </c>
      <c r="T53">
        <f t="shared" si="1"/>
        <v>0</v>
      </c>
      <c r="U53">
        <f t="shared" si="1"/>
        <v>0</v>
      </c>
      <c r="Z53" s="2" t="s">
        <v>52</v>
      </c>
      <c r="AA53" s="17">
        <f>AA51</f>
        <v>0</v>
      </c>
      <c r="AB53">
        <v>0</v>
      </c>
      <c r="AC53">
        <v>0</v>
      </c>
      <c r="AD53" s="17">
        <f>AA51</f>
        <v>0</v>
      </c>
      <c r="AE53">
        <v>0</v>
      </c>
      <c r="AF53" s="17">
        <f>AA51</f>
        <v>0</v>
      </c>
      <c r="AG53" s="18">
        <f>AA51</f>
        <v>0</v>
      </c>
      <c r="AI53" s="2" t="s">
        <v>52</v>
      </c>
      <c r="AJ53" s="17">
        <f>AJ51+120</f>
        <v>120</v>
      </c>
      <c r="AK53">
        <v>0</v>
      </c>
      <c r="AL53">
        <v>0</v>
      </c>
      <c r="AM53" s="17">
        <f>AJ51+120</f>
        <v>120</v>
      </c>
      <c r="AN53">
        <v>0</v>
      </c>
      <c r="AO53" s="17">
        <f>AJ51+90</f>
        <v>90</v>
      </c>
      <c r="AP53" s="18">
        <f>AJ51+150</f>
        <v>150</v>
      </c>
    </row>
    <row r="54" spans="3:42" x14ac:dyDescent="0.25">
      <c r="Z54" s="13" t="s">
        <v>42</v>
      </c>
      <c r="AA54" s="19">
        <v>0</v>
      </c>
      <c r="AB54" s="20">
        <f>AA51</f>
        <v>0</v>
      </c>
      <c r="AC54" s="20">
        <f>AA51</f>
        <v>0</v>
      </c>
      <c r="AD54" s="20">
        <f>AA51</f>
        <v>0</v>
      </c>
      <c r="AE54" s="19">
        <v>0</v>
      </c>
      <c r="AF54" s="19">
        <v>0</v>
      </c>
      <c r="AG54" s="14">
        <v>0</v>
      </c>
      <c r="AI54" s="13" t="s">
        <v>42</v>
      </c>
      <c r="AJ54" s="19">
        <v>0</v>
      </c>
      <c r="AK54" s="20">
        <f>AJ51+180</f>
        <v>180</v>
      </c>
      <c r="AL54" s="20">
        <f>AJ51+180-120</f>
        <v>60</v>
      </c>
      <c r="AM54" s="20">
        <f>AJ51-180+120</f>
        <v>-60</v>
      </c>
      <c r="AN54" s="19">
        <v>0</v>
      </c>
      <c r="AO54" s="19">
        <v>0</v>
      </c>
      <c r="AP54" s="14">
        <v>0</v>
      </c>
    </row>
    <row r="55" spans="3:42" x14ac:dyDescent="0.25">
      <c r="C55" t="s">
        <v>1</v>
      </c>
      <c r="E55">
        <v>1</v>
      </c>
      <c r="J55">
        <v>1</v>
      </c>
      <c r="L55">
        <v>1</v>
      </c>
      <c r="M55">
        <v>1</v>
      </c>
      <c r="N55" t="s">
        <v>29</v>
      </c>
      <c r="O55">
        <f>($F$9*1000)/($D$5*SQRT(3)*$I$9)</f>
        <v>0</v>
      </c>
      <c r="P55">
        <f>($F$9*1000)/(($D$5/SQRT(3))*$I$9)</f>
        <v>0</v>
      </c>
      <c r="Q55">
        <f>P55</f>
        <v>0</v>
      </c>
      <c r="R55">
        <f>P55</f>
        <v>0</v>
      </c>
      <c r="S55">
        <f>($F$9*1000)/($D$5*$I$9)</f>
        <v>0</v>
      </c>
      <c r="T55">
        <f>S55</f>
        <v>0</v>
      </c>
      <c r="U55">
        <f>S55</f>
        <v>0</v>
      </c>
    </row>
    <row r="56" spans="3:42" x14ac:dyDescent="0.25">
      <c r="M56">
        <v>2</v>
      </c>
      <c r="N56" t="s">
        <v>30</v>
      </c>
      <c r="O56">
        <f>($F$9*1000)/($D$5*SQRT(3))</f>
        <v>0</v>
      </c>
      <c r="P56">
        <f>($F$9*1000)/(($D$5/SQRT(3)))</f>
        <v>0</v>
      </c>
      <c r="Q56">
        <f>P56</f>
        <v>0</v>
      </c>
      <c r="R56">
        <f>P56</f>
        <v>0</v>
      </c>
      <c r="S56">
        <f>($F$9*1000)/($D$5)</f>
        <v>0</v>
      </c>
      <c r="T56">
        <f>S56</f>
        <v>0</v>
      </c>
      <c r="U56">
        <f>S56</f>
        <v>0</v>
      </c>
      <c r="Z56" s="4"/>
      <c r="AA56" s="5">
        <v>1</v>
      </c>
      <c r="AB56" s="5">
        <v>2</v>
      </c>
      <c r="AC56" s="5">
        <v>3</v>
      </c>
      <c r="AD56" s="5">
        <v>4</v>
      </c>
      <c r="AE56" s="5">
        <v>5</v>
      </c>
      <c r="AF56" s="5">
        <v>6</v>
      </c>
      <c r="AG56" s="6">
        <v>7</v>
      </c>
      <c r="AI56" s="4"/>
      <c r="AJ56" s="5">
        <v>1</v>
      </c>
      <c r="AK56" s="5">
        <v>2</v>
      </c>
      <c r="AL56" s="5">
        <v>3</v>
      </c>
      <c r="AM56" s="5">
        <v>4</v>
      </c>
      <c r="AN56" s="5">
        <v>5</v>
      </c>
      <c r="AO56" s="5">
        <v>6</v>
      </c>
      <c r="AP56" s="6">
        <v>7</v>
      </c>
    </row>
    <row r="57" spans="3:42" x14ac:dyDescent="0.25">
      <c r="M57">
        <v>3</v>
      </c>
      <c r="N57" t="s">
        <v>31</v>
      </c>
      <c r="O57">
        <f>$F$9</f>
        <v>0</v>
      </c>
      <c r="P57">
        <f>O57</f>
        <v>0</v>
      </c>
      <c r="Q57">
        <f>O57</f>
        <v>0</v>
      </c>
      <c r="R57">
        <f>O57</f>
        <v>0</v>
      </c>
      <c r="S57">
        <f>O57</f>
        <v>0</v>
      </c>
      <c r="T57">
        <f>O57</f>
        <v>0</v>
      </c>
      <c r="U57">
        <f>O57</f>
        <v>0</v>
      </c>
      <c r="Z57" s="2"/>
      <c r="AA57" t="s">
        <v>32</v>
      </c>
      <c r="AB57" t="s">
        <v>34</v>
      </c>
      <c r="AC57" t="s">
        <v>35</v>
      </c>
      <c r="AD57" t="s">
        <v>36</v>
      </c>
      <c r="AE57" t="s">
        <v>37</v>
      </c>
      <c r="AF57" t="s">
        <v>38</v>
      </c>
      <c r="AG57" s="3" t="s">
        <v>39</v>
      </c>
      <c r="AI57" s="29" t="s">
        <v>55</v>
      </c>
      <c r="AJ57" t="s">
        <v>32</v>
      </c>
      <c r="AK57" t="s">
        <v>34</v>
      </c>
      <c r="AL57" t="s">
        <v>35</v>
      </c>
      <c r="AM57" t="s">
        <v>36</v>
      </c>
      <c r="AN57" t="s">
        <v>37</v>
      </c>
      <c r="AO57" t="s">
        <v>38</v>
      </c>
      <c r="AP57" s="3" t="s">
        <v>39</v>
      </c>
    </row>
    <row r="58" spans="3:42" x14ac:dyDescent="0.25">
      <c r="Z58" s="2" t="s">
        <v>50</v>
      </c>
      <c r="AA58" s="17">
        <f>H9</f>
        <v>0</v>
      </c>
      <c r="AB58" s="17">
        <f>AA58</f>
        <v>0</v>
      </c>
      <c r="AC58">
        <v>0</v>
      </c>
      <c r="AD58">
        <v>0</v>
      </c>
      <c r="AE58" s="17">
        <f>AA58</f>
        <v>0</v>
      </c>
      <c r="AF58">
        <v>0</v>
      </c>
      <c r="AG58" s="18">
        <f>AA58</f>
        <v>0</v>
      </c>
      <c r="AI58" s="2" t="s">
        <v>50</v>
      </c>
      <c r="AJ58" s="17">
        <f>K9</f>
        <v>0</v>
      </c>
      <c r="AK58" s="17">
        <f>AJ58</f>
        <v>0</v>
      </c>
      <c r="AL58">
        <v>0</v>
      </c>
      <c r="AM58">
        <v>0</v>
      </c>
      <c r="AN58" s="17">
        <f>AJ58+30</f>
        <v>30</v>
      </c>
      <c r="AO58">
        <v>0</v>
      </c>
      <c r="AP58" s="18">
        <f>AJ58-30</f>
        <v>-30</v>
      </c>
    </row>
    <row r="59" spans="3:42" x14ac:dyDescent="0.25">
      <c r="C59" t="s">
        <v>2</v>
      </c>
      <c r="E59">
        <v>1</v>
      </c>
      <c r="J59">
        <v>1</v>
      </c>
      <c r="L59">
        <v>1</v>
      </c>
      <c r="M59">
        <v>1</v>
      </c>
      <c r="N59" t="s">
        <v>29</v>
      </c>
      <c r="O59">
        <f>($F$10*1000)/($D$5*SQRT(3)*$I$10)</f>
        <v>0</v>
      </c>
      <c r="P59">
        <f>($F$10*1000)/(($D$5/SQRT(3))*$I$10)</f>
        <v>0</v>
      </c>
      <c r="Q59">
        <f>P59</f>
        <v>0</v>
      </c>
      <c r="R59">
        <f>P59</f>
        <v>0</v>
      </c>
      <c r="S59">
        <f>($F$10*1000)/($D$5*$I$10)</f>
        <v>0</v>
      </c>
      <c r="T59">
        <f>S59</f>
        <v>0</v>
      </c>
      <c r="U59">
        <f>S59</f>
        <v>0</v>
      </c>
      <c r="Y59">
        <v>2</v>
      </c>
      <c r="Z59" s="2" t="s">
        <v>51</v>
      </c>
      <c r="AA59" s="17">
        <f>AA58</f>
        <v>0</v>
      </c>
      <c r="AB59">
        <v>0</v>
      </c>
      <c r="AC59" s="17">
        <f>AA58</f>
        <v>0</v>
      </c>
      <c r="AD59">
        <v>0</v>
      </c>
      <c r="AE59" s="17">
        <f>AA58</f>
        <v>0</v>
      </c>
      <c r="AF59" s="17">
        <f>AA58</f>
        <v>0</v>
      </c>
      <c r="AG59" s="3">
        <v>0</v>
      </c>
      <c r="AI59" s="2" t="s">
        <v>51</v>
      </c>
      <c r="AJ59" s="17">
        <f>AJ58-120</f>
        <v>-120</v>
      </c>
      <c r="AK59">
        <v>0</v>
      </c>
      <c r="AL59" s="17">
        <f>AJ58-120</f>
        <v>-120</v>
      </c>
      <c r="AM59">
        <v>0</v>
      </c>
      <c r="AN59" s="17">
        <f>AJ58-150</f>
        <v>-150</v>
      </c>
      <c r="AO59" s="17">
        <f>AJ58-90</f>
        <v>-90</v>
      </c>
      <c r="AP59" s="3">
        <v>0</v>
      </c>
    </row>
    <row r="60" spans="3:42" x14ac:dyDescent="0.25">
      <c r="M60">
        <v>2</v>
      </c>
      <c r="N60" t="s">
        <v>30</v>
      </c>
      <c r="O60">
        <f>($F$10*1000)/($D$5*SQRT(3))</f>
        <v>0</v>
      </c>
      <c r="P60">
        <f>($F$10*1000)/(($D$5/SQRT(3)))</f>
        <v>0</v>
      </c>
      <c r="Q60">
        <f>P60</f>
        <v>0</v>
      </c>
      <c r="R60">
        <f>P60</f>
        <v>0</v>
      </c>
      <c r="S60">
        <f>($F$10*1000)/($D$5)</f>
        <v>0</v>
      </c>
      <c r="T60">
        <f>S60</f>
        <v>0</v>
      </c>
      <c r="U60">
        <f>S60</f>
        <v>0</v>
      </c>
      <c r="Z60" s="2" t="s">
        <v>52</v>
      </c>
      <c r="AA60" s="17">
        <f>AA58</f>
        <v>0</v>
      </c>
      <c r="AB60">
        <v>0</v>
      </c>
      <c r="AC60">
        <v>0</v>
      </c>
      <c r="AD60" s="17">
        <f>AA58</f>
        <v>0</v>
      </c>
      <c r="AE60">
        <v>0</v>
      </c>
      <c r="AF60" s="17">
        <f>AA58</f>
        <v>0</v>
      </c>
      <c r="AG60" s="18">
        <f>AA58</f>
        <v>0</v>
      </c>
      <c r="AI60" s="2" t="s">
        <v>52</v>
      </c>
      <c r="AJ60" s="17">
        <f>AJ58+120</f>
        <v>120</v>
      </c>
      <c r="AK60">
        <v>0</v>
      </c>
      <c r="AL60">
        <v>0</v>
      </c>
      <c r="AM60" s="17">
        <f>AJ58+120</f>
        <v>120</v>
      </c>
      <c r="AN60">
        <v>0</v>
      </c>
      <c r="AO60" s="17">
        <f>AJ58+90</f>
        <v>90</v>
      </c>
      <c r="AP60" s="18">
        <f>AJ58+150</f>
        <v>150</v>
      </c>
    </row>
    <row r="61" spans="3:42" x14ac:dyDescent="0.25">
      <c r="M61">
        <v>3</v>
      </c>
      <c r="N61" t="s">
        <v>31</v>
      </c>
      <c r="O61">
        <f>$F$10</f>
        <v>0</v>
      </c>
      <c r="P61">
        <f>O61</f>
        <v>0</v>
      </c>
      <c r="Q61">
        <f>O61</f>
        <v>0</v>
      </c>
      <c r="R61">
        <f>O61</f>
        <v>0</v>
      </c>
      <c r="S61">
        <f>O61</f>
        <v>0</v>
      </c>
      <c r="T61">
        <f>O61</f>
        <v>0</v>
      </c>
      <c r="U61">
        <f>O61</f>
        <v>0</v>
      </c>
      <c r="Z61" s="13" t="s">
        <v>42</v>
      </c>
      <c r="AA61" s="19">
        <v>0</v>
      </c>
      <c r="AB61" s="20">
        <f>AA58</f>
        <v>0</v>
      </c>
      <c r="AC61" s="20">
        <f>AA58</f>
        <v>0</v>
      </c>
      <c r="AD61" s="20">
        <f>AA58</f>
        <v>0</v>
      </c>
      <c r="AE61" s="19">
        <v>0</v>
      </c>
      <c r="AF61" s="19">
        <v>0</v>
      </c>
      <c r="AG61" s="14">
        <v>0</v>
      </c>
      <c r="AI61" s="13" t="s">
        <v>42</v>
      </c>
      <c r="AJ61" s="19">
        <v>0</v>
      </c>
      <c r="AK61" s="20">
        <f>AJ58+180</f>
        <v>180</v>
      </c>
      <c r="AL61" s="20">
        <f>AJ58+180-120</f>
        <v>60</v>
      </c>
      <c r="AM61" s="20">
        <f>AJ58-180+120</f>
        <v>-60</v>
      </c>
      <c r="AN61" s="19">
        <v>0</v>
      </c>
      <c r="AO61" s="19">
        <v>0</v>
      </c>
      <c r="AP61" s="14">
        <v>0</v>
      </c>
    </row>
    <row r="63" spans="3:42" x14ac:dyDescent="0.25">
      <c r="C63" t="s">
        <v>3</v>
      </c>
      <c r="E63">
        <v>1</v>
      </c>
      <c r="J63">
        <v>1</v>
      </c>
      <c r="L63">
        <v>1</v>
      </c>
      <c r="M63">
        <v>1</v>
      </c>
      <c r="N63" t="s">
        <v>29</v>
      </c>
      <c r="O63">
        <f>($F$11*1000)/($D$5*SQRT(3)*$I$11)</f>
        <v>0</v>
      </c>
      <c r="P63">
        <f>($F$11*1000)/(($D$5/SQRT(3))*$I$11)</f>
        <v>0</v>
      </c>
      <c r="Q63">
        <f>P63</f>
        <v>0</v>
      </c>
      <c r="R63">
        <f>P63</f>
        <v>0</v>
      </c>
      <c r="S63">
        <f>($F$11*1000)/($D$5*$I$11)</f>
        <v>0</v>
      </c>
      <c r="T63">
        <f>S63</f>
        <v>0</v>
      </c>
      <c r="U63">
        <f>S63</f>
        <v>0</v>
      </c>
      <c r="Z63" s="4"/>
      <c r="AA63" s="5">
        <v>1</v>
      </c>
      <c r="AB63" s="5">
        <v>2</v>
      </c>
      <c r="AC63" s="5">
        <v>3</v>
      </c>
      <c r="AD63" s="5">
        <v>4</v>
      </c>
      <c r="AE63" s="5">
        <v>5</v>
      </c>
      <c r="AF63" s="5">
        <v>6</v>
      </c>
      <c r="AG63" s="6">
        <v>7</v>
      </c>
      <c r="AI63" s="4"/>
      <c r="AJ63" s="5">
        <v>1</v>
      </c>
      <c r="AK63" s="5">
        <v>2</v>
      </c>
      <c r="AL63" s="5">
        <v>3</v>
      </c>
      <c r="AM63" s="5">
        <v>4</v>
      </c>
      <c r="AN63" s="5">
        <v>5</v>
      </c>
      <c r="AO63" s="5">
        <v>6</v>
      </c>
      <c r="AP63" s="6">
        <v>7</v>
      </c>
    </row>
    <row r="64" spans="3:42" x14ac:dyDescent="0.25">
      <c r="M64">
        <v>2</v>
      </c>
      <c r="N64" t="s">
        <v>30</v>
      </c>
      <c r="O64">
        <f>($F$11*1000)/($D$5*SQRT(3))</f>
        <v>0</v>
      </c>
      <c r="P64">
        <f>($F$11*1000)/(($D$5/SQRT(3)))</f>
        <v>0</v>
      </c>
      <c r="Q64">
        <f>P64</f>
        <v>0</v>
      </c>
      <c r="R64">
        <f>P64</f>
        <v>0</v>
      </c>
      <c r="S64">
        <f>($F$11*1000)/($D$5)</f>
        <v>0</v>
      </c>
      <c r="T64">
        <f>S64</f>
        <v>0</v>
      </c>
      <c r="U64">
        <f>S64</f>
        <v>0</v>
      </c>
      <c r="Z64" s="2"/>
      <c r="AA64" t="s">
        <v>32</v>
      </c>
      <c r="AB64" t="s">
        <v>34</v>
      </c>
      <c r="AC64" t="s">
        <v>35</v>
      </c>
      <c r="AD64" t="s">
        <v>36</v>
      </c>
      <c r="AE64" t="s">
        <v>37</v>
      </c>
      <c r="AF64" t="s">
        <v>38</v>
      </c>
      <c r="AG64" s="3" t="s">
        <v>39</v>
      </c>
      <c r="AI64" s="29" t="s">
        <v>55</v>
      </c>
      <c r="AJ64" t="s">
        <v>32</v>
      </c>
      <c r="AK64" t="s">
        <v>34</v>
      </c>
      <c r="AL64" t="s">
        <v>35</v>
      </c>
      <c r="AM64" t="s">
        <v>36</v>
      </c>
      <c r="AN64" t="s">
        <v>37</v>
      </c>
      <c r="AO64" t="s">
        <v>38</v>
      </c>
      <c r="AP64" s="3" t="s">
        <v>39</v>
      </c>
    </row>
    <row r="65" spans="3:42" x14ac:dyDescent="0.25">
      <c r="M65">
        <v>3</v>
      </c>
      <c r="N65" t="s">
        <v>31</v>
      </c>
      <c r="O65">
        <f>$F$11</f>
        <v>0</v>
      </c>
      <c r="P65">
        <f>O65</f>
        <v>0</v>
      </c>
      <c r="Q65">
        <f>O65</f>
        <v>0</v>
      </c>
      <c r="R65">
        <f>O65</f>
        <v>0</v>
      </c>
      <c r="S65">
        <f>O65</f>
        <v>0</v>
      </c>
      <c r="T65">
        <f>O65</f>
        <v>0</v>
      </c>
      <c r="U65">
        <f>O65</f>
        <v>0</v>
      </c>
      <c r="Z65" s="2" t="s">
        <v>50</v>
      </c>
      <c r="AA65" s="17">
        <f>H10</f>
        <v>0</v>
      </c>
      <c r="AB65" s="17">
        <f>AA65</f>
        <v>0</v>
      </c>
      <c r="AC65">
        <v>0</v>
      </c>
      <c r="AD65">
        <v>0</v>
      </c>
      <c r="AE65" s="17">
        <f>AA65</f>
        <v>0</v>
      </c>
      <c r="AF65">
        <v>0</v>
      </c>
      <c r="AG65" s="18">
        <f>AA65</f>
        <v>0</v>
      </c>
      <c r="AI65" s="2" t="s">
        <v>50</v>
      </c>
      <c r="AJ65" s="17">
        <f>K10</f>
        <v>0</v>
      </c>
      <c r="AK65" s="17">
        <f>AJ65</f>
        <v>0</v>
      </c>
      <c r="AL65">
        <v>0</v>
      </c>
      <c r="AM65">
        <v>0</v>
      </c>
      <c r="AN65" s="17">
        <f>AJ65+30</f>
        <v>30</v>
      </c>
      <c r="AO65">
        <v>0</v>
      </c>
      <c r="AP65" s="18">
        <f>AJ65-30</f>
        <v>-30</v>
      </c>
    </row>
    <row r="66" spans="3:42" x14ac:dyDescent="0.25">
      <c r="Y66">
        <v>3</v>
      </c>
      <c r="Z66" s="2" t="s">
        <v>51</v>
      </c>
      <c r="AA66" s="17">
        <f>AA65</f>
        <v>0</v>
      </c>
      <c r="AB66">
        <v>0</v>
      </c>
      <c r="AC66" s="17">
        <f>AA65</f>
        <v>0</v>
      </c>
      <c r="AD66">
        <v>0</v>
      </c>
      <c r="AE66" s="17">
        <f>AA65</f>
        <v>0</v>
      </c>
      <c r="AF66" s="17">
        <f>AA65</f>
        <v>0</v>
      </c>
      <c r="AG66" s="3">
        <v>0</v>
      </c>
      <c r="AI66" s="2" t="s">
        <v>51</v>
      </c>
      <c r="AJ66" s="17">
        <f>AJ65-120</f>
        <v>-120</v>
      </c>
      <c r="AK66">
        <v>0</v>
      </c>
      <c r="AL66" s="17">
        <f>AJ65-120</f>
        <v>-120</v>
      </c>
      <c r="AM66">
        <v>0</v>
      </c>
      <c r="AN66" s="17">
        <f>AJ65-150</f>
        <v>-150</v>
      </c>
      <c r="AO66" s="17">
        <f>AJ65-90</f>
        <v>-90</v>
      </c>
      <c r="AP66" s="3">
        <v>0</v>
      </c>
    </row>
    <row r="67" spans="3:42" x14ac:dyDescent="0.25">
      <c r="C67" t="s">
        <v>4</v>
      </c>
      <c r="E67">
        <v>1</v>
      </c>
      <c r="J67">
        <v>1</v>
      </c>
      <c r="L67">
        <v>1</v>
      </c>
      <c r="M67">
        <v>1</v>
      </c>
      <c r="N67" t="s">
        <v>29</v>
      </c>
      <c r="O67">
        <f>($F$12*1000)/($D$5*SQRT(3)*$I$12)</f>
        <v>0</v>
      </c>
      <c r="P67">
        <f>($F$12*1000)/(($D$5/SQRT(3))*$I$12)</f>
        <v>0</v>
      </c>
      <c r="Q67">
        <f>P67</f>
        <v>0</v>
      </c>
      <c r="R67">
        <f>P67</f>
        <v>0</v>
      </c>
      <c r="S67">
        <f>($F$12*1000)/($D$5*$I$12)</f>
        <v>0</v>
      </c>
      <c r="T67">
        <f>S67</f>
        <v>0</v>
      </c>
      <c r="U67">
        <f>S67</f>
        <v>0</v>
      </c>
      <c r="Z67" s="2" t="s">
        <v>52</v>
      </c>
      <c r="AA67" s="17">
        <f>AA65</f>
        <v>0</v>
      </c>
      <c r="AB67">
        <v>0</v>
      </c>
      <c r="AC67">
        <v>0</v>
      </c>
      <c r="AD67" s="17">
        <f>AA65</f>
        <v>0</v>
      </c>
      <c r="AE67">
        <v>0</v>
      </c>
      <c r="AF67" s="17">
        <f>AA65</f>
        <v>0</v>
      </c>
      <c r="AG67" s="18">
        <f>AA65</f>
        <v>0</v>
      </c>
      <c r="AI67" s="2" t="s">
        <v>52</v>
      </c>
      <c r="AJ67" s="17">
        <f>AJ65+120</f>
        <v>120</v>
      </c>
      <c r="AK67">
        <v>0</v>
      </c>
      <c r="AL67">
        <v>0</v>
      </c>
      <c r="AM67" s="17">
        <f>AJ65+120</f>
        <v>120</v>
      </c>
      <c r="AN67">
        <v>0</v>
      </c>
      <c r="AO67" s="17">
        <f>AJ65+90</f>
        <v>90</v>
      </c>
      <c r="AP67" s="18">
        <f>AJ65+150</f>
        <v>150</v>
      </c>
    </row>
    <row r="68" spans="3:42" x14ac:dyDescent="0.25">
      <c r="M68">
        <v>2</v>
      </c>
      <c r="N68" t="s">
        <v>30</v>
      </c>
      <c r="O68">
        <f>($F$12*1000)/($D$5*SQRT(3))</f>
        <v>0</v>
      </c>
      <c r="P68">
        <f>($F$12*1000)/(($D$5/SQRT(3)))</f>
        <v>0</v>
      </c>
      <c r="Q68">
        <f>P68</f>
        <v>0</v>
      </c>
      <c r="R68">
        <f>P68</f>
        <v>0</v>
      </c>
      <c r="S68">
        <f>($F$12*1000)/($D$5)</f>
        <v>0</v>
      </c>
      <c r="T68">
        <f>S68</f>
        <v>0</v>
      </c>
      <c r="U68">
        <f>S68</f>
        <v>0</v>
      </c>
      <c r="Z68" s="13" t="s">
        <v>42</v>
      </c>
      <c r="AA68" s="19">
        <v>0</v>
      </c>
      <c r="AB68" s="20">
        <f>AA65</f>
        <v>0</v>
      </c>
      <c r="AC68" s="20">
        <f>AA65</f>
        <v>0</v>
      </c>
      <c r="AD68" s="20">
        <f>AA65</f>
        <v>0</v>
      </c>
      <c r="AE68" s="19">
        <v>0</v>
      </c>
      <c r="AF68" s="19">
        <v>0</v>
      </c>
      <c r="AG68" s="14">
        <v>0</v>
      </c>
      <c r="AI68" s="13" t="s">
        <v>42</v>
      </c>
      <c r="AJ68" s="19">
        <v>0</v>
      </c>
      <c r="AK68" s="20">
        <f>AJ65+180</f>
        <v>180</v>
      </c>
      <c r="AL68" s="20">
        <f>AJ65+180-120</f>
        <v>60</v>
      </c>
      <c r="AM68" s="20">
        <f>AJ65-180+120</f>
        <v>-60</v>
      </c>
      <c r="AN68" s="19">
        <v>0</v>
      </c>
      <c r="AO68" s="19">
        <v>0</v>
      </c>
      <c r="AP68" s="14">
        <v>0</v>
      </c>
    </row>
    <row r="69" spans="3:42" x14ac:dyDescent="0.25">
      <c r="M69">
        <v>3</v>
      </c>
      <c r="N69" t="s">
        <v>31</v>
      </c>
      <c r="O69">
        <f>$F$12</f>
        <v>0</v>
      </c>
      <c r="P69">
        <f>O69</f>
        <v>0</v>
      </c>
      <c r="Q69">
        <f>O69</f>
        <v>0</v>
      </c>
      <c r="R69">
        <f>O69</f>
        <v>0</v>
      </c>
      <c r="S69">
        <f>O69</f>
        <v>0</v>
      </c>
      <c r="T69">
        <f>O69</f>
        <v>0</v>
      </c>
      <c r="U69">
        <f>O69</f>
        <v>0</v>
      </c>
    </row>
    <row r="70" spans="3:42" x14ac:dyDescent="0.25">
      <c r="Z70" s="4"/>
      <c r="AA70" s="5">
        <v>1</v>
      </c>
      <c r="AB70" s="5">
        <v>2</v>
      </c>
      <c r="AC70" s="5">
        <v>3</v>
      </c>
      <c r="AD70" s="5">
        <v>4</v>
      </c>
      <c r="AE70" s="5">
        <v>5</v>
      </c>
      <c r="AF70" s="5">
        <v>6</v>
      </c>
      <c r="AG70" s="6">
        <v>7</v>
      </c>
      <c r="AI70" s="4"/>
      <c r="AJ70" s="5">
        <v>1</v>
      </c>
      <c r="AK70" s="5">
        <v>2</v>
      </c>
      <c r="AL70" s="5">
        <v>3</v>
      </c>
      <c r="AM70" s="5">
        <v>4</v>
      </c>
      <c r="AN70" s="5">
        <v>5</v>
      </c>
      <c r="AO70" s="5">
        <v>6</v>
      </c>
      <c r="AP70" s="6">
        <v>7</v>
      </c>
    </row>
    <row r="71" spans="3:42" x14ac:dyDescent="0.25">
      <c r="C71" t="s">
        <v>5</v>
      </c>
      <c r="E71">
        <v>1</v>
      </c>
      <c r="J71">
        <v>1</v>
      </c>
      <c r="L71">
        <v>1</v>
      </c>
      <c r="M71">
        <v>1</v>
      </c>
      <c r="N71" t="s">
        <v>29</v>
      </c>
      <c r="O71">
        <f>($F$13*1000)/($D$5*SQRT(3)*$I$13)</f>
        <v>0</v>
      </c>
      <c r="P71">
        <f>($F$13*1000)/(($D$5/SQRT(3))*$I$13)</f>
        <v>0</v>
      </c>
      <c r="Q71">
        <f>P71</f>
        <v>0</v>
      </c>
      <c r="R71">
        <f>P71</f>
        <v>0</v>
      </c>
      <c r="S71">
        <f>($F$13*1000)/($D$5*$I$13)</f>
        <v>0</v>
      </c>
      <c r="T71">
        <f>S71</f>
        <v>0</v>
      </c>
      <c r="U71">
        <f>S71</f>
        <v>0</v>
      </c>
      <c r="Z71" s="2"/>
      <c r="AA71" t="s">
        <v>32</v>
      </c>
      <c r="AB71" t="s">
        <v>34</v>
      </c>
      <c r="AC71" t="s">
        <v>35</v>
      </c>
      <c r="AD71" t="s">
        <v>36</v>
      </c>
      <c r="AE71" t="s">
        <v>37</v>
      </c>
      <c r="AF71" t="s">
        <v>38</v>
      </c>
      <c r="AG71" s="3" t="s">
        <v>39</v>
      </c>
      <c r="AI71" s="29" t="s">
        <v>55</v>
      </c>
      <c r="AJ71" t="s">
        <v>32</v>
      </c>
      <c r="AK71" t="s">
        <v>34</v>
      </c>
      <c r="AL71" t="s">
        <v>35</v>
      </c>
      <c r="AM71" t="s">
        <v>36</v>
      </c>
      <c r="AN71" t="s">
        <v>37</v>
      </c>
      <c r="AO71" t="s">
        <v>38</v>
      </c>
      <c r="AP71" s="3" t="s">
        <v>39</v>
      </c>
    </row>
    <row r="72" spans="3:42" x14ac:dyDescent="0.25">
      <c r="M72">
        <v>2</v>
      </c>
      <c r="N72" t="s">
        <v>30</v>
      </c>
      <c r="O72">
        <f>($F$13*1000)/($D$5*SQRT(3))</f>
        <v>0</v>
      </c>
      <c r="P72">
        <f>($F$13*1000)/(($D$5/SQRT(3)))</f>
        <v>0</v>
      </c>
      <c r="Q72">
        <f>P72</f>
        <v>0</v>
      </c>
      <c r="R72">
        <f>P72</f>
        <v>0</v>
      </c>
      <c r="S72">
        <f>($F$13*1000)/($D$5)</f>
        <v>0</v>
      </c>
      <c r="T72">
        <f>S72</f>
        <v>0</v>
      </c>
      <c r="U72">
        <f>S72</f>
        <v>0</v>
      </c>
      <c r="Z72" s="2" t="s">
        <v>50</v>
      </c>
      <c r="AA72" s="17">
        <f>H11</f>
        <v>0</v>
      </c>
      <c r="AB72" s="17">
        <f>AA72</f>
        <v>0</v>
      </c>
      <c r="AC72">
        <v>0</v>
      </c>
      <c r="AD72">
        <v>0</v>
      </c>
      <c r="AE72" s="17">
        <f>AA72</f>
        <v>0</v>
      </c>
      <c r="AF72">
        <v>0</v>
      </c>
      <c r="AG72" s="18">
        <f>AA72</f>
        <v>0</v>
      </c>
      <c r="AI72" s="2" t="s">
        <v>50</v>
      </c>
      <c r="AJ72" s="17">
        <f>K11</f>
        <v>0</v>
      </c>
      <c r="AK72" s="17">
        <f>AJ72</f>
        <v>0</v>
      </c>
      <c r="AL72">
        <v>0</v>
      </c>
      <c r="AM72">
        <v>0</v>
      </c>
      <c r="AN72" s="17">
        <f>AJ72+30</f>
        <v>30</v>
      </c>
      <c r="AO72">
        <v>0</v>
      </c>
      <c r="AP72" s="18">
        <f>AJ72-30</f>
        <v>-30</v>
      </c>
    </row>
    <row r="73" spans="3:42" x14ac:dyDescent="0.25">
      <c r="M73">
        <v>3</v>
      </c>
      <c r="N73" t="s">
        <v>31</v>
      </c>
      <c r="O73">
        <f>$F$13</f>
        <v>0</v>
      </c>
      <c r="P73">
        <f>O73</f>
        <v>0</v>
      </c>
      <c r="Q73">
        <f>O73</f>
        <v>0</v>
      </c>
      <c r="R73">
        <f>O73</f>
        <v>0</v>
      </c>
      <c r="S73">
        <f>O73</f>
        <v>0</v>
      </c>
      <c r="T73">
        <f>O73</f>
        <v>0</v>
      </c>
      <c r="U73">
        <f>O73</f>
        <v>0</v>
      </c>
      <c r="Y73">
        <v>4</v>
      </c>
      <c r="Z73" s="2" t="s">
        <v>51</v>
      </c>
      <c r="AA73" s="17">
        <f>AA72</f>
        <v>0</v>
      </c>
      <c r="AB73">
        <v>0</v>
      </c>
      <c r="AC73" s="17">
        <f>AA72</f>
        <v>0</v>
      </c>
      <c r="AD73">
        <v>0</v>
      </c>
      <c r="AE73" s="17">
        <f>AA72</f>
        <v>0</v>
      </c>
      <c r="AF73" s="17">
        <f>AA72</f>
        <v>0</v>
      </c>
      <c r="AG73" s="3">
        <v>0</v>
      </c>
      <c r="AI73" s="2" t="s">
        <v>51</v>
      </c>
      <c r="AJ73" s="17">
        <f>AJ72-120</f>
        <v>-120</v>
      </c>
      <c r="AK73">
        <v>0</v>
      </c>
      <c r="AL73" s="17">
        <f>AJ72-120</f>
        <v>-120</v>
      </c>
      <c r="AM73">
        <v>0</v>
      </c>
      <c r="AN73" s="17">
        <f>AJ72-150</f>
        <v>-150</v>
      </c>
      <c r="AO73" s="17">
        <f>AJ72-90</f>
        <v>-90</v>
      </c>
      <c r="AP73" s="3">
        <v>0</v>
      </c>
    </row>
    <row r="74" spans="3:42" x14ac:dyDescent="0.25">
      <c r="Z74" s="2" t="s">
        <v>52</v>
      </c>
      <c r="AA74" s="17">
        <f>AA72</f>
        <v>0</v>
      </c>
      <c r="AB74">
        <v>0</v>
      </c>
      <c r="AC74">
        <v>0</v>
      </c>
      <c r="AD74" s="17">
        <f>AA72</f>
        <v>0</v>
      </c>
      <c r="AE74">
        <v>0</v>
      </c>
      <c r="AF74" s="17">
        <f>AA72</f>
        <v>0</v>
      </c>
      <c r="AG74" s="18">
        <f>AA72</f>
        <v>0</v>
      </c>
      <c r="AI74" s="2" t="s">
        <v>52</v>
      </c>
      <c r="AJ74" s="17">
        <f>AJ72+120</f>
        <v>120</v>
      </c>
      <c r="AK74">
        <v>0</v>
      </c>
      <c r="AL74">
        <v>0</v>
      </c>
      <c r="AM74" s="17">
        <f>AJ72+120</f>
        <v>120</v>
      </c>
      <c r="AN74">
        <v>0</v>
      </c>
      <c r="AO74" s="17">
        <f>AJ72+90</f>
        <v>90</v>
      </c>
      <c r="AP74" s="18">
        <f>AJ72+150</f>
        <v>150</v>
      </c>
    </row>
    <row r="75" spans="3:42" x14ac:dyDescent="0.25">
      <c r="C75" t="s">
        <v>6</v>
      </c>
      <c r="E75">
        <v>1</v>
      </c>
      <c r="J75">
        <v>1</v>
      </c>
      <c r="L75">
        <v>1</v>
      </c>
      <c r="M75">
        <v>1</v>
      </c>
      <c r="N75" t="s">
        <v>29</v>
      </c>
      <c r="O75">
        <f>($F$14*1000)/($D$5*SQRT(3)*$I$14)</f>
        <v>0</v>
      </c>
      <c r="P75">
        <f>($F$14*1000)/(($D$5/SQRT(3))*$I$14)</f>
        <v>0</v>
      </c>
      <c r="Q75">
        <f>P75</f>
        <v>0</v>
      </c>
      <c r="R75">
        <f>P75</f>
        <v>0</v>
      </c>
      <c r="S75">
        <f>($F$14*1000)/($D$5*$I$14)</f>
        <v>0</v>
      </c>
      <c r="T75">
        <f>S75</f>
        <v>0</v>
      </c>
      <c r="U75">
        <f>S75</f>
        <v>0</v>
      </c>
      <c r="Z75" s="13" t="s">
        <v>42</v>
      </c>
      <c r="AA75" s="19">
        <v>0</v>
      </c>
      <c r="AB75" s="20">
        <f>AA72</f>
        <v>0</v>
      </c>
      <c r="AC75" s="20">
        <f>AA72</f>
        <v>0</v>
      </c>
      <c r="AD75" s="20">
        <f>AA72</f>
        <v>0</v>
      </c>
      <c r="AE75" s="19">
        <v>0</v>
      </c>
      <c r="AF75" s="19">
        <v>0</v>
      </c>
      <c r="AG75" s="14">
        <v>0</v>
      </c>
      <c r="AI75" s="13" t="s">
        <v>42</v>
      </c>
      <c r="AJ75" s="19">
        <v>0</v>
      </c>
      <c r="AK75" s="20">
        <f>AJ72+180</f>
        <v>180</v>
      </c>
      <c r="AL75" s="20">
        <f>AJ72+180-120</f>
        <v>60</v>
      </c>
      <c r="AM75" s="20">
        <f>AJ72-180+120</f>
        <v>-60</v>
      </c>
      <c r="AN75" s="19">
        <v>0</v>
      </c>
      <c r="AO75" s="19">
        <v>0</v>
      </c>
      <c r="AP75" s="14">
        <v>0</v>
      </c>
    </row>
    <row r="76" spans="3:42" x14ac:dyDescent="0.25">
      <c r="M76">
        <v>2</v>
      </c>
      <c r="N76" t="s">
        <v>30</v>
      </c>
      <c r="O76">
        <f>($F$14*1000)/($D$5*SQRT(3))</f>
        <v>0</v>
      </c>
      <c r="P76">
        <f>($F$14*1000)/(($D$5/SQRT(3)))</f>
        <v>0</v>
      </c>
      <c r="Q76">
        <f>P76</f>
        <v>0</v>
      </c>
      <c r="R76">
        <f>P76</f>
        <v>0</v>
      </c>
      <c r="S76">
        <f>($F$14*1000)/($D$5)</f>
        <v>0</v>
      </c>
      <c r="T76">
        <f>S76</f>
        <v>0</v>
      </c>
      <c r="U76">
        <f>S76</f>
        <v>0</v>
      </c>
    </row>
    <row r="77" spans="3:42" x14ac:dyDescent="0.25">
      <c r="M77">
        <v>3</v>
      </c>
      <c r="N77" t="s">
        <v>31</v>
      </c>
      <c r="O77">
        <f>$F$14</f>
        <v>0</v>
      </c>
      <c r="P77">
        <f>O77</f>
        <v>0</v>
      </c>
      <c r="Q77">
        <f>O77</f>
        <v>0</v>
      </c>
      <c r="R77">
        <f>O77</f>
        <v>0</v>
      </c>
      <c r="S77">
        <f>O77</f>
        <v>0</v>
      </c>
      <c r="T77">
        <f>O77</f>
        <v>0</v>
      </c>
      <c r="U77">
        <f>O77</f>
        <v>0</v>
      </c>
      <c r="Z77" s="4"/>
      <c r="AA77" s="5">
        <v>1</v>
      </c>
      <c r="AB77" s="5">
        <v>2</v>
      </c>
      <c r="AC77" s="5">
        <v>3</v>
      </c>
      <c r="AD77" s="5">
        <v>4</v>
      </c>
      <c r="AE77" s="5">
        <v>5</v>
      </c>
      <c r="AF77" s="5">
        <v>6</v>
      </c>
      <c r="AG77" s="6">
        <v>7</v>
      </c>
      <c r="AI77" s="4"/>
      <c r="AJ77" s="5">
        <v>1</v>
      </c>
      <c r="AK77" s="5">
        <v>2</v>
      </c>
      <c r="AL77" s="5">
        <v>3</v>
      </c>
      <c r="AM77" s="5">
        <v>4</v>
      </c>
      <c r="AN77" s="5">
        <v>5</v>
      </c>
      <c r="AO77" s="5">
        <v>6</v>
      </c>
      <c r="AP77" s="6">
        <v>7</v>
      </c>
    </row>
    <row r="78" spans="3:42" x14ac:dyDescent="0.25">
      <c r="Z78" s="2"/>
      <c r="AA78" t="s">
        <v>32</v>
      </c>
      <c r="AB78" t="s">
        <v>34</v>
      </c>
      <c r="AC78" t="s">
        <v>35</v>
      </c>
      <c r="AD78" t="s">
        <v>36</v>
      </c>
      <c r="AE78" t="s">
        <v>37</v>
      </c>
      <c r="AF78" t="s">
        <v>38</v>
      </c>
      <c r="AG78" s="3" t="s">
        <v>39</v>
      </c>
      <c r="AI78" s="29" t="s">
        <v>55</v>
      </c>
      <c r="AJ78" t="s">
        <v>32</v>
      </c>
      <c r="AK78" t="s">
        <v>34</v>
      </c>
      <c r="AL78" t="s">
        <v>35</v>
      </c>
      <c r="AM78" t="s">
        <v>36</v>
      </c>
      <c r="AN78" t="s">
        <v>37</v>
      </c>
      <c r="AO78" t="s">
        <v>38</v>
      </c>
      <c r="AP78" s="3" t="s">
        <v>39</v>
      </c>
    </row>
    <row r="79" spans="3:42" x14ac:dyDescent="0.25">
      <c r="C79" t="s">
        <v>7</v>
      </c>
      <c r="E79">
        <v>1</v>
      </c>
      <c r="J79">
        <v>1</v>
      </c>
      <c r="L79">
        <v>1</v>
      </c>
      <c r="M79">
        <v>1</v>
      </c>
      <c r="N79" t="s">
        <v>29</v>
      </c>
      <c r="O79">
        <f>($F$15*1000)/($D$5*SQRT(3)*$I$15)</f>
        <v>0</v>
      </c>
      <c r="P79">
        <f>($F$15*1000)/(($D$5/SQRT(3))*$I$15)</f>
        <v>0</v>
      </c>
      <c r="Q79">
        <f>P79</f>
        <v>0</v>
      </c>
      <c r="R79">
        <f>P79</f>
        <v>0</v>
      </c>
      <c r="S79">
        <f>($F$15*1000)/($D$5*$I$15)</f>
        <v>0</v>
      </c>
      <c r="T79">
        <f>S79</f>
        <v>0</v>
      </c>
      <c r="U79">
        <f>S79</f>
        <v>0</v>
      </c>
      <c r="Z79" s="2" t="s">
        <v>50</v>
      </c>
      <c r="AA79" s="17">
        <f>H12</f>
        <v>0</v>
      </c>
      <c r="AB79" s="17">
        <f>AA79</f>
        <v>0</v>
      </c>
      <c r="AC79">
        <v>0</v>
      </c>
      <c r="AD79">
        <v>0</v>
      </c>
      <c r="AE79" s="17">
        <f>AA79</f>
        <v>0</v>
      </c>
      <c r="AF79">
        <v>0</v>
      </c>
      <c r="AG79" s="18">
        <f>AA79</f>
        <v>0</v>
      </c>
      <c r="AI79" s="2" t="s">
        <v>50</v>
      </c>
      <c r="AJ79" s="17">
        <f>K12</f>
        <v>0</v>
      </c>
      <c r="AK79" s="17">
        <f>AJ79</f>
        <v>0</v>
      </c>
      <c r="AL79">
        <v>0</v>
      </c>
      <c r="AM79">
        <v>0</v>
      </c>
      <c r="AN79" s="17">
        <f>AJ79+30</f>
        <v>30</v>
      </c>
      <c r="AO79">
        <v>0</v>
      </c>
      <c r="AP79" s="18">
        <f>AJ79-30</f>
        <v>-30</v>
      </c>
    </row>
    <row r="80" spans="3:42" x14ac:dyDescent="0.25">
      <c r="M80">
        <v>2</v>
      </c>
      <c r="N80" t="s">
        <v>30</v>
      </c>
      <c r="O80">
        <f>($F$15*1000)/($D$5*SQRT(3))</f>
        <v>0</v>
      </c>
      <c r="P80">
        <f>($F$15*1000)/(($D$5/SQRT(3)))</f>
        <v>0</v>
      </c>
      <c r="Q80">
        <f>P80</f>
        <v>0</v>
      </c>
      <c r="R80">
        <f>P80</f>
        <v>0</v>
      </c>
      <c r="S80">
        <f>($F$15*1000)/($D$5)</f>
        <v>0</v>
      </c>
      <c r="T80">
        <f>S80</f>
        <v>0</v>
      </c>
      <c r="U80">
        <f>S80</f>
        <v>0</v>
      </c>
      <c r="Y80">
        <v>5</v>
      </c>
      <c r="Z80" s="2" t="s">
        <v>51</v>
      </c>
      <c r="AA80" s="17">
        <f>AA79</f>
        <v>0</v>
      </c>
      <c r="AB80">
        <v>0</v>
      </c>
      <c r="AC80" s="17">
        <f>AA79</f>
        <v>0</v>
      </c>
      <c r="AD80">
        <v>0</v>
      </c>
      <c r="AE80" s="17">
        <f>AA79</f>
        <v>0</v>
      </c>
      <c r="AF80" s="17">
        <f>AA79</f>
        <v>0</v>
      </c>
      <c r="AG80" s="3">
        <v>0</v>
      </c>
      <c r="AI80" s="2" t="s">
        <v>51</v>
      </c>
      <c r="AJ80" s="17">
        <f>AJ79-120</f>
        <v>-120</v>
      </c>
      <c r="AK80">
        <v>0</v>
      </c>
      <c r="AL80" s="17">
        <f>AJ79-120</f>
        <v>-120</v>
      </c>
      <c r="AM80">
        <v>0</v>
      </c>
      <c r="AN80" s="17">
        <f>AJ79-150</f>
        <v>-150</v>
      </c>
      <c r="AO80" s="17">
        <f>AJ79-90</f>
        <v>-90</v>
      </c>
      <c r="AP80" s="3">
        <v>0</v>
      </c>
    </row>
    <row r="81" spans="3:42" x14ac:dyDescent="0.25">
      <c r="M81">
        <v>3</v>
      </c>
      <c r="N81" t="s">
        <v>31</v>
      </c>
      <c r="O81">
        <f>$F$15</f>
        <v>0</v>
      </c>
      <c r="P81">
        <f>O81</f>
        <v>0</v>
      </c>
      <c r="Q81">
        <f>O81</f>
        <v>0</v>
      </c>
      <c r="R81">
        <f>O81</f>
        <v>0</v>
      </c>
      <c r="S81">
        <f>O81</f>
        <v>0</v>
      </c>
      <c r="T81">
        <f>O81</f>
        <v>0</v>
      </c>
      <c r="U81">
        <f>O81</f>
        <v>0</v>
      </c>
      <c r="Z81" s="2" t="s">
        <v>52</v>
      </c>
      <c r="AA81" s="17">
        <f>AA79</f>
        <v>0</v>
      </c>
      <c r="AB81">
        <v>0</v>
      </c>
      <c r="AC81">
        <v>0</v>
      </c>
      <c r="AD81" s="17">
        <f>AA79</f>
        <v>0</v>
      </c>
      <c r="AE81">
        <v>0</v>
      </c>
      <c r="AF81" s="17">
        <f>AA79</f>
        <v>0</v>
      </c>
      <c r="AG81" s="18">
        <f>AA79</f>
        <v>0</v>
      </c>
      <c r="AI81" s="2" t="s">
        <v>52</v>
      </c>
      <c r="AJ81" s="17">
        <f>AJ79+120</f>
        <v>120</v>
      </c>
      <c r="AK81">
        <v>0</v>
      </c>
      <c r="AL81">
        <v>0</v>
      </c>
      <c r="AM81" s="17">
        <f>AJ79+120</f>
        <v>120</v>
      </c>
      <c r="AN81">
        <v>0</v>
      </c>
      <c r="AO81" s="17">
        <f>AJ79+90</f>
        <v>90</v>
      </c>
      <c r="AP81" s="18">
        <f>AJ79+150</f>
        <v>150</v>
      </c>
    </row>
    <row r="82" spans="3:42" x14ac:dyDescent="0.25">
      <c r="Z82" s="13" t="s">
        <v>42</v>
      </c>
      <c r="AA82" s="19">
        <v>0</v>
      </c>
      <c r="AB82" s="20">
        <f>AA79</f>
        <v>0</v>
      </c>
      <c r="AC82" s="20">
        <f>AA79</f>
        <v>0</v>
      </c>
      <c r="AD82" s="20">
        <f>AA79</f>
        <v>0</v>
      </c>
      <c r="AE82" s="19">
        <v>0</v>
      </c>
      <c r="AF82" s="19">
        <v>0</v>
      </c>
      <c r="AG82" s="14">
        <v>0</v>
      </c>
      <c r="AI82" s="13" t="s">
        <v>42</v>
      </c>
      <c r="AJ82" s="19">
        <v>0</v>
      </c>
      <c r="AK82" s="20">
        <f>AJ79+180</f>
        <v>180</v>
      </c>
      <c r="AL82" s="20">
        <f>AJ79+180-120</f>
        <v>60</v>
      </c>
      <c r="AM82" s="20">
        <f>AJ79-180+120</f>
        <v>-60</v>
      </c>
      <c r="AN82" s="19">
        <v>0</v>
      </c>
      <c r="AO82" s="19">
        <v>0</v>
      </c>
      <c r="AP82" s="14">
        <v>0</v>
      </c>
    </row>
    <row r="83" spans="3:42" x14ac:dyDescent="0.25">
      <c r="C83" t="s">
        <v>8</v>
      </c>
      <c r="E83">
        <v>1</v>
      </c>
      <c r="J83">
        <v>1</v>
      </c>
      <c r="L83">
        <v>1</v>
      </c>
      <c r="M83">
        <v>1</v>
      </c>
      <c r="N83" t="s">
        <v>29</v>
      </c>
      <c r="O83">
        <f>($F$16*1000)/($D$5*SQRT(3)*$I$16)</f>
        <v>0</v>
      </c>
      <c r="P83">
        <f>($F$16*1000)/(($D$5/SQRT(3))*$I$16)</f>
        <v>0</v>
      </c>
      <c r="Q83">
        <f>P83</f>
        <v>0</v>
      </c>
      <c r="R83">
        <f>P83</f>
        <v>0</v>
      </c>
      <c r="S83">
        <f>($F$16*1000)/($D$5*$I$16)</f>
        <v>0</v>
      </c>
      <c r="T83">
        <f>S83</f>
        <v>0</v>
      </c>
      <c r="U83">
        <f>S83</f>
        <v>0</v>
      </c>
    </row>
    <row r="84" spans="3:42" x14ac:dyDescent="0.25">
      <c r="M84">
        <v>2</v>
      </c>
      <c r="N84" t="s">
        <v>30</v>
      </c>
      <c r="O84">
        <f>($F$16*1000)/($D$5*SQRT(3))</f>
        <v>0</v>
      </c>
      <c r="P84">
        <f>($F$16*1000)/(($D$5/SQRT(3)))</f>
        <v>0</v>
      </c>
      <c r="Q84">
        <f>P84</f>
        <v>0</v>
      </c>
      <c r="R84">
        <f>P84</f>
        <v>0</v>
      </c>
      <c r="S84">
        <f>($F$16*1000)/($D$5)</f>
        <v>0</v>
      </c>
      <c r="T84">
        <f>S84</f>
        <v>0</v>
      </c>
      <c r="U84">
        <f>S84</f>
        <v>0</v>
      </c>
      <c r="Z84" s="4"/>
      <c r="AA84" s="5">
        <v>1</v>
      </c>
      <c r="AB84" s="5">
        <v>2</v>
      </c>
      <c r="AC84" s="5">
        <v>3</v>
      </c>
      <c r="AD84" s="5">
        <v>4</v>
      </c>
      <c r="AE84" s="5">
        <v>5</v>
      </c>
      <c r="AF84" s="5">
        <v>6</v>
      </c>
      <c r="AG84" s="6">
        <v>7</v>
      </c>
      <c r="AI84" s="4"/>
      <c r="AJ84" s="5">
        <v>1</v>
      </c>
      <c r="AK84" s="5">
        <v>2</v>
      </c>
      <c r="AL84" s="5">
        <v>3</v>
      </c>
      <c r="AM84" s="5">
        <v>4</v>
      </c>
      <c r="AN84" s="5">
        <v>5</v>
      </c>
      <c r="AO84" s="5">
        <v>6</v>
      </c>
      <c r="AP84" s="6">
        <v>7</v>
      </c>
    </row>
    <row r="85" spans="3:42" x14ac:dyDescent="0.25">
      <c r="M85">
        <v>3</v>
      </c>
      <c r="N85" t="s">
        <v>31</v>
      </c>
      <c r="O85">
        <f>$F$16</f>
        <v>0</v>
      </c>
      <c r="P85">
        <f>O85</f>
        <v>0</v>
      </c>
      <c r="Q85">
        <f>O85</f>
        <v>0</v>
      </c>
      <c r="R85">
        <f>O85</f>
        <v>0</v>
      </c>
      <c r="S85">
        <f>O85</f>
        <v>0</v>
      </c>
      <c r="T85">
        <f>O85</f>
        <v>0</v>
      </c>
      <c r="U85">
        <f>O85</f>
        <v>0</v>
      </c>
      <c r="Z85" s="2"/>
      <c r="AA85" t="s">
        <v>32</v>
      </c>
      <c r="AB85" t="s">
        <v>34</v>
      </c>
      <c r="AC85" t="s">
        <v>35</v>
      </c>
      <c r="AD85" t="s">
        <v>36</v>
      </c>
      <c r="AE85" t="s">
        <v>37</v>
      </c>
      <c r="AF85" t="s">
        <v>38</v>
      </c>
      <c r="AG85" s="3" t="s">
        <v>39</v>
      </c>
      <c r="AI85" s="29" t="s">
        <v>55</v>
      </c>
      <c r="AJ85" t="s">
        <v>32</v>
      </c>
      <c r="AK85" t="s">
        <v>34</v>
      </c>
      <c r="AL85" t="s">
        <v>35</v>
      </c>
      <c r="AM85" t="s">
        <v>36</v>
      </c>
      <c r="AN85" t="s">
        <v>37</v>
      </c>
      <c r="AO85" t="s">
        <v>38</v>
      </c>
      <c r="AP85" s="3" t="s">
        <v>39</v>
      </c>
    </row>
    <row r="86" spans="3:42" x14ac:dyDescent="0.25">
      <c r="Z86" s="2" t="s">
        <v>50</v>
      </c>
      <c r="AA86" s="17">
        <f>H13</f>
        <v>0</v>
      </c>
      <c r="AB86" s="17">
        <f>AA86</f>
        <v>0</v>
      </c>
      <c r="AC86">
        <v>0</v>
      </c>
      <c r="AD86">
        <v>0</v>
      </c>
      <c r="AE86" s="17">
        <f>AA86</f>
        <v>0</v>
      </c>
      <c r="AF86">
        <v>0</v>
      </c>
      <c r="AG86" s="18">
        <f>AA86</f>
        <v>0</v>
      </c>
      <c r="AI86" s="2" t="s">
        <v>50</v>
      </c>
      <c r="AJ86" s="17">
        <f>K13</f>
        <v>0</v>
      </c>
      <c r="AK86" s="17">
        <f>AJ86</f>
        <v>0</v>
      </c>
      <c r="AL86">
        <v>0</v>
      </c>
      <c r="AM86">
        <v>0</v>
      </c>
      <c r="AN86" s="17">
        <f>AJ86+30</f>
        <v>30</v>
      </c>
      <c r="AO86">
        <v>0</v>
      </c>
      <c r="AP86" s="18">
        <f>AJ86-30</f>
        <v>-30</v>
      </c>
    </row>
    <row r="87" spans="3:42" x14ac:dyDescent="0.25">
      <c r="C87" t="s">
        <v>9</v>
      </c>
      <c r="E87">
        <v>1</v>
      </c>
      <c r="J87">
        <v>1</v>
      </c>
      <c r="L87">
        <v>1</v>
      </c>
      <c r="M87">
        <v>1</v>
      </c>
      <c r="N87" t="s">
        <v>29</v>
      </c>
      <c r="O87">
        <f>($F$17*1000)/($D$5*SQRT(3)*$I$17)</f>
        <v>0</v>
      </c>
      <c r="P87">
        <f>($F$17*1000)/(($D$5/SQRT(3))*$I$17)</f>
        <v>0</v>
      </c>
      <c r="Q87">
        <f>P87</f>
        <v>0</v>
      </c>
      <c r="R87">
        <f>P87</f>
        <v>0</v>
      </c>
      <c r="S87">
        <f>($F$17*1000)/($D$5*$I$17)</f>
        <v>0</v>
      </c>
      <c r="T87">
        <f>S87</f>
        <v>0</v>
      </c>
      <c r="U87">
        <f>S87</f>
        <v>0</v>
      </c>
      <c r="Y87">
        <v>6</v>
      </c>
      <c r="Z87" s="2" t="s">
        <v>51</v>
      </c>
      <c r="AA87" s="17">
        <f>AA86</f>
        <v>0</v>
      </c>
      <c r="AB87">
        <v>0</v>
      </c>
      <c r="AC87" s="17">
        <f>AA86</f>
        <v>0</v>
      </c>
      <c r="AD87">
        <v>0</v>
      </c>
      <c r="AE87" s="17">
        <f>AA86</f>
        <v>0</v>
      </c>
      <c r="AF87" s="17">
        <f>AA86</f>
        <v>0</v>
      </c>
      <c r="AG87" s="3">
        <v>0</v>
      </c>
      <c r="AI87" s="2" t="s">
        <v>51</v>
      </c>
      <c r="AJ87" s="17">
        <f>AJ86-120</f>
        <v>-120</v>
      </c>
      <c r="AK87">
        <v>0</v>
      </c>
      <c r="AL87" s="17">
        <f>AJ86-120</f>
        <v>-120</v>
      </c>
      <c r="AM87">
        <v>0</v>
      </c>
      <c r="AN87" s="17">
        <f>AJ86-150</f>
        <v>-150</v>
      </c>
      <c r="AO87" s="17">
        <f>AJ86-90</f>
        <v>-90</v>
      </c>
      <c r="AP87" s="3">
        <v>0</v>
      </c>
    </row>
    <row r="88" spans="3:42" x14ac:dyDescent="0.25">
      <c r="M88">
        <v>2</v>
      </c>
      <c r="N88" t="s">
        <v>30</v>
      </c>
      <c r="O88">
        <f>($F$17*1000)/($D$5*SQRT(3))</f>
        <v>0</v>
      </c>
      <c r="P88">
        <f>($F$17*1000)/(($D$5/SQRT(3)))</f>
        <v>0</v>
      </c>
      <c r="Q88">
        <f>P88</f>
        <v>0</v>
      </c>
      <c r="R88">
        <f>P88</f>
        <v>0</v>
      </c>
      <c r="S88">
        <f>($F$17*1000)/($D$5)</f>
        <v>0</v>
      </c>
      <c r="T88">
        <f>S88</f>
        <v>0</v>
      </c>
      <c r="U88">
        <f>S88</f>
        <v>0</v>
      </c>
      <c r="Z88" s="2" t="s">
        <v>52</v>
      </c>
      <c r="AA88" s="17">
        <f>AA86</f>
        <v>0</v>
      </c>
      <c r="AB88">
        <v>0</v>
      </c>
      <c r="AC88">
        <v>0</v>
      </c>
      <c r="AD88" s="17">
        <f>AA86</f>
        <v>0</v>
      </c>
      <c r="AE88">
        <v>0</v>
      </c>
      <c r="AF88" s="17">
        <f>AA86</f>
        <v>0</v>
      </c>
      <c r="AG88" s="18">
        <f>AA86</f>
        <v>0</v>
      </c>
      <c r="AI88" s="2" t="s">
        <v>52</v>
      </c>
      <c r="AJ88" s="17">
        <f>AJ86+120</f>
        <v>120</v>
      </c>
      <c r="AK88">
        <v>0</v>
      </c>
      <c r="AL88">
        <v>0</v>
      </c>
      <c r="AM88" s="17">
        <f>AJ86+120</f>
        <v>120</v>
      </c>
      <c r="AN88">
        <v>0</v>
      </c>
      <c r="AO88" s="17">
        <f>AJ86+90</f>
        <v>90</v>
      </c>
      <c r="AP88" s="18">
        <f>AJ86+150</f>
        <v>150</v>
      </c>
    </row>
    <row r="89" spans="3:42" x14ac:dyDescent="0.25">
      <c r="M89">
        <v>3</v>
      </c>
      <c r="N89" t="s">
        <v>31</v>
      </c>
      <c r="O89">
        <f>$F$17</f>
        <v>0</v>
      </c>
      <c r="P89">
        <f>O89</f>
        <v>0</v>
      </c>
      <c r="Q89">
        <f>O89</f>
        <v>0</v>
      </c>
      <c r="R89">
        <f>O89</f>
        <v>0</v>
      </c>
      <c r="S89">
        <f>O89</f>
        <v>0</v>
      </c>
      <c r="T89">
        <f>O89</f>
        <v>0</v>
      </c>
      <c r="U89">
        <f>O89</f>
        <v>0</v>
      </c>
      <c r="Z89" s="13" t="s">
        <v>42</v>
      </c>
      <c r="AA89" s="19">
        <v>0</v>
      </c>
      <c r="AB89" s="20">
        <f>AA86</f>
        <v>0</v>
      </c>
      <c r="AC89" s="20">
        <f>AA86</f>
        <v>0</v>
      </c>
      <c r="AD89" s="20">
        <f>AA86</f>
        <v>0</v>
      </c>
      <c r="AE89" s="19">
        <v>0</v>
      </c>
      <c r="AF89" s="19">
        <v>0</v>
      </c>
      <c r="AG89" s="14">
        <v>0</v>
      </c>
      <c r="AI89" s="13" t="s">
        <v>42</v>
      </c>
      <c r="AJ89" s="19">
        <v>0</v>
      </c>
      <c r="AK89" s="20">
        <f>AJ86+180</f>
        <v>180</v>
      </c>
      <c r="AL89" s="20">
        <f>AJ86+180-120</f>
        <v>60</v>
      </c>
      <c r="AM89" s="20">
        <f>AJ86-180+120</f>
        <v>-60</v>
      </c>
      <c r="AN89" s="19">
        <v>0</v>
      </c>
      <c r="AO89" s="19">
        <v>0</v>
      </c>
      <c r="AP89" s="14">
        <v>0</v>
      </c>
    </row>
    <row r="91" spans="3:42" x14ac:dyDescent="0.25">
      <c r="C91" t="s">
        <v>10</v>
      </c>
      <c r="E91">
        <v>1</v>
      </c>
      <c r="J91">
        <v>1</v>
      </c>
      <c r="L91">
        <v>1</v>
      </c>
      <c r="M91">
        <v>1</v>
      </c>
      <c r="N91" t="s">
        <v>29</v>
      </c>
      <c r="O91">
        <f>($F$18*1000)/($D$5*SQRT(3)*$I$18)</f>
        <v>0</v>
      </c>
      <c r="P91">
        <f>($F$18*1000)/(($D$5/SQRT(3))*$I$18)</f>
        <v>0</v>
      </c>
      <c r="Q91">
        <f>P91</f>
        <v>0</v>
      </c>
      <c r="R91">
        <f>P91</f>
        <v>0</v>
      </c>
      <c r="S91">
        <f>($F$18*1000)/($D$5*$I$18)</f>
        <v>0</v>
      </c>
      <c r="T91">
        <f>S91</f>
        <v>0</v>
      </c>
      <c r="U91">
        <f>S91</f>
        <v>0</v>
      </c>
      <c r="Z91" s="4"/>
      <c r="AA91" s="5">
        <v>1</v>
      </c>
      <c r="AB91" s="5">
        <v>2</v>
      </c>
      <c r="AC91" s="5">
        <v>3</v>
      </c>
      <c r="AD91" s="5">
        <v>4</v>
      </c>
      <c r="AE91" s="5">
        <v>5</v>
      </c>
      <c r="AF91" s="5">
        <v>6</v>
      </c>
      <c r="AG91" s="6">
        <v>7</v>
      </c>
      <c r="AI91" s="4"/>
      <c r="AJ91" s="5">
        <v>1</v>
      </c>
      <c r="AK91" s="5">
        <v>2</v>
      </c>
      <c r="AL91" s="5">
        <v>3</v>
      </c>
      <c r="AM91" s="5">
        <v>4</v>
      </c>
      <c r="AN91" s="5">
        <v>5</v>
      </c>
      <c r="AO91" s="5">
        <v>6</v>
      </c>
      <c r="AP91" s="6">
        <v>7</v>
      </c>
    </row>
    <row r="92" spans="3:42" x14ac:dyDescent="0.25">
      <c r="M92">
        <v>2</v>
      </c>
      <c r="N92" t="s">
        <v>30</v>
      </c>
      <c r="O92">
        <f>($F$18*1000)/($D$5*SQRT(3))</f>
        <v>0</v>
      </c>
      <c r="P92">
        <f>($F$18*1000)/(($D$5/SQRT(3)))</f>
        <v>0</v>
      </c>
      <c r="Q92">
        <f>P92</f>
        <v>0</v>
      </c>
      <c r="R92">
        <f>P92</f>
        <v>0</v>
      </c>
      <c r="S92">
        <f>($F$18*1000)/($D$5)</f>
        <v>0</v>
      </c>
      <c r="T92">
        <f>S92</f>
        <v>0</v>
      </c>
      <c r="U92">
        <f>S92</f>
        <v>0</v>
      </c>
      <c r="Z92" s="2"/>
      <c r="AA92" t="s">
        <v>32</v>
      </c>
      <c r="AB92" t="s">
        <v>34</v>
      </c>
      <c r="AC92" t="s">
        <v>35</v>
      </c>
      <c r="AD92" t="s">
        <v>36</v>
      </c>
      <c r="AE92" t="s">
        <v>37</v>
      </c>
      <c r="AF92" t="s">
        <v>38</v>
      </c>
      <c r="AG92" s="3" t="s">
        <v>39</v>
      </c>
      <c r="AI92" s="29" t="s">
        <v>55</v>
      </c>
      <c r="AJ92" t="s">
        <v>32</v>
      </c>
      <c r="AK92" t="s">
        <v>34</v>
      </c>
      <c r="AL92" t="s">
        <v>35</v>
      </c>
      <c r="AM92" t="s">
        <v>36</v>
      </c>
      <c r="AN92" t="s">
        <v>37</v>
      </c>
      <c r="AO92" t="s">
        <v>38</v>
      </c>
      <c r="AP92" s="3" t="s">
        <v>39</v>
      </c>
    </row>
    <row r="93" spans="3:42" x14ac:dyDescent="0.25">
      <c r="M93">
        <v>3</v>
      </c>
      <c r="N93" t="s">
        <v>31</v>
      </c>
      <c r="O93">
        <f>$F$18</f>
        <v>0</v>
      </c>
      <c r="P93">
        <f>O93</f>
        <v>0</v>
      </c>
      <c r="Q93">
        <f>O93</f>
        <v>0</v>
      </c>
      <c r="R93">
        <f>O93</f>
        <v>0</v>
      </c>
      <c r="S93">
        <f>O93</f>
        <v>0</v>
      </c>
      <c r="T93">
        <f>O93</f>
        <v>0</v>
      </c>
      <c r="U93">
        <f>O93</f>
        <v>0</v>
      </c>
      <c r="Z93" s="2" t="s">
        <v>50</v>
      </c>
      <c r="AA93" s="17">
        <f>H14</f>
        <v>0</v>
      </c>
      <c r="AB93" s="17">
        <f>AA93</f>
        <v>0</v>
      </c>
      <c r="AC93">
        <v>0</v>
      </c>
      <c r="AD93">
        <v>0</v>
      </c>
      <c r="AE93" s="17">
        <f>AA93</f>
        <v>0</v>
      </c>
      <c r="AF93">
        <v>0</v>
      </c>
      <c r="AG93" s="18">
        <f>AA93</f>
        <v>0</v>
      </c>
      <c r="AI93" s="2" t="s">
        <v>50</v>
      </c>
      <c r="AJ93" s="17">
        <f>K14</f>
        <v>0</v>
      </c>
      <c r="AK93" s="17">
        <f>AJ93</f>
        <v>0</v>
      </c>
      <c r="AL93">
        <v>0</v>
      </c>
      <c r="AM93">
        <v>0</v>
      </c>
      <c r="AN93" s="17">
        <f>AJ93+30</f>
        <v>30</v>
      </c>
      <c r="AO93">
        <v>0</v>
      </c>
      <c r="AP93" s="18">
        <f>AJ93-30</f>
        <v>-30</v>
      </c>
    </row>
    <row r="94" spans="3:42" x14ac:dyDescent="0.25">
      <c r="Y94">
        <v>7</v>
      </c>
      <c r="Z94" s="2" t="s">
        <v>51</v>
      </c>
      <c r="AA94" s="17">
        <f>AA93</f>
        <v>0</v>
      </c>
      <c r="AB94">
        <v>0</v>
      </c>
      <c r="AC94" s="17">
        <f>AA93</f>
        <v>0</v>
      </c>
      <c r="AD94">
        <v>0</v>
      </c>
      <c r="AE94" s="17">
        <f>AA93</f>
        <v>0</v>
      </c>
      <c r="AF94" s="17">
        <f>AA93</f>
        <v>0</v>
      </c>
      <c r="AG94" s="3">
        <v>0</v>
      </c>
      <c r="AI94" s="2" t="s">
        <v>51</v>
      </c>
      <c r="AJ94" s="17">
        <f>AJ93-120</f>
        <v>-120</v>
      </c>
      <c r="AK94">
        <v>0</v>
      </c>
      <c r="AL94" s="17">
        <f>AJ93-120</f>
        <v>-120</v>
      </c>
      <c r="AM94">
        <v>0</v>
      </c>
      <c r="AN94" s="17">
        <f>AJ93-150</f>
        <v>-150</v>
      </c>
      <c r="AO94" s="17">
        <f>AJ93-90</f>
        <v>-90</v>
      </c>
      <c r="AP94" s="3">
        <v>0</v>
      </c>
    </row>
    <row r="95" spans="3:42" x14ac:dyDescent="0.25">
      <c r="C95" t="s">
        <v>11</v>
      </c>
      <c r="E95">
        <v>1</v>
      </c>
      <c r="J95">
        <v>1</v>
      </c>
      <c r="L95">
        <v>1</v>
      </c>
      <c r="M95">
        <v>1</v>
      </c>
      <c r="N95" t="s">
        <v>29</v>
      </c>
      <c r="O95">
        <f>($F$19*1000)/($D$5*SQRT(3)*$I$19)</f>
        <v>0</v>
      </c>
      <c r="P95">
        <f>($F$19*1000)/(($D$5/SQRT(3))*$I$19)</f>
        <v>0</v>
      </c>
      <c r="Q95">
        <f>P95</f>
        <v>0</v>
      </c>
      <c r="R95">
        <f>P95</f>
        <v>0</v>
      </c>
      <c r="S95">
        <f>($F$19*1000)/($D$5*$I$19)</f>
        <v>0</v>
      </c>
      <c r="T95">
        <f>S95</f>
        <v>0</v>
      </c>
      <c r="U95">
        <f>S95</f>
        <v>0</v>
      </c>
      <c r="Z95" s="2" t="s">
        <v>52</v>
      </c>
      <c r="AA95" s="17">
        <f>AA93</f>
        <v>0</v>
      </c>
      <c r="AB95">
        <v>0</v>
      </c>
      <c r="AC95">
        <v>0</v>
      </c>
      <c r="AD95" s="17">
        <f>AA93</f>
        <v>0</v>
      </c>
      <c r="AE95">
        <v>0</v>
      </c>
      <c r="AF95" s="17">
        <f>AA93</f>
        <v>0</v>
      </c>
      <c r="AG95" s="18">
        <f>AA93</f>
        <v>0</v>
      </c>
      <c r="AI95" s="2" t="s">
        <v>52</v>
      </c>
      <c r="AJ95" s="17">
        <f>AJ93+120</f>
        <v>120</v>
      </c>
      <c r="AK95">
        <v>0</v>
      </c>
      <c r="AL95">
        <v>0</v>
      </c>
      <c r="AM95" s="17">
        <f>AJ93+120</f>
        <v>120</v>
      </c>
      <c r="AN95">
        <v>0</v>
      </c>
      <c r="AO95" s="17">
        <f>AJ93+90</f>
        <v>90</v>
      </c>
      <c r="AP95" s="18">
        <f>AJ93+150</f>
        <v>150</v>
      </c>
    </row>
    <row r="96" spans="3:42" x14ac:dyDescent="0.25">
      <c r="M96">
        <v>2</v>
      </c>
      <c r="N96" t="s">
        <v>30</v>
      </c>
      <c r="O96">
        <f>($F$19*1000)/($D$5*SQRT(3))</f>
        <v>0</v>
      </c>
      <c r="P96">
        <f>($F$19*1000)/(($D$5/SQRT(3)))</f>
        <v>0</v>
      </c>
      <c r="Q96">
        <f>P96</f>
        <v>0</v>
      </c>
      <c r="R96">
        <f>P96</f>
        <v>0</v>
      </c>
      <c r="S96">
        <f>($F$19*1000)/($D$5)</f>
        <v>0</v>
      </c>
      <c r="T96">
        <f>S96</f>
        <v>0</v>
      </c>
      <c r="U96">
        <f>S96</f>
        <v>0</v>
      </c>
      <c r="Z96" s="13" t="s">
        <v>42</v>
      </c>
      <c r="AA96" s="19">
        <v>0</v>
      </c>
      <c r="AB96" s="20">
        <f>AA93</f>
        <v>0</v>
      </c>
      <c r="AC96" s="20">
        <f>AA93</f>
        <v>0</v>
      </c>
      <c r="AD96" s="20">
        <f>AA93</f>
        <v>0</v>
      </c>
      <c r="AE96" s="19">
        <v>0</v>
      </c>
      <c r="AF96" s="19">
        <v>0</v>
      </c>
      <c r="AG96" s="14">
        <v>0</v>
      </c>
      <c r="AI96" s="13" t="s">
        <v>42</v>
      </c>
      <c r="AJ96" s="19">
        <v>0</v>
      </c>
      <c r="AK96" s="20">
        <f>AJ93+180</f>
        <v>180</v>
      </c>
      <c r="AL96" s="20">
        <f>AJ93+180-120</f>
        <v>60</v>
      </c>
      <c r="AM96" s="20">
        <f>AJ93-180+120</f>
        <v>-60</v>
      </c>
      <c r="AN96" s="19">
        <v>0</v>
      </c>
      <c r="AO96" s="19">
        <v>0</v>
      </c>
      <c r="AP96" s="14">
        <v>0</v>
      </c>
    </row>
    <row r="97" spans="3:42" x14ac:dyDescent="0.25">
      <c r="M97">
        <v>3</v>
      </c>
      <c r="N97" t="s">
        <v>31</v>
      </c>
      <c r="O97">
        <f>$F$19</f>
        <v>0</v>
      </c>
      <c r="P97">
        <f>O97</f>
        <v>0</v>
      </c>
      <c r="Q97">
        <f>O97</f>
        <v>0</v>
      </c>
      <c r="R97">
        <f>O97</f>
        <v>0</v>
      </c>
      <c r="S97">
        <f>O97</f>
        <v>0</v>
      </c>
      <c r="T97">
        <f>O97</f>
        <v>0</v>
      </c>
      <c r="U97">
        <f>O97</f>
        <v>0</v>
      </c>
    </row>
    <row r="98" spans="3:42" x14ac:dyDescent="0.25">
      <c r="Z98" s="4"/>
      <c r="AA98" s="5">
        <v>1</v>
      </c>
      <c r="AB98" s="5">
        <v>2</v>
      </c>
      <c r="AC98" s="5">
        <v>3</v>
      </c>
      <c r="AD98" s="5">
        <v>4</v>
      </c>
      <c r="AE98" s="5">
        <v>5</v>
      </c>
      <c r="AF98" s="5">
        <v>6</v>
      </c>
      <c r="AG98" s="6">
        <v>7</v>
      </c>
      <c r="AI98" s="4"/>
      <c r="AJ98" s="5">
        <v>1</v>
      </c>
      <c r="AK98" s="5">
        <v>2</v>
      </c>
      <c r="AL98" s="5">
        <v>3</v>
      </c>
      <c r="AM98" s="5">
        <v>4</v>
      </c>
      <c r="AN98" s="5">
        <v>5</v>
      </c>
      <c r="AO98" s="5">
        <v>6</v>
      </c>
      <c r="AP98" s="6">
        <v>7</v>
      </c>
    </row>
    <row r="99" spans="3:42" x14ac:dyDescent="0.25">
      <c r="C99" t="s">
        <v>12</v>
      </c>
      <c r="E99">
        <v>1</v>
      </c>
      <c r="J99">
        <v>1</v>
      </c>
      <c r="L99">
        <v>1</v>
      </c>
      <c r="M99">
        <v>1</v>
      </c>
      <c r="N99" t="s">
        <v>29</v>
      </c>
      <c r="O99">
        <f>($F$20*1000)/($D$5*SQRT(3)*$I$20)</f>
        <v>0</v>
      </c>
      <c r="P99">
        <f>($F$20*1000)/(($D$5/SQRT(3))*$I$20)</f>
        <v>0</v>
      </c>
      <c r="Q99">
        <f>P99</f>
        <v>0</v>
      </c>
      <c r="R99">
        <f>P99</f>
        <v>0</v>
      </c>
      <c r="S99">
        <f>($F$20*1000)/($D$5*$I$20)</f>
        <v>0</v>
      </c>
      <c r="T99">
        <f>S99</f>
        <v>0</v>
      </c>
      <c r="U99">
        <f>S99</f>
        <v>0</v>
      </c>
      <c r="Z99" s="2"/>
      <c r="AA99" t="s">
        <v>32</v>
      </c>
      <c r="AB99" t="s">
        <v>34</v>
      </c>
      <c r="AC99" t="s">
        <v>35</v>
      </c>
      <c r="AD99" t="s">
        <v>36</v>
      </c>
      <c r="AE99" t="s">
        <v>37</v>
      </c>
      <c r="AF99" t="s">
        <v>38</v>
      </c>
      <c r="AG99" s="3" t="s">
        <v>39</v>
      </c>
      <c r="AI99" s="29" t="s">
        <v>55</v>
      </c>
      <c r="AJ99" t="s">
        <v>32</v>
      </c>
      <c r="AK99" t="s">
        <v>34</v>
      </c>
      <c r="AL99" t="s">
        <v>35</v>
      </c>
      <c r="AM99" t="s">
        <v>36</v>
      </c>
      <c r="AN99" t="s">
        <v>37</v>
      </c>
      <c r="AO99" t="s">
        <v>38</v>
      </c>
      <c r="AP99" s="3" t="s">
        <v>39</v>
      </c>
    </row>
    <row r="100" spans="3:42" x14ac:dyDescent="0.25">
      <c r="M100">
        <v>2</v>
      </c>
      <c r="N100" t="s">
        <v>30</v>
      </c>
      <c r="O100">
        <f>($F$20*1000)/($D$5*SQRT(3))</f>
        <v>0</v>
      </c>
      <c r="P100">
        <f>($F$20*1000)/(($D$5/SQRT(3)))</f>
        <v>0</v>
      </c>
      <c r="Q100">
        <f>P100</f>
        <v>0</v>
      </c>
      <c r="R100">
        <f>P100</f>
        <v>0</v>
      </c>
      <c r="S100">
        <f>($F$20*1000)/($D$5)</f>
        <v>0</v>
      </c>
      <c r="T100">
        <f>S100</f>
        <v>0</v>
      </c>
      <c r="U100">
        <f>S100</f>
        <v>0</v>
      </c>
      <c r="Z100" s="2" t="s">
        <v>50</v>
      </c>
      <c r="AA100" s="17">
        <f>H15</f>
        <v>0</v>
      </c>
      <c r="AB100" s="17">
        <f>AA100</f>
        <v>0</v>
      </c>
      <c r="AC100">
        <v>0</v>
      </c>
      <c r="AD100">
        <v>0</v>
      </c>
      <c r="AE100" s="17">
        <f>AA100</f>
        <v>0</v>
      </c>
      <c r="AF100">
        <v>0</v>
      </c>
      <c r="AG100" s="18">
        <f>AA100</f>
        <v>0</v>
      </c>
      <c r="AI100" s="2" t="s">
        <v>50</v>
      </c>
      <c r="AJ100" s="17">
        <f>K15</f>
        <v>0</v>
      </c>
      <c r="AK100" s="17">
        <f>AJ100</f>
        <v>0</v>
      </c>
      <c r="AL100">
        <v>0</v>
      </c>
      <c r="AM100">
        <v>0</v>
      </c>
      <c r="AN100" s="17">
        <f>AJ100+30</f>
        <v>30</v>
      </c>
      <c r="AO100">
        <v>0</v>
      </c>
      <c r="AP100" s="18">
        <f>AJ100-30</f>
        <v>-30</v>
      </c>
    </row>
    <row r="101" spans="3:42" x14ac:dyDescent="0.25">
      <c r="M101">
        <v>3</v>
      </c>
      <c r="N101" t="s">
        <v>31</v>
      </c>
      <c r="O101">
        <f>$F$20</f>
        <v>0</v>
      </c>
      <c r="P101">
        <f>O101</f>
        <v>0</v>
      </c>
      <c r="Q101">
        <f>O101</f>
        <v>0</v>
      </c>
      <c r="R101">
        <f>O101</f>
        <v>0</v>
      </c>
      <c r="S101">
        <f>O101</f>
        <v>0</v>
      </c>
      <c r="T101">
        <f>O101</f>
        <v>0</v>
      </c>
      <c r="U101">
        <f>O101</f>
        <v>0</v>
      </c>
      <c r="Y101">
        <v>8</v>
      </c>
      <c r="Z101" s="2" t="s">
        <v>51</v>
      </c>
      <c r="AA101" s="17">
        <f>AA100</f>
        <v>0</v>
      </c>
      <c r="AB101">
        <v>0</v>
      </c>
      <c r="AC101" s="17">
        <f>AA100</f>
        <v>0</v>
      </c>
      <c r="AD101">
        <v>0</v>
      </c>
      <c r="AE101" s="17">
        <f>AA100</f>
        <v>0</v>
      </c>
      <c r="AF101" s="17">
        <f>AA100</f>
        <v>0</v>
      </c>
      <c r="AG101" s="3">
        <v>0</v>
      </c>
      <c r="AI101" s="2" t="s">
        <v>51</v>
      </c>
      <c r="AJ101" s="17">
        <f>AJ100-120</f>
        <v>-120</v>
      </c>
      <c r="AK101">
        <v>0</v>
      </c>
      <c r="AL101" s="17">
        <f>AJ100-120</f>
        <v>-120</v>
      </c>
      <c r="AM101">
        <v>0</v>
      </c>
      <c r="AN101" s="17">
        <f>AJ100-150</f>
        <v>-150</v>
      </c>
      <c r="AO101" s="17">
        <f>AJ100-90</f>
        <v>-90</v>
      </c>
      <c r="AP101" s="3">
        <v>0</v>
      </c>
    </row>
    <row r="102" spans="3:42" x14ac:dyDescent="0.25">
      <c r="Z102" s="2" t="s">
        <v>52</v>
      </c>
      <c r="AA102" s="17">
        <f>AA100</f>
        <v>0</v>
      </c>
      <c r="AB102">
        <v>0</v>
      </c>
      <c r="AC102">
        <v>0</v>
      </c>
      <c r="AD102" s="17">
        <f>AA100</f>
        <v>0</v>
      </c>
      <c r="AE102">
        <v>0</v>
      </c>
      <c r="AF102" s="17">
        <f>AA100</f>
        <v>0</v>
      </c>
      <c r="AG102" s="18">
        <f>AA100</f>
        <v>0</v>
      </c>
      <c r="AI102" s="2" t="s">
        <v>52</v>
      </c>
      <c r="AJ102" s="17">
        <f>AJ100+120</f>
        <v>120</v>
      </c>
      <c r="AK102">
        <v>0</v>
      </c>
      <c r="AL102">
        <v>0</v>
      </c>
      <c r="AM102" s="17">
        <f>AJ100+120</f>
        <v>120</v>
      </c>
      <c r="AN102">
        <v>0</v>
      </c>
      <c r="AO102" s="17">
        <f>AJ100+90</f>
        <v>90</v>
      </c>
      <c r="AP102" s="18">
        <f>AJ100+150</f>
        <v>150</v>
      </c>
    </row>
    <row r="103" spans="3:42" x14ac:dyDescent="0.25">
      <c r="C103" t="s">
        <v>13</v>
      </c>
      <c r="E103">
        <v>1</v>
      </c>
      <c r="J103">
        <v>1</v>
      </c>
      <c r="L103">
        <v>1</v>
      </c>
      <c r="M103">
        <v>1</v>
      </c>
      <c r="N103" t="s">
        <v>29</v>
      </c>
      <c r="O103">
        <f>($F$21*1000)/($D$5*SQRT(3)*$I$21)</f>
        <v>0</v>
      </c>
      <c r="P103">
        <f>($F$21*1000)/(($D$5/SQRT(3))*$I$21)</f>
        <v>0</v>
      </c>
      <c r="Q103">
        <f>P103</f>
        <v>0</v>
      </c>
      <c r="R103">
        <f>P103</f>
        <v>0</v>
      </c>
      <c r="S103">
        <f>($F$21*1000)/($D$5*$I$21)</f>
        <v>0</v>
      </c>
      <c r="T103">
        <f>S103</f>
        <v>0</v>
      </c>
      <c r="U103">
        <f>S103</f>
        <v>0</v>
      </c>
      <c r="Z103" s="13" t="s">
        <v>42</v>
      </c>
      <c r="AA103" s="19">
        <v>0</v>
      </c>
      <c r="AB103" s="20">
        <f>AA100</f>
        <v>0</v>
      </c>
      <c r="AC103" s="20">
        <f>AA100</f>
        <v>0</v>
      </c>
      <c r="AD103" s="20">
        <f>AA100</f>
        <v>0</v>
      </c>
      <c r="AE103" s="19">
        <v>0</v>
      </c>
      <c r="AF103" s="19">
        <v>0</v>
      </c>
      <c r="AG103" s="14">
        <v>0</v>
      </c>
      <c r="AI103" s="13" t="s">
        <v>42</v>
      </c>
      <c r="AJ103" s="19">
        <v>0</v>
      </c>
      <c r="AK103" s="20">
        <f>AJ100+180</f>
        <v>180</v>
      </c>
      <c r="AL103" s="20">
        <f>AJ100+180-120</f>
        <v>60</v>
      </c>
      <c r="AM103" s="20">
        <f>AJ100-180+120</f>
        <v>-60</v>
      </c>
      <c r="AN103" s="19">
        <v>0</v>
      </c>
      <c r="AO103" s="19">
        <v>0</v>
      </c>
      <c r="AP103" s="14">
        <v>0</v>
      </c>
    </row>
    <row r="104" spans="3:42" x14ac:dyDescent="0.25">
      <c r="M104">
        <v>2</v>
      </c>
      <c r="N104" t="s">
        <v>30</v>
      </c>
      <c r="O104">
        <f>($F$21*1000)/($D$5*SQRT(3))</f>
        <v>0</v>
      </c>
      <c r="P104">
        <f>($F$21*1000)/(($D$5/SQRT(3)))</f>
        <v>0</v>
      </c>
      <c r="Q104">
        <f>P104</f>
        <v>0</v>
      </c>
      <c r="R104">
        <f>P104</f>
        <v>0</v>
      </c>
      <c r="S104">
        <f>($F$21*1000)/($D$5)</f>
        <v>0</v>
      </c>
      <c r="T104">
        <f>S104</f>
        <v>0</v>
      </c>
      <c r="U104">
        <f>S104</f>
        <v>0</v>
      </c>
    </row>
    <row r="105" spans="3:42" x14ac:dyDescent="0.25">
      <c r="M105">
        <v>3</v>
      </c>
      <c r="N105" t="s">
        <v>31</v>
      </c>
      <c r="O105">
        <f>$F$21</f>
        <v>0</v>
      </c>
      <c r="P105">
        <f>O105</f>
        <v>0</v>
      </c>
      <c r="Q105">
        <f>O105</f>
        <v>0</v>
      </c>
      <c r="R105">
        <f>O105</f>
        <v>0</v>
      </c>
      <c r="S105">
        <f>O105</f>
        <v>0</v>
      </c>
      <c r="T105">
        <f>O105</f>
        <v>0</v>
      </c>
      <c r="U105">
        <f>O105</f>
        <v>0</v>
      </c>
      <c r="Z105" s="4"/>
      <c r="AA105" s="5">
        <v>1</v>
      </c>
      <c r="AB105" s="5">
        <v>2</v>
      </c>
      <c r="AC105" s="5">
        <v>3</v>
      </c>
      <c r="AD105" s="5">
        <v>4</v>
      </c>
      <c r="AE105" s="5">
        <v>5</v>
      </c>
      <c r="AF105" s="5">
        <v>6</v>
      </c>
      <c r="AG105" s="6">
        <v>7</v>
      </c>
      <c r="AI105" s="4"/>
      <c r="AJ105" s="5">
        <v>1</v>
      </c>
      <c r="AK105" s="5">
        <v>2</v>
      </c>
      <c r="AL105" s="5">
        <v>3</v>
      </c>
      <c r="AM105" s="5">
        <v>4</v>
      </c>
      <c r="AN105" s="5">
        <v>5</v>
      </c>
      <c r="AO105" s="5">
        <v>6</v>
      </c>
      <c r="AP105" s="6">
        <v>7</v>
      </c>
    </row>
    <row r="106" spans="3:42" x14ac:dyDescent="0.25">
      <c r="Z106" s="2"/>
      <c r="AA106" t="s">
        <v>32</v>
      </c>
      <c r="AB106" t="s">
        <v>34</v>
      </c>
      <c r="AC106" t="s">
        <v>35</v>
      </c>
      <c r="AD106" t="s">
        <v>36</v>
      </c>
      <c r="AE106" t="s">
        <v>37</v>
      </c>
      <c r="AF106" t="s">
        <v>38</v>
      </c>
      <c r="AG106" s="3" t="s">
        <v>39</v>
      </c>
      <c r="AI106" s="29" t="s">
        <v>55</v>
      </c>
      <c r="AJ106" t="s">
        <v>32</v>
      </c>
      <c r="AK106" t="s">
        <v>34</v>
      </c>
      <c r="AL106" t="s">
        <v>35</v>
      </c>
      <c r="AM106" t="s">
        <v>36</v>
      </c>
      <c r="AN106" t="s">
        <v>37</v>
      </c>
      <c r="AO106" t="s">
        <v>38</v>
      </c>
      <c r="AP106" s="3" t="s">
        <v>39</v>
      </c>
    </row>
    <row r="107" spans="3:42" x14ac:dyDescent="0.25">
      <c r="C107" t="s">
        <v>14</v>
      </c>
      <c r="E107">
        <v>1</v>
      </c>
      <c r="J107">
        <v>1</v>
      </c>
      <c r="L107">
        <v>1</v>
      </c>
      <c r="M107">
        <v>1</v>
      </c>
      <c r="N107" t="s">
        <v>29</v>
      </c>
      <c r="O107">
        <f>($F$22*1000)/($D$5*SQRT(3)*$I$22)</f>
        <v>0</v>
      </c>
      <c r="P107">
        <f>($F$22*1000)/(($D$5/SQRT(3))*$I$22)</f>
        <v>0</v>
      </c>
      <c r="Q107">
        <f>P107</f>
        <v>0</v>
      </c>
      <c r="R107">
        <f>P107</f>
        <v>0</v>
      </c>
      <c r="S107">
        <f>($F$22*1000)/($D$5*$I$22)</f>
        <v>0</v>
      </c>
      <c r="T107">
        <f>S107</f>
        <v>0</v>
      </c>
      <c r="U107">
        <f>S107</f>
        <v>0</v>
      </c>
      <c r="Z107" s="2" t="s">
        <v>50</v>
      </c>
      <c r="AA107" s="17">
        <f>H16</f>
        <v>0</v>
      </c>
      <c r="AB107" s="17">
        <f>AA107</f>
        <v>0</v>
      </c>
      <c r="AC107">
        <v>0</v>
      </c>
      <c r="AD107">
        <v>0</v>
      </c>
      <c r="AE107" s="17">
        <f>AA107</f>
        <v>0</v>
      </c>
      <c r="AF107">
        <v>0</v>
      </c>
      <c r="AG107" s="18">
        <f>AA107</f>
        <v>0</v>
      </c>
      <c r="AI107" s="2" t="s">
        <v>50</v>
      </c>
      <c r="AJ107" s="17">
        <f>K16</f>
        <v>0</v>
      </c>
      <c r="AK107" s="17">
        <f>AJ107</f>
        <v>0</v>
      </c>
      <c r="AL107">
        <v>0</v>
      </c>
      <c r="AM107">
        <v>0</v>
      </c>
      <c r="AN107" s="17">
        <f>AJ107+30</f>
        <v>30</v>
      </c>
      <c r="AO107">
        <v>0</v>
      </c>
      <c r="AP107" s="18">
        <f>AJ107-30</f>
        <v>-30</v>
      </c>
    </row>
    <row r="108" spans="3:42" x14ac:dyDescent="0.25">
      <c r="M108">
        <v>2</v>
      </c>
      <c r="N108" t="s">
        <v>30</v>
      </c>
      <c r="O108">
        <f>($F$22*1000)/($D$5*SQRT(3))</f>
        <v>0</v>
      </c>
      <c r="P108">
        <f>($F$22*1000)/(($D$5/SQRT(3)))</f>
        <v>0</v>
      </c>
      <c r="Q108">
        <f>P108</f>
        <v>0</v>
      </c>
      <c r="R108">
        <f>P108</f>
        <v>0</v>
      </c>
      <c r="S108">
        <f>($F$22*1000)/($D$5)</f>
        <v>0</v>
      </c>
      <c r="T108">
        <f>S108</f>
        <v>0</v>
      </c>
      <c r="U108">
        <f>S108</f>
        <v>0</v>
      </c>
      <c r="Z108" s="2" t="s">
        <v>51</v>
      </c>
      <c r="AA108" s="17">
        <f>AA107</f>
        <v>0</v>
      </c>
      <c r="AB108">
        <v>0</v>
      </c>
      <c r="AC108" s="17">
        <f>AA107</f>
        <v>0</v>
      </c>
      <c r="AD108">
        <v>0</v>
      </c>
      <c r="AE108" s="17">
        <f>AA107</f>
        <v>0</v>
      </c>
      <c r="AF108" s="17">
        <f>AA107</f>
        <v>0</v>
      </c>
      <c r="AG108" s="3">
        <v>0</v>
      </c>
      <c r="AI108" s="2" t="s">
        <v>51</v>
      </c>
      <c r="AJ108" s="17">
        <f>AJ107-120</f>
        <v>-120</v>
      </c>
      <c r="AK108">
        <v>0</v>
      </c>
      <c r="AL108" s="17">
        <f>AJ107-120</f>
        <v>-120</v>
      </c>
      <c r="AM108">
        <v>0</v>
      </c>
      <c r="AN108" s="17">
        <f>AJ107-150</f>
        <v>-150</v>
      </c>
      <c r="AO108" s="17">
        <f>AJ107-90</f>
        <v>-90</v>
      </c>
      <c r="AP108" s="3">
        <v>0</v>
      </c>
    </row>
    <row r="109" spans="3:42" x14ac:dyDescent="0.25">
      <c r="M109">
        <v>3</v>
      </c>
      <c r="N109" t="s">
        <v>31</v>
      </c>
      <c r="O109">
        <f>$F$22</f>
        <v>0</v>
      </c>
      <c r="P109">
        <f>O109</f>
        <v>0</v>
      </c>
      <c r="Q109">
        <f>O109</f>
        <v>0</v>
      </c>
      <c r="R109">
        <f>O109</f>
        <v>0</v>
      </c>
      <c r="S109">
        <f>O109</f>
        <v>0</v>
      </c>
      <c r="T109">
        <f>O109</f>
        <v>0</v>
      </c>
      <c r="U109">
        <f>O109</f>
        <v>0</v>
      </c>
      <c r="Y109">
        <v>9</v>
      </c>
      <c r="Z109" s="2" t="s">
        <v>52</v>
      </c>
      <c r="AA109" s="17">
        <f>AA107</f>
        <v>0</v>
      </c>
      <c r="AB109">
        <v>0</v>
      </c>
      <c r="AC109">
        <v>0</v>
      </c>
      <c r="AD109" s="17">
        <f>AA107</f>
        <v>0</v>
      </c>
      <c r="AE109">
        <v>0</v>
      </c>
      <c r="AF109" s="17">
        <f>AA107</f>
        <v>0</v>
      </c>
      <c r="AG109" s="18">
        <f>AA107</f>
        <v>0</v>
      </c>
      <c r="AI109" s="2" t="s">
        <v>52</v>
      </c>
      <c r="AJ109" s="17">
        <f>AJ107+120</f>
        <v>120</v>
      </c>
      <c r="AK109">
        <v>0</v>
      </c>
      <c r="AL109">
        <v>0</v>
      </c>
      <c r="AM109" s="17">
        <f>AJ107+120</f>
        <v>120</v>
      </c>
      <c r="AN109">
        <v>0</v>
      </c>
      <c r="AO109" s="17">
        <f>AJ107+90</f>
        <v>90</v>
      </c>
      <c r="AP109" s="18">
        <f>AJ107+150</f>
        <v>150</v>
      </c>
    </row>
    <row r="110" spans="3:42" x14ac:dyDescent="0.25">
      <c r="Z110" s="13" t="s">
        <v>42</v>
      </c>
      <c r="AA110" s="19">
        <v>0</v>
      </c>
      <c r="AB110" s="20">
        <f>AA107</f>
        <v>0</v>
      </c>
      <c r="AC110" s="20">
        <f>AA107</f>
        <v>0</v>
      </c>
      <c r="AD110" s="20">
        <f>AA107</f>
        <v>0</v>
      </c>
      <c r="AE110" s="19">
        <v>0</v>
      </c>
      <c r="AF110" s="19">
        <v>0</v>
      </c>
      <c r="AG110" s="14">
        <v>0</v>
      </c>
      <c r="AI110" s="13" t="s">
        <v>42</v>
      </c>
      <c r="AJ110" s="19">
        <v>0</v>
      </c>
      <c r="AK110" s="20">
        <f>AJ107+180</f>
        <v>180</v>
      </c>
      <c r="AL110" s="20">
        <f>AJ107+180-120</f>
        <v>60</v>
      </c>
      <c r="AM110" s="20">
        <f>AJ107-180+120</f>
        <v>-60</v>
      </c>
      <c r="AN110" s="19">
        <v>0</v>
      </c>
      <c r="AO110" s="19">
        <v>0</v>
      </c>
      <c r="AP110" s="14">
        <v>0</v>
      </c>
    </row>
    <row r="111" spans="3:42" ht="18" x14ac:dyDescent="0.35">
      <c r="C111" s="7"/>
      <c r="D111" s="12"/>
      <c r="E111" s="7" t="s">
        <v>44</v>
      </c>
      <c r="F111" s="12"/>
      <c r="G111" s="7" t="s">
        <v>45</v>
      </c>
      <c r="H111" s="12"/>
      <c r="I111" s="7" t="s">
        <v>46</v>
      </c>
      <c r="J111" s="12"/>
      <c r="K111" s="7" t="s">
        <v>47</v>
      </c>
      <c r="L111" s="12"/>
    </row>
    <row r="112" spans="3:42" x14ac:dyDescent="0.25">
      <c r="C112" s="9" t="s">
        <v>41</v>
      </c>
      <c r="D112" s="10"/>
      <c r="E112" s="9" t="s">
        <v>48</v>
      </c>
      <c r="F112" s="10" t="s">
        <v>49</v>
      </c>
      <c r="G112" s="9" t="s">
        <v>48</v>
      </c>
      <c r="H112" s="10" t="s">
        <v>49</v>
      </c>
      <c r="I112" s="9" t="s">
        <v>48</v>
      </c>
      <c r="J112" s="10" t="s">
        <v>49</v>
      </c>
      <c r="K112" s="9" t="s">
        <v>48</v>
      </c>
      <c r="L112" s="10" t="s">
        <v>49</v>
      </c>
      <c r="M112" s="8"/>
      <c r="N112" s="8"/>
      <c r="O112" s="8"/>
      <c r="Z112" s="4"/>
      <c r="AA112" s="5">
        <v>1</v>
      </c>
      <c r="AB112" s="5">
        <v>2</v>
      </c>
      <c r="AC112" s="5">
        <v>3</v>
      </c>
      <c r="AD112" s="5">
        <v>4</v>
      </c>
      <c r="AE112" s="5">
        <v>5</v>
      </c>
      <c r="AF112" s="5">
        <v>6</v>
      </c>
      <c r="AG112" s="6">
        <v>7</v>
      </c>
      <c r="AI112" s="4"/>
      <c r="AJ112" s="5">
        <v>1</v>
      </c>
      <c r="AK112" s="5">
        <v>2</v>
      </c>
      <c r="AL112" s="5">
        <v>3</v>
      </c>
      <c r="AM112" s="5">
        <v>4</v>
      </c>
      <c r="AN112" s="5">
        <v>5</v>
      </c>
      <c r="AO112" s="5">
        <v>6</v>
      </c>
      <c r="AP112" s="6">
        <v>7</v>
      </c>
    </row>
    <row r="113" spans="3:42" x14ac:dyDescent="0.25">
      <c r="C113" s="2" t="str">
        <f t="shared" ref="C113:C127" si="2">C8</f>
        <v>Belastning 1</v>
      </c>
      <c r="D113" s="15"/>
      <c r="E113" s="2">
        <f>COS(RADIANS(Q8))*O8</f>
        <v>0</v>
      </c>
      <c r="F113" s="3">
        <f>SIN(RADIANS(Q8))*O8</f>
        <v>0</v>
      </c>
      <c r="G113" s="2">
        <f>COS(RADIANS(T8))*R8</f>
        <v>0</v>
      </c>
      <c r="H113" s="3">
        <f>SIN(RADIANS(T8))*R8</f>
        <v>0</v>
      </c>
      <c r="I113" s="2">
        <f>COS(RADIANS(W8))*U8</f>
        <v>0</v>
      </c>
      <c r="J113" s="3">
        <f>SIN(RADIANS(W8))*U8</f>
        <v>0</v>
      </c>
      <c r="K113" s="2"/>
      <c r="L113" s="3"/>
      <c r="M113" s="11"/>
      <c r="O113" s="8"/>
      <c r="Z113" s="2"/>
      <c r="AA113" t="s">
        <v>32</v>
      </c>
      <c r="AB113" t="s">
        <v>34</v>
      </c>
      <c r="AC113" t="s">
        <v>35</v>
      </c>
      <c r="AD113" t="s">
        <v>36</v>
      </c>
      <c r="AE113" t="s">
        <v>37</v>
      </c>
      <c r="AF113" t="s">
        <v>38</v>
      </c>
      <c r="AG113" s="3" t="s">
        <v>39</v>
      </c>
      <c r="AI113" s="29" t="s">
        <v>55</v>
      </c>
      <c r="AJ113" t="s">
        <v>32</v>
      </c>
      <c r="AK113" t="s">
        <v>34</v>
      </c>
      <c r="AL113" t="s">
        <v>35</v>
      </c>
      <c r="AM113" t="s">
        <v>36</v>
      </c>
      <c r="AN113" t="s">
        <v>37</v>
      </c>
      <c r="AO113" t="s">
        <v>38</v>
      </c>
      <c r="AP113" s="3" t="s">
        <v>39</v>
      </c>
    </row>
    <row r="114" spans="3:42" x14ac:dyDescent="0.25">
      <c r="C114" s="2" t="str">
        <f t="shared" si="2"/>
        <v>Belastning 2</v>
      </c>
      <c r="D114" s="15"/>
      <c r="E114" s="2">
        <f t="shared" ref="E114:E127" si="3">COS(RADIANS(Q9))*O9</f>
        <v>0</v>
      </c>
      <c r="F114" s="3">
        <f t="shared" ref="F114:F127" si="4">SIN(RADIANS(Q9))*O9</f>
        <v>0</v>
      </c>
      <c r="G114" s="2">
        <f t="shared" ref="G114:G127" si="5">COS(RADIANS(T9))*R9</f>
        <v>0</v>
      </c>
      <c r="H114" s="3">
        <f t="shared" ref="H114:H127" si="6">SIN(RADIANS(T9))*R9</f>
        <v>0</v>
      </c>
      <c r="I114" s="2">
        <f t="shared" ref="I114:I127" si="7">COS(RADIANS(W9))*U9</f>
        <v>0</v>
      </c>
      <c r="J114" s="3">
        <f t="shared" ref="J114:J127" si="8">SIN(RADIANS(W9))*U9</f>
        <v>0</v>
      </c>
      <c r="K114" s="2"/>
      <c r="L114" s="3"/>
      <c r="M114" s="11"/>
      <c r="O114" s="8"/>
      <c r="Z114" s="2" t="s">
        <v>50</v>
      </c>
      <c r="AA114" s="17">
        <f>H17</f>
        <v>0</v>
      </c>
      <c r="AB114" s="17">
        <f>AA114</f>
        <v>0</v>
      </c>
      <c r="AC114">
        <v>0</v>
      </c>
      <c r="AD114">
        <v>0</v>
      </c>
      <c r="AE114" s="17">
        <f>AA114</f>
        <v>0</v>
      </c>
      <c r="AF114">
        <v>0</v>
      </c>
      <c r="AG114" s="18">
        <f>AA114</f>
        <v>0</v>
      </c>
      <c r="AI114" s="2" t="s">
        <v>50</v>
      </c>
      <c r="AJ114" s="17">
        <f>K17</f>
        <v>0</v>
      </c>
      <c r="AK114" s="17">
        <f>AJ114</f>
        <v>0</v>
      </c>
      <c r="AL114">
        <v>0</v>
      </c>
      <c r="AM114">
        <v>0</v>
      </c>
      <c r="AN114" s="17">
        <f>AJ114+30</f>
        <v>30</v>
      </c>
      <c r="AO114">
        <v>0</v>
      </c>
      <c r="AP114" s="18">
        <f>AJ114-30</f>
        <v>-30</v>
      </c>
    </row>
    <row r="115" spans="3:42" x14ac:dyDescent="0.25">
      <c r="C115" s="2" t="str">
        <f t="shared" si="2"/>
        <v>Belastning 3</v>
      </c>
      <c r="D115" s="15"/>
      <c r="E115" s="2">
        <f t="shared" si="3"/>
        <v>0</v>
      </c>
      <c r="F115" s="3">
        <f t="shared" si="4"/>
        <v>0</v>
      </c>
      <c r="G115" s="2">
        <f t="shared" si="5"/>
        <v>0</v>
      </c>
      <c r="H115" s="3">
        <f t="shared" si="6"/>
        <v>0</v>
      </c>
      <c r="I115" s="2">
        <f t="shared" si="7"/>
        <v>0</v>
      </c>
      <c r="J115" s="3">
        <f t="shared" si="8"/>
        <v>0</v>
      </c>
      <c r="K115" s="2"/>
      <c r="L115" s="3"/>
      <c r="M115" s="11"/>
      <c r="O115" s="8"/>
      <c r="Z115" s="2" t="s">
        <v>51</v>
      </c>
      <c r="AA115" s="17">
        <f>AA114</f>
        <v>0</v>
      </c>
      <c r="AB115">
        <v>0</v>
      </c>
      <c r="AC115" s="17">
        <f>AA114</f>
        <v>0</v>
      </c>
      <c r="AD115">
        <v>0</v>
      </c>
      <c r="AE115" s="17">
        <f>AA114</f>
        <v>0</v>
      </c>
      <c r="AF115" s="17">
        <f>AA114</f>
        <v>0</v>
      </c>
      <c r="AG115" s="3">
        <v>0</v>
      </c>
      <c r="AI115" s="2" t="s">
        <v>51</v>
      </c>
      <c r="AJ115" s="17">
        <f>AJ114-120</f>
        <v>-120</v>
      </c>
      <c r="AK115">
        <v>0</v>
      </c>
      <c r="AL115" s="17">
        <f>AJ114-120</f>
        <v>-120</v>
      </c>
      <c r="AM115">
        <v>0</v>
      </c>
      <c r="AN115" s="17">
        <f>AJ114-150</f>
        <v>-150</v>
      </c>
      <c r="AO115" s="17">
        <f>AJ114-90</f>
        <v>-90</v>
      </c>
      <c r="AP115" s="3">
        <v>0</v>
      </c>
    </row>
    <row r="116" spans="3:42" x14ac:dyDescent="0.25">
      <c r="C116" s="2" t="str">
        <f t="shared" si="2"/>
        <v>Belastning 4</v>
      </c>
      <c r="D116" s="15"/>
      <c r="E116" s="2">
        <f t="shared" si="3"/>
        <v>0</v>
      </c>
      <c r="F116" s="3">
        <f t="shared" si="4"/>
        <v>0</v>
      </c>
      <c r="G116" s="2">
        <f t="shared" si="5"/>
        <v>0</v>
      </c>
      <c r="H116" s="3">
        <f t="shared" si="6"/>
        <v>0</v>
      </c>
      <c r="I116" s="2">
        <f t="shared" si="7"/>
        <v>0</v>
      </c>
      <c r="J116" s="3">
        <f t="shared" si="8"/>
        <v>0</v>
      </c>
      <c r="K116" s="2"/>
      <c r="L116" s="3"/>
      <c r="M116" s="11"/>
      <c r="O116" s="8"/>
      <c r="Y116">
        <v>10</v>
      </c>
      <c r="Z116" s="2" t="s">
        <v>52</v>
      </c>
      <c r="AA116" s="17">
        <f>AA114</f>
        <v>0</v>
      </c>
      <c r="AB116">
        <v>0</v>
      </c>
      <c r="AC116">
        <v>0</v>
      </c>
      <c r="AD116" s="17">
        <f>AA114</f>
        <v>0</v>
      </c>
      <c r="AE116">
        <v>0</v>
      </c>
      <c r="AF116" s="17">
        <f>AA114</f>
        <v>0</v>
      </c>
      <c r="AG116" s="18">
        <f>AA114</f>
        <v>0</v>
      </c>
      <c r="AI116" s="2" t="s">
        <v>52</v>
      </c>
      <c r="AJ116" s="17">
        <f>AJ114+120</f>
        <v>120</v>
      </c>
      <c r="AK116">
        <v>0</v>
      </c>
      <c r="AL116">
        <v>0</v>
      </c>
      <c r="AM116" s="17">
        <f>AJ114+120</f>
        <v>120</v>
      </c>
      <c r="AN116">
        <v>0</v>
      </c>
      <c r="AO116" s="17">
        <f>AJ114+90</f>
        <v>90</v>
      </c>
      <c r="AP116" s="18">
        <f>AJ114+150</f>
        <v>150</v>
      </c>
    </row>
    <row r="117" spans="3:42" x14ac:dyDescent="0.25">
      <c r="C117" s="2" t="str">
        <f t="shared" si="2"/>
        <v>Belastning 5</v>
      </c>
      <c r="D117" s="15"/>
      <c r="E117" s="2">
        <f t="shared" si="3"/>
        <v>0</v>
      </c>
      <c r="F117" s="3">
        <f t="shared" si="4"/>
        <v>0</v>
      </c>
      <c r="G117" s="2">
        <f t="shared" si="5"/>
        <v>0</v>
      </c>
      <c r="H117" s="3">
        <f t="shared" si="6"/>
        <v>0</v>
      </c>
      <c r="I117" s="2">
        <f t="shared" si="7"/>
        <v>0</v>
      </c>
      <c r="J117" s="3">
        <f t="shared" si="8"/>
        <v>0</v>
      </c>
      <c r="K117" s="2"/>
      <c r="L117" s="3"/>
      <c r="M117" s="11"/>
      <c r="O117" s="8"/>
      <c r="Z117" s="13" t="s">
        <v>42</v>
      </c>
      <c r="AA117" s="19">
        <v>0</v>
      </c>
      <c r="AB117" s="20">
        <f>AA114</f>
        <v>0</v>
      </c>
      <c r="AC117" s="20">
        <f>AA114</f>
        <v>0</v>
      </c>
      <c r="AD117" s="20">
        <f>AA114</f>
        <v>0</v>
      </c>
      <c r="AE117" s="19">
        <v>0</v>
      </c>
      <c r="AF117" s="19">
        <v>0</v>
      </c>
      <c r="AG117" s="14">
        <v>0</v>
      </c>
      <c r="AI117" s="13" t="s">
        <v>42</v>
      </c>
      <c r="AJ117" s="19">
        <v>0</v>
      </c>
      <c r="AK117" s="20">
        <f>AJ114+180</f>
        <v>180</v>
      </c>
      <c r="AL117" s="20">
        <f>AJ114+180-120</f>
        <v>60</v>
      </c>
      <c r="AM117" s="20">
        <f>AJ114-180+120</f>
        <v>-60</v>
      </c>
      <c r="AN117" s="19">
        <v>0</v>
      </c>
      <c r="AO117" s="19">
        <v>0</v>
      </c>
      <c r="AP117" s="14">
        <v>0</v>
      </c>
    </row>
    <row r="118" spans="3:42" x14ac:dyDescent="0.25">
      <c r="C118" s="2" t="str">
        <f t="shared" si="2"/>
        <v>Belastning 6</v>
      </c>
      <c r="D118" s="15"/>
      <c r="E118" s="2">
        <f t="shared" si="3"/>
        <v>0</v>
      </c>
      <c r="F118" s="3">
        <f t="shared" si="4"/>
        <v>0</v>
      </c>
      <c r="G118" s="2">
        <f t="shared" si="5"/>
        <v>0</v>
      </c>
      <c r="H118" s="3">
        <f t="shared" si="6"/>
        <v>0</v>
      </c>
      <c r="I118" s="2">
        <f t="shared" si="7"/>
        <v>0</v>
      </c>
      <c r="J118" s="3">
        <f t="shared" si="8"/>
        <v>0</v>
      </c>
      <c r="K118" s="2"/>
      <c r="L118" s="3"/>
      <c r="M118" s="11"/>
      <c r="O118" s="8"/>
    </row>
    <row r="119" spans="3:42" x14ac:dyDescent="0.25">
      <c r="C119" s="2" t="str">
        <f t="shared" si="2"/>
        <v>Belastning 7</v>
      </c>
      <c r="D119" s="15"/>
      <c r="E119" s="2">
        <f t="shared" si="3"/>
        <v>0</v>
      </c>
      <c r="F119" s="3">
        <f t="shared" si="4"/>
        <v>0</v>
      </c>
      <c r="G119" s="2">
        <f t="shared" si="5"/>
        <v>0</v>
      </c>
      <c r="H119" s="3">
        <f t="shared" si="6"/>
        <v>0</v>
      </c>
      <c r="I119" s="2">
        <f t="shared" si="7"/>
        <v>0</v>
      </c>
      <c r="J119" s="3">
        <f t="shared" si="8"/>
        <v>0</v>
      </c>
      <c r="K119" s="2"/>
      <c r="L119" s="3"/>
      <c r="M119" s="11"/>
      <c r="O119" s="8"/>
      <c r="Z119" s="4"/>
      <c r="AA119" s="5">
        <v>1</v>
      </c>
      <c r="AB119" s="5">
        <v>2</v>
      </c>
      <c r="AC119" s="5">
        <v>3</v>
      </c>
      <c r="AD119" s="5">
        <v>4</v>
      </c>
      <c r="AE119" s="5">
        <v>5</v>
      </c>
      <c r="AF119" s="5">
        <v>6</v>
      </c>
      <c r="AG119" s="6">
        <v>7</v>
      </c>
      <c r="AI119" s="4"/>
      <c r="AJ119" s="5">
        <v>1</v>
      </c>
      <c r="AK119" s="5">
        <v>2</v>
      </c>
      <c r="AL119" s="5">
        <v>3</v>
      </c>
      <c r="AM119" s="5">
        <v>4</v>
      </c>
      <c r="AN119" s="5">
        <v>5</v>
      </c>
      <c r="AO119" s="5">
        <v>6</v>
      </c>
      <c r="AP119" s="6">
        <v>7</v>
      </c>
    </row>
    <row r="120" spans="3:42" x14ac:dyDescent="0.25">
      <c r="C120" s="2" t="str">
        <f t="shared" si="2"/>
        <v>Belastning 8</v>
      </c>
      <c r="D120" s="15"/>
      <c r="E120" s="2">
        <f t="shared" si="3"/>
        <v>0</v>
      </c>
      <c r="F120" s="3">
        <f t="shared" si="4"/>
        <v>0</v>
      </c>
      <c r="G120" s="2">
        <f t="shared" si="5"/>
        <v>0</v>
      </c>
      <c r="H120" s="3">
        <f t="shared" si="6"/>
        <v>0</v>
      </c>
      <c r="I120" s="2">
        <f t="shared" si="7"/>
        <v>0</v>
      </c>
      <c r="J120" s="3">
        <f t="shared" si="8"/>
        <v>0</v>
      </c>
      <c r="K120" s="2"/>
      <c r="L120" s="3"/>
      <c r="M120" s="11"/>
      <c r="O120" s="8"/>
      <c r="Z120" s="2"/>
      <c r="AA120" t="s">
        <v>32</v>
      </c>
      <c r="AB120" t="s">
        <v>34</v>
      </c>
      <c r="AC120" t="s">
        <v>35</v>
      </c>
      <c r="AD120" t="s">
        <v>36</v>
      </c>
      <c r="AE120" t="s">
        <v>37</v>
      </c>
      <c r="AF120" t="s">
        <v>38</v>
      </c>
      <c r="AG120" s="3" t="s">
        <v>39</v>
      </c>
      <c r="AI120" s="29" t="s">
        <v>55</v>
      </c>
      <c r="AJ120" t="s">
        <v>32</v>
      </c>
      <c r="AK120" t="s">
        <v>34</v>
      </c>
      <c r="AL120" t="s">
        <v>35</v>
      </c>
      <c r="AM120" t="s">
        <v>36</v>
      </c>
      <c r="AN120" t="s">
        <v>37</v>
      </c>
      <c r="AO120" t="s">
        <v>38</v>
      </c>
      <c r="AP120" s="3" t="s">
        <v>39</v>
      </c>
    </row>
    <row r="121" spans="3:42" x14ac:dyDescent="0.25">
      <c r="C121" s="2" t="str">
        <f t="shared" si="2"/>
        <v>Belastning 9</v>
      </c>
      <c r="D121" s="15"/>
      <c r="E121" s="2">
        <f t="shared" si="3"/>
        <v>0</v>
      </c>
      <c r="F121" s="3">
        <f t="shared" si="4"/>
        <v>0</v>
      </c>
      <c r="G121" s="2">
        <f t="shared" si="5"/>
        <v>0</v>
      </c>
      <c r="H121" s="3">
        <f t="shared" si="6"/>
        <v>0</v>
      </c>
      <c r="I121" s="2">
        <f t="shared" si="7"/>
        <v>0</v>
      </c>
      <c r="J121" s="3">
        <f t="shared" si="8"/>
        <v>0</v>
      </c>
      <c r="K121" s="2"/>
      <c r="L121" s="3"/>
      <c r="M121" s="11"/>
      <c r="O121" s="8"/>
      <c r="Z121" s="2" t="s">
        <v>50</v>
      </c>
      <c r="AA121" s="17">
        <f>H18</f>
        <v>0</v>
      </c>
      <c r="AB121" s="17">
        <f>AA121</f>
        <v>0</v>
      </c>
      <c r="AC121">
        <v>0</v>
      </c>
      <c r="AD121">
        <v>0</v>
      </c>
      <c r="AE121" s="17">
        <f>AA121</f>
        <v>0</v>
      </c>
      <c r="AF121">
        <v>0</v>
      </c>
      <c r="AG121" s="18">
        <f>AA121</f>
        <v>0</v>
      </c>
      <c r="AI121" s="2" t="s">
        <v>50</v>
      </c>
      <c r="AJ121" s="17">
        <f>K18</f>
        <v>0</v>
      </c>
      <c r="AK121" s="17">
        <f>AJ121</f>
        <v>0</v>
      </c>
      <c r="AL121">
        <v>0</v>
      </c>
      <c r="AM121">
        <v>0</v>
      </c>
      <c r="AN121" s="17">
        <f>AJ121+30</f>
        <v>30</v>
      </c>
      <c r="AO121">
        <v>0</v>
      </c>
      <c r="AP121" s="18">
        <f>AJ121-30</f>
        <v>-30</v>
      </c>
    </row>
    <row r="122" spans="3:42" x14ac:dyDescent="0.25">
      <c r="C122" s="2" t="str">
        <f t="shared" si="2"/>
        <v>Belastning 10</v>
      </c>
      <c r="D122" s="15"/>
      <c r="E122" s="2">
        <f t="shared" si="3"/>
        <v>0</v>
      </c>
      <c r="F122" s="3">
        <f t="shared" si="4"/>
        <v>0</v>
      </c>
      <c r="G122" s="2">
        <f t="shared" si="5"/>
        <v>0</v>
      </c>
      <c r="H122" s="3">
        <f t="shared" si="6"/>
        <v>0</v>
      </c>
      <c r="I122" s="2">
        <f t="shared" si="7"/>
        <v>0</v>
      </c>
      <c r="J122" s="3">
        <f t="shared" si="8"/>
        <v>0</v>
      </c>
      <c r="K122" s="2"/>
      <c r="L122" s="3"/>
      <c r="M122" s="11"/>
      <c r="O122" s="8"/>
      <c r="Z122" s="2" t="s">
        <v>51</v>
      </c>
      <c r="AA122" s="17">
        <f>AA121</f>
        <v>0</v>
      </c>
      <c r="AB122">
        <v>0</v>
      </c>
      <c r="AC122" s="17">
        <f>AA121</f>
        <v>0</v>
      </c>
      <c r="AD122">
        <v>0</v>
      </c>
      <c r="AE122" s="17">
        <f>AA121</f>
        <v>0</v>
      </c>
      <c r="AF122" s="17">
        <f>AA121</f>
        <v>0</v>
      </c>
      <c r="AG122" s="3">
        <v>0</v>
      </c>
      <c r="AI122" s="2" t="s">
        <v>51</v>
      </c>
      <c r="AJ122" s="17">
        <f>AJ121-120</f>
        <v>-120</v>
      </c>
      <c r="AK122">
        <v>0</v>
      </c>
      <c r="AL122" s="17">
        <f>AJ121-120</f>
        <v>-120</v>
      </c>
      <c r="AM122">
        <v>0</v>
      </c>
      <c r="AN122" s="17">
        <f>AJ121-150</f>
        <v>-150</v>
      </c>
      <c r="AO122" s="17">
        <f>AJ121-90</f>
        <v>-90</v>
      </c>
      <c r="AP122" s="3">
        <v>0</v>
      </c>
    </row>
    <row r="123" spans="3:42" x14ac:dyDescent="0.25">
      <c r="C123" s="2" t="str">
        <f t="shared" si="2"/>
        <v>Belastning 11</v>
      </c>
      <c r="D123" s="15"/>
      <c r="E123" s="2">
        <f t="shared" si="3"/>
        <v>0</v>
      </c>
      <c r="F123" s="3">
        <f t="shared" si="4"/>
        <v>0</v>
      </c>
      <c r="G123" s="2">
        <f t="shared" si="5"/>
        <v>0</v>
      </c>
      <c r="H123" s="3">
        <f t="shared" si="6"/>
        <v>0</v>
      </c>
      <c r="I123" s="2">
        <f t="shared" si="7"/>
        <v>0</v>
      </c>
      <c r="J123" s="3">
        <f t="shared" si="8"/>
        <v>0</v>
      </c>
      <c r="K123" s="2"/>
      <c r="L123" s="3"/>
      <c r="M123" s="11"/>
      <c r="O123" s="8"/>
      <c r="Y123">
        <v>11</v>
      </c>
      <c r="Z123" s="2" t="s">
        <v>52</v>
      </c>
      <c r="AA123" s="17">
        <f>AA121</f>
        <v>0</v>
      </c>
      <c r="AB123">
        <v>0</v>
      </c>
      <c r="AC123">
        <v>0</v>
      </c>
      <c r="AD123" s="17">
        <f>AA121</f>
        <v>0</v>
      </c>
      <c r="AE123">
        <v>0</v>
      </c>
      <c r="AF123" s="17">
        <f>AA121</f>
        <v>0</v>
      </c>
      <c r="AG123" s="18">
        <f>AA121</f>
        <v>0</v>
      </c>
      <c r="AI123" s="2" t="s">
        <v>52</v>
      </c>
      <c r="AJ123" s="17">
        <f>AJ121+120</f>
        <v>120</v>
      </c>
      <c r="AK123">
        <v>0</v>
      </c>
      <c r="AL123">
        <v>0</v>
      </c>
      <c r="AM123" s="17">
        <f>AJ121+120</f>
        <v>120</v>
      </c>
      <c r="AN123">
        <v>0</v>
      </c>
      <c r="AO123" s="17">
        <f>AJ121+90</f>
        <v>90</v>
      </c>
      <c r="AP123" s="18">
        <f>AJ121+150</f>
        <v>150</v>
      </c>
    </row>
    <row r="124" spans="3:42" x14ac:dyDescent="0.25">
      <c r="C124" s="2" t="str">
        <f t="shared" si="2"/>
        <v>Belastning 12</v>
      </c>
      <c r="D124" s="15"/>
      <c r="E124" s="2">
        <f t="shared" si="3"/>
        <v>0</v>
      </c>
      <c r="F124" s="3">
        <f t="shared" si="4"/>
        <v>0</v>
      </c>
      <c r="G124" s="2">
        <f t="shared" si="5"/>
        <v>0</v>
      </c>
      <c r="H124" s="3">
        <f t="shared" si="6"/>
        <v>0</v>
      </c>
      <c r="I124" s="2">
        <f t="shared" si="7"/>
        <v>0</v>
      </c>
      <c r="J124" s="3">
        <f t="shared" si="8"/>
        <v>0</v>
      </c>
      <c r="K124" s="2"/>
      <c r="L124" s="3"/>
      <c r="M124" s="11"/>
      <c r="O124" s="8"/>
      <c r="Z124" s="13" t="s">
        <v>42</v>
      </c>
      <c r="AA124" s="19">
        <v>0</v>
      </c>
      <c r="AB124" s="20">
        <f>AA121</f>
        <v>0</v>
      </c>
      <c r="AC124" s="20">
        <f>AA121</f>
        <v>0</v>
      </c>
      <c r="AD124" s="20">
        <f>AA121</f>
        <v>0</v>
      </c>
      <c r="AE124" s="19">
        <v>0</v>
      </c>
      <c r="AF124" s="19">
        <v>0</v>
      </c>
      <c r="AG124" s="14">
        <v>0</v>
      </c>
      <c r="AI124" s="13" t="s">
        <v>42</v>
      </c>
      <c r="AJ124" s="19">
        <v>0</v>
      </c>
      <c r="AK124" s="20">
        <f>AJ121+180</f>
        <v>180</v>
      </c>
      <c r="AL124" s="20">
        <f>AJ121+180-120</f>
        <v>60</v>
      </c>
      <c r="AM124" s="20">
        <f>AJ121-180+120</f>
        <v>-60</v>
      </c>
      <c r="AN124" s="19">
        <v>0</v>
      </c>
      <c r="AO124" s="19">
        <v>0</v>
      </c>
      <c r="AP124" s="14">
        <v>0</v>
      </c>
    </row>
    <row r="125" spans="3:42" x14ac:dyDescent="0.25">
      <c r="C125" s="2" t="str">
        <f t="shared" si="2"/>
        <v>Belastning 13</v>
      </c>
      <c r="D125" s="15"/>
      <c r="E125" s="2">
        <f t="shared" si="3"/>
        <v>0</v>
      </c>
      <c r="F125" s="3">
        <f t="shared" si="4"/>
        <v>0</v>
      </c>
      <c r="G125" s="2">
        <f t="shared" si="5"/>
        <v>0</v>
      </c>
      <c r="H125" s="3">
        <f t="shared" si="6"/>
        <v>0</v>
      </c>
      <c r="I125" s="2">
        <f t="shared" si="7"/>
        <v>0</v>
      </c>
      <c r="J125" s="3">
        <f t="shared" si="8"/>
        <v>0</v>
      </c>
      <c r="K125" s="2"/>
      <c r="L125" s="3"/>
      <c r="M125" s="11"/>
      <c r="O125" s="8"/>
    </row>
    <row r="126" spans="3:42" x14ac:dyDescent="0.25">
      <c r="C126" s="2" t="str">
        <f t="shared" si="2"/>
        <v>Belastning 14</v>
      </c>
      <c r="D126" s="15"/>
      <c r="E126" s="2">
        <f t="shared" si="3"/>
        <v>0</v>
      </c>
      <c r="F126" s="3">
        <f t="shared" si="4"/>
        <v>0</v>
      </c>
      <c r="G126" s="2">
        <f t="shared" si="5"/>
        <v>0</v>
      </c>
      <c r="H126" s="3">
        <f t="shared" si="6"/>
        <v>0</v>
      </c>
      <c r="I126" s="2">
        <f t="shared" si="7"/>
        <v>0</v>
      </c>
      <c r="J126" s="3">
        <f t="shared" si="8"/>
        <v>0</v>
      </c>
      <c r="K126" s="2"/>
      <c r="L126" s="3"/>
      <c r="M126" s="11"/>
      <c r="O126" s="8"/>
      <c r="Z126" s="4"/>
      <c r="AA126" s="5">
        <v>1</v>
      </c>
      <c r="AB126" s="5">
        <v>2</v>
      </c>
      <c r="AC126" s="5">
        <v>3</v>
      </c>
      <c r="AD126" s="5">
        <v>4</v>
      </c>
      <c r="AE126" s="5">
        <v>5</v>
      </c>
      <c r="AF126" s="5">
        <v>6</v>
      </c>
      <c r="AG126" s="6">
        <v>7</v>
      </c>
      <c r="AI126" s="4"/>
      <c r="AJ126" s="5">
        <v>1</v>
      </c>
      <c r="AK126" s="5">
        <v>2</v>
      </c>
      <c r="AL126" s="5">
        <v>3</v>
      </c>
      <c r="AM126" s="5">
        <v>4</v>
      </c>
      <c r="AN126" s="5">
        <v>5</v>
      </c>
      <c r="AO126" s="5">
        <v>6</v>
      </c>
      <c r="AP126" s="6">
        <v>7</v>
      </c>
    </row>
    <row r="127" spans="3:42" x14ac:dyDescent="0.25">
      <c r="C127" s="13" t="str">
        <f t="shared" si="2"/>
        <v>Belastning 15</v>
      </c>
      <c r="D127" s="16"/>
      <c r="E127" s="2">
        <f t="shared" si="3"/>
        <v>0</v>
      </c>
      <c r="F127" s="3">
        <f t="shared" si="4"/>
        <v>0</v>
      </c>
      <c r="G127" s="2">
        <f t="shared" si="5"/>
        <v>0</v>
      </c>
      <c r="H127" s="3">
        <f t="shared" si="6"/>
        <v>0</v>
      </c>
      <c r="I127" s="2">
        <f t="shared" si="7"/>
        <v>0</v>
      </c>
      <c r="J127" s="3">
        <f t="shared" si="8"/>
        <v>0</v>
      </c>
      <c r="K127" s="2"/>
      <c r="L127" s="3"/>
      <c r="M127" s="11"/>
      <c r="O127" s="8"/>
      <c r="Z127" s="2"/>
      <c r="AA127" t="s">
        <v>32</v>
      </c>
      <c r="AB127" t="s">
        <v>34</v>
      </c>
      <c r="AC127" t="s">
        <v>35</v>
      </c>
      <c r="AD127" t="s">
        <v>36</v>
      </c>
      <c r="AE127" t="s">
        <v>37</v>
      </c>
      <c r="AF127" t="s">
        <v>38</v>
      </c>
      <c r="AG127" s="3" t="s">
        <v>39</v>
      </c>
      <c r="AI127" s="29" t="s">
        <v>55</v>
      </c>
      <c r="AJ127" t="s">
        <v>32</v>
      </c>
      <c r="AK127" t="s">
        <v>34</v>
      </c>
      <c r="AL127" t="s">
        <v>35</v>
      </c>
      <c r="AM127" t="s">
        <v>36</v>
      </c>
      <c r="AN127" t="s">
        <v>37</v>
      </c>
      <c r="AO127" t="s">
        <v>38</v>
      </c>
      <c r="AP127" s="3" t="s">
        <v>39</v>
      </c>
    </row>
    <row r="128" spans="3:42" x14ac:dyDescent="0.25">
      <c r="C128" s="21" t="s">
        <v>53</v>
      </c>
      <c r="D128" s="22"/>
      <c r="E128" s="25">
        <f t="shared" ref="E128:J128" si="9">SUM(E113:E127)</f>
        <v>0</v>
      </c>
      <c r="F128" s="23">
        <f t="shared" si="9"/>
        <v>0</v>
      </c>
      <c r="G128" s="25">
        <f t="shared" si="9"/>
        <v>0</v>
      </c>
      <c r="H128" s="23">
        <f t="shared" si="9"/>
        <v>0</v>
      </c>
      <c r="I128" s="25">
        <f t="shared" si="9"/>
        <v>0</v>
      </c>
      <c r="J128" s="23">
        <f t="shared" si="9"/>
        <v>0</v>
      </c>
      <c r="K128" s="22"/>
      <c r="L128" s="23"/>
      <c r="Z128" s="2" t="s">
        <v>50</v>
      </c>
      <c r="AA128" s="17">
        <f>H19</f>
        <v>0</v>
      </c>
      <c r="AB128" s="17">
        <f>AA128</f>
        <v>0</v>
      </c>
      <c r="AC128">
        <v>0</v>
      </c>
      <c r="AD128">
        <v>0</v>
      </c>
      <c r="AE128" s="17">
        <f>AA128</f>
        <v>0</v>
      </c>
      <c r="AF128">
        <v>0</v>
      </c>
      <c r="AG128" s="18">
        <f>AA128</f>
        <v>0</v>
      </c>
      <c r="AI128" s="2" t="s">
        <v>50</v>
      </c>
      <c r="AJ128" s="17">
        <f>K19</f>
        <v>0</v>
      </c>
      <c r="AK128" s="17">
        <f>AJ128</f>
        <v>0</v>
      </c>
      <c r="AL128">
        <v>0</v>
      </c>
      <c r="AM128">
        <v>0</v>
      </c>
      <c r="AN128" s="17">
        <f>AJ128+30</f>
        <v>30</v>
      </c>
      <c r="AO128">
        <v>0</v>
      </c>
      <c r="AP128" s="18">
        <f>AJ128-30</f>
        <v>-30</v>
      </c>
    </row>
    <row r="129" spans="3:42" x14ac:dyDescent="0.25">
      <c r="Y129">
        <v>12</v>
      </c>
      <c r="Z129" s="2" t="s">
        <v>51</v>
      </c>
      <c r="AA129" s="17">
        <f>AA128</f>
        <v>0</v>
      </c>
      <c r="AB129">
        <v>0</v>
      </c>
      <c r="AC129" s="17">
        <f>AA128</f>
        <v>0</v>
      </c>
      <c r="AD129">
        <v>0</v>
      </c>
      <c r="AE129" s="17">
        <f>AA128</f>
        <v>0</v>
      </c>
      <c r="AF129" s="17">
        <f>AA128</f>
        <v>0</v>
      </c>
      <c r="AG129" s="3">
        <v>0</v>
      </c>
      <c r="AI129" s="2" t="s">
        <v>51</v>
      </c>
      <c r="AJ129" s="17">
        <f>AJ128-120</f>
        <v>-120</v>
      </c>
      <c r="AK129">
        <v>0</v>
      </c>
      <c r="AL129" s="17">
        <f>AJ128-120</f>
        <v>-120</v>
      </c>
      <c r="AM129">
        <v>0</v>
      </c>
      <c r="AN129" s="17">
        <f>AJ128-150</f>
        <v>-150</v>
      </c>
      <c r="AO129" s="17">
        <f>AJ128-90</f>
        <v>-90</v>
      </c>
      <c r="AP129" s="3">
        <v>0</v>
      </c>
    </row>
    <row r="130" spans="3:42" x14ac:dyDescent="0.25">
      <c r="K130" s="48"/>
      <c r="Z130" s="2" t="s">
        <v>52</v>
      </c>
      <c r="AA130" s="17">
        <f>AA128</f>
        <v>0</v>
      </c>
      <c r="AB130">
        <v>0</v>
      </c>
      <c r="AC130">
        <v>0</v>
      </c>
      <c r="AD130" s="17">
        <f>AA128</f>
        <v>0</v>
      </c>
      <c r="AE130">
        <v>0</v>
      </c>
      <c r="AF130" s="17">
        <f>AA128</f>
        <v>0</v>
      </c>
      <c r="AG130" s="18">
        <f>AA128</f>
        <v>0</v>
      </c>
      <c r="AI130" s="2" t="s">
        <v>52</v>
      </c>
      <c r="AJ130" s="17">
        <f>AJ128+120</f>
        <v>120</v>
      </c>
      <c r="AK130">
        <v>0</v>
      </c>
      <c r="AL130">
        <v>0</v>
      </c>
      <c r="AM130" s="17">
        <f>AJ128+120</f>
        <v>120</v>
      </c>
      <c r="AN130">
        <v>0</v>
      </c>
      <c r="AO130" s="17">
        <f>AJ128+90</f>
        <v>90</v>
      </c>
      <c r="AP130" s="18">
        <f>AJ128+150</f>
        <v>150</v>
      </c>
    </row>
    <row r="131" spans="3:42" x14ac:dyDescent="0.25">
      <c r="E131" s="24"/>
      <c r="F131" s="17"/>
      <c r="H131" s="17"/>
      <c r="I131" s="24"/>
      <c r="J131" s="17"/>
      <c r="Z131" s="13" t="s">
        <v>42</v>
      </c>
      <c r="AA131" s="19">
        <v>0</v>
      </c>
      <c r="AB131" s="20">
        <f>AA128</f>
        <v>0</v>
      </c>
      <c r="AC131" s="20">
        <f>AA128</f>
        <v>0</v>
      </c>
      <c r="AD131" s="20">
        <f>AA128</f>
        <v>0</v>
      </c>
      <c r="AE131" s="19">
        <v>0</v>
      </c>
      <c r="AF131" s="19">
        <v>0</v>
      </c>
      <c r="AG131" s="14">
        <v>0</v>
      </c>
      <c r="AI131" s="13" t="s">
        <v>42</v>
      </c>
      <c r="AJ131" s="19">
        <v>0</v>
      </c>
      <c r="AK131" s="20">
        <f>AJ128+180</f>
        <v>180</v>
      </c>
      <c r="AL131" s="20">
        <f>AJ128+180-120</f>
        <v>60</v>
      </c>
      <c r="AM131" s="20">
        <f>AJ128-180+120</f>
        <v>-60</v>
      </c>
      <c r="AN131" s="19">
        <v>0</v>
      </c>
      <c r="AO131" s="19">
        <v>0</v>
      </c>
      <c r="AP131" s="14">
        <v>0</v>
      </c>
    </row>
    <row r="132" spans="3:42" x14ac:dyDescent="0.25">
      <c r="E132" s="30"/>
      <c r="F132" s="17"/>
      <c r="G132" s="30"/>
      <c r="H132" s="17"/>
      <c r="J132" s="17"/>
    </row>
    <row r="133" spans="3:42" x14ac:dyDescent="0.25">
      <c r="Z133" s="4"/>
      <c r="AA133" s="5">
        <v>1</v>
      </c>
      <c r="AB133" s="5">
        <v>2</v>
      </c>
      <c r="AC133" s="5">
        <v>3</v>
      </c>
      <c r="AD133" s="5">
        <v>4</v>
      </c>
      <c r="AE133" s="5">
        <v>5</v>
      </c>
      <c r="AF133" s="5">
        <v>6</v>
      </c>
      <c r="AG133" s="6">
        <v>7</v>
      </c>
      <c r="AI133" s="4"/>
      <c r="AJ133" s="5">
        <v>1</v>
      </c>
      <c r="AK133" s="5">
        <v>2</v>
      </c>
      <c r="AL133" s="5">
        <v>3</v>
      </c>
      <c r="AM133" s="5">
        <v>4</v>
      </c>
      <c r="AN133" s="5">
        <v>5</v>
      </c>
      <c r="AO133" s="5">
        <v>6</v>
      </c>
      <c r="AP133" s="6">
        <v>7</v>
      </c>
    </row>
    <row r="134" spans="3:42" x14ac:dyDescent="0.25">
      <c r="C134">
        <f>COS(RADIANS(Q23))*O23</f>
        <v>0</v>
      </c>
      <c r="F134">
        <f>COS(RADIANS(T23))*R23</f>
        <v>0</v>
      </c>
      <c r="I134">
        <f>COS(RADIANS(W23))*U23</f>
        <v>0</v>
      </c>
      <c r="L134">
        <f>IMABS(COMPLEX(C134+F134+I134,C135+F135+I135))</f>
        <v>0</v>
      </c>
      <c r="Z134" s="2"/>
      <c r="AA134" t="s">
        <v>32</v>
      </c>
      <c r="AB134" t="s">
        <v>34</v>
      </c>
      <c r="AC134" t="s">
        <v>35</v>
      </c>
      <c r="AD134" t="s">
        <v>36</v>
      </c>
      <c r="AE134" t="s">
        <v>37</v>
      </c>
      <c r="AF134" t="s">
        <v>38</v>
      </c>
      <c r="AG134" s="3" t="s">
        <v>39</v>
      </c>
      <c r="AI134" s="29" t="s">
        <v>55</v>
      </c>
      <c r="AJ134" t="s">
        <v>32</v>
      </c>
      <c r="AK134" t="s">
        <v>34</v>
      </c>
      <c r="AL134" t="s">
        <v>35</v>
      </c>
      <c r="AM134" t="s">
        <v>36</v>
      </c>
      <c r="AN134" t="s">
        <v>37</v>
      </c>
      <c r="AO134" t="s">
        <v>38</v>
      </c>
      <c r="AP134" s="3" t="s">
        <v>39</v>
      </c>
    </row>
    <row r="135" spans="3:42" x14ac:dyDescent="0.25">
      <c r="C135">
        <f>SIN(RADIANS(Q23))*O23</f>
        <v>0</v>
      </c>
      <c r="F135">
        <f>SIN(RADIANS(T23))*R23</f>
        <v>0</v>
      </c>
      <c r="I135">
        <f>SIN(RADIANS(W23))*U23</f>
        <v>0</v>
      </c>
      <c r="L135" t="str">
        <f>COMPLEX(C134+F134+I134,C135+F135+I135)</f>
        <v>0</v>
      </c>
      <c r="Z135" s="2" t="s">
        <v>50</v>
      </c>
      <c r="AA135" s="17">
        <f>H20</f>
        <v>0</v>
      </c>
      <c r="AB135" s="17">
        <f>AA135</f>
        <v>0</v>
      </c>
      <c r="AC135">
        <v>0</v>
      </c>
      <c r="AD135">
        <v>0</v>
      </c>
      <c r="AE135" s="17">
        <f>AA135</f>
        <v>0</v>
      </c>
      <c r="AF135">
        <v>0</v>
      </c>
      <c r="AG135" s="18">
        <f>AA135</f>
        <v>0</v>
      </c>
      <c r="AI135" s="2" t="s">
        <v>50</v>
      </c>
      <c r="AJ135" s="17">
        <f>K20</f>
        <v>0</v>
      </c>
      <c r="AK135" s="17">
        <f>AJ135</f>
        <v>0</v>
      </c>
      <c r="AL135">
        <v>0</v>
      </c>
      <c r="AM135">
        <v>0</v>
      </c>
      <c r="AN135" s="17">
        <f>AJ135+30</f>
        <v>30</v>
      </c>
      <c r="AO135">
        <v>0</v>
      </c>
      <c r="AP135" s="18">
        <f>AJ135-30</f>
        <v>-30</v>
      </c>
    </row>
    <row r="136" spans="3:42" x14ac:dyDescent="0.25">
      <c r="Y136">
        <v>13</v>
      </c>
      <c r="Z136" s="2" t="s">
        <v>51</v>
      </c>
      <c r="AA136" s="17">
        <f>AA135</f>
        <v>0</v>
      </c>
      <c r="AB136">
        <v>0</v>
      </c>
      <c r="AC136" s="17">
        <f>AA135</f>
        <v>0</v>
      </c>
      <c r="AD136">
        <v>0</v>
      </c>
      <c r="AE136" s="17">
        <f>AA135</f>
        <v>0</v>
      </c>
      <c r="AF136" s="17">
        <f>AA135</f>
        <v>0</v>
      </c>
      <c r="AG136" s="3">
        <v>0</v>
      </c>
      <c r="AI136" s="2" t="s">
        <v>51</v>
      </c>
      <c r="AJ136" s="17">
        <f>AJ135-120</f>
        <v>-120</v>
      </c>
      <c r="AK136">
        <v>0</v>
      </c>
      <c r="AL136" s="17">
        <f>AJ135-120</f>
        <v>-120</v>
      </c>
      <c r="AM136">
        <v>0</v>
      </c>
      <c r="AN136" s="17">
        <f>AJ135-150</f>
        <v>-150</v>
      </c>
      <c r="AO136" s="17">
        <f>AJ135-90</f>
        <v>-90</v>
      </c>
      <c r="AP136" s="3">
        <v>0</v>
      </c>
    </row>
    <row r="137" spans="3:42" x14ac:dyDescent="0.25">
      <c r="C137">
        <f>COS(RADIANS(Q24))*O24</f>
        <v>0</v>
      </c>
      <c r="F137">
        <f>COS(RADIANS(T24))*R24</f>
        <v>0</v>
      </c>
      <c r="I137">
        <f>COS(RADIANS(W24))*U24</f>
        <v>0</v>
      </c>
      <c r="L137">
        <f>IMABS(COMPLEX(C137+F137+I137,C138+F138+I138))</f>
        <v>0</v>
      </c>
      <c r="Z137" s="2" t="s">
        <v>52</v>
      </c>
      <c r="AA137" s="17">
        <f>AA135</f>
        <v>0</v>
      </c>
      <c r="AB137">
        <v>0</v>
      </c>
      <c r="AC137">
        <v>0</v>
      </c>
      <c r="AD137" s="17">
        <f>AA135</f>
        <v>0</v>
      </c>
      <c r="AE137">
        <v>0</v>
      </c>
      <c r="AF137" s="17">
        <f>AA135</f>
        <v>0</v>
      </c>
      <c r="AG137" s="18">
        <f>AA135</f>
        <v>0</v>
      </c>
      <c r="AI137" s="2" t="s">
        <v>52</v>
      </c>
      <c r="AJ137" s="17">
        <f>AJ135+120</f>
        <v>120</v>
      </c>
      <c r="AK137">
        <v>0</v>
      </c>
      <c r="AL137">
        <v>0</v>
      </c>
      <c r="AM137" s="17">
        <f>AJ135+120</f>
        <v>120</v>
      </c>
      <c r="AN137">
        <v>0</v>
      </c>
      <c r="AO137" s="17">
        <f>AJ135+90</f>
        <v>90</v>
      </c>
      <c r="AP137" s="18">
        <f>AJ135+150</f>
        <v>150</v>
      </c>
    </row>
    <row r="138" spans="3:42" x14ac:dyDescent="0.25">
      <c r="C138">
        <f>SIN(RADIANS(Q24))*O24</f>
        <v>0</v>
      </c>
      <c r="F138">
        <f>SIN(RADIANS(T24))*R24</f>
        <v>0</v>
      </c>
      <c r="I138">
        <f>SIN(RADIANS(W24))*U24</f>
        <v>0</v>
      </c>
      <c r="L138" t="str">
        <f>COMPLEX(C137+F137+I137,C138+F138+I138)</f>
        <v>0</v>
      </c>
      <c r="Z138" s="13" t="s">
        <v>42</v>
      </c>
      <c r="AA138" s="19">
        <v>0</v>
      </c>
      <c r="AB138" s="20">
        <f>AA135</f>
        <v>0</v>
      </c>
      <c r="AC138" s="20">
        <f>AA135</f>
        <v>0</v>
      </c>
      <c r="AD138" s="20">
        <f>AA135</f>
        <v>0</v>
      </c>
      <c r="AE138" s="19">
        <v>0</v>
      </c>
      <c r="AF138" s="19">
        <v>0</v>
      </c>
      <c r="AG138" s="14">
        <v>0</v>
      </c>
      <c r="AI138" s="13" t="s">
        <v>42</v>
      </c>
      <c r="AJ138" s="19">
        <v>0</v>
      </c>
      <c r="AK138" s="20">
        <f>AJ135+180</f>
        <v>180</v>
      </c>
      <c r="AL138" s="20">
        <f>AJ135+180-120</f>
        <v>60</v>
      </c>
      <c r="AM138" s="20">
        <f>AJ135-180+120</f>
        <v>-60</v>
      </c>
      <c r="AN138" s="19">
        <v>0</v>
      </c>
      <c r="AO138" s="19">
        <v>0</v>
      </c>
      <c r="AP138" s="14">
        <v>0</v>
      </c>
    </row>
    <row r="140" spans="3:42" x14ac:dyDescent="0.25">
      <c r="Z140" s="4"/>
      <c r="AA140" s="5">
        <v>1</v>
      </c>
      <c r="AB140" s="5">
        <v>2</v>
      </c>
      <c r="AC140" s="5">
        <v>3</v>
      </c>
      <c r="AD140" s="5">
        <v>4</v>
      </c>
      <c r="AE140" s="5">
        <v>5</v>
      </c>
      <c r="AF140" s="5">
        <v>6</v>
      </c>
      <c r="AG140" s="6">
        <v>7</v>
      </c>
      <c r="AI140" s="4"/>
      <c r="AJ140" s="5">
        <v>1</v>
      </c>
      <c r="AK140" s="5">
        <v>2</v>
      </c>
      <c r="AL140" s="5">
        <v>3</v>
      </c>
      <c r="AM140" s="5">
        <v>4</v>
      </c>
      <c r="AN140" s="5">
        <v>5</v>
      </c>
      <c r="AO140" s="5">
        <v>6</v>
      </c>
      <c r="AP140" s="6">
        <v>7</v>
      </c>
    </row>
    <row r="141" spans="3:42" x14ac:dyDescent="0.25">
      <c r="Z141" s="2"/>
      <c r="AA141" t="s">
        <v>32</v>
      </c>
      <c r="AB141" t="s">
        <v>34</v>
      </c>
      <c r="AC141" t="s">
        <v>35</v>
      </c>
      <c r="AD141" t="s">
        <v>36</v>
      </c>
      <c r="AE141" t="s">
        <v>37</v>
      </c>
      <c r="AF141" t="s">
        <v>38</v>
      </c>
      <c r="AG141" s="3" t="s">
        <v>39</v>
      </c>
      <c r="AI141" s="29" t="s">
        <v>55</v>
      </c>
      <c r="AJ141" t="s">
        <v>32</v>
      </c>
      <c r="AK141" t="s">
        <v>34</v>
      </c>
      <c r="AL141" t="s">
        <v>35</v>
      </c>
      <c r="AM141" t="s">
        <v>36</v>
      </c>
      <c r="AN141" t="s">
        <v>37</v>
      </c>
      <c r="AO141" t="s">
        <v>38</v>
      </c>
      <c r="AP141" s="3" t="s">
        <v>39</v>
      </c>
    </row>
    <row r="142" spans="3:42" x14ac:dyDescent="0.25">
      <c r="Y142">
        <v>14</v>
      </c>
      <c r="Z142" s="2" t="s">
        <v>50</v>
      </c>
      <c r="AA142" s="17">
        <f>H21</f>
        <v>0</v>
      </c>
      <c r="AB142" s="17">
        <f>AA142</f>
        <v>0</v>
      </c>
      <c r="AC142">
        <v>0</v>
      </c>
      <c r="AD142">
        <v>0</v>
      </c>
      <c r="AE142" s="17">
        <f>AA142</f>
        <v>0</v>
      </c>
      <c r="AF142">
        <v>0</v>
      </c>
      <c r="AG142" s="18">
        <f>AA142</f>
        <v>0</v>
      </c>
      <c r="AI142" s="2" t="s">
        <v>50</v>
      </c>
      <c r="AJ142" s="17">
        <f>K21</f>
        <v>0</v>
      </c>
      <c r="AK142" s="17">
        <f>AJ142</f>
        <v>0</v>
      </c>
      <c r="AL142">
        <v>0</v>
      </c>
      <c r="AM142">
        <v>0</v>
      </c>
      <c r="AN142" s="17">
        <f>AJ142+30</f>
        <v>30</v>
      </c>
      <c r="AO142">
        <v>0</v>
      </c>
      <c r="AP142" s="18">
        <f>AJ142-30</f>
        <v>-30</v>
      </c>
    </row>
    <row r="143" spans="3:42" x14ac:dyDescent="0.25">
      <c r="Z143" s="2" t="s">
        <v>51</v>
      </c>
      <c r="AA143" s="17">
        <f>AA142</f>
        <v>0</v>
      </c>
      <c r="AB143">
        <v>0</v>
      </c>
      <c r="AC143" s="17">
        <f>AA142</f>
        <v>0</v>
      </c>
      <c r="AD143">
        <v>0</v>
      </c>
      <c r="AE143" s="17">
        <f>AA142</f>
        <v>0</v>
      </c>
      <c r="AF143" s="17">
        <f>AA142</f>
        <v>0</v>
      </c>
      <c r="AG143" s="3">
        <v>0</v>
      </c>
      <c r="AI143" s="2" t="s">
        <v>51</v>
      </c>
      <c r="AJ143" s="17">
        <f>AJ142-120</f>
        <v>-120</v>
      </c>
      <c r="AK143">
        <v>0</v>
      </c>
      <c r="AL143" s="17">
        <f>AJ142-120</f>
        <v>-120</v>
      </c>
      <c r="AM143">
        <v>0</v>
      </c>
      <c r="AN143" s="17">
        <f>AJ142-150</f>
        <v>-150</v>
      </c>
      <c r="AO143" s="17">
        <f>AJ142-90</f>
        <v>-90</v>
      </c>
      <c r="AP143" s="3">
        <v>0</v>
      </c>
    </row>
    <row r="144" spans="3:42" x14ac:dyDescent="0.25">
      <c r="Z144" s="2" t="s">
        <v>52</v>
      </c>
      <c r="AA144" s="17">
        <f>AA142</f>
        <v>0</v>
      </c>
      <c r="AB144">
        <v>0</v>
      </c>
      <c r="AC144">
        <v>0</v>
      </c>
      <c r="AD144" s="17">
        <f>AA142</f>
        <v>0</v>
      </c>
      <c r="AE144">
        <v>0</v>
      </c>
      <c r="AF144" s="17">
        <f>AA142</f>
        <v>0</v>
      </c>
      <c r="AG144" s="18">
        <f>AA142</f>
        <v>0</v>
      </c>
      <c r="AI144" s="2" t="s">
        <v>52</v>
      </c>
      <c r="AJ144" s="17">
        <f>AJ142+120</f>
        <v>120</v>
      </c>
      <c r="AK144">
        <v>0</v>
      </c>
      <c r="AL144">
        <v>0</v>
      </c>
      <c r="AM144" s="17">
        <f>AJ142+120</f>
        <v>120</v>
      </c>
      <c r="AN144">
        <v>0</v>
      </c>
      <c r="AO144" s="17">
        <f>AJ142+90</f>
        <v>90</v>
      </c>
      <c r="AP144" s="18">
        <f>AJ142+150</f>
        <v>150</v>
      </c>
    </row>
    <row r="145" spans="25:42" x14ac:dyDescent="0.25">
      <c r="Z145" s="13" t="s">
        <v>42</v>
      </c>
      <c r="AA145" s="19">
        <v>0</v>
      </c>
      <c r="AB145" s="20">
        <f>AA142</f>
        <v>0</v>
      </c>
      <c r="AC145" s="20">
        <f>AA142</f>
        <v>0</v>
      </c>
      <c r="AD145" s="20">
        <f>AA142</f>
        <v>0</v>
      </c>
      <c r="AE145" s="19">
        <v>0</v>
      </c>
      <c r="AF145" s="19">
        <v>0</v>
      </c>
      <c r="AG145" s="14">
        <v>0</v>
      </c>
      <c r="AI145" s="13" t="s">
        <v>42</v>
      </c>
      <c r="AJ145" s="19">
        <v>0</v>
      </c>
      <c r="AK145" s="20">
        <f>AJ142+180</f>
        <v>180</v>
      </c>
      <c r="AL145" s="20">
        <f>AJ142+180-120</f>
        <v>60</v>
      </c>
      <c r="AM145" s="20">
        <f>AJ142-180+120</f>
        <v>-60</v>
      </c>
      <c r="AN145" s="19">
        <v>0</v>
      </c>
      <c r="AO145" s="19">
        <v>0</v>
      </c>
      <c r="AP145" s="14">
        <v>0</v>
      </c>
    </row>
    <row r="147" spans="25:42" x14ac:dyDescent="0.25">
      <c r="Z147" s="4"/>
      <c r="AA147" s="5">
        <v>1</v>
      </c>
      <c r="AB147" s="5">
        <v>2</v>
      </c>
      <c r="AC147" s="5">
        <v>3</v>
      </c>
      <c r="AD147" s="5">
        <v>4</v>
      </c>
      <c r="AE147" s="5">
        <v>5</v>
      </c>
      <c r="AF147" s="5">
        <v>6</v>
      </c>
      <c r="AG147" s="6">
        <v>7</v>
      </c>
      <c r="AI147" s="4"/>
      <c r="AJ147" s="5">
        <v>1</v>
      </c>
      <c r="AK147" s="5">
        <v>2</v>
      </c>
      <c r="AL147" s="5">
        <v>3</v>
      </c>
      <c r="AM147" s="5">
        <v>4</v>
      </c>
      <c r="AN147" s="5">
        <v>5</v>
      </c>
      <c r="AO147" s="5">
        <v>6</v>
      </c>
      <c r="AP147" s="6">
        <v>7</v>
      </c>
    </row>
    <row r="148" spans="25:42" x14ac:dyDescent="0.25">
      <c r="Z148" s="2"/>
      <c r="AA148" t="s">
        <v>32</v>
      </c>
      <c r="AB148" t="s">
        <v>34</v>
      </c>
      <c r="AC148" t="s">
        <v>35</v>
      </c>
      <c r="AD148" t="s">
        <v>36</v>
      </c>
      <c r="AE148" t="s">
        <v>37</v>
      </c>
      <c r="AF148" t="s">
        <v>38</v>
      </c>
      <c r="AG148" s="3" t="s">
        <v>39</v>
      </c>
      <c r="AI148" s="29" t="s">
        <v>55</v>
      </c>
      <c r="AJ148" t="s">
        <v>32</v>
      </c>
      <c r="AK148" t="s">
        <v>34</v>
      </c>
      <c r="AL148" t="s">
        <v>35</v>
      </c>
      <c r="AM148" t="s">
        <v>36</v>
      </c>
      <c r="AN148" t="s">
        <v>37</v>
      </c>
      <c r="AO148" t="s">
        <v>38</v>
      </c>
      <c r="AP148" s="3" t="s">
        <v>39</v>
      </c>
    </row>
    <row r="149" spans="25:42" x14ac:dyDescent="0.25">
      <c r="Z149" s="2" t="s">
        <v>50</v>
      </c>
      <c r="AA149" s="17">
        <f>H22</f>
        <v>0</v>
      </c>
      <c r="AB149" s="17">
        <f>AA149</f>
        <v>0</v>
      </c>
      <c r="AC149">
        <v>0</v>
      </c>
      <c r="AD149">
        <v>0</v>
      </c>
      <c r="AE149" s="17">
        <f>AA149</f>
        <v>0</v>
      </c>
      <c r="AF149">
        <v>0</v>
      </c>
      <c r="AG149" s="18">
        <f>AA149</f>
        <v>0</v>
      </c>
      <c r="AI149" s="2" t="s">
        <v>50</v>
      </c>
      <c r="AJ149" s="17">
        <f>K22</f>
        <v>0</v>
      </c>
      <c r="AK149" s="17">
        <f>AJ149</f>
        <v>0</v>
      </c>
      <c r="AL149">
        <v>0</v>
      </c>
      <c r="AM149">
        <v>0</v>
      </c>
      <c r="AN149" s="17">
        <f>AJ149+30</f>
        <v>30</v>
      </c>
      <c r="AO149">
        <v>0</v>
      </c>
      <c r="AP149" s="18">
        <f>AJ149-30</f>
        <v>-30</v>
      </c>
    </row>
    <row r="150" spans="25:42" x14ac:dyDescent="0.25">
      <c r="Y150">
        <v>15</v>
      </c>
      <c r="Z150" s="2" t="s">
        <v>51</v>
      </c>
      <c r="AA150" s="17">
        <f>AA149</f>
        <v>0</v>
      </c>
      <c r="AB150">
        <v>0</v>
      </c>
      <c r="AC150" s="17">
        <f>AA149</f>
        <v>0</v>
      </c>
      <c r="AD150">
        <v>0</v>
      </c>
      <c r="AE150" s="17">
        <f>AA149</f>
        <v>0</v>
      </c>
      <c r="AF150" s="17">
        <f>AA149</f>
        <v>0</v>
      </c>
      <c r="AG150" s="3">
        <v>0</v>
      </c>
      <c r="AI150" s="2" t="s">
        <v>51</v>
      </c>
      <c r="AJ150" s="17">
        <f>AJ149-120</f>
        <v>-120</v>
      </c>
      <c r="AK150">
        <v>0</v>
      </c>
      <c r="AL150" s="17">
        <f>AJ149-120</f>
        <v>-120</v>
      </c>
      <c r="AM150">
        <v>0</v>
      </c>
      <c r="AN150" s="17">
        <f>AJ149-150</f>
        <v>-150</v>
      </c>
      <c r="AO150" s="17">
        <f>AJ149-90</f>
        <v>-90</v>
      </c>
      <c r="AP150" s="3">
        <v>0</v>
      </c>
    </row>
    <row r="151" spans="25:42" x14ac:dyDescent="0.25">
      <c r="Z151" s="2" t="s">
        <v>52</v>
      </c>
      <c r="AA151" s="17">
        <f>AA149</f>
        <v>0</v>
      </c>
      <c r="AB151">
        <v>0</v>
      </c>
      <c r="AC151">
        <v>0</v>
      </c>
      <c r="AD151" s="17">
        <f>AA149</f>
        <v>0</v>
      </c>
      <c r="AE151">
        <v>0</v>
      </c>
      <c r="AF151" s="17">
        <f>AA149</f>
        <v>0</v>
      </c>
      <c r="AG151" s="18">
        <f>AA149</f>
        <v>0</v>
      </c>
      <c r="AI151" s="2" t="s">
        <v>52</v>
      </c>
      <c r="AJ151" s="17">
        <f>AJ149+120</f>
        <v>120</v>
      </c>
      <c r="AK151">
        <v>0</v>
      </c>
      <c r="AL151">
        <v>0</v>
      </c>
      <c r="AM151" s="17">
        <f>AJ149+120</f>
        <v>120</v>
      </c>
      <c r="AN151">
        <v>0</v>
      </c>
      <c r="AO151" s="17">
        <f>AJ149+90</f>
        <v>90</v>
      </c>
      <c r="AP151" s="18">
        <f>AJ149+150</f>
        <v>150</v>
      </c>
    </row>
    <row r="152" spans="25:42" x14ac:dyDescent="0.25">
      <c r="Z152" s="13" t="s">
        <v>42</v>
      </c>
      <c r="AA152" s="19">
        <v>0</v>
      </c>
      <c r="AB152" s="20">
        <f>AA149</f>
        <v>0</v>
      </c>
      <c r="AC152" s="20">
        <f>AA149</f>
        <v>0</v>
      </c>
      <c r="AD152" s="20">
        <f>AA149</f>
        <v>0</v>
      </c>
      <c r="AE152" s="19">
        <v>0</v>
      </c>
      <c r="AF152" s="19">
        <v>0</v>
      </c>
      <c r="AG152" s="14">
        <v>0</v>
      </c>
      <c r="AI152" s="13" t="s">
        <v>42</v>
      </c>
      <c r="AJ152" s="19">
        <v>0</v>
      </c>
      <c r="AK152" s="20">
        <f>AJ149+180</f>
        <v>180</v>
      </c>
      <c r="AL152" s="20">
        <f>AJ149+180-120</f>
        <v>60</v>
      </c>
      <c r="AM152" s="20">
        <f>AJ149-180+120</f>
        <v>-60</v>
      </c>
      <c r="AN152" s="19">
        <v>0</v>
      </c>
      <c r="AO152" s="19">
        <v>0</v>
      </c>
      <c r="AP152" s="14">
        <v>0</v>
      </c>
    </row>
    <row r="600" spans="5:5" x14ac:dyDescent="0.25">
      <c r="E600">
        <v>1</v>
      </c>
    </row>
  </sheetData>
  <conditionalFormatting sqref="M8">
    <cfRule type="expression" dxfId="89" priority="18">
      <formula>$L$51=2</formula>
    </cfRule>
  </conditionalFormatting>
  <conditionalFormatting sqref="M9">
    <cfRule type="expression" dxfId="88" priority="17">
      <formula>$L$55=2</formula>
    </cfRule>
  </conditionalFormatting>
  <conditionalFormatting sqref="M10">
    <cfRule type="expression" dxfId="87" priority="16">
      <formula>$L$59=2</formula>
    </cfRule>
  </conditionalFormatting>
  <conditionalFormatting sqref="M11">
    <cfRule type="expression" dxfId="86" priority="15">
      <formula>$L$63=2</formula>
    </cfRule>
  </conditionalFormatting>
  <conditionalFormatting sqref="M12">
    <cfRule type="expression" dxfId="85" priority="14">
      <formula>$L$67=2</formula>
    </cfRule>
  </conditionalFormatting>
  <conditionalFormatting sqref="M13">
    <cfRule type="expression" dxfId="84" priority="13">
      <formula>$L$71=2</formula>
    </cfRule>
  </conditionalFormatting>
  <conditionalFormatting sqref="M14">
    <cfRule type="expression" dxfId="83" priority="12">
      <formula>$L$75=2</formula>
    </cfRule>
  </conditionalFormatting>
  <conditionalFormatting sqref="M15">
    <cfRule type="expression" dxfId="82" priority="11">
      <formula>$L$79=2</formula>
    </cfRule>
  </conditionalFormatting>
  <conditionalFormatting sqref="M16">
    <cfRule type="expression" dxfId="81" priority="10">
      <formula>$L$83=2</formula>
    </cfRule>
  </conditionalFormatting>
  <conditionalFormatting sqref="M17">
    <cfRule type="expression" dxfId="80" priority="9">
      <formula>$L$87=2</formula>
    </cfRule>
  </conditionalFormatting>
  <conditionalFormatting sqref="M18">
    <cfRule type="expression" dxfId="79" priority="8">
      <formula>$L$91=2</formula>
    </cfRule>
  </conditionalFormatting>
  <conditionalFormatting sqref="M19">
    <cfRule type="expression" dxfId="78" priority="5">
      <formula>$L$95=2</formula>
    </cfRule>
  </conditionalFormatting>
  <conditionalFormatting sqref="M20">
    <cfRule type="expression" dxfId="77" priority="4">
      <formula>$L$99=2</formula>
    </cfRule>
  </conditionalFormatting>
  <conditionalFormatting sqref="M21">
    <cfRule type="expression" dxfId="76" priority="3">
      <formula>$L$103=2</formula>
    </cfRule>
  </conditionalFormatting>
  <conditionalFormatting sqref="M22">
    <cfRule type="expression" dxfId="75" priority="2">
      <formula>$L$107=2</formula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9" r:id="rId4" name="Drop Down 15">
              <controlPr locked="0" defaultSize="0" autoLine="0" autoPict="0">
                <anchor moveWithCells="1">
                  <from>
                    <xdr:col>4</xdr:col>
                    <xdr:colOff>9525</xdr:colOff>
                    <xdr:row>7</xdr:row>
                    <xdr:rowOff>9525</xdr:rowOff>
                  </from>
                  <to>
                    <xdr:col>5</xdr:col>
                    <xdr:colOff>9525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5" name="Drop Down 16">
              <controlPr locked="0" defaultSize="0" autoLine="0" autoPict="0">
                <anchor moveWithCells="1">
                  <from>
                    <xdr:col>4</xdr:col>
                    <xdr:colOff>9525</xdr:colOff>
                    <xdr:row>8</xdr:row>
                    <xdr:rowOff>9525</xdr:rowOff>
                  </from>
                  <to>
                    <xdr:col>5</xdr:col>
                    <xdr:colOff>9525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6" name="Drop Down 17">
              <controlPr locked="0" defaultSize="0" autoLine="0" autoPict="0">
                <anchor moveWithCells="1">
                  <from>
                    <xdr:col>4</xdr:col>
                    <xdr:colOff>9525</xdr:colOff>
                    <xdr:row>9</xdr:row>
                    <xdr:rowOff>9525</xdr:rowOff>
                  </from>
                  <to>
                    <xdr:col>5</xdr:col>
                    <xdr:colOff>9525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7" name="Drop Down 18">
              <controlPr locked="0" defaultSize="0" autoLine="0" autoPict="0">
                <anchor moveWithCells="1">
                  <from>
                    <xdr:col>4</xdr:col>
                    <xdr:colOff>9525</xdr:colOff>
                    <xdr:row>10</xdr:row>
                    <xdr:rowOff>9525</xdr:rowOff>
                  </from>
                  <to>
                    <xdr:col>5</xdr:col>
                    <xdr:colOff>9525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8" name="Drop Down 19">
              <controlPr locked="0" defaultSize="0" autoLine="0" autoPict="0">
                <anchor moveWithCells="1">
                  <from>
                    <xdr:col>4</xdr:col>
                    <xdr:colOff>9525</xdr:colOff>
                    <xdr:row>11</xdr:row>
                    <xdr:rowOff>9525</xdr:rowOff>
                  </from>
                  <to>
                    <xdr:col>5</xdr:col>
                    <xdr:colOff>9525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9" name="Drop Down 20">
              <controlPr locked="0" defaultSize="0" autoLine="0" autoPict="0">
                <anchor moveWithCells="1">
                  <from>
                    <xdr:col>4</xdr:col>
                    <xdr:colOff>9525</xdr:colOff>
                    <xdr:row>12</xdr:row>
                    <xdr:rowOff>9525</xdr:rowOff>
                  </from>
                  <to>
                    <xdr:col>5</xdr:col>
                    <xdr:colOff>9525</xdr:colOff>
                    <xdr:row>12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0" name="Drop Down 21">
              <controlPr locked="0" defaultSize="0" autoLine="0" autoPict="0">
                <anchor moveWithCells="1">
                  <from>
                    <xdr:col>4</xdr:col>
                    <xdr:colOff>9525</xdr:colOff>
                    <xdr:row>13</xdr:row>
                    <xdr:rowOff>9525</xdr:rowOff>
                  </from>
                  <to>
                    <xdr:col>5</xdr:col>
                    <xdr:colOff>9525</xdr:colOff>
                    <xdr:row>13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1" name="Drop Down 22">
              <controlPr locked="0" defaultSize="0" autoLine="0" autoPict="0">
                <anchor moveWithCells="1">
                  <from>
                    <xdr:col>4</xdr:col>
                    <xdr:colOff>9525</xdr:colOff>
                    <xdr:row>14</xdr:row>
                    <xdr:rowOff>9525</xdr:rowOff>
                  </from>
                  <to>
                    <xdr:col>5</xdr:col>
                    <xdr:colOff>9525</xdr:colOff>
                    <xdr:row>14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12" name="Drop Down 23">
              <controlPr locked="0" defaultSize="0" autoLine="0" autoPict="0">
                <anchor moveWithCells="1">
                  <from>
                    <xdr:col>4</xdr:col>
                    <xdr:colOff>9525</xdr:colOff>
                    <xdr:row>15</xdr:row>
                    <xdr:rowOff>9525</xdr:rowOff>
                  </from>
                  <to>
                    <xdr:col>5</xdr:col>
                    <xdr:colOff>9525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13" name="Drop Down 24">
              <controlPr locked="0" defaultSize="0" autoLine="0" autoPict="0">
                <anchor moveWithCells="1">
                  <from>
                    <xdr:col>4</xdr:col>
                    <xdr:colOff>9525</xdr:colOff>
                    <xdr:row>16</xdr:row>
                    <xdr:rowOff>9525</xdr:rowOff>
                  </from>
                  <to>
                    <xdr:col>5</xdr:col>
                    <xdr:colOff>9525</xdr:colOff>
                    <xdr:row>16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14" name="Drop Down 25">
              <controlPr locked="0" defaultSize="0" autoLine="0" autoPict="0">
                <anchor moveWithCells="1">
                  <from>
                    <xdr:col>4</xdr:col>
                    <xdr:colOff>9525</xdr:colOff>
                    <xdr:row>17</xdr:row>
                    <xdr:rowOff>9525</xdr:rowOff>
                  </from>
                  <to>
                    <xdr:col>5</xdr:col>
                    <xdr:colOff>9525</xdr:colOff>
                    <xdr:row>17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15" name="Drop Down 26">
              <controlPr locked="0" defaultSize="0" autoLine="0" autoPict="0">
                <anchor moveWithCells="1">
                  <from>
                    <xdr:col>4</xdr:col>
                    <xdr:colOff>9525</xdr:colOff>
                    <xdr:row>18</xdr:row>
                    <xdr:rowOff>9525</xdr:rowOff>
                  </from>
                  <to>
                    <xdr:col>5</xdr:col>
                    <xdr:colOff>9525</xdr:colOff>
                    <xdr:row>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16" name="Drop Down 27">
              <controlPr locked="0" defaultSize="0" autoLine="0" autoPict="0">
                <anchor moveWithCells="1">
                  <from>
                    <xdr:col>4</xdr:col>
                    <xdr:colOff>9525</xdr:colOff>
                    <xdr:row>19</xdr:row>
                    <xdr:rowOff>9525</xdr:rowOff>
                  </from>
                  <to>
                    <xdr:col>5</xdr:col>
                    <xdr:colOff>9525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17" name="Drop Down 28">
              <controlPr locked="0" defaultSize="0" autoLine="0" autoPict="0">
                <anchor moveWithCells="1">
                  <from>
                    <xdr:col>4</xdr:col>
                    <xdr:colOff>9525</xdr:colOff>
                    <xdr:row>20</xdr:row>
                    <xdr:rowOff>9525</xdr:rowOff>
                  </from>
                  <to>
                    <xdr:col>5</xdr:col>
                    <xdr:colOff>9525</xdr:colOff>
                    <xdr:row>20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18" name="Drop Down 29">
              <controlPr locked="0" defaultSize="0" autoLine="0" autoPict="0">
                <anchor moveWithCells="1">
                  <from>
                    <xdr:col>4</xdr:col>
                    <xdr:colOff>9525</xdr:colOff>
                    <xdr:row>21</xdr:row>
                    <xdr:rowOff>9525</xdr:rowOff>
                  </from>
                  <to>
                    <xdr:col>5</xdr:col>
                    <xdr:colOff>9525</xdr:colOff>
                    <xdr:row>21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19" name="Drop Down 30">
              <controlPr locked="0" defaultSize="0" autoLine="0" autoPict="0">
                <anchor moveWithCells="1">
                  <from>
                    <xdr:col>9</xdr:col>
                    <xdr:colOff>9525</xdr:colOff>
                    <xdr:row>7</xdr:row>
                    <xdr:rowOff>9525</xdr:rowOff>
                  </from>
                  <to>
                    <xdr:col>10</xdr:col>
                    <xdr:colOff>9525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20" name="Drop Down 31">
              <controlPr defaultSize="0" autoLine="0" autoPict="0">
                <anchor moveWithCells="1">
                  <from>
                    <xdr:col>9</xdr:col>
                    <xdr:colOff>9525</xdr:colOff>
                    <xdr:row>8</xdr:row>
                    <xdr:rowOff>9525</xdr:rowOff>
                  </from>
                  <to>
                    <xdr:col>10</xdr:col>
                    <xdr:colOff>9525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21" name="Drop Down 32">
              <controlPr defaultSize="0" autoLine="0" autoPict="0">
                <anchor moveWithCells="1">
                  <from>
                    <xdr:col>9</xdr:col>
                    <xdr:colOff>9525</xdr:colOff>
                    <xdr:row>9</xdr:row>
                    <xdr:rowOff>9525</xdr:rowOff>
                  </from>
                  <to>
                    <xdr:col>10</xdr:col>
                    <xdr:colOff>9525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22" name="Drop Down 33">
              <controlPr defaultSize="0" autoLine="0" autoPict="0">
                <anchor moveWithCells="1">
                  <from>
                    <xdr:col>9</xdr:col>
                    <xdr:colOff>9525</xdr:colOff>
                    <xdr:row>10</xdr:row>
                    <xdr:rowOff>9525</xdr:rowOff>
                  </from>
                  <to>
                    <xdr:col>10</xdr:col>
                    <xdr:colOff>9525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3" name="Drop Down 34">
              <controlPr defaultSize="0" autoLine="0" autoPict="0">
                <anchor moveWithCells="1">
                  <from>
                    <xdr:col>9</xdr:col>
                    <xdr:colOff>9525</xdr:colOff>
                    <xdr:row>11</xdr:row>
                    <xdr:rowOff>9525</xdr:rowOff>
                  </from>
                  <to>
                    <xdr:col>10</xdr:col>
                    <xdr:colOff>9525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4" name="Drop Down 35">
              <controlPr defaultSize="0" autoLine="0" autoPict="0">
                <anchor moveWithCells="1">
                  <from>
                    <xdr:col>9</xdr:col>
                    <xdr:colOff>9525</xdr:colOff>
                    <xdr:row>12</xdr:row>
                    <xdr:rowOff>9525</xdr:rowOff>
                  </from>
                  <to>
                    <xdr:col>10</xdr:col>
                    <xdr:colOff>9525</xdr:colOff>
                    <xdr:row>12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5" name="Drop Down 36">
              <controlPr defaultSize="0" autoLine="0" autoPict="0">
                <anchor moveWithCells="1">
                  <from>
                    <xdr:col>9</xdr:col>
                    <xdr:colOff>9525</xdr:colOff>
                    <xdr:row>13</xdr:row>
                    <xdr:rowOff>9525</xdr:rowOff>
                  </from>
                  <to>
                    <xdr:col>10</xdr:col>
                    <xdr:colOff>9525</xdr:colOff>
                    <xdr:row>13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6" name="Drop Down 37">
              <controlPr defaultSize="0" autoLine="0" autoPict="0">
                <anchor moveWithCells="1">
                  <from>
                    <xdr:col>9</xdr:col>
                    <xdr:colOff>9525</xdr:colOff>
                    <xdr:row>14</xdr:row>
                    <xdr:rowOff>9525</xdr:rowOff>
                  </from>
                  <to>
                    <xdr:col>10</xdr:col>
                    <xdr:colOff>9525</xdr:colOff>
                    <xdr:row>14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7" name="Drop Down 38">
              <controlPr defaultSize="0" autoLine="0" autoPict="0">
                <anchor moveWithCells="1">
                  <from>
                    <xdr:col>9</xdr:col>
                    <xdr:colOff>9525</xdr:colOff>
                    <xdr:row>15</xdr:row>
                    <xdr:rowOff>9525</xdr:rowOff>
                  </from>
                  <to>
                    <xdr:col>10</xdr:col>
                    <xdr:colOff>9525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8" name="Drop Down 39">
              <controlPr defaultSize="0" autoLine="0" autoPict="0">
                <anchor moveWithCells="1">
                  <from>
                    <xdr:col>9</xdr:col>
                    <xdr:colOff>9525</xdr:colOff>
                    <xdr:row>16</xdr:row>
                    <xdr:rowOff>9525</xdr:rowOff>
                  </from>
                  <to>
                    <xdr:col>10</xdr:col>
                    <xdr:colOff>9525</xdr:colOff>
                    <xdr:row>16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9" name="Drop Down 40">
              <controlPr defaultSize="0" autoLine="0" autoPict="0">
                <anchor moveWithCells="1">
                  <from>
                    <xdr:col>9</xdr:col>
                    <xdr:colOff>9525</xdr:colOff>
                    <xdr:row>17</xdr:row>
                    <xdr:rowOff>9525</xdr:rowOff>
                  </from>
                  <to>
                    <xdr:col>10</xdr:col>
                    <xdr:colOff>9525</xdr:colOff>
                    <xdr:row>17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30" name="Drop Down 41">
              <controlPr defaultSize="0" autoLine="0" autoPict="0">
                <anchor moveWithCells="1">
                  <from>
                    <xdr:col>9</xdr:col>
                    <xdr:colOff>9525</xdr:colOff>
                    <xdr:row>18</xdr:row>
                    <xdr:rowOff>9525</xdr:rowOff>
                  </from>
                  <to>
                    <xdr:col>10</xdr:col>
                    <xdr:colOff>9525</xdr:colOff>
                    <xdr:row>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31" name="Drop Down 42">
              <controlPr defaultSize="0" autoLine="0" autoPict="0">
                <anchor moveWithCells="1">
                  <from>
                    <xdr:col>9</xdr:col>
                    <xdr:colOff>9525</xdr:colOff>
                    <xdr:row>19</xdr:row>
                    <xdr:rowOff>9525</xdr:rowOff>
                  </from>
                  <to>
                    <xdr:col>10</xdr:col>
                    <xdr:colOff>9525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32" name="Drop Down 43">
              <controlPr defaultSize="0" autoLine="0" autoPict="0">
                <anchor moveWithCells="1">
                  <from>
                    <xdr:col>9</xdr:col>
                    <xdr:colOff>9525</xdr:colOff>
                    <xdr:row>20</xdr:row>
                    <xdr:rowOff>9525</xdr:rowOff>
                  </from>
                  <to>
                    <xdr:col>10</xdr:col>
                    <xdr:colOff>9525</xdr:colOff>
                    <xdr:row>20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33" name="Drop Down 44">
              <controlPr defaultSize="0" autoLine="0" autoPict="0">
                <anchor moveWithCells="1">
                  <from>
                    <xdr:col>9</xdr:col>
                    <xdr:colOff>9525</xdr:colOff>
                    <xdr:row>21</xdr:row>
                    <xdr:rowOff>9525</xdr:rowOff>
                  </from>
                  <to>
                    <xdr:col>10</xdr:col>
                    <xdr:colOff>9525</xdr:colOff>
                    <xdr:row>21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34" name="Drop Down 45">
              <controlPr locked="0" defaultSize="0" autoLine="0" autoPict="0">
                <anchor moveWithCells="1">
                  <from>
                    <xdr:col>9</xdr:col>
                    <xdr:colOff>9525</xdr:colOff>
                    <xdr:row>8</xdr:row>
                    <xdr:rowOff>9525</xdr:rowOff>
                  </from>
                  <to>
                    <xdr:col>10</xdr:col>
                    <xdr:colOff>9525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35" name="Drop Down 46">
              <controlPr locked="0" defaultSize="0" autoLine="0" autoPict="0">
                <anchor moveWithCells="1">
                  <from>
                    <xdr:col>9</xdr:col>
                    <xdr:colOff>9525</xdr:colOff>
                    <xdr:row>9</xdr:row>
                    <xdr:rowOff>9525</xdr:rowOff>
                  </from>
                  <to>
                    <xdr:col>10</xdr:col>
                    <xdr:colOff>9525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36" name="Drop Down 47">
              <controlPr locked="0" defaultSize="0" autoLine="0" autoPict="0">
                <anchor moveWithCells="1">
                  <from>
                    <xdr:col>9</xdr:col>
                    <xdr:colOff>9525</xdr:colOff>
                    <xdr:row>10</xdr:row>
                    <xdr:rowOff>9525</xdr:rowOff>
                  </from>
                  <to>
                    <xdr:col>10</xdr:col>
                    <xdr:colOff>9525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37" name="Drop Down 48">
              <controlPr locked="0" defaultSize="0" autoLine="0" autoPict="0">
                <anchor moveWithCells="1">
                  <from>
                    <xdr:col>9</xdr:col>
                    <xdr:colOff>9525</xdr:colOff>
                    <xdr:row>11</xdr:row>
                    <xdr:rowOff>9525</xdr:rowOff>
                  </from>
                  <to>
                    <xdr:col>10</xdr:col>
                    <xdr:colOff>9525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38" name="Drop Down 49">
              <controlPr locked="0" defaultSize="0" autoLine="0" autoPict="0">
                <anchor moveWithCells="1">
                  <from>
                    <xdr:col>9</xdr:col>
                    <xdr:colOff>9525</xdr:colOff>
                    <xdr:row>12</xdr:row>
                    <xdr:rowOff>9525</xdr:rowOff>
                  </from>
                  <to>
                    <xdr:col>10</xdr:col>
                    <xdr:colOff>9525</xdr:colOff>
                    <xdr:row>12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39" name="Drop Down 50">
              <controlPr locked="0" defaultSize="0" autoLine="0" autoPict="0">
                <anchor moveWithCells="1">
                  <from>
                    <xdr:col>9</xdr:col>
                    <xdr:colOff>9525</xdr:colOff>
                    <xdr:row>13</xdr:row>
                    <xdr:rowOff>9525</xdr:rowOff>
                  </from>
                  <to>
                    <xdr:col>10</xdr:col>
                    <xdr:colOff>9525</xdr:colOff>
                    <xdr:row>13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40" name="Drop Down 51">
              <controlPr locked="0" defaultSize="0" autoLine="0" autoPict="0">
                <anchor moveWithCells="1">
                  <from>
                    <xdr:col>9</xdr:col>
                    <xdr:colOff>9525</xdr:colOff>
                    <xdr:row>14</xdr:row>
                    <xdr:rowOff>9525</xdr:rowOff>
                  </from>
                  <to>
                    <xdr:col>10</xdr:col>
                    <xdr:colOff>9525</xdr:colOff>
                    <xdr:row>14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41" name="Drop Down 52">
              <controlPr locked="0" defaultSize="0" autoLine="0" autoPict="0">
                <anchor moveWithCells="1">
                  <from>
                    <xdr:col>9</xdr:col>
                    <xdr:colOff>9525</xdr:colOff>
                    <xdr:row>15</xdr:row>
                    <xdr:rowOff>9525</xdr:rowOff>
                  </from>
                  <to>
                    <xdr:col>10</xdr:col>
                    <xdr:colOff>9525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42" name="Drop Down 53">
              <controlPr locked="0" defaultSize="0" autoLine="0" autoPict="0">
                <anchor moveWithCells="1">
                  <from>
                    <xdr:col>9</xdr:col>
                    <xdr:colOff>9525</xdr:colOff>
                    <xdr:row>16</xdr:row>
                    <xdr:rowOff>9525</xdr:rowOff>
                  </from>
                  <to>
                    <xdr:col>10</xdr:col>
                    <xdr:colOff>9525</xdr:colOff>
                    <xdr:row>16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43" name="Drop Down 54">
              <controlPr locked="0" defaultSize="0" autoLine="0" autoPict="0">
                <anchor moveWithCells="1">
                  <from>
                    <xdr:col>9</xdr:col>
                    <xdr:colOff>9525</xdr:colOff>
                    <xdr:row>17</xdr:row>
                    <xdr:rowOff>9525</xdr:rowOff>
                  </from>
                  <to>
                    <xdr:col>10</xdr:col>
                    <xdr:colOff>9525</xdr:colOff>
                    <xdr:row>17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44" name="Drop Down 55">
              <controlPr locked="0" defaultSize="0" autoLine="0" autoPict="0">
                <anchor moveWithCells="1">
                  <from>
                    <xdr:col>9</xdr:col>
                    <xdr:colOff>9525</xdr:colOff>
                    <xdr:row>18</xdr:row>
                    <xdr:rowOff>9525</xdr:rowOff>
                  </from>
                  <to>
                    <xdr:col>10</xdr:col>
                    <xdr:colOff>9525</xdr:colOff>
                    <xdr:row>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45" name="Drop Down 56">
              <controlPr locked="0" defaultSize="0" autoLine="0" autoPict="0">
                <anchor moveWithCells="1">
                  <from>
                    <xdr:col>9</xdr:col>
                    <xdr:colOff>9525</xdr:colOff>
                    <xdr:row>19</xdr:row>
                    <xdr:rowOff>9525</xdr:rowOff>
                  </from>
                  <to>
                    <xdr:col>10</xdr:col>
                    <xdr:colOff>9525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46" name="Drop Down 57">
              <controlPr locked="0" defaultSize="0" autoLine="0" autoPict="0">
                <anchor moveWithCells="1">
                  <from>
                    <xdr:col>9</xdr:col>
                    <xdr:colOff>9525</xdr:colOff>
                    <xdr:row>20</xdr:row>
                    <xdr:rowOff>9525</xdr:rowOff>
                  </from>
                  <to>
                    <xdr:col>10</xdr:col>
                    <xdr:colOff>9525</xdr:colOff>
                    <xdr:row>20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47" name="Drop Down 58">
              <controlPr locked="0" defaultSize="0" autoLine="0" autoPict="0">
                <anchor moveWithCells="1">
                  <from>
                    <xdr:col>9</xdr:col>
                    <xdr:colOff>9525</xdr:colOff>
                    <xdr:row>21</xdr:row>
                    <xdr:rowOff>9525</xdr:rowOff>
                  </from>
                  <to>
                    <xdr:col>10</xdr:col>
                    <xdr:colOff>9525</xdr:colOff>
                    <xdr:row>21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48" name="Drop Down 59">
              <controlPr locked="0" defaultSize="0" autoLine="0" autoPict="0">
                <anchor moveWithCells="1">
                  <from>
                    <xdr:col>11</xdr:col>
                    <xdr:colOff>9525</xdr:colOff>
                    <xdr:row>7</xdr:row>
                    <xdr:rowOff>9525</xdr:rowOff>
                  </from>
                  <to>
                    <xdr:col>11</xdr:col>
                    <xdr:colOff>714375</xdr:colOff>
                    <xdr:row>7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49" name="Drop Down 60">
              <controlPr locked="0" defaultSize="0" autoLine="0" autoPict="0">
                <anchor moveWithCells="1">
                  <from>
                    <xdr:col>11</xdr:col>
                    <xdr:colOff>9525</xdr:colOff>
                    <xdr:row>8</xdr:row>
                    <xdr:rowOff>9525</xdr:rowOff>
                  </from>
                  <to>
                    <xdr:col>11</xdr:col>
                    <xdr:colOff>714375</xdr:colOff>
                    <xdr:row>8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50" name="Drop Down 61">
              <controlPr locked="0" defaultSize="0" autoLine="0" autoPict="0">
                <anchor moveWithCells="1">
                  <from>
                    <xdr:col>11</xdr:col>
                    <xdr:colOff>9525</xdr:colOff>
                    <xdr:row>9</xdr:row>
                    <xdr:rowOff>9525</xdr:rowOff>
                  </from>
                  <to>
                    <xdr:col>11</xdr:col>
                    <xdr:colOff>714375</xdr:colOff>
                    <xdr:row>9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51" name="Drop Down 62">
              <controlPr locked="0" defaultSize="0" autoLine="0" autoPict="0">
                <anchor moveWithCells="1">
                  <from>
                    <xdr:col>11</xdr:col>
                    <xdr:colOff>9525</xdr:colOff>
                    <xdr:row>10</xdr:row>
                    <xdr:rowOff>9525</xdr:rowOff>
                  </from>
                  <to>
                    <xdr:col>11</xdr:col>
                    <xdr:colOff>714375</xdr:colOff>
                    <xdr:row>10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52" name="Drop Down 63">
              <controlPr locked="0" defaultSize="0" autoLine="0" autoPict="0">
                <anchor moveWithCells="1">
                  <from>
                    <xdr:col>11</xdr:col>
                    <xdr:colOff>9525</xdr:colOff>
                    <xdr:row>11</xdr:row>
                    <xdr:rowOff>9525</xdr:rowOff>
                  </from>
                  <to>
                    <xdr:col>11</xdr:col>
                    <xdr:colOff>714375</xdr:colOff>
                    <xdr:row>11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53" name="Drop Down 64">
              <controlPr locked="0" defaultSize="0" autoLine="0" autoPict="0">
                <anchor moveWithCells="1">
                  <from>
                    <xdr:col>11</xdr:col>
                    <xdr:colOff>9525</xdr:colOff>
                    <xdr:row>12</xdr:row>
                    <xdr:rowOff>9525</xdr:rowOff>
                  </from>
                  <to>
                    <xdr:col>11</xdr:col>
                    <xdr:colOff>714375</xdr:colOff>
                    <xdr:row>12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54" name="Drop Down 65">
              <controlPr locked="0" defaultSize="0" autoLine="0" autoPict="0">
                <anchor moveWithCells="1">
                  <from>
                    <xdr:col>11</xdr:col>
                    <xdr:colOff>9525</xdr:colOff>
                    <xdr:row>13</xdr:row>
                    <xdr:rowOff>9525</xdr:rowOff>
                  </from>
                  <to>
                    <xdr:col>11</xdr:col>
                    <xdr:colOff>714375</xdr:colOff>
                    <xdr:row>13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55" name="Drop Down 66">
              <controlPr locked="0" defaultSize="0" autoLine="0" autoPict="0">
                <anchor moveWithCells="1">
                  <from>
                    <xdr:col>11</xdr:col>
                    <xdr:colOff>9525</xdr:colOff>
                    <xdr:row>14</xdr:row>
                    <xdr:rowOff>9525</xdr:rowOff>
                  </from>
                  <to>
                    <xdr:col>11</xdr:col>
                    <xdr:colOff>714375</xdr:colOff>
                    <xdr:row>14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56" name="Drop Down 67">
              <controlPr locked="0" defaultSize="0" autoLine="0" autoPict="0">
                <anchor moveWithCells="1">
                  <from>
                    <xdr:col>11</xdr:col>
                    <xdr:colOff>9525</xdr:colOff>
                    <xdr:row>15</xdr:row>
                    <xdr:rowOff>9525</xdr:rowOff>
                  </from>
                  <to>
                    <xdr:col>11</xdr:col>
                    <xdr:colOff>714375</xdr:colOff>
                    <xdr:row>15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57" name="Drop Down 68">
              <controlPr locked="0" defaultSize="0" autoLine="0" autoPict="0">
                <anchor moveWithCells="1">
                  <from>
                    <xdr:col>11</xdr:col>
                    <xdr:colOff>9525</xdr:colOff>
                    <xdr:row>16</xdr:row>
                    <xdr:rowOff>9525</xdr:rowOff>
                  </from>
                  <to>
                    <xdr:col>11</xdr:col>
                    <xdr:colOff>714375</xdr:colOff>
                    <xdr:row>16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58" name="Drop Down 69">
              <controlPr locked="0" defaultSize="0" autoLine="0" autoPict="0">
                <anchor moveWithCells="1">
                  <from>
                    <xdr:col>11</xdr:col>
                    <xdr:colOff>9525</xdr:colOff>
                    <xdr:row>17</xdr:row>
                    <xdr:rowOff>9525</xdr:rowOff>
                  </from>
                  <to>
                    <xdr:col>11</xdr:col>
                    <xdr:colOff>714375</xdr:colOff>
                    <xdr:row>17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59" name="Drop Down 70">
              <controlPr locked="0" defaultSize="0" autoLine="0" autoPict="0">
                <anchor moveWithCells="1">
                  <from>
                    <xdr:col>11</xdr:col>
                    <xdr:colOff>9525</xdr:colOff>
                    <xdr:row>18</xdr:row>
                    <xdr:rowOff>9525</xdr:rowOff>
                  </from>
                  <to>
                    <xdr:col>11</xdr:col>
                    <xdr:colOff>714375</xdr:colOff>
                    <xdr:row>18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60" name="Drop Down 71">
              <controlPr locked="0" defaultSize="0" autoLine="0" autoPict="0">
                <anchor moveWithCells="1">
                  <from>
                    <xdr:col>11</xdr:col>
                    <xdr:colOff>9525</xdr:colOff>
                    <xdr:row>19</xdr:row>
                    <xdr:rowOff>9525</xdr:rowOff>
                  </from>
                  <to>
                    <xdr:col>11</xdr:col>
                    <xdr:colOff>714375</xdr:colOff>
                    <xdr:row>19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61" name="Drop Down 72">
              <controlPr locked="0" defaultSize="0" autoLine="0" autoPict="0">
                <anchor moveWithCells="1">
                  <from>
                    <xdr:col>11</xdr:col>
                    <xdr:colOff>9525</xdr:colOff>
                    <xdr:row>20</xdr:row>
                    <xdr:rowOff>9525</xdr:rowOff>
                  </from>
                  <to>
                    <xdr:col>11</xdr:col>
                    <xdr:colOff>714375</xdr:colOff>
                    <xdr:row>20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62" name="Drop Down 73">
              <controlPr locked="0" defaultSize="0" autoLine="0" autoPict="0">
                <anchor moveWithCells="1">
                  <from>
                    <xdr:col>11</xdr:col>
                    <xdr:colOff>9525</xdr:colOff>
                    <xdr:row>21</xdr:row>
                    <xdr:rowOff>9525</xdr:rowOff>
                  </from>
                  <to>
                    <xdr:col>11</xdr:col>
                    <xdr:colOff>714375</xdr:colOff>
                    <xdr:row>21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63" name="Drop Down 89">
              <controlPr locked="0" defaultSize="0" autoLine="0" autoPict="0">
                <anchor moveWithCells="1">
                  <from>
                    <xdr:col>9</xdr:col>
                    <xdr:colOff>9525</xdr:colOff>
                    <xdr:row>8</xdr:row>
                    <xdr:rowOff>9525</xdr:rowOff>
                  </from>
                  <to>
                    <xdr:col>10</xdr:col>
                    <xdr:colOff>9525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64" name="Drop Down 90">
              <controlPr locked="0" defaultSize="0" autoLine="0" autoPict="0">
                <anchor moveWithCells="1">
                  <from>
                    <xdr:col>9</xdr:col>
                    <xdr:colOff>9525</xdr:colOff>
                    <xdr:row>9</xdr:row>
                    <xdr:rowOff>9525</xdr:rowOff>
                  </from>
                  <to>
                    <xdr:col>10</xdr:col>
                    <xdr:colOff>9525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65" name="Drop Down 91">
              <controlPr locked="0" defaultSize="0" autoLine="0" autoPict="0">
                <anchor moveWithCells="1">
                  <from>
                    <xdr:col>9</xdr:col>
                    <xdr:colOff>9525</xdr:colOff>
                    <xdr:row>10</xdr:row>
                    <xdr:rowOff>9525</xdr:rowOff>
                  </from>
                  <to>
                    <xdr:col>10</xdr:col>
                    <xdr:colOff>9525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66" name="Drop Down 92">
              <controlPr locked="0" defaultSize="0" autoLine="0" autoPict="0">
                <anchor moveWithCells="1">
                  <from>
                    <xdr:col>9</xdr:col>
                    <xdr:colOff>9525</xdr:colOff>
                    <xdr:row>11</xdr:row>
                    <xdr:rowOff>9525</xdr:rowOff>
                  </from>
                  <to>
                    <xdr:col>10</xdr:col>
                    <xdr:colOff>9525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67" name="Drop Down 93">
              <controlPr locked="0" defaultSize="0" autoLine="0" autoPict="0">
                <anchor moveWithCells="1">
                  <from>
                    <xdr:col>9</xdr:col>
                    <xdr:colOff>9525</xdr:colOff>
                    <xdr:row>12</xdr:row>
                    <xdr:rowOff>9525</xdr:rowOff>
                  </from>
                  <to>
                    <xdr:col>10</xdr:col>
                    <xdr:colOff>9525</xdr:colOff>
                    <xdr:row>12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68" name="Drop Down 94">
              <controlPr locked="0" defaultSize="0" autoLine="0" autoPict="0">
                <anchor moveWithCells="1">
                  <from>
                    <xdr:col>9</xdr:col>
                    <xdr:colOff>9525</xdr:colOff>
                    <xdr:row>13</xdr:row>
                    <xdr:rowOff>9525</xdr:rowOff>
                  </from>
                  <to>
                    <xdr:col>10</xdr:col>
                    <xdr:colOff>9525</xdr:colOff>
                    <xdr:row>13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69" name="Drop Down 95">
              <controlPr locked="0" defaultSize="0" autoLine="0" autoPict="0">
                <anchor moveWithCells="1">
                  <from>
                    <xdr:col>9</xdr:col>
                    <xdr:colOff>9525</xdr:colOff>
                    <xdr:row>14</xdr:row>
                    <xdr:rowOff>9525</xdr:rowOff>
                  </from>
                  <to>
                    <xdr:col>10</xdr:col>
                    <xdr:colOff>9525</xdr:colOff>
                    <xdr:row>14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70" name="Drop Down 96">
              <controlPr locked="0" defaultSize="0" autoLine="0" autoPict="0">
                <anchor moveWithCells="1">
                  <from>
                    <xdr:col>9</xdr:col>
                    <xdr:colOff>9525</xdr:colOff>
                    <xdr:row>15</xdr:row>
                    <xdr:rowOff>9525</xdr:rowOff>
                  </from>
                  <to>
                    <xdr:col>10</xdr:col>
                    <xdr:colOff>9525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71" name="Drop Down 97">
              <controlPr locked="0" defaultSize="0" autoLine="0" autoPict="0">
                <anchor moveWithCells="1">
                  <from>
                    <xdr:col>9</xdr:col>
                    <xdr:colOff>9525</xdr:colOff>
                    <xdr:row>16</xdr:row>
                    <xdr:rowOff>9525</xdr:rowOff>
                  </from>
                  <to>
                    <xdr:col>10</xdr:col>
                    <xdr:colOff>9525</xdr:colOff>
                    <xdr:row>16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72" name="Drop Down 98">
              <controlPr locked="0" defaultSize="0" autoLine="0" autoPict="0">
                <anchor moveWithCells="1">
                  <from>
                    <xdr:col>9</xdr:col>
                    <xdr:colOff>9525</xdr:colOff>
                    <xdr:row>17</xdr:row>
                    <xdr:rowOff>9525</xdr:rowOff>
                  </from>
                  <to>
                    <xdr:col>10</xdr:col>
                    <xdr:colOff>9525</xdr:colOff>
                    <xdr:row>17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73" name="Drop Down 99">
              <controlPr locked="0" defaultSize="0" autoLine="0" autoPict="0">
                <anchor moveWithCells="1">
                  <from>
                    <xdr:col>9</xdr:col>
                    <xdr:colOff>9525</xdr:colOff>
                    <xdr:row>18</xdr:row>
                    <xdr:rowOff>9525</xdr:rowOff>
                  </from>
                  <to>
                    <xdr:col>10</xdr:col>
                    <xdr:colOff>9525</xdr:colOff>
                    <xdr:row>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74" name="Drop Down 100">
              <controlPr locked="0" defaultSize="0" autoLine="0" autoPict="0">
                <anchor moveWithCells="1">
                  <from>
                    <xdr:col>9</xdr:col>
                    <xdr:colOff>9525</xdr:colOff>
                    <xdr:row>19</xdr:row>
                    <xdr:rowOff>9525</xdr:rowOff>
                  </from>
                  <to>
                    <xdr:col>10</xdr:col>
                    <xdr:colOff>9525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75" name="Drop Down 101">
              <controlPr locked="0" defaultSize="0" autoLine="0" autoPict="0">
                <anchor moveWithCells="1">
                  <from>
                    <xdr:col>9</xdr:col>
                    <xdr:colOff>9525</xdr:colOff>
                    <xdr:row>20</xdr:row>
                    <xdr:rowOff>9525</xdr:rowOff>
                  </from>
                  <to>
                    <xdr:col>10</xdr:col>
                    <xdr:colOff>9525</xdr:colOff>
                    <xdr:row>20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76" name="Drop Down 102">
              <controlPr locked="0" defaultSize="0" autoLine="0" autoPict="0">
                <anchor moveWithCells="1">
                  <from>
                    <xdr:col>9</xdr:col>
                    <xdr:colOff>9525</xdr:colOff>
                    <xdr:row>21</xdr:row>
                    <xdr:rowOff>9525</xdr:rowOff>
                  </from>
                  <to>
                    <xdr:col>10</xdr:col>
                    <xdr:colOff>9525</xdr:colOff>
                    <xdr:row>21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600"/>
  <sheetViews>
    <sheetView workbookViewId="0">
      <selection activeCell="H3" sqref="H3"/>
    </sheetView>
  </sheetViews>
  <sheetFormatPr defaultRowHeight="15" x14ac:dyDescent="0.25"/>
  <cols>
    <col min="1" max="1" width="2.28515625" customWidth="1"/>
    <col min="2" max="2" width="1.5703125" customWidth="1"/>
    <col min="3" max="3" width="9.140625" customWidth="1"/>
    <col min="5" max="6" width="9.140625" customWidth="1"/>
    <col min="11" max="11" width="11.85546875" customWidth="1"/>
    <col min="12" max="12" width="10.85546875" customWidth="1"/>
    <col min="13" max="13" width="2.7109375" customWidth="1"/>
    <col min="14" max="14" width="16" customWidth="1"/>
    <col min="15" max="15" width="8.140625" customWidth="1"/>
    <col min="16" max="16" width="2.5703125" customWidth="1"/>
    <col min="17" max="17" width="6.28515625" customWidth="1"/>
    <col min="18" max="18" width="8.140625" customWidth="1"/>
    <col min="19" max="19" width="2.7109375" customWidth="1"/>
    <col min="20" max="20" width="6.85546875" customWidth="1"/>
    <col min="21" max="21" width="8" customWidth="1"/>
    <col min="22" max="22" width="2.7109375" customWidth="1"/>
    <col min="23" max="23" width="6.7109375" customWidth="1"/>
    <col min="24" max="24" width="7.7109375" customWidth="1"/>
    <col min="25" max="25" width="2.7109375" customWidth="1"/>
    <col min="26" max="26" width="7.140625" customWidth="1"/>
  </cols>
  <sheetData>
    <row r="1" spans="1:2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7" ht="31.5" x14ac:dyDescent="0.5">
      <c r="A2" s="1"/>
      <c r="B2" s="1"/>
      <c r="C2" s="42" t="s">
        <v>64</v>
      </c>
      <c r="D2" s="1"/>
      <c r="E2" s="1"/>
      <c r="F2" s="1"/>
      <c r="G2" s="1"/>
      <c r="H2" s="42">
        <v>12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 t="s">
        <v>58</v>
      </c>
      <c r="Q3" s="26">
        <v>1</v>
      </c>
      <c r="R3" s="1"/>
      <c r="S3" s="1" t="s">
        <v>57</v>
      </c>
      <c r="T3" s="26">
        <v>1</v>
      </c>
      <c r="U3" s="1"/>
      <c r="V3" s="1"/>
      <c r="W3" s="1"/>
      <c r="X3" s="1"/>
      <c r="Y3" s="1"/>
      <c r="Z3" s="1"/>
    </row>
    <row r="4" spans="1:27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53" t="s">
        <v>76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7" ht="18" x14ac:dyDescent="0.35">
      <c r="A5" s="1"/>
      <c r="B5" s="1"/>
      <c r="C5" s="1" t="s">
        <v>33</v>
      </c>
      <c r="D5" s="26">
        <v>400</v>
      </c>
      <c r="E5" s="27" t="s">
        <v>66</v>
      </c>
      <c r="F5" s="1" t="s">
        <v>65</v>
      </c>
      <c r="G5" s="1"/>
      <c r="H5" s="1"/>
      <c r="I5" s="26">
        <v>0</v>
      </c>
      <c r="J5" s="27" t="s">
        <v>62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7" ht="17.25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45" t="s">
        <v>96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44"/>
    </row>
    <row r="7" spans="1:27" ht="18" x14ac:dyDescent="0.35">
      <c r="A7" s="1"/>
      <c r="B7" s="1"/>
      <c r="C7" s="1"/>
      <c r="D7" s="1"/>
      <c r="E7" s="1"/>
      <c r="F7" s="1" t="s">
        <v>19</v>
      </c>
      <c r="G7" s="1"/>
      <c r="H7" s="1" t="s">
        <v>40</v>
      </c>
      <c r="I7" s="1" t="s">
        <v>20</v>
      </c>
      <c r="J7" s="1" t="s">
        <v>21</v>
      </c>
      <c r="K7" s="28" t="s">
        <v>54</v>
      </c>
      <c r="L7" s="1" t="s">
        <v>89</v>
      </c>
      <c r="M7" s="1"/>
      <c r="N7" s="34" t="s">
        <v>41</v>
      </c>
      <c r="O7" s="34"/>
      <c r="P7" s="35" t="s">
        <v>44</v>
      </c>
      <c r="Q7" s="36"/>
      <c r="R7" s="34"/>
      <c r="S7" s="35" t="s">
        <v>45</v>
      </c>
      <c r="T7" s="36"/>
      <c r="U7" s="34"/>
      <c r="V7" s="35" t="s">
        <v>46</v>
      </c>
      <c r="W7" s="36"/>
      <c r="X7" s="34"/>
      <c r="Y7" s="35" t="s">
        <v>47</v>
      </c>
      <c r="Z7" s="43"/>
      <c r="AA7" s="2"/>
    </row>
    <row r="8" spans="1:27" x14ac:dyDescent="0.25">
      <c r="A8" s="1"/>
      <c r="B8" s="1"/>
      <c r="C8" s="26" t="s">
        <v>0</v>
      </c>
      <c r="F8" s="26">
        <v>0</v>
      </c>
      <c r="G8" s="54" t="str">
        <f>VLOOKUP(E51,B44:D46,3)</f>
        <v>[kW]</v>
      </c>
      <c r="H8" s="41">
        <f>VLOOKUP(E51,M50:U53,J51+2)</f>
        <v>0</v>
      </c>
      <c r="I8" s="26">
        <v>1</v>
      </c>
      <c r="K8" s="41">
        <f>IF(L51=1,-DEGREES(ACOS(I8)),DEGREES(ACOS(I8)))</f>
        <v>0</v>
      </c>
      <c r="L8" s="1"/>
      <c r="M8" s="1"/>
      <c r="N8" s="2" t="str">
        <f>C8</f>
        <v>Belastning 1</v>
      </c>
      <c r="O8" s="31">
        <f>HLOOKUP($J$51,$AA$49:$AG$54,3)</f>
        <v>0</v>
      </c>
      <c r="P8" s="46" t="s">
        <v>43</v>
      </c>
      <c r="Q8" s="32">
        <f>HLOOKUP($J$51,$AJ$49:$AP$54,3)</f>
        <v>0</v>
      </c>
      <c r="R8" s="31">
        <f>HLOOKUP($J$51,$AA$49:$AG$54,4)</f>
        <v>0</v>
      </c>
      <c r="S8" s="46" t="s">
        <v>43</v>
      </c>
      <c r="T8" s="32">
        <f>HLOOKUP($J$51,$AJ$49:$AP$54,4)</f>
        <v>-120</v>
      </c>
      <c r="U8" s="31">
        <f>HLOOKUP($J$51,$AA$49:$AG$54,5)</f>
        <v>0</v>
      </c>
      <c r="V8" s="46" t="s">
        <v>43</v>
      </c>
      <c r="W8" s="32">
        <f>HLOOKUP($J$51,$AJ$49:$AP$54,5)</f>
        <v>120</v>
      </c>
      <c r="X8" s="31">
        <f>HLOOKUP($J$51,$AA$49:$AG$54,6)</f>
        <v>0</v>
      </c>
      <c r="Y8" s="46" t="s">
        <v>43</v>
      </c>
      <c r="Z8" s="33">
        <f>HLOOKUP($J$51,$AJ$49:$AP$54,6)</f>
        <v>0</v>
      </c>
      <c r="AA8" s="2"/>
    </row>
    <row r="9" spans="1:27" x14ac:dyDescent="0.25">
      <c r="A9" s="1"/>
      <c r="B9" s="1"/>
      <c r="C9" s="26" t="s">
        <v>1</v>
      </c>
      <c r="F9" s="26">
        <v>0</v>
      </c>
      <c r="G9" s="54" t="str">
        <f>VLOOKUP(E55,B44:D46,3)</f>
        <v>[kW]</v>
      </c>
      <c r="H9" s="41">
        <f>VLOOKUP(E55,M55:U57,J55+2)</f>
        <v>0</v>
      </c>
      <c r="I9" s="26">
        <v>1</v>
      </c>
      <c r="K9" s="41">
        <f>IF(L55=1,-DEGREES(ACOS(I9)),DEGREES(ACOS(I9)))</f>
        <v>0</v>
      </c>
      <c r="L9" s="1" t="s">
        <v>92</v>
      </c>
      <c r="M9" s="1"/>
      <c r="N9" s="2" t="str">
        <f t="shared" ref="N9:N22" si="0">C9</f>
        <v>Belastning 2</v>
      </c>
      <c r="O9" s="31">
        <f>HLOOKUP($J$55,$AA$56:$AG$61,3)</f>
        <v>0</v>
      </c>
      <c r="P9" s="46" t="s">
        <v>43</v>
      </c>
      <c r="Q9" s="32">
        <f>HLOOKUP($J$55,$AJ$56:$AP$61,3)</f>
        <v>0</v>
      </c>
      <c r="R9" s="31">
        <f>HLOOKUP($J$55,$AA$56:$AG$61,4)</f>
        <v>0</v>
      </c>
      <c r="S9" s="46" t="s">
        <v>43</v>
      </c>
      <c r="T9" s="32">
        <f>HLOOKUP($J$55,$AJ$56:$AP$61,4)</f>
        <v>-120</v>
      </c>
      <c r="U9" s="31">
        <f>HLOOKUP($J$55,$AA$56:$AG$61,5)</f>
        <v>0</v>
      </c>
      <c r="V9" s="46" t="s">
        <v>43</v>
      </c>
      <c r="W9" s="32">
        <f>HLOOKUP($J$55,$AJ$56:$AP$61,5)</f>
        <v>120</v>
      </c>
      <c r="X9" s="31">
        <f>HLOOKUP($J$55,$AA$56:$AG$61,6)</f>
        <v>0</v>
      </c>
      <c r="Y9" s="46" t="s">
        <v>43</v>
      </c>
      <c r="Z9" s="33">
        <f>HLOOKUP($J$55,$AJ$56:$AP$61,6)</f>
        <v>0</v>
      </c>
      <c r="AA9" s="2"/>
    </row>
    <row r="10" spans="1:27" x14ac:dyDescent="0.25">
      <c r="A10" s="1"/>
      <c r="B10" s="1"/>
      <c r="C10" s="26" t="s">
        <v>2</v>
      </c>
      <c r="F10" s="26">
        <v>0</v>
      </c>
      <c r="G10" s="54" t="str">
        <f>VLOOKUP(E59,B44:D46,3)</f>
        <v>[kW]</v>
      </c>
      <c r="H10" s="41">
        <f>VLOOKUP(E59,M59:U61,J59+2)</f>
        <v>0</v>
      </c>
      <c r="I10" s="26">
        <v>1</v>
      </c>
      <c r="K10" s="41">
        <f>IF(L59=1,-DEGREES(ACOS(I10)),DEGREES(ACOS(I10)))</f>
        <v>0</v>
      </c>
      <c r="L10" s="1"/>
      <c r="M10" s="1"/>
      <c r="N10" s="2" t="str">
        <f t="shared" si="0"/>
        <v>Belastning 3</v>
      </c>
      <c r="O10" s="31">
        <f>HLOOKUP($J$59,$AA$63:$AG468,3)</f>
        <v>0</v>
      </c>
      <c r="P10" s="46" t="s">
        <v>43</v>
      </c>
      <c r="Q10" s="32">
        <f>HLOOKUP($J$59,$AJ$63:$AP$68,3)</f>
        <v>0</v>
      </c>
      <c r="R10" s="31">
        <f>HLOOKUP($J$59,$AA$63:$AG468,4)</f>
        <v>0</v>
      </c>
      <c r="S10" s="46" t="s">
        <v>43</v>
      </c>
      <c r="T10" s="32">
        <f>HLOOKUP($J$59,$AJ$63:$AP$68,4)</f>
        <v>-120</v>
      </c>
      <c r="U10" s="31">
        <f>HLOOKUP($J$59,$AA$63:$AG468,5)</f>
        <v>0</v>
      </c>
      <c r="V10" s="46" t="s">
        <v>43</v>
      </c>
      <c r="W10" s="32">
        <f>HLOOKUP($J$59,$AJ$63:$AP$68,5)</f>
        <v>120</v>
      </c>
      <c r="X10" s="31">
        <f>HLOOKUP($J$59,$AA$63:$AG468,6)</f>
        <v>0</v>
      </c>
      <c r="Y10" s="46" t="s">
        <v>43</v>
      </c>
      <c r="Z10" s="33">
        <f>HLOOKUP($J$59,$AJ$63:$AP$68,6)</f>
        <v>0</v>
      </c>
      <c r="AA10" s="2"/>
    </row>
    <row r="11" spans="1:27" x14ac:dyDescent="0.25">
      <c r="A11" s="1"/>
      <c r="B11" s="1"/>
      <c r="C11" s="26" t="s">
        <v>3</v>
      </c>
      <c r="F11" s="26">
        <v>0</v>
      </c>
      <c r="G11" s="54" t="str">
        <f>VLOOKUP(E63,B44:D46,3)</f>
        <v>[kW]</v>
      </c>
      <c r="H11" s="41">
        <f>VLOOKUP(E63,M63:U65,J63+2)</f>
        <v>0</v>
      </c>
      <c r="I11" s="26">
        <v>1</v>
      </c>
      <c r="K11" s="41">
        <f>IF(L63=1,-DEGREES(ACOS(I11)),DEGREES(ACOS(I11)))</f>
        <v>0</v>
      </c>
      <c r="L11" s="1"/>
      <c r="M11" s="1"/>
      <c r="N11" s="2" t="str">
        <f t="shared" si="0"/>
        <v>Belastning 4</v>
      </c>
      <c r="O11" s="31">
        <f>HLOOKUP($J$63,$AA$70:$AG$75,3)</f>
        <v>0</v>
      </c>
      <c r="P11" s="46" t="s">
        <v>43</v>
      </c>
      <c r="Q11" s="32">
        <f>HLOOKUP($J$63,$AJ$70:$AP$75,3)</f>
        <v>0</v>
      </c>
      <c r="R11" s="31">
        <f>HLOOKUP($J$63,$AA$70:$AG$75,4)</f>
        <v>0</v>
      </c>
      <c r="S11" s="46" t="s">
        <v>43</v>
      </c>
      <c r="T11" s="32">
        <f>HLOOKUP($J$63,$AJ$70:$AP$75,4)</f>
        <v>-120</v>
      </c>
      <c r="U11" s="31">
        <f>HLOOKUP($J$63,$AA$70:$AG$75,5)</f>
        <v>0</v>
      </c>
      <c r="V11" s="46" t="s">
        <v>43</v>
      </c>
      <c r="W11" s="32">
        <f>HLOOKUP($J$63,$AJ$70:$AP$75,5)</f>
        <v>120</v>
      </c>
      <c r="X11" s="31">
        <f>HLOOKUP($J$63,$AA$70:$AG$75,6)</f>
        <v>0</v>
      </c>
      <c r="Y11" s="46" t="s">
        <v>43</v>
      </c>
      <c r="Z11" s="33">
        <f>HLOOKUP($J$63,$AJ$70:$AP$75,6)</f>
        <v>0</v>
      </c>
      <c r="AA11" s="2"/>
    </row>
    <row r="12" spans="1:27" x14ac:dyDescent="0.25">
      <c r="A12" s="1"/>
      <c r="B12" s="1"/>
      <c r="C12" s="26" t="s">
        <v>4</v>
      </c>
      <c r="F12" s="26">
        <v>0</v>
      </c>
      <c r="G12" s="54" t="str">
        <f>VLOOKUP(E67,B44:D46,3)</f>
        <v>[kW]</v>
      </c>
      <c r="H12" s="41">
        <f>VLOOKUP(E67,M67:U69,J67+2)</f>
        <v>0</v>
      </c>
      <c r="I12" s="26">
        <v>1</v>
      </c>
      <c r="K12" s="41">
        <f>IF(L67=1,-DEGREES(ACOS(I12)),DEGREES(ACOS(I12)))</f>
        <v>0</v>
      </c>
      <c r="L12" s="1"/>
      <c r="M12" s="1"/>
      <c r="N12" s="2" t="str">
        <f t="shared" si="0"/>
        <v>Belastning 5</v>
      </c>
      <c r="O12" s="31">
        <f>HLOOKUP($J$67,$AA$77:$AG$82,3)</f>
        <v>0</v>
      </c>
      <c r="P12" s="46" t="s">
        <v>43</v>
      </c>
      <c r="Q12" s="32">
        <f>HLOOKUP($J$67,$AJ$77:$AP$82,3)</f>
        <v>0</v>
      </c>
      <c r="R12" s="31">
        <f>HLOOKUP($J$67,$AA$77:$AG$82,4)</f>
        <v>0</v>
      </c>
      <c r="S12" s="46" t="s">
        <v>43</v>
      </c>
      <c r="T12" s="32">
        <f>HLOOKUP($J$67,$AJ$77:$AP$82,4)</f>
        <v>-120</v>
      </c>
      <c r="U12" s="31">
        <f>HLOOKUP($J$67,$AA$77:$AG$82,5)</f>
        <v>0</v>
      </c>
      <c r="V12" s="46" t="s">
        <v>43</v>
      </c>
      <c r="W12" s="32">
        <f>HLOOKUP($J$67,$AJ$77:$AP$82,5)</f>
        <v>120</v>
      </c>
      <c r="X12" s="31">
        <f>HLOOKUP($J$67,$AA$77:$AG$82,6)</f>
        <v>0</v>
      </c>
      <c r="Y12" s="46" t="s">
        <v>43</v>
      </c>
      <c r="Z12" s="33">
        <f>HLOOKUP($J$67,$AJ$77:$AP$82,6)</f>
        <v>0</v>
      </c>
      <c r="AA12" s="2"/>
    </row>
    <row r="13" spans="1:27" x14ac:dyDescent="0.25">
      <c r="A13" s="1"/>
      <c r="B13" s="1"/>
      <c r="C13" s="26" t="s">
        <v>5</v>
      </c>
      <c r="F13" s="26">
        <v>0</v>
      </c>
      <c r="G13" s="54" t="str">
        <f>VLOOKUP(E71,B44:D46,3)</f>
        <v>[kW]</v>
      </c>
      <c r="H13" s="41">
        <f>VLOOKUP(E71,M71:U73,J71+2)</f>
        <v>0</v>
      </c>
      <c r="I13" s="26">
        <v>1</v>
      </c>
      <c r="K13" s="41">
        <f>IF(L71=1,-DEGREES(ACOS(I13)),DEGREES(ACOS(I13)))</f>
        <v>0</v>
      </c>
      <c r="L13" s="1"/>
      <c r="M13" s="1"/>
      <c r="N13" s="2" t="str">
        <f t="shared" si="0"/>
        <v>Belastning 6</v>
      </c>
      <c r="O13" s="31">
        <f>HLOOKUP($J$71,$AA$84:$AG$89,3)</f>
        <v>0</v>
      </c>
      <c r="P13" s="46" t="s">
        <v>43</v>
      </c>
      <c r="Q13" s="32">
        <f>HLOOKUP($J$71,$AJ$84:$AP$89,3)</f>
        <v>0</v>
      </c>
      <c r="R13" s="31">
        <f>HLOOKUP($J$71,$AA$84:$AG$89,4)</f>
        <v>0</v>
      </c>
      <c r="S13" s="46" t="s">
        <v>43</v>
      </c>
      <c r="T13" s="32">
        <f>HLOOKUP($J$71,$AJ$84:$AP$89,4)</f>
        <v>-120</v>
      </c>
      <c r="U13" s="31">
        <f>HLOOKUP($J$71,$AA$84:$AG$89,5)</f>
        <v>0</v>
      </c>
      <c r="V13" s="46" t="s">
        <v>43</v>
      </c>
      <c r="W13" s="32">
        <f>HLOOKUP($J$71,$AJ$84:$AP$89,5)</f>
        <v>120</v>
      </c>
      <c r="X13" s="31">
        <f>HLOOKUP($J$71,$AA$84:$AG$89,6)</f>
        <v>0</v>
      </c>
      <c r="Y13" s="46" t="s">
        <v>43</v>
      </c>
      <c r="Z13" s="33">
        <f>HLOOKUP($J$71,$AJ$84:$AP$89,6)</f>
        <v>0</v>
      </c>
      <c r="AA13" s="2"/>
    </row>
    <row r="14" spans="1:27" x14ac:dyDescent="0.25">
      <c r="A14" s="1"/>
      <c r="B14" s="1"/>
      <c r="C14" s="26" t="s">
        <v>6</v>
      </c>
      <c r="F14" s="26">
        <v>0</v>
      </c>
      <c r="G14" s="54" t="str">
        <f>VLOOKUP(E75,B44:D46,3)</f>
        <v>[kW]</v>
      </c>
      <c r="H14" s="41">
        <f>VLOOKUP(E75,M75:U77,J75+2)</f>
        <v>0</v>
      </c>
      <c r="I14" s="26">
        <v>1</v>
      </c>
      <c r="K14" s="41">
        <f>IF(L75=1,-DEGREES(ACOS(I14)),DEGREES(ACOS(I14)))</f>
        <v>0</v>
      </c>
      <c r="L14" s="1"/>
      <c r="M14" s="1"/>
      <c r="N14" s="2" t="str">
        <f t="shared" si="0"/>
        <v>Belastning 7</v>
      </c>
      <c r="O14" s="31">
        <f>HLOOKUP($J$75,$AA$91:$AG$96,3)</f>
        <v>0</v>
      </c>
      <c r="P14" s="46" t="s">
        <v>43</v>
      </c>
      <c r="Q14" s="32">
        <f>HLOOKUP($J$75,$AJ$91:$AP$96,3)</f>
        <v>0</v>
      </c>
      <c r="R14" s="31">
        <f>HLOOKUP($J$75,$AA$91:$AG$96,4)</f>
        <v>0</v>
      </c>
      <c r="S14" s="46" t="s">
        <v>43</v>
      </c>
      <c r="T14" s="32">
        <f>HLOOKUP($J$75,$AJ$91:$AP$96,4)</f>
        <v>-120</v>
      </c>
      <c r="U14" s="31">
        <f>HLOOKUP($J$75,$AA$91:$AG$96,5)</f>
        <v>0</v>
      </c>
      <c r="V14" s="46" t="s">
        <v>43</v>
      </c>
      <c r="W14" s="32">
        <f>HLOOKUP($J$75,$AJ$91:$AP$96,5)</f>
        <v>120</v>
      </c>
      <c r="X14" s="31">
        <f>HLOOKUP($J$75,$AA$91:$AG$96,6)</f>
        <v>0</v>
      </c>
      <c r="Y14" s="46" t="s">
        <v>43</v>
      </c>
      <c r="Z14" s="33">
        <f>HLOOKUP($J$75,$AJ$91:$AP$96,6)</f>
        <v>0</v>
      </c>
      <c r="AA14" s="2"/>
    </row>
    <row r="15" spans="1:27" x14ac:dyDescent="0.25">
      <c r="A15" s="1"/>
      <c r="B15" s="1"/>
      <c r="C15" s="26" t="s">
        <v>7</v>
      </c>
      <c r="F15" s="26">
        <v>0</v>
      </c>
      <c r="G15" s="54" t="str">
        <f>VLOOKUP(E79,B44:D46,3)</f>
        <v>[kW]</v>
      </c>
      <c r="H15" s="41">
        <f>VLOOKUP(E79,M79:U81,J79+2)</f>
        <v>0</v>
      </c>
      <c r="I15" s="26">
        <v>1</v>
      </c>
      <c r="K15" s="41">
        <f>IF(L79=1,-DEGREES(ACOS(I15)),DEGREES(ACOS(I15)))</f>
        <v>0</v>
      </c>
      <c r="L15" s="1"/>
      <c r="M15" s="1"/>
      <c r="N15" s="2" t="str">
        <f t="shared" si="0"/>
        <v>Belastning 8</v>
      </c>
      <c r="O15" s="31">
        <f>HLOOKUP($J$79,$AA$98:$AG$103,3)</f>
        <v>0</v>
      </c>
      <c r="P15" s="46" t="s">
        <v>43</v>
      </c>
      <c r="Q15" s="32">
        <f>HLOOKUP($J$79,$AJ$98:$AP$103,3)</f>
        <v>0</v>
      </c>
      <c r="R15" s="31">
        <f>HLOOKUP($J$79,$AA$98:$AG$103,4)</f>
        <v>0</v>
      </c>
      <c r="S15" s="46" t="s">
        <v>43</v>
      </c>
      <c r="T15" s="32">
        <f>HLOOKUP($J$79,$AJ$98:$AP$103,4)</f>
        <v>-120</v>
      </c>
      <c r="U15" s="31">
        <f>HLOOKUP($J$79,$AA$98:$AG$103,5)</f>
        <v>0</v>
      </c>
      <c r="V15" s="46" t="s">
        <v>43</v>
      </c>
      <c r="W15" s="32">
        <f>HLOOKUP($J$79,$AJ$98:$AP$103,5)</f>
        <v>120</v>
      </c>
      <c r="X15" s="31">
        <f>HLOOKUP($J$79,$AA$98:$AG$103,6)</f>
        <v>0</v>
      </c>
      <c r="Y15" s="46" t="s">
        <v>43</v>
      </c>
      <c r="Z15" s="33">
        <f>HLOOKUP($J$79,$AJ$98:$AP$103,6)</f>
        <v>0</v>
      </c>
      <c r="AA15" s="2"/>
    </row>
    <row r="16" spans="1:27" x14ac:dyDescent="0.25">
      <c r="A16" s="1"/>
      <c r="B16" s="1"/>
      <c r="C16" s="26" t="s">
        <v>8</v>
      </c>
      <c r="F16" s="26">
        <v>0</v>
      </c>
      <c r="G16" s="54" t="str">
        <f>VLOOKUP(E83,B44:D46,3)</f>
        <v>[kW]</v>
      </c>
      <c r="H16" s="41">
        <f>VLOOKUP(E83,M83:U85,J83+2)</f>
        <v>0</v>
      </c>
      <c r="I16" s="26">
        <v>1</v>
      </c>
      <c r="K16" s="41">
        <f>IF(L83=1,-DEGREES(ACOS(I16)),DEGREES(ACOS(I16)))</f>
        <v>0</v>
      </c>
      <c r="L16" s="1"/>
      <c r="M16" s="1"/>
      <c r="N16" s="2" t="str">
        <f t="shared" si="0"/>
        <v>Belastning 9</v>
      </c>
      <c r="O16" s="31">
        <f>HLOOKUP($J$83,$AA$105:$AG$110,3)</f>
        <v>0</v>
      </c>
      <c r="P16" s="46" t="s">
        <v>43</v>
      </c>
      <c r="Q16" s="32">
        <f>HLOOKUP($J$83,$AJ$105:$AP$110,3)</f>
        <v>0</v>
      </c>
      <c r="R16" s="31">
        <f>HLOOKUP($J$83,$AA$105:$AG$110,4)</f>
        <v>0</v>
      </c>
      <c r="S16" s="46" t="s">
        <v>43</v>
      </c>
      <c r="T16" s="32">
        <f>HLOOKUP($J$83,$AJ$105:$AP$110,4)</f>
        <v>-120</v>
      </c>
      <c r="U16" s="31">
        <f>HLOOKUP($J$83,$AA$105:$AG$110,5)</f>
        <v>0</v>
      </c>
      <c r="V16" s="46" t="s">
        <v>43</v>
      </c>
      <c r="W16" s="32">
        <f>HLOOKUP($J$83,$AJ$105:$AP$110,5)</f>
        <v>120</v>
      </c>
      <c r="X16" s="31">
        <f>HLOOKUP($J$83,$AA$105:$AG$110,6)</f>
        <v>0</v>
      </c>
      <c r="Y16" s="46" t="s">
        <v>43</v>
      </c>
      <c r="Z16" s="33">
        <f>HLOOKUP($J$83,$AJ$105:$AP$110,6)</f>
        <v>0</v>
      </c>
      <c r="AA16" s="2"/>
    </row>
    <row r="17" spans="1:27" x14ac:dyDescent="0.25">
      <c r="A17" s="1"/>
      <c r="B17" s="1"/>
      <c r="C17" s="26" t="s">
        <v>9</v>
      </c>
      <c r="F17" s="26">
        <v>0</v>
      </c>
      <c r="G17" s="54" t="str">
        <f>VLOOKUP(E87,B44:D46,3)</f>
        <v>[kW]</v>
      </c>
      <c r="H17" s="41">
        <f>VLOOKUP(E87,M87:U89,J87+2)</f>
        <v>0</v>
      </c>
      <c r="I17" s="26">
        <v>1</v>
      </c>
      <c r="K17" s="41">
        <f>IF(L87=1,-DEGREES(ACOS(I17)),DEGREES(ACOS(I17)))</f>
        <v>0</v>
      </c>
      <c r="L17" s="1"/>
      <c r="M17" s="1"/>
      <c r="N17" s="2" t="str">
        <f t="shared" si="0"/>
        <v>Belastning 10</v>
      </c>
      <c r="O17" s="31">
        <f>HLOOKUP($J$87,$AA$112:$AG$117,3)</f>
        <v>0</v>
      </c>
      <c r="P17" s="46" t="s">
        <v>43</v>
      </c>
      <c r="Q17" s="32">
        <f>HLOOKUP($J$87,$AJ$112:$AP$117,3)</f>
        <v>0</v>
      </c>
      <c r="R17" s="31">
        <f>HLOOKUP($J$87,$AA$112:$AG$117,4)</f>
        <v>0</v>
      </c>
      <c r="S17" s="46" t="s">
        <v>43</v>
      </c>
      <c r="T17" s="32">
        <f>HLOOKUP($J$87,$AJ$112:$AP$117,4)</f>
        <v>-120</v>
      </c>
      <c r="U17" s="31">
        <f>HLOOKUP($J$87,$AA$112:$AG$117,5)</f>
        <v>0</v>
      </c>
      <c r="V17" s="46" t="s">
        <v>43</v>
      </c>
      <c r="W17" s="32">
        <f>HLOOKUP($J$87,$AJ$112:$AP$117,5)</f>
        <v>120</v>
      </c>
      <c r="X17" s="31">
        <f>HLOOKUP($J$87,$AA$112:$AG$117,6)</f>
        <v>0</v>
      </c>
      <c r="Y17" s="46" t="s">
        <v>43</v>
      </c>
      <c r="Z17" s="33">
        <f>HLOOKUP($J$87,$AJ$112:$AP$117,6)</f>
        <v>0</v>
      </c>
      <c r="AA17" s="2"/>
    </row>
    <row r="18" spans="1:27" x14ac:dyDescent="0.25">
      <c r="A18" s="1"/>
      <c r="B18" s="1"/>
      <c r="C18" s="26" t="s">
        <v>10</v>
      </c>
      <c r="F18" s="26">
        <v>0</v>
      </c>
      <c r="G18" s="54" t="str">
        <f>VLOOKUP(E91,B44:D46,3)</f>
        <v>[kW]</v>
      </c>
      <c r="H18" s="41">
        <f>VLOOKUP(E91,M91:U93,J91+2)</f>
        <v>0</v>
      </c>
      <c r="I18" s="26">
        <v>1</v>
      </c>
      <c r="K18" s="41">
        <f>IF(L91=1,-DEGREES(ACOS(I18)),DEGREES(ACOS(I18)))</f>
        <v>0</v>
      </c>
      <c r="L18" s="1"/>
      <c r="M18" s="1"/>
      <c r="N18" s="2" t="str">
        <f t="shared" si="0"/>
        <v>Belastning 11</v>
      </c>
      <c r="O18" s="31">
        <f>HLOOKUP($J$91,$AA$119:$AG$124,3)</f>
        <v>0</v>
      </c>
      <c r="P18" s="46" t="s">
        <v>43</v>
      </c>
      <c r="Q18" s="32">
        <f>HLOOKUP($J$91,$AJ$119:$AP$124,3)</f>
        <v>0</v>
      </c>
      <c r="R18" s="31">
        <f>HLOOKUP($J$91,$AA$119:$AG$124,4)</f>
        <v>0</v>
      </c>
      <c r="S18" s="46" t="s">
        <v>43</v>
      </c>
      <c r="T18" s="32">
        <f>HLOOKUP($J$91,$AJ$119:$AP$124,4)</f>
        <v>-120</v>
      </c>
      <c r="U18" s="31">
        <f>HLOOKUP($J$91,$AA$119:$AG$124,5)</f>
        <v>0</v>
      </c>
      <c r="V18" s="46" t="s">
        <v>43</v>
      </c>
      <c r="W18" s="32">
        <f>HLOOKUP($J$91,$AJ$119:$AP$124,5)</f>
        <v>120</v>
      </c>
      <c r="X18" s="31">
        <f>HLOOKUP($J$91,$AA$119:$AG$124,6)</f>
        <v>0</v>
      </c>
      <c r="Y18" s="46" t="s">
        <v>43</v>
      </c>
      <c r="Z18" s="33">
        <f>HLOOKUP($J$91,$AJ$119:$AP$124,6)</f>
        <v>0</v>
      </c>
      <c r="AA18" s="2"/>
    </row>
    <row r="19" spans="1:27" x14ac:dyDescent="0.25">
      <c r="A19" s="1"/>
      <c r="B19" s="1"/>
      <c r="C19" s="26" t="s">
        <v>11</v>
      </c>
      <c r="F19" s="26">
        <v>0</v>
      </c>
      <c r="G19" s="54" t="str">
        <f>VLOOKUP(E95,B44:D46,3)</f>
        <v>[kW]</v>
      </c>
      <c r="H19" s="41">
        <f>VLOOKUP(E95,M95:U97,J95+2)</f>
        <v>0</v>
      </c>
      <c r="I19" s="26">
        <v>1</v>
      </c>
      <c r="K19" s="41">
        <f>IF(L95=1,-DEGREES(ACOS(I19)),DEGREES(ACOS(I19)))</f>
        <v>0</v>
      </c>
      <c r="L19" s="1"/>
      <c r="M19" s="1"/>
      <c r="N19" s="2" t="str">
        <f t="shared" si="0"/>
        <v>Belastning 12</v>
      </c>
      <c r="O19" s="31">
        <f>HLOOKUP($J$95,$AA$126:$AG$131,3)</f>
        <v>0</v>
      </c>
      <c r="P19" s="46" t="s">
        <v>43</v>
      </c>
      <c r="Q19" s="32">
        <f>HLOOKUP($J$95,$AJ$126:$AP$131,3)</f>
        <v>0</v>
      </c>
      <c r="R19" s="31">
        <f>HLOOKUP($J$95,$AA$126:$AG$131,4)</f>
        <v>0</v>
      </c>
      <c r="S19" s="46" t="s">
        <v>43</v>
      </c>
      <c r="T19" s="32">
        <f>HLOOKUP($J$95,$AJ$126:$AP$131,4)</f>
        <v>-120</v>
      </c>
      <c r="U19" s="31">
        <f>HLOOKUP($J$95,$AA$126:$AG$131,5)</f>
        <v>0</v>
      </c>
      <c r="V19" s="46" t="s">
        <v>43</v>
      </c>
      <c r="W19" s="32">
        <f>HLOOKUP($J$95,$AJ$126:$AP$131,5)</f>
        <v>120</v>
      </c>
      <c r="X19" s="31">
        <f>HLOOKUP($J$95,$AA$126:$AG$131,6)</f>
        <v>0</v>
      </c>
      <c r="Y19" s="46" t="s">
        <v>43</v>
      </c>
      <c r="Z19" s="33">
        <f>HLOOKUP($J$95,$AJ$126:$AP$131,6)</f>
        <v>0</v>
      </c>
      <c r="AA19" s="2"/>
    </row>
    <row r="20" spans="1:27" x14ac:dyDescent="0.25">
      <c r="A20" s="1"/>
      <c r="B20" s="1"/>
      <c r="C20" s="26" t="s">
        <v>12</v>
      </c>
      <c r="F20" s="26">
        <v>0</v>
      </c>
      <c r="G20" s="54" t="str">
        <f>VLOOKUP(E99,B44:D46,3)</f>
        <v>[kW]</v>
      </c>
      <c r="H20" s="41">
        <f>VLOOKUP(E99,M99:U101,J99+2)</f>
        <v>0</v>
      </c>
      <c r="I20" s="26">
        <v>1</v>
      </c>
      <c r="K20" s="41">
        <f>IF(L99=1,-DEGREES(ACOS(I20)),DEGREES(ACOS(I20)))</f>
        <v>0</v>
      </c>
      <c r="L20" s="1"/>
      <c r="M20" s="1"/>
      <c r="N20" s="2" t="str">
        <f t="shared" si="0"/>
        <v>Belastning 13</v>
      </c>
      <c r="O20" s="31">
        <f>HLOOKUP($J$99,$AA$133:$AG$138,3)</f>
        <v>0</v>
      </c>
      <c r="P20" s="46" t="s">
        <v>43</v>
      </c>
      <c r="Q20" s="32">
        <f>HLOOKUP($J$99,$AJ$133:$AP$138,3)</f>
        <v>0</v>
      </c>
      <c r="R20" s="31">
        <f>HLOOKUP($J$99,$AA$133:$AG$138,4)</f>
        <v>0</v>
      </c>
      <c r="S20" s="46" t="s">
        <v>43</v>
      </c>
      <c r="T20" s="32">
        <f>HLOOKUP($J$99,$AJ$133:$AP$138,4)</f>
        <v>-120</v>
      </c>
      <c r="U20" s="31">
        <f>HLOOKUP($J$99,$AA$133:$AG$138,5)</f>
        <v>0</v>
      </c>
      <c r="V20" s="46" t="s">
        <v>43</v>
      </c>
      <c r="W20" s="32">
        <f>HLOOKUP($J$99,$AJ$133:$AP$138,5)</f>
        <v>120</v>
      </c>
      <c r="X20" s="31">
        <f>HLOOKUP($J$99,$AA$133:$AG$138,6)</f>
        <v>0</v>
      </c>
      <c r="Y20" s="46" t="s">
        <v>43</v>
      </c>
      <c r="Z20" s="33">
        <f>HLOOKUP($J$99,$AJ$133:$AP$138,6)</f>
        <v>0</v>
      </c>
      <c r="AA20" s="2"/>
    </row>
    <row r="21" spans="1:27" x14ac:dyDescent="0.25">
      <c r="A21" s="1"/>
      <c r="B21" s="1"/>
      <c r="C21" s="26" t="s">
        <v>13</v>
      </c>
      <c r="F21" s="26">
        <v>0</v>
      </c>
      <c r="G21" s="54" t="str">
        <f>VLOOKUP(E103,B44:D46,3)</f>
        <v>[kW]</v>
      </c>
      <c r="H21" s="41">
        <f>VLOOKUP(E103,M103:U105,J103+2)</f>
        <v>0</v>
      </c>
      <c r="I21" s="26">
        <v>1</v>
      </c>
      <c r="K21" s="41">
        <f>IF(L103=1,-DEGREES(ACOS(I21)),DEGREES(ACOS(I21)))</f>
        <v>0</v>
      </c>
      <c r="L21" s="1"/>
      <c r="M21" s="1"/>
      <c r="N21" s="2" t="str">
        <f t="shared" si="0"/>
        <v>Belastning 14</v>
      </c>
      <c r="O21" s="31">
        <f>HLOOKUP($J$103,$AA$140:$AG$145,3)</f>
        <v>0</v>
      </c>
      <c r="P21" s="46" t="s">
        <v>43</v>
      </c>
      <c r="Q21" s="32">
        <f>HLOOKUP($J$103,$AJ$140:$AP$145,3)</f>
        <v>0</v>
      </c>
      <c r="R21" s="31">
        <f>HLOOKUP($J$103,$AA$140:$AG$145,4)</f>
        <v>0</v>
      </c>
      <c r="S21" s="46" t="s">
        <v>43</v>
      </c>
      <c r="T21" s="32">
        <f>HLOOKUP($J$103,$AJ$140:$AP$145,4)</f>
        <v>-120</v>
      </c>
      <c r="U21" s="31">
        <f>HLOOKUP($J$103,$AA$140:$AG$145,5)</f>
        <v>0</v>
      </c>
      <c r="V21" s="46" t="s">
        <v>43</v>
      </c>
      <c r="W21" s="32">
        <f>HLOOKUP($J$103,$AJ$140:$AP$145,5)</f>
        <v>120</v>
      </c>
      <c r="X21" s="31">
        <f>HLOOKUP($J$103,$AA$140:$AG$145,6)</f>
        <v>0</v>
      </c>
      <c r="Y21" s="46" t="s">
        <v>43</v>
      </c>
      <c r="Z21" s="33">
        <f>HLOOKUP($J$103,$AJ$140:$AP$145,6)</f>
        <v>0</v>
      </c>
    </row>
    <row r="22" spans="1:27" x14ac:dyDescent="0.25">
      <c r="A22" s="1"/>
      <c r="B22" s="1"/>
      <c r="C22" s="26" t="s">
        <v>14</v>
      </c>
      <c r="F22" s="26">
        <v>0</v>
      </c>
      <c r="G22" s="54" t="str">
        <f>VLOOKUP(E107,B44:D46,3)</f>
        <v>[kW]</v>
      </c>
      <c r="H22" s="41">
        <f>VLOOKUP(E107,M107:U109,J107+2)</f>
        <v>0</v>
      </c>
      <c r="I22" s="26">
        <v>1</v>
      </c>
      <c r="K22" s="41">
        <f>IF(L107=1,-DEGREES(ACOS(I22)),DEGREES(ACOS(I22)))</f>
        <v>0</v>
      </c>
      <c r="L22" s="1"/>
      <c r="M22" s="1"/>
      <c r="N22" s="2" t="str">
        <f t="shared" si="0"/>
        <v>Belastning 15</v>
      </c>
      <c r="O22" s="31">
        <f>HLOOKUP($J$107,$AA$147:$AG$152,3)</f>
        <v>0</v>
      </c>
      <c r="P22" s="46" t="s">
        <v>43</v>
      </c>
      <c r="Q22" s="32">
        <f>HLOOKUP($J$107,$AJ$147:$AP$152,3)</f>
        <v>0</v>
      </c>
      <c r="R22" s="31">
        <f>HLOOKUP($J$107,$AA$147:$AG$152,4)</f>
        <v>0</v>
      </c>
      <c r="S22" s="46" t="s">
        <v>43</v>
      </c>
      <c r="T22" s="32">
        <f>HLOOKUP($J$107,$AJ$147:$AP$152,4)</f>
        <v>-120</v>
      </c>
      <c r="U22" s="31">
        <f>HLOOKUP($J$107,$AA$147:$AG$152,5)</f>
        <v>0</v>
      </c>
      <c r="V22" s="46" t="s">
        <v>43</v>
      </c>
      <c r="W22" s="32">
        <f>HLOOKUP($J$107,$AJ$147:$AP$152,5)</f>
        <v>120</v>
      </c>
      <c r="X22" s="31">
        <f>HLOOKUP($J$107,$AA$147:$AG$152,6)</f>
        <v>0</v>
      </c>
      <c r="Y22" s="46" t="s">
        <v>43</v>
      </c>
      <c r="Z22" s="33">
        <f>HLOOKUP($J$107,$AJ$147:$AP$152,6)</f>
        <v>0</v>
      </c>
    </row>
    <row r="23" spans="1:27" ht="18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37" t="s">
        <v>86</v>
      </c>
      <c r="O23" s="38">
        <f>SQRT(E128^2+F128^2)</f>
        <v>0</v>
      </c>
      <c r="P23" s="47" t="s">
        <v>43</v>
      </c>
      <c r="Q23" s="39">
        <f>IFERROR(DEGREES(ATAN(F128/E128)),0)</f>
        <v>0</v>
      </c>
      <c r="R23" s="38">
        <f>SQRT(G128^2+H128^2)</f>
        <v>0</v>
      </c>
      <c r="S23" s="47" t="s">
        <v>43</v>
      </c>
      <c r="T23" s="39">
        <f>IFERROR(-DEGREES(ATAN(G128/H128))-90,0)</f>
        <v>0</v>
      </c>
      <c r="U23" s="38">
        <f>SQRT(I128^2+J128^2)</f>
        <v>0</v>
      </c>
      <c r="V23" s="47" t="s">
        <v>43</v>
      </c>
      <c r="W23" s="39">
        <f>IFERROR(-DEGREES(ATAN(I128/J128))+90,0)</f>
        <v>0</v>
      </c>
      <c r="X23" s="40">
        <f>IMABS(COMPLEX(C134+F134+I134,C135+F135+I135))</f>
        <v>0</v>
      </c>
      <c r="Y23" s="47" t="s">
        <v>43</v>
      </c>
      <c r="Z23" s="39">
        <f>IFERROR(DEGREES(IMARGUMENT(IMSUM(L135)))+180,0)</f>
        <v>0</v>
      </c>
    </row>
    <row r="24" spans="1:27" ht="18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37" t="s">
        <v>88</v>
      </c>
      <c r="O24" s="38">
        <f>O23*Q3*T3</f>
        <v>0</v>
      </c>
      <c r="P24" s="47" t="s">
        <v>43</v>
      </c>
      <c r="Q24" s="39">
        <f>Q23</f>
        <v>0</v>
      </c>
      <c r="R24" s="38">
        <f>R23*Q3*T3</f>
        <v>0</v>
      </c>
      <c r="S24" s="47" t="s">
        <v>43</v>
      </c>
      <c r="T24" s="39">
        <f>T23</f>
        <v>0</v>
      </c>
      <c r="U24" s="38">
        <f>U23*Q3*T3</f>
        <v>0</v>
      </c>
      <c r="V24" s="47" t="s">
        <v>43</v>
      </c>
      <c r="W24" s="39">
        <f>W23</f>
        <v>0</v>
      </c>
      <c r="X24" s="40">
        <f>(X23)*Q3*T3</f>
        <v>0</v>
      </c>
      <c r="Y24" s="47" t="s">
        <v>43</v>
      </c>
      <c r="Z24" s="39">
        <f>Z23</f>
        <v>0</v>
      </c>
    </row>
    <row r="25" spans="1:27" ht="18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37" t="s">
        <v>87</v>
      </c>
      <c r="O25" s="38">
        <f>O24</f>
        <v>0</v>
      </c>
      <c r="P25" s="47" t="s">
        <v>43</v>
      </c>
      <c r="Q25" s="39">
        <f>Q23</f>
        <v>0</v>
      </c>
      <c r="R25" s="38">
        <f>R24</f>
        <v>0</v>
      </c>
      <c r="S25" s="47" t="s">
        <v>43</v>
      </c>
      <c r="T25" s="39">
        <f>T24+120</f>
        <v>120</v>
      </c>
      <c r="U25" s="38">
        <f>U24</f>
        <v>0</v>
      </c>
      <c r="V25" s="47" t="s">
        <v>43</v>
      </c>
      <c r="W25" s="39">
        <f>W24-120</f>
        <v>-120</v>
      </c>
      <c r="X25" s="40">
        <f>(X24)</f>
        <v>0</v>
      </c>
      <c r="Y25" s="47" t="s">
        <v>43</v>
      </c>
      <c r="Z25" s="39">
        <f>Z24</f>
        <v>0</v>
      </c>
    </row>
    <row r="26" spans="1:2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49" t="s">
        <v>69</v>
      </c>
      <c r="O26" s="50">
        <f>IFERROR(((I5/3)/O24)*100,0)</f>
        <v>0</v>
      </c>
      <c r="P26" s="51" t="s">
        <v>68</v>
      </c>
      <c r="Q26" s="52"/>
      <c r="R26" s="50">
        <f>IFERROR(((I5/3)/R24)*100,0)</f>
        <v>0</v>
      </c>
      <c r="S26" s="51" t="s">
        <v>68</v>
      </c>
      <c r="T26" s="52"/>
      <c r="U26" s="50">
        <f>IFERROR(((I5/3)/U24)*100,0)</f>
        <v>0</v>
      </c>
      <c r="V26" s="51" t="s">
        <v>68</v>
      </c>
      <c r="W26" s="52"/>
      <c r="X26" s="40"/>
      <c r="Y26" s="51"/>
      <c r="Z26" s="52"/>
    </row>
    <row r="27" spans="1:2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53" t="s">
        <v>70</v>
      </c>
      <c r="L27" s="1"/>
      <c r="M27" s="1"/>
    </row>
    <row r="39" spans="2:28" x14ac:dyDescent="0.25">
      <c r="I39">
        <v>1</v>
      </c>
      <c r="J39" t="s">
        <v>22</v>
      </c>
    </row>
    <row r="40" spans="2:28" x14ac:dyDescent="0.25">
      <c r="I40">
        <v>2</v>
      </c>
      <c r="J40" t="s">
        <v>23</v>
      </c>
    </row>
    <row r="41" spans="2:28" x14ac:dyDescent="0.25">
      <c r="I41">
        <v>3</v>
      </c>
      <c r="J41" t="s">
        <v>24</v>
      </c>
    </row>
    <row r="42" spans="2:28" x14ac:dyDescent="0.25">
      <c r="I42">
        <v>4</v>
      </c>
      <c r="J42" t="s">
        <v>25</v>
      </c>
      <c r="Z42" s="4"/>
      <c r="AA42" s="5"/>
    </row>
    <row r="43" spans="2:28" x14ac:dyDescent="0.25">
      <c r="I43">
        <v>5</v>
      </c>
      <c r="J43" t="s">
        <v>26</v>
      </c>
      <c r="Z43" s="2"/>
      <c r="AA43" t="s">
        <v>67</v>
      </c>
    </row>
    <row r="44" spans="2:28" x14ac:dyDescent="0.25">
      <c r="B44">
        <v>1</v>
      </c>
      <c r="C44" t="s">
        <v>15</v>
      </c>
      <c r="D44" t="s">
        <v>60</v>
      </c>
      <c r="I44">
        <v>6</v>
      </c>
      <c r="J44" t="s">
        <v>27</v>
      </c>
      <c r="L44" t="s">
        <v>90</v>
      </c>
      <c r="Y44">
        <v>1</v>
      </c>
      <c r="Z44" s="2" t="s">
        <v>50</v>
      </c>
      <c r="AB44" t="s">
        <v>68</v>
      </c>
    </row>
    <row r="45" spans="2:28" x14ac:dyDescent="0.25">
      <c r="B45">
        <v>2</v>
      </c>
      <c r="C45" t="s">
        <v>16</v>
      </c>
      <c r="D45" t="s">
        <v>61</v>
      </c>
      <c r="I45">
        <v>7</v>
      </c>
      <c r="J45" t="s">
        <v>28</v>
      </c>
      <c r="L45" t="s">
        <v>91</v>
      </c>
      <c r="Y45">
        <v>2</v>
      </c>
      <c r="Z45" s="2" t="s">
        <v>51</v>
      </c>
      <c r="AB45" t="s">
        <v>68</v>
      </c>
    </row>
    <row r="46" spans="2:28" x14ac:dyDescent="0.25">
      <c r="B46">
        <v>3</v>
      </c>
      <c r="C46" t="s">
        <v>17</v>
      </c>
      <c r="D46" t="s">
        <v>62</v>
      </c>
      <c r="Y46">
        <v>3</v>
      </c>
      <c r="Z46" s="2" t="s">
        <v>52</v>
      </c>
      <c r="AB46" t="s">
        <v>68</v>
      </c>
    </row>
    <row r="47" spans="2:28" x14ac:dyDescent="0.25">
      <c r="Y47">
        <v>4</v>
      </c>
      <c r="Z47" s="13" t="s">
        <v>42</v>
      </c>
      <c r="AA47" s="19"/>
    </row>
    <row r="49" spans="3:42" x14ac:dyDescent="0.25">
      <c r="E49" t="s">
        <v>18</v>
      </c>
      <c r="Z49" s="4"/>
      <c r="AA49" s="5">
        <v>1</v>
      </c>
      <c r="AB49" s="5">
        <v>2</v>
      </c>
      <c r="AC49" s="5">
        <v>3</v>
      </c>
      <c r="AD49" s="5">
        <v>4</v>
      </c>
      <c r="AE49" s="5">
        <v>5</v>
      </c>
      <c r="AF49" s="5">
        <v>6</v>
      </c>
      <c r="AG49" s="6">
        <v>7</v>
      </c>
      <c r="AI49" s="4"/>
      <c r="AJ49" s="5">
        <v>1</v>
      </c>
      <c r="AK49" s="5">
        <v>2</v>
      </c>
      <c r="AL49" s="5">
        <v>3</v>
      </c>
      <c r="AM49" s="5">
        <v>4</v>
      </c>
      <c r="AN49" s="5">
        <v>5</v>
      </c>
      <c r="AO49" s="5">
        <v>6</v>
      </c>
      <c r="AP49" s="6">
        <v>7</v>
      </c>
    </row>
    <row r="50" spans="3:42" x14ac:dyDescent="0.25">
      <c r="O50" t="s">
        <v>32</v>
      </c>
      <c r="P50" t="s">
        <v>34</v>
      </c>
      <c r="Q50" t="s">
        <v>35</v>
      </c>
      <c r="R50" t="s">
        <v>36</v>
      </c>
      <c r="S50" t="s">
        <v>37</v>
      </c>
      <c r="T50" t="s">
        <v>38</v>
      </c>
      <c r="U50" t="s">
        <v>39</v>
      </c>
      <c r="Z50" s="2"/>
      <c r="AA50" t="s">
        <v>32</v>
      </c>
      <c r="AB50" t="s">
        <v>34</v>
      </c>
      <c r="AC50" t="s">
        <v>35</v>
      </c>
      <c r="AD50" t="s">
        <v>36</v>
      </c>
      <c r="AE50" t="s">
        <v>37</v>
      </c>
      <c r="AF50" t="s">
        <v>38</v>
      </c>
      <c r="AG50" s="3" t="s">
        <v>39</v>
      </c>
      <c r="AI50" s="29" t="s">
        <v>55</v>
      </c>
      <c r="AJ50" t="s">
        <v>32</v>
      </c>
      <c r="AK50" t="s">
        <v>34</v>
      </c>
      <c r="AL50" t="s">
        <v>35</v>
      </c>
      <c r="AM50" t="s">
        <v>36</v>
      </c>
      <c r="AN50" t="s">
        <v>37</v>
      </c>
      <c r="AO50" t="s">
        <v>38</v>
      </c>
      <c r="AP50" s="3" t="s">
        <v>39</v>
      </c>
    </row>
    <row r="51" spans="3:42" x14ac:dyDescent="0.25">
      <c r="C51" t="s">
        <v>0</v>
      </c>
      <c r="E51">
        <v>1</v>
      </c>
      <c r="J51">
        <v>1</v>
      </c>
      <c r="L51">
        <v>1</v>
      </c>
      <c r="M51">
        <v>1</v>
      </c>
      <c r="N51" t="s">
        <v>29</v>
      </c>
      <c r="O51">
        <f>(F8*1000)/($D$5*SQRT(3)*I8)</f>
        <v>0</v>
      </c>
      <c r="P51">
        <f>($F$8*1000)/(($D$5/SQRT(3))*$I$8)</f>
        <v>0</v>
      </c>
      <c r="Q51">
        <f>P51</f>
        <v>0</v>
      </c>
      <c r="R51">
        <f>P51</f>
        <v>0</v>
      </c>
      <c r="S51">
        <f>($F$8*1000)/($D$5*$I$8)</f>
        <v>0</v>
      </c>
      <c r="T51">
        <f>S51</f>
        <v>0</v>
      </c>
      <c r="U51">
        <f>S51</f>
        <v>0</v>
      </c>
      <c r="Z51" s="2" t="s">
        <v>50</v>
      </c>
      <c r="AA51" s="17">
        <f>H8</f>
        <v>0</v>
      </c>
      <c r="AB51" s="17">
        <f>AA51</f>
        <v>0</v>
      </c>
      <c r="AC51">
        <v>0</v>
      </c>
      <c r="AD51">
        <v>0</v>
      </c>
      <c r="AE51" s="17">
        <f>AA51</f>
        <v>0</v>
      </c>
      <c r="AF51">
        <v>0</v>
      </c>
      <c r="AG51" s="18">
        <f>AA51</f>
        <v>0</v>
      </c>
      <c r="AI51" s="2" t="s">
        <v>50</v>
      </c>
      <c r="AJ51" s="17">
        <f>K8</f>
        <v>0</v>
      </c>
      <c r="AK51" s="17">
        <f>AJ51</f>
        <v>0</v>
      </c>
      <c r="AL51">
        <v>0</v>
      </c>
      <c r="AM51">
        <v>0</v>
      </c>
      <c r="AN51" s="17">
        <f>AJ51+30</f>
        <v>30</v>
      </c>
      <c r="AO51">
        <v>0</v>
      </c>
      <c r="AP51" s="18">
        <f>AJ51-30</f>
        <v>-30</v>
      </c>
    </row>
    <row r="52" spans="3:42" x14ac:dyDescent="0.25">
      <c r="M52">
        <v>2</v>
      </c>
      <c r="N52" t="s">
        <v>30</v>
      </c>
      <c r="O52">
        <f>(F8*1000)/($D$5*SQRT(3))</f>
        <v>0</v>
      </c>
      <c r="P52">
        <f>($F$8*1000)/(($D$5/SQRT(3)))</f>
        <v>0</v>
      </c>
      <c r="Q52">
        <f>P52</f>
        <v>0</v>
      </c>
      <c r="R52">
        <f>P52</f>
        <v>0</v>
      </c>
      <c r="S52">
        <f>($F$8*1000)/($D$5)</f>
        <v>0</v>
      </c>
      <c r="T52">
        <f>S52</f>
        <v>0</v>
      </c>
      <c r="U52">
        <f>S52</f>
        <v>0</v>
      </c>
      <c r="Y52">
        <v>1</v>
      </c>
      <c r="Z52" s="2" t="s">
        <v>51</v>
      </c>
      <c r="AA52" s="17">
        <f>AA51</f>
        <v>0</v>
      </c>
      <c r="AB52">
        <v>0</v>
      </c>
      <c r="AC52" s="17">
        <f>AA51</f>
        <v>0</v>
      </c>
      <c r="AD52">
        <v>0</v>
      </c>
      <c r="AE52" s="17">
        <f>AA51</f>
        <v>0</v>
      </c>
      <c r="AF52" s="17">
        <f>AA51</f>
        <v>0</v>
      </c>
      <c r="AG52" s="3">
        <v>0</v>
      </c>
      <c r="AI52" s="2" t="s">
        <v>51</v>
      </c>
      <c r="AJ52" s="17">
        <f>AJ51-120</f>
        <v>-120</v>
      </c>
      <c r="AK52">
        <v>0</v>
      </c>
      <c r="AL52" s="17">
        <f>AJ51-120</f>
        <v>-120</v>
      </c>
      <c r="AM52">
        <v>0</v>
      </c>
      <c r="AN52" s="17">
        <f>AJ51-150</f>
        <v>-150</v>
      </c>
      <c r="AO52" s="17">
        <f>AJ51-90</f>
        <v>-90</v>
      </c>
      <c r="AP52" s="3">
        <v>0</v>
      </c>
    </row>
    <row r="53" spans="3:42" x14ac:dyDescent="0.25">
      <c r="M53">
        <v>3</v>
      </c>
      <c r="N53" t="s">
        <v>31</v>
      </c>
      <c r="O53">
        <f>F8</f>
        <v>0</v>
      </c>
      <c r="P53">
        <f t="shared" ref="P53:U53" si="1">$F$8</f>
        <v>0</v>
      </c>
      <c r="Q53">
        <f t="shared" si="1"/>
        <v>0</v>
      </c>
      <c r="R53">
        <f t="shared" si="1"/>
        <v>0</v>
      </c>
      <c r="S53">
        <f t="shared" si="1"/>
        <v>0</v>
      </c>
      <c r="T53">
        <f t="shared" si="1"/>
        <v>0</v>
      </c>
      <c r="U53">
        <f t="shared" si="1"/>
        <v>0</v>
      </c>
      <c r="Z53" s="2" t="s">
        <v>52</v>
      </c>
      <c r="AA53" s="17">
        <f>AA51</f>
        <v>0</v>
      </c>
      <c r="AB53">
        <v>0</v>
      </c>
      <c r="AC53">
        <v>0</v>
      </c>
      <c r="AD53" s="17">
        <f>AA51</f>
        <v>0</v>
      </c>
      <c r="AE53">
        <v>0</v>
      </c>
      <c r="AF53" s="17">
        <f>AA51</f>
        <v>0</v>
      </c>
      <c r="AG53" s="18">
        <f>AA51</f>
        <v>0</v>
      </c>
      <c r="AI53" s="2" t="s">
        <v>52</v>
      </c>
      <c r="AJ53" s="17">
        <f>AJ51+120</f>
        <v>120</v>
      </c>
      <c r="AK53">
        <v>0</v>
      </c>
      <c r="AL53">
        <v>0</v>
      </c>
      <c r="AM53" s="17">
        <f>AJ51+120</f>
        <v>120</v>
      </c>
      <c r="AN53">
        <v>0</v>
      </c>
      <c r="AO53" s="17">
        <f>AJ51+90</f>
        <v>90</v>
      </c>
      <c r="AP53" s="18">
        <f>AJ51+150</f>
        <v>150</v>
      </c>
    </row>
    <row r="54" spans="3:42" x14ac:dyDescent="0.25">
      <c r="Z54" s="13" t="s">
        <v>42</v>
      </c>
      <c r="AA54" s="19">
        <v>0</v>
      </c>
      <c r="AB54" s="20">
        <f>AA51</f>
        <v>0</v>
      </c>
      <c r="AC54" s="20">
        <f>AA51</f>
        <v>0</v>
      </c>
      <c r="AD54" s="20">
        <f>AA51</f>
        <v>0</v>
      </c>
      <c r="AE54" s="19">
        <v>0</v>
      </c>
      <c r="AF54" s="19">
        <v>0</v>
      </c>
      <c r="AG54" s="14">
        <v>0</v>
      </c>
      <c r="AI54" s="13" t="s">
        <v>42</v>
      </c>
      <c r="AJ54" s="19">
        <v>0</v>
      </c>
      <c r="AK54" s="20">
        <f>AJ51+180</f>
        <v>180</v>
      </c>
      <c r="AL54" s="20">
        <f>AJ51+180-120</f>
        <v>60</v>
      </c>
      <c r="AM54" s="20">
        <f>AJ51-180+120</f>
        <v>-60</v>
      </c>
      <c r="AN54" s="19">
        <v>0</v>
      </c>
      <c r="AO54" s="19">
        <v>0</v>
      </c>
      <c r="AP54" s="14">
        <v>0</v>
      </c>
    </row>
    <row r="55" spans="3:42" x14ac:dyDescent="0.25">
      <c r="C55" t="s">
        <v>1</v>
      </c>
      <c r="E55">
        <v>1</v>
      </c>
      <c r="J55">
        <v>1</v>
      </c>
      <c r="L55">
        <v>1</v>
      </c>
      <c r="M55">
        <v>1</v>
      </c>
      <c r="N55" t="s">
        <v>29</v>
      </c>
      <c r="O55">
        <f>($F$9*1000)/($D$5*SQRT(3)*$I$9)</f>
        <v>0</v>
      </c>
      <c r="P55">
        <f>($F$9*1000)/(($D$5/SQRT(3))*$I$9)</f>
        <v>0</v>
      </c>
      <c r="Q55">
        <f>P55</f>
        <v>0</v>
      </c>
      <c r="R55">
        <f>P55</f>
        <v>0</v>
      </c>
      <c r="S55">
        <f>($F$9*1000)/($D$5*$I$9)</f>
        <v>0</v>
      </c>
      <c r="T55">
        <f>S55</f>
        <v>0</v>
      </c>
      <c r="U55">
        <f>S55</f>
        <v>0</v>
      </c>
    </row>
    <row r="56" spans="3:42" x14ac:dyDescent="0.25">
      <c r="M56">
        <v>2</v>
      </c>
      <c r="N56" t="s">
        <v>30</v>
      </c>
      <c r="O56">
        <f>($F$9*1000)/($D$5*SQRT(3))</f>
        <v>0</v>
      </c>
      <c r="P56">
        <f>($F$9*1000)/(($D$5/SQRT(3)))</f>
        <v>0</v>
      </c>
      <c r="Q56">
        <f>P56</f>
        <v>0</v>
      </c>
      <c r="R56">
        <f>P56</f>
        <v>0</v>
      </c>
      <c r="S56">
        <f>($F$9*1000)/($D$5)</f>
        <v>0</v>
      </c>
      <c r="T56">
        <f>S56</f>
        <v>0</v>
      </c>
      <c r="U56">
        <f>S56</f>
        <v>0</v>
      </c>
      <c r="Z56" s="4"/>
      <c r="AA56" s="5">
        <v>1</v>
      </c>
      <c r="AB56" s="5">
        <v>2</v>
      </c>
      <c r="AC56" s="5">
        <v>3</v>
      </c>
      <c r="AD56" s="5">
        <v>4</v>
      </c>
      <c r="AE56" s="5">
        <v>5</v>
      </c>
      <c r="AF56" s="5">
        <v>6</v>
      </c>
      <c r="AG56" s="6">
        <v>7</v>
      </c>
      <c r="AI56" s="4"/>
      <c r="AJ56" s="5">
        <v>1</v>
      </c>
      <c r="AK56" s="5">
        <v>2</v>
      </c>
      <c r="AL56" s="5">
        <v>3</v>
      </c>
      <c r="AM56" s="5">
        <v>4</v>
      </c>
      <c r="AN56" s="5">
        <v>5</v>
      </c>
      <c r="AO56" s="5">
        <v>6</v>
      </c>
      <c r="AP56" s="6">
        <v>7</v>
      </c>
    </row>
    <row r="57" spans="3:42" x14ac:dyDescent="0.25">
      <c r="M57">
        <v>3</v>
      </c>
      <c r="N57" t="s">
        <v>31</v>
      </c>
      <c r="O57">
        <f>$F$9</f>
        <v>0</v>
      </c>
      <c r="P57">
        <f>O57</f>
        <v>0</v>
      </c>
      <c r="Q57">
        <f>O57</f>
        <v>0</v>
      </c>
      <c r="R57">
        <f>O57</f>
        <v>0</v>
      </c>
      <c r="S57">
        <f>O57</f>
        <v>0</v>
      </c>
      <c r="T57">
        <f>O57</f>
        <v>0</v>
      </c>
      <c r="U57">
        <f>O57</f>
        <v>0</v>
      </c>
      <c r="Z57" s="2"/>
      <c r="AA57" t="s">
        <v>32</v>
      </c>
      <c r="AB57" t="s">
        <v>34</v>
      </c>
      <c r="AC57" t="s">
        <v>35</v>
      </c>
      <c r="AD57" t="s">
        <v>36</v>
      </c>
      <c r="AE57" t="s">
        <v>37</v>
      </c>
      <c r="AF57" t="s">
        <v>38</v>
      </c>
      <c r="AG57" s="3" t="s">
        <v>39</v>
      </c>
      <c r="AI57" s="29" t="s">
        <v>55</v>
      </c>
      <c r="AJ57" t="s">
        <v>32</v>
      </c>
      <c r="AK57" t="s">
        <v>34</v>
      </c>
      <c r="AL57" t="s">
        <v>35</v>
      </c>
      <c r="AM57" t="s">
        <v>36</v>
      </c>
      <c r="AN57" t="s">
        <v>37</v>
      </c>
      <c r="AO57" t="s">
        <v>38</v>
      </c>
      <c r="AP57" s="3" t="s">
        <v>39</v>
      </c>
    </row>
    <row r="58" spans="3:42" x14ac:dyDescent="0.25">
      <c r="Z58" s="2" t="s">
        <v>50</v>
      </c>
      <c r="AA58" s="17">
        <f>H9</f>
        <v>0</v>
      </c>
      <c r="AB58" s="17">
        <f>AA58</f>
        <v>0</v>
      </c>
      <c r="AC58">
        <v>0</v>
      </c>
      <c r="AD58">
        <v>0</v>
      </c>
      <c r="AE58" s="17">
        <f>AA58</f>
        <v>0</v>
      </c>
      <c r="AF58">
        <v>0</v>
      </c>
      <c r="AG58" s="18">
        <f>AA58</f>
        <v>0</v>
      </c>
      <c r="AI58" s="2" t="s">
        <v>50</v>
      </c>
      <c r="AJ58" s="17">
        <f>K9</f>
        <v>0</v>
      </c>
      <c r="AK58" s="17">
        <f>AJ58</f>
        <v>0</v>
      </c>
      <c r="AL58">
        <v>0</v>
      </c>
      <c r="AM58">
        <v>0</v>
      </c>
      <c r="AN58" s="17">
        <f>AJ58+30</f>
        <v>30</v>
      </c>
      <c r="AO58">
        <v>0</v>
      </c>
      <c r="AP58" s="18">
        <f>AJ58-30</f>
        <v>-30</v>
      </c>
    </row>
    <row r="59" spans="3:42" x14ac:dyDescent="0.25">
      <c r="C59" t="s">
        <v>2</v>
      </c>
      <c r="E59">
        <v>1</v>
      </c>
      <c r="J59">
        <v>1</v>
      </c>
      <c r="L59">
        <v>1</v>
      </c>
      <c r="M59">
        <v>1</v>
      </c>
      <c r="N59" t="s">
        <v>29</v>
      </c>
      <c r="O59">
        <f>($F$10*1000)/($D$5*SQRT(3)*$I$10)</f>
        <v>0</v>
      </c>
      <c r="P59">
        <f>($F$10*1000)/(($D$5/SQRT(3))*$I$10)</f>
        <v>0</v>
      </c>
      <c r="Q59">
        <f>P59</f>
        <v>0</v>
      </c>
      <c r="R59">
        <f>P59</f>
        <v>0</v>
      </c>
      <c r="S59">
        <f>($F$10*1000)/($D$5*$I$10)</f>
        <v>0</v>
      </c>
      <c r="T59">
        <f>S59</f>
        <v>0</v>
      </c>
      <c r="U59">
        <f>S59</f>
        <v>0</v>
      </c>
      <c r="Y59">
        <v>2</v>
      </c>
      <c r="Z59" s="2" t="s">
        <v>51</v>
      </c>
      <c r="AA59" s="17">
        <f>AA58</f>
        <v>0</v>
      </c>
      <c r="AB59">
        <v>0</v>
      </c>
      <c r="AC59" s="17">
        <f>AA58</f>
        <v>0</v>
      </c>
      <c r="AD59">
        <v>0</v>
      </c>
      <c r="AE59" s="17">
        <f>AA58</f>
        <v>0</v>
      </c>
      <c r="AF59" s="17">
        <f>AA58</f>
        <v>0</v>
      </c>
      <c r="AG59" s="3">
        <v>0</v>
      </c>
      <c r="AI59" s="2" t="s">
        <v>51</v>
      </c>
      <c r="AJ59" s="17">
        <f>AJ58-120</f>
        <v>-120</v>
      </c>
      <c r="AK59">
        <v>0</v>
      </c>
      <c r="AL59" s="17">
        <f>AJ58-120</f>
        <v>-120</v>
      </c>
      <c r="AM59">
        <v>0</v>
      </c>
      <c r="AN59" s="17">
        <f>AJ58-150</f>
        <v>-150</v>
      </c>
      <c r="AO59" s="17">
        <f>AJ58-90</f>
        <v>-90</v>
      </c>
      <c r="AP59" s="3">
        <v>0</v>
      </c>
    </row>
    <row r="60" spans="3:42" x14ac:dyDescent="0.25">
      <c r="M60">
        <v>2</v>
      </c>
      <c r="N60" t="s">
        <v>30</v>
      </c>
      <c r="O60">
        <f>($F$10*1000)/($D$5*SQRT(3))</f>
        <v>0</v>
      </c>
      <c r="P60">
        <f>($F$10*1000)/(($D$5/SQRT(3)))</f>
        <v>0</v>
      </c>
      <c r="Q60">
        <f>P60</f>
        <v>0</v>
      </c>
      <c r="R60">
        <f>P60</f>
        <v>0</v>
      </c>
      <c r="S60">
        <f>($F$10*1000)/($D$5)</f>
        <v>0</v>
      </c>
      <c r="T60">
        <f>S60</f>
        <v>0</v>
      </c>
      <c r="U60">
        <f>S60</f>
        <v>0</v>
      </c>
      <c r="Z60" s="2" t="s">
        <v>52</v>
      </c>
      <c r="AA60" s="17">
        <f>AA58</f>
        <v>0</v>
      </c>
      <c r="AB60">
        <v>0</v>
      </c>
      <c r="AC60">
        <v>0</v>
      </c>
      <c r="AD60" s="17">
        <f>AA58</f>
        <v>0</v>
      </c>
      <c r="AE60">
        <v>0</v>
      </c>
      <c r="AF60" s="17">
        <f>AA58</f>
        <v>0</v>
      </c>
      <c r="AG60" s="18">
        <f>AA58</f>
        <v>0</v>
      </c>
      <c r="AI60" s="2" t="s">
        <v>52</v>
      </c>
      <c r="AJ60" s="17">
        <f>AJ58+120</f>
        <v>120</v>
      </c>
      <c r="AK60">
        <v>0</v>
      </c>
      <c r="AL60">
        <v>0</v>
      </c>
      <c r="AM60" s="17">
        <f>AJ58+120</f>
        <v>120</v>
      </c>
      <c r="AN60">
        <v>0</v>
      </c>
      <c r="AO60" s="17">
        <f>AJ58+90</f>
        <v>90</v>
      </c>
      <c r="AP60" s="18">
        <f>AJ58+150</f>
        <v>150</v>
      </c>
    </row>
    <row r="61" spans="3:42" x14ac:dyDescent="0.25">
      <c r="M61">
        <v>3</v>
      </c>
      <c r="N61" t="s">
        <v>31</v>
      </c>
      <c r="O61">
        <f>$F$10</f>
        <v>0</v>
      </c>
      <c r="P61">
        <f>O61</f>
        <v>0</v>
      </c>
      <c r="Q61">
        <f>O61</f>
        <v>0</v>
      </c>
      <c r="R61">
        <f>O61</f>
        <v>0</v>
      </c>
      <c r="S61">
        <f>O61</f>
        <v>0</v>
      </c>
      <c r="T61">
        <f>O61</f>
        <v>0</v>
      </c>
      <c r="U61">
        <f>O61</f>
        <v>0</v>
      </c>
      <c r="Z61" s="13" t="s">
        <v>42</v>
      </c>
      <c r="AA61" s="19">
        <v>0</v>
      </c>
      <c r="AB61" s="20">
        <f>AA58</f>
        <v>0</v>
      </c>
      <c r="AC61" s="20">
        <f>AA58</f>
        <v>0</v>
      </c>
      <c r="AD61" s="20">
        <f>AA58</f>
        <v>0</v>
      </c>
      <c r="AE61" s="19">
        <v>0</v>
      </c>
      <c r="AF61" s="19">
        <v>0</v>
      </c>
      <c r="AG61" s="14">
        <v>0</v>
      </c>
      <c r="AI61" s="13" t="s">
        <v>42</v>
      </c>
      <c r="AJ61" s="19">
        <v>0</v>
      </c>
      <c r="AK61" s="20">
        <f>AJ58+180</f>
        <v>180</v>
      </c>
      <c r="AL61" s="20">
        <f>AJ58+180-120</f>
        <v>60</v>
      </c>
      <c r="AM61" s="20">
        <f>AJ58-180+120</f>
        <v>-60</v>
      </c>
      <c r="AN61" s="19">
        <v>0</v>
      </c>
      <c r="AO61" s="19">
        <v>0</v>
      </c>
      <c r="AP61" s="14">
        <v>0</v>
      </c>
    </row>
    <row r="63" spans="3:42" x14ac:dyDescent="0.25">
      <c r="C63" t="s">
        <v>3</v>
      </c>
      <c r="E63">
        <v>1</v>
      </c>
      <c r="J63">
        <v>1</v>
      </c>
      <c r="L63">
        <v>1</v>
      </c>
      <c r="M63">
        <v>1</v>
      </c>
      <c r="N63" t="s">
        <v>29</v>
      </c>
      <c r="O63">
        <f>($F$11*1000)/($D$5*SQRT(3)*$I$11)</f>
        <v>0</v>
      </c>
      <c r="P63">
        <f>($F$11*1000)/(($D$5/SQRT(3))*$I$11)</f>
        <v>0</v>
      </c>
      <c r="Q63">
        <f>P63</f>
        <v>0</v>
      </c>
      <c r="R63">
        <f>P63</f>
        <v>0</v>
      </c>
      <c r="S63">
        <f>($F$11*1000)/($D$5*$I$11)</f>
        <v>0</v>
      </c>
      <c r="T63">
        <f>S63</f>
        <v>0</v>
      </c>
      <c r="U63">
        <f>S63</f>
        <v>0</v>
      </c>
      <c r="Z63" s="4"/>
      <c r="AA63" s="5">
        <v>1</v>
      </c>
      <c r="AB63" s="5">
        <v>2</v>
      </c>
      <c r="AC63" s="5">
        <v>3</v>
      </c>
      <c r="AD63" s="5">
        <v>4</v>
      </c>
      <c r="AE63" s="5">
        <v>5</v>
      </c>
      <c r="AF63" s="5">
        <v>6</v>
      </c>
      <c r="AG63" s="6">
        <v>7</v>
      </c>
      <c r="AI63" s="4"/>
      <c r="AJ63" s="5">
        <v>1</v>
      </c>
      <c r="AK63" s="5">
        <v>2</v>
      </c>
      <c r="AL63" s="5">
        <v>3</v>
      </c>
      <c r="AM63" s="5">
        <v>4</v>
      </c>
      <c r="AN63" s="5">
        <v>5</v>
      </c>
      <c r="AO63" s="5">
        <v>6</v>
      </c>
      <c r="AP63" s="6">
        <v>7</v>
      </c>
    </row>
    <row r="64" spans="3:42" x14ac:dyDescent="0.25">
      <c r="M64">
        <v>2</v>
      </c>
      <c r="N64" t="s">
        <v>30</v>
      </c>
      <c r="O64">
        <f>($F$11*1000)/($D$5*SQRT(3))</f>
        <v>0</v>
      </c>
      <c r="P64">
        <f>($F$11*1000)/(($D$5/SQRT(3)))</f>
        <v>0</v>
      </c>
      <c r="Q64">
        <f>P64</f>
        <v>0</v>
      </c>
      <c r="R64">
        <f>P64</f>
        <v>0</v>
      </c>
      <c r="S64">
        <f>($F$11*1000)/($D$5)</f>
        <v>0</v>
      </c>
      <c r="T64">
        <f>S64</f>
        <v>0</v>
      </c>
      <c r="U64">
        <f>S64</f>
        <v>0</v>
      </c>
      <c r="Z64" s="2"/>
      <c r="AA64" t="s">
        <v>32</v>
      </c>
      <c r="AB64" t="s">
        <v>34</v>
      </c>
      <c r="AC64" t="s">
        <v>35</v>
      </c>
      <c r="AD64" t="s">
        <v>36</v>
      </c>
      <c r="AE64" t="s">
        <v>37</v>
      </c>
      <c r="AF64" t="s">
        <v>38</v>
      </c>
      <c r="AG64" s="3" t="s">
        <v>39</v>
      </c>
      <c r="AI64" s="29" t="s">
        <v>55</v>
      </c>
      <c r="AJ64" t="s">
        <v>32</v>
      </c>
      <c r="AK64" t="s">
        <v>34</v>
      </c>
      <c r="AL64" t="s">
        <v>35</v>
      </c>
      <c r="AM64" t="s">
        <v>36</v>
      </c>
      <c r="AN64" t="s">
        <v>37</v>
      </c>
      <c r="AO64" t="s">
        <v>38</v>
      </c>
      <c r="AP64" s="3" t="s">
        <v>39</v>
      </c>
    </row>
    <row r="65" spans="3:42" x14ac:dyDescent="0.25">
      <c r="M65">
        <v>3</v>
      </c>
      <c r="N65" t="s">
        <v>31</v>
      </c>
      <c r="O65">
        <f>$F$11</f>
        <v>0</v>
      </c>
      <c r="P65">
        <f>O65</f>
        <v>0</v>
      </c>
      <c r="Q65">
        <f>O65</f>
        <v>0</v>
      </c>
      <c r="R65">
        <f>O65</f>
        <v>0</v>
      </c>
      <c r="S65">
        <f>O65</f>
        <v>0</v>
      </c>
      <c r="T65">
        <f>O65</f>
        <v>0</v>
      </c>
      <c r="U65">
        <f>O65</f>
        <v>0</v>
      </c>
      <c r="Z65" s="2" t="s">
        <v>50</v>
      </c>
      <c r="AA65" s="17">
        <f>H10</f>
        <v>0</v>
      </c>
      <c r="AB65" s="17">
        <f>AA65</f>
        <v>0</v>
      </c>
      <c r="AC65">
        <v>0</v>
      </c>
      <c r="AD65">
        <v>0</v>
      </c>
      <c r="AE65" s="17">
        <f>AA65</f>
        <v>0</v>
      </c>
      <c r="AF65">
        <v>0</v>
      </c>
      <c r="AG65" s="18">
        <f>AA65</f>
        <v>0</v>
      </c>
      <c r="AI65" s="2" t="s">
        <v>50</v>
      </c>
      <c r="AJ65" s="17">
        <f>K10</f>
        <v>0</v>
      </c>
      <c r="AK65" s="17">
        <f>AJ65</f>
        <v>0</v>
      </c>
      <c r="AL65">
        <v>0</v>
      </c>
      <c r="AM65">
        <v>0</v>
      </c>
      <c r="AN65" s="17">
        <f>AJ65+30</f>
        <v>30</v>
      </c>
      <c r="AO65">
        <v>0</v>
      </c>
      <c r="AP65" s="18">
        <f>AJ65-30</f>
        <v>-30</v>
      </c>
    </row>
    <row r="66" spans="3:42" x14ac:dyDescent="0.25">
      <c r="Y66">
        <v>3</v>
      </c>
      <c r="Z66" s="2" t="s">
        <v>51</v>
      </c>
      <c r="AA66" s="17">
        <f>AA65</f>
        <v>0</v>
      </c>
      <c r="AB66">
        <v>0</v>
      </c>
      <c r="AC66" s="17">
        <f>AA65</f>
        <v>0</v>
      </c>
      <c r="AD66">
        <v>0</v>
      </c>
      <c r="AE66" s="17">
        <f>AA65</f>
        <v>0</v>
      </c>
      <c r="AF66" s="17">
        <f>AA65</f>
        <v>0</v>
      </c>
      <c r="AG66" s="3">
        <v>0</v>
      </c>
      <c r="AI66" s="2" t="s">
        <v>51</v>
      </c>
      <c r="AJ66" s="17">
        <f>AJ65-120</f>
        <v>-120</v>
      </c>
      <c r="AK66">
        <v>0</v>
      </c>
      <c r="AL66" s="17">
        <f>AJ65-120</f>
        <v>-120</v>
      </c>
      <c r="AM66">
        <v>0</v>
      </c>
      <c r="AN66" s="17">
        <f>AJ65-150</f>
        <v>-150</v>
      </c>
      <c r="AO66" s="17">
        <f>AJ65-90</f>
        <v>-90</v>
      </c>
      <c r="AP66" s="3">
        <v>0</v>
      </c>
    </row>
    <row r="67" spans="3:42" x14ac:dyDescent="0.25">
      <c r="C67" t="s">
        <v>4</v>
      </c>
      <c r="E67">
        <v>1</v>
      </c>
      <c r="J67">
        <v>1</v>
      </c>
      <c r="L67">
        <v>1</v>
      </c>
      <c r="M67">
        <v>1</v>
      </c>
      <c r="N67" t="s">
        <v>29</v>
      </c>
      <c r="O67">
        <f>($F$12*1000)/($D$5*SQRT(3)*$I$12)</f>
        <v>0</v>
      </c>
      <c r="P67">
        <f>($F$12*1000)/(($D$5/SQRT(3))*$I$12)</f>
        <v>0</v>
      </c>
      <c r="Q67">
        <f>P67</f>
        <v>0</v>
      </c>
      <c r="R67">
        <f>P67</f>
        <v>0</v>
      </c>
      <c r="S67">
        <f>($F$12*1000)/($D$5*$I$12)</f>
        <v>0</v>
      </c>
      <c r="T67">
        <f>S67</f>
        <v>0</v>
      </c>
      <c r="U67">
        <f>S67</f>
        <v>0</v>
      </c>
      <c r="Z67" s="2" t="s">
        <v>52</v>
      </c>
      <c r="AA67" s="17">
        <f>AA65</f>
        <v>0</v>
      </c>
      <c r="AB67">
        <v>0</v>
      </c>
      <c r="AC67">
        <v>0</v>
      </c>
      <c r="AD67" s="17">
        <f>AA65</f>
        <v>0</v>
      </c>
      <c r="AE67">
        <v>0</v>
      </c>
      <c r="AF67" s="17">
        <f>AA65</f>
        <v>0</v>
      </c>
      <c r="AG67" s="18">
        <f>AA65</f>
        <v>0</v>
      </c>
      <c r="AI67" s="2" t="s">
        <v>52</v>
      </c>
      <c r="AJ67" s="17">
        <f>AJ65+120</f>
        <v>120</v>
      </c>
      <c r="AK67">
        <v>0</v>
      </c>
      <c r="AL67">
        <v>0</v>
      </c>
      <c r="AM67" s="17">
        <f>AJ65+120</f>
        <v>120</v>
      </c>
      <c r="AN67">
        <v>0</v>
      </c>
      <c r="AO67" s="17">
        <f>AJ65+90</f>
        <v>90</v>
      </c>
      <c r="AP67" s="18">
        <f>AJ65+150</f>
        <v>150</v>
      </c>
    </row>
    <row r="68" spans="3:42" x14ac:dyDescent="0.25">
      <c r="M68">
        <v>2</v>
      </c>
      <c r="N68" t="s">
        <v>30</v>
      </c>
      <c r="O68">
        <f>($F$12*1000)/($D$5*SQRT(3))</f>
        <v>0</v>
      </c>
      <c r="P68">
        <f>($F$12*1000)/(($D$5/SQRT(3)))</f>
        <v>0</v>
      </c>
      <c r="Q68">
        <f>P68</f>
        <v>0</v>
      </c>
      <c r="R68">
        <f>P68</f>
        <v>0</v>
      </c>
      <c r="S68">
        <f>($F$12*1000)/($D$5)</f>
        <v>0</v>
      </c>
      <c r="T68">
        <f>S68</f>
        <v>0</v>
      </c>
      <c r="U68">
        <f>S68</f>
        <v>0</v>
      </c>
      <c r="Z68" s="13" t="s">
        <v>42</v>
      </c>
      <c r="AA68" s="19">
        <v>0</v>
      </c>
      <c r="AB68" s="20">
        <f>AA65</f>
        <v>0</v>
      </c>
      <c r="AC68" s="20">
        <f>AA65</f>
        <v>0</v>
      </c>
      <c r="AD68" s="20">
        <f>AA65</f>
        <v>0</v>
      </c>
      <c r="AE68" s="19">
        <v>0</v>
      </c>
      <c r="AF68" s="19">
        <v>0</v>
      </c>
      <c r="AG68" s="14">
        <v>0</v>
      </c>
      <c r="AI68" s="13" t="s">
        <v>42</v>
      </c>
      <c r="AJ68" s="19">
        <v>0</v>
      </c>
      <c r="AK68" s="20">
        <f>AJ65+180</f>
        <v>180</v>
      </c>
      <c r="AL68" s="20">
        <f>AJ65+180-120</f>
        <v>60</v>
      </c>
      <c r="AM68" s="20">
        <f>AJ65-180+120</f>
        <v>-60</v>
      </c>
      <c r="AN68" s="19">
        <v>0</v>
      </c>
      <c r="AO68" s="19">
        <v>0</v>
      </c>
      <c r="AP68" s="14">
        <v>0</v>
      </c>
    </row>
    <row r="69" spans="3:42" x14ac:dyDescent="0.25">
      <c r="M69">
        <v>3</v>
      </c>
      <c r="N69" t="s">
        <v>31</v>
      </c>
      <c r="O69">
        <f>$F$12</f>
        <v>0</v>
      </c>
      <c r="P69">
        <f>O69</f>
        <v>0</v>
      </c>
      <c r="Q69">
        <f>O69</f>
        <v>0</v>
      </c>
      <c r="R69">
        <f>O69</f>
        <v>0</v>
      </c>
      <c r="S69">
        <f>O69</f>
        <v>0</v>
      </c>
      <c r="T69">
        <f>O69</f>
        <v>0</v>
      </c>
      <c r="U69">
        <f>O69</f>
        <v>0</v>
      </c>
    </row>
    <row r="70" spans="3:42" x14ac:dyDescent="0.25">
      <c r="Z70" s="4"/>
      <c r="AA70" s="5">
        <v>1</v>
      </c>
      <c r="AB70" s="5">
        <v>2</v>
      </c>
      <c r="AC70" s="5">
        <v>3</v>
      </c>
      <c r="AD70" s="5">
        <v>4</v>
      </c>
      <c r="AE70" s="5">
        <v>5</v>
      </c>
      <c r="AF70" s="5">
        <v>6</v>
      </c>
      <c r="AG70" s="6">
        <v>7</v>
      </c>
      <c r="AI70" s="4"/>
      <c r="AJ70" s="5">
        <v>1</v>
      </c>
      <c r="AK70" s="5">
        <v>2</v>
      </c>
      <c r="AL70" s="5">
        <v>3</v>
      </c>
      <c r="AM70" s="5">
        <v>4</v>
      </c>
      <c r="AN70" s="5">
        <v>5</v>
      </c>
      <c r="AO70" s="5">
        <v>6</v>
      </c>
      <c r="AP70" s="6">
        <v>7</v>
      </c>
    </row>
    <row r="71" spans="3:42" x14ac:dyDescent="0.25">
      <c r="C71" t="s">
        <v>5</v>
      </c>
      <c r="E71">
        <v>1</v>
      </c>
      <c r="J71">
        <v>1</v>
      </c>
      <c r="L71">
        <v>1</v>
      </c>
      <c r="M71">
        <v>1</v>
      </c>
      <c r="N71" t="s">
        <v>29</v>
      </c>
      <c r="O71">
        <f>($F$13*1000)/($D$5*SQRT(3)*$I$13)</f>
        <v>0</v>
      </c>
      <c r="P71">
        <f>($F$13*1000)/(($D$5/SQRT(3))*$I$13)</f>
        <v>0</v>
      </c>
      <c r="Q71">
        <f>P71</f>
        <v>0</v>
      </c>
      <c r="R71">
        <f>P71</f>
        <v>0</v>
      </c>
      <c r="S71">
        <f>($F$13*1000)/($D$5*$I$13)</f>
        <v>0</v>
      </c>
      <c r="T71">
        <f>S71</f>
        <v>0</v>
      </c>
      <c r="U71">
        <f>S71</f>
        <v>0</v>
      </c>
      <c r="Z71" s="2"/>
      <c r="AA71" t="s">
        <v>32</v>
      </c>
      <c r="AB71" t="s">
        <v>34</v>
      </c>
      <c r="AC71" t="s">
        <v>35</v>
      </c>
      <c r="AD71" t="s">
        <v>36</v>
      </c>
      <c r="AE71" t="s">
        <v>37</v>
      </c>
      <c r="AF71" t="s">
        <v>38</v>
      </c>
      <c r="AG71" s="3" t="s">
        <v>39</v>
      </c>
      <c r="AI71" s="29" t="s">
        <v>55</v>
      </c>
      <c r="AJ71" t="s">
        <v>32</v>
      </c>
      <c r="AK71" t="s">
        <v>34</v>
      </c>
      <c r="AL71" t="s">
        <v>35</v>
      </c>
      <c r="AM71" t="s">
        <v>36</v>
      </c>
      <c r="AN71" t="s">
        <v>37</v>
      </c>
      <c r="AO71" t="s">
        <v>38</v>
      </c>
      <c r="AP71" s="3" t="s">
        <v>39</v>
      </c>
    </row>
    <row r="72" spans="3:42" x14ac:dyDescent="0.25">
      <c r="M72">
        <v>2</v>
      </c>
      <c r="N72" t="s">
        <v>30</v>
      </c>
      <c r="O72">
        <f>($F$13*1000)/($D$5*SQRT(3))</f>
        <v>0</v>
      </c>
      <c r="P72">
        <f>($F$13*1000)/(($D$5/SQRT(3)))</f>
        <v>0</v>
      </c>
      <c r="Q72">
        <f>P72</f>
        <v>0</v>
      </c>
      <c r="R72">
        <f>P72</f>
        <v>0</v>
      </c>
      <c r="S72">
        <f>($F$13*1000)/($D$5)</f>
        <v>0</v>
      </c>
      <c r="T72">
        <f>S72</f>
        <v>0</v>
      </c>
      <c r="U72">
        <f>S72</f>
        <v>0</v>
      </c>
      <c r="Z72" s="2" t="s">
        <v>50</v>
      </c>
      <c r="AA72" s="17">
        <f>H11</f>
        <v>0</v>
      </c>
      <c r="AB72" s="17">
        <f>AA72</f>
        <v>0</v>
      </c>
      <c r="AC72">
        <v>0</v>
      </c>
      <c r="AD72">
        <v>0</v>
      </c>
      <c r="AE72" s="17">
        <f>AA72</f>
        <v>0</v>
      </c>
      <c r="AF72">
        <v>0</v>
      </c>
      <c r="AG72" s="18">
        <f>AA72</f>
        <v>0</v>
      </c>
      <c r="AI72" s="2" t="s">
        <v>50</v>
      </c>
      <c r="AJ72" s="17">
        <f>K11</f>
        <v>0</v>
      </c>
      <c r="AK72" s="17">
        <f>AJ72</f>
        <v>0</v>
      </c>
      <c r="AL72">
        <v>0</v>
      </c>
      <c r="AM72">
        <v>0</v>
      </c>
      <c r="AN72" s="17">
        <f>AJ72+30</f>
        <v>30</v>
      </c>
      <c r="AO72">
        <v>0</v>
      </c>
      <c r="AP72" s="18">
        <f>AJ72-30</f>
        <v>-30</v>
      </c>
    </row>
    <row r="73" spans="3:42" x14ac:dyDescent="0.25">
      <c r="M73">
        <v>3</v>
      </c>
      <c r="N73" t="s">
        <v>31</v>
      </c>
      <c r="O73">
        <f>$F$13</f>
        <v>0</v>
      </c>
      <c r="P73">
        <f>O73</f>
        <v>0</v>
      </c>
      <c r="Q73">
        <f>O73</f>
        <v>0</v>
      </c>
      <c r="R73">
        <f>O73</f>
        <v>0</v>
      </c>
      <c r="S73">
        <f>O73</f>
        <v>0</v>
      </c>
      <c r="T73">
        <f>O73</f>
        <v>0</v>
      </c>
      <c r="U73">
        <f>O73</f>
        <v>0</v>
      </c>
      <c r="Y73">
        <v>4</v>
      </c>
      <c r="Z73" s="2" t="s">
        <v>51</v>
      </c>
      <c r="AA73" s="17">
        <f>AA72</f>
        <v>0</v>
      </c>
      <c r="AB73">
        <v>0</v>
      </c>
      <c r="AC73" s="17">
        <f>AA72</f>
        <v>0</v>
      </c>
      <c r="AD73">
        <v>0</v>
      </c>
      <c r="AE73" s="17">
        <f>AA72</f>
        <v>0</v>
      </c>
      <c r="AF73" s="17">
        <f>AA72</f>
        <v>0</v>
      </c>
      <c r="AG73" s="3">
        <v>0</v>
      </c>
      <c r="AI73" s="2" t="s">
        <v>51</v>
      </c>
      <c r="AJ73" s="17">
        <f>AJ72-120</f>
        <v>-120</v>
      </c>
      <c r="AK73">
        <v>0</v>
      </c>
      <c r="AL73" s="17">
        <f>AJ72-120</f>
        <v>-120</v>
      </c>
      <c r="AM73">
        <v>0</v>
      </c>
      <c r="AN73" s="17">
        <f>AJ72-150</f>
        <v>-150</v>
      </c>
      <c r="AO73" s="17">
        <f>AJ72-90</f>
        <v>-90</v>
      </c>
      <c r="AP73" s="3">
        <v>0</v>
      </c>
    </row>
    <row r="74" spans="3:42" x14ac:dyDescent="0.25">
      <c r="Z74" s="2" t="s">
        <v>52</v>
      </c>
      <c r="AA74" s="17">
        <f>AA72</f>
        <v>0</v>
      </c>
      <c r="AB74">
        <v>0</v>
      </c>
      <c r="AC74">
        <v>0</v>
      </c>
      <c r="AD74" s="17">
        <f>AA72</f>
        <v>0</v>
      </c>
      <c r="AE74">
        <v>0</v>
      </c>
      <c r="AF74" s="17">
        <f>AA72</f>
        <v>0</v>
      </c>
      <c r="AG74" s="18">
        <f>AA72</f>
        <v>0</v>
      </c>
      <c r="AI74" s="2" t="s">
        <v>52</v>
      </c>
      <c r="AJ74" s="17">
        <f>AJ72+120</f>
        <v>120</v>
      </c>
      <c r="AK74">
        <v>0</v>
      </c>
      <c r="AL74">
        <v>0</v>
      </c>
      <c r="AM74" s="17">
        <f>AJ72+120</f>
        <v>120</v>
      </c>
      <c r="AN74">
        <v>0</v>
      </c>
      <c r="AO74" s="17">
        <f>AJ72+90</f>
        <v>90</v>
      </c>
      <c r="AP74" s="18">
        <f>AJ72+150</f>
        <v>150</v>
      </c>
    </row>
    <row r="75" spans="3:42" x14ac:dyDescent="0.25">
      <c r="C75" t="s">
        <v>6</v>
      </c>
      <c r="E75">
        <v>1</v>
      </c>
      <c r="J75">
        <v>1</v>
      </c>
      <c r="L75">
        <v>1</v>
      </c>
      <c r="M75">
        <v>1</v>
      </c>
      <c r="N75" t="s">
        <v>29</v>
      </c>
      <c r="O75">
        <f>($F$14*1000)/($D$5*SQRT(3)*$I$14)</f>
        <v>0</v>
      </c>
      <c r="P75">
        <f>($F$14*1000)/(($D$5/SQRT(3))*$I$14)</f>
        <v>0</v>
      </c>
      <c r="Q75">
        <f>P75</f>
        <v>0</v>
      </c>
      <c r="R75">
        <f>P75</f>
        <v>0</v>
      </c>
      <c r="S75">
        <f>($F$14*1000)/($D$5*$I$14)</f>
        <v>0</v>
      </c>
      <c r="T75">
        <f>S75</f>
        <v>0</v>
      </c>
      <c r="U75">
        <f>S75</f>
        <v>0</v>
      </c>
      <c r="Z75" s="13" t="s">
        <v>42</v>
      </c>
      <c r="AA75" s="19">
        <v>0</v>
      </c>
      <c r="AB75" s="20">
        <f>AA72</f>
        <v>0</v>
      </c>
      <c r="AC75" s="20">
        <f>AA72</f>
        <v>0</v>
      </c>
      <c r="AD75" s="20">
        <f>AA72</f>
        <v>0</v>
      </c>
      <c r="AE75" s="19">
        <v>0</v>
      </c>
      <c r="AF75" s="19">
        <v>0</v>
      </c>
      <c r="AG75" s="14">
        <v>0</v>
      </c>
      <c r="AI75" s="13" t="s">
        <v>42</v>
      </c>
      <c r="AJ75" s="19">
        <v>0</v>
      </c>
      <c r="AK75" s="20">
        <f>AJ72+180</f>
        <v>180</v>
      </c>
      <c r="AL75" s="20">
        <f>AJ72+180-120</f>
        <v>60</v>
      </c>
      <c r="AM75" s="20">
        <f>AJ72-180+120</f>
        <v>-60</v>
      </c>
      <c r="AN75" s="19">
        <v>0</v>
      </c>
      <c r="AO75" s="19">
        <v>0</v>
      </c>
      <c r="AP75" s="14">
        <v>0</v>
      </c>
    </row>
    <row r="76" spans="3:42" x14ac:dyDescent="0.25">
      <c r="M76">
        <v>2</v>
      </c>
      <c r="N76" t="s">
        <v>30</v>
      </c>
      <c r="O76">
        <f>($F$14*1000)/($D$5*SQRT(3))</f>
        <v>0</v>
      </c>
      <c r="P76">
        <f>($F$14*1000)/(($D$5/SQRT(3)))</f>
        <v>0</v>
      </c>
      <c r="Q76">
        <f>P76</f>
        <v>0</v>
      </c>
      <c r="R76">
        <f>P76</f>
        <v>0</v>
      </c>
      <c r="S76">
        <f>($F$14*1000)/($D$5)</f>
        <v>0</v>
      </c>
      <c r="T76">
        <f>S76</f>
        <v>0</v>
      </c>
      <c r="U76">
        <f>S76</f>
        <v>0</v>
      </c>
    </row>
    <row r="77" spans="3:42" x14ac:dyDescent="0.25">
      <c r="M77">
        <v>3</v>
      </c>
      <c r="N77" t="s">
        <v>31</v>
      </c>
      <c r="O77">
        <f>$F$14</f>
        <v>0</v>
      </c>
      <c r="P77">
        <f>O77</f>
        <v>0</v>
      </c>
      <c r="Q77">
        <f>O77</f>
        <v>0</v>
      </c>
      <c r="R77">
        <f>O77</f>
        <v>0</v>
      </c>
      <c r="S77">
        <f>O77</f>
        <v>0</v>
      </c>
      <c r="T77">
        <f>O77</f>
        <v>0</v>
      </c>
      <c r="U77">
        <f>O77</f>
        <v>0</v>
      </c>
      <c r="Z77" s="4"/>
      <c r="AA77" s="5">
        <v>1</v>
      </c>
      <c r="AB77" s="5">
        <v>2</v>
      </c>
      <c r="AC77" s="5">
        <v>3</v>
      </c>
      <c r="AD77" s="5">
        <v>4</v>
      </c>
      <c r="AE77" s="5">
        <v>5</v>
      </c>
      <c r="AF77" s="5">
        <v>6</v>
      </c>
      <c r="AG77" s="6">
        <v>7</v>
      </c>
      <c r="AI77" s="4"/>
      <c r="AJ77" s="5">
        <v>1</v>
      </c>
      <c r="AK77" s="5">
        <v>2</v>
      </c>
      <c r="AL77" s="5">
        <v>3</v>
      </c>
      <c r="AM77" s="5">
        <v>4</v>
      </c>
      <c r="AN77" s="5">
        <v>5</v>
      </c>
      <c r="AO77" s="5">
        <v>6</v>
      </c>
      <c r="AP77" s="6">
        <v>7</v>
      </c>
    </row>
    <row r="78" spans="3:42" x14ac:dyDescent="0.25">
      <c r="Z78" s="2"/>
      <c r="AA78" t="s">
        <v>32</v>
      </c>
      <c r="AB78" t="s">
        <v>34</v>
      </c>
      <c r="AC78" t="s">
        <v>35</v>
      </c>
      <c r="AD78" t="s">
        <v>36</v>
      </c>
      <c r="AE78" t="s">
        <v>37</v>
      </c>
      <c r="AF78" t="s">
        <v>38</v>
      </c>
      <c r="AG78" s="3" t="s">
        <v>39</v>
      </c>
      <c r="AI78" s="29" t="s">
        <v>55</v>
      </c>
      <c r="AJ78" t="s">
        <v>32</v>
      </c>
      <c r="AK78" t="s">
        <v>34</v>
      </c>
      <c r="AL78" t="s">
        <v>35</v>
      </c>
      <c r="AM78" t="s">
        <v>36</v>
      </c>
      <c r="AN78" t="s">
        <v>37</v>
      </c>
      <c r="AO78" t="s">
        <v>38</v>
      </c>
      <c r="AP78" s="3" t="s">
        <v>39</v>
      </c>
    </row>
    <row r="79" spans="3:42" x14ac:dyDescent="0.25">
      <c r="C79" t="s">
        <v>7</v>
      </c>
      <c r="E79">
        <v>1</v>
      </c>
      <c r="J79">
        <v>1</v>
      </c>
      <c r="L79">
        <v>1</v>
      </c>
      <c r="M79">
        <v>1</v>
      </c>
      <c r="N79" t="s">
        <v>29</v>
      </c>
      <c r="O79">
        <f>($F$15*1000)/($D$5*SQRT(3)*$I$15)</f>
        <v>0</v>
      </c>
      <c r="P79">
        <f>($F$15*1000)/(($D$5/SQRT(3))*$I$15)</f>
        <v>0</v>
      </c>
      <c r="Q79">
        <f>P79</f>
        <v>0</v>
      </c>
      <c r="R79">
        <f>P79</f>
        <v>0</v>
      </c>
      <c r="S79">
        <f>($F$15*1000)/($D$5*$I$15)</f>
        <v>0</v>
      </c>
      <c r="T79">
        <f>S79</f>
        <v>0</v>
      </c>
      <c r="U79">
        <f>S79</f>
        <v>0</v>
      </c>
      <c r="Z79" s="2" t="s">
        <v>50</v>
      </c>
      <c r="AA79" s="17">
        <f>H12</f>
        <v>0</v>
      </c>
      <c r="AB79" s="17">
        <f>AA79</f>
        <v>0</v>
      </c>
      <c r="AC79">
        <v>0</v>
      </c>
      <c r="AD79">
        <v>0</v>
      </c>
      <c r="AE79" s="17">
        <f>AA79</f>
        <v>0</v>
      </c>
      <c r="AF79">
        <v>0</v>
      </c>
      <c r="AG79" s="18">
        <f>AA79</f>
        <v>0</v>
      </c>
      <c r="AI79" s="2" t="s">
        <v>50</v>
      </c>
      <c r="AJ79" s="17">
        <f>K12</f>
        <v>0</v>
      </c>
      <c r="AK79" s="17">
        <f>AJ79</f>
        <v>0</v>
      </c>
      <c r="AL79">
        <v>0</v>
      </c>
      <c r="AM79">
        <v>0</v>
      </c>
      <c r="AN79" s="17">
        <f>AJ79+30</f>
        <v>30</v>
      </c>
      <c r="AO79">
        <v>0</v>
      </c>
      <c r="AP79" s="18">
        <f>AJ79-30</f>
        <v>-30</v>
      </c>
    </row>
    <row r="80" spans="3:42" x14ac:dyDescent="0.25">
      <c r="M80">
        <v>2</v>
      </c>
      <c r="N80" t="s">
        <v>30</v>
      </c>
      <c r="O80">
        <f>($F$15*1000)/($D$5*SQRT(3))</f>
        <v>0</v>
      </c>
      <c r="P80">
        <f>($F$15*1000)/(($D$5/SQRT(3)))</f>
        <v>0</v>
      </c>
      <c r="Q80">
        <f>P80</f>
        <v>0</v>
      </c>
      <c r="R80">
        <f>P80</f>
        <v>0</v>
      </c>
      <c r="S80">
        <f>($F$15*1000)/($D$5)</f>
        <v>0</v>
      </c>
      <c r="T80">
        <f>S80</f>
        <v>0</v>
      </c>
      <c r="U80">
        <f>S80</f>
        <v>0</v>
      </c>
      <c r="Y80">
        <v>5</v>
      </c>
      <c r="Z80" s="2" t="s">
        <v>51</v>
      </c>
      <c r="AA80" s="17">
        <f>AA79</f>
        <v>0</v>
      </c>
      <c r="AB80">
        <v>0</v>
      </c>
      <c r="AC80" s="17">
        <f>AA79</f>
        <v>0</v>
      </c>
      <c r="AD80">
        <v>0</v>
      </c>
      <c r="AE80" s="17">
        <f>AA79</f>
        <v>0</v>
      </c>
      <c r="AF80" s="17">
        <f>AA79</f>
        <v>0</v>
      </c>
      <c r="AG80" s="3">
        <v>0</v>
      </c>
      <c r="AI80" s="2" t="s">
        <v>51</v>
      </c>
      <c r="AJ80" s="17">
        <f>AJ79-120</f>
        <v>-120</v>
      </c>
      <c r="AK80">
        <v>0</v>
      </c>
      <c r="AL80" s="17">
        <f>AJ79-120</f>
        <v>-120</v>
      </c>
      <c r="AM80">
        <v>0</v>
      </c>
      <c r="AN80" s="17">
        <f>AJ79-150</f>
        <v>-150</v>
      </c>
      <c r="AO80" s="17">
        <f>AJ79-90</f>
        <v>-90</v>
      </c>
      <c r="AP80" s="3">
        <v>0</v>
      </c>
    </row>
    <row r="81" spans="3:42" x14ac:dyDescent="0.25">
      <c r="M81">
        <v>3</v>
      </c>
      <c r="N81" t="s">
        <v>31</v>
      </c>
      <c r="O81">
        <f>$F$15</f>
        <v>0</v>
      </c>
      <c r="P81">
        <f>O81</f>
        <v>0</v>
      </c>
      <c r="Q81">
        <f>O81</f>
        <v>0</v>
      </c>
      <c r="R81">
        <f>O81</f>
        <v>0</v>
      </c>
      <c r="S81">
        <f>O81</f>
        <v>0</v>
      </c>
      <c r="T81">
        <f>O81</f>
        <v>0</v>
      </c>
      <c r="U81">
        <f>O81</f>
        <v>0</v>
      </c>
      <c r="Z81" s="2" t="s">
        <v>52</v>
      </c>
      <c r="AA81" s="17">
        <f>AA79</f>
        <v>0</v>
      </c>
      <c r="AB81">
        <v>0</v>
      </c>
      <c r="AC81">
        <v>0</v>
      </c>
      <c r="AD81" s="17">
        <f>AA79</f>
        <v>0</v>
      </c>
      <c r="AE81">
        <v>0</v>
      </c>
      <c r="AF81" s="17">
        <f>AA79</f>
        <v>0</v>
      </c>
      <c r="AG81" s="18">
        <f>AA79</f>
        <v>0</v>
      </c>
      <c r="AI81" s="2" t="s">
        <v>52</v>
      </c>
      <c r="AJ81" s="17">
        <f>AJ79+120</f>
        <v>120</v>
      </c>
      <c r="AK81">
        <v>0</v>
      </c>
      <c r="AL81">
        <v>0</v>
      </c>
      <c r="AM81" s="17">
        <f>AJ79+120</f>
        <v>120</v>
      </c>
      <c r="AN81">
        <v>0</v>
      </c>
      <c r="AO81" s="17">
        <f>AJ79+90</f>
        <v>90</v>
      </c>
      <c r="AP81" s="18">
        <f>AJ79+150</f>
        <v>150</v>
      </c>
    </row>
    <row r="82" spans="3:42" x14ac:dyDescent="0.25">
      <c r="Z82" s="13" t="s">
        <v>42</v>
      </c>
      <c r="AA82" s="19">
        <v>0</v>
      </c>
      <c r="AB82" s="20">
        <f>AA79</f>
        <v>0</v>
      </c>
      <c r="AC82" s="20">
        <f>AA79</f>
        <v>0</v>
      </c>
      <c r="AD82" s="20">
        <f>AA79</f>
        <v>0</v>
      </c>
      <c r="AE82" s="19">
        <v>0</v>
      </c>
      <c r="AF82" s="19">
        <v>0</v>
      </c>
      <c r="AG82" s="14">
        <v>0</v>
      </c>
      <c r="AI82" s="13" t="s">
        <v>42</v>
      </c>
      <c r="AJ82" s="19">
        <v>0</v>
      </c>
      <c r="AK82" s="20">
        <f>AJ79+180</f>
        <v>180</v>
      </c>
      <c r="AL82" s="20">
        <f>AJ79+180-120</f>
        <v>60</v>
      </c>
      <c r="AM82" s="20">
        <f>AJ79-180+120</f>
        <v>-60</v>
      </c>
      <c r="AN82" s="19">
        <v>0</v>
      </c>
      <c r="AO82" s="19">
        <v>0</v>
      </c>
      <c r="AP82" s="14">
        <v>0</v>
      </c>
    </row>
    <row r="83" spans="3:42" x14ac:dyDescent="0.25">
      <c r="C83" t="s">
        <v>8</v>
      </c>
      <c r="E83">
        <v>1</v>
      </c>
      <c r="J83">
        <v>1</v>
      </c>
      <c r="L83">
        <v>1</v>
      </c>
      <c r="M83">
        <v>1</v>
      </c>
      <c r="N83" t="s">
        <v>29</v>
      </c>
      <c r="O83">
        <f>($F$16*1000)/($D$5*SQRT(3)*$I$16)</f>
        <v>0</v>
      </c>
      <c r="P83">
        <f>($F$16*1000)/(($D$5/SQRT(3))*$I$16)</f>
        <v>0</v>
      </c>
      <c r="Q83">
        <f>P83</f>
        <v>0</v>
      </c>
      <c r="R83">
        <f>P83</f>
        <v>0</v>
      </c>
      <c r="S83">
        <f>($F$16*1000)/($D$5*$I$16)</f>
        <v>0</v>
      </c>
      <c r="T83">
        <f>S83</f>
        <v>0</v>
      </c>
      <c r="U83">
        <f>S83</f>
        <v>0</v>
      </c>
    </row>
    <row r="84" spans="3:42" x14ac:dyDescent="0.25">
      <c r="M84">
        <v>2</v>
      </c>
      <c r="N84" t="s">
        <v>30</v>
      </c>
      <c r="O84">
        <f>($F$16*1000)/($D$5*SQRT(3))</f>
        <v>0</v>
      </c>
      <c r="P84">
        <f>($F$16*1000)/(($D$5/SQRT(3)))</f>
        <v>0</v>
      </c>
      <c r="Q84">
        <f>P84</f>
        <v>0</v>
      </c>
      <c r="R84">
        <f>P84</f>
        <v>0</v>
      </c>
      <c r="S84">
        <f>($F$16*1000)/($D$5)</f>
        <v>0</v>
      </c>
      <c r="T84">
        <f>S84</f>
        <v>0</v>
      </c>
      <c r="U84">
        <f>S84</f>
        <v>0</v>
      </c>
      <c r="Z84" s="4"/>
      <c r="AA84" s="5">
        <v>1</v>
      </c>
      <c r="AB84" s="5">
        <v>2</v>
      </c>
      <c r="AC84" s="5">
        <v>3</v>
      </c>
      <c r="AD84" s="5">
        <v>4</v>
      </c>
      <c r="AE84" s="5">
        <v>5</v>
      </c>
      <c r="AF84" s="5">
        <v>6</v>
      </c>
      <c r="AG84" s="6">
        <v>7</v>
      </c>
      <c r="AI84" s="4"/>
      <c r="AJ84" s="5">
        <v>1</v>
      </c>
      <c r="AK84" s="5">
        <v>2</v>
      </c>
      <c r="AL84" s="5">
        <v>3</v>
      </c>
      <c r="AM84" s="5">
        <v>4</v>
      </c>
      <c r="AN84" s="5">
        <v>5</v>
      </c>
      <c r="AO84" s="5">
        <v>6</v>
      </c>
      <c r="AP84" s="6">
        <v>7</v>
      </c>
    </row>
    <row r="85" spans="3:42" x14ac:dyDescent="0.25">
      <c r="M85">
        <v>3</v>
      </c>
      <c r="N85" t="s">
        <v>31</v>
      </c>
      <c r="O85">
        <f>$F$16</f>
        <v>0</v>
      </c>
      <c r="P85">
        <f>O85</f>
        <v>0</v>
      </c>
      <c r="Q85">
        <f>O85</f>
        <v>0</v>
      </c>
      <c r="R85">
        <f>O85</f>
        <v>0</v>
      </c>
      <c r="S85">
        <f>O85</f>
        <v>0</v>
      </c>
      <c r="T85">
        <f>O85</f>
        <v>0</v>
      </c>
      <c r="U85">
        <f>O85</f>
        <v>0</v>
      </c>
      <c r="Z85" s="2"/>
      <c r="AA85" t="s">
        <v>32</v>
      </c>
      <c r="AB85" t="s">
        <v>34</v>
      </c>
      <c r="AC85" t="s">
        <v>35</v>
      </c>
      <c r="AD85" t="s">
        <v>36</v>
      </c>
      <c r="AE85" t="s">
        <v>37</v>
      </c>
      <c r="AF85" t="s">
        <v>38</v>
      </c>
      <c r="AG85" s="3" t="s">
        <v>39</v>
      </c>
      <c r="AI85" s="29" t="s">
        <v>55</v>
      </c>
      <c r="AJ85" t="s">
        <v>32</v>
      </c>
      <c r="AK85" t="s">
        <v>34</v>
      </c>
      <c r="AL85" t="s">
        <v>35</v>
      </c>
      <c r="AM85" t="s">
        <v>36</v>
      </c>
      <c r="AN85" t="s">
        <v>37</v>
      </c>
      <c r="AO85" t="s">
        <v>38</v>
      </c>
      <c r="AP85" s="3" t="s">
        <v>39</v>
      </c>
    </row>
    <row r="86" spans="3:42" x14ac:dyDescent="0.25">
      <c r="Z86" s="2" t="s">
        <v>50</v>
      </c>
      <c r="AA86" s="17">
        <f>H13</f>
        <v>0</v>
      </c>
      <c r="AB86" s="17">
        <f>AA86</f>
        <v>0</v>
      </c>
      <c r="AC86">
        <v>0</v>
      </c>
      <c r="AD86">
        <v>0</v>
      </c>
      <c r="AE86" s="17">
        <f>AA86</f>
        <v>0</v>
      </c>
      <c r="AF86">
        <v>0</v>
      </c>
      <c r="AG86" s="18">
        <f>AA86</f>
        <v>0</v>
      </c>
      <c r="AI86" s="2" t="s">
        <v>50</v>
      </c>
      <c r="AJ86" s="17">
        <f>K13</f>
        <v>0</v>
      </c>
      <c r="AK86" s="17">
        <f>AJ86</f>
        <v>0</v>
      </c>
      <c r="AL86">
        <v>0</v>
      </c>
      <c r="AM86">
        <v>0</v>
      </c>
      <c r="AN86" s="17">
        <f>AJ86+30</f>
        <v>30</v>
      </c>
      <c r="AO86">
        <v>0</v>
      </c>
      <c r="AP86" s="18">
        <f>AJ86-30</f>
        <v>-30</v>
      </c>
    </row>
    <row r="87" spans="3:42" x14ac:dyDescent="0.25">
      <c r="C87" t="s">
        <v>9</v>
      </c>
      <c r="E87">
        <v>1</v>
      </c>
      <c r="J87">
        <v>1</v>
      </c>
      <c r="L87">
        <v>1</v>
      </c>
      <c r="M87">
        <v>1</v>
      </c>
      <c r="N87" t="s">
        <v>29</v>
      </c>
      <c r="O87">
        <f>($F$17*1000)/($D$5*SQRT(3)*$I$17)</f>
        <v>0</v>
      </c>
      <c r="P87">
        <f>($F$17*1000)/(($D$5/SQRT(3))*$I$17)</f>
        <v>0</v>
      </c>
      <c r="Q87">
        <f>P87</f>
        <v>0</v>
      </c>
      <c r="R87">
        <f>P87</f>
        <v>0</v>
      </c>
      <c r="S87">
        <f>($F$17*1000)/($D$5*$I$17)</f>
        <v>0</v>
      </c>
      <c r="T87">
        <f>S87</f>
        <v>0</v>
      </c>
      <c r="U87">
        <f>S87</f>
        <v>0</v>
      </c>
      <c r="Y87">
        <v>6</v>
      </c>
      <c r="Z87" s="2" t="s">
        <v>51</v>
      </c>
      <c r="AA87" s="17">
        <f>AA86</f>
        <v>0</v>
      </c>
      <c r="AB87">
        <v>0</v>
      </c>
      <c r="AC87" s="17">
        <f>AA86</f>
        <v>0</v>
      </c>
      <c r="AD87">
        <v>0</v>
      </c>
      <c r="AE87" s="17">
        <f>AA86</f>
        <v>0</v>
      </c>
      <c r="AF87" s="17">
        <f>AA86</f>
        <v>0</v>
      </c>
      <c r="AG87" s="3">
        <v>0</v>
      </c>
      <c r="AI87" s="2" t="s">
        <v>51</v>
      </c>
      <c r="AJ87" s="17">
        <f>AJ86-120</f>
        <v>-120</v>
      </c>
      <c r="AK87">
        <v>0</v>
      </c>
      <c r="AL87" s="17">
        <f>AJ86-120</f>
        <v>-120</v>
      </c>
      <c r="AM87">
        <v>0</v>
      </c>
      <c r="AN87" s="17">
        <f>AJ86-150</f>
        <v>-150</v>
      </c>
      <c r="AO87" s="17">
        <f>AJ86-90</f>
        <v>-90</v>
      </c>
      <c r="AP87" s="3">
        <v>0</v>
      </c>
    </row>
    <row r="88" spans="3:42" x14ac:dyDescent="0.25">
      <c r="M88">
        <v>2</v>
      </c>
      <c r="N88" t="s">
        <v>30</v>
      </c>
      <c r="O88">
        <f>($F$17*1000)/($D$5*SQRT(3))</f>
        <v>0</v>
      </c>
      <c r="P88">
        <f>($F$17*1000)/(($D$5/SQRT(3)))</f>
        <v>0</v>
      </c>
      <c r="Q88">
        <f>P88</f>
        <v>0</v>
      </c>
      <c r="R88">
        <f>P88</f>
        <v>0</v>
      </c>
      <c r="S88">
        <f>($F$17*1000)/($D$5)</f>
        <v>0</v>
      </c>
      <c r="T88">
        <f>S88</f>
        <v>0</v>
      </c>
      <c r="U88">
        <f>S88</f>
        <v>0</v>
      </c>
      <c r="Z88" s="2" t="s">
        <v>52</v>
      </c>
      <c r="AA88" s="17">
        <f>AA86</f>
        <v>0</v>
      </c>
      <c r="AB88">
        <v>0</v>
      </c>
      <c r="AC88">
        <v>0</v>
      </c>
      <c r="AD88" s="17">
        <f>AA86</f>
        <v>0</v>
      </c>
      <c r="AE88">
        <v>0</v>
      </c>
      <c r="AF88" s="17">
        <f>AA86</f>
        <v>0</v>
      </c>
      <c r="AG88" s="18">
        <f>AA86</f>
        <v>0</v>
      </c>
      <c r="AI88" s="2" t="s">
        <v>52</v>
      </c>
      <c r="AJ88" s="17">
        <f>AJ86+120</f>
        <v>120</v>
      </c>
      <c r="AK88">
        <v>0</v>
      </c>
      <c r="AL88">
        <v>0</v>
      </c>
      <c r="AM88" s="17">
        <f>AJ86+120</f>
        <v>120</v>
      </c>
      <c r="AN88">
        <v>0</v>
      </c>
      <c r="AO88" s="17">
        <f>AJ86+90</f>
        <v>90</v>
      </c>
      <c r="AP88" s="18">
        <f>AJ86+150</f>
        <v>150</v>
      </c>
    </row>
    <row r="89" spans="3:42" x14ac:dyDescent="0.25">
      <c r="M89">
        <v>3</v>
      </c>
      <c r="N89" t="s">
        <v>31</v>
      </c>
      <c r="O89">
        <f>$F$17</f>
        <v>0</v>
      </c>
      <c r="P89">
        <f>O89</f>
        <v>0</v>
      </c>
      <c r="Q89">
        <f>O89</f>
        <v>0</v>
      </c>
      <c r="R89">
        <f>O89</f>
        <v>0</v>
      </c>
      <c r="S89">
        <f>O89</f>
        <v>0</v>
      </c>
      <c r="T89">
        <f>O89</f>
        <v>0</v>
      </c>
      <c r="U89">
        <f>O89</f>
        <v>0</v>
      </c>
      <c r="Z89" s="13" t="s">
        <v>42</v>
      </c>
      <c r="AA89" s="19">
        <v>0</v>
      </c>
      <c r="AB89" s="20">
        <f>AA86</f>
        <v>0</v>
      </c>
      <c r="AC89" s="20">
        <f>AA86</f>
        <v>0</v>
      </c>
      <c r="AD89" s="20">
        <f>AA86</f>
        <v>0</v>
      </c>
      <c r="AE89" s="19">
        <v>0</v>
      </c>
      <c r="AF89" s="19">
        <v>0</v>
      </c>
      <c r="AG89" s="14">
        <v>0</v>
      </c>
      <c r="AI89" s="13" t="s">
        <v>42</v>
      </c>
      <c r="AJ89" s="19">
        <v>0</v>
      </c>
      <c r="AK89" s="20">
        <f>AJ86+180</f>
        <v>180</v>
      </c>
      <c r="AL89" s="20">
        <f>AJ86+180-120</f>
        <v>60</v>
      </c>
      <c r="AM89" s="20">
        <f>AJ86-180+120</f>
        <v>-60</v>
      </c>
      <c r="AN89" s="19">
        <v>0</v>
      </c>
      <c r="AO89" s="19">
        <v>0</v>
      </c>
      <c r="AP89" s="14">
        <v>0</v>
      </c>
    </row>
    <row r="91" spans="3:42" x14ac:dyDescent="0.25">
      <c r="C91" t="s">
        <v>10</v>
      </c>
      <c r="E91">
        <v>1</v>
      </c>
      <c r="J91">
        <v>1</v>
      </c>
      <c r="L91">
        <v>1</v>
      </c>
      <c r="M91">
        <v>1</v>
      </c>
      <c r="N91" t="s">
        <v>29</v>
      </c>
      <c r="O91">
        <f>($F$18*1000)/($D$5*SQRT(3)*$I$18)</f>
        <v>0</v>
      </c>
      <c r="P91">
        <f>($F$18*1000)/(($D$5/SQRT(3))*$I$18)</f>
        <v>0</v>
      </c>
      <c r="Q91">
        <f>P91</f>
        <v>0</v>
      </c>
      <c r="R91">
        <f>P91</f>
        <v>0</v>
      </c>
      <c r="S91">
        <f>($F$18*1000)/($D$5*$I$18)</f>
        <v>0</v>
      </c>
      <c r="T91">
        <f>S91</f>
        <v>0</v>
      </c>
      <c r="U91">
        <f>S91</f>
        <v>0</v>
      </c>
      <c r="Z91" s="4"/>
      <c r="AA91" s="5">
        <v>1</v>
      </c>
      <c r="AB91" s="5">
        <v>2</v>
      </c>
      <c r="AC91" s="5">
        <v>3</v>
      </c>
      <c r="AD91" s="5">
        <v>4</v>
      </c>
      <c r="AE91" s="5">
        <v>5</v>
      </c>
      <c r="AF91" s="5">
        <v>6</v>
      </c>
      <c r="AG91" s="6">
        <v>7</v>
      </c>
      <c r="AI91" s="4"/>
      <c r="AJ91" s="5">
        <v>1</v>
      </c>
      <c r="AK91" s="5">
        <v>2</v>
      </c>
      <c r="AL91" s="5">
        <v>3</v>
      </c>
      <c r="AM91" s="5">
        <v>4</v>
      </c>
      <c r="AN91" s="5">
        <v>5</v>
      </c>
      <c r="AO91" s="5">
        <v>6</v>
      </c>
      <c r="AP91" s="6">
        <v>7</v>
      </c>
    </row>
    <row r="92" spans="3:42" x14ac:dyDescent="0.25">
      <c r="M92">
        <v>2</v>
      </c>
      <c r="N92" t="s">
        <v>30</v>
      </c>
      <c r="O92">
        <f>($F$18*1000)/($D$5*SQRT(3))</f>
        <v>0</v>
      </c>
      <c r="P92">
        <f>($F$18*1000)/(($D$5/SQRT(3)))</f>
        <v>0</v>
      </c>
      <c r="Q92">
        <f>P92</f>
        <v>0</v>
      </c>
      <c r="R92">
        <f>P92</f>
        <v>0</v>
      </c>
      <c r="S92">
        <f>($F$18*1000)/($D$5)</f>
        <v>0</v>
      </c>
      <c r="T92">
        <f>S92</f>
        <v>0</v>
      </c>
      <c r="U92">
        <f>S92</f>
        <v>0</v>
      </c>
      <c r="Z92" s="2"/>
      <c r="AA92" t="s">
        <v>32</v>
      </c>
      <c r="AB92" t="s">
        <v>34</v>
      </c>
      <c r="AC92" t="s">
        <v>35</v>
      </c>
      <c r="AD92" t="s">
        <v>36</v>
      </c>
      <c r="AE92" t="s">
        <v>37</v>
      </c>
      <c r="AF92" t="s">
        <v>38</v>
      </c>
      <c r="AG92" s="3" t="s">
        <v>39</v>
      </c>
      <c r="AI92" s="29" t="s">
        <v>55</v>
      </c>
      <c r="AJ92" t="s">
        <v>32</v>
      </c>
      <c r="AK92" t="s">
        <v>34</v>
      </c>
      <c r="AL92" t="s">
        <v>35</v>
      </c>
      <c r="AM92" t="s">
        <v>36</v>
      </c>
      <c r="AN92" t="s">
        <v>37</v>
      </c>
      <c r="AO92" t="s">
        <v>38</v>
      </c>
      <c r="AP92" s="3" t="s">
        <v>39</v>
      </c>
    </row>
    <row r="93" spans="3:42" x14ac:dyDescent="0.25">
      <c r="M93">
        <v>3</v>
      </c>
      <c r="N93" t="s">
        <v>31</v>
      </c>
      <c r="O93">
        <f>$F$18</f>
        <v>0</v>
      </c>
      <c r="P93">
        <f>O93</f>
        <v>0</v>
      </c>
      <c r="Q93">
        <f>O93</f>
        <v>0</v>
      </c>
      <c r="R93">
        <f>O93</f>
        <v>0</v>
      </c>
      <c r="S93">
        <f>O93</f>
        <v>0</v>
      </c>
      <c r="T93">
        <f>O93</f>
        <v>0</v>
      </c>
      <c r="U93">
        <f>O93</f>
        <v>0</v>
      </c>
      <c r="Z93" s="2" t="s">
        <v>50</v>
      </c>
      <c r="AA93" s="17">
        <f>H14</f>
        <v>0</v>
      </c>
      <c r="AB93" s="17">
        <f>AA93</f>
        <v>0</v>
      </c>
      <c r="AC93">
        <v>0</v>
      </c>
      <c r="AD93">
        <v>0</v>
      </c>
      <c r="AE93" s="17">
        <f>AA93</f>
        <v>0</v>
      </c>
      <c r="AF93">
        <v>0</v>
      </c>
      <c r="AG93" s="18">
        <f>AA93</f>
        <v>0</v>
      </c>
      <c r="AI93" s="2" t="s">
        <v>50</v>
      </c>
      <c r="AJ93" s="17">
        <f>K14</f>
        <v>0</v>
      </c>
      <c r="AK93" s="17">
        <f>AJ93</f>
        <v>0</v>
      </c>
      <c r="AL93">
        <v>0</v>
      </c>
      <c r="AM93">
        <v>0</v>
      </c>
      <c r="AN93" s="17">
        <f>AJ93+30</f>
        <v>30</v>
      </c>
      <c r="AO93">
        <v>0</v>
      </c>
      <c r="AP93" s="18">
        <f>AJ93-30</f>
        <v>-30</v>
      </c>
    </row>
    <row r="94" spans="3:42" x14ac:dyDescent="0.25">
      <c r="Y94">
        <v>7</v>
      </c>
      <c r="Z94" s="2" t="s">
        <v>51</v>
      </c>
      <c r="AA94" s="17">
        <f>AA93</f>
        <v>0</v>
      </c>
      <c r="AB94">
        <v>0</v>
      </c>
      <c r="AC94" s="17">
        <f>AA93</f>
        <v>0</v>
      </c>
      <c r="AD94">
        <v>0</v>
      </c>
      <c r="AE94" s="17">
        <f>AA93</f>
        <v>0</v>
      </c>
      <c r="AF94" s="17">
        <f>AA93</f>
        <v>0</v>
      </c>
      <c r="AG94" s="3">
        <v>0</v>
      </c>
      <c r="AI94" s="2" t="s">
        <v>51</v>
      </c>
      <c r="AJ94" s="17">
        <f>AJ93-120</f>
        <v>-120</v>
      </c>
      <c r="AK94">
        <v>0</v>
      </c>
      <c r="AL94" s="17">
        <f>AJ93-120</f>
        <v>-120</v>
      </c>
      <c r="AM94">
        <v>0</v>
      </c>
      <c r="AN94" s="17">
        <f>AJ93-150</f>
        <v>-150</v>
      </c>
      <c r="AO94" s="17">
        <f>AJ93-90</f>
        <v>-90</v>
      </c>
      <c r="AP94" s="3">
        <v>0</v>
      </c>
    </row>
    <row r="95" spans="3:42" x14ac:dyDescent="0.25">
      <c r="C95" t="s">
        <v>11</v>
      </c>
      <c r="E95">
        <v>1</v>
      </c>
      <c r="J95">
        <v>1</v>
      </c>
      <c r="L95">
        <v>1</v>
      </c>
      <c r="M95">
        <v>1</v>
      </c>
      <c r="N95" t="s">
        <v>29</v>
      </c>
      <c r="O95">
        <f>($F$19*1000)/($D$5*SQRT(3)*$I$19)</f>
        <v>0</v>
      </c>
      <c r="P95">
        <f>($F$19*1000)/(($D$5/SQRT(3))*$I$19)</f>
        <v>0</v>
      </c>
      <c r="Q95">
        <f>P95</f>
        <v>0</v>
      </c>
      <c r="R95">
        <f>P95</f>
        <v>0</v>
      </c>
      <c r="S95">
        <f>($F$19*1000)/($D$5*$I$19)</f>
        <v>0</v>
      </c>
      <c r="T95">
        <f>S95</f>
        <v>0</v>
      </c>
      <c r="U95">
        <f>S95</f>
        <v>0</v>
      </c>
      <c r="Z95" s="2" t="s">
        <v>52</v>
      </c>
      <c r="AA95" s="17">
        <f>AA93</f>
        <v>0</v>
      </c>
      <c r="AB95">
        <v>0</v>
      </c>
      <c r="AC95">
        <v>0</v>
      </c>
      <c r="AD95" s="17">
        <f>AA93</f>
        <v>0</v>
      </c>
      <c r="AE95">
        <v>0</v>
      </c>
      <c r="AF95" s="17">
        <f>AA93</f>
        <v>0</v>
      </c>
      <c r="AG95" s="18">
        <f>AA93</f>
        <v>0</v>
      </c>
      <c r="AI95" s="2" t="s">
        <v>52</v>
      </c>
      <c r="AJ95" s="17">
        <f>AJ93+120</f>
        <v>120</v>
      </c>
      <c r="AK95">
        <v>0</v>
      </c>
      <c r="AL95">
        <v>0</v>
      </c>
      <c r="AM95" s="17">
        <f>AJ93+120</f>
        <v>120</v>
      </c>
      <c r="AN95">
        <v>0</v>
      </c>
      <c r="AO95" s="17">
        <f>AJ93+90</f>
        <v>90</v>
      </c>
      <c r="AP95" s="18">
        <f>AJ93+150</f>
        <v>150</v>
      </c>
    </row>
    <row r="96" spans="3:42" x14ac:dyDescent="0.25">
      <c r="M96">
        <v>2</v>
      </c>
      <c r="N96" t="s">
        <v>30</v>
      </c>
      <c r="O96">
        <f>($F$19*1000)/($D$5*SQRT(3))</f>
        <v>0</v>
      </c>
      <c r="P96">
        <f>($F$19*1000)/(($D$5/SQRT(3)))</f>
        <v>0</v>
      </c>
      <c r="Q96">
        <f>P96</f>
        <v>0</v>
      </c>
      <c r="R96">
        <f>P96</f>
        <v>0</v>
      </c>
      <c r="S96">
        <f>($F$19*1000)/($D$5)</f>
        <v>0</v>
      </c>
      <c r="T96">
        <f>S96</f>
        <v>0</v>
      </c>
      <c r="U96">
        <f>S96</f>
        <v>0</v>
      </c>
      <c r="Z96" s="13" t="s">
        <v>42</v>
      </c>
      <c r="AA96" s="19">
        <v>0</v>
      </c>
      <c r="AB96" s="20">
        <f>AA93</f>
        <v>0</v>
      </c>
      <c r="AC96" s="20">
        <f>AA93</f>
        <v>0</v>
      </c>
      <c r="AD96" s="20">
        <f>AA93</f>
        <v>0</v>
      </c>
      <c r="AE96" s="19">
        <v>0</v>
      </c>
      <c r="AF96" s="19">
        <v>0</v>
      </c>
      <c r="AG96" s="14">
        <v>0</v>
      </c>
      <c r="AI96" s="13" t="s">
        <v>42</v>
      </c>
      <c r="AJ96" s="19">
        <v>0</v>
      </c>
      <c r="AK96" s="20">
        <f>AJ93+180</f>
        <v>180</v>
      </c>
      <c r="AL96" s="20">
        <f>AJ93+180-120</f>
        <v>60</v>
      </c>
      <c r="AM96" s="20">
        <f>AJ93-180+120</f>
        <v>-60</v>
      </c>
      <c r="AN96" s="19">
        <v>0</v>
      </c>
      <c r="AO96" s="19">
        <v>0</v>
      </c>
      <c r="AP96" s="14">
        <v>0</v>
      </c>
    </row>
    <row r="97" spans="3:42" x14ac:dyDescent="0.25">
      <c r="M97">
        <v>3</v>
      </c>
      <c r="N97" t="s">
        <v>31</v>
      </c>
      <c r="O97">
        <f>$F$19</f>
        <v>0</v>
      </c>
      <c r="P97">
        <f>O97</f>
        <v>0</v>
      </c>
      <c r="Q97">
        <f>O97</f>
        <v>0</v>
      </c>
      <c r="R97">
        <f>O97</f>
        <v>0</v>
      </c>
      <c r="S97">
        <f>O97</f>
        <v>0</v>
      </c>
      <c r="T97">
        <f>O97</f>
        <v>0</v>
      </c>
      <c r="U97">
        <f>O97</f>
        <v>0</v>
      </c>
    </row>
    <row r="98" spans="3:42" x14ac:dyDescent="0.25">
      <c r="Z98" s="4"/>
      <c r="AA98" s="5">
        <v>1</v>
      </c>
      <c r="AB98" s="5">
        <v>2</v>
      </c>
      <c r="AC98" s="5">
        <v>3</v>
      </c>
      <c r="AD98" s="5">
        <v>4</v>
      </c>
      <c r="AE98" s="5">
        <v>5</v>
      </c>
      <c r="AF98" s="5">
        <v>6</v>
      </c>
      <c r="AG98" s="6">
        <v>7</v>
      </c>
      <c r="AI98" s="4"/>
      <c r="AJ98" s="5">
        <v>1</v>
      </c>
      <c r="AK98" s="5">
        <v>2</v>
      </c>
      <c r="AL98" s="5">
        <v>3</v>
      </c>
      <c r="AM98" s="5">
        <v>4</v>
      </c>
      <c r="AN98" s="5">
        <v>5</v>
      </c>
      <c r="AO98" s="5">
        <v>6</v>
      </c>
      <c r="AP98" s="6">
        <v>7</v>
      </c>
    </row>
    <row r="99" spans="3:42" x14ac:dyDescent="0.25">
      <c r="C99" t="s">
        <v>12</v>
      </c>
      <c r="E99">
        <v>1</v>
      </c>
      <c r="J99">
        <v>1</v>
      </c>
      <c r="L99">
        <v>1</v>
      </c>
      <c r="M99">
        <v>1</v>
      </c>
      <c r="N99" t="s">
        <v>29</v>
      </c>
      <c r="O99">
        <f>($F$20*1000)/($D$5*SQRT(3)*$I$20)</f>
        <v>0</v>
      </c>
      <c r="P99">
        <f>($F$20*1000)/(($D$5/SQRT(3))*$I$20)</f>
        <v>0</v>
      </c>
      <c r="Q99">
        <f>P99</f>
        <v>0</v>
      </c>
      <c r="R99">
        <f>P99</f>
        <v>0</v>
      </c>
      <c r="S99">
        <f>($F$20*1000)/($D$5*$I$20)</f>
        <v>0</v>
      </c>
      <c r="T99">
        <f>S99</f>
        <v>0</v>
      </c>
      <c r="U99">
        <f>S99</f>
        <v>0</v>
      </c>
      <c r="Z99" s="2"/>
      <c r="AA99" t="s">
        <v>32</v>
      </c>
      <c r="AB99" t="s">
        <v>34</v>
      </c>
      <c r="AC99" t="s">
        <v>35</v>
      </c>
      <c r="AD99" t="s">
        <v>36</v>
      </c>
      <c r="AE99" t="s">
        <v>37</v>
      </c>
      <c r="AF99" t="s">
        <v>38</v>
      </c>
      <c r="AG99" s="3" t="s">
        <v>39</v>
      </c>
      <c r="AI99" s="29" t="s">
        <v>55</v>
      </c>
      <c r="AJ99" t="s">
        <v>32</v>
      </c>
      <c r="AK99" t="s">
        <v>34</v>
      </c>
      <c r="AL99" t="s">
        <v>35</v>
      </c>
      <c r="AM99" t="s">
        <v>36</v>
      </c>
      <c r="AN99" t="s">
        <v>37</v>
      </c>
      <c r="AO99" t="s">
        <v>38</v>
      </c>
      <c r="AP99" s="3" t="s">
        <v>39</v>
      </c>
    </row>
    <row r="100" spans="3:42" x14ac:dyDescent="0.25">
      <c r="M100">
        <v>2</v>
      </c>
      <c r="N100" t="s">
        <v>30</v>
      </c>
      <c r="O100">
        <f>($F$20*1000)/($D$5*SQRT(3))</f>
        <v>0</v>
      </c>
      <c r="P100">
        <f>($F$20*1000)/(($D$5/SQRT(3)))</f>
        <v>0</v>
      </c>
      <c r="Q100">
        <f>P100</f>
        <v>0</v>
      </c>
      <c r="R100">
        <f>P100</f>
        <v>0</v>
      </c>
      <c r="S100">
        <f>($F$20*1000)/($D$5)</f>
        <v>0</v>
      </c>
      <c r="T100">
        <f>S100</f>
        <v>0</v>
      </c>
      <c r="U100">
        <f>S100</f>
        <v>0</v>
      </c>
      <c r="Z100" s="2" t="s">
        <v>50</v>
      </c>
      <c r="AA100" s="17">
        <f>H15</f>
        <v>0</v>
      </c>
      <c r="AB100" s="17">
        <f>AA100</f>
        <v>0</v>
      </c>
      <c r="AC100">
        <v>0</v>
      </c>
      <c r="AD100">
        <v>0</v>
      </c>
      <c r="AE100" s="17">
        <f>AA100</f>
        <v>0</v>
      </c>
      <c r="AF100">
        <v>0</v>
      </c>
      <c r="AG100" s="18">
        <f>AA100</f>
        <v>0</v>
      </c>
      <c r="AI100" s="2" t="s">
        <v>50</v>
      </c>
      <c r="AJ100" s="17">
        <f>K15</f>
        <v>0</v>
      </c>
      <c r="AK100" s="17">
        <f>AJ100</f>
        <v>0</v>
      </c>
      <c r="AL100">
        <v>0</v>
      </c>
      <c r="AM100">
        <v>0</v>
      </c>
      <c r="AN100" s="17">
        <f>AJ100+30</f>
        <v>30</v>
      </c>
      <c r="AO100">
        <v>0</v>
      </c>
      <c r="AP100" s="18">
        <f>AJ100-30</f>
        <v>-30</v>
      </c>
    </row>
    <row r="101" spans="3:42" x14ac:dyDescent="0.25">
      <c r="M101">
        <v>3</v>
      </c>
      <c r="N101" t="s">
        <v>31</v>
      </c>
      <c r="O101">
        <f>$F$20</f>
        <v>0</v>
      </c>
      <c r="P101">
        <f>O101</f>
        <v>0</v>
      </c>
      <c r="Q101">
        <f>O101</f>
        <v>0</v>
      </c>
      <c r="R101">
        <f>O101</f>
        <v>0</v>
      </c>
      <c r="S101">
        <f>O101</f>
        <v>0</v>
      </c>
      <c r="T101">
        <f>O101</f>
        <v>0</v>
      </c>
      <c r="U101">
        <f>O101</f>
        <v>0</v>
      </c>
      <c r="Y101">
        <v>8</v>
      </c>
      <c r="Z101" s="2" t="s">
        <v>51</v>
      </c>
      <c r="AA101" s="17">
        <f>AA100</f>
        <v>0</v>
      </c>
      <c r="AB101">
        <v>0</v>
      </c>
      <c r="AC101" s="17">
        <f>AA100</f>
        <v>0</v>
      </c>
      <c r="AD101">
        <v>0</v>
      </c>
      <c r="AE101" s="17">
        <f>AA100</f>
        <v>0</v>
      </c>
      <c r="AF101" s="17">
        <f>AA100</f>
        <v>0</v>
      </c>
      <c r="AG101" s="3">
        <v>0</v>
      </c>
      <c r="AI101" s="2" t="s">
        <v>51</v>
      </c>
      <c r="AJ101" s="17">
        <f>AJ100-120</f>
        <v>-120</v>
      </c>
      <c r="AK101">
        <v>0</v>
      </c>
      <c r="AL101" s="17">
        <f>AJ100-120</f>
        <v>-120</v>
      </c>
      <c r="AM101">
        <v>0</v>
      </c>
      <c r="AN101" s="17">
        <f>AJ100-150</f>
        <v>-150</v>
      </c>
      <c r="AO101" s="17">
        <f>AJ100-90</f>
        <v>-90</v>
      </c>
      <c r="AP101" s="3">
        <v>0</v>
      </c>
    </row>
    <row r="102" spans="3:42" x14ac:dyDescent="0.25">
      <c r="Z102" s="2" t="s">
        <v>52</v>
      </c>
      <c r="AA102" s="17">
        <f>AA100</f>
        <v>0</v>
      </c>
      <c r="AB102">
        <v>0</v>
      </c>
      <c r="AC102">
        <v>0</v>
      </c>
      <c r="AD102" s="17">
        <f>AA100</f>
        <v>0</v>
      </c>
      <c r="AE102">
        <v>0</v>
      </c>
      <c r="AF102" s="17">
        <f>AA100</f>
        <v>0</v>
      </c>
      <c r="AG102" s="18">
        <f>AA100</f>
        <v>0</v>
      </c>
      <c r="AI102" s="2" t="s">
        <v>52</v>
      </c>
      <c r="AJ102" s="17">
        <f>AJ100+120</f>
        <v>120</v>
      </c>
      <c r="AK102">
        <v>0</v>
      </c>
      <c r="AL102">
        <v>0</v>
      </c>
      <c r="AM102" s="17">
        <f>AJ100+120</f>
        <v>120</v>
      </c>
      <c r="AN102">
        <v>0</v>
      </c>
      <c r="AO102" s="17">
        <f>AJ100+90</f>
        <v>90</v>
      </c>
      <c r="AP102" s="18">
        <f>AJ100+150</f>
        <v>150</v>
      </c>
    </row>
    <row r="103" spans="3:42" x14ac:dyDescent="0.25">
      <c r="C103" t="s">
        <v>13</v>
      </c>
      <c r="E103">
        <v>1</v>
      </c>
      <c r="J103">
        <v>1</v>
      </c>
      <c r="L103">
        <v>1</v>
      </c>
      <c r="M103">
        <v>1</v>
      </c>
      <c r="N103" t="s">
        <v>29</v>
      </c>
      <c r="O103">
        <f>($F$21*1000)/($D$5*SQRT(3)*$I$21)</f>
        <v>0</v>
      </c>
      <c r="P103">
        <f>($F$21*1000)/(($D$5/SQRT(3))*$I$21)</f>
        <v>0</v>
      </c>
      <c r="Q103">
        <f>P103</f>
        <v>0</v>
      </c>
      <c r="R103">
        <f>P103</f>
        <v>0</v>
      </c>
      <c r="S103">
        <f>($F$21*1000)/($D$5*$I$21)</f>
        <v>0</v>
      </c>
      <c r="T103">
        <f>S103</f>
        <v>0</v>
      </c>
      <c r="U103">
        <f>S103</f>
        <v>0</v>
      </c>
      <c r="Z103" s="13" t="s">
        <v>42</v>
      </c>
      <c r="AA103" s="19">
        <v>0</v>
      </c>
      <c r="AB103" s="20">
        <f>AA100</f>
        <v>0</v>
      </c>
      <c r="AC103" s="20">
        <f>AA100</f>
        <v>0</v>
      </c>
      <c r="AD103" s="20">
        <f>AA100</f>
        <v>0</v>
      </c>
      <c r="AE103" s="19">
        <v>0</v>
      </c>
      <c r="AF103" s="19">
        <v>0</v>
      </c>
      <c r="AG103" s="14">
        <v>0</v>
      </c>
      <c r="AI103" s="13" t="s">
        <v>42</v>
      </c>
      <c r="AJ103" s="19">
        <v>0</v>
      </c>
      <c r="AK103" s="20">
        <f>AJ100+180</f>
        <v>180</v>
      </c>
      <c r="AL103" s="20">
        <f>AJ100+180-120</f>
        <v>60</v>
      </c>
      <c r="AM103" s="20">
        <f>AJ100-180+120</f>
        <v>-60</v>
      </c>
      <c r="AN103" s="19">
        <v>0</v>
      </c>
      <c r="AO103" s="19">
        <v>0</v>
      </c>
      <c r="AP103" s="14">
        <v>0</v>
      </c>
    </row>
    <row r="104" spans="3:42" x14ac:dyDescent="0.25">
      <c r="M104">
        <v>2</v>
      </c>
      <c r="N104" t="s">
        <v>30</v>
      </c>
      <c r="O104">
        <f>($F$21*1000)/($D$5*SQRT(3))</f>
        <v>0</v>
      </c>
      <c r="P104">
        <f>($F$21*1000)/(($D$5/SQRT(3)))</f>
        <v>0</v>
      </c>
      <c r="Q104">
        <f>P104</f>
        <v>0</v>
      </c>
      <c r="R104">
        <f>P104</f>
        <v>0</v>
      </c>
      <c r="S104">
        <f>($F$21*1000)/($D$5)</f>
        <v>0</v>
      </c>
      <c r="T104">
        <f>S104</f>
        <v>0</v>
      </c>
      <c r="U104">
        <f>S104</f>
        <v>0</v>
      </c>
    </row>
    <row r="105" spans="3:42" x14ac:dyDescent="0.25">
      <c r="M105">
        <v>3</v>
      </c>
      <c r="N105" t="s">
        <v>31</v>
      </c>
      <c r="O105">
        <f>$F$21</f>
        <v>0</v>
      </c>
      <c r="P105">
        <f>O105</f>
        <v>0</v>
      </c>
      <c r="Q105">
        <f>O105</f>
        <v>0</v>
      </c>
      <c r="R105">
        <f>O105</f>
        <v>0</v>
      </c>
      <c r="S105">
        <f>O105</f>
        <v>0</v>
      </c>
      <c r="T105">
        <f>O105</f>
        <v>0</v>
      </c>
      <c r="U105">
        <f>O105</f>
        <v>0</v>
      </c>
      <c r="Z105" s="4"/>
      <c r="AA105" s="5">
        <v>1</v>
      </c>
      <c r="AB105" s="5">
        <v>2</v>
      </c>
      <c r="AC105" s="5">
        <v>3</v>
      </c>
      <c r="AD105" s="5">
        <v>4</v>
      </c>
      <c r="AE105" s="5">
        <v>5</v>
      </c>
      <c r="AF105" s="5">
        <v>6</v>
      </c>
      <c r="AG105" s="6">
        <v>7</v>
      </c>
      <c r="AI105" s="4"/>
      <c r="AJ105" s="5">
        <v>1</v>
      </c>
      <c r="AK105" s="5">
        <v>2</v>
      </c>
      <c r="AL105" s="5">
        <v>3</v>
      </c>
      <c r="AM105" s="5">
        <v>4</v>
      </c>
      <c r="AN105" s="5">
        <v>5</v>
      </c>
      <c r="AO105" s="5">
        <v>6</v>
      </c>
      <c r="AP105" s="6">
        <v>7</v>
      </c>
    </row>
    <row r="106" spans="3:42" x14ac:dyDescent="0.25">
      <c r="Z106" s="2"/>
      <c r="AA106" t="s">
        <v>32</v>
      </c>
      <c r="AB106" t="s">
        <v>34</v>
      </c>
      <c r="AC106" t="s">
        <v>35</v>
      </c>
      <c r="AD106" t="s">
        <v>36</v>
      </c>
      <c r="AE106" t="s">
        <v>37</v>
      </c>
      <c r="AF106" t="s">
        <v>38</v>
      </c>
      <c r="AG106" s="3" t="s">
        <v>39</v>
      </c>
      <c r="AI106" s="29" t="s">
        <v>55</v>
      </c>
      <c r="AJ106" t="s">
        <v>32</v>
      </c>
      <c r="AK106" t="s">
        <v>34</v>
      </c>
      <c r="AL106" t="s">
        <v>35</v>
      </c>
      <c r="AM106" t="s">
        <v>36</v>
      </c>
      <c r="AN106" t="s">
        <v>37</v>
      </c>
      <c r="AO106" t="s">
        <v>38</v>
      </c>
      <c r="AP106" s="3" t="s">
        <v>39</v>
      </c>
    </row>
    <row r="107" spans="3:42" x14ac:dyDescent="0.25">
      <c r="C107" t="s">
        <v>14</v>
      </c>
      <c r="E107">
        <v>1</v>
      </c>
      <c r="J107">
        <v>1</v>
      </c>
      <c r="L107">
        <v>1</v>
      </c>
      <c r="M107">
        <v>1</v>
      </c>
      <c r="N107" t="s">
        <v>29</v>
      </c>
      <c r="O107">
        <f>($F$22*1000)/($D$5*SQRT(3)*$I$22)</f>
        <v>0</v>
      </c>
      <c r="P107">
        <f>($F$22*1000)/(($D$5/SQRT(3))*$I$22)</f>
        <v>0</v>
      </c>
      <c r="Q107">
        <f>P107</f>
        <v>0</v>
      </c>
      <c r="R107">
        <f>P107</f>
        <v>0</v>
      </c>
      <c r="S107">
        <f>($F$22*1000)/($D$5*$I$22)</f>
        <v>0</v>
      </c>
      <c r="T107">
        <f>S107</f>
        <v>0</v>
      </c>
      <c r="U107">
        <f>S107</f>
        <v>0</v>
      </c>
      <c r="Z107" s="2" t="s">
        <v>50</v>
      </c>
      <c r="AA107" s="17">
        <f>H16</f>
        <v>0</v>
      </c>
      <c r="AB107" s="17">
        <f>AA107</f>
        <v>0</v>
      </c>
      <c r="AC107">
        <v>0</v>
      </c>
      <c r="AD107">
        <v>0</v>
      </c>
      <c r="AE107" s="17">
        <f>AA107</f>
        <v>0</v>
      </c>
      <c r="AF107">
        <v>0</v>
      </c>
      <c r="AG107" s="18">
        <f>AA107</f>
        <v>0</v>
      </c>
      <c r="AI107" s="2" t="s">
        <v>50</v>
      </c>
      <c r="AJ107" s="17">
        <f>K16</f>
        <v>0</v>
      </c>
      <c r="AK107" s="17">
        <f>AJ107</f>
        <v>0</v>
      </c>
      <c r="AL107">
        <v>0</v>
      </c>
      <c r="AM107">
        <v>0</v>
      </c>
      <c r="AN107" s="17">
        <f>AJ107+30</f>
        <v>30</v>
      </c>
      <c r="AO107">
        <v>0</v>
      </c>
      <c r="AP107" s="18">
        <f>AJ107-30</f>
        <v>-30</v>
      </c>
    </row>
    <row r="108" spans="3:42" x14ac:dyDescent="0.25">
      <c r="M108">
        <v>2</v>
      </c>
      <c r="N108" t="s">
        <v>30</v>
      </c>
      <c r="O108">
        <f>($F$22*1000)/($D$5*SQRT(3))</f>
        <v>0</v>
      </c>
      <c r="P108">
        <f>($F$22*1000)/(($D$5/SQRT(3)))</f>
        <v>0</v>
      </c>
      <c r="Q108">
        <f>P108</f>
        <v>0</v>
      </c>
      <c r="R108">
        <f>P108</f>
        <v>0</v>
      </c>
      <c r="S108">
        <f>($F$22*1000)/($D$5)</f>
        <v>0</v>
      </c>
      <c r="T108">
        <f>S108</f>
        <v>0</v>
      </c>
      <c r="U108">
        <f>S108</f>
        <v>0</v>
      </c>
      <c r="Z108" s="2" t="s">
        <v>51</v>
      </c>
      <c r="AA108" s="17">
        <f>AA107</f>
        <v>0</v>
      </c>
      <c r="AB108">
        <v>0</v>
      </c>
      <c r="AC108" s="17">
        <f>AA107</f>
        <v>0</v>
      </c>
      <c r="AD108">
        <v>0</v>
      </c>
      <c r="AE108" s="17">
        <f>AA107</f>
        <v>0</v>
      </c>
      <c r="AF108" s="17">
        <f>AA107</f>
        <v>0</v>
      </c>
      <c r="AG108" s="3">
        <v>0</v>
      </c>
      <c r="AI108" s="2" t="s">
        <v>51</v>
      </c>
      <c r="AJ108" s="17">
        <f>AJ107-120</f>
        <v>-120</v>
      </c>
      <c r="AK108">
        <v>0</v>
      </c>
      <c r="AL108" s="17">
        <f>AJ107-120</f>
        <v>-120</v>
      </c>
      <c r="AM108">
        <v>0</v>
      </c>
      <c r="AN108" s="17">
        <f>AJ107-150</f>
        <v>-150</v>
      </c>
      <c r="AO108" s="17">
        <f>AJ107-90</f>
        <v>-90</v>
      </c>
      <c r="AP108" s="3">
        <v>0</v>
      </c>
    </row>
    <row r="109" spans="3:42" x14ac:dyDescent="0.25">
      <c r="M109">
        <v>3</v>
      </c>
      <c r="N109" t="s">
        <v>31</v>
      </c>
      <c r="O109">
        <f>$F$22</f>
        <v>0</v>
      </c>
      <c r="P109">
        <f>O109</f>
        <v>0</v>
      </c>
      <c r="Q109">
        <f>O109</f>
        <v>0</v>
      </c>
      <c r="R109">
        <f>O109</f>
        <v>0</v>
      </c>
      <c r="S109">
        <f>O109</f>
        <v>0</v>
      </c>
      <c r="T109">
        <f>O109</f>
        <v>0</v>
      </c>
      <c r="U109">
        <f>O109</f>
        <v>0</v>
      </c>
      <c r="Y109">
        <v>9</v>
      </c>
      <c r="Z109" s="2" t="s">
        <v>52</v>
      </c>
      <c r="AA109" s="17">
        <f>AA107</f>
        <v>0</v>
      </c>
      <c r="AB109">
        <v>0</v>
      </c>
      <c r="AC109">
        <v>0</v>
      </c>
      <c r="AD109" s="17">
        <f>AA107</f>
        <v>0</v>
      </c>
      <c r="AE109">
        <v>0</v>
      </c>
      <c r="AF109" s="17">
        <f>AA107</f>
        <v>0</v>
      </c>
      <c r="AG109" s="18">
        <f>AA107</f>
        <v>0</v>
      </c>
      <c r="AI109" s="2" t="s">
        <v>52</v>
      </c>
      <c r="AJ109" s="17">
        <f>AJ107+120</f>
        <v>120</v>
      </c>
      <c r="AK109">
        <v>0</v>
      </c>
      <c r="AL109">
        <v>0</v>
      </c>
      <c r="AM109" s="17">
        <f>AJ107+120</f>
        <v>120</v>
      </c>
      <c r="AN109">
        <v>0</v>
      </c>
      <c r="AO109" s="17">
        <f>AJ107+90</f>
        <v>90</v>
      </c>
      <c r="AP109" s="18">
        <f>AJ107+150</f>
        <v>150</v>
      </c>
    </row>
    <row r="110" spans="3:42" x14ac:dyDescent="0.25">
      <c r="Z110" s="13" t="s">
        <v>42</v>
      </c>
      <c r="AA110" s="19">
        <v>0</v>
      </c>
      <c r="AB110" s="20">
        <f>AA107</f>
        <v>0</v>
      </c>
      <c r="AC110" s="20">
        <f>AA107</f>
        <v>0</v>
      </c>
      <c r="AD110" s="20">
        <f>AA107</f>
        <v>0</v>
      </c>
      <c r="AE110" s="19">
        <v>0</v>
      </c>
      <c r="AF110" s="19">
        <v>0</v>
      </c>
      <c r="AG110" s="14">
        <v>0</v>
      </c>
      <c r="AI110" s="13" t="s">
        <v>42</v>
      </c>
      <c r="AJ110" s="19">
        <v>0</v>
      </c>
      <c r="AK110" s="20">
        <f>AJ107+180</f>
        <v>180</v>
      </c>
      <c r="AL110" s="20">
        <f>AJ107+180-120</f>
        <v>60</v>
      </c>
      <c r="AM110" s="20">
        <f>AJ107-180+120</f>
        <v>-60</v>
      </c>
      <c r="AN110" s="19">
        <v>0</v>
      </c>
      <c r="AO110" s="19">
        <v>0</v>
      </c>
      <c r="AP110" s="14">
        <v>0</v>
      </c>
    </row>
    <row r="111" spans="3:42" ht="18" x14ac:dyDescent="0.35">
      <c r="C111" s="7"/>
      <c r="D111" s="12"/>
      <c r="E111" s="7" t="s">
        <v>44</v>
      </c>
      <c r="F111" s="12"/>
      <c r="G111" s="7" t="s">
        <v>45</v>
      </c>
      <c r="H111" s="12"/>
      <c r="I111" s="7" t="s">
        <v>46</v>
      </c>
      <c r="J111" s="12"/>
      <c r="K111" s="7" t="s">
        <v>47</v>
      </c>
      <c r="L111" s="12"/>
    </row>
    <row r="112" spans="3:42" x14ac:dyDescent="0.25">
      <c r="C112" s="9" t="s">
        <v>41</v>
      </c>
      <c r="D112" s="10"/>
      <c r="E112" s="9" t="s">
        <v>48</v>
      </c>
      <c r="F112" s="10" t="s">
        <v>49</v>
      </c>
      <c r="G112" s="9" t="s">
        <v>48</v>
      </c>
      <c r="H112" s="10" t="s">
        <v>49</v>
      </c>
      <c r="I112" s="9" t="s">
        <v>48</v>
      </c>
      <c r="J112" s="10" t="s">
        <v>49</v>
      </c>
      <c r="K112" s="9" t="s">
        <v>48</v>
      </c>
      <c r="L112" s="10" t="s">
        <v>49</v>
      </c>
      <c r="M112" s="8"/>
      <c r="N112" s="8"/>
      <c r="O112" s="8"/>
      <c r="Z112" s="4"/>
      <c r="AA112" s="5">
        <v>1</v>
      </c>
      <c r="AB112" s="5">
        <v>2</v>
      </c>
      <c r="AC112" s="5">
        <v>3</v>
      </c>
      <c r="AD112" s="5">
        <v>4</v>
      </c>
      <c r="AE112" s="5">
        <v>5</v>
      </c>
      <c r="AF112" s="5">
        <v>6</v>
      </c>
      <c r="AG112" s="6">
        <v>7</v>
      </c>
      <c r="AI112" s="4"/>
      <c r="AJ112" s="5">
        <v>1</v>
      </c>
      <c r="AK112" s="5">
        <v>2</v>
      </c>
      <c r="AL112" s="5">
        <v>3</v>
      </c>
      <c r="AM112" s="5">
        <v>4</v>
      </c>
      <c r="AN112" s="5">
        <v>5</v>
      </c>
      <c r="AO112" s="5">
        <v>6</v>
      </c>
      <c r="AP112" s="6">
        <v>7</v>
      </c>
    </row>
    <row r="113" spans="3:42" x14ac:dyDescent="0.25">
      <c r="C113" s="2" t="str">
        <f t="shared" ref="C113:C127" si="2">C8</f>
        <v>Belastning 1</v>
      </c>
      <c r="D113" s="15"/>
      <c r="E113" s="2">
        <f>COS(RADIANS(Q8))*O8</f>
        <v>0</v>
      </c>
      <c r="F113" s="3">
        <f>SIN(RADIANS(Q8))*O8</f>
        <v>0</v>
      </c>
      <c r="G113" s="2">
        <f>COS(RADIANS(T8))*R8</f>
        <v>0</v>
      </c>
      <c r="H113" s="3">
        <f>SIN(RADIANS(T8))*R8</f>
        <v>0</v>
      </c>
      <c r="I113" s="2">
        <f>COS(RADIANS(W8))*U8</f>
        <v>0</v>
      </c>
      <c r="J113" s="3">
        <f>SIN(RADIANS(W8))*U8</f>
        <v>0</v>
      </c>
      <c r="K113" s="2"/>
      <c r="L113" s="3"/>
      <c r="M113" s="11"/>
      <c r="O113" s="8"/>
      <c r="Z113" s="2"/>
      <c r="AA113" t="s">
        <v>32</v>
      </c>
      <c r="AB113" t="s">
        <v>34</v>
      </c>
      <c r="AC113" t="s">
        <v>35</v>
      </c>
      <c r="AD113" t="s">
        <v>36</v>
      </c>
      <c r="AE113" t="s">
        <v>37</v>
      </c>
      <c r="AF113" t="s">
        <v>38</v>
      </c>
      <c r="AG113" s="3" t="s">
        <v>39</v>
      </c>
      <c r="AI113" s="29" t="s">
        <v>55</v>
      </c>
      <c r="AJ113" t="s">
        <v>32</v>
      </c>
      <c r="AK113" t="s">
        <v>34</v>
      </c>
      <c r="AL113" t="s">
        <v>35</v>
      </c>
      <c r="AM113" t="s">
        <v>36</v>
      </c>
      <c r="AN113" t="s">
        <v>37</v>
      </c>
      <c r="AO113" t="s">
        <v>38</v>
      </c>
      <c r="AP113" s="3" t="s">
        <v>39</v>
      </c>
    </row>
    <row r="114" spans="3:42" x14ac:dyDescent="0.25">
      <c r="C114" s="2" t="str">
        <f t="shared" si="2"/>
        <v>Belastning 2</v>
      </c>
      <c r="D114" s="15"/>
      <c r="E114" s="2">
        <f t="shared" ref="E114:E127" si="3">COS(RADIANS(Q9))*O9</f>
        <v>0</v>
      </c>
      <c r="F114" s="3">
        <f t="shared" ref="F114:F127" si="4">SIN(RADIANS(Q9))*O9</f>
        <v>0</v>
      </c>
      <c r="G114" s="2">
        <f t="shared" ref="G114:G127" si="5">COS(RADIANS(T9))*R9</f>
        <v>0</v>
      </c>
      <c r="H114" s="3">
        <f t="shared" ref="H114:H127" si="6">SIN(RADIANS(T9))*R9</f>
        <v>0</v>
      </c>
      <c r="I114" s="2">
        <f t="shared" ref="I114:I127" si="7">COS(RADIANS(W9))*U9</f>
        <v>0</v>
      </c>
      <c r="J114" s="3">
        <f t="shared" ref="J114:J127" si="8">SIN(RADIANS(W9))*U9</f>
        <v>0</v>
      </c>
      <c r="K114" s="2"/>
      <c r="L114" s="3"/>
      <c r="M114" s="11"/>
      <c r="O114" s="8"/>
      <c r="Z114" s="2" t="s">
        <v>50</v>
      </c>
      <c r="AA114" s="17">
        <f>H17</f>
        <v>0</v>
      </c>
      <c r="AB114" s="17">
        <f>AA114</f>
        <v>0</v>
      </c>
      <c r="AC114">
        <v>0</v>
      </c>
      <c r="AD114">
        <v>0</v>
      </c>
      <c r="AE114" s="17">
        <f>AA114</f>
        <v>0</v>
      </c>
      <c r="AF114">
        <v>0</v>
      </c>
      <c r="AG114" s="18">
        <f>AA114</f>
        <v>0</v>
      </c>
      <c r="AI114" s="2" t="s">
        <v>50</v>
      </c>
      <c r="AJ114" s="17">
        <f>K17</f>
        <v>0</v>
      </c>
      <c r="AK114" s="17">
        <f>AJ114</f>
        <v>0</v>
      </c>
      <c r="AL114">
        <v>0</v>
      </c>
      <c r="AM114">
        <v>0</v>
      </c>
      <c r="AN114" s="17">
        <f>AJ114+30</f>
        <v>30</v>
      </c>
      <c r="AO114">
        <v>0</v>
      </c>
      <c r="AP114" s="18">
        <f>AJ114-30</f>
        <v>-30</v>
      </c>
    </row>
    <row r="115" spans="3:42" x14ac:dyDescent="0.25">
      <c r="C115" s="2" t="str">
        <f t="shared" si="2"/>
        <v>Belastning 3</v>
      </c>
      <c r="D115" s="15"/>
      <c r="E115" s="2">
        <f t="shared" si="3"/>
        <v>0</v>
      </c>
      <c r="F115" s="3">
        <f t="shared" si="4"/>
        <v>0</v>
      </c>
      <c r="G115" s="2">
        <f t="shared" si="5"/>
        <v>0</v>
      </c>
      <c r="H115" s="3">
        <f t="shared" si="6"/>
        <v>0</v>
      </c>
      <c r="I115" s="2">
        <f t="shared" si="7"/>
        <v>0</v>
      </c>
      <c r="J115" s="3">
        <f t="shared" si="8"/>
        <v>0</v>
      </c>
      <c r="K115" s="2"/>
      <c r="L115" s="3"/>
      <c r="M115" s="11"/>
      <c r="O115" s="8"/>
      <c r="Z115" s="2" t="s">
        <v>51</v>
      </c>
      <c r="AA115" s="17">
        <f>AA114</f>
        <v>0</v>
      </c>
      <c r="AB115">
        <v>0</v>
      </c>
      <c r="AC115" s="17">
        <f>AA114</f>
        <v>0</v>
      </c>
      <c r="AD115">
        <v>0</v>
      </c>
      <c r="AE115" s="17">
        <f>AA114</f>
        <v>0</v>
      </c>
      <c r="AF115" s="17">
        <f>AA114</f>
        <v>0</v>
      </c>
      <c r="AG115" s="3">
        <v>0</v>
      </c>
      <c r="AI115" s="2" t="s">
        <v>51</v>
      </c>
      <c r="AJ115" s="17">
        <f>AJ114-120</f>
        <v>-120</v>
      </c>
      <c r="AK115">
        <v>0</v>
      </c>
      <c r="AL115" s="17">
        <f>AJ114-120</f>
        <v>-120</v>
      </c>
      <c r="AM115">
        <v>0</v>
      </c>
      <c r="AN115" s="17">
        <f>AJ114-150</f>
        <v>-150</v>
      </c>
      <c r="AO115" s="17">
        <f>AJ114-90</f>
        <v>-90</v>
      </c>
      <c r="AP115" s="3">
        <v>0</v>
      </c>
    </row>
    <row r="116" spans="3:42" x14ac:dyDescent="0.25">
      <c r="C116" s="2" t="str">
        <f t="shared" si="2"/>
        <v>Belastning 4</v>
      </c>
      <c r="D116" s="15"/>
      <c r="E116" s="2">
        <f t="shared" si="3"/>
        <v>0</v>
      </c>
      <c r="F116" s="3">
        <f t="shared" si="4"/>
        <v>0</v>
      </c>
      <c r="G116" s="2">
        <f t="shared" si="5"/>
        <v>0</v>
      </c>
      <c r="H116" s="3">
        <f t="shared" si="6"/>
        <v>0</v>
      </c>
      <c r="I116" s="2">
        <f t="shared" si="7"/>
        <v>0</v>
      </c>
      <c r="J116" s="3">
        <f t="shared" si="8"/>
        <v>0</v>
      </c>
      <c r="K116" s="2"/>
      <c r="L116" s="3"/>
      <c r="M116" s="11"/>
      <c r="O116" s="8"/>
      <c r="Y116">
        <v>10</v>
      </c>
      <c r="Z116" s="2" t="s">
        <v>52</v>
      </c>
      <c r="AA116" s="17">
        <f>AA114</f>
        <v>0</v>
      </c>
      <c r="AB116">
        <v>0</v>
      </c>
      <c r="AC116">
        <v>0</v>
      </c>
      <c r="AD116" s="17">
        <f>AA114</f>
        <v>0</v>
      </c>
      <c r="AE116">
        <v>0</v>
      </c>
      <c r="AF116" s="17">
        <f>AA114</f>
        <v>0</v>
      </c>
      <c r="AG116" s="18">
        <f>AA114</f>
        <v>0</v>
      </c>
      <c r="AI116" s="2" t="s">
        <v>52</v>
      </c>
      <c r="AJ116" s="17">
        <f>AJ114+120</f>
        <v>120</v>
      </c>
      <c r="AK116">
        <v>0</v>
      </c>
      <c r="AL116">
        <v>0</v>
      </c>
      <c r="AM116" s="17">
        <f>AJ114+120</f>
        <v>120</v>
      </c>
      <c r="AN116">
        <v>0</v>
      </c>
      <c r="AO116" s="17">
        <f>AJ114+90</f>
        <v>90</v>
      </c>
      <c r="AP116" s="18">
        <f>AJ114+150</f>
        <v>150</v>
      </c>
    </row>
    <row r="117" spans="3:42" x14ac:dyDescent="0.25">
      <c r="C117" s="2" t="str">
        <f t="shared" si="2"/>
        <v>Belastning 5</v>
      </c>
      <c r="D117" s="15"/>
      <c r="E117" s="2">
        <f t="shared" si="3"/>
        <v>0</v>
      </c>
      <c r="F117" s="3">
        <f t="shared" si="4"/>
        <v>0</v>
      </c>
      <c r="G117" s="2">
        <f t="shared" si="5"/>
        <v>0</v>
      </c>
      <c r="H117" s="3">
        <f t="shared" si="6"/>
        <v>0</v>
      </c>
      <c r="I117" s="2">
        <f t="shared" si="7"/>
        <v>0</v>
      </c>
      <c r="J117" s="3">
        <f t="shared" si="8"/>
        <v>0</v>
      </c>
      <c r="K117" s="2"/>
      <c r="L117" s="3"/>
      <c r="M117" s="11"/>
      <c r="O117" s="8"/>
      <c r="Z117" s="13" t="s">
        <v>42</v>
      </c>
      <c r="AA117" s="19">
        <v>0</v>
      </c>
      <c r="AB117" s="20">
        <f>AA114</f>
        <v>0</v>
      </c>
      <c r="AC117" s="20">
        <f>AA114</f>
        <v>0</v>
      </c>
      <c r="AD117" s="20">
        <f>AA114</f>
        <v>0</v>
      </c>
      <c r="AE117" s="19">
        <v>0</v>
      </c>
      <c r="AF117" s="19">
        <v>0</v>
      </c>
      <c r="AG117" s="14">
        <v>0</v>
      </c>
      <c r="AI117" s="13" t="s">
        <v>42</v>
      </c>
      <c r="AJ117" s="19">
        <v>0</v>
      </c>
      <c r="AK117" s="20">
        <f>AJ114+180</f>
        <v>180</v>
      </c>
      <c r="AL117" s="20">
        <f>AJ114+180-120</f>
        <v>60</v>
      </c>
      <c r="AM117" s="20">
        <f>AJ114-180+120</f>
        <v>-60</v>
      </c>
      <c r="AN117" s="19">
        <v>0</v>
      </c>
      <c r="AO117" s="19">
        <v>0</v>
      </c>
      <c r="AP117" s="14">
        <v>0</v>
      </c>
    </row>
    <row r="118" spans="3:42" x14ac:dyDescent="0.25">
      <c r="C118" s="2" t="str">
        <f t="shared" si="2"/>
        <v>Belastning 6</v>
      </c>
      <c r="D118" s="15"/>
      <c r="E118" s="2">
        <f t="shared" si="3"/>
        <v>0</v>
      </c>
      <c r="F118" s="3">
        <f t="shared" si="4"/>
        <v>0</v>
      </c>
      <c r="G118" s="2">
        <f t="shared" si="5"/>
        <v>0</v>
      </c>
      <c r="H118" s="3">
        <f t="shared" si="6"/>
        <v>0</v>
      </c>
      <c r="I118" s="2">
        <f t="shared" si="7"/>
        <v>0</v>
      </c>
      <c r="J118" s="3">
        <f t="shared" si="8"/>
        <v>0</v>
      </c>
      <c r="K118" s="2"/>
      <c r="L118" s="3"/>
      <c r="M118" s="11"/>
      <c r="O118" s="8"/>
    </row>
    <row r="119" spans="3:42" x14ac:dyDescent="0.25">
      <c r="C119" s="2" t="str">
        <f t="shared" si="2"/>
        <v>Belastning 7</v>
      </c>
      <c r="D119" s="15"/>
      <c r="E119" s="2">
        <f t="shared" si="3"/>
        <v>0</v>
      </c>
      <c r="F119" s="3">
        <f t="shared" si="4"/>
        <v>0</v>
      </c>
      <c r="G119" s="2">
        <f t="shared" si="5"/>
        <v>0</v>
      </c>
      <c r="H119" s="3">
        <f t="shared" si="6"/>
        <v>0</v>
      </c>
      <c r="I119" s="2">
        <f t="shared" si="7"/>
        <v>0</v>
      </c>
      <c r="J119" s="3">
        <f t="shared" si="8"/>
        <v>0</v>
      </c>
      <c r="K119" s="2"/>
      <c r="L119" s="3"/>
      <c r="M119" s="11"/>
      <c r="O119" s="8"/>
      <c r="Z119" s="4"/>
      <c r="AA119" s="5">
        <v>1</v>
      </c>
      <c r="AB119" s="5">
        <v>2</v>
      </c>
      <c r="AC119" s="5">
        <v>3</v>
      </c>
      <c r="AD119" s="5">
        <v>4</v>
      </c>
      <c r="AE119" s="5">
        <v>5</v>
      </c>
      <c r="AF119" s="5">
        <v>6</v>
      </c>
      <c r="AG119" s="6">
        <v>7</v>
      </c>
      <c r="AI119" s="4"/>
      <c r="AJ119" s="5">
        <v>1</v>
      </c>
      <c r="AK119" s="5">
        <v>2</v>
      </c>
      <c r="AL119" s="5">
        <v>3</v>
      </c>
      <c r="AM119" s="5">
        <v>4</v>
      </c>
      <c r="AN119" s="5">
        <v>5</v>
      </c>
      <c r="AO119" s="5">
        <v>6</v>
      </c>
      <c r="AP119" s="6">
        <v>7</v>
      </c>
    </row>
    <row r="120" spans="3:42" x14ac:dyDescent="0.25">
      <c r="C120" s="2" t="str">
        <f t="shared" si="2"/>
        <v>Belastning 8</v>
      </c>
      <c r="D120" s="15"/>
      <c r="E120" s="2">
        <f t="shared" si="3"/>
        <v>0</v>
      </c>
      <c r="F120" s="3">
        <f t="shared" si="4"/>
        <v>0</v>
      </c>
      <c r="G120" s="2">
        <f t="shared" si="5"/>
        <v>0</v>
      </c>
      <c r="H120" s="3">
        <f t="shared" si="6"/>
        <v>0</v>
      </c>
      <c r="I120" s="2">
        <f t="shared" si="7"/>
        <v>0</v>
      </c>
      <c r="J120" s="3">
        <f t="shared" si="8"/>
        <v>0</v>
      </c>
      <c r="K120" s="2"/>
      <c r="L120" s="3"/>
      <c r="M120" s="11"/>
      <c r="O120" s="8"/>
      <c r="Z120" s="2"/>
      <c r="AA120" t="s">
        <v>32</v>
      </c>
      <c r="AB120" t="s">
        <v>34</v>
      </c>
      <c r="AC120" t="s">
        <v>35</v>
      </c>
      <c r="AD120" t="s">
        <v>36</v>
      </c>
      <c r="AE120" t="s">
        <v>37</v>
      </c>
      <c r="AF120" t="s">
        <v>38</v>
      </c>
      <c r="AG120" s="3" t="s">
        <v>39</v>
      </c>
      <c r="AI120" s="29" t="s">
        <v>55</v>
      </c>
      <c r="AJ120" t="s">
        <v>32</v>
      </c>
      <c r="AK120" t="s">
        <v>34</v>
      </c>
      <c r="AL120" t="s">
        <v>35</v>
      </c>
      <c r="AM120" t="s">
        <v>36</v>
      </c>
      <c r="AN120" t="s">
        <v>37</v>
      </c>
      <c r="AO120" t="s">
        <v>38</v>
      </c>
      <c r="AP120" s="3" t="s">
        <v>39</v>
      </c>
    </row>
    <row r="121" spans="3:42" x14ac:dyDescent="0.25">
      <c r="C121" s="2" t="str">
        <f t="shared" si="2"/>
        <v>Belastning 9</v>
      </c>
      <c r="D121" s="15"/>
      <c r="E121" s="2">
        <f t="shared" si="3"/>
        <v>0</v>
      </c>
      <c r="F121" s="3">
        <f t="shared" si="4"/>
        <v>0</v>
      </c>
      <c r="G121" s="2">
        <f t="shared" si="5"/>
        <v>0</v>
      </c>
      <c r="H121" s="3">
        <f t="shared" si="6"/>
        <v>0</v>
      </c>
      <c r="I121" s="2">
        <f t="shared" si="7"/>
        <v>0</v>
      </c>
      <c r="J121" s="3">
        <f t="shared" si="8"/>
        <v>0</v>
      </c>
      <c r="K121" s="2"/>
      <c r="L121" s="3"/>
      <c r="M121" s="11"/>
      <c r="O121" s="8"/>
      <c r="Z121" s="2" t="s">
        <v>50</v>
      </c>
      <c r="AA121" s="17">
        <f>H18</f>
        <v>0</v>
      </c>
      <c r="AB121" s="17">
        <f>AA121</f>
        <v>0</v>
      </c>
      <c r="AC121">
        <v>0</v>
      </c>
      <c r="AD121">
        <v>0</v>
      </c>
      <c r="AE121" s="17">
        <f>AA121</f>
        <v>0</v>
      </c>
      <c r="AF121">
        <v>0</v>
      </c>
      <c r="AG121" s="18">
        <f>AA121</f>
        <v>0</v>
      </c>
      <c r="AI121" s="2" t="s">
        <v>50</v>
      </c>
      <c r="AJ121" s="17">
        <f>K18</f>
        <v>0</v>
      </c>
      <c r="AK121" s="17">
        <f>AJ121</f>
        <v>0</v>
      </c>
      <c r="AL121">
        <v>0</v>
      </c>
      <c r="AM121">
        <v>0</v>
      </c>
      <c r="AN121" s="17">
        <f>AJ121+30</f>
        <v>30</v>
      </c>
      <c r="AO121">
        <v>0</v>
      </c>
      <c r="AP121" s="18">
        <f>AJ121-30</f>
        <v>-30</v>
      </c>
    </row>
    <row r="122" spans="3:42" x14ac:dyDescent="0.25">
      <c r="C122" s="2" t="str">
        <f t="shared" si="2"/>
        <v>Belastning 10</v>
      </c>
      <c r="D122" s="15"/>
      <c r="E122" s="2">
        <f t="shared" si="3"/>
        <v>0</v>
      </c>
      <c r="F122" s="3">
        <f t="shared" si="4"/>
        <v>0</v>
      </c>
      <c r="G122" s="2">
        <f t="shared" si="5"/>
        <v>0</v>
      </c>
      <c r="H122" s="3">
        <f t="shared" si="6"/>
        <v>0</v>
      </c>
      <c r="I122" s="2">
        <f t="shared" si="7"/>
        <v>0</v>
      </c>
      <c r="J122" s="3">
        <f t="shared" si="8"/>
        <v>0</v>
      </c>
      <c r="K122" s="2"/>
      <c r="L122" s="3"/>
      <c r="M122" s="11"/>
      <c r="O122" s="8"/>
      <c r="Z122" s="2" t="s">
        <v>51</v>
      </c>
      <c r="AA122" s="17">
        <f>AA121</f>
        <v>0</v>
      </c>
      <c r="AB122">
        <v>0</v>
      </c>
      <c r="AC122" s="17">
        <f>AA121</f>
        <v>0</v>
      </c>
      <c r="AD122">
        <v>0</v>
      </c>
      <c r="AE122" s="17">
        <f>AA121</f>
        <v>0</v>
      </c>
      <c r="AF122" s="17">
        <f>AA121</f>
        <v>0</v>
      </c>
      <c r="AG122" s="3">
        <v>0</v>
      </c>
      <c r="AI122" s="2" t="s">
        <v>51</v>
      </c>
      <c r="AJ122" s="17">
        <f>AJ121-120</f>
        <v>-120</v>
      </c>
      <c r="AK122">
        <v>0</v>
      </c>
      <c r="AL122" s="17">
        <f>AJ121-120</f>
        <v>-120</v>
      </c>
      <c r="AM122">
        <v>0</v>
      </c>
      <c r="AN122" s="17">
        <f>AJ121-150</f>
        <v>-150</v>
      </c>
      <c r="AO122" s="17">
        <f>AJ121-90</f>
        <v>-90</v>
      </c>
      <c r="AP122" s="3">
        <v>0</v>
      </c>
    </row>
    <row r="123" spans="3:42" x14ac:dyDescent="0.25">
      <c r="C123" s="2" t="str">
        <f t="shared" si="2"/>
        <v>Belastning 11</v>
      </c>
      <c r="D123" s="15"/>
      <c r="E123" s="2">
        <f t="shared" si="3"/>
        <v>0</v>
      </c>
      <c r="F123" s="3">
        <f t="shared" si="4"/>
        <v>0</v>
      </c>
      <c r="G123" s="2">
        <f t="shared" si="5"/>
        <v>0</v>
      </c>
      <c r="H123" s="3">
        <f t="shared" si="6"/>
        <v>0</v>
      </c>
      <c r="I123" s="2">
        <f t="shared" si="7"/>
        <v>0</v>
      </c>
      <c r="J123" s="3">
        <f t="shared" si="8"/>
        <v>0</v>
      </c>
      <c r="K123" s="2"/>
      <c r="L123" s="3"/>
      <c r="M123" s="11"/>
      <c r="O123" s="8"/>
      <c r="Y123">
        <v>11</v>
      </c>
      <c r="Z123" s="2" t="s">
        <v>52</v>
      </c>
      <c r="AA123" s="17">
        <f>AA121</f>
        <v>0</v>
      </c>
      <c r="AB123">
        <v>0</v>
      </c>
      <c r="AC123">
        <v>0</v>
      </c>
      <c r="AD123" s="17">
        <f>AA121</f>
        <v>0</v>
      </c>
      <c r="AE123">
        <v>0</v>
      </c>
      <c r="AF123" s="17">
        <f>AA121</f>
        <v>0</v>
      </c>
      <c r="AG123" s="18">
        <f>AA121</f>
        <v>0</v>
      </c>
      <c r="AI123" s="2" t="s">
        <v>52</v>
      </c>
      <c r="AJ123" s="17">
        <f>AJ121+120</f>
        <v>120</v>
      </c>
      <c r="AK123">
        <v>0</v>
      </c>
      <c r="AL123">
        <v>0</v>
      </c>
      <c r="AM123" s="17">
        <f>AJ121+120</f>
        <v>120</v>
      </c>
      <c r="AN123">
        <v>0</v>
      </c>
      <c r="AO123" s="17">
        <f>AJ121+90</f>
        <v>90</v>
      </c>
      <c r="AP123" s="18">
        <f>AJ121+150</f>
        <v>150</v>
      </c>
    </row>
    <row r="124" spans="3:42" x14ac:dyDescent="0.25">
      <c r="C124" s="2" t="str">
        <f t="shared" si="2"/>
        <v>Belastning 12</v>
      </c>
      <c r="D124" s="15"/>
      <c r="E124" s="2">
        <f t="shared" si="3"/>
        <v>0</v>
      </c>
      <c r="F124" s="3">
        <f t="shared" si="4"/>
        <v>0</v>
      </c>
      <c r="G124" s="2">
        <f t="shared" si="5"/>
        <v>0</v>
      </c>
      <c r="H124" s="3">
        <f t="shared" si="6"/>
        <v>0</v>
      </c>
      <c r="I124" s="2">
        <f t="shared" si="7"/>
        <v>0</v>
      </c>
      <c r="J124" s="3">
        <f t="shared" si="8"/>
        <v>0</v>
      </c>
      <c r="K124" s="2"/>
      <c r="L124" s="3"/>
      <c r="M124" s="11"/>
      <c r="O124" s="8"/>
      <c r="Z124" s="13" t="s">
        <v>42</v>
      </c>
      <c r="AA124" s="19">
        <v>0</v>
      </c>
      <c r="AB124" s="20">
        <f>AA121</f>
        <v>0</v>
      </c>
      <c r="AC124" s="20">
        <f>AA121</f>
        <v>0</v>
      </c>
      <c r="AD124" s="20">
        <f>AA121</f>
        <v>0</v>
      </c>
      <c r="AE124" s="19">
        <v>0</v>
      </c>
      <c r="AF124" s="19">
        <v>0</v>
      </c>
      <c r="AG124" s="14">
        <v>0</v>
      </c>
      <c r="AI124" s="13" t="s">
        <v>42</v>
      </c>
      <c r="AJ124" s="19">
        <v>0</v>
      </c>
      <c r="AK124" s="20">
        <f>AJ121+180</f>
        <v>180</v>
      </c>
      <c r="AL124" s="20">
        <f>AJ121+180-120</f>
        <v>60</v>
      </c>
      <c r="AM124" s="20">
        <f>AJ121-180+120</f>
        <v>-60</v>
      </c>
      <c r="AN124" s="19">
        <v>0</v>
      </c>
      <c r="AO124" s="19">
        <v>0</v>
      </c>
      <c r="AP124" s="14">
        <v>0</v>
      </c>
    </row>
    <row r="125" spans="3:42" x14ac:dyDescent="0.25">
      <c r="C125" s="2" t="str">
        <f t="shared" si="2"/>
        <v>Belastning 13</v>
      </c>
      <c r="D125" s="15"/>
      <c r="E125" s="2">
        <f t="shared" si="3"/>
        <v>0</v>
      </c>
      <c r="F125" s="3">
        <f t="shared" si="4"/>
        <v>0</v>
      </c>
      <c r="G125" s="2">
        <f t="shared" si="5"/>
        <v>0</v>
      </c>
      <c r="H125" s="3">
        <f t="shared" si="6"/>
        <v>0</v>
      </c>
      <c r="I125" s="2">
        <f t="shared" si="7"/>
        <v>0</v>
      </c>
      <c r="J125" s="3">
        <f t="shared" si="8"/>
        <v>0</v>
      </c>
      <c r="K125" s="2"/>
      <c r="L125" s="3"/>
      <c r="M125" s="11"/>
      <c r="O125" s="8"/>
    </row>
    <row r="126" spans="3:42" x14ac:dyDescent="0.25">
      <c r="C126" s="2" t="str">
        <f t="shared" si="2"/>
        <v>Belastning 14</v>
      </c>
      <c r="D126" s="15"/>
      <c r="E126" s="2">
        <f t="shared" si="3"/>
        <v>0</v>
      </c>
      <c r="F126" s="3">
        <f t="shared" si="4"/>
        <v>0</v>
      </c>
      <c r="G126" s="2">
        <f t="shared" si="5"/>
        <v>0</v>
      </c>
      <c r="H126" s="3">
        <f t="shared" si="6"/>
        <v>0</v>
      </c>
      <c r="I126" s="2">
        <f t="shared" si="7"/>
        <v>0</v>
      </c>
      <c r="J126" s="3">
        <f t="shared" si="8"/>
        <v>0</v>
      </c>
      <c r="K126" s="2"/>
      <c r="L126" s="3"/>
      <c r="M126" s="11"/>
      <c r="O126" s="8"/>
      <c r="Z126" s="4"/>
      <c r="AA126" s="5">
        <v>1</v>
      </c>
      <c r="AB126" s="5">
        <v>2</v>
      </c>
      <c r="AC126" s="5">
        <v>3</v>
      </c>
      <c r="AD126" s="5">
        <v>4</v>
      </c>
      <c r="AE126" s="5">
        <v>5</v>
      </c>
      <c r="AF126" s="5">
        <v>6</v>
      </c>
      <c r="AG126" s="6">
        <v>7</v>
      </c>
      <c r="AI126" s="4"/>
      <c r="AJ126" s="5">
        <v>1</v>
      </c>
      <c r="AK126" s="5">
        <v>2</v>
      </c>
      <c r="AL126" s="5">
        <v>3</v>
      </c>
      <c r="AM126" s="5">
        <v>4</v>
      </c>
      <c r="AN126" s="5">
        <v>5</v>
      </c>
      <c r="AO126" s="5">
        <v>6</v>
      </c>
      <c r="AP126" s="6">
        <v>7</v>
      </c>
    </row>
    <row r="127" spans="3:42" x14ac:dyDescent="0.25">
      <c r="C127" s="13" t="str">
        <f t="shared" si="2"/>
        <v>Belastning 15</v>
      </c>
      <c r="D127" s="16"/>
      <c r="E127" s="2">
        <f t="shared" si="3"/>
        <v>0</v>
      </c>
      <c r="F127" s="3">
        <f t="shared" si="4"/>
        <v>0</v>
      </c>
      <c r="G127" s="2">
        <f t="shared" si="5"/>
        <v>0</v>
      </c>
      <c r="H127" s="3">
        <f t="shared" si="6"/>
        <v>0</v>
      </c>
      <c r="I127" s="2">
        <f t="shared" si="7"/>
        <v>0</v>
      </c>
      <c r="J127" s="3">
        <f t="shared" si="8"/>
        <v>0</v>
      </c>
      <c r="K127" s="2"/>
      <c r="L127" s="3"/>
      <c r="M127" s="11"/>
      <c r="O127" s="8"/>
      <c r="Z127" s="2"/>
      <c r="AA127" t="s">
        <v>32</v>
      </c>
      <c r="AB127" t="s">
        <v>34</v>
      </c>
      <c r="AC127" t="s">
        <v>35</v>
      </c>
      <c r="AD127" t="s">
        <v>36</v>
      </c>
      <c r="AE127" t="s">
        <v>37</v>
      </c>
      <c r="AF127" t="s">
        <v>38</v>
      </c>
      <c r="AG127" s="3" t="s">
        <v>39</v>
      </c>
      <c r="AI127" s="29" t="s">
        <v>55</v>
      </c>
      <c r="AJ127" t="s">
        <v>32</v>
      </c>
      <c r="AK127" t="s">
        <v>34</v>
      </c>
      <c r="AL127" t="s">
        <v>35</v>
      </c>
      <c r="AM127" t="s">
        <v>36</v>
      </c>
      <c r="AN127" t="s">
        <v>37</v>
      </c>
      <c r="AO127" t="s">
        <v>38</v>
      </c>
      <c r="AP127" s="3" t="s">
        <v>39</v>
      </c>
    </row>
    <row r="128" spans="3:42" x14ac:dyDescent="0.25">
      <c r="C128" s="21" t="s">
        <v>53</v>
      </c>
      <c r="D128" s="22"/>
      <c r="E128" s="25">
        <f t="shared" ref="E128:J128" si="9">SUM(E113:E127)</f>
        <v>0</v>
      </c>
      <c r="F128" s="23">
        <f t="shared" si="9"/>
        <v>0</v>
      </c>
      <c r="G128" s="25">
        <f t="shared" si="9"/>
        <v>0</v>
      </c>
      <c r="H128" s="23">
        <f t="shared" si="9"/>
        <v>0</v>
      </c>
      <c r="I128" s="25">
        <f t="shared" si="9"/>
        <v>0</v>
      </c>
      <c r="J128" s="23">
        <f t="shared" si="9"/>
        <v>0</v>
      </c>
      <c r="K128" s="22"/>
      <c r="L128" s="23"/>
      <c r="Z128" s="2" t="s">
        <v>50</v>
      </c>
      <c r="AA128" s="17">
        <f>H19</f>
        <v>0</v>
      </c>
      <c r="AB128" s="17">
        <f>AA128</f>
        <v>0</v>
      </c>
      <c r="AC128">
        <v>0</v>
      </c>
      <c r="AD128">
        <v>0</v>
      </c>
      <c r="AE128" s="17">
        <f>AA128</f>
        <v>0</v>
      </c>
      <c r="AF128">
        <v>0</v>
      </c>
      <c r="AG128" s="18">
        <f>AA128</f>
        <v>0</v>
      </c>
      <c r="AI128" s="2" t="s">
        <v>50</v>
      </c>
      <c r="AJ128" s="17">
        <f>K19</f>
        <v>0</v>
      </c>
      <c r="AK128" s="17">
        <f>AJ128</f>
        <v>0</v>
      </c>
      <c r="AL128">
        <v>0</v>
      </c>
      <c r="AM128">
        <v>0</v>
      </c>
      <c r="AN128" s="17">
        <f>AJ128+30</f>
        <v>30</v>
      </c>
      <c r="AO128">
        <v>0</v>
      </c>
      <c r="AP128" s="18">
        <f>AJ128-30</f>
        <v>-30</v>
      </c>
    </row>
    <row r="129" spans="3:42" x14ac:dyDescent="0.25">
      <c r="Y129">
        <v>12</v>
      </c>
      <c r="Z129" s="2" t="s">
        <v>51</v>
      </c>
      <c r="AA129" s="17">
        <f>AA128</f>
        <v>0</v>
      </c>
      <c r="AB129">
        <v>0</v>
      </c>
      <c r="AC129" s="17">
        <f>AA128</f>
        <v>0</v>
      </c>
      <c r="AD129">
        <v>0</v>
      </c>
      <c r="AE129" s="17">
        <f>AA128</f>
        <v>0</v>
      </c>
      <c r="AF129" s="17">
        <f>AA128</f>
        <v>0</v>
      </c>
      <c r="AG129" s="3">
        <v>0</v>
      </c>
      <c r="AI129" s="2" t="s">
        <v>51</v>
      </c>
      <c r="AJ129" s="17">
        <f>AJ128-120</f>
        <v>-120</v>
      </c>
      <c r="AK129">
        <v>0</v>
      </c>
      <c r="AL129" s="17">
        <f>AJ128-120</f>
        <v>-120</v>
      </c>
      <c r="AM129">
        <v>0</v>
      </c>
      <c r="AN129" s="17">
        <f>AJ128-150</f>
        <v>-150</v>
      </c>
      <c r="AO129" s="17">
        <f>AJ128-90</f>
        <v>-90</v>
      </c>
      <c r="AP129" s="3">
        <v>0</v>
      </c>
    </row>
    <row r="130" spans="3:42" x14ac:dyDescent="0.25">
      <c r="K130" s="48"/>
      <c r="Z130" s="2" t="s">
        <v>52</v>
      </c>
      <c r="AA130" s="17">
        <f>AA128</f>
        <v>0</v>
      </c>
      <c r="AB130">
        <v>0</v>
      </c>
      <c r="AC130">
        <v>0</v>
      </c>
      <c r="AD130" s="17">
        <f>AA128</f>
        <v>0</v>
      </c>
      <c r="AE130">
        <v>0</v>
      </c>
      <c r="AF130" s="17">
        <f>AA128</f>
        <v>0</v>
      </c>
      <c r="AG130" s="18">
        <f>AA128</f>
        <v>0</v>
      </c>
      <c r="AI130" s="2" t="s">
        <v>52</v>
      </c>
      <c r="AJ130" s="17">
        <f>AJ128+120</f>
        <v>120</v>
      </c>
      <c r="AK130">
        <v>0</v>
      </c>
      <c r="AL130">
        <v>0</v>
      </c>
      <c r="AM130" s="17">
        <f>AJ128+120</f>
        <v>120</v>
      </c>
      <c r="AN130">
        <v>0</v>
      </c>
      <c r="AO130" s="17">
        <f>AJ128+90</f>
        <v>90</v>
      </c>
      <c r="AP130" s="18">
        <f>AJ128+150</f>
        <v>150</v>
      </c>
    </row>
    <row r="131" spans="3:42" x14ac:dyDescent="0.25">
      <c r="E131" s="24"/>
      <c r="F131" s="17"/>
      <c r="H131" s="17"/>
      <c r="I131" s="24"/>
      <c r="J131" s="17"/>
      <c r="Z131" s="13" t="s">
        <v>42</v>
      </c>
      <c r="AA131" s="19">
        <v>0</v>
      </c>
      <c r="AB131" s="20">
        <f>AA128</f>
        <v>0</v>
      </c>
      <c r="AC131" s="20">
        <f>AA128</f>
        <v>0</v>
      </c>
      <c r="AD131" s="20">
        <f>AA128</f>
        <v>0</v>
      </c>
      <c r="AE131" s="19">
        <v>0</v>
      </c>
      <c r="AF131" s="19">
        <v>0</v>
      </c>
      <c r="AG131" s="14">
        <v>0</v>
      </c>
      <c r="AI131" s="13" t="s">
        <v>42</v>
      </c>
      <c r="AJ131" s="19">
        <v>0</v>
      </c>
      <c r="AK131" s="20">
        <f>AJ128+180</f>
        <v>180</v>
      </c>
      <c r="AL131" s="20">
        <f>AJ128+180-120</f>
        <v>60</v>
      </c>
      <c r="AM131" s="20">
        <f>AJ128-180+120</f>
        <v>-60</v>
      </c>
      <c r="AN131" s="19">
        <v>0</v>
      </c>
      <c r="AO131" s="19">
        <v>0</v>
      </c>
      <c r="AP131" s="14">
        <v>0</v>
      </c>
    </row>
    <row r="132" spans="3:42" x14ac:dyDescent="0.25">
      <c r="E132" s="30"/>
      <c r="F132" s="17"/>
      <c r="G132" s="30"/>
      <c r="H132" s="17"/>
      <c r="J132" s="17"/>
    </row>
    <row r="133" spans="3:42" x14ac:dyDescent="0.25">
      <c r="Z133" s="4"/>
      <c r="AA133" s="5">
        <v>1</v>
      </c>
      <c r="AB133" s="5">
        <v>2</v>
      </c>
      <c r="AC133" s="5">
        <v>3</v>
      </c>
      <c r="AD133" s="5">
        <v>4</v>
      </c>
      <c r="AE133" s="5">
        <v>5</v>
      </c>
      <c r="AF133" s="5">
        <v>6</v>
      </c>
      <c r="AG133" s="6">
        <v>7</v>
      </c>
      <c r="AI133" s="4"/>
      <c r="AJ133" s="5">
        <v>1</v>
      </c>
      <c r="AK133" s="5">
        <v>2</v>
      </c>
      <c r="AL133" s="5">
        <v>3</v>
      </c>
      <c r="AM133" s="5">
        <v>4</v>
      </c>
      <c r="AN133" s="5">
        <v>5</v>
      </c>
      <c r="AO133" s="5">
        <v>6</v>
      </c>
      <c r="AP133" s="6">
        <v>7</v>
      </c>
    </row>
    <row r="134" spans="3:42" x14ac:dyDescent="0.25">
      <c r="C134">
        <f>COS(RADIANS(Q23))*O23</f>
        <v>0</v>
      </c>
      <c r="F134">
        <f>COS(RADIANS(T23))*R23</f>
        <v>0</v>
      </c>
      <c r="I134">
        <f>COS(RADIANS(W23))*U23</f>
        <v>0</v>
      </c>
      <c r="L134">
        <f>IMABS(COMPLEX(C134+F134+I134,C135+F135+I135))</f>
        <v>0</v>
      </c>
      <c r="Z134" s="2"/>
      <c r="AA134" t="s">
        <v>32</v>
      </c>
      <c r="AB134" t="s">
        <v>34</v>
      </c>
      <c r="AC134" t="s">
        <v>35</v>
      </c>
      <c r="AD134" t="s">
        <v>36</v>
      </c>
      <c r="AE134" t="s">
        <v>37</v>
      </c>
      <c r="AF134" t="s">
        <v>38</v>
      </c>
      <c r="AG134" s="3" t="s">
        <v>39</v>
      </c>
      <c r="AI134" s="29" t="s">
        <v>55</v>
      </c>
      <c r="AJ134" t="s">
        <v>32</v>
      </c>
      <c r="AK134" t="s">
        <v>34</v>
      </c>
      <c r="AL134" t="s">
        <v>35</v>
      </c>
      <c r="AM134" t="s">
        <v>36</v>
      </c>
      <c r="AN134" t="s">
        <v>37</v>
      </c>
      <c r="AO134" t="s">
        <v>38</v>
      </c>
      <c r="AP134" s="3" t="s">
        <v>39</v>
      </c>
    </row>
    <row r="135" spans="3:42" x14ac:dyDescent="0.25">
      <c r="C135">
        <f>SIN(RADIANS(Q23))*O23</f>
        <v>0</v>
      </c>
      <c r="F135">
        <f>SIN(RADIANS(T23))*R23</f>
        <v>0</v>
      </c>
      <c r="I135">
        <f>SIN(RADIANS(W23))*U23</f>
        <v>0</v>
      </c>
      <c r="L135" t="str">
        <f>COMPLEX(C134+F134+I134,C135+F135+I135)</f>
        <v>0</v>
      </c>
      <c r="Z135" s="2" t="s">
        <v>50</v>
      </c>
      <c r="AA135" s="17">
        <f>H20</f>
        <v>0</v>
      </c>
      <c r="AB135" s="17">
        <f>AA135</f>
        <v>0</v>
      </c>
      <c r="AC135">
        <v>0</v>
      </c>
      <c r="AD135">
        <v>0</v>
      </c>
      <c r="AE135" s="17">
        <f>AA135</f>
        <v>0</v>
      </c>
      <c r="AF135">
        <v>0</v>
      </c>
      <c r="AG135" s="18">
        <f>AA135</f>
        <v>0</v>
      </c>
      <c r="AI135" s="2" t="s">
        <v>50</v>
      </c>
      <c r="AJ135" s="17">
        <f>K20</f>
        <v>0</v>
      </c>
      <c r="AK135" s="17">
        <f>AJ135</f>
        <v>0</v>
      </c>
      <c r="AL135">
        <v>0</v>
      </c>
      <c r="AM135">
        <v>0</v>
      </c>
      <c r="AN135" s="17">
        <f>AJ135+30</f>
        <v>30</v>
      </c>
      <c r="AO135">
        <v>0</v>
      </c>
      <c r="AP135" s="18">
        <f>AJ135-30</f>
        <v>-30</v>
      </c>
    </row>
    <row r="136" spans="3:42" x14ac:dyDescent="0.25">
      <c r="Y136">
        <v>13</v>
      </c>
      <c r="Z136" s="2" t="s">
        <v>51</v>
      </c>
      <c r="AA136" s="17">
        <f>AA135</f>
        <v>0</v>
      </c>
      <c r="AB136">
        <v>0</v>
      </c>
      <c r="AC136" s="17">
        <f>AA135</f>
        <v>0</v>
      </c>
      <c r="AD136">
        <v>0</v>
      </c>
      <c r="AE136" s="17">
        <f>AA135</f>
        <v>0</v>
      </c>
      <c r="AF136" s="17">
        <f>AA135</f>
        <v>0</v>
      </c>
      <c r="AG136" s="3">
        <v>0</v>
      </c>
      <c r="AI136" s="2" t="s">
        <v>51</v>
      </c>
      <c r="AJ136" s="17">
        <f>AJ135-120</f>
        <v>-120</v>
      </c>
      <c r="AK136">
        <v>0</v>
      </c>
      <c r="AL136" s="17">
        <f>AJ135-120</f>
        <v>-120</v>
      </c>
      <c r="AM136">
        <v>0</v>
      </c>
      <c r="AN136" s="17">
        <f>AJ135-150</f>
        <v>-150</v>
      </c>
      <c r="AO136" s="17">
        <f>AJ135-90</f>
        <v>-90</v>
      </c>
      <c r="AP136" s="3">
        <v>0</v>
      </c>
    </row>
    <row r="137" spans="3:42" x14ac:dyDescent="0.25">
      <c r="C137">
        <f>COS(RADIANS(Q24))*O24</f>
        <v>0</v>
      </c>
      <c r="F137">
        <f>COS(RADIANS(T24))*R24</f>
        <v>0</v>
      </c>
      <c r="I137">
        <f>COS(RADIANS(W24))*U24</f>
        <v>0</v>
      </c>
      <c r="L137">
        <f>IMABS(COMPLEX(C137+F137+I137,C138+F138+I138))</f>
        <v>0</v>
      </c>
      <c r="Z137" s="2" t="s">
        <v>52</v>
      </c>
      <c r="AA137" s="17">
        <f>AA135</f>
        <v>0</v>
      </c>
      <c r="AB137">
        <v>0</v>
      </c>
      <c r="AC137">
        <v>0</v>
      </c>
      <c r="AD137" s="17">
        <f>AA135</f>
        <v>0</v>
      </c>
      <c r="AE137">
        <v>0</v>
      </c>
      <c r="AF137" s="17">
        <f>AA135</f>
        <v>0</v>
      </c>
      <c r="AG137" s="18">
        <f>AA135</f>
        <v>0</v>
      </c>
      <c r="AI137" s="2" t="s">
        <v>52</v>
      </c>
      <c r="AJ137" s="17">
        <f>AJ135+120</f>
        <v>120</v>
      </c>
      <c r="AK137">
        <v>0</v>
      </c>
      <c r="AL137">
        <v>0</v>
      </c>
      <c r="AM137" s="17">
        <f>AJ135+120</f>
        <v>120</v>
      </c>
      <c r="AN137">
        <v>0</v>
      </c>
      <c r="AO137" s="17">
        <f>AJ135+90</f>
        <v>90</v>
      </c>
      <c r="AP137" s="18">
        <f>AJ135+150</f>
        <v>150</v>
      </c>
    </row>
    <row r="138" spans="3:42" x14ac:dyDescent="0.25">
      <c r="C138">
        <f>SIN(RADIANS(Q24))*O24</f>
        <v>0</v>
      </c>
      <c r="F138">
        <f>SIN(RADIANS(T24))*R24</f>
        <v>0</v>
      </c>
      <c r="I138">
        <f>SIN(RADIANS(W24))*U24</f>
        <v>0</v>
      </c>
      <c r="L138" t="str">
        <f>COMPLEX(C137+F137+I137,C138+F138+I138)</f>
        <v>0</v>
      </c>
      <c r="Z138" s="13" t="s">
        <v>42</v>
      </c>
      <c r="AA138" s="19">
        <v>0</v>
      </c>
      <c r="AB138" s="20">
        <f>AA135</f>
        <v>0</v>
      </c>
      <c r="AC138" s="20">
        <f>AA135</f>
        <v>0</v>
      </c>
      <c r="AD138" s="20">
        <f>AA135</f>
        <v>0</v>
      </c>
      <c r="AE138" s="19">
        <v>0</v>
      </c>
      <c r="AF138" s="19">
        <v>0</v>
      </c>
      <c r="AG138" s="14">
        <v>0</v>
      </c>
      <c r="AI138" s="13" t="s">
        <v>42</v>
      </c>
      <c r="AJ138" s="19">
        <v>0</v>
      </c>
      <c r="AK138" s="20">
        <f>AJ135+180</f>
        <v>180</v>
      </c>
      <c r="AL138" s="20">
        <f>AJ135+180-120</f>
        <v>60</v>
      </c>
      <c r="AM138" s="20">
        <f>AJ135-180+120</f>
        <v>-60</v>
      </c>
      <c r="AN138" s="19">
        <v>0</v>
      </c>
      <c r="AO138" s="19">
        <v>0</v>
      </c>
      <c r="AP138" s="14">
        <v>0</v>
      </c>
    </row>
    <row r="140" spans="3:42" x14ac:dyDescent="0.25">
      <c r="Z140" s="4"/>
      <c r="AA140" s="5">
        <v>1</v>
      </c>
      <c r="AB140" s="5">
        <v>2</v>
      </c>
      <c r="AC140" s="5">
        <v>3</v>
      </c>
      <c r="AD140" s="5">
        <v>4</v>
      </c>
      <c r="AE140" s="5">
        <v>5</v>
      </c>
      <c r="AF140" s="5">
        <v>6</v>
      </c>
      <c r="AG140" s="6">
        <v>7</v>
      </c>
      <c r="AI140" s="4"/>
      <c r="AJ140" s="5">
        <v>1</v>
      </c>
      <c r="AK140" s="5">
        <v>2</v>
      </c>
      <c r="AL140" s="5">
        <v>3</v>
      </c>
      <c r="AM140" s="5">
        <v>4</v>
      </c>
      <c r="AN140" s="5">
        <v>5</v>
      </c>
      <c r="AO140" s="5">
        <v>6</v>
      </c>
      <c r="AP140" s="6">
        <v>7</v>
      </c>
    </row>
    <row r="141" spans="3:42" x14ac:dyDescent="0.25">
      <c r="Z141" s="2"/>
      <c r="AA141" t="s">
        <v>32</v>
      </c>
      <c r="AB141" t="s">
        <v>34</v>
      </c>
      <c r="AC141" t="s">
        <v>35</v>
      </c>
      <c r="AD141" t="s">
        <v>36</v>
      </c>
      <c r="AE141" t="s">
        <v>37</v>
      </c>
      <c r="AF141" t="s">
        <v>38</v>
      </c>
      <c r="AG141" s="3" t="s">
        <v>39</v>
      </c>
      <c r="AI141" s="29" t="s">
        <v>55</v>
      </c>
      <c r="AJ141" t="s">
        <v>32</v>
      </c>
      <c r="AK141" t="s">
        <v>34</v>
      </c>
      <c r="AL141" t="s">
        <v>35</v>
      </c>
      <c r="AM141" t="s">
        <v>36</v>
      </c>
      <c r="AN141" t="s">
        <v>37</v>
      </c>
      <c r="AO141" t="s">
        <v>38</v>
      </c>
      <c r="AP141" s="3" t="s">
        <v>39</v>
      </c>
    </row>
    <row r="142" spans="3:42" x14ac:dyDescent="0.25">
      <c r="Y142">
        <v>14</v>
      </c>
      <c r="Z142" s="2" t="s">
        <v>50</v>
      </c>
      <c r="AA142" s="17">
        <f>H21</f>
        <v>0</v>
      </c>
      <c r="AB142" s="17">
        <f>AA142</f>
        <v>0</v>
      </c>
      <c r="AC142">
        <v>0</v>
      </c>
      <c r="AD142">
        <v>0</v>
      </c>
      <c r="AE142" s="17">
        <f>AA142</f>
        <v>0</v>
      </c>
      <c r="AF142">
        <v>0</v>
      </c>
      <c r="AG142" s="18">
        <f>AA142</f>
        <v>0</v>
      </c>
      <c r="AI142" s="2" t="s">
        <v>50</v>
      </c>
      <c r="AJ142" s="17">
        <f>K21</f>
        <v>0</v>
      </c>
      <c r="AK142" s="17">
        <f>AJ142</f>
        <v>0</v>
      </c>
      <c r="AL142">
        <v>0</v>
      </c>
      <c r="AM142">
        <v>0</v>
      </c>
      <c r="AN142" s="17">
        <f>AJ142+30</f>
        <v>30</v>
      </c>
      <c r="AO142">
        <v>0</v>
      </c>
      <c r="AP142" s="18">
        <f>AJ142-30</f>
        <v>-30</v>
      </c>
    </row>
    <row r="143" spans="3:42" x14ac:dyDescent="0.25">
      <c r="Z143" s="2" t="s">
        <v>51</v>
      </c>
      <c r="AA143" s="17">
        <f>AA142</f>
        <v>0</v>
      </c>
      <c r="AB143">
        <v>0</v>
      </c>
      <c r="AC143" s="17">
        <f>AA142</f>
        <v>0</v>
      </c>
      <c r="AD143">
        <v>0</v>
      </c>
      <c r="AE143" s="17">
        <f>AA142</f>
        <v>0</v>
      </c>
      <c r="AF143" s="17">
        <f>AA142</f>
        <v>0</v>
      </c>
      <c r="AG143" s="3">
        <v>0</v>
      </c>
      <c r="AI143" s="2" t="s">
        <v>51</v>
      </c>
      <c r="AJ143" s="17">
        <f>AJ142-120</f>
        <v>-120</v>
      </c>
      <c r="AK143">
        <v>0</v>
      </c>
      <c r="AL143" s="17">
        <f>AJ142-120</f>
        <v>-120</v>
      </c>
      <c r="AM143">
        <v>0</v>
      </c>
      <c r="AN143" s="17">
        <f>AJ142-150</f>
        <v>-150</v>
      </c>
      <c r="AO143" s="17">
        <f>AJ142-90</f>
        <v>-90</v>
      </c>
      <c r="AP143" s="3">
        <v>0</v>
      </c>
    </row>
    <row r="144" spans="3:42" x14ac:dyDescent="0.25">
      <c r="Z144" s="2" t="s">
        <v>52</v>
      </c>
      <c r="AA144" s="17">
        <f>AA142</f>
        <v>0</v>
      </c>
      <c r="AB144">
        <v>0</v>
      </c>
      <c r="AC144">
        <v>0</v>
      </c>
      <c r="AD144" s="17">
        <f>AA142</f>
        <v>0</v>
      </c>
      <c r="AE144">
        <v>0</v>
      </c>
      <c r="AF144" s="17">
        <f>AA142</f>
        <v>0</v>
      </c>
      <c r="AG144" s="18">
        <f>AA142</f>
        <v>0</v>
      </c>
      <c r="AI144" s="2" t="s">
        <v>52</v>
      </c>
      <c r="AJ144" s="17">
        <f>AJ142+120</f>
        <v>120</v>
      </c>
      <c r="AK144">
        <v>0</v>
      </c>
      <c r="AL144">
        <v>0</v>
      </c>
      <c r="AM144" s="17">
        <f>AJ142+120</f>
        <v>120</v>
      </c>
      <c r="AN144">
        <v>0</v>
      </c>
      <c r="AO144" s="17">
        <f>AJ142+90</f>
        <v>90</v>
      </c>
      <c r="AP144" s="18">
        <f>AJ142+150</f>
        <v>150</v>
      </c>
    </row>
    <row r="145" spans="25:42" x14ac:dyDescent="0.25">
      <c r="Z145" s="13" t="s">
        <v>42</v>
      </c>
      <c r="AA145" s="19">
        <v>0</v>
      </c>
      <c r="AB145" s="20">
        <f>AA142</f>
        <v>0</v>
      </c>
      <c r="AC145" s="20">
        <f>AA142</f>
        <v>0</v>
      </c>
      <c r="AD145" s="20">
        <f>AA142</f>
        <v>0</v>
      </c>
      <c r="AE145" s="19">
        <v>0</v>
      </c>
      <c r="AF145" s="19">
        <v>0</v>
      </c>
      <c r="AG145" s="14">
        <v>0</v>
      </c>
      <c r="AI145" s="13" t="s">
        <v>42</v>
      </c>
      <c r="AJ145" s="19">
        <v>0</v>
      </c>
      <c r="AK145" s="20">
        <f>AJ142+180</f>
        <v>180</v>
      </c>
      <c r="AL145" s="20">
        <f>AJ142+180-120</f>
        <v>60</v>
      </c>
      <c r="AM145" s="20">
        <f>AJ142-180+120</f>
        <v>-60</v>
      </c>
      <c r="AN145" s="19">
        <v>0</v>
      </c>
      <c r="AO145" s="19">
        <v>0</v>
      </c>
      <c r="AP145" s="14">
        <v>0</v>
      </c>
    </row>
    <row r="147" spans="25:42" x14ac:dyDescent="0.25">
      <c r="Z147" s="4"/>
      <c r="AA147" s="5">
        <v>1</v>
      </c>
      <c r="AB147" s="5">
        <v>2</v>
      </c>
      <c r="AC147" s="5">
        <v>3</v>
      </c>
      <c r="AD147" s="5">
        <v>4</v>
      </c>
      <c r="AE147" s="5">
        <v>5</v>
      </c>
      <c r="AF147" s="5">
        <v>6</v>
      </c>
      <c r="AG147" s="6">
        <v>7</v>
      </c>
      <c r="AI147" s="4"/>
      <c r="AJ147" s="5">
        <v>1</v>
      </c>
      <c r="AK147" s="5">
        <v>2</v>
      </c>
      <c r="AL147" s="5">
        <v>3</v>
      </c>
      <c r="AM147" s="5">
        <v>4</v>
      </c>
      <c r="AN147" s="5">
        <v>5</v>
      </c>
      <c r="AO147" s="5">
        <v>6</v>
      </c>
      <c r="AP147" s="6">
        <v>7</v>
      </c>
    </row>
    <row r="148" spans="25:42" x14ac:dyDescent="0.25">
      <c r="Z148" s="2"/>
      <c r="AA148" t="s">
        <v>32</v>
      </c>
      <c r="AB148" t="s">
        <v>34</v>
      </c>
      <c r="AC148" t="s">
        <v>35</v>
      </c>
      <c r="AD148" t="s">
        <v>36</v>
      </c>
      <c r="AE148" t="s">
        <v>37</v>
      </c>
      <c r="AF148" t="s">
        <v>38</v>
      </c>
      <c r="AG148" s="3" t="s">
        <v>39</v>
      </c>
      <c r="AI148" s="29" t="s">
        <v>55</v>
      </c>
      <c r="AJ148" t="s">
        <v>32</v>
      </c>
      <c r="AK148" t="s">
        <v>34</v>
      </c>
      <c r="AL148" t="s">
        <v>35</v>
      </c>
      <c r="AM148" t="s">
        <v>36</v>
      </c>
      <c r="AN148" t="s">
        <v>37</v>
      </c>
      <c r="AO148" t="s">
        <v>38</v>
      </c>
      <c r="AP148" s="3" t="s">
        <v>39</v>
      </c>
    </row>
    <row r="149" spans="25:42" x14ac:dyDescent="0.25">
      <c r="Z149" s="2" t="s">
        <v>50</v>
      </c>
      <c r="AA149" s="17">
        <f>H22</f>
        <v>0</v>
      </c>
      <c r="AB149" s="17">
        <f>AA149</f>
        <v>0</v>
      </c>
      <c r="AC149">
        <v>0</v>
      </c>
      <c r="AD149">
        <v>0</v>
      </c>
      <c r="AE149" s="17">
        <f>AA149</f>
        <v>0</v>
      </c>
      <c r="AF149">
        <v>0</v>
      </c>
      <c r="AG149" s="18">
        <f>AA149</f>
        <v>0</v>
      </c>
      <c r="AI149" s="2" t="s">
        <v>50</v>
      </c>
      <c r="AJ149" s="17">
        <f>K22</f>
        <v>0</v>
      </c>
      <c r="AK149" s="17">
        <f>AJ149</f>
        <v>0</v>
      </c>
      <c r="AL149">
        <v>0</v>
      </c>
      <c r="AM149">
        <v>0</v>
      </c>
      <c r="AN149" s="17">
        <f>AJ149+30</f>
        <v>30</v>
      </c>
      <c r="AO149">
        <v>0</v>
      </c>
      <c r="AP149" s="18">
        <f>AJ149-30</f>
        <v>-30</v>
      </c>
    </row>
    <row r="150" spans="25:42" x14ac:dyDescent="0.25">
      <c r="Y150">
        <v>15</v>
      </c>
      <c r="Z150" s="2" t="s">
        <v>51</v>
      </c>
      <c r="AA150" s="17">
        <f>AA149</f>
        <v>0</v>
      </c>
      <c r="AB150">
        <v>0</v>
      </c>
      <c r="AC150" s="17">
        <f>AA149</f>
        <v>0</v>
      </c>
      <c r="AD150">
        <v>0</v>
      </c>
      <c r="AE150" s="17">
        <f>AA149</f>
        <v>0</v>
      </c>
      <c r="AF150" s="17">
        <f>AA149</f>
        <v>0</v>
      </c>
      <c r="AG150" s="3">
        <v>0</v>
      </c>
      <c r="AI150" s="2" t="s">
        <v>51</v>
      </c>
      <c r="AJ150" s="17">
        <f>AJ149-120</f>
        <v>-120</v>
      </c>
      <c r="AK150">
        <v>0</v>
      </c>
      <c r="AL150" s="17">
        <f>AJ149-120</f>
        <v>-120</v>
      </c>
      <c r="AM150">
        <v>0</v>
      </c>
      <c r="AN150" s="17">
        <f>AJ149-150</f>
        <v>-150</v>
      </c>
      <c r="AO150" s="17">
        <f>AJ149-90</f>
        <v>-90</v>
      </c>
      <c r="AP150" s="3">
        <v>0</v>
      </c>
    </row>
    <row r="151" spans="25:42" x14ac:dyDescent="0.25">
      <c r="Z151" s="2" t="s">
        <v>52</v>
      </c>
      <c r="AA151" s="17">
        <f>AA149</f>
        <v>0</v>
      </c>
      <c r="AB151">
        <v>0</v>
      </c>
      <c r="AC151">
        <v>0</v>
      </c>
      <c r="AD151" s="17">
        <f>AA149</f>
        <v>0</v>
      </c>
      <c r="AE151">
        <v>0</v>
      </c>
      <c r="AF151" s="17">
        <f>AA149</f>
        <v>0</v>
      </c>
      <c r="AG151" s="18">
        <f>AA149</f>
        <v>0</v>
      </c>
      <c r="AI151" s="2" t="s">
        <v>52</v>
      </c>
      <c r="AJ151" s="17">
        <f>AJ149+120</f>
        <v>120</v>
      </c>
      <c r="AK151">
        <v>0</v>
      </c>
      <c r="AL151">
        <v>0</v>
      </c>
      <c r="AM151" s="17">
        <f>AJ149+120</f>
        <v>120</v>
      </c>
      <c r="AN151">
        <v>0</v>
      </c>
      <c r="AO151" s="17">
        <f>AJ149+90</f>
        <v>90</v>
      </c>
      <c r="AP151" s="18">
        <f>AJ149+150</f>
        <v>150</v>
      </c>
    </row>
    <row r="152" spans="25:42" x14ac:dyDescent="0.25">
      <c r="Z152" s="13" t="s">
        <v>42</v>
      </c>
      <c r="AA152" s="19">
        <v>0</v>
      </c>
      <c r="AB152" s="20">
        <f>AA149</f>
        <v>0</v>
      </c>
      <c r="AC152" s="20">
        <f>AA149</f>
        <v>0</v>
      </c>
      <c r="AD152" s="20">
        <f>AA149</f>
        <v>0</v>
      </c>
      <c r="AE152" s="19">
        <v>0</v>
      </c>
      <c r="AF152" s="19">
        <v>0</v>
      </c>
      <c r="AG152" s="14">
        <v>0</v>
      </c>
      <c r="AI152" s="13" t="s">
        <v>42</v>
      </c>
      <c r="AJ152" s="19">
        <v>0</v>
      </c>
      <c r="AK152" s="20">
        <f>AJ149+180</f>
        <v>180</v>
      </c>
      <c r="AL152" s="20">
        <f>AJ149+180-120</f>
        <v>60</v>
      </c>
      <c r="AM152" s="20">
        <f>AJ149-180+120</f>
        <v>-60</v>
      </c>
      <c r="AN152" s="19">
        <v>0</v>
      </c>
      <c r="AO152" s="19">
        <v>0</v>
      </c>
      <c r="AP152" s="14">
        <v>0</v>
      </c>
    </row>
    <row r="600" spans="5:5" x14ac:dyDescent="0.25">
      <c r="E600">
        <v>1</v>
      </c>
    </row>
  </sheetData>
  <conditionalFormatting sqref="M8">
    <cfRule type="expression" dxfId="74" priority="15">
      <formula>$L$51=2</formula>
    </cfRule>
  </conditionalFormatting>
  <conditionalFormatting sqref="M9">
    <cfRule type="expression" dxfId="73" priority="14">
      <formula>$L$55=2</formula>
    </cfRule>
  </conditionalFormatting>
  <conditionalFormatting sqref="M10">
    <cfRule type="expression" dxfId="72" priority="13">
      <formula>$L$59=2</formula>
    </cfRule>
  </conditionalFormatting>
  <conditionalFormatting sqref="M11">
    <cfRule type="expression" dxfId="71" priority="12">
      <formula>$L$63=2</formula>
    </cfRule>
  </conditionalFormatting>
  <conditionalFormatting sqref="M12">
    <cfRule type="expression" dxfId="70" priority="11">
      <formula>$L$67=2</formula>
    </cfRule>
  </conditionalFormatting>
  <conditionalFormatting sqref="M13">
    <cfRule type="expression" dxfId="69" priority="10">
      <formula>$L$71=2</formula>
    </cfRule>
  </conditionalFormatting>
  <conditionalFormatting sqref="M14">
    <cfRule type="expression" dxfId="68" priority="9">
      <formula>$L$75=2</formula>
    </cfRule>
  </conditionalFormatting>
  <conditionalFormatting sqref="M15">
    <cfRule type="expression" dxfId="67" priority="8">
      <formula>$L$79=2</formula>
    </cfRule>
  </conditionalFormatting>
  <conditionalFormatting sqref="M16">
    <cfRule type="expression" dxfId="66" priority="7">
      <formula>$L$83=2</formula>
    </cfRule>
  </conditionalFormatting>
  <conditionalFormatting sqref="M17">
    <cfRule type="expression" dxfId="65" priority="6">
      <formula>$L$87=2</formula>
    </cfRule>
  </conditionalFormatting>
  <conditionalFormatting sqref="M18">
    <cfRule type="expression" dxfId="64" priority="5">
      <formula>$L$91=2</formula>
    </cfRule>
  </conditionalFormatting>
  <conditionalFormatting sqref="M19">
    <cfRule type="expression" dxfId="63" priority="4">
      <formula>$L$95=2</formula>
    </cfRule>
  </conditionalFormatting>
  <conditionalFormatting sqref="M20">
    <cfRule type="expression" dxfId="62" priority="3">
      <formula>$L$99=2</formula>
    </cfRule>
  </conditionalFormatting>
  <conditionalFormatting sqref="M21">
    <cfRule type="expression" dxfId="61" priority="2">
      <formula>$L$103=2</formula>
    </cfRule>
  </conditionalFormatting>
  <conditionalFormatting sqref="M22">
    <cfRule type="expression" dxfId="60" priority="1">
      <formula>$L$107=2</formula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Drop Down 1">
              <controlPr locked="0" defaultSize="0" autoLine="0" autoPict="0">
                <anchor moveWithCells="1">
                  <from>
                    <xdr:col>4</xdr:col>
                    <xdr:colOff>9525</xdr:colOff>
                    <xdr:row>7</xdr:row>
                    <xdr:rowOff>9525</xdr:rowOff>
                  </from>
                  <to>
                    <xdr:col>5</xdr:col>
                    <xdr:colOff>9525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Drop Down 2">
              <controlPr locked="0" defaultSize="0" autoLine="0" autoPict="0">
                <anchor moveWithCells="1">
                  <from>
                    <xdr:col>4</xdr:col>
                    <xdr:colOff>9525</xdr:colOff>
                    <xdr:row>8</xdr:row>
                    <xdr:rowOff>9525</xdr:rowOff>
                  </from>
                  <to>
                    <xdr:col>5</xdr:col>
                    <xdr:colOff>9525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Drop Down 3">
              <controlPr locked="0" defaultSize="0" autoLine="0" autoPict="0">
                <anchor moveWithCells="1">
                  <from>
                    <xdr:col>4</xdr:col>
                    <xdr:colOff>9525</xdr:colOff>
                    <xdr:row>9</xdr:row>
                    <xdr:rowOff>9525</xdr:rowOff>
                  </from>
                  <to>
                    <xdr:col>5</xdr:col>
                    <xdr:colOff>9525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Drop Down 4">
              <controlPr locked="0" defaultSize="0" autoLine="0" autoPict="0">
                <anchor moveWithCells="1">
                  <from>
                    <xdr:col>4</xdr:col>
                    <xdr:colOff>9525</xdr:colOff>
                    <xdr:row>10</xdr:row>
                    <xdr:rowOff>9525</xdr:rowOff>
                  </from>
                  <to>
                    <xdr:col>5</xdr:col>
                    <xdr:colOff>9525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Drop Down 5">
              <controlPr locked="0" defaultSize="0" autoLine="0" autoPict="0">
                <anchor moveWithCells="1">
                  <from>
                    <xdr:col>4</xdr:col>
                    <xdr:colOff>9525</xdr:colOff>
                    <xdr:row>11</xdr:row>
                    <xdr:rowOff>9525</xdr:rowOff>
                  </from>
                  <to>
                    <xdr:col>5</xdr:col>
                    <xdr:colOff>9525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Drop Down 6">
              <controlPr locked="0" defaultSize="0" autoLine="0" autoPict="0">
                <anchor moveWithCells="1">
                  <from>
                    <xdr:col>4</xdr:col>
                    <xdr:colOff>9525</xdr:colOff>
                    <xdr:row>12</xdr:row>
                    <xdr:rowOff>9525</xdr:rowOff>
                  </from>
                  <to>
                    <xdr:col>5</xdr:col>
                    <xdr:colOff>9525</xdr:colOff>
                    <xdr:row>12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Drop Down 7">
              <controlPr locked="0" defaultSize="0" autoLine="0" autoPict="0">
                <anchor moveWithCells="1">
                  <from>
                    <xdr:col>4</xdr:col>
                    <xdr:colOff>9525</xdr:colOff>
                    <xdr:row>13</xdr:row>
                    <xdr:rowOff>9525</xdr:rowOff>
                  </from>
                  <to>
                    <xdr:col>5</xdr:col>
                    <xdr:colOff>9525</xdr:colOff>
                    <xdr:row>13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Drop Down 8">
              <controlPr locked="0" defaultSize="0" autoLine="0" autoPict="0">
                <anchor moveWithCells="1">
                  <from>
                    <xdr:col>4</xdr:col>
                    <xdr:colOff>9525</xdr:colOff>
                    <xdr:row>14</xdr:row>
                    <xdr:rowOff>9525</xdr:rowOff>
                  </from>
                  <to>
                    <xdr:col>5</xdr:col>
                    <xdr:colOff>9525</xdr:colOff>
                    <xdr:row>14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Drop Down 9">
              <controlPr locked="0" defaultSize="0" autoLine="0" autoPict="0">
                <anchor moveWithCells="1">
                  <from>
                    <xdr:col>4</xdr:col>
                    <xdr:colOff>9525</xdr:colOff>
                    <xdr:row>15</xdr:row>
                    <xdr:rowOff>9525</xdr:rowOff>
                  </from>
                  <to>
                    <xdr:col>5</xdr:col>
                    <xdr:colOff>9525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Drop Down 10">
              <controlPr locked="0" defaultSize="0" autoLine="0" autoPict="0">
                <anchor moveWithCells="1">
                  <from>
                    <xdr:col>4</xdr:col>
                    <xdr:colOff>9525</xdr:colOff>
                    <xdr:row>16</xdr:row>
                    <xdr:rowOff>9525</xdr:rowOff>
                  </from>
                  <to>
                    <xdr:col>5</xdr:col>
                    <xdr:colOff>9525</xdr:colOff>
                    <xdr:row>16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Drop Down 11">
              <controlPr locked="0" defaultSize="0" autoLine="0" autoPict="0">
                <anchor moveWithCells="1">
                  <from>
                    <xdr:col>4</xdr:col>
                    <xdr:colOff>9525</xdr:colOff>
                    <xdr:row>17</xdr:row>
                    <xdr:rowOff>9525</xdr:rowOff>
                  </from>
                  <to>
                    <xdr:col>5</xdr:col>
                    <xdr:colOff>9525</xdr:colOff>
                    <xdr:row>17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Drop Down 12">
              <controlPr locked="0" defaultSize="0" autoLine="0" autoPict="0">
                <anchor moveWithCells="1">
                  <from>
                    <xdr:col>4</xdr:col>
                    <xdr:colOff>9525</xdr:colOff>
                    <xdr:row>18</xdr:row>
                    <xdr:rowOff>9525</xdr:rowOff>
                  </from>
                  <to>
                    <xdr:col>5</xdr:col>
                    <xdr:colOff>9525</xdr:colOff>
                    <xdr:row>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Drop Down 13">
              <controlPr locked="0" defaultSize="0" autoLine="0" autoPict="0">
                <anchor moveWithCells="1">
                  <from>
                    <xdr:col>4</xdr:col>
                    <xdr:colOff>9525</xdr:colOff>
                    <xdr:row>19</xdr:row>
                    <xdr:rowOff>9525</xdr:rowOff>
                  </from>
                  <to>
                    <xdr:col>5</xdr:col>
                    <xdr:colOff>9525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Drop Down 14">
              <controlPr locked="0" defaultSize="0" autoLine="0" autoPict="0">
                <anchor moveWithCells="1">
                  <from>
                    <xdr:col>4</xdr:col>
                    <xdr:colOff>9525</xdr:colOff>
                    <xdr:row>20</xdr:row>
                    <xdr:rowOff>9525</xdr:rowOff>
                  </from>
                  <to>
                    <xdr:col>5</xdr:col>
                    <xdr:colOff>9525</xdr:colOff>
                    <xdr:row>20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Drop Down 15">
              <controlPr locked="0" defaultSize="0" autoLine="0" autoPict="0">
                <anchor moveWithCells="1">
                  <from>
                    <xdr:col>4</xdr:col>
                    <xdr:colOff>9525</xdr:colOff>
                    <xdr:row>21</xdr:row>
                    <xdr:rowOff>9525</xdr:rowOff>
                  </from>
                  <to>
                    <xdr:col>5</xdr:col>
                    <xdr:colOff>9525</xdr:colOff>
                    <xdr:row>21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Drop Down 16">
              <controlPr locked="0" defaultSize="0" autoLine="0" autoPict="0">
                <anchor moveWithCells="1">
                  <from>
                    <xdr:col>9</xdr:col>
                    <xdr:colOff>9525</xdr:colOff>
                    <xdr:row>7</xdr:row>
                    <xdr:rowOff>9525</xdr:rowOff>
                  </from>
                  <to>
                    <xdr:col>10</xdr:col>
                    <xdr:colOff>9525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Drop Down 17">
              <controlPr defaultSize="0" autoLine="0" autoPict="0">
                <anchor moveWithCells="1">
                  <from>
                    <xdr:col>9</xdr:col>
                    <xdr:colOff>9525</xdr:colOff>
                    <xdr:row>8</xdr:row>
                    <xdr:rowOff>9525</xdr:rowOff>
                  </from>
                  <to>
                    <xdr:col>10</xdr:col>
                    <xdr:colOff>9525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Drop Down 18">
              <controlPr defaultSize="0" autoLine="0" autoPict="0">
                <anchor moveWithCells="1">
                  <from>
                    <xdr:col>9</xdr:col>
                    <xdr:colOff>9525</xdr:colOff>
                    <xdr:row>9</xdr:row>
                    <xdr:rowOff>9525</xdr:rowOff>
                  </from>
                  <to>
                    <xdr:col>10</xdr:col>
                    <xdr:colOff>9525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Drop Down 19">
              <controlPr defaultSize="0" autoLine="0" autoPict="0">
                <anchor moveWithCells="1">
                  <from>
                    <xdr:col>9</xdr:col>
                    <xdr:colOff>9525</xdr:colOff>
                    <xdr:row>10</xdr:row>
                    <xdr:rowOff>9525</xdr:rowOff>
                  </from>
                  <to>
                    <xdr:col>10</xdr:col>
                    <xdr:colOff>9525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Drop Down 20">
              <controlPr defaultSize="0" autoLine="0" autoPict="0">
                <anchor moveWithCells="1">
                  <from>
                    <xdr:col>9</xdr:col>
                    <xdr:colOff>9525</xdr:colOff>
                    <xdr:row>11</xdr:row>
                    <xdr:rowOff>9525</xdr:rowOff>
                  </from>
                  <to>
                    <xdr:col>10</xdr:col>
                    <xdr:colOff>9525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Drop Down 21">
              <controlPr defaultSize="0" autoLine="0" autoPict="0">
                <anchor moveWithCells="1">
                  <from>
                    <xdr:col>9</xdr:col>
                    <xdr:colOff>9525</xdr:colOff>
                    <xdr:row>12</xdr:row>
                    <xdr:rowOff>9525</xdr:rowOff>
                  </from>
                  <to>
                    <xdr:col>10</xdr:col>
                    <xdr:colOff>9525</xdr:colOff>
                    <xdr:row>12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Drop Down 22">
              <controlPr defaultSize="0" autoLine="0" autoPict="0">
                <anchor moveWithCells="1">
                  <from>
                    <xdr:col>9</xdr:col>
                    <xdr:colOff>9525</xdr:colOff>
                    <xdr:row>13</xdr:row>
                    <xdr:rowOff>9525</xdr:rowOff>
                  </from>
                  <to>
                    <xdr:col>10</xdr:col>
                    <xdr:colOff>9525</xdr:colOff>
                    <xdr:row>13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Drop Down 23">
              <controlPr defaultSize="0" autoLine="0" autoPict="0">
                <anchor moveWithCells="1">
                  <from>
                    <xdr:col>9</xdr:col>
                    <xdr:colOff>9525</xdr:colOff>
                    <xdr:row>14</xdr:row>
                    <xdr:rowOff>9525</xdr:rowOff>
                  </from>
                  <to>
                    <xdr:col>10</xdr:col>
                    <xdr:colOff>9525</xdr:colOff>
                    <xdr:row>14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Drop Down 24">
              <controlPr defaultSize="0" autoLine="0" autoPict="0">
                <anchor moveWithCells="1">
                  <from>
                    <xdr:col>9</xdr:col>
                    <xdr:colOff>9525</xdr:colOff>
                    <xdr:row>15</xdr:row>
                    <xdr:rowOff>9525</xdr:rowOff>
                  </from>
                  <to>
                    <xdr:col>10</xdr:col>
                    <xdr:colOff>9525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Drop Down 25">
              <controlPr defaultSize="0" autoLine="0" autoPict="0">
                <anchor moveWithCells="1">
                  <from>
                    <xdr:col>9</xdr:col>
                    <xdr:colOff>9525</xdr:colOff>
                    <xdr:row>16</xdr:row>
                    <xdr:rowOff>9525</xdr:rowOff>
                  </from>
                  <to>
                    <xdr:col>10</xdr:col>
                    <xdr:colOff>9525</xdr:colOff>
                    <xdr:row>16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Drop Down 26">
              <controlPr defaultSize="0" autoLine="0" autoPict="0">
                <anchor moveWithCells="1">
                  <from>
                    <xdr:col>9</xdr:col>
                    <xdr:colOff>9525</xdr:colOff>
                    <xdr:row>17</xdr:row>
                    <xdr:rowOff>9525</xdr:rowOff>
                  </from>
                  <to>
                    <xdr:col>10</xdr:col>
                    <xdr:colOff>9525</xdr:colOff>
                    <xdr:row>17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Drop Down 27">
              <controlPr defaultSize="0" autoLine="0" autoPict="0">
                <anchor moveWithCells="1">
                  <from>
                    <xdr:col>9</xdr:col>
                    <xdr:colOff>9525</xdr:colOff>
                    <xdr:row>18</xdr:row>
                    <xdr:rowOff>9525</xdr:rowOff>
                  </from>
                  <to>
                    <xdr:col>10</xdr:col>
                    <xdr:colOff>9525</xdr:colOff>
                    <xdr:row>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Drop Down 28">
              <controlPr defaultSize="0" autoLine="0" autoPict="0">
                <anchor moveWithCells="1">
                  <from>
                    <xdr:col>9</xdr:col>
                    <xdr:colOff>9525</xdr:colOff>
                    <xdr:row>19</xdr:row>
                    <xdr:rowOff>9525</xdr:rowOff>
                  </from>
                  <to>
                    <xdr:col>10</xdr:col>
                    <xdr:colOff>9525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Drop Down 29">
              <controlPr defaultSize="0" autoLine="0" autoPict="0">
                <anchor moveWithCells="1">
                  <from>
                    <xdr:col>9</xdr:col>
                    <xdr:colOff>9525</xdr:colOff>
                    <xdr:row>20</xdr:row>
                    <xdr:rowOff>9525</xdr:rowOff>
                  </from>
                  <to>
                    <xdr:col>10</xdr:col>
                    <xdr:colOff>9525</xdr:colOff>
                    <xdr:row>20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Drop Down 30">
              <controlPr defaultSize="0" autoLine="0" autoPict="0">
                <anchor moveWithCells="1">
                  <from>
                    <xdr:col>9</xdr:col>
                    <xdr:colOff>9525</xdr:colOff>
                    <xdr:row>21</xdr:row>
                    <xdr:rowOff>9525</xdr:rowOff>
                  </from>
                  <to>
                    <xdr:col>10</xdr:col>
                    <xdr:colOff>9525</xdr:colOff>
                    <xdr:row>21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Drop Down 31">
              <controlPr locked="0" defaultSize="0" autoLine="0" autoPict="0">
                <anchor moveWithCells="1">
                  <from>
                    <xdr:col>9</xdr:col>
                    <xdr:colOff>9525</xdr:colOff>
                    <xdr:row>8</xdr:row>
                    <xdr:rowOff>9525</xdr:rowOff>
                  </from>
                  <to>
                    <xdr:col>10</xdr:col>
                    <xdr:colOff>9525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Drop Down 32">
              <controlPr locked="0" defaultSize="0" autoLine="0" autoPict="0">
                <anchor moveWithCells="1">
                  <from>
                    <xdr:col>9</xdr:col>
                    <xdr:colOff>9525</xdr:colOff>
                    <xdr:row>9</xdr:row>
                    <xdr:rowOff>9525</xdr:rowOff>
                  </from>
                  <to>
                    <xdr:col>10</xdr:col>
                    <xdr:colOff>9525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Drop Down 33">
              <controlPr locked="0" defaultSize="0" autoLine="0" autoPict="0">
                <anchor moveWithCells="1">
                  <from>
                    <xdr:col>9</xdr:col>
                    <xdr:colOff>9525</xdr:colOff>
                    <xdr:row>10</xdr:row>
                    <xdr:rowOff>9525</xdr:rowOff>
                  </from>
                  <to>
                    <xdr:col>10</xdr:col>
                    <xdr:colOff>9525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Drop Down 34">
              <controlPr locked="0" defaultSize="0" autoLine="0" autoPict="0">
                <anchor moveWithCells="1">
                  <from>
                    <xdr:col>9</xdr:col>
                    <xdr:colOff>9525</xdr:colOff>
                    <xdr:row>11</xdr:row>
                    <xdr:rowOff>9525</xdr:rowOff>
                  </from>
                  <to>
                    <xdr:col>10</xdr:col>
                    <xdr:colOff>9525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Drop Down 35">
              <controlPr locked="0" defaultSize="0" autoLine="0" autoPict="0">
                <anchor moveWithCells="1">
                  <from>
                    <xdr:col>9</xdr:col>
                    <xdr:colOff>9525</xdr:colOff>
                    <xdr:row>12</xdr:row>
                    <xdr:rowOff>9525</xdr:rowOff>
                  </from>
                  <to>
                    <xdr:col>10</xdr:col>
                    <xdr:colOff>9525</xdr:colOff>
                    <xdr:row>12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Drop Down 36">
              <controlPr locked="0" defaultSize="0" autoLine="0" autoPict="0">
                <anchor moveWithCells="1">
                  <from>
                    <xdr:col>9</xdr:col>
                    <xdr:colOff>9525</xdr:colOff>
                    <xdr:row>13</xdr:row>
                    <xdr:rowOff>9525</xdr:rowOff>
                  </from>
                  <to>
                    <xdr:col>10</xdr:col>
                    <xdr:colOff>9525</xdr:colOff>
                    <xdr:row>13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Drop Down 37">
              <controlPr locked="0" defaultSize="0" autoLine="0" autoPict="0">
                <anchor moveWithCells="1">
                  <from>
                    <xdr:col>9</xdr:col>
                    <xdr:colOff>9525</xdr:colOff>
                    <xdr:row>14</xdr:row>
                    <xdr:rowOff>9525</xdr:rowOff>
                  </from>
                  <to>
                    <xdr:col>10</xdr:col>
                    <xdr:colOff>9525</xdr:colOff>
                    <xdr:row>14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Drop Down 38">
              <controlPr locked="0" defaultSize="0" autoLine="0" autoPict="0">
                <anchor moveWithCells="1">
                  <from>
                    <xdr:col>9</xdr:col>
                    <xdr:colOff>9525</xdr:colOff>
                    <xdr:row>15</xdr:row>
                    <xdr:rowOff>9525</xdr:rowOff>
                  </from>
                  <to>
                    <xdr:col>10</xdr:col>
                    <xdr:colOff>9525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Drop Down 39">
              <controlPr locked="0" defaultSize="0" autoLine="0" autoPict="0">
                <anchor moveWithCells="1">
                  <from>
                    <xdr:col>9</xdr:col>
                    <xdr:colOff>9525</xdr:colOff>
                    <xdr:row>16</xdr:row>
                    <xdr:rowOff>9525</xdr:rowOff>
                  </from>
                  <to>
                    <xdr:col>10</xdr:col>
                    <xdr:colOff>9525</xdr:colOff>
                    <xdr:row>16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Drop Down 40">
              <controlPr locked="0" defaultSize="0" autoLine="0" autoPict="0">
                <anchor moveWithCells="1">
                  <from>
                    <xdr:col>9</xdr:col>
                    <xdr:colOff>9525</xdr:colOff>
                    <xdr:row>17</xdr:row>
                    <xdr:rowOff>9525</xdr:rowOff>
                  </from>
                  <to>
                    <xdr:col>10</xdr:col>
                    <xdr:colOff>9525</xdr:colOff>
                    <xdr:row>17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Drop Down 41">
              <controlPr locked="0" defaultSize="0" autoLine="0" autoPict="0">
                <anchor moveWithCells="1">
                  <from>
                    <xdr:col>9</xdr:col>
                    <xdr:colOff>9525</xdr:colOff>
                    <xdr:row>18</xdr:row>
                    <xdr:rowOff>9525</xdr:rowOff>
                  </from>
                  <to>
                    <xdr:col>10</xdr:col>
                    <xdr:colOff>9525</xdr:colOff>
                    <xdr:row>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Drop Down 42">
              <controlPr locked="0" defaultSize="0" autoLine="0" autoPict="0">
                <anchor moveWithCells="1">
                  <from>
                    <xdr:col>9</xdr:col>
                    <xdr:colOff>9525</xdr:colOff>
                    <xdr:row>19</xdr:row>
                    <xdr:rowOff>9525</xdr:rowOff>
                  </from>
                  <to>
                    <xdr:col>10</xdr:col>
                    <xdr:colOff>9525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Drop Down 43">
              <controlPr locked="0" defaultSize="0" autoLine="0" autoPict="0">
                <anchor moveWithCells="1">
                  <from>
                    <xdr:col>9</xdr:col>
                    <xdr:colOff>9525</xdr:colOff>
                    <xdr:row>20</xdr:row>
                    <xdr:rowOff>9525</xdr:rowOff>
                  </from>
                  <to>
                    <xdr:col>10</xdr:col>
                    <xdr:colOff>9525</xdr:colOff>
                    <xdr:row>20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Drop Down 44">
              <controlPr locked="0" defaultSize="0" autoLine="0" autoPict="0">
                <anchor moveWithCells="1">
                  <from>
                    <xdr:col>9</xdr:col>
                    <xdr:colOff>9525</xdr:colOff>
                    <xdr:row>21</xdr:row>
                    <xdr:rowOff>9525</xdr:rowOff>
                  </from>
                  <to>
                    <xdr:col>10</xdr:col>
                    <xdr:colOff>9525</xdr:colOff>
                    <xdr:row>21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Drop Down 45">
              <controlPr locked="0" defaultSize="0" autoLine="0" autoPict="0">
                <anchor moveWithCells="1">
                  <from>
                    <xdr:col>9</xdr:col>
                    <xdr:colOff>9525</xdr:colOff>
                    <xdr:row>7</xdr:row>
                    <xdr:rowOff>9525</xdr:rowOff>
                  </from>
                  <to>
                    <xdr:col>10</xdr:col>
                    <xdr:colOff>9525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Drop Down 46">
              <controlPr defaultSize="0" autoLine="0" autoPict="0">
                <anchor moveWithCells="1">
                  <from>
                    <xdr:col>9</xdr:col>
                    <xdr:colOff>9525</xdr:colOff>
                    <xdr:row>8</xdr:row>
                    <xdr:rowOff>9525</xdr:rowOff>
                  </from>
                  <to>
                    <xdr:col>10</xdr:col>
                    <xdr:colOff>9525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Drop Down 47">
              <controlPr defaultSize="0" autoLine="0" autoPict="0">
                <anchor moveWithCells="1">
                  <from>
                    <xdr:col>9</xdr:col>
                    <xdr:colOff>9525</xdr:colOff>
                    <xdr:row>9</xdr:row>
                    <xdr:rowOff>9525</xdr:rowOff>
                  </from>
                  <to>
                    <xdr:col>10</xdr:col>
                    <xdr:colOff>9525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Drop Down 48">
              <controlPr defaultSize="0" autoLine="0" autoPict="0">
                <anchor moveWithCells="1">
                  <from>
                    <xdr:col>9</xdr:col>
                    <xdr:colOff>9525</xdr:colOff>
                    <xdr:row>10</xdr:row>
                    <xdr:rowOff>9525</xdr:rowOff>
                  </from>
                  <to>
                    <xdr:col>10</xdr:col>
                    <xdr:colOff>9525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Drop Down 49">
              <controlPr defaultSize="0" autoLine="0" autoPict="0">
                <anchor moveWithCells="1">
                  <from>
                    <xdr:col>9</xdr:col>
                    <xdr:colOff>9525</xdr:colOff>
                    <xdr:row>11</xdr:row>
                    <xdr:rowOff>9525</xdr:rowOff>
                  </from>
                  <to>
                    <xdr:col>10</xdr:col>
                    <xdr:colOff>9525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Drop Down 50">
              <controlPr defaultSize="0" autoLine="0" autoPict="0">
                <anchor moveWithCells="1">
                  <from>
                    <xdr:col>9</xdr:col>
                    <xdr:colOff>9525</xdr:colOff>
                    <xdr:row>12</xdr:row>
                    <xdr:rowOff>9525</xdr:rowOff>
                  </from>
                  <to>
                    <xdr:col>10</xdr:col>
                    <xdr:colOff>9525</xdr:colOff>
                    <xdr:row>12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Drop Down 51">
              <controlPr defaultSize="0" autoLine="0" autoPict="0">
                <anchor moveWithCells="1">
                  <from>
                    <xdr:col>9</xdr:col>
                    <xdr:colOff>9525</xdr:colOff>
                    <xdr:row>13</xdr:row>
                    <xdr:rowOff>9525</xdr:rowOff>
                  </from>
                  <to>
                    <xdr:col>10</xdr:col>
                    <xdr:colOff>9525</xdr:colOff>
                    <xdr:row>13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Drop Down 52">
              <controlPr defaultSize="0" autoLine="0" autoPict="0">
                <anchor moveWithCells="1">
                  <from>
                    <xdr:col>9</xdr:col>
                    <xdr:colOff>9525</xdr:colOff>
                    <xdr:row>14</xdr:row>
                    <xdr:rowOff>9525</xdr:rowOff>
                  </from>
                  <to>
                    <xdr:col>10</xdr:col>
                    <xdr:colOff>9525</xdr:colOff>
                    <xdr:row>14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Drop Down 53">
              <controlPr defaultSize="0" autoLine="0" autoPict="0">
                <anchor moveWithCells="1">
                  <from>
                    <xdr:col>9</xdr:col>
                    <xdr:colOff>9525</xdr:colOff>
                    <xdr:row>15</xdr:row>
                    <xdr:rowOff>9525</xdr:rowOff>
                  </from>
                  <to>
                    <xdr:col>10</xdr:col>
                    <xdr:colOff>9525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Drop Down 54">
              <controlPr defaultSize="0" autoLine="0" autoPict="0">
                <anchor moveWithCells="1">
                  <from>
                    <xdr:col>9</xdr:col>
                    <xdr:colOff>9525</xdr:colOff>
                    <xdr:row>16</xdr:row>
                    <xdr:rowOff>9525</xdr:rowOff>
                  </from>
                  <to>
                    <xdr:col>10</xdr:col>
                    <xdr:colOff>9525</xdr:colOff>
                    <xdr:row>16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Drop Down 55">
              <controlPr defaultSize="0" autoLine="0" autoPict="0">
                <anchor moveWithCells="1">
                  <from>
                    <xdr:col>9</xdr:col>
                    <xdr:colOff>9525</xdr:colOff>
                    <xdr:row>17</xdr:row>
                    <xdr:rowOff>9525</xdr:rowOff>
                  </from>
                  <to>
                    <xdr:col>10</xdr:col>
                    <xdr:colOff>9525</xdr:colOff>
                    <xdr:row>17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Drop Down 56">
              <controlPr defaultSize="0" autoLine="0" autoPict="0">
                <anchor moveWithCells="1">
                  <from>
                    <xdr:col>9</xdr:col>
                    <xdr:colOff>9525</xdr:colOff>
                    <xdr:row>18</xdr:row>
                    <xdr:rowOff>9525</xdr:rowOff>
                  </from>
                  <to>
                    <xdr:col>10</xdr:col>
                    <xdr:colOff>9525</xdr:colOff>
                    <xdr:row>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Drop Down 57">
              <controlPr defaultSize="0" autoLine="0" autoPict="0">
                <anchor moveWithCells="1">
                  <from>
                    <xdr:col>9</xdr:col>
                    <xdr:colOff>9525</xdr:colOff>
                    <xdr:row>19</xdr:row>
                    <xdr:rowOff>9525</xdr:rowOff>
                  </from>
                  <to>
                    <xdr:col>10</xdr:col>
                    <xdr:colOff>9525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Drop Down 58">
              <controlPr defaultSize="0" autoLine="0" autoPict="0">
                <anchor moveWithCells="1">
                  <from>
                    <xdr:col>9</xdr:col>
                    <xdr:colOff>9525</xdr:colOff>
                    <xdr:row>20</xdr:row>
                    <xdr:rowOff>9525</xdr:rowOff>
                  </from>
                  <to>
                    <xdr:col>10</xdr:col>
                    <xdr:colOff>9525</xdr:colOff>
                    <xdr:row>20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Drop Down 59">
              <controlPr defaultSize="0" autoLine="0" autoPict="0">
                <anchor moveWithCells="1">
                  <from>
                    <xdr:col>9</xdr:col>
                    <xdr:colOff>9525</xdr:colOff>
                    <xdr:row>21</xdr:row>
                    <xdr:rowOff>9525</xdr:rowOff>
                  </from>
                  <to>
                    <xdr:col>10</xdr:col>
                    <xdr:colOff>9525</xdr:colOff>
                    <xdr:row>21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Drop Down 60">
              <controlPr locked="0" defaultSize="0" autoLine="0" autoPict="0">
                <anchor moveWithCells="1">
                  <from>
                    <xdr:col>9</xdr:col>
                    <xdr:colOff>9525</xdr:colOff>
                    <xdr:row>8</xdr:row>
                    <xdr:rowOff>9525</xdr:rowOff>
                  </from>
                  <to>
                    <xdr:col>10</xdr:col>
                    <xdr:colOff>9525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Drop Down 61">
              <controlPr locked="0" defaultSize="0" autoLine="0" autoPict="0">
                <anchor moveWithCells="1">
                  <from>
                    <xdr:col>9</xdr:col>
                    <xdr:colOff>9525</xdr:colOff>
                    <xdr:row>9</xdr:row>
                    <xdr:rowOff>9525</xdr:rowOff>
                  </from>
                  <to>
                    <xdr:col>10</xdr:col>
                    <xdr:colOff>9525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Drop Down 62">
              <controlPr locked="0" defaultSize="0" autoLine="0" autoPict="0">
                <anchor moveWithCells="1">
                  <from>
                    <xdr:col>9</xdr:col>
                    <xdr:colOff>9525</xdr:colOff>
                    <xdr:row>10</xdr:row>
                    <xdr:rowOff>9525</xdr:rowOff>
                  </from>
                  <to>
                    <xdr:col>10</xdr:col>
                    <xdr:colOff>9525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Drop Down 63">
              <controlPr locked="0" defaultSize="0" autoLine="0" autoPict="0">
                <anchor moveWithCells="1">
                  <from>
                    <xdr:col>9</xdr:col>
                    <xdr:colOff>9525</xdr:colOff>
                    <xdr:row>11</xdr:row>
                    <xdr:rowOff>9525</xdr:rowOff>
                  </from>
                  <to>
                    <xdr:col>10</xdr:col>
                    <xdr:colOff>9525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Drop Down 64">
              <controlPr locked="0" defaultSize="0" autoLine="0" autoPict="0">
                <anchor moveWithCells="1">
                  <from>
                    <xdr:col>9</xdr:col>
                    <xdr:colOff>9525</xdr:colOff>
                    <xdr:row>12</xdr:row>
                    <xdr:rowOff>9525</xdr:rowOff>
                  </from>
                  <to>
                    <xdr:col>10</xdr:col>
                    <xdr:colOff>9525</xdr:colOff>
                    <xdr:row>12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Drop Down 65">
              <controlPr locked="0" defaultSize="0" autoLine="0" autoPict="0">
                <anchor moveWithCells="1">
                  <from>
                    <xdr:col>9</xdr:col>
                    <xdr:colOff>9525</xdr:colOff>
                    <xdr:row>13</xdr:row>
                    <xdr:rowOff>9525</xdr:rowOff>
                  </from>
                  <to>
                    <xdr:col>10</xdr:col>
                    <xdr:colOff>9525</xdr:colOff>
                    <xdr:row>13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Drop Down 66">
              <controlPr locked="0" defaultSize="0" autoLine="0" autoPict="0">
                <anchor moveWithCells="1">
                  <from>
                    <xdr:col>9</xdr:col>
                    <xdr:colOff>9525</xdr:colOff>
                    <xdr:row>14</xdr:row>
                    <xdr:rowOff>9525</xdr:rowOff>
                  </from>
                  <to>
                    <xdr:col>10</xdr:col>
                    <xdr:colOff>9525</xdr:colOff>
                    <xdr:row>14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Drop Down 67">
              <controlPr locked="0" defaultSize="0" autoLine="0" autoPict="0">
                <anchor moveWithCells="1">
                  <from>
                    <xdr:col>9</xdr:col>
                    <xdr:colOff>9525</xdr:colOff>
                    <xdr:row>15</xdr:row>
                    <xdr:rowOff>9525</xdr:rowOff>
                  </from>
                  <to>
                    <xdr:col>10</xdr:col>
                    <xdr:colOff>9525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Drop Down 68">
              <controlPr locked="0" defaultSize="0" autoLine="0" autoPict="0">
                <anchor moveWithCells="1">
                  <from>
                    <xdr:col>9</xdr:col>
                    <xdr:colOff>9525</xdr:colOff>
                    <xdr:row>16</xdr:row>
                    <xdr:rowOff>9525</xdr:rowOff>
                  </from>
                  <to>
                    <xdr:col>10</xdr:col>
                    <xdr:colOff>9525</xdr:colOff>
                    <xdr:row>16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Drop Down 69">
              <controlPr locked="0" defaultSize="0" autoLine="0" autoPict="0">
                <anchor moveWithCells="1">
                  <from>
                    <xdr:col>9</xdr:col>
                    <xdr:colOff>9525</xdr:colOff>
                    <xdr:row>17</xdr:row>
                    <xdr:rowOff>9525</xdr:rowOff>
                  </from>
                  <to>
                    <xdr:col>10</xdr:col>
                    <xdr:colOff>9525</xdr:colOff>
                    <xdr:row>17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Drop Down 70">
              <controlPr locked="0" defaultSize="0" autoLine="0" autoPict="0">
                <anchor moveWithCells="1">
                  <from>
                    <xdr:col>9</xdr:col>
                    <xdr:colOff>9525</xdr:colOff>
                    <xdr:row>18</xdr:row>
                    <xdr:rowOff>9525</xdr:rowOff>
                  </from>
                  <to>
                    <xdr:col>10</xdr:col>
                    <xdr:colOff>9525</xdr:colOff>
                    <xdr:row>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Drop Down 71">
              <controlPr locked="0" defaultSize="0" autoLine="0" autoPict="0">
                <anchor moveWithCells="1">
                  <from>
                    <xdr:col>9</xdr:col>
                    <xdr:colOff>9525</xdr:colOff>
                    <xdr:row>19</xdr:row>
                    <xdr:rowOff>9525</xdr:rowOff>
                  </from>
                  <to>
                    <xdr:col>10</xdr:col>
                    <xdr:colOff>9525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Drop Down 72">
              <controlPr locked="0" defaultSize="0" autoLine="0" autoPict="0">
                <anchor moveWithCells="1">
                  <from>
                    <xdr:col>9</xdr:col>
                    <xdr:colOff>9525</xdr:colOff>
                    <xdr:row>20</xdr:row>
                    <xdr:rowOff>9525</xdr:rowOff>
                  </from>
                  <to>
                    <xdr:col>10</xdr:col>
                    <xdr:colOff>9525</xdr:colOff>
                    <xdr:row>20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Drop Down 73">
              <controlPr locked="0" defaultSize="0" autoLine="0" autoPict="0">
                <anchor moveWithCells="1">
                  <from>
                    <xdr:col>9</xdr:col>
                    <xdr:colOff>9525</xdr:colOff>
                    <xdr:row>21</xdr:row>
                    <xdr:rowOff>9525</xdr:rowOff>
                  </from>
                  <to>
                    <xdr:col>10</xdr:col>
                    <xdr:colOff>9525</xdr:colOff>
                    <xdr:row>21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Drop Down 74">
              <controlPr locked="0" defaultSize="0" autoLine="0" autoPict="0">
                <anchor moveWithCells="1">
                  <from>
                    <xdr:col>11</xdr:col>
                    <xdr:colOff>9525</xdr:colOff>
                    <xdr:row>7</xdr:row>
                    <xdr:rowOff>9525</xdr:rowOff>
                  </from>
                  <to>
                    <xdr:col>11</xdr:col>
                    <xdr:colOff>714375</xdr:colOff>
                    <xdr:row>7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Drop Down 75">
              <controlPr locked="0" defaultSize="0" autoLine="0" autoPict="0">
                <anchor moveWithCells="1">
                  <from>
                    <xdr:col>11</xdr:col>
                    <xdr:colOff>9525</xdr:colOff>
                    <xdr:row>8</xdr:row>
                    <xdr:rowOff>9525</xdr:rowOff>
                  </from>
                  <to>
                    <xdr:col>11</xdr:col>
                    <xdr:colOff>714375</xdr:colOff>
                    <xdr:row>8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Drop Down 76">
              <controlPr locked="0" defaultSize="0" autoLine="0" autoPict="0">
                <anchor moveWithCells="1">
                  <from>
                    <xdr:col>11</xdr:col>
                    <xdr:colOff>9525</xdr:colOff>
                    <xdr:row>9</xdr:row>
                    <xdr:rowOff>9525</xdr:rowOff>
                  </from>
                  <to>
                    <xdr:col>11</xdr:col>
                    <xdr:colOff>714375</xdr:colOff>
                    <xdr:row>9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Drop Down 77">
              <controlPr locked="0" defaultSize="0" autoLine="0" autoPict="0">
                <anchor moveWithCells="1">
                  <from>
                    <xdr:col>11</xdr:col>
                    <xdr:colOff>9525</xdr:colOff>
                    <xdr:row>10</xdr:row>
                    <xdr:rowOff>9525</xdr:rowOff>
                  </from>
                  <to>
                    <xdr:col>11</xdr:col>
                    <xdr:colOff>714375</xdr:colOff>
                    <xdr:row>10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Drop Down 78">
              <controlPr locked="0" defaultSize="0" autoLine="0" autoPict="0">
                <anchor moveWithCells="1">
                  <from>
                    <xdr:col>11</xdr:col>
                    <xdr:colOff>9525</xdr:colOff>
                    <xdr:row>11</xdr:row>
                    <xdr:rowOff>9525</xdr:rowOff>
                  </from>
                  <to>
                    <xdr:col>11</xdr:col>
                    <xdr:colOff>714375</xdr:colOff>
                    <xdr:row>11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Drop Down 79">
              <controlPr locked="0" defaultSize="0" autoLine="0" autoPict="0">
                <anchor moveWithCells="1">
                  <from>
                    <xdr:col>11</xdr:col>
                    <xdr:colOff>9525</xdr:colOff>
                    <xdr:row>12</xdr:row>
                    <xdr:rowOff>9525</xdr:rowOff>
                  </from>
                  <to>
                    <xdr:col>11</xdr:col>
                    <xdr:colOff>714375</xdr:colOff>
                    <xdr:row>12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Drop Down 80">
              <controlPr locked="0" defaultSize="0" autoLine="0" autoPict="0">
                <anchor moveWithCells="1">
                  <from>
                    <xdr:col>11</xdr:col>
                    <xdr:colOff>9525</xdr:colOff>
                    <xdr:row>13</xdr:row>
                    <xdr:rowOff>9525</xdr:rowOff>
                  </from>
                  <to>
                    <xdr:col>11</xdr:col>
                    <xdr:colOff>714375</xdr:colOff>
                    <xdr:row>13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Drop Down 81">
              <controlPr locked="0" defaultSize="0" autoLine="0" autoPict="0">
                <anchor moveWithCells="1">
                  <from>
                    <xdr:col>11</xdr:col>
                    <xdr:colOff>9525</xdr:colOff>
                    <xdr:row>14</xdr:row>
                    <xdr:rowOff>9525</xdr:rowOff>
                  </from>
                  <to>
                    <xdr:col>11</xdr:col>
                    <xdr:colOff>714375</xdr:colOff>
                    <xdr:row>14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Drop Down 82">
              <controlPr locked="0" defaultSize="0" autoLine="0" autoPict="0">
                <anchor moveWithCells="1">
                  <from>
                    <xdr:col>11</xdr:col>
                    <xdr:colOff>9525</xdr:colOff>
                    <xdr:row>15</xdr:row>
                    <xdr:rowOff>9525</xdr:rowOff>
                  </from>
                  <to>
                    <xdr:col>11</xdr:col>
                    <xdr:colOff>714375</xdr:colOff>
                    <xdr:row>15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Drop Down 83">
              <controlPr locked="0" defaultSize="0" autoLine="0" autoPict="0">
                <anchor moveWithCells="1">
                  <from>
                    <xdr:col>11</xdr:col>
                    <xdr:colOff>9525</xdr:colOff>
                    <xdr:row>16</xdr:row>
                    <xdr:rowOff>9525</xdr:rowOff>
                  </from>
                  <to>
                    <xdr:col>11</xdr:col>
                    <xdr:colOff>714375</xdr:colOff>
                    <xdr:row>16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Drop Down 84">
              <controlPr locked="0" defaultSize="0" autoLine="0" autoPict="0">
                <anchor moveWithCells="1">
                  <from>
                    <xdr:col>11</xdr:col>
                    <xdr:colOff>9525</xdr:colOff>
                    <xdr:row>17</xdr:row>
                    <xdr:rowOff>9525</xdr:rowOff>
                  </from>
                  <to>
                    <xdr:col>11</xdr:col>
                    <xdr:colOff>714375</xdr:colOff>
                    <xdr:row>17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Drop Down 85">
              <controlPr locked="0" defaultSize="0" autoLine="0" autoPict="0">
                <anchor moveWithCells="1">
                  <from>
                    <xdr:col>11</xdr:col>
                    <xdr:colOff>9525</xdr:colOff>
                    <xdr:row>18</xdr:row>
                    <xdr:rowOff>9525</xdr:rowOff>
                  </from>
                  <to>
                    <xdr:col>11</xdr:col>
                    <xdr:colOff>714375</xdr:colOff>
                    <xdr:row>18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Drop Down 86">
              <controlPr locked="0" defaultSize="0" autoLine="0" autoPict="0">
                <anchor moveWithCells="1">
                  <from>
                    <xdr:col>11</xdr:col>
                    <xdr:colOff>9525</xdr:colOff>
                    <xdr:row>19</xdr:row>
                    <xdr:rowOff>9525</xdr:rowOff>
                  </from>
                  <to>
                    <xdr:col>11</xdr:col>
                    <xdr:colOff>714375</xdr:colOff>
                    <xdr:row>19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Drop Down 87">
              <controlPr locked="0" defaultSize="0" autoLine="0" autoPict="0">
                <anchor moveWithCells="1">
                  <from>
                    <xdr:col>11</xdr:col>
                    <xdr:colOff>9525</xdr:colOff>
                    <xdr:row>20</xdr:row>
                    <xdr:rowOff>9525</xdr:rowOff>
                  </from>
                  <to>
                    <xdr:col>11</xdr:col>
                    <xdr:colOff>714375</xdr:colOff>
                    <xdr:row>20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Drop Down 88">
              <controlPr locked="0" defaultSize="0" autoLine="0" autoPict="0">
                <anchor moveWithCells="1">
                  <from>
                    <xdr:col>11</xdr:col>
                    <xdr:colOff>9525</xdr:colOff>
                    <xdr:row>21</xdr:row>
                    <xdr:rowOff>9525</xdr:rowOff>
                  </from>
                  <to>
                    <xdr:col>11</xdr:col>
                    <xdr:colOff>714375</xdr:colOff>
                    <xdr:row>21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Drop Down 89">
              <controlPr locked="0" defaultSize="0" autoLine="0" autoPict="0">
                <anchor moveWithCells="1">
                  <from>
                    <xdr:col>9</xdr:col>
                    <xdr:colOff>9525</xdr:colOff>
                    <xdr:row>8</xdr:row>
                    <xdr:rowOff>9525</xdr:rowOff>
                  </from>
                  <to>
                    <xdr:col>10</xdr:col>
                    <xdr:colOff>9525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Drop Down 90">
              <controlPr locked="0" defaultSize="0" autoLine="0" autoPict="0">
                <anchor moveWithCells="1">
                  <from>
                    <xdr:col>9</xdr:col>
                    <xdr:colOff>9525</xdr:colOff>
                    <xdr:row>9</xdr:row>
                    <xdr:rowOff>9525</xdr:rowOff>
                  </from>
                  <to>
                    <xdr:col>10</xdr:col>
                    <xdr:colOff>9525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Drop Down 91">
              <controlPr locked="0" defaultSize="0" autoLine="0" autoPict="0">
                <anchor moveWithCells="1">
                  <from>
                    <xdr:col>9</xdr:col>
                    <xdr:colOff>9525</xdr:colOff>
                    <xdr:row>10</xdr:row>
                    <xdr:rowOff>9525</xdr:rowOff>
                  </from>
                  <to>
                    <xdr:col>10</xdr:col>
                    <xdr:colOff>9525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Drop Down 92">
              <controlPr locked="0" defaultSize="0" autoLine="0" autoPict="0">
                <anchor moveWithCells="1">
                  <from>
                    <xdr:col>9</xdr:col>
                    <xdr:colOff>9525</xdr:colOff>
                    <xdr:row>11</xdr:row>
                    <xdr:rowOff>9525</xdr:rowOff>
                  </from>
                  <to>
                    <xdr:col>10</xdr:col>
                    <xdr:colOff>9525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Drop Down 93">
              <controlPr locked="0" defaultSize="0" autoLine="0" autoPict="0">
                <anchor moveWithCells="1">
                  <from>
                    <xdr:col>9</xdr:col>
                    <xdr:colOff>9525</xdr:colOff>
                    <xdr:row>12</xdr:row>
                    <xdr:rowOff>9525</xdr:rowOff>
                  </from>
                  <to>
                    <xdr:col>10</xdr:col>
                    <xdr:colOff>9525</xdr:colOff>
                    <xdr:row>12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Drop Down 94">
              <controlPr locked="0" defaultSize="0" autoLine="0" autoPict="0">
                <anchor moveWithCells="1">
                  <from>
                    <xdr:col>9</xdr:col>
                    <xdr:colOff>9525</xdr:colOff>
                    <xdr:row>13</xdr:row>
                    <xdr:rowOff>9525</xdr:rowOff>
                  </from>
                  <to>
                    <xdr:col>10</xdr:col>
                    <xdr:colOff>9525</xdr:colOff>
                    <xdr:row>13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Drop Down 95">
              <controlPr locked="0" defaultSize="0" autoLine="0" autoPict="0">
                <anchor moveWithCells="1">
                  <from>
                    <xdr:col>9</xdr:col>
                    <xdr:colOff>9525</xdr:colOff>
                    <xdr:row>14</xdr:row>
                    <xdr:rowOff>9525</xdr:rowOff>
                  </from>
                  <to>
                    <xdr:col>10</xdr:col>
                    <xdr:colOff>9525</xdr:colOff>
                    <xdr:row>14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Drop Down 96">
              <controlPr locked="0" defaultSize="0" autoLine="0" autoPict="0">
                <anchor moveWithCells="1">
                  <from>
                    <xdr:col>9</xdr:col>
                    <xdr:colOff>9525</xdr:colOff>
                    <xdr:row>15</xdr:row>
                    <xdr:rowOff>9525</xdr:rowOff>
                  </from>
                  <to>
                    <xdr:col>10</xdr:col>
                    <xdr:colOff>9525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Drop Down 97">
              <controlPr locked="0" defaultSize="0" autoLine="0" autoPict="0">
                <anchor moveWithCells="1">
                  <from>
                    <xdr:col>9</xdr:col>
                    <xdr:colOff>9525</xdr:colOff>
                    <xdr:row>16</xdr:row>
                    <xdr:rowOff>9525</xdr:rowOff>
                  </from>
                  <to>
                    <xdr:col>10</xdr:col>
                    <xdr:colOff>9525</xdr:colOff>
                    <xdr:row>16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Drop Down 98">
              <controlPr locked="0" defaultSize="0" autoLine="0" autoPict="0">
                <anchor moveWithCells="1">
                  <from>
                    <xdr:col>9</xdr:col>
                    <xdr:colOff>9525</xdr:colOff>
                    <xdr:row>17</xdr:row>
                    <xdr:rowOff>9525</xdr:rowOff>
                  </from>
                  <to>
                    <xdr:col>10</xdr:col>
                    <xdr:colOff>9525</xdr:colOff>
                    <xdr:row>17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Drop Down 99">
              <controlPr locked="0" defaultSize="0" autoLine="0" autoPict="0">
                <anchor moveWithCells="1">
                  <from>
                    <xdr:col>9</xdr:col>
                    <xdr:colOff>9525</xdr:colOff>
                    <xdr:row>18</xdr:row>
                    <xdr:rowOff>9525</xdr:rowOff>
                  </from>
                  <to>
                    <xdr:col>10</xdr:col>
                    <xdr:colOff>9525</xdr:colOff>
                    <xdr:row>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Drop Down 100">
              <controlPr locked="0" defaultSize="0" autoLine="0" autoPict="0">
                <anchor moveWithCells="1">
                  <from>
                    <xdr:col>9</xdr:col>
                    <xdr:colOff>9525</xdr:colOff>
                    <xdr:row>19</xdr:row>
                    <xdr:rowOff>9525</xdr:rowOff>
                  </from>
                  <to>
                    <xdr:col>10</xdr:col>
                    <xdr:colOff>9525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Drop Down 101">
              <controlPr locked="0" defaultSize="0" autoLine="0" autoPict="0">
                <anchor moveWithCells="1">
                  <from>
                    <xdr:col>9</xdr:col>
                    <xdr:colOff>9525</xdr:colOff>
                    <xdr:row>20</xdr:row>
                    <xdr:rowOff>9525</xdr:rowOff>
                  </from>
                  <to>
                    <xdr:col>10</xdr:col>
                    <xdr:colOff>9525</xdr:colOff>
                    <xdr:row>20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Drop Down 102">
              <controlPr locked="0" defaultSize="0" autoLine="0" autoPict="0">
                <anchor moveWithCells="1">
                  <from>
                    <xdr:col>9</xdr:col>
                    <xdr:colOff>9525</xdr:colOff>
                    <xdr:row>21</xdr:row>
                    <xdr:rowOff>9525</xdr:rowOff>
                  </from>
                  <to>
                    <xdr:col>10</xdr:col>
                    <xdr:colOff>9525</xdr:colOff>
                    <xdr:row>21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600"/>
  <sheetViews>
    <sheetView workbookViewId="0">
      <selection activeCell="B1" sqref="B1"/>
    </sheetView>
  </sheetViews>
  <sheetFormatPr defaultRowHeight="15" x14ac:dyDescent="0.25"/>
  <cols>
    <col min="1" max="1" width="2.28515625" customWidth="1"/>
    <col min="2" max="2" width="1.5703125" customWidth="1"/>
    <col min="3" max="3" width="9.140625" customWidth="1"/>
    <col min="5" max="6" width="9.140625" customWidth="1"/>
    <col min="11" max="11" width="11.85546875" customWidth="1"/>
    <col min="12" max="12" width="11.28515625" customWidth="1"/>
    <col min="13" max="13" width="2.7109375" customWidth="1"/>
    <col min="14" max="14" width="16" customWidth="1"/>
    <col min="15" max="15" width="8.140625" customWidth="1"/>
    <col min="16" max="16" width="2.5703125" customWidth="1"/>
    <col min="17" max="17" width="6.28515625" customWidth="1"/>
    <col min="18" max="18" width="8.140625" customWidth="1"/>
    <col min="19" max="19" width="2.7109375" customWidth="1"/>
    <col min="20" max="20" width="6.85546875" customWidth="1"/>
    <col min="21" max="21" width="8" customWidth="1"/>
    <col min="22" max="22" width="2.7109375" customWidth="1"/>
    <col min="23" max="23" width="6.7109375" customWidth="1"/>
    <col min="24" max="24" width="7.7109375" customWidth="1"/>
    <col min="25" max="25" width="2.7109375" customWidth="1"/>
    <col min="26" max="26" width="7.140625" customWidth="1"/>
  </cols>
  <sheetData>
    <row r="1" spans="1:2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7" ht="31.5" x14ac:dyDescent="0.5">
      <c r="A2" s="1"/>
      <c r="B2" s="1"/>
      <c r="C2" s="42" t="s">
        <v>64</v>
      </c>
      <c r="D2" s="1"/>
      <c r="E2" s="1"/>
      <c r="F2" s="1"/>
      <c r="G2" s="1"/>
      <c r="H2" s="42">
        <v>13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 t="s">
        <v>58</v>
      </c>
      <c r="Q3" s="26">
        <v>1</v>
      </c>
      <c r="R3" s="1"/>
      <c r="S3" s="1" t="s">
        <v>57</v>
      </c>
      <c r="T3" s="26">
        <v>1</v>
      </c>
      <c r="U3" s="1"/>
      <c r="V3" s="1"/>
      <c r="W3" s="1"/>
      <c r="X3" s="1"/>
      <c r="Y3" s="1"/>
      <c r="Z3" s="1"/>
    </row>
    <row r="4" spans="1:27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53" t="s">
        <v>76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7" ht="18" x14ac:dyDescent="0.35">
      <c r="A5" s="1"/>
      <c r="B5" s="1"/>
      <c r="C5" s="1" t="s">
        <v>33</v>
      </c>
      <c r="D5" s="26">
        <v>400</v>
      </c>
      <c r="E5" s="27" t="s">
        <v>66</v>
      </c>
      <c r="F5" s="1" t="s">
        <v>65</v>
      </c>
      <c r="G5" s="1"/>
      <c r="H5" s="1"/>
      <c r="I5" s="26">
        <v>0</v>
      </c>
      <c r="J5" s="27" t="s">
        <v>62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7" ht="17.25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45" t="s">
        <v>93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44"/>
    </row>
    <row r="7" spans="1:27" ht="18" x14ac:dyDescent="0.35">
      <c r="A7" s="1"/>
      <c r="B7" s="1"/>
      <c r="C7" s="1"/>
      <c r="D7" s="1"/>
      <c r="E7" s="1"/>
      <c r="F7" s="1" t="s">
        <v>19</v>
      </c>
      <c r="G7" s="1"/>
      <c r="H7" s="1" t="s">
        <v>40</v>
      </c>
      <c r="I7" s="1" t="s">
        <v>20</v>
      </c>
      <c r="J7" s="1" t="s">
        <v>21</v>
      </c>
      <c r="K7" s="28" t="s">
        <v>54</v>
      </c>
      <c r="L7" s="1" t="s">
        <v>89</v>
      </c>
      <c r="M7" s="1"/>
      <c r="N7" s="34" t="s">
        <v>41</v>
      </c>
      <c r="O7" s="34"/>
      <c r="P7" s="35" t="s">
        <v>44</v>
      </c>
      <c r="Q7" s="36"/>
      <c r="R7" s="34"/>
      <c r="S7" s="35" t="s">
        <v>45</v>
      </c>
      <c r="T7" s="36"/>
      <c r="U7" s="34"/>
      <c r="V7" s="35" t="s">
        <v>46</v>
      </c>
      <c r="W7" s="36"/>
      <c r="X7" s="34"/>
      <c r="Y7" s="35" t="s">
        <v>47</v>
      </c>
      <c r="Z7" s="43"/>
      <c r="AA7" s="2"/>
    </row>
    <row r="8" spans="1:27" x14ac:dyDescent="0.25">
      <c r="A8" s="1"/>
      <c r="B8" s="1"/>
      <c r="C8" s="26" t="s">
        <v>0</v>
      </c>
      <c r="F8" s="26">
        <v>0</v>
      </c>
      <c r="G8" s="54" t="str">
        <f>VLOOKUP(E51,B44:D46,3)</f>
        <v>[kW]</v>
      </c>
      <c r="H8" s="41">
        <f>VLOOKUP(E51,M50:U53,J51+2)</f>
        <v>0</v>
      </c>
      <c r="I8" s="26">
        <v>1</v>
      </c>
      <c r="K8" s="41">
        <f>IF(L51=1,-DEGREES(ACOS(I8)),DEGREES(ACOS(I8)))</f>
        <v>0</v>
      </c>
      <c r="L8" s="1"/>
      <c r="M8" s="1"/>
      <c r="N8" s="2" t="str">
        <f>C8</f>
        <v>Belastning 1</v>
      </c>
      <c r="O8" s="31">
        <f>HLOOKUP($J$51,$AA$49:$AG$54,3)</f>
        <v>0</v>
      </c>
      <c r="P8" s="46" t="s">
        <v>43</v>
      </c>
      <c r="Q8" s="32">
        <f>HLOOKUP($J$51,$AJ$49:$AP$54,3)</f>
        <v>0</v>
      </c>
      <c r="R8" s="31">
        <f>HLOOKUP($J$51,$AA$49:$AG$54,4)</f>
        <v>0</v>
      </c>
      <c r="S8" s="46" t="s">
        <v>43</v>
      </c>
      <c r="T8" s="32">
        <f>HLOOKUP($J$51,$AJ$49:$AP$54,4)</f>
        <v>-120</v>
      </c>
      <c r="U8" s="31">
        <f>HLOOKUP($J$51,$AA$49:$AG$54,5)</f>
        <v>0</v>
      </c>
      <c r="V8" s="46" t="s">
        <v>43</v>
      </c>
      <c r="W8" s="32">
        <f>HLOOKUP($J$51,$AJ$49:$AP$54,5)</f>
        <v>120</v>
      </c>
      <c r="X8" s="31">
        <f>HLOOKUP($J$51,$AA$49:$AG$54,6)</f>
        <v>0</v>
      </c>
      <c r="Y8" s="46" t="s">
        <v>43</v>
      </c>
      <c r="Z8" s="33">
        <f>HLOOKUP($J$51,$AJ$49:$AP$54,6)</f>
        <v>0</v>
      </c>
      <c r="AA8" s="2"/>
    </row>
    <row r="9" spans="1:27" x14ac:dyDescent="0.25">
      <c r="A9" s="1"/>
      <c r="B9" s="1"/>
      <c r="C9" s="26" t="s">
        <v>1</v>
      </c>
      <c r="F9" s="26">
        <v>0</v>
      </c>
      <c r="G9" s="54" t="str">
        <f>VLOOKUP(E55,B44:D46,3)</f>
        <v>[kW]</v>
      </c>
      <c r="H9" s="41">
        <f>VLOOKUP(E55,M55:U57,J55+2)</f>
        <v>0</v>
      </c>
      <c r="I9" s="26">
        <v>1</v>
      </c>
      <c r="K9" s="41">
        <f>IF(L55=1,-DEGREES(ACOS(I9)),DEGREES(ACOS(I9)))</f>
        <v>0</v>
      </c>
      <c r="L9" s="1" t="s">
        <v>92</v>
      </c>
      <c r="M9" s="1"/>
      <c r="N9" s="2" t="str">
        <f t="shared" ref="N9:N22" si="0">C9</f>
        <v>Belastning 2</v>
      </c>
      <c r="O9" s="31">
        <f>HLOOKUP($J$55,$AA$56:$AG$61,3)</f>
        <v>0</v>
      </c>
      <c r="P9" s="46" t="s">
        <v>43</v>
      </c>
      <c r="Q9" s="32">
        <f>HLOOKUP($J$55,$AJ$56:$AP$61,3)</f>
        <v>0</v>
      </c>
      <c r="R9" s="31">
        <f>HLOOKUP($J$55,$AA$56:$AG$61,4)</f>
        <v>0</v>
      </c>
      <c r="S9" s="46" t="s">
        <v>43</v>
      </c>
      <c r="T9" s="32">
        <f>HLOOKUP($J$55,$AJ$56:$AP$61,4)</f>
        <v>-120</v>
      </c>
      <c r="U9" s="31">
        <f>HLOOKUP($J$55,$AA$56:$AG$61,5)</f>
        <v>0</v>
      </c>
      <c r="V9" s="46" t="s">
        <v>43</v>
      </c>
      <c r="W9" s="32">
        <f>HLOOKUP($J$55,$AJ$56:$AP$61,5)</f>
        <v>120</v>
      </c>
      <c r="X9" s="31">
        <f>HLOOKUP($J$55,$AA$56:$AG$61,6)</f>
        <v>0</v>
      </c>
      <c r="Y9" s="46" t="s">
        <v>43</v>
      </c>
      <c r="Z9" s="33">
        <f>HLOOKUP($J$55,$AJ$56:$AP$61,6)</f>
        <v>0</v>
      </c>
      <c r="AA9" s="2"/>
    </row>
    <row r="10" spans="1:27" x14ac:dyDescent="0.25">
      <c r="A10" s="1"/>
      <c r="B10" s="1"/>
      <c r="C10" s="26" t="s">
        <v>2</v>
      </c>
      <c r="F10" s="26">
        <v>0</v>
      </c>
      <c r="G10" s="54" t="str">
        <f>VLOOKUP(E59,B44:D46,3)</f>
        <v>[kW]</v>
      </c>
      <c r="H10" s="41">
        <f>VLOOKUP(E59,M59:U61,J59+2)</f>
        <v>0</v>
      </c>
      <c r="I10" s="26">
        <v>1</v>
      </c>
      <c r="K10" s="41">
        <f>IF(L59=1,-DEGREES(ACOS(I10)),DEGREES(ACOS(I10)))</f>
        <v>0</v>
      </c>
      <c r="L10" s="1"/>
      <c r="M10" s="1"/>
      <c r="N10" s="2" t="str">
        <f t="shared" si="0"/>
        <v>Belastning 3</v>
      </c>
      <c r="O10" s="31">
        <f>HLOOKUP($J$59,$AA$63:$AG468,3)</f>
        <v>0</v>
      </c>
      <c r="P10" s="46" t="s">
        <v>43</v>
      </c>
      <c r="Q10" s="32">
        <f>HLOOKUP($J$59,$AJ$63:$AP$68,3)</f>
        <v>0</v>
      </c>
      <c r="R10" s="31">
        <f>HLOOKUP($J$59,$AA$63:$AG468,4)</f>
        <v>0</v>
      </c>
      <c r="S10" s="46" t="s">
        <v>43</v>
      </c>
      <c r="T10" s="32">
        <f>HLOOKUP($J$59,$AJ$63:$AP$68,4)</f>
        <v>-120</v>
      </c>
      <c r="U10" s="31">
        <f>HLOOKUP($J$59,$AA$63:$AG468,5)</f>
        <v>0</v>
      </c>
      <c r="V10" s="46" t="s">
        <v>43</v>
      </c>
      <c r="W10" s="32">
        <f>HLOOKUP($J$59,$AJ$63:$AP$68,5)</f>
        <v>120</v>
      </c>
      <c r="X10" s="31">
        <f>HLOOKUP($J$59,$AA$63:$AG468,6)</f>
        <v>0</v>
      </c>
      <c r="Y10" s="46" t="s">
        <v>43</v>
      </c>
      <c r="Z10" s="33">
        <f>HLOOKUP($J$59,$AJ$63:$AP$68,6)</f>
        <v>0</v>
      </c>
      <c r="AA10" s="2"/>
    </row>
    <row r="11" spans="1:27" x14ac:dyDescent="0.25">
      <c r="A11" s="1"/>
      <c r="B11" s="1"/>
      <c r="C11" s="26" t="s">
        <v>3</v>
      </c>
      <c r="F11" s="26">
        <v>0</v>
      </c>
      <c r="G11" s="54" t="str">
        <f>VLOOKUP(E63,B44:D46,3)</f>
        <v>[kW]</v>
      </c>
      <c r="H11" s="41">
        <f>VLOOKUP(E63,M63:U65,J63+2)</f>
        <v>0</v>
      </c>
      <c r="I11" s="26">
        <v>1</v>
      </c>
      <c r="K11" s="41">
        <f>IF(L63=1,-DEGREES(ACOS(I11)),DEGREES(ACOS(I11)))</f>
        <v>0</v>
      </c>
      <c r="L11" s="1"/>
      <c r="M11" s="1"/>
      <c r="N11" s="2" t="str">
        <f t="shared" si="0"/>
        <v>Belastning 4</v>
      </c>
      <c r="O11" s="31">
        <f>HLOOKUP($J$63,$AA$70:$AG$75,3)</f>
        <v>0</v>
      </c>
      <c r="P11" s="46" t="s">
        <v>43</v>
      </c>
      <c r="Q11" s="32">
        <f>HLOOKUP($J$63,$AJ$70:$AP$75,3)</f>
        <v>0</v>
      </c>
      <c r="R11" s="31">
        <f>HLOOKUP($J$63,$AA$70:$AG$75,4)</f>
        <v>0</v>
      </c>
      <c r="S11" s="46" t="s">
        <v>43</v>
      </c>
      <c r="T11" s="32">
        <f>HLOOKUP($J$63,$AJ$70:$AP$75,4)</f>
        <v>-120</v>
      </c>
      <c r="U11" s="31">
        <f>HLOOKUP($J$63,$AA$70:$AG$75,5)</f>
        <v>0</v>
      </c>
      <c r="V11" s="46" t="s">
        <v>43</v>
      </c>
      <c r="W11" s="32">
        <f>HLOOKUP($J$63,$AJ$70:$AP$75,5)</f>
        <v>120</v>
      </c>
      <c r="X11" s="31">
        <f>HLOOKUP($J$63,$AA$70:$AG$75,6)</f>
        <v>0</v>
      </c>
      <c r="Y11" s="46" t="s">
        <v>43</v>
      </c>
      <c r="Z11" s="33">
        <f>HLOOKUP($J$63,$AJ$70:$AP$75,6)</f>
        <v>0</v>
      </c>
      <c r="AA11" s="2"/>
    </row>
    <row r="12" spans="1:27" x14ac:dyDescent="0.25">
      <c r="A12" s="1"/>
      <c r="B12" s="1"/>
      <c r="C12" s="26" t="s">
        <v>4</v>
      </c>
      <c r="F12" s="26">
        <v>0</v>
      </c>
      <c r="G12" s="54" t="str">
        <f>VLOOKUP(E67,B44:D46,3)</f>
        <v>[kW]</v>
      </c>
      <c r="H12" s="41">
        <f>VLOOKUP(E67,M67:U69,J67+2)</f>
        <v>0</v>
      </c>
      <c r="I12" s="26">
        <v>1</v>
      </c>
      <c r="K12" s="41">
        <f>IF(L67=1,-DEGREES(ACOS(I12)),DEGREES(ACOS(I12)))</f>
        <v>0</v>
      </c>
      <c r="L12" s="1"/>
      <c r="M12" s="1"/>
      <c r="N12" s="2" t="str">
        <f t="shared" si="0"/>
        <v>Belastning 5</v>
      </c>
      <c r="O12" s="31">
        <f>HLOOKUP($J$67,$AA$77:$AG$82,3)</f>
        <v>0</v>
      </c>
      <c r="P12" s="46" t="s">
        <v>43</v>
      </c>
      <c r="Q12" s="32">
        <f>HLOOKUP($J$67,$AJ$77:$AP$82,3)</f>
        <v>0</v>
      </c>
      <c r="R12" s="31">
        <f>HLOOKUP($J$67,$AA$77:$AG$82,4)</f>
        <v>0</v>
      </c>
      <c r="S12" s="46" t="s">
        <v>43</v>
      </c>
      <c r="T12" s="32">
        <f>HLOOKUP($J$67,$AJ$77:$AP$82,4)</f>
        <v>-120</v>
      </c>
      <c r="U12" s="31">
        <f>HLOOKUP($J$67,$AA$77:$AG$82,5)</f>
        <v>0</v>
      </c>
      <c r="V12" s="46" t="s">
        <v>43</v>
      </c>
      <c r="W12" s="32">
        <f>HLOOKUP($J$67,$AJ$77:$AP$82,5)</f>
        <v>120</v>
      </c>
      <c r="X12" s="31">
        <f>HLOOKUP($J$67,$AA$77:$AG$82,6)</f>
        <v>0</v>
      </c>
      <c r="Y12" s="46" t="s">
        <v>43</v>
      </c>
      <c r="Z12" s="33">
        <f>HLOOKUP($J$67,$AJ$77:$AP$82,6)</f>
        <v>0</v>
      </c>
      <c r="AA12" s="2"/>
    </row>
    <row r="13" spans="1:27" x14ac:dyDescent="0.25">
      <c r="A13" s="1"/>
      <c r="B13" s="1"/>
      <c r="C13" s="26" t="s">
        <v>5</v>
      </c>
      <c r="F13" s="26">
        <v>0</v>
      </c>
      <c r="G13" s="54" t="str">
        <f>VLOOKUP(E71,B44:D46,3)</f>
        <v>[kW]</v>
      </c>
      <c r="H13" s="41">
        <f>VLOOKUP(E71,M71:U73,J71+2)</f>
        <v>0</v>
      </c>
      <c r="I13" s="26">
        <v>1</v>
      </c>
      <c r="K13" s="41">
        <f>IF(L71=1,-DEGREES(ACOS(I13)),DEGREES(ACOS(I13)))</f>
        <v>0</v>
      </c>
      <c r="L13" s="1"/>
      <c r="M13" s="1"/>
      <c r="N13" s="2" t="str">
        <f t="shared" si="0"/>
        <v>Belastning 6</v>
      </c>
      <c r="O13" s="31">
        <f>HLOOKUP($J$71,$AA$84:$AG$89,3)</f>
        <v>0</v>
      </c>
      <c r="P13" s="46" t="s">
        <v>43</v>
      </c>
      <c r="Q13" s="32">
        <f>HLOOKUP($J$71,$AJ$84:$AP$89,3)</f>
        <v>0</v>
      </c>
      <c r="R13" s="31">
        <f>HLOOKUP($J$71,$AA$84:$AG$89,4)</f>
        <v>0</v>
      </c>
      <c r="S13" s="46" t="s">
        <v>43</v>
      </c>
      <c r="T13" s="32">
        <f>HLOOKUP($J$71,$AJ$84:$AP$89,4)</f>
        <v>-120</v>
      </c>
      <c r="U13" s="31">
        <f>HLOOKUP($J$71,$AA$84:$AG$89,5)</f>
        <v>0</v>
      </c>
      <c r="V13" s="46" t="s">
        <v>43</v>
      </c>
      <c r="W13" s="32">
        <f>HLOOKUP($J$71,$AJ$84:$AP$89,5)</f>
        <v>120</v>
      </c>
      <c r="X13" s="31">
        <f>HLOOKUP($J$71,$AA$84:$AG$89,6)</f>
        <v>0</v>
      </c>
      <c r="Y13" s="46" t="s">
        <v>43</v>
      </c>
      <c r="Z13" s="33">
        <f>HLOOKUP($J$71,$AJ$84:$AP$89,6)</f>
        <v>0</v>
      </c>
      <c r="AA13" s="2"/>
    </row>
    <row r="14" spans="1:27" x14ac:dyDescent="0.25">
      <c r="A14" s="1"/>
      <c r="B14" s="1"/>
      <c r="C14" s="26" t="s">
        <v>6</v>
      </c>
      <c r="F14" s="26">
        <v>0</v>
      </c>
      <c r="G14" s="54" t="str">
        <f>VLOOKUP(E75,B44:D46,3)</f>
        <v>[kW]</v>
      </c>
      <c r="H14" s="41">
        <f>VLOOKUP(E75,M75:U77,J75+2)</f>
        <v>0</v>
      </c>
      <c r="I14" s="26">
        <v>1</v>
      </c>
      <c r="K14" s="41">
        <f>IF(L75=1,-DEGREES(ACOS(I14)),DEGREES(ACOS(I14)))</f>
        <v>0</v>
      </c>
      <c r="L14" s="1"/>
      <c r="M14" s="1"/>
      <c r="N14" s="2" t="str">
        <f t="shared" si="0"/>
        <v>Belastning 7</v>
      </c>
      <c r="O14" s="31">
        <f>HLOOKUP($J$75,$AA$91:$AG$96,3)</f>
        <v>0</v>
      </c>
      <c r="P14" s="46" t="s">
        <v>43</v>
      </c>
      <c r="Q14" s="32">
        <f>HLOOKUP($J$75,$AJ$91:$AP$96,3)</f>
        <v>0</v>
      </c>
      <c r="R14" s="31">
        <f>HLOOKUP($J$75,$AA$91:$AG$96,4)</f>
        <v>0</v>
      </c>
      <c r="S14" s="46" t="s">
        <v>43</v>
      </c>
      <c r="T14" s="32">
        <f>HLOOKUP($J$75,$AJ$91:$AP$96,4)</f>
        <v>-120</v>
      </c>
      <c r="U14" s="31">
        <f>HLOOKUP($J$75,$AA$91:$AG$96,5)</f>
        <v>0</v>
      </c>
      <c r="V14" s="46" t="s">
        <v>43</v>
      </c>
      <c r="W14" s="32">
        <f>HLOOKUP($J$75,$AJ$91:$AP$96,5)</f>
        <v>120</v>
      </c>
      <c r="X14" s="31">
        <f>HLOOKUP($J$75,$AA$91:$AG$96,6)</f>
        <v>0</v>
      </c>
      <c r="Y14" s="46" t="s">
        <v>43</v>
      </c>
      <c r="Z14" s="33">
        <f>HLOOKUP($J$75,$AJ$91:$AP$96,6)</f>
        <v>0</v>
      </c>
      <c r="AA14" s="2"/>
    </row>
    <row r="15" spans="1:27" x14ac:dyDescent="0.25">
      <c r="A15" s="1"/>
      <c r="B15" s="1"/>
      <c r="C15" s="26" t="s">
        <v>7</v>
      </c>
      <c r="F15" s="26">
        <v>0</v>
      </c>
      <c r="G15" s="54" t="str">
        <f>VLOOKUP(E79,B44:D46,3)</f>
        <v>[kW]</v>
      </c>
      <c r="H15" s="41">
        <f>VLOOKUP(E79,M79:U81,J79+2)</f>
        <v>0</v>
      </c>
      <c r="I15" s="26">
        <v>1</v>
      </c>
      <c r="K15" s="41">
        <f>IF(L79=1,-DEGREES(ACOS(I15)),DEGREES(ACOS(I15)))</f>
        <v>0</v>
      </c>
      <c r="L15" s="1"/>
      <c r="M15" s="1"/>
      <c r="N15" s="2" t="str">
        <f t="shared" si="0"/>
        <v>Belastning 8</v>
      </c>
      <c r="O15" s="31">
        <f>HLOOKUP($J$79,$AA$98:$AG$103,3)</f>
        <v>0</v>
      </c>
      <c r="P15" s="46" t="s">
        <v>43</v>
      </c>
      <c r="Q15" s="32">
        <f>HLOOKUP($J$79,$AJ$98:$AP$103,3)</f>
        <v>0</v>
      </c>
      <c r="R15" s="31">
        <f>HLOOKUP($J$79,$AA$98:$AG$103,4)</f>
        <v>0</v>
      </c>
      <c r="S15" s="46" t="s">
        <v>43</v>
      </c>
      <c r="T15" s="32">
        <f>HLOOKUP($J$79,$AJ$98:$AP$103,4)</f>
        <v>-120</v>
      </c>
      <c r="U15" s="31">
        <f>HLOOKUP($J$79,$AA$98:$AG$103,5)</f>
        <v>0</v>
      </c>
      <c r="V15" s="46" t="s">
        <v>43</v>
      </c>
      <c r="W15" s="32">
        <f>HLOOKUP($J$79,$AJ$98:$AP$103,5)</f>
        <v>120</v>
      </c>
      <c r="X15" s="31">
        <f>HLOOKUP($J$79,$AA$98:$AG$103,6)</f>
        <v>0</v>
      </c>
      <c r="Y15" s="46" t="s">
        <v>43</v>
      </c>
      <c r="Z15" s="33">
        <f>HLOOKUP($J$79,$AJ$98:$AP$103,6)</f>
        <v>0</v>
      </c>
      <c r="AA15" s="2"/>
    </row>
    <row r="16" spans="1:27" x14ac:dyDescent="0.25">
      <c r="A16" s="1"/>
      <c r="B16" s="1"/>
      <c r="C16" s="26" t="s">
        <v>8</v>
      </c>
      <c r="F16" s="26">
        <v>0</v>
      </c>
      <c r="G16" s="54" t="str">
        <f>VLOOKUP(E83,B44:D46,3)</f>
        <v>[kW]</v>
      </c>
      <c r="H16" s="41">
        <f>VLOOKUP(E83,M83:U85,J83+2)</f>
        <v>0</v>
      </c>
      <c r="I16" s="26">
        <v>1</v>
      </c>
      <c r="K16" s="41">
        <f>IF(L83=1,-DEGREES(ACOS(I16)),DEGREES(ACOS(I16)))</f>
        <v>0</v>
      </c>
      <c r="L16" s="1"/>
      <c r="M16" s="1"/>
      <c r="N16" s="2" t="str">
        <f t="shared" si="0"/>
        <v>Belastning 9</v>
      </c>
      <c r="O16" s="31">
        <f>HLOOKUP($J$83,$AA$105:$AG$110,3)</f>
        <v>0</v>
      </c>
      <c r="P16" s="46" t="s">
        <v>43</v>
      </c>
      <c r="Q16" s="32">
        <f>HLOOKUP($J$83,$AJ$105:$AP$110,3)</f>
        <v>0</v>
      </c>
      <c r="R16" s="31">
        <f>HLOOKUP($J$83,$AA$105:$AG$110,4)</f>
        <v>0</v>
      </c>
      <c r="S16" s="46" t="s">
        <v>43</v>
      </c>
      <c r="T16" s="32">
        <f>HLOOKUP($J$83,$AJ$105:$AP$110,4)</f>
        <v>-120</v>
      </c>
      <c r="U16" s="31">
        <f>HLOOKUP($J$83,$AA$105:$AG$110,5)</f>
        <v>0</v>
      </c>
      <c r="V16" s="46" t="s">
        <v>43</v>
      </c>
      <c r="W16" s="32">
        <f>HLOOKUP($J$83,$AJ$105:$AP$110,5)</f>
        <v>120</v>
      </c>
      <c r="X16" s="31">
        <f>HLOOKUP($J$83,$AA$105:$AG$110,6)</f>
        <v>0</v>
      </c>
      <c r="Y16" s="46" t="s">
        <v>43</v>
      </c>
      <c r="Z16" s="33">
        <f>HLOOKUP($J$83,$AJ$105:$AP$110,6)</f>
        <v>0</v>
      </c>
      <c r="AA16" s="2"/>
    </row>
    <row r="17" spans="1:27" x14ac:dyDescent="0.25">
      <c r="A17" s="1"/>
      <c r="B17" s="1"/>
      <c r="C17" s="26" t="s">
        <v>9</v>
      </c>
      <c r="F17" s="26">
        <v>0</v>
      </c>
      <c r="G17" s="54" t="str">
        <f>VLOOKUP(E87,B44:D46,3)</f>
        <v>[kW]</v>
      </c>
      <c r="H17" s="41">
        <f>VLOOKUP(E87,M87:U89,J87+2)</f>
        <v>0</v>
      </c>
      <c r="I17" s="26">
        <v>1</v>
      </c>
      <c r="K17" s="41">
        <f>IF(L87=1,-DEGREES(ACOS(I17)),DEGREES(ACOS(I17)))</f>
        <v>0</v>
      </c>
      <c r="L17" s="1"/>
      <c r="M17" s="1"/>
      <c r="N17" s="2" t="str">
        <f t="shared" si="0"/>
        <v>Belastning 10</v>
      </c>
      <c r="O17" s="31">
        <f>HLOOKUP($J$87,$AA$112:$AG$117,3)</f>
        <v>0</v>
      </c>
      <c r="P17" s="46" t="s">
        <v>43</v>
      </c>
      <c r="Q17" s="32">
        <f>HLOOKUP($J$87,$AJ$112:$AP$117,3)</f>
        <v>0</v>
      </c>
      <c r="R17" s="31">
        <f>HLOOKUP($J$87,$AA$112:$AG$117,4)</f>
        <v>0</v>
      </c>
      <c r="S17" s="46" t="s">
        <v>43</v>
      </c>
      <c r="T17" s="32">
        <f>HLOOKUP($J$87,$AJ$112:$AP$117,4)</f>
        <v>-120</v>
      </c>
      <c r="U17" s="31">
        <f>HLOOKUP($J$87,$AA$112:$AG$117,5)</f>
        <v>0</v>
      </c>
      <c r="V17" s="46" t="s">
        <v>43</v>
      </c>
      <c r="W17" s="32">
        <f>HLOOKUP($J$87,$AJ$112:$AP$117,5)</f>
        <v>120</v>
      </c>
      <c r="X17" s="31">
        <f>HLOOKUP($J$87,$AA$112:$AG$117,6)</f>
        <v>0</v>
      </c>
      <c r="Y17" s="46" t="s">
        <v>43</v>
      </c>
      <c r="Z17" s="33">
        <f>HLOOKUP($J$87,$AJ$112:$AP$117,6)</f>
        <v>0</v>
      </c>
      <c r="AA17" s="2"/>
    </row>
    <row r="18" spans="1:27" x14ac:dyDescent="0.25">
      <c r="A18" s="1"/>
      <c r="B18" s="1"/>
      <c r="C18" s="26" t="s">
        <v>10</v>
      </c>
      <c r="F18" s="26">
        <v>0</v>
      </c>
      <c r="G18" s="54" t="str">
        <f>VLOOKUP(E91,B44:D46,3)</f>
        <v>[kW]</v>
      </c>
      <c r="H18" s="41">
        <f>VLOOKUP(E91,M91:U93,J91+2)</f>
        <v>0</v>
      </c>
      <c r="I18" s="26">
        <v>1</v>
      </c>
      <c r="K18" s="41">
        <f>IF(L91=1,-DEGREES(ACOS(I18)),DEGREES(ACOS(I18)))</f>
        <v>0</v>
      </c>
      <c r="L18" s="1"/>
      <c r="M18" s="1"/>
      <c r="N18" s="2" t="str">
        <f t="shared" si="0"/>
        <v>Belastning 11</v>
      </c>
      <c r="O18" s="31">
        <f>HLOOKUP($J$91,$AA$119:$AG$124,3)</f>
        <v>0</v>
      </c>
      <c r="P18" s="46" t="s">
        <v>43</v>
      </c>
      <c r="Q18" s="32">
        <f>HLOOKUP($J$91,$AJ$119:$AP$124,3)</f>
        <v>0</v>
      </c>
      <c r="R18" s="31">
        <f>HLOOKUP($J$91,$AA$119:$AG$124,4)</f>
        <v>0</v>
      </c>
      <c r="S18" s="46" t="s">
        <v>43</v>
      </c>
      <c r="T18" s="32">
        <f>HLOOKUP($J$91,$AJ$119:$AP$124,4)</f>
        <v>-120</v>
      </c>
      <c r="U18" s="31">
        <f>HLOOKUP($J$91,$AA$119:$AG$124,5)</f>
        <v>0</v>
      </c>
      <c r="V18" s="46" t="s">
        <v>43</v>
      </c>
      <c r="W18" s="32">
        <f>HLOOKUP($J$91,$AJ$119:$AP$124,5)</f>
        <v>120</v>
      </c>
      <c r="X18" s="31">
        <f>HLOOKUP($J$91,$AA$119:$AG$124,6)</f>
        <v>0</v>
      </c>
      <c r="Y18" s="46" t="s">
        <v>43</v>
      </c>
      <c r="Z18" s="33">
        <f>HLOOKUP($J$91,$AJ$119:$AP$124,6)</f>
        <v>0</v>
      </c>
      <c r="AA18" s="2"/>
    </row>
    <row r="19" spans="1:27" x14ac:dyDescent="0.25">
      <c r="A19" s="1"/>
      <c r="B19" s="1"/>
      <c r="C19" s="26" t="s">
        <v>11</v>
      </c>
      <c r="F19" s="26">
        <v>0</v>
      </c>
      <c r="G19" s="54" t="str">
        <f>VLOOKUP(E95,B44:D46,3)</f>
        <v>[kW]</v>
      </c>
      <c r="H19" s="41">
        <f>VLOOKUP(E95,M95:U97,J95+2)</f>
        <v>0</v>
      </c>
      <c r="I19" s="26">
        <v>1</v>
      </c>
      <c r="K19" s="41">
        <f>IF(L95=1,-DEGREES(ACOS(I19)),DEGREES(ACOS(I19)))</f>
        <v>0</v>
      </c>
      <c r="L19" s="1"/>
      <c r="M19" s="1"/>
      <c r="N19" s="2" t="str">
        <f t="shared" si="0"/>
        <v>Belastning 12</v>
      </c>
      <c r="O19" s="31">
        <f>HLOOKUP($J$95,$AA$126:$AG$131,3)</f>
        <v>0</v>
      </c>
      <c r="P19" s="46" t="s">
        <v>43</v>
      </c>
      <c r="Q19" s="32">
        <f>HLOOKUP($J$95,$AJ$126:$AP$131,3)</f>
        <v>0</v>
      </c>
      <c r="R19" s="31">
        <f>HLOOKUP($J$95,$AA$126:$AG$131,4)</f>
        <v>0</v>
      </c>
      <c r="S19" s="46" t="s">
        <v>43</v>
      </c>
      <c r="T19" s="32">
        <f>HLOOKUP($J$95,$AJ$126:$AP$131,4)</f>
        <v>-120</v>
      </c>
      <c r="U19" s="31">
        <f>HLOOKUP($J$95,$AA$126:$AG$131,5)</f>
        <v>0</v>
      </c>
      <c r="V19" s="46" t="s">
        <v>43</v>
      </c>
      <c r="W19" s="32">
        <f>HLOOKUP($J$95,$AJ$126:$AP$131,5)</f>
        <v>120</v>
      </c>
      <c r="X19" s="31">
        <f>HLOOKUP($J$95,$AA$126:$AG$131,6)</f>
        <v>0</v>
      </c>
      <c r="Y19" s="46" t="s">
        <v>43</v>
      </c>
      <c r="Z19" s="33">
        <f>HLOOKUP($J$95,$AJ$126:$AP$131,6)</f>
        <v>0</v>
      </c>
      <c r="AA19" s="2"/>
    </row>
    <row r="20" spans="1:27" x14ac:dyDescent="0.25">
      <c r="A20" s="1"/>
      <c r="B20" s="1"/>
      <c r="C20" s="26" t="s">
        <v>12</v>
      </c>
      <c r="F20" s="26">
        <v>0</v>
      </c>
      <c r="G20" s="54" t="str">
        <f>VLOOKUP(E99,B44:D46,3)</f>
        <v>[kW]</v>
      </c>
      <c r="H20" s="41">
        <f>VLOOKUP(E99,M99:U101,J99+2)</f>
        <v>0</v>
      </c>
      <c r="I20" s="26">
        <v>1</v>
      </c>
      <c r="K20" s="41">
        <f>IF(L99=1,-DEGREES(ACOS(I20)),DEGREES(ACOS(I20)))</f>
        <v>0</v>
      </c>
      <c r="L20" s="1"/>
      <c r="M20" s="1"/>
      <c r="N20" s="2" t="str">
        <f t="shared" si="0"/>
        <v>Belastning 13</v>
      </c>
      <c r="O20" s="31">
        <f>HLOOKUP($J$99,$AA$133:$AG$138,3)</f>
        <v>0</v>
      </c>
      <c r="P20" s="46" t="s">
        <v>43</v>
      </c>
      <c r="Q20" s="32">
        <f>HLOOKUP($J$99,$AJ$133:$AP$138,3)</f>
        <v>0</v>
      </c>
      <c r="R20" s="31">
        <f>HLOOKUP($J$99,$AA$133:$AG$138,4)</f>
        <v>0</v>
      </c>
      <c r="S20" s="46" t="s">
        <v>43</v>
      </c>
      <c r="T20" s="32">
        <f>HLOOKUP($J$99,$AJ$133:$AP$138,4)</f>
        <v>-120</v>
      </c>
      <c r="U20" s="31">
        <f>HLOOKUP($J$99,$AA$133:$AG$138,5)</f>
        <v>0</v>
      </c>
      <c r="V20" s="46" t="s">
        <v>43</v>
      </c>
      <c r="W20" s="32">
        <f>HLOOKUP($J$99,$AJ$133:$AP$138,5)</f>
        <v>120</v>
      </c>
      <c r="X20" s="31">
        <f>HLOOKUP($J$99,$AA$133:$AG$138,6)</f>
        <v>0</v>
      </c>
      <c r="Y20" s="46" t="s">
        <v>43</v>
      </c>
      <c r="Z20" s="33">
        <f>HLOOKUP($J$99,$AJ$133:$AP$138,6)</f>
        <v>0</v>
      </c>
      <c r="AA20" s="2"/>
    </row>
    <row r="21" spans="1:27" x14ac:dyDescent="0.25">
      <c r="A21" s="1"/>
      <c r="B21" s="1"/>
      <c r="C21" s="26" t="s">
        <v>13</v>
      </c>
      <c r="F21" s="26">
        <v>0</v>
      </c>
      <c r="G21" s="54" t="str">
        <f>VLOOKUP(E103,B44:D46,3)</f>
        <v>[kW]</v>
      </c>
      <c r="H21" s="41">
        <f>VLOOKUP(E103,M103:U105,J103+2)</f>
        <v>0</v>
      </c>
      <c r="I21" s="26">
        <v>1</v>
      </c>
      <c r="K21" s="41">
        <f>IF(L103=1,-DEGREES(ACOS(I21)),DEGREES(ACOS(I21)))</f>
        <v>0</v>
      </c>
      <c r="L21" s="1"/>
      <c r="M21" s="1"/>
      <c r="N21" s="2" t="str">
        <f t="shared" si="0"/>
        <v>Belastning 14</v>
      </c>
      <c r="O21" s="31">
        <f>HLOOKUP($J$103,$AA$140:$AG$145,3)</f>
        <v>0</v>
      </c>
      <c r="P21" s="46" t="s">
        <v>43</v>
      </c>
      <c r="Q21" s="32">
        <f>HLOOKUP($J$103,$AJ$140:$AP$145,3)</f>
        <v>0</v>
      </c>
      <c r="R21" s="31">
        <f>HLOOKUP($J$103,$AA$140:$AG$145,4)</f>
        <v>0</v>
      </c>
      <c r="S21" s="46" t="s">
        <v>43</v>
      </c>
      <c r="T21" s="32">
        <f>HLOOKUP($J$103,$AJ$140:$AP$145,4)</f>
        <v>-120</v>
      </c>
      <c r="U21" s="31">
        <f>HLOOKUP($J$103,$AA$140:$AG$145,5)</f>
        <v>0</v>
      </c>
      <c r="V21" s="46" t="s">
        <v>43</v>
      </c>
      <c r="W21" s="32">
        <f>HLOOKUP($J$103,$AJ$140:$AP$145,5)</f>
        <v>120</v>
      </c>
      <c r="X21" s="31">
        <f>HLOOKUP($J$103,$AA$140:$AG$145,6)</f>
        <v>0</v>
      </c>
      <c r="Y21" s="46" t="s">
        <v>43</v>
      </c>
      <c r="Z21" s="33">
        <f>HLOOKUP($J$103,$AJ$140:$AP$145,6)</f>
        <v>0</v>
      </c>
    </row>
    <row r="22" spans="1:27" x14ac:dyDescent="0.25">
      <c r="A22" s="1"/>
      <c r="B22" s="1"/>
      <c r="C22" s="26" t="s">
        <v>14</v>
      </c>
      <c r="F22" s="26">
        <v>0</v>
      </c>
      <c r="G22" s="54" t="str">
        <f>VLOOKUP(E107,B44:D46,3)</f>
        <v>[kW]</v>
      </c>
      <c r="H22" s="41">
        <f>VLOOKUP(E107,M107:U109,J107+2)</f>
        <v>0</v>
      </c>
      <c r="I22" s="26">
        <v>1</v>
      </c>
      <c r="K22" s="41">
        <f>IF(L107=1,-DEGREES(ACOS(I22)),DEGREES(ACOS(I22)))</f>
        <v>0</v>
      </c>
      <c r="L22" s="1"/>
      <c r="M22" s="1"/>
      <c r="N22" s="2" t="str">
        <f t="shared" si="0"/>
        <v>Belastning 15</v>
      </c>
      <c r="O22" s="31">
        <f>HLOOKUP($J$107,$AA$147:$AG$152,3)</f>
        <v>0</v>
      </c>
      <c r="P22" s="46" t="s">
        <v>43</v>
      </c>
      <c r="Q22" s="32">
        <f>HLOOKUP($J$107,$AJ$147:$AP$152,3)</f>
        <v>0</v>
      </c>
      <c r="R22" s="31">
        <f>HLOOKUP($J$107,$AA$147:$AG$152,4)</f>
        <v>0</v>
      </c>
      <c r="S22" s="46" t="s">
        <v>43</v>
      </c>
      <c r="T22" s="32">
        <f>HLOOKUP($J$107,$AJ$147:$AP$152,4)</f>
        <v>-120</v>
      </c>
      <c r="U22" s="31">
        <f>HLOOKUP($J$107,$AA$147:$AG$152,5)</f>
        <v>0</v>
      </c>
      <c r="V22" s="46" t="s">
        <v>43</v>
      </c>
      <c r="W22" s="32">
        <f>HLOOKUP($J$107,$AJ$147:$AP$152,5)</f>
        <v>120</v>
      </c>
      <c r="X22" s="31">
        <f>HLOOKUP($J$107,$AA$147:$AG$152,6)</f>
        <v>0</v>
      </c>
      <c r="Y22" s="46" t="s">
        <v>43</v>
      </c>
      <c r="Z22" s="33">
        <f>HLOOKUP($J$107,$AJ$147:$AP$152,6)</f>
        <v>0</v>
      </c>
    </row>
    <row r="23" spans="1:27" ht="18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37" t="s">
        <v>86</v>
      </c>
      <c r="O23" s="38">
        <f>SQRT(E128^2+F128^2)</f>
        <v>0</v>
      </c>
      <c r="P23" s="47" t="s">
        <v>43</v>
      </c>
      <c r="Q23" s="39">
        <f>IFERROR(DEGREES(ATAN(F128/E128)),0)</f>
        <v>0</v>
      </c>
      <c r="R23" s="38">
        <f>SQRT(G128^2+H128^2)</f>
        <v>0</v>
      </c>
      <c r="S23" s="47" t="s">
        <v>43</v>
      </c>
      <c r="T23" s="39">
        <f>IFERROR(-DEGREES(ATAN(G128/H128))-90,0)</f>
        <v>0</v>
      </c>
      <c r="U23" s="38">
        <f>SQRT(I128^2+J128^2)</f>
        <v>0</v>
      </c>
      <c r="V23" s="47" t="s">
        <v>43</v>
      </c>
      <c r="W23" s="39">
        <f>IFERROR(-DEGREES(ATAN(I128/J128))+90,0)</f>
        <v>0</v>
      </c>
      <c r="X23" s="40">
        <f>IMABS(COMPLEX(C134+F134+I134,C135+F135+I135))</f>
        <v>0</v>
      </c>
      <c r="Y23" s="47" t="s">
        <v>43</v>
      </c>
      <c r="Z23" s="39">
        <f>IFERROR(DEGREES(IMARGUMENT(IMSUM(L135)))+180,0)</f>
        <v>0</v>
      </c>
    </row>
    <row r="24" spans="1:27" ht="18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37" t="s">
        <v>88</v>
      </c>
      <c r="O24" s="38">
        <f>O23*Q3*T3</f>
        <v>0</v>
      </c>
      <c r="P24" s="47" t="s">
        <v>43</v>
      </c>
      <c r="Q24" s="39">
        <f>Q23</f>
        <v>0</v>
      </c>
      <c r="R24" s="38">
        <f>R23*Q3*T3</f>
        <v>0</v>
      </c>
      <c r="S24" s="47" t="s">
        <v>43</v>
      </c>
      <c r="T24" s="39">
        <f>T23</f>
        <v>0</v>
      </c>
      <c r="U24" s="38">
        <f>U23*Q3*T3</f>
        <v>0</v>
      </c>
      <c r="V24" s="47" t="s">
        <v>43</v>
      </c>
      <c r="W24" s="39">
        <f>W23</f>
        <v>0</v>
      </c>
      <c r="X24" s="40">
        <f>(X23)*Q3*T3</f>
        <v>0</v>
      </c>
      <c r="Y24" s="47" t="s">
        <v>43</v>
      </c>
      <c r="Z24" s="39">
        <f>Z23</f>
        <v>0</v>
      </c>
    </row>
    <row r="25" spans="1:27" ht="18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37" t="s">
        <v>87</v>
      </c>
      <c r="O25" s="38">
        <f>O24</f>
        <v>0</v>
      </c>
      <c r="P25" s="47" t="s">
        <v>43</v>
      </c>
      <c r="Q25" s="39">
        <f>Q23</f>
        <v>0</v>
      </c>
      <c r="R25" s="38">
        <f>R24</f>
        <v>0</v>
      </c>
      <c r="S25" s="47" t="s">
        <v>43</v>
      </c>
      <c r="T25" s="39">
        <f>T24+120</f>
        <v>120</v>
      </c>
      <c r="U25" s="38">
        <f>U24</f>
        <v>0</v>
      </c>
      <c r="V25" s="47" t="s">
        <v>43</v>
      </c>
      <c r="W25" s="39">
        <f>W24-120</f>
        <v>-120</v>
      </c>
      <c r="X25" s="40">
        <f>(X24)</f>
        <v>0</v>
      </c>
      <c r="Y25" s="47" t="s">
        <v>43</v>
      </c>
      <c r="Z25" s="39">
        <f>Z24</f>
        <v>0</v>
      </c>
    </row>
    <row r="26" spans="1:2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49" t="s">
        <v>69</v>
      </c>
      <c r="O26" s="50">
        <f>IFERROR(((I5/3)/O24)*100,0)</f>
        <v>0</v>
      </c>
      <c r="P26" s="51" t="s">
        <v>68</v>
      </c>
      <c r="Q26" s="52"/>
      <c r="R26" s="50">
        <f>IFERROR(((I5/3)/R24)*100,0)</f>
        <v>0</v>
      </c>
      <c r="S26" s="51" t="s">
        <v>68</v>
      </c>
      <c r="T26" s="52"/>
      <c r="U26" s="50">
        <f>IFERROR(((I5/3)/U24)*100,0)</f>
        <v>0</v>
      </c>
      <c r="V26" s="51" t="s">
        <v>68</v>
      </c>
      <c r="W26" s="52"/>
      <c r="X26" s="40"/>
      <c r="Y26" s="51"/>
      <c r="Z26" s="52"/>
    </row>
    <row r="27" spans="1:2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53" t="s">
        <v>70</v>
      </c>
      <c r="L27" s="1"/>
      <c r="M27" s="1"/>
    </row>
    <row r="39" spans="2:28" x14ac:dyDescent="0.25">
      <c r="I39">
        <v>1</v>
      </c>
      <c r="J39" t="s">
        <v>22</v>
      </c>
    </row>
    <row r="40" spans="2:28" x14ac:dyDescent="0.25">
      <c r="I40">
        <v>2</v>
      </c>
      <c r="J40" t="s">
        <v>23</v>
      </c>
    </row>
    <row r="41" spans="2:28" x14ac:dyDescent="0.25">
      <c r="I41">
        <v>3</v>
      </c>
      <c r="J41" t="s">
        <v>24</v>
      </c>
    </row>
    <row r="42" spans="2:28" x14ac:dyDescent="0.25">
      <c r="I42">
        <v>4</v>
      </c>
      <c r="J42" t="s">
        <v>25</v>
      </c>
      <c r="Z42" s="4"/>
      <c r="AA42" s="5"/>
    </row>
    <row r="43" spans="2:28" x14ac:dyDescent="0.25">
      <c r="I43">
        <v>5</v>
      </c>
      <c r="J43" t="s">
        <v>26</v>
      </c>
      <c r="Z43" s="2"/>
      <c r="AA43" t="s">
        <v>67</v>
      </c>
    </row>
    <row r="44" spans="2:28" x14ac:dyDescent="0.25">
      <c r="B44">
        <v>1</v>
      </c>
      <c r="C44" t="s">
        <v>15</v>
      </c>
      <c r="D44" t="s">
        <v>60</v>
      </c>
      <c r="I44">
        <v>6</v>
      </c>
      <c r="J44" t="s">
        <v>27</v>
      </c>
      <c r="L44" t="s">
        <v>90</v>
      </c>
      <c r="Y44">
        <v>1</v>
      </c>
      <c r="Z44" s="2" t="s">
        <v>50</v>
      </c>
      <c r="AB44" t="s">
        <v>68</v>
      </c>
    </row>
    <row r="45" spans="2:28" x14ac:dyDescent="0.25">
      <c r="B45">
        <v>2</v>
      </c>
      <c r="C45" t="s">
        <v>16</v>
      </c>
      <c r="D45" t="s">
        <v>61</v>
      </c>
      <c r="I45">
        <v>7</v>
      </c>
      <c r="J45" t="s">
        <v>28</v>
      </c>
      <c r="L45" t="s">
        <v>91</v>
      </c>
      <c r="Y45">
        <v>2</v>
      </c>
      <c r="Z45" s="2" t="s">
        <v>51</v>
      </c>
      <c r="AB45" t="s">
        <v>68</v>
      </c>
    </row>
    <row r="46" spans="2:28" x14ac:dyDescent="0.25">
      <c r="B46">
        <v>3</v>
      </c>
      <c r="C46" t="s">
        <v>17</v>
      </c>
      <c r="D46" t="s">
        <v>62</v>
      </c>
      <c r="Y46">
        <v>3</v>
      </c>
      <c r="Z46" s="2" t="s">
        <v>52</v>
      </c>
      <c r="AB46" t="s">
        <v>68</v>
      </c>
    </row>
    <row r="47" spans="2:28" x14ac:dyDescent="0.25">
      <c r="Y47">
        <v>4</v>
      </c>
      <c r="Z47" s="13" t="s">
        <v>42</v>
      </c>
      <c r="AA47" s="19"/>
    </row>
    <row r="49" spans="3:42" x14ac:dyDescent="0.25">
      <c r="E49" t="s">
        <v>18</v>
      </c>
      <c r="Z49" s="4"/>
      <c r="AA49" s="5">
        <v>1</v>
      </c>
      <c r="AB49" s="5">
        <v>2</v>
      </c>
      <c r="AC49" s="5">
        <v>3</v>
      </c>
      <c r="AD49" s="5">
        <v>4</v>
      </c>
      <c r="AE49" s="5">
        <v>5</v>
      </c>
      <c r="AF49" s="5">
        <v>6</v>
      </c>
      <c r="AG49" s="6">
        <v>7</v>
      </c>
      <c r="AI49" s="4"/>
      <c r="AJ49" s="5">
        <v>1</v>
      </c>
      <c r="AK49" s="5">
        <v>2</v>
      </c>
      <c r="AL49" s="5">
        <v>3</v>
      </c>
      <c r="AM49" s="5">
        <v>4</v>
      </c>
      <c r="AN49" s="5">
        <v>5</v>
      </c>
      <c r="AO49" s="5">
        <v>6</v>
      </c>
      <c r="AP49" s="6">
        <v>7</v>
      </c>
    </row>
    <row r="50" spans="3:42" x14ac:dyDescent="0.25">
      <c r="O50" t="s">
        <v>32</v>
      </c>
      <c r="P50" t="s">
        <v>34</v>
      </c>
      <c r="Q50" t="s">
        <v>35</v>
      </c>
      <c r="R50" t="s">
        <v>36</v>
      </c>
      <c r="S50" t="s">
        <v>37</v>
      </c>
      <c r="T50" t="s">
        <v>38</v>
      </c>
      <c r="U50" t="s">
        <v>39</v>
      </c>
      <c r="Z50" s="2"/>
      <c r="AA50" t="s">
        <v>32</v>
      </c>
      <c r="AB50" t="s">
        <v>34</v>
      </c>
      <c r="AC50" t="s">
        <v>35</v>
      </c>
      <c r="AD50" t="s">
        <v>36</v>
      </c>
      <c r="AE50" t="s">
        <v>37</v>
      </c>
      <c r="AF50" t="s">
        <v>38</v>
      </c>
      <c r="AG50" s="3" t="s">
        <v>39</v>
      </c>
      <c r="AI50" s="29" t="s">
        <v>55</v>
      </c>
      <c r="AJ50" t="s">
        <v>32</v>
      </c>
      <c r="AK50" t="s">
        <v>34</v>
      </c>
      <c r="AL50" t="s">
        <v>35</v>
      </c>
      <c r="AM50" t="s">
        <v>36</v>
      </c>
      <c r="AN50" t="s">
        <v>37</v>
      </c>
      <c r="AO50" t="s">
        <v>38</v>
      </c>
      <c r="AP50" s="3" t="s">
        <v>39</v>
      </c>
    </row>
    <row r="51" spans="3:42" x14ac:dyDescent="0.25">
      <c r="C51" t="s">
        <v>0</v>
      </c>
      <c r="E51">
        <v>1</v>
      </c>
      <c r="J51">
        <v>1</v>
      </c>
      <c r="L51">
        <v>1</v>
      </c>
      <c r="M51">
        <v>1</v>
      </c>
      <c r="N51" t="s">
        <v>29</v>
      </c>
      <c r="O51">
        <f>(F8*1000)/($D$5*SQRT(3)*I8)</f>
        <v>0</v>
      </c>
      <c r="P51">
        <f>($F$8*1000)/(($D$5/SQRT(3))*$I$8)</f>
        <v>0</v>
      </c>
      <c r="Q51">
        <f>P51</f>
        <v>0</v>
      </c>
      <c r="R51">
        <f>P51</f>
        <v>0</v>
      </c>
      <c r="S51">
        <f>($F$8*1000)/($D$5*$I$8)</f>
        <v>0</v>
      </c>
      <c r="T51">
        <f>S51</f>
        <v>0</v>
      </c>
      <c r="U51">
        <f>S51</f>
        <v>0</v>
      </c>
      <c r="Z51" s="2" t="s">
        <v>50</v>
      </c>
      <c r="AA51" s="17">
        <f>H8</f>
        <v>0</v>
      </c>
      <c r="AB51" s="17">
        <f>AA51</f>
        <v>0</v>
      </c>
      <c r="AC51">
        <v>0</v>
      </c>
      <c r="AD51">
        <v>0</v>
      </c>
      <c r="AE51" s="17">
        <f>AA51</f>
        <v>0</v>
      </c>
      <c r="AF51">
        <v>0</v>
      </c>
      <c r="AG51" s="18">
        <f>AA51</f>
        <v>0</v>
      </c>
      <c r="AI51" s="2" t="s">
        <v>50</v>
      </c>
      <c r="AJ51" s="17">
        <f>K8</f>
        <v>0</v>
      </c>
      <c r="AK51" s="17">
        <f>AJ51</f>
        <v>0</v>
      </c>
      <c r="AL51">
        <v>0</v>
      </c>
      <c r="AM51">
        <v>0</v>
      </c>
      <c r="AN51" s="17">
        <f>AJ51+30</f>
        <v>30</v>
      </c>
      <c r="AO51">
        <v>0</v>
      </c>
      <c r="AP51" s="18">
        <f>AJ51-30</f>
        <v>-30</v>
      </c>
    </row>
    <row r="52" spans="3:42" x14ac:dyDescent="0.25">
      <c r="M52">
        <v>2</v>
      </c>
      <c r="N52" t="s">
        <v>30</v>
      </c>
      <c r="O52">
        <f>(F8*1000)/($D$5*SQRT(3))</f>
        <v>0</v>
      </c>
      <c r="P52">
        <f>($F$8*1000)/(($D$5/SQRT(3)))</f>
        <v>0</v>
      </c>
      <c r="Q52">
        <f>P52</f>
        <v>0</v>
      </c>
      <c r="R52">
        <f>P52</f>
        <v>0</v>
      </c>
      <c r="S52">
        <f>($F$8*1000)/($D$5)</f>
        <v>0</v>
      </c>
      <c r="T52">
        <f>S52</f>
        <v>0</v>
      </c>
      <c r="U52">
        <f>S52</f>
        <v>0</v>
      </c>
      <c r="Y52">
        <v>1</v>
      </c>
      <c r="Z52" s="2" t="s">
        <v>51</v>
      </c>
      <c r="AA52" s="17">
        <f>AA51</f>
        <v>0</v>
      </c>
      <c r="AB52">
        <v>0</v>
      </c>
      <c r="AC52" s="17">
        <f>AA51</f>
        <v>0</v>
      </c>
      <c r="AD52">
        <v>0</v>
      </c>
      <c r="AE52" s="17">
        <f>AA51</f>
        <v>0</v>
      </c>
      <c r="AF52" s="17">
        <f>AA51</f>
        <v>0</v>
      </c>
      <c r="AG52" s="3">
        <v>0</v>
      </c>
      <c r="AI52" s="2" t="s">
        <v>51</v>
      </c>
      <c r="AJ52" s="17">
        <f>AJ51-120</f>
        <v>-120</v>
      </c>
      <c r="AK52">
        <v>0</v>
      </c>
      <c r="AL52" s="17">
        <f>AJ51-120</f>
        <v>-120</v>
      </c>
      <c r="AM52">
        <v>0</v>
      </c>
      <c r="AN52" s="17">
        <f>AJ51-150</f>
        <v>-150</v>
      </c>
      <c r="AO52" s="17">
        <f>AJ51-90</f>
        <v>-90</v>
      </c>
      <c r="AP52" s="3">
        <v>0</v>
      </c>
    </row>
    <row r="53" spans="3:42" x14ac:dyDescent="0.25">
      <c r="M53">
        <v>3</v>
      </c>
      <c r="N53" t="s">
        <v>31</v>
      </c>
      <c r="O53">
        <f>F8</f>
        <v>0</v>
      </c>
      <c r="P53">
        <f t="shared" ref="P53:U53" si="1">$F$8</f>
        <v>0</v>
      </c>
      <c r="Q53">
        <f t="shared" si="1"/>
        <v>0</v>
      </c>
      <c r="R53">
        <f t="shared" si="1"/>
        <v>0</v>
      </c>
      <c r="S53">
        <f t="shared" si="1"/>
        <v>0</v>
      </c>
      <c r="T53">
        <f t="shared" si="1"/>
        <v>0</v>
      </c>
      <c r="U53">
        <f t="shared" si="1"/>
        <v>0</v>
      </c>
      <c r="Z53" s="2" t="s">
        <v>52</v>
      </c>
      <c r="AA53" s="17">
        <f>AA51</f>
        <v>0</v>
      </c>
      <c r="AB53">
        <v>0</v>
      </c>
      <c r="AC53">
        <v>0</v>
      </c>
      <c r="AD53" s="17">
        <f>AA51</f>
        <v>0</v>
      </c>
      <c r="AE53">
        <v>0</v>
      </c>
      <c r="AF53" s="17">
        <f>AA51</f>
        <v>0</v>
      </c>
      <c r="AG53" s="18">
        <f>AA51</f>
        <v>0</v>
      </c>
      <c r="AI53" s="2" t="s">
        <v>52</v>
      </c>
      <c r="AJ53" s="17">
        <f>AJ51+120</f>
        <v>120</v>
      </c>
      <c r="AK53">
        <v>0</v>
      </c>
      <c r="AL53">
        <v>0</v>
      </c>
      <c r="AM53" s="17">
        <f>AJ51+120</f>
        <v>120</v>
      </c>
      <c r="AN53">
        <v>0</v>
      </c>
      <c r="AO53" s="17">
        <f>AJ51+90</f>
        <v>90</v>
      </c>
      <c r="AP53" s="18">
        <f>AJ51+150</f>
        <v>150</v>
      </c>
    </row>
    <row r="54" spans="3:42" x14ac:dyDescent="0.25">
      <c r="Z54" s="13" t="s">
        <v>42</v>
      </c>
      <c r="AA54" s="19">
        <v>0</v>
      </c>
      <c r="AB54" s="20">
        <f>AA51</f>
        <v>0</v>
      </c>
      <c r="AC54" s="20">
        <f>AA51</f>
        <v>0</v>
      </c>
      <c r="AD54" s="20">
        <f>AA51</f>
        <v>0</v>
      </c>
      <c r="AE54" s="19">
        <v>0</v>
      </c>
      <c r="AF54" s="19">
        <v>0</v>
      </c>
      <c r="AG54" s="14">
        <v>0</v>
      </c>
      <c r="AI54" s="13" t="s">
        <v>42</v>
      </c>
      <c r="AJ54" s="19">
        <v>0</v>
      </c>
      <c r="AK54" s="20">
        <f>AJ51+180</f>
        <v>180</v>
      </c>
      <c r="AL54" s="20">
        <f>AJ51+180-120</f>
        <v>60</v>
      </c>
      <c r="AM54" s="20">
        <f>AJ51-180+120</f>
        <v>-60</v>
      </c>
      <c r="AN54" s="19">
        <v>0</v>
      </c>
      <c r="AO54" s="19">
        <v>0</v>
      </c>
      <c r="AP54" s="14">
        <v>0</v>
      </c>
    </row>
    <row r="55" spans="3:42" x14ac:dyDescent="0.25">
      <c r="C55" t="s">
        <v>1</v>
      </c>
      <c r="E55">
        <v>1</v>
      </c>
      <c r="J55">
        <v>1</v>
      </c>
      <c r="L55">
        <v>1</v>
      </c>
      <c r="M55">
        <v>1</v>
      </c>
      <c r="N55" t="s">
        <v>29</v>
      </c>
      <c r="O55">
        <f>($F$9*1000)/($D$5*SQRT(3)*$I$9)</f>
        <v>0</v>
      </c>
      <c r="P55">
        <f>($F$9*1000)/(($D$5/SQRT(3))*$I$9)</f>
        <v>0</v>
      </c>
      <c r="Q55">
        <f>P55</f>
        <v>0</v>
      </c>
      <c r="R55">
        <f>P55</f>
        <v>0</v>
      </c>
      <c r="S55">
        <f>($F$9*1000)/($D$5*$I$9)</f>
        <v>0</v>
      </c>
      <c r="T55">
        <f>S55</f>
        <v>0</v>
      </c>
      <c r="U55">
        <f>S55</f>
        <v>0</v>
      </c>
    </row>
    <row r="56" spans="3:42" x14ac:dyDescent="0.25">
      <c r="M56">
        <v>2</v>
      </c>
      <c r="N56" t="s">
        <v>30</v>
      </c>
      <c r="O56">
        <f>($F$9*1000)/($D$5*SQRT(3))</f>
        <v>0</v>
      </c>
      <c r="P56">
        <f>($F$9*1000)/(($D$5/SQRT(3)))</f>
        <v>0</v>
      </c>
      <c r="Q56">
        <f>P56</f>
        <v>0</v>
      </c>
      <c r="R56">
        <f>P56</f>
        <v>0</v>
      </c>
      <c r="S56">
        <f>($F$9*1000)/($D$5)</f>
        <v>0</v>
      </c>
      <c r="T56">
        <f>S56</f>
        <v>0</v>
      </c>
      <c r="U56">
        <f>S56</f>
        <v>0</v>
      </c>
      <c r="Z56" s="4"/>
      <c r="AA56" s="5">
        <v>1</v>
      </c>
      <c r="AB56" s="5">
        <v>2</v>
      </c>
      <c r="AC56" s="5">
        <v>3</v>
      </c>
      <c r="AD56" s="5">
        <v>4</v>
      </c>
      <c r="AE56" s="5">
        <v>5</v>
      </c>
      <c r="AF56" s="5">
        <v>6</v>
      </c>
      <c r="AG56" s="6">
        <v>7</v>
      </c>
      <c r="AI56" s="4"/>
      <c r="AJ56" s="5">
        <v>1</v>
      </c>
      <c r="AK56" s="5">
        <v>2</v>
      </c>
      <c r="AL56" s="5">
        <v>3</v>
      </c>
      <c r="AM56" s="5">
        <v>4</v>
      </c>
      <c r="AN56" s="5">
        <v>5</v>
      </c>
      <c r="AO56" s="5">
        <v>6</v>
      </c>
      <c r="AP56" s="6">
        <v>7</v>
      </c>
    </row>
    <row r="57" spans="3:42" x14ac:dyDescent="0.25">
      <c r="M57">
        <v>3</v>
      </c>
      <c r="N57" t="s">
        <v>31</v>
      </c>
      <c r="O57">
        <f>$F$9</f>
        <v>0</v>
      </c>
      <c r="P57">
        <f>O57</f>
        <v>0</v>
      </c>
      <c r="Q57">
        <f>O57</f>
        <v>0</v>
      </c>
      <c r="R57">
        <f>O57</f>
        <v>0</v>
      </c>
      <c r="S57">
        <f>O57</f>
        <v>0</v>
      </c>
      <c r="T57">
        <f>O57</f>
        <v>0</v>
      </c>
      <c r="U57">
        <f>O57</f>
        <v>0</v>
      </c>
      <c r="Z57" s="2"/>
      <c r="AA57" t="s">
        <v>32</v>
      </c>
      <c r="AB57" t="s">
        <v>34</v>
      </c>
      <c r="AC57" t="s">
        <v>35</v>
      </c>
      <c r="AD57" t="s">
        <v>36</v>
      </c>
      <c r="AE57" t="s">
        <v>37</v>
      </c>
      <c r="AF57" t="s">
        <v>38</v>
      </c>
      <c r="AG57" s="3" t="s">
        <v>39</v>
      </c>
      <c r="AI57" s="29" t="s">
        <v>55</v>
      </c>
      <c r="AJ57" t="s">
        <v>32</v>
      </c>
      <c r="AK57" t="s">
        <v>34</v>
      </c>
      <c r="AL57" t="s">
        <v>35</v>
      </c>
      <c r="AM57" t="s">
        <v>36</v>
      </c>
      <c r="AN57" t="s">
        <v>37</v>
      </c>
      <c r="AO57" t="s">
        <v>38</v>
      </c>
      <c r="AP57" s="3" t="s">
        <v>39</v>
      </c>
    </row>
    <row r="58" spans="3:42" x14ac:dyDescent="0.25">
      <c r="Z58" s="2" t="s">
        <v>50</v>
      </c>
      <c r="AA58" s="17">
        <f>H9</f>
        <v>0</v>
      </c>
      <c r="AB58" s="17">
        <f>AA58</f>
        <v>0</v>
      </c>
      <c r="AC58">
        <v>0</v>
      </c>
      <c r="AD58">
        <v>0</v>
      </c>
      <c r="AE58" s="17">
        <f>AA58</f>
        <v>0</v>
      </c>
      <c r="AF58">
        <v>0</v>
      </c>
      <c r="AG58" s="18">
        <f>AA58</f>
        <v>0</v>
      </c>
      <c r="AI58" s="2" t="s">
        <v>50</v>
      </c>
      <c r="AJ58" s="17">
        <f>K9</f>
        <v>0</v>
      </c>
      <c r="AK58" s="17">
        <f>AJ58</f>
        <v>0</v>
      </c>
      <c r="AL58">
        <v>0</v>
      </c>
      <c r="AM58">
        <v>0</v>
      </c>
      <c r="AN58" s="17">
        <f>AJ58+30</f>
        <v>30</v>
      </c>
      <c r="AO58">
        <v>0</v>
      </c>
      <c r="AP58" s="18">
        <f>AJ58-30</f>
        <v>-30</v>
      </c>
    </row>
    <row r="59" spans="3:42" x14ac:dyDescent="0.25">
      <c r="C59" t="s">
        <v>2</v>
      </c>
      <c r="E59">
        <v>1</v>
      </c>
      <c r="J59">
        <v>1</v>
      </c>
      <c r="L59">
        <v>1</v>
      </c>
      <c r="M59">
        <v>1</v>
      </c>
      <c r="N59" t="s">
        <v>29</v>
      </c>
      <c r="O59">
        <f>($F$10*1000)/($D$5*SQRT(3)*$I$10)</f>
        <v>0</v>
      </c>
      <c r="P59">
        <f>($F$10*1000)/(($D$5/SQRT(3))*$I$10)</f>
        <v>0</v>
      </c>
      <c r="Q59">
        <f>P59</f>
        <v>0</v>
      </c>
      <c r="R59">
        <f>P59</f>
        <v>0</v>
      </c>
      <c r="S59">
        <f>($F$10*1000)/($D$5*$I$10)</f>
        <v>0</v>
      </c>
      <c r="T59">
        <f>S59</f>
        <v>0</v>
      </c>
      <c r="U59">
        <f>S59</f>
        <v>0</v>
      </c>
      <c r="Y59">
        <v>2</v>
      </c>
      <c r="Z59" s="2" t="s">
        <v>51</v>
      </c>
      <c r="AA59" s="17">
        <f>AA58</f>
        <v>0</v>
      </c>
      <c r="AB59">
        <v>0</v>
      </c>
      <c r="AC59" s="17">
        <f>AA58</f>
        <v>0</v>
      </c>
      <c r="AD59">
        <v>0</v>
      </c>
      <c r="AE59" s="17">
        <f>AA58</f>
        <v>0</v>
      </c>
      <c r="AF59" s="17">
        <f>AA58</f>
        <v>0</v>
      </c>
      <c r="AG59" s="3">
        <v>0</v>
      </c>
      <c r="AI59" s="2" t="s">
        <v>51</v>
      </c>
      <c r="AJ59" s="17">
        <f>AJ58-120</f>
        <v>-120</v>
      </c>
      <c r="AK59">
        <v>0</v>
      </c>
      <c r="AL59" s="17">
        <f>AJ58-120</f>
        <v>-120</v>
      </c>
      <c r="AM59">
        <v>0</v>
      </c>
      <c r="AN59" s="17">
        <f>AJ58-150</f>
        <v>-150</v>
      </c>
      <c r="AO59" s="17">
        <f>AJ58-90</f>
        <v>-90</v>
      </c>
      <c r="AP59" s="3">
        <v>0</v>
      </c>
    </row>
    <row r="60" spans="3:42" x14ac:dyDescent="0.25">
      <c r="M60">
        <v>2</v>
      </c>
      <c r="N60" t="s">
        <v>30</v>
      </c>
      <c r="O60">
        <f>($F$10*1000)/($D$5*SQRT(3))</f>
        <v>0</v>
      </c>
      <c r="P60">
        <f>($F$10*1000)/(($D$5/SQRT(3)))</f>
        <v>0</v>
      </c>
      <c r="Q60">
        <f>P60</f>
        <v>0</v>
      </c>
      <c r="R60">
        <f>P60</f>
        <v>0</v>
      </c>
      <c r="S60">
        <f>($F$10*1000)/($D$5)</f>
        <v>0</v>
      </c>
      <c r="T60">
        <f>S60</f>
        <v>0</v>
      </c>
      <c r="U60">
        <f>S60</f>
        <v>0</v>
      </c>
      <c r="Z60" s="2" t="s">
        <v>52</v>
      </c>
      <c r="AA60" s="17">
        <f>AA58</f>
        <v>0</v>
      </c>
      <c r="AB60">
        <v>0</v>
      </c>
      <c r="AC60">
        <v>0</v>
      </c>
      <c r="AD60" s="17">
        <f>AA58</f>
        <v>0</v>
      </c>
      <c r="AE60">
        <v>0</v>
      </c>
      <c r="AF60" s="17">
        <f>AA58</f>
        <v>0</v>
      </c>
      <c r="AG60" s="18">
        <f>AA58</f>
        <v>0</v>
      </c>
      <c r="AI60" s="2" t="s">
        <v>52</v>
      </c>
      <c r="AJ60" s="17">
        <f>AJ58+120</f>
        <v>120</v>
      </c>
      <c r="AK60">
        <v>0</v>
      </c>
      <c r="AL60">
        <v>0</v>
      </c>
      <c r="AM60" s="17">
        <f>AJ58+120</f>
        <v>120</v>
      </c>
      <c r="AN60">
        <v>0</v>
      </c>
      <c r="AO60" s="17">
        <f>AJ58+90</f>
        <v>90</v>
      </c>
      <c r="AP60" s="18">
        <f>AJ58+150</f>
        <v>150</v>
      </c>
    </row>
    <row r="61" spans="3:42" x14ac:dyDescent="0.25">
      <c r="M61">
        <v>3</v>
      </c>
      <c r="N61" t="s">
        <v>31</v>
      </c>
      <c r="O61">
        <f>$F$10</f>
        <v>0</v>
      </c>
      <c r="P61">
        <f>O61</f>
        <v>0</v>
      </c>
      <c r="Q61">
        <f>O61</f>
        <v>0</v>
      </c>
      <c r="R61">
        <f>O61</f>
        <v>0</v>
      </c>
      <c r="S61">
        <f>O61</f>
        <v>0</v>
      </c>
      <c r="T61">
        <f>O61</f>
        <v>0</v>
      </c>
      <c r="U61">
        <f>O61</f>
        <v>0</v>
      </c>
      <c r="Z61" s="13" t="s">
        <v>42</v>
      </c>
      <c r="AA61" s="19">
        <v>0</v>
      </c>
      <c r="AB61" s="20">
        <f>AA58</f>
        <v>0</v>
      </c>
      <c r="AC61" s="20">
        <f>AA58</f>
        <v>0</v>
      </c>
      <c r="AD61" s="20">
        <f>AA58</f>
        <v>0</v>
      </c>
      <c r="AE61" s="19">
        <v>0</v>
      </c>
      <c r="AF61" s="19">
        <v>0</v>
      </c>
      <c r="AG61" s="14">
        <v>0</v>
      </c>
      <c r="AI61" s="13" t="s">
        <v>42</v>
      </c>
      <c r="AJ61" s="19">
        <v>0</v>
      </c>
      <c r="AK61" s="20">
        <f>AJ58+180</f>
        <v>180</v>
      </c>
      <c r="AL61" s="20">
        <f>AJ58+180-120</f>
        <v>60</v>
      </c>
      <c r="AM61" s="20">
        <f>AJ58-180+120</f>
        <v>-60</v>
      </c>
      <c r="AN61" s="19">
        <v>0</v>
      </c>
      <c r="AO61" s="19">
        <v>0</v>
      </c>
      <c r="AP61" s="14">
        <v>0</v>
      </c>
    </row>
    <row r="63" spans="3:42" x14ac:dyDescent="0.25">
      <c r="C63" t="s">
        <v>3</v>
      </c>
      <c r="E63">
        <v>1</v>
      </c>
      <c r="J63">
        <v>1</v>
      </c>
      <c r="L63">
        <v>1</v>
      </c>
      <c r="M63">
        <v>1</v>
      </c>
      <c r="N63" t="s">
        <v>29</v>
      </c>
      <c r="O63">
        <f>($F$11*1000)/($D$5*SQRT(3)*$I$11)</f>
        <v>0</v>
      </c>
      <c r="P63">
        <f>($F$11*1000)/(($D$5/SQRT(3))*$I$11)</f>
        <v>0</v>
      </c>
      <c r="Q63">
        <f>P63</f>
        <v>0</v>
      </c>
      <c r="R63">
        <f>P63</f>
        <v>0</v>
      </c>
      <c r="S63">
        <f>($F$11*1000)/($D$5*$I$11)</f>
        <v>0</v>
      </c>
      <c r="T63">
        <f>S63</f>
        <v>0</v>
      </c>
      <c r="U63">
        <f>S63</f>
        <v>0</v>
      </c>
      <c r="Z63" s="4"/>
      <c r="AA63" s="5">
        <v>1</v>
      </c>
      <c r="AB63" s="5">
        <v>2</v>
      </c>
      <c r="AC63" s="5">
        <v>3</v>
      </c>
      <c r="AD63" s="5">
        <v>4</v>
      </c>
      <c r="AE63" s="5">
        <v>5</v>
      </c>
      <c r="AF63" s="5">
        <v>6</v>
      </c>
      <c r="AG63" s="6">
        <v>7</v>
      </c>
      <c r="AI63" s="4"/>
      <c r="AJ63" s="5">
        <v>1</v>
      </c>
      <c r="AK63" s="5">
        <v>2</v>
      </c>
      <c r="AL63" s="5">
        <v>3</v>
      </c>
      <c r="AM63" s="5">
        <v>4</v>
      </c>
      <c r="AN63" s="5">
        <v>5</v>
      </c>
      <c r="AO63" s="5">
        <v>6</v>
      </c>
      <c r="AP63" s="6">
        <v>7</v>
      </c>
    </row>
    <row r="64" spans="3:42" x14ac:dyDescent="0.25">
      <c r="M64">
        <v>2</v>
      </c>
      <c r="N64" t="s">
        <v>30</v>
      </c>
      <c r="O64">
        <f>($F$11*1000)/($D$5*SQRT(3))</f>
        <v>0</v>
      </c>
      <c r="P64">
        <f>($F$11*1000)/(($D$5/SQRT(3)))</f>
        <v>0</v>
      </c>
      <c r="Q64">
        <f>P64</f>
        <v>0</v>
      </c>
      <c r="R64">
        <f>P64</f>
        <v>0</v>
      </c>
      <c r="S64">
        <f>($F$11*1000)/($D$5)</f>
        <v>0</v>
      </c>
      <c r="T64">
        <f>S64</f>
        <v>0</v>
      </c>
      <c r="U64">
        <f>S64</f>
        <v>0</v>
      </c>
      <c r="Z64" s="2"/>
      <c r="AA64" t="s">
        <v>32</v>
      </c>
      <c r="AB64" t="s">
        <v>34</v>
      </c>
      <c r="AC64" t="s">
        <v>35</v>
      </c>
      <c r="AD64" t="s">
        <v>36</v>
      </c>
      <c r="AE64" t="s">
        <v>37</v>
      </c>
      <c r="AF64" t="s">
        <v>38</v>
      </c>
      <c r="AG64" s="3" t="s">
        <v>39</v>
      </c>
      <c r="AI64" s="29" t="s">
        <v>55</v>
      </c>
      <c r="AJ64" t="s">
        <v>32</v>
      </c>
      <c r="AK64" t="s">
        <v>34</v>
      </c>
      <c r="AL64" t="s">
        <v>35</v>
      </c>
      <c r="AM64" t="s">
        <v>36</v>
      </c>
      <c r="AN64" t="s">
        <v>37</v>
      </c>
      <c r="AO64" t="s">
        <v>38</v>
      </c>
      <c r="AP64" s="3" t="s">
        <v>39</v>
      </c>
    </row>
    <row r="65" spans="3:42" x14ac:dyDescent="0.25">
      <c r="M65">
        <v>3</v>
      </c>
      <c r="N65" t="s">
        <v>31</v>
      </c>
      <c r="O65">
        <f>$F$11</f>
        <v>0</v>
      </c>
      <c r="P65">
        <f>O65</f>
        <v>0</v>
      </c>
      <c r="Q65">
        <f>O65</f>
        <v>0</v>
      </c>
      <c r="R65">
        <f>O65</f>
        <v>0</v>
      </c>
      <c r="S65">
        <f>O65</f>
        <v>0</v>
      </c>
      <c r="T65">
        <f>O65</f>
        <v>0</v>
      </c>
      <c r="U65">
        <f>O65</f>
        <v>0</v>
      </c>
      <c r="Z65" s="2" t="s">
        <v>50</v>
      </c>
      <c r="AA65" s="17">
        <f>H10</f>
        <v>0</v>
      </c>
      <c r="AB65" s="17">
        <f>AA65</f>
        <v>0</v>
      </c>
      <c r="AC65">
        <v>0</v>
      </c>
      <c r="AD65">
        <v>0</v>
      </c>
      <c r="AE65" s="17">
        <f>AA65</f>
        <v>0</v>
      </c>
      <c r="AF65">
        <v>0</v>
      </c>
      <c r="AG65" s="18">
        <f>AA65</f>
        <v>0</v>
      </c>
      <c r="AI65" s="2" t="s">
        <v>50</v>
      </c>
      <c r="AJ65" s="17">
        <f>K10</f>
        <v>0</v>
      </c>
      <c r="AK65" s="17">
        <f>AJ65</f>
        <v>0</v>
      </c>
      <c r="AL65">
        <v>0</v>
      </c>
      <c r="AM65">
        <v>0</v>
      </c>
      <c r="AN65" s="17">
        <f>AJ65+30</f>
        <v>30</v>
      </c>
      <c r="AO65">
        <v>0</v>
      </c>
      <c r="AP65" s="18">
        <f>AJ65-30</f>
        <v>-30</v>
      </c>
    </row>
    <row r="66" spans="3:42" x14ac:dyDescent="0.25">
      <c r="Y66">
        <v>3</v>
      </c>
      <c r="Z66" s="2" t="s">
        <v>51</v>
      </c>
      <c r="AA66" s="17">
        <f>AA65</f>
        <v>0</v>
      </c>
      <c r="AB66">
        <v>0</v>
      </c>
      <c r="AC66" s="17">
        <f>AA65</f>
        <v>0</v>
      </c>
      <c r="AD66">
        <v>0</v>
      </c>
      <c r="AE66" s="17">
        <f>AA65</f>
        <v>0</v>
      </c>
      <c r="AF66" s="17">
        <f>AA65</f>
        <v>0</v>
      </c>
      <c r="AG66" s="3">
        <v>0</v>
      </c>
      <c r="AI66" s="2" t="s">
        <v>51</v>
      </c>
      <c r="AJ66" s="17">
        <f>AJ65-120</f>
        <v>-120</v>
      </c>
      <c r="AK66">
        <v>0</v>
      </c>
      <c r="AL66" s="17">
        <f>AJ65-120</f>
        <v>-120</v>
      </c>
      <c r="AM66">
        <v>0</v>
      </c>
      <c r="AN66" s="17">
        <f>AJ65-150</f>
        <v>-150</v>
      </c>
      <c r="AO66" s="17">
        <f>AJ65-90</f>
        <v>-90</v>
      </c>
      <c r="AP66" s="3">
        <v>0</v>
      </c>
    </row>
    <row r="67" spans="3:42" x14ac:dyDescent="0.25">
      <c r="C67" t="s">
        <v>4</v>
      </c>
      <c r="E67">
        <v>1</v>
      </c>
      <c r="J67">
        <v>1</v>
      </c>
      <c r="L67">
        <v>1</v>
      </c>
      <c r="M67">
        <v>1</v>
      </c>
      <c r="N67" t="s">
        <v>29</v>
      </c>
      <c r="O67">
        <f>($F$12*1000)/($D$5*SQRT(3)*$I$12)</f>
        <v>0</v>
      </c>
      <c r="P67">
        <f>($F$12*1000)/(($D$5/SQRT(3))*$I$12)</f>
        <v>0</v>
      </c>
      <c r="Q67">
        <f>P67</f>
        <v>0</v>
      </c>
      <c r="R67">
        <f>P67</f>
        <v>0</v>
      </c>
      <c r="S67">
        <f>($F$12*1000)/($D$5*$I$12)</f>
        <v>0</v>
      </c>
      <c r="T67">
        <f>S67</f>
        <v>0</v>
      </c>
      <c r="U67">
        <f>S67</f>
        <v>0</v>
      </c>
      <c r="Z67" s="2" t="s">
        <v>52</v>
      </c>
      <c r="AA67" s="17">
        <f>AA65</f>
        <v>0</v>
      </c>
      <c r="AB67">
        <v>0</v>
      </c>
      <c r="AC67">
        <v>0</v>
      </c>
      <c r="AD67" s="17">
        <f>AA65</f>
        <v>0</v>
      </c>
      <c r="AE67">
        <v>0</v>
      </c>
      <c r="AF67" s="17">
        <f>AA65</f>
        <v>0</v>
      </c>
      <c r="AG67" s="18">
        <f>AA65</f>
        <v>0</v>
      </c>
      <c r="AI67" s="2" t="s">
        <v>52</v>
      </c>
      <c r="AJ67" s="17">
        <f>AJ65+120</f>
        <v>120</v>
      </c>
      <c r="AK67">
        <v>0</v>
      </c>
      <c r="AL67">
        <v>0</v>
      </c>
      <c r="AM67" s="17">
        <f>AJ65+120</f>
        <v>120</v>
      </c>
      <c r="AN67">
        <v>0</v>
      </c>
      <c r="AO67" s="17">
        <f>AJ65+90</f>
        <v>90</v>
      </c>
      <c r="AP67" s="18">
        <f>AJ65+150</f>
        <v>150</v>
      </c>
    </row>
    <row r="68" spans="3:42" x14ac:dyDescent="0.25">
      <c r="M68">
        <v>2</v>
      </c>
      <c r="N68" t="s">
        <v>30</v>
      </c>
      <c r="O68">
        <f>($F$12*1000)/($D$5*SQRT(3))</f>
        <v>0</v>
      </c>
      <c r="P68">
        <f>($F$12*1000)/(($D$5/SQRT(3)))</f>
        <v>0</v>
      </c>
      <c r="Q68">
        <f>P68</f>
        <v>0</v>
      </c>
      <c r="R68">
        <f>P68</f>
        <v>0</v>
      </c>
      <c r="S68">
        <f>($F$12*1000)/($D$5)</f>
        <v>0</v>
      </c>
      <c r="T68">
        <f>S68</f>
        <v>0</v>
      </c>
      <c r="U68">
        <f>S68</f>
        <v>0</v>
      </c>
      <c r="Z68" s="13" t="s">
        <v>42</v>
      </c>
      <c r="AA68" s="19">
        <v>0</v>
      </c>
      <c r="AB68" s="20">
        <f>AA65</f>
        <v>0</v>
      </c>
      <c r="AC68" s="20">
        <f>AA65</f>
        <v>0</v>
      </c>
      <c r="AD68" s="20">
        <f>AA65</f>
        <v>0</v>
      </c>
      <c r="AE68" s="19">
        <v>0</v>
      </c>
      <c r="AF68" s="19">
        <v>0</v>
      </c>
      <c r="AG68" s="14">
        <v>0</v>
      </c>
      <c r="AI68" s="13" t="s">
        <v>42</v>
      </c>
      <c r="AJ68" s="19">
        <v>0</v>
      </c>
      <c r="AK68" s="20">
        <f>AJ65+180</f>
        <v>180</v>
      </c>
      <c r="AL68" s="20">
        <f>AJ65+180-120</f>
        <v>60</v>
      </c>
      <c r="AM68" s="20">
        <f>AJ65-180+120</f>
        <v>-60</v>
      </c>
      <c r="AN68" s="19">
        <v>0</v>
      </c>
      <c r="AO68" s="19">
        <v>0</v>
      </c>
      <c r="AP68" s="14">
        <v>0</v>
      </c>
    </row>
    <row r="69" spans="3:42" x14ac:dyDescent="0.25">
      <c r="M69">
        <v>3</v>
      </c>
      <c r="N69" t="s">
        <v>31</v>
      </c>
      <c r="O69">
        <f>$F$12</f>
        <v>0</v>
      </c>
      <c r="P69">
        <f>O69</f>
        <v>0</v>
      </c>
      <c r="Q69">
        <f>O69</f>
        <v>0</v>
      </c>
      <c r="R69">
        <f>O69</f>
        <v>0</v>
      </c>
      <c r="S69">
        <f>O69</f>
        <v>0</v>
      </c>
      <c r="T69">
        <f>O69</f>
        <v>0</v>
      </c>
      <c r="U69">
        <f>O69</f>
        <v>0</v>
      </c>
    </row>
    <row r="70" spans="3:42" x14ac:dyDescent="0.25">
      <c r="Z70" s="4"/>
      <c r="AA70" s="5">
        <v>1</v>
      </c>
      <c r="AB70" s="5">
        <v>2</v>
      </c>
      <c r="AC70" s="5">
        <v>3</v>
      </c>
      <c r="AD70" s="5">
        <v>4</v>
      </c>
      <c r="AE70" s="5">
        <v>5</v>
      </c>
      <c r="AF70" s="5">
        <v>6</v>
      </c>
      <c r="AG70" s="6">
        <v>7</v>
      </c>
      <c r="AI70" s="4"/>
      <c r="AJ70" s="5">
        <v>1</v>
      </c>
      <c r="AK70" s="5">
        <v>2</v>
      </c>
      <c r="AL70" s="5">
        <v>3</v>
      </c>
      <c r="AM70" s="5">
        <v>4</v>
      </c>
      <c r="AN70" s="5">
        <v>5</v>
      </c>
      <c r="AO70" s="5">
        <v>6</v>
      </c>
      <c r="AP70" s="6">
        <v>7</v>
      </c>
    </row>
    <row r="71" spans="3:42" x14ac:dyDescent="0.25">
      <c r="C71" t="s">
        <v>5</v>
      </c>
      <c r="E71">
        <v>1</v>
      </c>
      <c r="J71">
        <v>1</v>
      </c>
      <c r="L71">
        <v>1</v>
      </c>
      <c r="M71">
        <v>1</v>
      </c>
      <c r="N71" t="s">
        <v>29</v>
      </c>
      <c r="O71">
        <f>($F$13*1000)/($D$5*SQRT(3)*$I$13)</f>
        <v>0</v>
      </c>
      <c r="P71">
        <f>($F$13*1000)/(($D$5/SQRT(3))*$I$13)</f>
        <v>0</v>
      </c>
      <c r="Q71">
        <f>P71</f>
        <v>0</v>
      </c>
      <c r="R71">
        <f>P71</f>
        <v>0</v>
      </c>
      <c r="S71">
        <f>($F$13*1000)/($D$5*$I$13)</f>
        <v>0</v>
      </c>
      <c r="T71">
        <f>S71</f>
        <v>0</v>
      </c>
      <c r="U71">
        <f>S71</f>
        <v>0</v>
      </c>
      <c r="Z71" s="2"/>
      <c r="AA71" t="s">
        <v>32</v>
      </c>
      <c r="AB71" t="s">
        <v>34</v>
      </c>
      <c r="AC71" t="s">
        <v>35</v>
      </c>
      <c r="AD71" t="s">
        <v>36</v>
      </c>
      <c r="AE71" t="s">
        <v>37</v>
      </c>
      <c r="AF71" t="s">
        <v>38</v>
      </c>
      <c r="AG71" s="3" t="s">
        <v>39</v>
      </c>
      <c r="AI71" s="29" t="s">
        <v>55</v>
      </c>
      <c r="AJ71" t="s">
        <v>32</v>
      </c>
      <c r="AK71" t="s">
        <v>34</v>
      </c>
      <c r="AL71" t="s">
        <v>35</v>
      </c>
      <c r="AM71" t="s">
        <v>36</v>
      </c>
      <c r="AN71" t="s">
        <v>37</v>
      </c>
      <c r="AO71" t="s">
        <v>38</v>
      </c>
      <c r="AP71" s="3" t="s">
        <v>39</v>
      </c>
    </row>
    <row r="72" spans="3:42" x14ac:dyDescent="0.25">
      <c r="M72">
        <v>2</v>
      </c>
      <c r="N72" t="s">
        <v>30</v>
      </c>
      <c r="O72">
        <f>($F$13*1000)/($D$5*SQRT(3))</f>
        <v>0</v>
      </c>
      <c r="P72">
        <f>($F$13*1000)/(($D$5/SQRT(3)))</f>
        <v>0</v>
      </c>
      <c r="Q72">
        <f>P72</f>
        <v>0</v>
      </c>
      <c r="R72">
        <f>P72</f>
        <v>0</v>
      </c>
      <c r="S72">
        <f>($F$13*1000)/($D$5)</f>
        <v>0</v>
      </c>
      <c r="T72">
        <f>S72</f>
        <v>0</v>
      </c>
      <c r="U72">
        <f>S72</f>
        <v>0</v>
      </c>
      <c r="Z72" s="2" t="s">
        <v>50</v>
      </c>
      <c r="AA72" s="17">
        <f>H11</f>
        <v>0</v>
      </c>
      <c r="AB72" s="17">
        <f>AA72</f>
        <v>0</v>
      </c>
      <c r="AC72">
        <v>0</v>
      </c>
      <c r="AD72">
        <v>0</v>
      </c>
      <c r="AE72" s="17">
        <f>AA72</f>
        <v>0</v>
      </c>
      <c r="AF72">
        <v>0</v>
      </c>
      <c r="AG72" s="18">
        <f>AA72</f>
        <v>0</v>
      </c>
      <c r="AI72" s="2" t="s">
        <v>50</v>
      </c>
      <c r="AJ72" s="17">
        <f>K11</f>
        <v>0</v>
      </c>
      <c r="AK72" s="17">
        <f>AJ72</f>
        <v>0</v>
      </c>
      <c r="AL72">
        <v>0</v>
      </c>
      <c r="AM72">
        <v>0</v>
      </c>
      <c r="AN72" s="17">
        <f>AJ72+30</f>
        <v>30</v>
      </c>
      <c r="AO72">
        <v>0</v>
      </c>
      <c r="AP72" s="18">
        <f>AJ72-30</f>
        <v>-30</v>
      </c>
    </row>
    <row r="73" spans="3:42" x14ac:dyDescent="0.25">
      <c r="M73">
        <v>3</v>
      </c>
      <c r="N73" t="s">
        <v>31</v>
      </c>
      <c r="O73">
        <f>$F$13</f>
        <v>0</v>
      </c>
      <c r="P73">
        <f>O73</f>
        <v>0</v>
      </c>
      <c r="Q73">
        <f>O73</f>
        <v>0</v>
      </c>
      <c r="R73">
        <f>O73</f>
        <v>0</v>
      </c>
      <c r="S73">
        <f>O73</f>
        <v>0</v>
      </c>
      <c r="T73">
        <f>O73</f>
        <v>0</v>
      </c>
      <c r="U73">
        <f>O73</f>
        <v>0</v>
      </c>
      <c r="Y73">
        <v>4</v>
      </c>
      <c r="Z73" s="2" t="s">
        <v>51</v>
      </c>
      <c r="AA73" s="17">
        <f>AA72</f>
        <v>0</v>
      </c>
      <c r="AB73">
        <v>0</v>
      </c>
      <c r="AC73" s="17">
        <f>AA72</f>
        <v>0</v>
      </c>
      <c r="AD73">
        <v>0</v>
      </c>
      <c r="AE73" s="17">
        <f>AA72</f>
        <v>0</v>
      </c>
      <c r="AF73" s="17">
        <f>AA72</f>
        <v>0</v>
      </c>
      <c r="AG73" s="3">
        <v>0</v>
      </c>
      <c r="AI73" s="2" t="s">
        <v>51</v>
      </c>
      <c r="AJ73" s="17">
        <f>AJ72-120</f>
        <v>-120</v>
      </c>
      <c r="AK73">
        <v>0</v>
      </c>
      <c r="AL73" s="17">
        <f>AJ72-120</f>
        <v>-120</v>
      </c>
      <c r="AM73">
        <v>0</v>
      </c>
      <c r="AN73" s="17">
        <f>AJ72-150</f>
        <v>-150</v>
      </c>
      <c r="AO73" s="17">
        <f>AJ72-90</f>
        <v>-90</v>
      </c>
      <c r="AP73" s="3">
        <v>0</v>
      </c>
    </row>
    <row r="74" spans="3:42" x14ac:dyDescent="0.25">
      <c r="Z74" s="2" t="s">
        <v>52</v>
      </c>
      <c r="AA74" s="17">
        <f>AA72</f>
        <v>0</v>
      </c>
      <c r="AB74">
        <v>0</v>
      </c>
      <c r="AC74">
        <v>0</v>
      </c>
      <c r="AD74" s="17">
        <f>AA72</f>
        <v>0</v>
      </c>
      <c r="AE74">
        <v>0</v>
      </c>
      <c r="AF74" s="17">
        <f>AA72</f>
        <v>0</v>
      </c>
      <c r="AG74" s="18">
        <f>AA72</f>
        <v>0</v>
      </c>
      <c r="AI74" s="2" t="s">
        <v>52</v>
      </c>
      <c r="AJ74" s="17">
        <f>AJ72+120</f>
        <v>120</v>
      </c>
      <c r="AK74">
        <v>0</v>
      </c>
      <c r="AL74">
        <v>0</v>
      </c>
      <c r="AM74" s="17">
        <f>AJ72+120</f>
        <v>120</v>
      </c>
      <c r="AN74">
        <v>0</v>
      </c>
      <c r="AO74" s="17">
        <f>AJ72+90</f>
        <v>90</v>
      </c>
      <c r="AP74" s="18">
        <f>AJ72+150</f>
        <v>150</v>
      </c>
    </row>
    <row r="75" spans="3:42" x14ac:dyDescent="0.25">
      <c r="C75" t="s">
        <v>6</v>
      </c>
      <c r="E75">
        <v>1</v>
      </c>
      <c r="J75">
        <v>1</v>
      </c>
      <c r="L75">
        <v>1</v>
      </c>
      <c r="M75">
        <v>1</v>
      </c>
      <c r="N75" t="s">
        <v>29</v>
      </c>
      <c r="O75">
        <f>($F$14*1000)/($D$5*SQRT(3)*$I$14)</f>
        <v>0</v>
      </c>
      <c r="P75">
        <f>($F$14*1000)/(($D$5/SQRT(3))*$I$14)</f>
        <v>0</v>
      </c>
      <c r="Q75">
        <f>P75</f>
        <v>0</v>
      </c>
      <c r="R75">
        <f>P75</f>
        <v>0</v>
      </c>
      <c r="S75">
        <f>($F$14*1000)/($D$5*$I$14)</f>
        <v>0</v>
      </c>
      <c r="T75">
        <f>S75</f>
        <v>0</v>
      </c>
      <c r="U75">
        <f>S75</f>
        <v>0</v>
      </c>
      <c r="Z75" s="13" t="s">
        <v>42</v>
      </c>
      <c r="AA75" s="19">
        <v>0</v>
      </c>
      <c r="AB75" s="20">
        <f>AA72</f>
        <v>0</v>
      </c>
      <c r="AC75" s="20">
        <f>AA72</f>
        <v>0</v>
      </c>
      <c r="AD75" s="20">
        <f>AA72</f>
        <v>0</v>
      </c>
      <c r="AE75" s="19">
        <v>0</v>
      </c>
      <c r="AF75" s="19">
        <v>0</v>
      </c>
      <c r="AG75" s="14">
        <v>0</v>
      </c>
      <c r="AI75" s="13" t="s">
        <v>42</v>
      </c>
      <c r="AJ75" s="19">
        <v>0</v>
      </c>
      <c r="AK75" s="20">
        <f>AJ72+180</f>
        <v>180</v>
      </c>
      <c r="AL75" s="20">
        <f>AJ72+180-120</f>
        <v>60</v>
      </c>
      <c r="AM75" s="20">
        <f>AJ72-180+120</f>
        <v>-60</v>
      </c>
      <c r="AN75" s="19">
        <v>0</v>
      </c>
      <c r="AO75" s="19">
        <v>0</v>
      </c>
      <c r="AP75" s="14">
        <v>0</v>
      </c>
    </row>
    <row r="76" spans="3:42" x14ac:dyDescent="0.25">
      <c r="M76">
        <v>2</v>
      </c>
      <c r="N76" t="s">
        <v>30</v>
      </c>
      <c r="O76">
        <f>($F$14*1000)/($D$5*SQRT(3))</f>
        <v>0</v>
      </c>
      <c r="P76">
        <f>($F$14*1000)/(($D$5/SQRT(3)))</f>
        <v>0</v>
      </c>
      <c r="Q76">
        <f>P76</f>
        <v>0</v>
      </c>
      <c r="R76">
        <f>P76</f>
        <v>0</v>
      </c>
      <c r="S76">
        <f>($F$14*1000)/($D$5)</f>
        <v>0</v>
      </c>
      <c r="T76">
        <f>S76</f>
        <v>0</v>
      </c>
      <c r="U76">
        <f>S76</f>
        <v>0</v>
      </c>
    </row>
    <row r="77" spans="3:42" x14ac:dyDescent="0.25">
      <c r="M77">
        <v>3</v>
      </c>
      <c r="N77" t="s">
        <v>31</v>
      </c>
      <c r="O77">
        <f>$F$14</f>
        <v>0</v>
      </c>
      <c r="P77">
        <f>O77</f>
        <v>0</v>
      </c>
      <c r="Q77">
        <f>O77</f>
        <v>0</v>
      </c>
      <c r="R77">
        <f>O77</f>
        <v>0</v>
      </c>
      <c r="S77">
        <f>O77</f>
        <v>0</v>
      </c>
      <c r="T77">
        <f>O77</f>
        <v>0</v>
      </c>
      <c r="U77">
        <f>O77</f>
        <v>0</v>
      </c>
      <c r="Z77" s="4"/>
      <c r="AA77" s="5">
        <v>1</v>
      </c>
      <c r="AB77" s="5">
        <v>2</v>
      </c>
      <c r="AC77" s="5">
        <v>3</v>
      </c>
      <c r="AD77" s="5">
        <v>4</v>
      </c>
      <c r="AE77" s="5">
        <v>5</v>
      </c>
      <c r="AF77" s="5">
        <v>6</v>
      </c>
      <c r="AG77" s="6">
        <v>7</v>
      </c>
      <c r="AI77" s="4"/>
      <c r="AJ77" s="5">
        <v>1</v>
      </c>
      <c r="AK77" s="5">
        <v>2</v>
      </c>
      <c r="AL77" s="5">
        <v>3</v>
      </c>
      <c r="AM77" s="5">
        <v>4</v>
      </c>
      <c r="AN77" s="5">
        <v>5</v>
      </c>
      <c r="AO77" s="5">
        <v>6</v>
      </c>
      <c r="AP77" s="6">
        <v>7</v>
      </c>
    </row>
    <row r="78" spans="3:42" x14ac:dyDescent="0.25">
      <c r="Z78" s="2"/>
      <c r="AA78" t="s">
        <v>32</v>
      </c>
      <c r="AB78" t="s">
        <v>34</v>
      </c>
      <c r="AC78" t="s">
        <v>35</v>
      </c>
      <c r="AD78" t="s">
        <v>36</v>
      </c>
      <c r="AE78" t="s">
        <v>37</v>
      </c>
      <c r="AF78" t="s">
        <v>38</v>
      </c>
      <c r="AG78" s="3" t="s">
        <v>39</v>
      </c>
      <c r="AI78" s="29" t="s">
        <v>55</v>
      </c>
      <c r="AJ78" t="s">
        <v>32</v>
      </c>
      <c r="AK78" t="s">
        <v>34</v>
      </c>
      <c r="AL78" t="s">
        <v>35</v>
      </c>
      <c r="AM78" t="s">
        <v>36</v>
      </c>
      <c r="AN78" t="s">
        <v>37</v>
      </c>
      <c r="AO78" t="s">
        <v>38</v>
      </c>
      <c r="AP78" s="3" t="s">
        <v>39</v>
      </c>
    </row>
    <row r="79" spans="3:42" x14ac:dyDescent="0.25">
      <c r="C79" t="s">
        <v>7</v>
      </c>
      <c r="E79">
        <v>1</v>
      </c>
      <c r="J79">
        <v>1</v>
      </c>
      <c r="L79">
        <v>1</v>
      </c>
      <c r="M79">
        <v>1</v>
      </c>
      <c r="N79" t="s">
        <v>29</v>
      </c>
      <c r="O79">
        <f>($F$15*1000)/($D$5*SQRT(3)*$I$15)</f>
        <v>0</v>
      </c>
      <c r="P79">
        <f>($F$15*1000)/(($D$5/SQRT(3))*$I$15)</f>
        <v>0</v>
      </c>
      <c r="Q79">
        <f>P79</f>
        <v>0</v>
      </c>
      <c r="R79">
        <f>P79</f>
        <v>0</v>
      </c>
      <c r="S79">
        <f>($F$15*1000)/($D$5*$I$15)</f>
        <v>0</v>
      </c>
      <c r="T79">
        <f>S79</f>
        <v>0</v>
      </c>
      <c r="U79">
        <f>S79</f>
        <v>0</v>
      </c>
      <c r="Z79" s="2" t="s">
        <v>50</v>
      </c>
      <c r="AA79" s="17">
        <f>H12</f>
        <v>0</v>
      </c>
      <c r="AB79" s="17">
        <f>AA79</f>
        <v>0</v>
      </c>
      <c r="AC79">
        <v>0</v>
      </c>
      <c r="AD79">
        <v>0</v>
      </c>
      <c r="AE79" s="17">
        <f>AA79</f>
        <v>0</v>
      </c>
      <c r="AF79">
        <v>0</v>
      </c>
      <c r="AG79" s="18">
        <f>AA79</f>
        <v>0</v>
      </c>
      <c r="AI79" s="2" t="s">
        <v>50</v>
      </c>
      <c r="AJ79" s="17">
        <f>K12</f>
        <v>0</v>
      </c>
      <c r="AK79" s="17">
        <f>AJ79</f>
        <v>0</v>
      </c>
      <c r="AL79">
        <v>0</v>
      </c>
      <c r="AM79">
        <v>0</v>
      </c>
      <c r="AN79" s="17">
        <f>AJ79+30</f>
        <v>30</v>
      </c>
      <c r="AO79">
        <v>0</v>
      </c>
      <c r="AP79" s="18">
        <f>AJ79-30</f>
        <v>-30</v>
      </c>
    </row>
    <row r="80" spans="3:42" x14ac:dyDescent="0.25">
      <c r="M80">
        <v>2</v>
      </c>
      <c r="N80" t="s">
        <v>30</v>
      </c>
      <c r="O80">
        <f>($F$15*1000)/($D$5*SQRT(3))</f>
        <v>0</v>
      </c>
      <c r="P80">
        <f>($F$15*1000)/(($D$5/SQRT(3)))</f>
        <v>0</v>
      </c>
      <c r="Q80">
        <f>P80</f>
        <v>0</v>
      </c>
      <c r="R80">
        <f>P80</f>
        <v>0</v>
      </c>
      <c r="S80">
        <f>($F$15*1000)/($D$5)</f>
        <v>0</v>
      </c>
      <c r="T80">
        <f>S80</f>
        <v>0</v>
      </c>
      <c r="U80">
        <f>S80</f>
        <v>0</v>
      </c>
      <c r="Y80">
        <v>5</v>
      </c>
      <c r="Z80" s="2" t="s">
        <v>51</v>
      </c>
      <c r="AA80" s="17">
        <f>AA79</f>
        <v>0</v>
      </c>
      <c r="AB80">
        <v>0</v>
      </c>
      <c r="AC80" s="17">
        <f>AA79</f>
        <v>0</v>
      </c>
      <c r="AD80">
        <v>0</v>
      </c>
      <c r="AE80" s="17">
        <f>AA79</f>
        <v>0</v>
      </c>
      <c r="AF80" s="17">
        <f>AA79</f>
        <v>0</v>
      </c>
      <c r="AG80" s="3">
        <v>0</v>
      </c>
      <c r="AI80" s="2" t="s">
        <v>51</v>
      </c>
      <c r="AJ80" s="17">
        <f>AJ79-120</f>
        <v>-120</v>
      </c>
      <c r="AK80">
        <v>0</v>
      </c>
      <c r="AL80" s="17">
        <f>AJ79-120</f>
        <v>-120</v>
      </c>
      <c r="AM80">
        <v>0</v>
      </c>
      <c r="AN80" s="17">
        <f>AJ79-150</f>
        <v>-150</v>
      </c>
      <c r="AO80" s="17">
        <f>AJ79-90</f>
        <v>-90</v>
      </c>
      <c r="AP80" s="3">
        <v>0</v>
      </c>
    </row>
    <row r="81" spans="3:42" x14ac:dyDescent="0.25">
      <c r="M81">
        <v>3</v>
      </c>
      <c r="N81" t="s">
        <v>31</v>
      </c>
      <c r="O81">
        <f>$F$15</f>
        <v>0</v>
      </c>
      <c r="P81">
        <f>O81</f>
        <v>0</v>
      </c>
      <c r="Q81">
        <f>O81</f>
        <v>0</v>
      </c>
      <c r="R81">
        <f>O81</f>
        <v>0</v>
      </c>
      <c r="S81">
        <f>O81</f>
        <v>0</v>
      </c>
      <c r="T81">
        <f>O81</f>
        <v>0</v>
      </c>
      <c r="U81">
        <f>O81</f>
        <v>0</v>
      </c>
      <c r="Z81" s="2" t="s">
        <v>52</v>
      </c>
      <c r="AA81" s="17">
        <f>AA79</f>
        <v>0</v>
      </c>
      <c r="AB81">
        <v>0</v>
      </c>
      <c r="AC81">
        <v>0</v>
      </c>
      <c r="AD81" s="17">
        <f>AA79</f>
        <v>0</v>
      </c>
      <c r="AE81">
        <v>0</v>
      </c>
      <c r="AF81" s="17">
        <f>AA79</f>
        <v>0</v>
      </c>
      <c r="AG81" s="18">
        <f>AA79</f>
        <v>0</v>
      </c>
      <c r="AI81" s="2" t="s">
        <v>52</v>
      </c>
      <c r="AJ81" s="17">
        <f>AJ79+120</f>
        <v>120</v>
      </c>
      <c r="AK81">
        <v>0</v>
      </c>
      <c r="AL81">
        <v>0</v>
      </c>
      <c r="AM81" s="17">
        <f>AJ79+120</f>
        <v>120</v>
      </c>
      <c r="AN81">
        <v>0</v>
      </c>
      <c r="AO81" s="17">
        <f>AJ79+90</f>
        <v>90</v>
      </c>
      <c r="AP81" s="18">
        <f>AJ79+150</f>
        <v>150</v>
      </c>
    </row>
    <row r="82" spans="3:42" x14ac:dyDescent="0.25">
      <c r="Z82" s="13" t="s">
        <v>42</v>
      </c>
      <c r="AA82" s="19">
        <v>0</v>
      </c>
      <c r="AB82" s="20">
        <f>AA79</f>
        <v>0</v>
      </c>
      <c r="AC82" s="20">
        <f>AA79</f>
        <v>0</v>
      </c>
      <c r="AD82" s="20">
        <f>AA79</f>
        <v>0</v>
      </c>
      <c r="AE82" s="19">
        <v>0</v>
      </c>
      <c r="AF82" s="19">
        <v>0</v>
      </c>
      <c r="AG82" s="14">
        <v>0</v>
      </c>
      <c r="AI82" s="13" t="s">
        <v>42</v>
      </c>
      <c r="AJ82" s="19">
        <v>0</v>
      </c>
      <c r="AK82" s="20">
        <f>AJ79+180</f>
        <v>180</v>
      </c>
      <c r="AL82" s="20">
        <f>AJ79+180-120</f>
        <v>60</v>
      </c>
      <c r="AM82" s="20">
        <f>AJ79-180+120</f>
        <v>-60</v>
      </c>
      <c r="AN82" s="19">
        <v>0</v>
      </c>
      <c r="AO82" s="19">
        <v>0</v>
      </c>
      <c r="AP82" s="14">
        <v>0</v>
      </c>
    </row>
    <row r="83" spans="3:42" x14ac:dyDescent="0.25">
      <c r="C83" t="s">
        <v>8</v>
      </c>
      <c r="E83">
        <v>1</v>
      </c>
      <c r="J83">
        <v>1</v>
      </c>
      <c r="L83">
        <v>1</v>
      </c>
      <c r="M83">
        <v>1</v>
      </c>
      <c r="N83" t="s">
        <v>29</v>
      </c>
      <c r="O83">
        <f>($F$16*1000)/($D$5*SQRT(3)*$I$16)</f>
        <v>0</v>
      </c>
      <c r="P83">
        <f>($F$16*1000)/(($D$5/SQRT(3))*$I$16)</f>
        <v>0</v>
      </c>
      <c r="Q83">
        <f>P83</f>
        <v>0</v>
      </c>
      <c r="R83">
        <f>P83</f>
        <v>0</v>
      </c>
      <c r="S83">
        <f>($F$16*1000)/($D$5*$I$16)</f>
        <v>0</v>
      </c>
      <c r="T83">
        <f>S83</f>
        <v>0</v>
      </c>
      <c r="U83">
        <f>S83</f>
        <v>0</v>
      </c>
    </row>
    <row r="84" spans="3:42" x14ac:dyDescent="0.25">
      <c r="M84">
        <v>2</v>
      </c>
      <c r="N84" t="s">
        <v>30</v>
      </c>
      <c r="O84">
        <f>($F$16*1000)/($D$5*SQRT(3))</f>
        <v>0</v>
      </c>
      <c r="P84">
        <f>($F$16*1000)/(($D$5/SQRT(3)))</f>
        <v>0</v>
      </c>
      <c r="Q84">
        <f>P84</f>
        <v>0</v>
      </c>
      <c r="R84">
        <f>P84</f>
        <v>0</v>
      </c>
      <c r="S84">
        <f>($F$16*1000)/($D$5)</f>
        <v>0</v>
      </c>
      <c r="T84">
        <f>S84</f>
        <v>0</v>
      </c>
      <c r="U84">
        <f>S84</f>
        <v>0</v>
      </c>
      <c r="Z84" s="4"/>
      <c r="AA84" s="5">
        <v>1</v>
      </c>
      <c r="AB84" s="5">
        <v>2</v>
      </c>
      <c r="AC84" s="5">
        <v>3</v>
      </c>
      <c r="AD84" s="5">
        <v>4</v>
      </c>
      <c r="AE84" s="5">
        <v>5</v>
      </c>
      <c r="AF84" s="5">
        <v>6</v>
      </c>
      <c r="AG84" s="6">
        <v>7</v>
      </c>
      <c r="AI84" s="4"/>
      <c r="AJ84" s="5">
        <v>1</v>
      </c>
      <c r="AK84" s="5">
        <v>2</v>
      </c>
      <c r="AL84" s="5">
        <v>3</v>
      </c>
      <c r="AM84" s="5">
        <v>4</v>
      </c>
      <c r="AN84" s="5">
        <v>5</v>
      </c>
      <c r="AO84" s="5">
        <v>6</v>
      </c>
      <c r="AP84" s="6">
        <v>7</v>
      </c>
    </row>
    <row r="85" spans="3:42" x14ac:dyDescent="0.25">
      <c r="M85">
        <v>3</v>
      </c>
      <c r="N85" t="s">
        <v>31</v>
      </c>
      <c r="O85">
        <f>$F$16</f>
        <v>0</v>
      </c>
      <c r="P85">
        <f>O85</f>
        <v>0</v>
      </c>
      <c r="Q85">
        <f>O85</f>
        <v>0</v>
      </c>
      <c r="R85">
        <f>O85</f>
        <v>0</v>
      </c>
      <c r="S85">
        <f>O85</f>
        <v>0</v>
      </c>
      <c r="T85">
        <f>O85</f>
        <v>0</v>
      </c>
      <c r="U85">
        <f>O85</f>
        <v>0</v>
      </c>
      <c r="Z85" s="2"/>
      <c r="AA85" t="s">
        <v>32</v>
      </c>
      <c r="AB85" t="s">
        <v>34</v>
      </c>
      <c r="AC85" t="s">
        <v>35</v>
      </c>
      <c r="AD85" t="s">
        <v>36</v>
      </c>
      <c r="AE85" t="s">
        <v>37</v>
      </c>
      <c r="AF85" t="s">
        <v>38</v>
      </c>
      <c r="AG85" s="3" t="s">
        <v>39</v>
      </c>
      <c r="AI85" s="29" t="s">
        <v>55</v>
      </c>
      <c r="AJ85" t="s">
        <v>32</v>
      </c>
      <c r="AK85" t="s">
        <v>34</v>
      </c>
      <c r="AL85" t="s">
        <v>35</v>
      </c>
      <c r="AM85" t="s">
        <v>36</v>
      </c>
      <c r="AN85" t="s">
        <v>37</v>
      </c>
      <c r="AO85" t="s">
        <v>38</v>
      </c>
      <c r="AP85" s="3" t="s">
        <v>39</v>
      </c>
    </row>
    <row r="86" spans="3:42" x14ac:dyDescent="0.25">
      <c r="Z86" s="2" t="s">
        <v>50</v>
      </c>
      <c r="AA86" s="17">
        <f>H13</f>
        <v>0</v>
      </c>
      <c r="AB86" s="17">
        <f>AA86</f>
        <v>0</v>
      </c>
      <c r="AC86">
        <v>0</v>
      </c>
      <c r="AD86">
        <v>0</v>
      </c>
      <c r="AE86" s="17">
        <f>AA86</f>
        <v>0</v>
      </c>
      <c r="AF86">
        <v>0</v>
      </c>
      <c r="AG86" s="18">
        <f>AA86</f>
        <v>0</v>
      </c>
      <c r="AI86" s="2" t="s">
        <v>50</v>
      </c>
      <c r="AJ86" s="17">
        <f>K13</f>
        <v>0</v>
      </c>
      <c r="AK86" s="17">
        <f>AJ86</f>
        <v>0</v>
      </c>
      <c r="AL86">
        <v>0</v>
      </c>
      <c r="AM86">
        <v>0</v>
      </c>
      <c r="AN86" s="17">
        <f>AJ86+30</f>
        <v>30</v>
      </c>
      <c r="AO86">
        <v>0</v>
      </c>
      <c r="AP86" s="18">
        <f>AJ86-30</f>
        <v>-30</v>
      </c>
    </row>
    <row r="87" spans="3:42" x14ac:dyDescent="0.25">
      <c r="C87" t="s">
        <v>9</v>
      </c>
      <c r="E87">
        <v>1</v>
      </c>
      <c r="J87">
        <v>1</v>
      </c>
      <c r="L87">
        <v>1</v>
      </c>
      <c r="M87">
        <v>1</v>
      </c>
      <c r="N87" t="s">
        <v>29</v>
      </c>
      <c r="O87">
        <f>($F$17*1000)/($D$5*SQRT(3)*$I$17)</f>
        <v>0</v>
      </c>
      <c r="P87">
        <f>($F$17*1000)/(($D$5/SQRT(3))*$I$17)</f>
        <v>0</v>
      </c>
      <c r="Q87">
        <f>P87</f>
        <v>0</v>
      </c>
      <c r="R87">
        <f>P87</f>
        <v>0</v>
      </c>
      <c r="S87">
        <f>($F$17*1000)/($D$5*$I$17)</f>
        <v>0</v>
      </c>
      <c r="T87">
        <f>S87</f>
        <v>0</v>
      </c>
      <c r="U87">
        <f>S87</f>
        <v>0</v>
      </c>
      <c r="Y87">
        <v>6</v>
      </c>
      <c r="Z87" s="2" t="s">
        <v>51</v>
      </c>
      <c r="AA87" s="17">
        <f>AA86</f>
        <v>0</v>
      </c>
      <c r="AB87">
        <v>0</v>
      </c>
      <c r="AC87" s="17">
        <f>AA86</f>
        <v>0</v>
      </c>
      <c r="AD87">
        <v>0</v>
      </c>
      <c r="AE87" s="17">
        <f>AA86</f>
        <v>0</v>
      </c>
      <c r="AF87" s="17">
        <f>AA86</f>
        <v>0</v>
      </c>
      <c r="AG87" s="3">
        <v>0</v>
      </c>
      <c r="AI87" s="2" t="s">
        <v>51</v>
      </c>
      <c r="AJ87" s="17">
        <f>AJ86-120</f>
        <v>-120</v>
      </c>
      <c r="AK87">
        <v>0</v>
      </c>
      <c r="AL87" s="17">
        <f>AJ86-120</f>
        <v>-120</v>
      </c>
      <c r="AM87">
        <v>0</v>
      </c>
      <c r="AN87" s="17">
        <f>AJ86-150</f>
        <v>-150</v>
      </c>
      <c r="AO87" s="17">
        <f>AJ86-90</f>
        <v>-90</v>
      </c>
      <c r="AP87" s="3">
        <v>0</v>
      </c>
    </row>
    <row r="88" spans="3:42" x14ac:dyDescent="0.25">
      <c r="M88">
        <v>2</v>
      </c>
      <c r="N88" t="s">
        <v>30</v>
      </c>
      <c r="O88">
        <f>($F$17*1000)/($D$5*SQRT(3))</f>
        <v>0</v>
      </c>
      <c r="P88">
        <f>($F$17*1000)/(($D$5/SQRT(3)))</f>
        <v>0</v>
      </c>
      <c r="Q88">
        <f>P88</f>
        <v>0</v>
      </c>
      <c r="R88">
        <f>P88</f>
        <v>0</v>
      </c>
      <c r="S88">
        <f>($F$17*1000)/($D$5)</f>
        <v>0</v>
      </c>
      <c r="T88">
        <f>S88</f>
        <v>0</v>
      </c>
      <c r="U88">
        <f>S88</f>
        <v>0</v>
      </c>
      <c r="Z88" s="2" t="s">
        <v>52</v>
      </c>
      <c r="AA88" s="17">
        <f>AA86</f>
        <v>0</v>
      </c>
      <c r="AB88">
        <v>0</v>
      </c>
      <c r="AC88">
        <v>0</v>
      </c>
      <c r="AD88" s="17">
        <f>AA86</f>
        <v>0</v>
      </c>
      <c r="AE88">
        <v>0</v>
      </c>
      <c r="AF88" s="17">
        <f>AA86</f>
        <v>0</v>
      </c>
      <c r="AG88" s="18">
        <f>AA86</f>
        <v>0</v>
      </c>
      <c r="AI88" s="2" t="s">
        <v>52</v>
      </c>
      <c r="AJ88" s="17">
        <f>AJ86+120</f>
        <v>120</v>
      </c>
      <c r="AK88">
        <v>0</v>
      </c>
      <c r="AL88">
        <v>0</v>
      </c>
      <c r="AM88" s="17">
        <f>AJ86+120</f>
        <v>120</v>
      </c>
      <c r="AN88">
        <v>0</v>
      </c>
      <c r="AO88" s="17">
        <f>AJ86+90</f>
        <v>90</v>
      </c>
      <c r="AP88" s="18">
        <f>AJ86+150</f>
        <v>150</v>
      </c>
    </row>
    <row r="89" spans="3:42" x14ac:dyDescent="0.25">
      <c r="M89">
        <v>3</v>
      </c>
      <c r="N89" t="s">
        <v>31</v>
      </c>
      <c r="O89">
        <f>$F$17</f>
        <v>0</v>
      </c>
      <c r="P89">
        <f>O89</f>
        <v>0</v>
      </c>
      <c r="Q89">
        <f>O89</f>
        <v>0</v>
      </c>
      <c r="R89">
        <f>O89</f>
        <v>0</v>
      </c>
      <c r="S89">
        <f>O89</f>
        <v>0</v>
      </c>
      <c r="T89">
        <f>O89</f>
        <v>0</v>
      </c>
      <c r="U89">
        <f>O89</f>
        <v>0</v>
      </c>
      <c r="Z89" s="13" t="s">
        <v>42</v>
      </c>
      <c r="AA89" s="19">
        <v>0</v>
      </c>
      <c r="AB89" s="20">
        <f>AA86</f>
        <v>0</v>
      </c>
      <c r="AC89" s="20">
        <f>AA86</f>
        <v>0</v>
      </c>
      <c r="AD89" s="20">
        <f>AA86</f>
        <v>0</v>
      </c>
      <c r="AE89" s="19">
        <v>0</v>
      </c>
      <c r="AF89" s="19">
        <v>0</v>
      </c>
      <c r="AG89" s="14">
        <v>0</v>
      </c>
      <c r="AI89" s="13" t="s">
        <v>42</v>
      </c>
      <c r="AJ89" s="19">
        <v>0</v>
      </c>
      <c r="AK89" s="20">
        <f>AJ86+180</f>
        <v>180</v>
      </c>
      <c r="AL89" s="20">
        <f>AJ86+180-120</f>
        <v>60</v>
      </c>
      <c r="AM89" s="20">
        <f>AJ86-180+120</f>
        <v>-60</v>
      </c>
      <c r="AN89" s="19">
        <v>0</v>
      </c>
      <c r="AO89" s="19">
        <v>0</v>
      </c>
      <c r="AP89" s="14">
        <v>0</v>
      </c>
    </row>
    <row r="91" spans="3:42" x14ac:dyDescent="0.25">
      <c r="C91" t="s">
        <v>10</v>
      </c>
      <c r="E91">
        <v>1</v>
      </c>
      <c r="J91">
        <v>1</v>
      </c>
      <c r="L91">
        <v>1</v>
      </c>
      <c r="M91">
        <v>1</v>
      </c>
      <c r="N91" t="s">
        <v>29</v>
      </c>
      <c r="O91">
        <f>($F$18*1000)/($D$5*SQRT(3)*$I$18)</f>
        <v>0</v>
      </c>
      <c r="P91">
        <f>($F$18*1000)/(($D$5/SQRT(3))*$I$18)</f>
        <v>0</v>
      </c>
      <c r="Q91">
        <f>P91</f>
        <v>0</v>
      </c>
      <c r="R91">
        <f>P91</f>
        <v>0</v>
      </c>
      <c r="S91">
        <f>($F$18*1000)/($D$5*$I$18)</f>
        <v>0</v>
      </c>
      <c r="T91">
        <f>S91</f>
        <v>0</v>
      </c>
      <c r="U91">
        <f>S91</f>
        <v>0</v>
      </c>
      <c r="Z91" s="4"/>
      <c r="AA91" s="5">
        <v>1</v>
      </c>
      <c r="AB91" s="5">
        <v>2</v>
      </c>
      <c r="AC91" s="5">
        <v>3</v>
      </c>
      <c r="AD91" s="5">
        <v>4</v>
      </c>
      <c r="AE91" s="5">
        <v>5</v>
      </c>
      <c r="AF91" s="5">
        <v>6</v>
      </c>
      <c r="AG91" s="6">
        <v>7</v>
      </c>
      <c r="AI91" s="4"/>
      <c r="AJ91" s="5">
        <v>1</v>
      </c>
      <c r="AK91" s="5">
        <v>2</v>
      </c>
      <c r="AL91" s="5">
        <v>3</v>
      </c>
      <c r="AM91" s="5">
        <v>4</v>
      </c>
      <c r="AN91" s="5">
        <v>5</v>
      </c>
      <c r="AO91" s="5">
        <v>6</v>
      </c>
      <c r="AP91" s="6">
        <v>7</v>
      </c>
    </row>
    <row r="92" spans="3:42" x14ac:dyDescent="0.25">
      <c r="M92">
        <v>2</v>
      </c>
      <c r="N92" t="s">
        <v>30</v>
      </c>
      <c r="O92">
        <f>($F$18*1000)/($D$5*SQRT(3))</f>
        <v>0</v>
      </c>
      <c r="P92">
        <f>($F$18*1000)/(($D$5/SQRT(3)))</f>
        <v>0</v>
      </c>
      <c r="Q92">
        <f>P92</f>
        <v>0</v>
      </c>
      <c r="R92">
        <f>P92</f>
        <v>0</v>
      </c>
      <c r="S92">
        <f>($F$18*1000)/($D$5)</f>
        <v>0</v>
      </c>
      <c r="T92">
        <f>S92</f>
        <v>0</v>
      </c>
      <c r="U92">
        <f>S92</f>
        <v>0</v>
      </c>
      <c r="Z92" s="2"/>
      <c r="AA92" t="s">
        <v>32</v>
      </c>
      <c r="AB92" t="s">
        <v>34</v>
      </c>
      <c r="AC92" t="s">
        <v>35</v>
      </c>
      <c r="AD92" t="s">
        <v>36</v>
      </c>
      <c r="AE92" t="s">
        <v>37</v>
      </c>
      <c r="AF92" t="s">
        <v>38</v>
      </c>
      <c r="AG92" s="3" t="s">
        <v>39</v>
      </c>
      <c r="AI92" s="29" t="s">
        <v>55</v>
      </c>
      <c r="AJ92" t="s">
        <v>32</v>
      </c>
      <c r="AK92" t="s">
        <v>34</v>
      </c>
      <c r="AL92" t="s">
        <v>35</v>
      </c>
      <c r="AM92" t="s">
        <v>36</v>
      </c>
      <c r="AN92" t="s">
        <v>37</v>
      </c>
      <c r="AO92" t="s">
        <v>38</v>
      </c>
      <c r="AP92" s="3" t="s">
        <v>39</v>
      </c>
    </row>
    <row r="93" spans="3:42" x14ac:dyDescent="0.25">
      <c r="M93">
        <v>3</v>
      </c>
      <c r="N93" t="s">
        <v>31</v>
      </c>
      <c r="O93">
        <f>$F$18</f>
        <v>0</v>
      </c>
      <c r="P93">
        <f>O93</f>
        <v>0</v>
      </c>
      <c r="Q93">
        <f>O93</f>
        <v>0</v>
      </c>
      <c r="R93">
        <f>O93</f>
        <v>0</v>
      </c>
      <c r="S93">
        <f>O93</f>
        <v>0</v>
      </c>
      <c r="T93">
        <f>O93</f>
        <v>0</v>
      </c>
      <c r="U93">
        <f>O93</f>
        <v>0</v>
      </c>
      <c r="Z93" s="2" t="s">
        <v>50</v>
      </c>
      <c r="AA93" s="17">
        <f>H14</f>
        <v>0</v>
      </c>
      <c r="AB93" s="17">
        <f>AA93</f>
        <v>0</v>
      </c>
      <c r="AC93">
        <v>0</v>
      </c>
      <c r="AD93">
        <v>0</v>
      </c>
      <c r="AE93" s="17">
        <f>AA93</f>
        <v>0</v>
      </c>
      <c r="AF93">
        <v>0</v>
      </c>
      <c r="AG93" s="18">
        <f>AA93</f>
        <v>0</v>
      </c>
      <c r="AI93" s="2" t="s">
        <v>50</v>
      </c>
      <c r="AJ93" s="17">
        <f>K14</f>
        <v>0</v>
      </c>
      <c r="AK93" s="17">
        <f>AJ93</f>
        <v>0</v>
      </c>
      <c r="AL93">
        <v>0</v>
      </c>
      <c r="AM93">
        <v>0</v>
      </c>
      <c r="AN93" s="17">
        <f>AJ93+30</f>
        <v>30</v>
      </c>
      <c r="AO93">
        <v>0</v>
      </c>
      <c r="AP93" s="18">
        <f>AJ93-30</f>
        <v>-30</v>
      </c>
    </row>
    <row r="94" spans="3:42" x14ac:dyDescent="0.25">
      <c r="Y94">
        <v>7</v>
      </c>
      <c r="Z94" s="2" t="s">
        <v>51</v>
      </c>
      <c r="AA94" s="17">
        <f>AA93</f>
        <v>0</v>
      </c>
      <c r="AB94">
        <v>0</v>
      </c>
      <c r="AC94" s="17">
        <f>AA93</f>
        <v>0</v>
      </c>
      <c r="AD94">
        <v>0</v>
      </c>
      <c r="AE94" s="17">
        <f>AA93</f>
        <v>0</v>
      </c>
      <c r="AF94" s="17">
        <f>AA93</f>
        <v>0</v>
      </c>
      <c r="AG94" s="3">
        <v>0</v>
      </c>
      <c r="AI94" s="2" t="s">
        <v>51</v>
      </c>
      <c r="AJ94" s="17">
        <f>AJ93-120</f>
        <v>-120</v>
      </c>
      <c r="AK94">
        <v>0</v>
      </c>
      <c r="AL94" s="17">
        <f>AJ93-120</f>
        <v>-120</v>
      </c>
      <c r="AM94">
        <v>0</v>
      </c>
      <c r="AN94" s="17">
        <f>AJ93-150</f>
        <v>-150</v>
      </c>
      <c r="AO94" s="17">
        <f>AJ93-90</f>
        <v>-90</v>
      </c>
      <c r="AP94" s="3">
        <v>0</v>
      </c>
    </row>
    <row r="95" spans="3:42" x14ac:dyDescent="0.25">
      <c r="C95" t="s">
        <v>11</v>
      </c>
      <c r="E95">
        <v>1</v>
      </c>
      <c r="J95">
        <v>1</v>
      </c>
      <c r="L95">
        <v>1</v>
      </c>
      <c r="M95">
        <v>1</v>
      </c>
      <c r="N95" t="s">
        <v>29</v>
      </c>
      <c r="O95">
        <f>($F$19*1000)/($D$5*SQRT(3)*$I$19)</f>
        <v>0</v>
      </c>
      <c r="P95">
        <f>($F$19*1000)/(($D$5/SQRT(3))*$I$19)</f>
        <v>0</v>
      </c>
      <c r="Q95">
        <f>P95</f>
        <v>0</v>
      </c>
      <c r="R95">
        <f>P95</f>
        <v>0</v>
      </c>
      <c r="S95">
        <f>($F$19*1000)/($D$5*$I$19)</f>
        <v>0</v>
      </c>
      <c r="T95">
        <f>S95</f>
        <v>0</v>
      </c>
      <c r="U95">
        <f>S95</f>
        <v>0</v>
      </c>
      <c r="Z95" s="2" t="s">
        <v>52</v>
      </c>
      <c r="AA95" s="17">
        <f>AA93</f>
        <v>0</v>
      </c>
      <c r="AB95">
        <v>0</v>
      </c>
      <c r="AC95">
        <v>0</v>
      </c>
      <c r="AD95" s="17">
        <f>AA93</f>
        <v>0</v>
      </c>
      <c r="AE95">
        <v>0</v>
      </c>
      <c r="AF95" s="17">
        <f>AA93</f>
        <v>0</v>
      </c>
      <c r="AG95" s="18">
        <f>AA93</f>
        <v>0</v>
      </c>
      <c r="AI95" s="2" t="s">
        <v>52</v>
      </c>
      <c r="AJ95" s="17">
        <f>AJ93+120</f>
        <v>120</v>
      </c>
      <c r="AK95">
        <v>0</v>
      </c>
      <c r="AL95">
        <v>0</v>
      </c>
      <c r="AM95" s="17">
        <f>AJ93+120</f>
        <v>120</v>
      </c>
      <c r="AN95">
        <v>0</v>
      </c>
      <c r="AO95" s="17">
        <f>AJ93+90</f>
        <v>90</v>
      </c>
      <c r="AP95" s="18">
        <f>AJ93+150</f>
        <v>150</v>
      </c>
    </row>
    <row r="96" spans="3:42" x14ac:dyDescent="0.25">
      <c r="M96">
        <v>2</v>
      </c>
      <c r="N96" t="s">
        <v>30</v>
      </c>
      <c r="O96">
        <f>($F$19*1000)/($D$5*SQRT(3))</f>
        <v>0</v>
      </c>
      <c r="P96">
        <f>($F$19*1000)/(($D$5/SQRT(3)))</f>
        <v>0</v>
      </c>
      <c r="Q96">
        <f>P96</f>
        <v>0</v>
      </c>
      <c r="R96">
        <f>P96</f>
        <v>0</v>
      </c>
      <c r="S96">
        <f>($F$19*1000)/($D$5)</f>
        <v>0</v>
      </c>
      <c r="T96">
        <f>S96</f>
        <v>0</v>
      </c>
      <c r="U96">
        <f>S96</f>
        <v>0</v>
      </c>
      <c r="Z96" s="13" t="s">
        <v>42</v>
      </c>
      <c r="AA96" s="19">
        <v>0</v>
      </c>
      <c r="AB96" s="20">
        <f>AA93</f>
        <v>0</v>
      </c>
      <c r="AC96" s="20">
        <f>AA93</f>
        <v>0</v>
      </c>
      <c r="AD96" s="20">
        <f>AA93</f>
        <v>0</v>
      </c>
      <c r="AE96" s="19">
        <v>0</v>
      </c>
      <c r="AF96" s="19">
        <v>0</v>
      </c>
      <c r="AG96" s="14">
        <v>0</v>
      </c>
      <c r="AI96" s="13" t="s">
        <v>42</v>
      </c>
      <c r="AJ96" s="19">
        <v>0</v>
      </c>
      <c r="AK96" s="20">
        <f>AJ93+180</f>
        <v>180</v>
      </c>
      <c r="AL96" s="20">
        <f>AJ93+180-120</f>
        <v>60</v>
      </c>
      <c r="AM96" s="20">
        <f>AJ93-180+120</f>
        <v>-60</v>
      </c>
      <c r="AN96" s="19">
        <v>0</v>
      </c>
      <c r="AO96" s="19">
        <v>0</v>
      </c>
      <c r="AP96" s="14">
        <v>0</v>
      </c>
    </row>
    <row r="97" spans="3:42" x14ac:dyDescent="0.25">
      <c r="M97">
        <v>3</v>
      </c>
      <c r="N97" t="s">
        <v>31</v>
      </c>
      <c r="O97">
        <f>$F$19</f>
        <v>0</v>
      </c>
      <c r="P97">
        <f>O97</f>
        <v>0</v>
      </c>
      <c r="Q97">
        <f>O97</f>
        <v>0</v>
      </c>
      <c r="R97">
        <f>O97</f>
        <v>0</v>
      </c>
      <c r="S97">
        <f>O97</f>
        <v>0</v>
      </c>
      <c r="T97">
        <f>O97</f>
        <v>0</v>
      </c>
      <c r="U97">
        <f>O97</f>
        <v>0</v>
      </c>
    </row>
    <row r="98" spans="3:42" x14ac:dyDescent="0.25">
      <c r="Z98" s="4"/>
      <c r="AA98" s="5">
        <v>1</v>
      </c>
      <c r="AB98" s="5">
        <v>2</v>
      </c>
      <c r="AC98" s="5">
        <v>3</v>
      </c>
      <c r="AD98" s="5">
        <v>4</v>
      </c>
      <c r="AE98" s="5">
        <v>5</v>
      </c>
      <c r="AF98" s="5">
        <v>6</v>
      </c>
      <c r="AG98" s="6">
        <v>7</v>
      </c>
      <c r="AI98" s="4"/>
      <c r="AJ98" s="5">
        <v>1</v>
      </c>
      <c r="AK98" s="5">
        <v>2</v>
      </c>
      <c r="AL98" s="5">
        <v>3</v>
      </c>
      <c r="AM98" s="5">
        <v>4</v>
      </c>
      <c r="AN98" s="5">
        <v>5</v>
      </c>
      <c r="AO98" s="5">
        <v>6</v>
      </c>
      <c r="AP98" s="6">
        <v>7</v>
      </c>
    </row>
    <row r="99" spans="3:42" x14ac:dyDescent="0.25">
      <c r="C99" t="s">
        <v>12</v>
      </c>
      <c r="E99">
        <v>1</v>
      </c>
      <c r="J99">
        <v>1</v>
      </c>
      <c r="L99">
        <v>1</v>
      </c>
      <c r="M99">
        <v>1</v>
      </c>
      <c r="N99" t="s">
        <v>29</v>
      </c>
      <c r="O99">
        <f>($F$20*1000)/($D$5*SQRT(3)*$I$20)</f>
        <v>0</v>
      </c>
      <c r="P99">
        <f>($F$20*1000)/(($D$5/SQRT(3))*$I$20)</f>
        <v>0</v>
      </c>
      <c r="Q99">
        <f>P99</f>
        <v>0</v>
      </c>
      <c r="R99">
        <f>P99</f>
        <v>0</v>
      </c>
      <c r="S99">
        <f>($F$20*1000)/($D$5*$I$20)</f>
        <v>0</v>
      </c>
      <c r="T99">
        <f>S99</f>
        <v>0</v>
      </c>
      <c r="U99">
        <f>S99</f>
        <v>0</v>
      </c>
      <c r="Z99" s="2"/>
      <c r="AA99" t="s">
        <v>32</v>
      </c>
      <c r="AB99" t="s">
        <v>34</v>
      </c>
      <c r="AC99" t="s">
        <v>35</v>
      </c>
      <c r="AD99" t="s">
        <v>36</v>
      </c>
      <c r="AE99" t="s">
        <v>37</v>
      </c>
      <c r="AF99" t="s">
        <v>38</v>
      </c>
      <c r="AG99" s="3" t="s">
        <v>39</v>
      </c>
      <c r="AI99" s="29" t="s">
        <v>55</v>
      </c>
      <c r="AJ99" t="s">
        <v>32</v>
      </c>
      <c r="AK99" t="s">
        <v>34</v>
      </c>
      <c r="AL99" t="s">
        <v>35</v>
      </c>
      <c r="AM99" t="s">
        <v>36</v>
      </c>
      <c r="AN99" t="s">
        <v>37</v>
      </c>
      <c r="AO99" t="s">
        <v>38</v>
      </c>
      <c r="AP99" s="3" t="s">
        <v>39</v>
      </c>
    </row>
    <row r="100" spans="3:42" x14ac:dyDescent="0.25">
      <c r="M100">
        <v>2</v>
      </c>
      <c r="N100" t="s">
        <v>30</v>
      </c>
      <c r="O100">
        <f>($F$20*1000)/($D$5*SQRT(3))</f>
        <v>0</v>
      </c>
      <c r="P100">
        <f>($F$20*1000)/(($D$5/SQRT(3)))</f>
        <v>0</v>
      </c>
      <c r="Q100">
        <f>P100</f>
        <v>0</v>
      </c>
      <c r="R100">
        <f>P100</f>
        <v>0</v>
      </c>
      <c r="S100">
        <f>($F$20*1000)/($D$5)</f>
        <v>0</v>
      </c>
      <c r="T100">
        <f>S100</f>
        <v>0</v>
      </c>
      <c r="U100">
        <f>S100</f>
        <v>0</v>
      </c>
      <c r="Z100" s="2" t="s">
        <v>50</v>
      </c>
      <c r="AA100" s="17">
        <f>H15</f>
        <v>0</v>
      </c>
      <c r="AB100" s="17">
        <f>AA100</f>
        <v>0</v>
      </c>
      <c r="AC100">
        <v>0</v>
      </c>
      <c r="AD100">
        <v>0</v>
      </c>
      <c r="AE100" s="17">
        <f>AA100</f>
        <v>0</v>
      </c>
      <c r="AF100">
        <v>0</v>
      </c>
      <c r="AG100" s="18">
        <f>AA100</f>
        <v>0</v>
      </c>
      <c r="AI100" s="2" t="s">
        <v>50</v>
      </c>
      <c r="AJ100" s="17">
        <f>K15</f>
        <v>0</v>
      </c>
      <c r="AK100" s="17">
        <f>AJ100</f>
        <v>0</v>
      </c>
      <c r="AL100">
        <v>0</v>
      </c>
      <c r="AM100">
        <v>0</v>
      </c>
      <c r="AN100" s="17">
        <f>AJ100+30</f>
        <v>30</v>
      </c>
      <c r="AO100">
        <v>0</v>
      </c>
      <c r="AP100" s="18">
        <f>AJ100-30</f>
        <v>-30</v>
      </c>
    </row>
    <row r="101" spans="3:42" x14ac:dyDescent="0.25">
      <c r="M101">
        <v>3</v>
      </c>
      <c r="N101" t="s">
        <v>31</v>
      </c>
      <c r="O101">
        <f>$F$20</f>
        <v>0</v>
      </c>
      <c r="P101">
        <f>O101</f>
        <v>0</v>
      </c>
      <c r="Q101">
        <f>O101</f>
        <v>0</v>
      </c>
      <c r="R101">
        <f>O101</f>
        <v>0</v>
      </c>
      <c r="S101">
        <f>O101</f>
        <v>0</v>
      </c>
      <c r="T101">
        <f>O101</f>
        <v>0</v>
      </c>
      <c r="U101">
        <f>O101</f>
        <v>0</v>
      </c>
      <c r="Y101">
        <v>8</v>
      </c>
      <c r="Z101" s="2" t="s">
        <v>51</v>
      </c>
      <c r="AA101" s="17">
        <f>AA100</f>
        <v>0</v>
      </c>
      <c r="AB101">
        <v>0</v>
      </c>
      <c r="AC101" s="17">
        <f>AA100</f>
        <v>0</v>
      </c>
      <c r="AD101">
        <v>0</v>
      </c>
      <c r="AE101" s="17">
        <f>AA100</f>
        <v>0</v>
      </c>
      <c r="AF101" s="17">
        <f>AA100</f>
        <v>0</v>
      </c>
      <c r="AG101" s="3">
        <v>0</v>
      </c>
      <c r="AI101" s="2" t="s">
        <v>51</v>
      </c>
      <c r="AJ101" s="17">
        <f>AJ100-120</f>
        <v>-120</v>
      </c>
      <c r="AK101">
        <v>0</v>
      </c>
      <c r="AL101" s="17">
        <f>AJ100-120</f>
        <v>-120</v>
      </c>
      <c r="AM101">
        <v>0</v>
      </c>
      <c r="AN101" s="17">
        <f>AJ100-150</f>
        <v>-150</v>
      </c>
      <c r="AO101" s="17">
        <f>AJ100-90</f>
        <v>-90</v>
      </c>
      <c r="AP101" s="3">
        <v>0</v>
      </c>
    </row>
    <row r="102" spans="3:42" x14ac:dyDescent="0.25">
      <c r="Z102" s="2" t="s">
        <v>52</v>
      </c>
      <c r="AA102" s="17">
        <f>AA100</f>
        <v>0</v>
      </c>
      <c r="AB102">
        <v>0</v>
      </c>
      <c r="AC102">
        <v>0</v>
      </c>
      <c r="AD102" s="17">
        <f>AA100</f>
        <v>0</v>
      </c>
      <c r="AE102">
        <v>0</v>
      </c>
      <c r="AF102" s="17">
        <f>AA100</f>
        <v>0</v>
      </c>
      <c r="AG102" s="18">
        <f>AA100</f>
        <v>0</v>
      </c>
      <c r="AI102" s="2" t="s">
        <v>52</v>
      </c>
      <c r="AJ102" s="17">
        <f>AJ100+120</f>
        <v>120</v>
      </c>
      <c r="AK102">
        <v>0</v>
      </c>
      <c r="AL102">
        <v>0</v>
      </c>
      <c r="AM102" s="17">
        <f>AJ100+120</f>
        <v>120</v>
      </c>
      <c r="AN102">
        <v>0</v>
      </c>
      <c r="AO102" s="17">
        <f>AJ100+90</f>
        <v>90</v>
      </c>
      <c r="AP102" s="18">
        <f>AJ100+150</f>
        <v>150</v>
      </c>
    </row>
    <row r="103" spans="3:42" x14ac:dyDescent="0.25">
      <c r="C103" t="s">
        <v>13</v>
      </c>
      <c r="E103">
        <v>1</v>
      </c>
      <c r="J103">
        <v>1</v>
      </c>
      <c r="L103">
        <v>1</v>
      </c>
      <c r="M103">
        <v>1</v>
      </c>
      <c r="N103" t="s">
        <v>29</v>
      </c>
      <c r="O103">
        <f>($F$21*1000)/($D$5*SQRT(3)*$I$21)</f>
        <v>0</v>
      </c>
      <c r="P103">
        <f>($F$21*1000)/(($D$5/SQRT(3))*$I$21)</f>
        <v>0</v>
      </c>
      <c r="Q103">
        <f>P103</f>
        <v>0</v>
      </c>
      <c r="R103">
        <f>P103</f>
        <v>0</v>
      </c>
      <c r="S103">
        <f>($F$21*1000)/($D$5*$I$21)</f>
        <v>0</v>
      </c>
      <c r="T103">
        <f>S103</f>
        <v>0</v>
      </c>
      <c r="U103">
        <f>S103</f>
        <v>0</v>
      </c>
      <c r="Z103" s="13" t="s">
        <v>42</v>
      </c>
      <c r="AA103" s="19">
        <v>0</v>
      </c>
      <c r="AB103" s="20">
        <f>AA100</f>
        <v>0</v>
      </c>
      <c r="AC103" s="20">
        <f>AA100</f>
        <v>0</v>
      </c>
      <c r="AD103" s="20">
        <f>AA100</f>
        <v>0</v>
      </c>
      <c r="AE103" s="19">
        <v>0</v>
      </c>
      <c r="AF103" s="19">
        <v>0</v>
      </c>
      <c r="AG103" s="14">
        <v>0</v>
      </c>
      <c r="AI103" s="13" t="s">
        <v>42</v>
      </c>
      <c r="AJ103" s="19">
        <v>0</v>
      </c>
      <c r="AK103" s="20">
        <f>AJ100+180</f>
        <v>180</v>
      </c>
      <c r="AL103" s="20">
        <f>AJ100+180-120</f>
        <v>60</v>
      </c>
      <c r="AM103" s="20">
        <f>AJ100-180+120</f>
        <v>-60</v>
      </c>
      <c r="AN103" s="19">
        <v>0</v>
      </c>
      <c r="AO103" s="19">
        <v>0</v>
      </c>
      <c r="AP103" s="14">
        <v>0</v>
      </c>
    </row>
    <row r="104" spans="3:42" x14ac:dyDescent="0.25">
      <c r="M104">
        <v>2</v>
      </c>
      <c r="N104" t="s">
        <v>30</v>
      </c>
      <c r="O104">
        <f>($F$21*1000)/($D$5*SQRT(3))</f>
        <v>0</v>
      </c>
      <c r="P104">
        <f>($F$21*1000)/(($D$5/SQRT(3)))</f>
        <v>0</v>
      </c>
      <c r="Q104">
        <f>P104</f>
        <v>0</v>
      </c>
      <c r="R104">
        <f>P104</f>
        <v>0</v>
      </c>
      <c r="S104">
        <f>($F$21*1000)/($D$5)</f>
        <v>0</v>
      </c>
      <c r="T104">
        <f>S104</f>
        <v>0</v>
      </c>
      <c r="U104">
        <f>S104</f>
        <v>0</v>
      </c>
    </row>
    <row r="105" spans="3:42" x14ac:dyDescent="0.25">
      <c r="M105">
        <v>3</v>
      </c>
      <c r="N105" t="s">
        <v>31</v>
      </c>
      <c r="O105">
        <f>$F$21</f>
        <v>0</v>
      </c>
      <c r="P105">
        <f>O105</f>
        <v>0</v>
      </c>
      <c r="Q105">
        <f>O105</f>
        <v>0</v>
      </c>
      <c r="R105">
        <f>O105</f>
        <v>0</v>
      </c>
      <c r="S105">
        <f>O105</f>
        <v>0</v>
      </c>
      <c r="T105">
        <f>O105</f>
        <v>0</v>
      </c>
      <c r="U105">
        <f>O105</f>
        <v>0</v>
      </c>
      <c r="Z105" s="4"/>
      <c r="AA105" s="5">
        <v>1</v>
      </c>
      <c r="AB105" s="5">
        <v>2</v>
      </c>
      <c r="AC105" s="5">
        <v>3</v>
      </c>
      <c r="AD105" s="5">
        <v>4</v>
      </c>
      <c r="AE105" s="5">
        <v>5</v>
      </c>
      <c r="AF105" s="5">
        <v>6</v>
      </c>
      <c r="AG105" s="6">
        <v>7</v>
      </c>
      <c r="AI105" s="4"/>
      <c r="AJ105" s="5">
        <v>1</v>
      </c>
      <c r="AK105" s="5">
        <v>2</v>
      </c>
      <c r="AL105" s="5">
        <v>3</v>
      </c>
      <c r="AM105" s="5">
        <v>4</v>
      </c>
      <c r="AN105" s="5">
        <v>5</v>
      </c>
      <c r="AO105" s="5">
        <v>6</v>
      </c>
      <c r="AP105" s="6">
        <v>7</v>
      </c>
    </row>
    <row r="106" spans="3:42" x14ac:dyDescent="0.25">
      <c r="Z106" s="2"/>
      <c r="AA106" t="s">
        <v>32</v>
      </c>
      <c r="AB106" t="s">
        <v>34</v>
      </c>
      <c r="AC106" t="s">
        <v>35</v>
      </c>
      <c r="AD106" t="s">
        <v>36</v>
      </c>
      <c r="AE106" t="s">
        <v>37</v>
      </c>
      <c r="AF106" t="s">
        <v>38</v>
      </c>
      <c r="AG106" s="3" t="s">
        <v>39</v>
      </c>
      <c r="AI106" s="29" t="s">
        <v>55</v>
      </c>
      <c r="AJ106" t="s">
        <v>32</v>
      </c>
      <c r="AK106" t="s">
        <v>34</v>
      </c>
      <c r="AL106" t="s">
        <v>35</v>
      </c>
      <c r="AM106" t="s">
        <v>36</v>
      </c>
      <c r="AN106" t="s">
        <v>37</v>
      </c>
      <c r="AO106" t="s">
        <v>38</v>
      </c>
      <c r="AP106" s="3" t="s">
        <v>39</v>
      </c>
    </row>
    <row r="107" spans="3:42" x14ac:dyDescent="0.25">
      <c r="C107" t="s">
        <v>14</v>
      </c>
      <c r="E107">
        <v>1</v>
      </c>
      <c r="J107">
        <v>1</v>
      </c>
      <c r="L107">
        <v>1</v>
      </c>
      <c r="M107">
        <v>1</v>
      </c>
      <c r="N107" t="s">
        <v>29</v>
      </c>
      <c r="O107">
        <f>($F$22*1000)/($D$5*SQRT(3)*$I$22)</f>
        <v>0</v>
      </c>
      <c r="P107">
        <f>($F$22*1000)/(($D$5/SQRT(3))*$I$22)</f>
        <v>0</v>
      </c>
      <c r="Q107">
        <f>P107</f>
        <v>0</v>
      </c>
      <c r="R107">
        <f>P107</f>
        <v>0</v>
      </c>
      <c r="S107">
        <f>($F$22*1000)/($D$5*$I$22)</f>
        <v>0</v>
      </c>
      <c r="T107">
        <f>S107</f>
        <v>0</v>
      </c>
      <c r="U107">
        <f>S107</f>
        <v>0</v>
      </c>
      <c r="Z107" s="2" t="s">
        <v>50</v>
      </c>
      <c r="AA107" s="17">
        <f>H16</f>
        <v>0</v>
      </c>
      <c r="AB107" s="17">
        <f>AA107</f>
        <v>0</v>
      </c>
      <c r="AC107">
        <v>0</v>
      </c>
      <c r="AD107">
        <v>0</v>
      </c>
      <c r="AE107" s="17">
        <f>AA107</f>
        <v>0</v>
      </c>
      <c r="AF107">
        <v>0</v>
      </c>
      <c r="AG107" s="18">
        <f>AA107</f>
        <v>0</v>
      </c>
      <c r="AI107" s="2" t="s">
        <v>50</v>
      </c>
      <c r="AJ107" s="17">
        <f>K16</f>
        <v>0</v>
      </c>
      <c r="AK107" s="17">
        <f>AJ107</f>
        <v>0</v>
      </c>
      <c r="AL107">
        <v>0</v>
      </c>
      <c r="AM107">
        <v>0</v>
      </c>
      <c r="AN107" s="17">
        <f>AJ107+30</f>
        <v>30</v>
      </c>
      <c r="AO107">
        <v>0</v>
      </c>
      <c r="AP107" s="18">
        <f>AJ107-30</f>
        <v>-30</v>
      </c>
    </row>
    <row r="108" spans="3:42" x14ac:dyDescent="0.25">
      <c r="M108">
        <v>2</v>
      </c>
      <c r="N108" t="s">
        <v>30</v>
      </c>
      <c r="O108">
        <f>($F$22*1000)/($D$5*SQRT(3))</f>
        <v>0</v>
      </c>
      <c r="P108">
        <f>($F$22*1000)/(($D$5/SQRT(3)))</f>
        <v>0</v>
      </c>
      <c r="Q108">
        <f>P108</f>
        <v>0</v>
      </c>
      <c r="R108">
        <f>P108</f>
        <v>0</v>
      </c>
      <c r="S108">
        <f>($F$22*1000)/($D$5)</f>
        <v>0</v>
      </c>
      <c r="T108">
        <f>S108</f>
        <v>0</v>
      </c>
      <c r="U108">
        <f>S108</f>
        <v>0</v>
      </c>
      <c r="Z108" s="2" t="s">
        <v>51</v>
      </c>
      <c r="AA108" s="17">
        <f>AA107</f>
        <v>0</v>
      </c>
      <c r="AB108">
        <v>0</v>
      </c>
      <c r="AC108" s="17">
        <f>AA107</f>
        <v>0</v>
      </c>
      <c r="AD108">
        <v>0</v>
      </c>
      <c r="AE108" s="17">
        <f>AA107</f>
        <v>0</v>
      </c>
      <c r="AF108" s="17">
        <f>AA107</f>
        <v>0</v>
      </c>
      <c r="AG108" s="3">
        <v>0</v>
      </c>
      <c r="AI108" s="2" t="s">
        <v>51</v>
      </c>
      <c r="AJ108" s="17">
        <f>AJ107-120</f>
        <v>-120</v>
      </c>
      <c r="AK108">
        <v>0</v>
      </c>
      <c r="AL108" s="17">
        <f>AJ107-120</f>
        <v>-120</v>
      </c>
      <c r="AM108">
        <v>0</v>
      </c>
      <c r="AN108" s="17">
        <f>AJ107-150</f>
        <v>-150</v>
      </c>
      <c r="AO108" s="17">
        <f>AJ107-90</f>
        <v>-90</v>
      </c>
      <c r="AP108" s="3">
        <v>0</v>
      </c>
    </row>
    <row r="109" spans="3:42" x14ac:dyDescent="0.25">
      <c r="M109">
        <v>3</v>
      </c>
      <c r="N109" t="s">
        <v>31</v>
      </c>
      <c r="O109">
        <f>$F$22</f>
        <v>0</v>
      </c>
      <c r="P109">
        <f>O109</f>
        <v>0</v>
      </c>
      <c r="Q109">
        <f>O109</f>
        <v>0</v>
      </c>
      <c r="R109">
        <f>O109</f>
        <v>0</v>
      </c>
      <c r="S109">
        <f>O109</f>
        <v>0</v>
      </c>
      <c r="T109">
        <f>O109</f>
        <v>0</v>
      </c>
      <c r="U109">
        <f>O109</f>
        <v>0</v>
      </c>
      <c r="Y109">
        <v>9</v>
      </c>
      <c r="Z109" s="2" t="s">
        <v>52</v>
      </c>
      <c r="AA109" s="17">
        <f>AA107</f>
        <v>0</v>
      </c>
      <c r="AB109">
        <v>0</v>
      </c>
      <c r="AC109">
        <v>0</v>
      </c>
      <c r="AD109" s="17">
        <f>AA107</f>
        <v>0</v>
      </c>
      <c r="AE109">
        <v>0</v>
      </c>
      <c r="AF109" s="17">
        <f>AA107</f>
        <v>0</v>
      </c>
      <c r="AG109" s="18">
        <f>AA107</f>
        <v>0</v>
      </c>
      <c r="AI109" s="2" t="s">
        <v>52</v>
      </c>
      <c r="AJ109" s="17">
        <f>AJ107+120</f>
        <v>120</v>
      </c>
      <c r="AK109">
        <v>0</v>
      </c>
      <c r="AL109">
        <v>0</v>
      </c>
      <c r="AM109" s="17">
        <f>AJ107+120</f>
        <v>120</v>
      </c>
      <c r="AN109">
        <v>0</v>
      </c>
      <c r="AO109" s="17">
        <f>AJ107+90</f>
        <v>90</v>
      </c>
      <c r="AP109" s="18">
        <f>AJ107+150</f>
        <v>150</v>
      </c>
    </row>
    <row r="110" spans="3:42" x14ac:dyDescent="0.25">
      <c r="Z110" s="13" t="s">
        <v>42</v>
      </c>
      <c r="AA110" s="19">
        <v>0</v>
      </c>
      <c r="AB110" s="20">
        <f>AA107</f>
        <v>0</v>
      </c>
      <c r="AC110" s="20">
        <f>AA107</f>
        <v>0</v>
      </c>
      <c r="AD110" s="20">
        <f>AA107</f>
        <v>0</v>
      </c>
      <c r="AE110" s="19">
        <v>0</v>
      </c>
      <c r="AF110" s="19">
        <v>0</v>
      </c>
      <c r="AG110" s="14">
        <v>0</v>
      </c>
      <c r="AI110" s="13" t="s">
        <v>42</v>
      </c>
      <c r="AJ110" s="19">
        <v>0</v>
      </c>
      <c r="AK110" s="20">
        <f>AJ107+180</f>
        <v>180</v>
      </c>
      <c r="AL110" s="20">
        <f>AJ107+180-120</f>
        <v>60</v>
      </c>
      <c r="AM110" s="20">
        <f>AJ107-180+120</f>
        <v>-60</v>
      </c>
      <c r="AN110" s="19">
        <v>0</v>
      </c>
      <c r="AO110" s="19">
        <v>0</v>
      </c>
      <c r="AP110" s="14">
        <v>0</v>
      </c>
    </row>
    <row r="111" spans="3:42" ht="18" x14ac:dyDescent="0.35">
      <c r="C111" s="7"/>
      <c r="D111" s="12"/>
      <c r="E111" s="7" t="s">
        <v>44</v>
      </c>
      <c r="F111" s="12"/>
      <c r="G111" s="7" t="s">
        <v>45</v>
      </c>
      <c r="H111" s="12"/>
      <c r="I111" s="7" t="s">
        <v>46</v>
      </c>
      <c r="J111" s="12"/>
      <c r="K111" s="7" t="s">
        <v>47</v>
      </c>
      <c r="L111" s="12"/>
    </row>
    <row r="112" spans="3:42" x14ac:dyDescent="0.25">
      <c r="C112" s="9" t="s">
        <v>41</v>
      </c>
      <c r="D112" s="10"/>
      <c r="E112" s="9" t="s">
        <v>48</v>
      </c>
      <c r="F112" s="10" t="s">
        <v>49</v>
      </c>
      <c r="G112" s="9" t="s">
        <v>48</v>
      </c>
      <c r="H112" s="10" t="s">
        <v>49</v>
      </c>
      <c r="I112" s="9" t="s">
        <v>48</v>
      </c>
      <c r="J112" s="10" t="s">
        <v>49</v>
      </c>
      <c r="K112" s="9" t="s">
        <v>48</v>
      </c>
      <c r="L112" s="10" t="s">
        <v>49</v>
      </c>
      <c r="M112" s="8"/>
      <c r="N112" s="8"/>
      <c r="O112" s="8"/>
      <c r="Z112" s="4"/>
      <c r="AA112" s="5">
        <v>1</v>
      </c>
      <c r="AB112" s="5">
        <v>2</v>
      </c>
      <c r="AC112" s="5">
        <v>3</v>
      </c>
      <c r="AD112" s="5">
        <v>4</v>
      </c>
      <c r="AE112" s="5">
        <v>5</v>
      </c>
      <c r="AF112" s="5">
        <v>6</v>
      </c>
      <c r="AG112" s="6">
        <v>7</v>
      </c>
      <c r="AI112" s="4"/>
      <c r="AJ112" s="5">
        <v>1</v>
      </c>
      <c r="AK112" s="5">
        <v>2</v>
      </c>
      <c r="AL112" s="5">
        <v>3</v>
      </c>
      <c r="AM112" s="5">
        <v>4</v>
      </c>
      <c r="AN112" s="5">
        <v>5</v>
      </c>
      <c r="AO112" s="5">
        <v>6</v>
      </c>
      <c r="AP112" s="6">
        <v>7</v>
      </c>
    </row>
    <row r="113" spans="3:42" x14ac:dyDescent="0.25">
      <c r="C113" s="2" t="str">
        <f t="shared" ref="C113:C127" si="2">C8</f>
        <v>Belastning 1</v>
      </c>
      <c r="D113" s="15"/>
      <c r="E113" s="2">
        <f>COS(RADIANS(Q8))*O8</f>
        <v>0</v>
      </c>
      <c r="F113" s="3">
        <f>SIN(RADIANS(Q8))*O8</f>
        <v>0</v>
      </c>
      <c r="G113" s="2">
        <f>COS(RADIANS(T8))*R8</f>
        <v>0</v>
      </c>
      <c r="H113" s="3">
        <f>SIN(RADIANS(T8))*R8</f>
        <v>0</v>
      </c>
      <c r="I113" s="2">
        <f>COS(RADIANS(W8))*U8</f>
        <v>0</v>
      </c>
      <c r="J113" s="3">
        <f>SIN(RADIANS(W8))*U8</f>
        <v>0</v>
      </c>
      <c r="K113" s="2"/>
      <c r="L113" s="3"/>
      <c r="M113" s="11"/>
      <c r="O113" s="8"/>
      <c r="Z113" s="2"/>
      <c r="AA113" t="s">
        <v>32</v>
      </c>
      <c r="AB113" t="s">
        <v>34</v>
      </c>
      <c r="AC113" t="s">
        <v>35</v>
      </c>
      <c r="AD113" t="s">
        <v>36</v>
      </c>
      <c r="AE113" t="s">
        <v>37</v>
      </c>
      <c r="AF113" t="s">
        <v>38</v>
      </c>
      <c r="AG113" s="3" t="s">
        <v>39</v>
      </c>
      <c r="AI113" s="29" t="s">
        <v>55</v>
      </c>
      <c r="AJ113" t="s">
        <v>32</v>
      </c>
      <c r="AK113" t="s">
        <v>34</v>
      </c>
      <c r="AL113" t="s">
        <v>35</v>
      </c>
      <c r="AM113" t="s">
        <v>36</v>
      </c>
      <c r="AN113" t="s">
        <v>37</v>
      </c>
      <c r="AO113" t="s">
        <v>38</v>
      </c>
      <c r="AP113" s="3" t="s">
        <v>39</v>
      </c>
    </row>
    <row r="114" spans="3:42" x14ac:dyDescent="0.25">
      <c r="C114" s="2" t="str">
        <f t="shared" si="2"/>
        <v>Belastning 2</v>
      </c>
      <c r="D114" s="15"/>
      <c r="E114" s="2">
        <f t="shared" ref="E114:E127" si="3">COS(RADIANS(Q9))*O9</f>
        <v>0</v>
      </c>
      <c r="F114" s="3">
        <f t="shared" ref="F114:F127" si="4">SIN(RADIANS(Q9))*O9</f>
        <v>0</v>
      </c>
      <c r="G114" s="2">
        <f t="shared" ref="G114:G127" si="5">COS(RADIANS(T9))*R9</f>
        <v>0</v>
      </c>
      <c r="H114" s="3">
        <f t="shared" ref="H114:H127" si="6">SIN(RADIANS(T9))*R9</f>
        <v>0</v>
      </c>
      <c r="I114" s="2">
        <f t="shared" ref="I114:I127" si="7">COS(RADIANS(W9))*U9</f>
        <v>0</v>
      </c>
      <c r="J114" s="3">
        <f t="shared" ref="J114:J127" si="8">SIN(RADIANS(W9))*U9</f>
        <v>0</v>
      </c>
      <c r="K114" s="2"/>
      <c r="L114" s="3"/>
      <c r="M114" s="11"/>
      <c r="O114" s="8"/>
      <c r="Z114" s="2" t="s">
        <v>50</v>
      </c>
      <c r="AA114" s="17">
        <f>H17</f>
        <v>0</v>
      </c>
      <c r="AB114" s="17">
        <f>AA114</f>
        <v>0</v>
      </c>
      <c r="AC114">
        <v>0</v>
      </c>
      <c r="AD114">
        <v>0</v>
      </c>
      <c r="AE114" s="17">
        <f>AA114</f>
        <v>0</v>
      </c>
      <c r="AF114">
        <v>0</v>
      </c>
      <c r="AG114" s="18">
        <f>AA114</f>
        <v>0</v>
      </c>
      <c r="AI114" s="2" t="s">
        <v>50</v>
      </c>
      <c r="AJ114" s="17">
        <f>K17</f>
        <v>0</v>
      </c>
      <c r="AK114" s="17">
        <f>AJ114</f>
        <v>0</v>
      </c>
      <c r="AL114">
        <v>0</v>
      </c>
      <c r="AM114">
        <v>0</v>
      </c>
      <c r="AN114" s="17">
        <f>AJ114+30</f>
        <v>30</v>
      </c>
      <c r="AO114">
        <v>0</v>
      </c>
      <c r="AP114" s="18">
        <f>AJ114-30</f>
        <v>-30</v>
      </c>
    </row>
    <row r="115" spans="3:42" x14ac:dyDescent="0.25">
      <c r="C115" s="2" t="str">
        <f t="shared" si="2"/>
        <v>Belastning 3</v>
      </c>
      <c r="D115" s="15"/>
      <c r="E115" s="2">
        <f t="shared" si="3"/>
        <v>0</v>
      </c>
      <c r="F115" s="3">
        <f t="shared" si="4"/>
        <v>0</v>
      </c>
      <c r="G115" s="2">
        <f t="shared" si="5"/>
        <v>0</v>
      </c>
      <c r="H115" s="3">
        <f t="shared" si="6"/>
        <v>0</v>
      </c>
      <c r="I115" s="2">
        <f t="shared" si="7"/>
        <v>0</v>
      </c>
      <c r="J115" s="3">
        <f t="shared" si="8"/>
        <v>0</v>
      </c>
      <c r="K115" s="2"/>
      <c r="L115" s="3"/>
      <c r="M115" s="11"/>
      <c r="O115" s="8"/>
      <c r="Z115" s="2" t="s">
        <v>51</v>
      </c>
      <c r="AA115" s="17">
        <f>AA114</f>
        <v>0</v>
      </c>
      <c r="AB115">
        <v>0</v>
      </c>
      <c r="AC115" s="17">
        <f>AA114</f>
        <v>0</v>
      </c>
      <c r="AD115">
        <v>0</v>
      </c>
      <c r="AE115" s="17">
        <f>AA114</f>
        <v>0</v>
      </c>
      <c r="AF115" s="17">
        <f>AA114</f>
        <v>0</v>
      </c>
      <c r="AG115" s="3">
        <v>0</v>
      </c>
      <c r="AI115" s="2" t="s">
        <v>51</v>
      </c>
      <c r="AJ115" s="17">
        <f>AJ114-120</f>
        <v>-120</v>
      </c>
      <c r="AK115">
        <v>0</v>
      </c>
      <c r="AL115" s="17">
        <f>AJ114-120</f>
        <v>-120</v>
      </c>
      <c r="AM115">
        <v>0</v>
      </c>
      <c r="AN115" s="17">
        <f>AJ114-150</f>
        <v>-150</v>
      </c>
      <c r="AO115" s="17">
        <f>AJ114-90</f>
        <v>-90</v>
      </c>
      <c r="AP115" s="3">
        <v>0</v>
      </c>
    </row>
    <row r="116" spans="3:42" x14ac:dyDescent="0.25">
      <c r="C116" s="2" t="str">
        <f t="shared" si="2"/>
        <v>Belastning 4</v>
      </c>
      <c r="D116" s="15"/>
      <c r="E116" s="2">
        <f t="shared" si="3"/>
        <v>0</v>
      </c>
      <c r="F116" s="3">
        <f t="shared" si="4"/>
        <v>0</v>
      </c>
      <c r="G116" s="2">
        <f t="shared" si="5"/>
        <v>0</v>
      </c>
      <c r="H116" s="3">
        <f t="shared" si="6"/>
        <v>0</v>
      </c>
      <c r="I116" s="2">
        <f t="shared" si="7"/>
        <v>0</v>
      </c>
      <c r="J116" s="3">
        <f t="shared" si="8"/>
        <v>0</v>
      </c>
      <c r="K116" s="2"/>
      <c r="L116" s="3"/>
      <c r="M116" s="11"/>
      <c r="O116" s="8"/>
      <c r="Y116">
        <v>10</v>
      </c>
      <c r="Z116" s="2" t="s">
        <v>52</v>
      </c>
      <c r="AA116" s="17">
        <f>AA114</f>
        <v>0</v>
      </c>
      <c r="AB116">
        <v>0</v>
      </c>
      <c r="AC116">
        <v>0</v>
      </c>
      <c r="AD116" s="17">
        <f>AA114</f>
        <v>0</v>
      </c>
      <c r="AE116">
        <v>0</v>
      </c>
      <c r="AF116" s="17">
        <f>AA114</f>
        <v>0</v>
      </c>
      <c r="AG116" s="18">
        <f>AA114</f>
        <v>0</v>
      </c>
      <c r="AI116" s="2" t="s">
        <v>52</v>
      </c>
      <c r="AJ116" s="17">
        <f>AJ114+120</f>
        <v>120</v>
      </c>
      <c r="AK116">
        <v>0</v>
      </c>
      <c r="AL116">
        <v>0</v>
      </c>
      <c r="AM116" s="17">
        <f>AJ114+120</f>
        <v>120</v>
      </c>
      <c r="AN116">
        <v>0</v>
      </c>
      <c r="AO116" s="17">
        <f>AJ114+90</f>
        <v>90</v>
      </c>
      <c r="AP116" s="18">
        <f>AJ114+150</f>
        <v>150</v>
      </c>
    </row>
    <row r="117" spans="3:42" x14ac:dyDescent="0.25">
      <c r="C117" s="2" t="str">
        <f t="shared" si="2"/>
        <v>Belastning 5</v>
      </c>
      <c r="D117" s="15"/>
      <c r="E117" s="2">
        <f t="shared" si="3"/>
        <v>0</v>
      </c>
      <c r="F117" s="3">
        <f t="shared" si="4"/>
        <v>0</v>
      </c>
      <c r="G117" s="2">
        <f t="shared" si="5"/>
        <v>0</v>
      </c>
      <c r="H117" s="3">
        <f t="shared" si="6"/>
        <v>0</v>
      </c>
      <c r="I117" s="2">
        <f t="shared" si="7"/>
        <v>0</v>
      </c>
      <c r="J117" s="3">
        <f t="shared" si="8"/>
        <v>0</v>
      </c>
      <c r="K117" s="2"/>
      <c r="L117" s="3"/>
      <c r="M117" s="11"/>
      <c r="O117" s="8"/>
      <c r="Z117" s="13" t="s">
        <v>42</v>
      </c>
      <c r="AA117" s="19">
        <v>0</v>
      </c>
      <c r="AB117" s="20">
        <f>AA114</f>
        <v>0</v>
      </c>
      <c r="AC117" s="20">
        <f>AA114</f>
        <v>0</v>
      </c>
      <c r="AD117" s="20">
        <f>AA114</f>
        <v>0</v>
      </c>
      <c r="AE117" s="19">
        <v>0</v>
      </c>
      <c r="AF117" s="19">
        <v>0</v>
      </c>
      <c r="AG117" s="14">
        <v>0</v>
      </c>
      <c r="AI117" s="13" t="s">
        <v>42</v>
      </c>
      <c r="AJ117" s="19">
        <v>0</v>
      </c>
      <c r="AK117" s="20">
        <f>AJ114+180</f>
        <v>180</v>
      </c>
      <c r="AL117" s="20">
        <f>AJ114+180-120</f>
        <v>60</v>
      </c>
      <c r="AM117" s="20">
        <f>AJ114-180+120</f>
        <v>-60</v>
      </c>
      <c r="AN117" s="19">
        <v>0</v>
      </c>
      <c r="AO117" s="19">
        <v>0</v>
      </c>
      <c r="AP117" s="14">
        <v>0</v>
      </c>
    </row>
    <row r="118" spans="3:42" x14ac:dyDescent="0.25">
      <c r="C118" s="2" t="str">
        <f t="shared" si="2"/>
        <v>Belastning 6</v>
      </c>
      <c r="D118" s="15"/>
      <c r="E118" s="2">
        <f t="shared" si="3"/>
        <v>0</v>
      </c>
      <c r="F118" s="3">
        <f t="shared" si="4"/>
        <v>0</v>
      </c>
      <c r="G118" s="2">
        <f t="shared" si="5"/>
        <v>0</v>
      </c>
      <c r="H118" s="3">
        <f t="shared" si="6"/>
        <v>0</v>
      </c>
      <c r="I118" s="2">
        <f t="shared" si="7"/>
        <v>0</v>
      </c>
      <c r="J118" s="3">
        <f t="shared" si="8"/>
        <v>0</v>
      </c>
      <c r="K118" s="2"/>
      <c r="L118" s="3"/>
      <c r="M118" s="11"/>
      <c r="O118" s="8"/>
    </row>
    <row r="119" spans="3:42" x14ac:dyDescent="0.25">
      <c r="C119" s="2" t="str">
        <f t="shared" si="2"/>
        <v>Belastning 7</v>
      </c>
      <c r="D119" s="15"/>
      <c r="E119" s="2">
        <f t="shared" si="3"/>
        <v>0</v>
      </c>
      <c r="F119" s="3">
        <f t="shared" si="4"/>
        <v>0</v>
      </c>
      <c r="G119" s="2">
        <f t="shared" si="5"/>
        <v>0</v>
      </c>
      <c r="H119" s="3">
        <f t="shared" si="6"/>
        <v>0</v>
      </c>
      <c r="I119" s="2">
        <f t="shared" si="7"/>
        <v>0</v>
      </c>
      <c r="J119" s="3">
        <f t="shared" si="8"/>
        <v>0</v>
      </c>
      <c r="K119" s="2"/>
      <c r="L119" s="3"/>
      <c r="M119" s="11"/>
      <c r="O119" s="8"/>
      <c r="Z119" s="4"/>
      <c r="AA119" s="5">
        <v>1</v>
      </c>
      <c r="AB119" s="5">
        <v>2</v>
      </c>
      <c r="AC119" s="5">
        <v>3</v>
      </c>
      <c r="AD119" s="5">
        <v>4</v>
      </c>
      <c r="AE119" s="5">
        <v>5</v>
      </c>
      <c r="AF119" s="5">
        <v>6</v>
      </c>
      <c r="AG119" s="6">
        <v>7</v>
      </c>
      <c r="AI119" s="4"/>
      <c r="AJ119" s="5">
        <v>1</v>
      </c>
      <c r="AK119" s="5">
        <v>2</v>
      </c>
      <c r="AL119" s="5">
        <v>3</v>
      </c>
      <c r="AM119" s="5">
        <v>4</v>
      </c>
      <c r="AN119" s="5">
        <v>5</v>
      </c>
      <c r="AO119" s="5">
        <v>6</v>
      </c>
      <c r="AP119" s="6">
        <v>7</v>
      </c>
    </row>
    <row r="120" spans="3:42" x14ac:dyDescent="0.25">
      <c r="C120" s="2" t="str">
        <f t="shared" si="2"/>
        <v>Belastning 8</v>
      </c>
      <c r="D120" s="15"/>
      <c r="E120" s="2">
        <f t="shared" si="3"/>
        <v>0</v>
      </c>
      <c r="F120" s="3">
        <f t="shared" si="4"/>
        <v>0</v>
      </c>
      <c r="G120" s="2">
        <f t="shared" si="5"/>
        <v>0</v>
      </c>
      <c r="H120" s="3">
        <f t="shared" si="6"/>
        <v>0</v>
      </c>
      <c r="I120" s="2">
        <f t="shared" si="7"/>
        <v>0</v>
      </c>
      <c r="J120" s="3">
        <f t="shared" si="8"/>
        <v>0</v>
      </c>
      <c r="K120" s="2"/>
      <c r="L120" s="3"/>
      <c r="M120" s="11"/>
      <c r="O120" s="8"/>
      <c r="Z120" s="2"/>
      <c r="AA120" t="s">
        <v>32</v>
      </c>
      <c r="AB120" t="s">
        <v>34</v>
      </c>
      <c r="AC120" t="s">
        <v>35</v>
      </c>
      <c r="AD120" t="s">
        <v>36</v>
      </c>
      <c r="AE120" t="s">
        <v>37</v>
      </c>
      <c r="AF120" t="s">
        <v>38</v>
      </c>
      <c r="AG120" s="3" t="s">
        <v>39</v>
      </c>
      <c r="AI120" s="29" t="s">
        <v>55</v>
      </c>
      <c r="AJ120" t="s">
        <v>32</v>
      </c>
      <c r="AK120" t="s">
        <v>34</v>
      </c>
      <c r="AL120" t="s">
        <v>35</v>
      </c>
      <c r="AM120" t="s">
        <v>36</v>
      </c>
      <c r="AN120" t="s">
        <v>37</v>
      </c>
      <c r="AO120" t="s">
        <v>38</v>
      </c>
      <c r="AP120" s="3" t="s">
        <v>39</v>
      </c>
    </row>
    <row r="121" spans="3:42" x14ac:dyDescent="0.25">
      <c r="C121" s="2" t="str">
        <f t="shared" si="2"/>
        <v>Belastning 9</v>
      </c>
      <c r="D121" s="15"/>
      <c r="E121" s="2">
        <f t="shared" si="3"/>
        <v>0</v>
      </c>
      <c r="F121" s="3">
        <f t="shared" si="4"/>
        <v>0</v>
      </c>
      <c r="G121" s="2">
        <f t="shared" si="5"/>
        <v>0</v>
      </c>
      <c r="H121" s="3">
        <f t="shared" si="6"/>
        <v>0</v>
      </c>
      <c r="I121" s="2">
        <f t="shared" si="7"/>
        <v>0</v>
      </c>
      <c r="J121" s="3">
        <f t="shared" si="8"/>
        <v>0</v>
      </c>
      <c r="K121" s="2"/>
      <c r="L121" s="3"/>
      <c r="M121" s="11"/>
      <c r="O121" s="8"/>
      <c r="Z121" s="2" t="s">
        <v>50</v>
      </c>
      <c r="AA121" s="17">
        <f>H18</f>
        <v>0</v>
      </c>
      <c r="AB121" s="17">
        <f>AA121</f>
        <v>0</v>
      </c>
      <c r="AC121">
        <v>0</v>
      </c>
      <c r="AD121">
        <v>0</v>
      </c>
      <c r="AE121" s="17">
        <f>AA121</f>
        <v>0</v>
      </c>
      <c r="AF121">
        <v>0</v>
      </c>
      <c r="AG121" s="18">
        <f>AA121</f>
        <v>0</v>
      </c>
      <c r="AI121" s="2" t="s">
        <v>50</v>
      </c>
      <c r="AJ121" s="17">
        <f>K18</f>
        <v>0</v>
      </c>
      <c r="AK121" s="17">
        <f>AJ121</f>
        <v>0</v>
      </c>
      <c r="AL121">
        <v>0</v>
      </c>
      <c r="AM121">
        <v>0</v>
      </c>
      <c r="AN121" s="17">
        <f>AJ121+30</f>
        <v>30</v>
      </c>
      <c r="AO121">
        <v>0</v>
      </c>
      <c r="AP121" s="18">
        <f>AJ121-30</f>
        <v>-30</v>
      </c>
    </row>
    <row r="122" spans="3:42" x14ac:dyDescent="0.25">
      <c r="C122" s="2" t="str">
        <f t="shared" si="2"/>
        <v>Belastning 10</v>
      </c>
      <c r="D122" s="15"/>
      <c r="E122" s="2">
        <f t="shared" si="3"/>
        <v>0</v>
      </c>
      <c r="F122" s="3">
        <f t="shared" si="4"/>
        <v>0</v>
      </c>
      <c r="G122" s="2">
        <f t="shared" si="5"/>
        <v>0</v>
      </c>
      <c r="H122" s="3">
        <f t="shared" si="6"/>
        <v>0</v>
      </c>
      <c r="I122" s="2">
        <f t="shared" si="7"/>
        <v>0</v>
      </c>
      <c r="J122" s="3">
        <f t="shared" si="8"/>
        <v>0</v>
      </c>
      <c r="K122" s="2"/>
      <c r="L122" s="3"/>
      <c r="M122" s="11"/>
      <c r="O122" s="8"/>
      <c r="Z122" s="2" t="s">
        <v>51</v>
      </c>
      <c r="AA122" s="17">
        <f>AA121</f>
        <v>0</v>
      </c>
      <c r="AB122">
        <v>0</v>
      </c>
      <c r="AC122" s="17">
        <f>AA121</f>
        <v>0</v>
      </c>
      <c r="AD122">
        <v>0</v>
      </c>
      <c r="AE122" s="17">
        <f>AA121</f>
        <v>0</v>
      </c>
      <c r="AF122" s="17">
        <f>AA121</f>
        <v>0</v>
      </c>
      <c r="AG122" s="3">
        <v>0</v>
      </c>
      <c r="AI122" s="2" t="s">
        <v>51</v>
      </c>
      <c r="AJ122" s="17">
        <f>AJ121-120</f>
        <v>-120</v>
      </c>
      <c r="AK122">
        <v>0</v>
      </c>
      <c r="AL122" s="17">
        <f>AJ121-120</f>
        <v>-120</v>
      </c>
      <c r="AM122">
        <v>0</v>
      </c>
      <c r="AN122" s="17">
        <f>AJ121-150</f>
        <v>-150</v>
      </c>
      <c r="AO122" s="17">
        <f>AJ121-90</f>
        <v>-90</v>
      </c>
      <c r="AP122" s="3">
        <v>0</v>
      </c>
    </row>
    <row r="123" spans="3:42" x14ac:dyDescent="0.25">
      <c r="C123" s="2" t="str">
        <f t="shared" si="2"/>
        <v>Belastning 11</v>
      </c>
      <c r="D123" s="15"/>
      <c r="E123" s="2">
        <f t="shared" si="3"/>
        <v>0</v>
      </c>
      <c r="F123" s="3">
        <f t="shared" si="4"/>
        <v>0</v>
      </c>
      <c r="G123" s="2">
        <f t="shared" si="5"/>
        <v>0</v>
      </c>
      <c r="H123" s="3">
        <f t="shared" si="6"/>
        <v>0</v>
      </c>
      <c r="I123" s="2">
        <f t="shared" si="7"/>
        <v>0</v>
      </c>
      <c r="J123" s="3">
        <f t="shared" si="8"/>
        <v>0</v>
      </c>
      <c r="K123" s="2"/>
      <c r="L123" s="3"/>
      <c r="M123" s="11"/>
      <c r="O123" s="8"/>
      <c r="Y123">
        <v>11</v>
      </c>
      <c r="Z123" s="2" t="s">
        <v>52</v>
      </c>
      <c r="AA123" s="17">
        <f>AA121</f>
        <v>0</v>
      </c>
      <c r="AB123">
        <v>0</v>
      </c>
      <c r="AC123">
        <v>0</v>
      </c>
      <c r="AD123" s="17">
        <f>AA121</f>
        <v>0</v>
      </c>
      <c r="AE123">
        <v>0</v>
      </c>
      <c r="AF123" s="17">
        <f>AA121</f>
        <v>0</v>
      </c>
      <c r="AG123" s="18">
        <f>AA121</f>
        <v>0</v>
      </c>
      <c r="AI123" s="2" t="s">
        <v>52</v>
      </c>
      <c r="AJ123" s="17">
        <f>AJ121+120</f>
        <v>120</v>
      </c>
      <c r="AK123">
        <v>0</v>
      </c>
      <c r="AL123">
        <v>0</v>
      </c>
      <c r="AM123" s="17">
        <f>AJ121+120</f>
        <v>120</v>
      </c>
      <c r="AN123">
        <v>0</v>
      </c>
      <c r="AO123" s="17">
        <f>AJ121+90</f>
        <v>90</v>
      </c>
      <c r="AP123" s="18">
        <f>AJ121+150</f>
        <v>150</v>
      </c>
    </row>
    <row r="124" spans="3:42" x14ac:dyDescent="0.25">
      <c r="C124" s="2" t="str">
        <f t="shared" si="2"/>
        <v>Belastning 12</v>
      </c>
      <c r="D124" s="15"/>
      <c r="E124" s="2">
        <f t="shared" si="3"/>
        <v>0</v>
      </c>
      <c r="F124" s="3">
        <f t="shared" si="4"/>
        <v>0</v>
      </c>
      <c r="G124" s="2">
        <f t="shared" si="5"/>
        <v>0</v>
      </c>
      <c r="H124" s="3">
        <f t="shared" si="6"/>
        <v>0</v>
      </c>
      <c r="I124" s="2">
        <f t="shared" si="7"/>
        <v>0</v>
      </c>
      <c r="J124" s="3">
        <f t="shared" si="8"/>
        <v>0</v>
      </c>
      <c r="K124" s="2"/>
      <c r="L124" s="3"/>
      <c r="M124" s="11"/>
      <c r="O124" s="8"/>
      <c r="Z124" s="13" t="s">
        <v>42</v>
      </c>
      <c r="AA124" s="19">
        <v>0</v>
      </c>
      <c r="AB124" s="20">
        <f>AA121</f>
        <v>0</v>
      </c>
      <c r="AC124" s="20">
        <f>AA121</f>
        <v>0</v>
      </c>
      <c r="AD124" s="20">
        <f>AA121</f>
        <v>0</v>
      </c>
      <c r="AE124" s="19">
        <v>0</v>
      </c>
      <c r="AF124" s="19">
        <v>0</v>
      </c>
      <c r="AG124" s="14">
        <v>0</v>
      </c>
      <c r="AI124" s="13" t="s">
        <v>42</v>
      </c>
      <c r="AJ124" s="19">
        <v>0</v>
      </c>
      <c r="AK124" s="20">
        <f>AJ121+180</f>
        <v>180</v>
      </c>
      <c r="AL124" s="20">
        <f>AJ121+180-120</f>
        <v>60</v>
      </c>
      <c r="AM124" s="20">
        <f>AJ121-180+120</f>
        <v>-60</v>
      </c>
      <c r="AN124" s="19">
        <v>0</v>
      </c>
      <c r="AO124" s="19">
        <v>0</v>
      </c>
      <c r="AP124" s="14">
        <v>0</v>
      </c>
    </row>
    <row r="125" spans="3:42" x14ac:dyDescent="0.25">
      <c r="C125" s="2" t="str">
        <f t="shared" si="2"/>
        <v>Belastning 13</v>
      </c>
      <c r="D125" s="15"/>
      <c r="E125" s="2">
        <f t="shared" si="3"/>
        <v>0</v>
      </c>
      <c r="F125" s="3">
        <f t="shared" si="4"/>
        <v>0</v>
      </c>
      <c r="G125" s="2">
        <f t="shared" si="5"/>
        <v>0</v>
      </c>
      <c r="H125" s="3">
        <f t="shared" si="6"/>
        <v>0</v>
      </c>
      <c r="I125" s="2">
        <f t="shared" si="7"/>
        <v>0</v>
      </c>
      <c r="J125" s="3">
        <f t="shared" si="8"/>
        <v>0</v>
      </c>
      <c r="K125" s="2"/>
      <c r="L125" s="3"/>
      <c r="M125" s="11"/>
      <c r="O125" s="8"/>
    </row>
    <row r="126" spans="3:42" x14ac:dyDescent="0.25">
      <c r="C126" s="2" t="str">
        <f t="shared" si="2"/>
        <v>Belastning 14</v>
      </c>
      <c r="D126" s="15"/>
      <c r="E126" s="2">
        <f t="shared" si="3"/>
        <v>0</v>
      </c>
      <c r="F126" s="3">
        <f t="shared" si="4"/>
        <v>0</v>
      </c>
      <c r="G126" s="2">
        <f t="shared" si="5"/>
        <v>0</v>
      </c>
      <c r="H126" s="3">
        <f t="shared" si="6"/>
        <v>0</v>
      </c>
      <c r="I126" s="2">
        <f t="shared" si="7"/>
        <v>0</v>
      </c>
      <c r="J126" s="3">
        <f t="shared" si="8"/>
        <v>0</v>
      </c>
      <c r="K126" s="2"/>
      <c r="L126" s="3"/>
      <c r="M126" s="11"/>
      <c r="O126" s="8"/>
      <c r="Z126" s="4"/>
      <c r="AA126" s="5">
        <v>1</v>
      </c>
      <c r="AB126" s="5">
        <v>2</v>
      </c>
      <c r="AC126" s="5">
        <v>3</v>
      </c>
      <c r="AD126" s="5">
        <v>4</v>
      </c>
      <c r="AE126" s="5">
        <v>5</v>
      </c>
      <c r="AF126" s="5">
        <v>6</v>
      </c>
      <c r="AG126" s="6">
        <v>7</v>
      </c>
      <c r="AI126" s="4"/>
      <c r="AJ126" s="5">
        <v>1</v>
      </c>
      <c r="AK126" s="5">
        <v>2</v>
      </c>
      <c r="AL126" s="5">
        <v>3</v>
      </c>
      <c r="AM126" s="5">
        <v>4</v>
      </c>
      <c r="AN126" s="5">
        <v>5</v>
      </c>
      <c r="AO126" s="5">
        <v>6</v>
      </c>
      <c r="AP126" s="6">
        <v>7</v>
      </c>
    </row>
    <row r="127" spans="3:42" x14ac:dyDescent="0.25">
      <c r="C127" s="13" t="str">
        <f t="shared" si="2"/>
        <v>Belastning 15</v>
      </c>
      <c r="D127" s="16"/>
      <c r="E127" s="2">
        <f t="shared" si="3"/>
        <v>0</v>
      </c>
      <c r="F127" s="3">
        <f t="shared" si="4"/>
        <v>0</v>
      </c>
      <c r="G127" s="2">
        <f t="shared" si="5"/>
        <v>0</v>
      </c>
      <c r="H127" s="3">
        <f t="shared" si="6"/>
        <v>0</v>
      </c>
      <c r="I127" s="2">
        <f t="shared" si="7"/>
        <v>0</v>
      </c>
      <c r="J127" s="3">
        <f t="shared" si="8"/>
        <v>0</v>
      </c>
      <c r="K127" s="2"/>
      <c r="L127" s="3"/>
      <c r="M127" s="11"/>
      <c r="O127" s="8"/>
      <c r="Z127" s="2"/>
      <c r="AA127" t="s">
        <v>32</v>
      </c>
      <c r="AB127" t="s">
        <v>34</v>
      </c>
      <c r="AC127" t="s">
        <v>35</v>
      </c>
      <c r="AD127" t="s">
        <v>36</v>
      </c>
      <c r="AE127" t="s">
        <v>37</v>
      </c>
      <c r="AF127" t="s">
        <v>38</v>
      </c>
      <c r="AG127" s="3" t="s">
        <v>39</v>
      </c>
      <c r="AI127" s="29" t="s">
        <v>55</v>
      </c>
      <c r="AJ127" t="s">
        <v>32</v>
      </c>
      <c r="AK127" t="s">
        <v>34</v>
      </c>
      <c r="AL127" t="s">
        <v>35</v>
      </c>
      <c r="AM127" t="s">
        <v>36</v>
      </c>
      <c r="AN127" t="s">
        <v>37</v>
      </c>
      <c r="AO127" t="s">
        <v>38</v>
      </c>
      <c r="AP127" s="3" t="s">
        <v>39</v>
      </c>
    </row>
    <row r="128" spans="3:42" x14ac:dyDescent="0.25">
      <c r="C128" s="21" t="s">
        <v>53</v>
      </c>
      <c r="D128" s="22"/>
      <c r="E128" s="25">
        <f t="shared" ref="E128:J128" si="9">SUM(E113:E127)</f>
        <v>0</v>
      </c>
      <c r="F128" s="23">
        <f t="shared" si="9"/>
        <v>0</v>
      </c>
      <c r="G128" s="25">
        <f t="shared" si="9"/>
        <v>0</v>
      </c>
      <c r="H128" s="23">
        <f t="shared" si="9"/>
        <v>0</v>
      </c>
      <c r="I128" s="25">
        <f t="shared" si="9"/>
        <v>0</v>
      </c>
      <c r="J128" s="23">
        <f t="shared" si="9"/>
        <v>0</v>
      </c>
      <c r="K128" s="22"/>
      <c r="L128" s="23"/>
      <c r="Z128" s="2" t="s">
        <v>50</v>
      </c>
      <c r="AA128" s="17">
        <f>H19</f>
        <v>0</v>
      </c>
      <c r="AB128" s="17">
        <f>AA128</f>
        <v>0</v>
      </c>
      <c r="AC128">
        <v>0</v>
      </c>
      <c r="AD128">
        <v>0</v>
      </c>
      <c r="AE128" s="17">
        <f>AA128</f>
        <v>0</v>
      </c>
      <c r="AF128">
        <v>0</v>
      </c>
      <c r="AG128" s="18">
        <f>AA128</f>
        <v>0</v>
      </c>
      <c r="AI128" s="2" t="s">
        <v>50</v>
      </c>
      <c r="AJ128" s="17">
        <f>K19</f>
        <v>0</v>
      </c>
      <c r="AK128" s="17">
        <f>AJ128</f>
        <v>0</v>
      </c>
      <c r="AL128">
        <v>0</v>
      </c>
      <c r="AM128">
        <v>0</v>
      </c>
      <c r="AN128" s="17">
        <f>AJ128+30</f>
        <v>30</v>
      </c>
      <c r="AO128">
        <v>0</v>
      </c>
      <c r="AP128" s="18">
        <f>AJ128-30</f>
        <v>-30</v>
      </c>
    </row>
    <row r="129" spans="3:42" x14ac:dyDescent="0.25">
      <c r="Y129">
        <v>12</v>
      </c>
      <c r="Z129" s="2" t="s">
        <v>51</v>
      </c>
      <c r="AA129" s="17">
        <f>AA128</f>
        <v>0</v>
      </c>
      <c r="AB129">
        <v>0</v>
      </c>
      <c r="AC129" s="17">
        <f>AA128</f>
        <v>0</v>
      </c>
      <c r="AD129">
        <v>0</v>
      </c>
      <c r="AE129" s="17">
        <f>AA128</f>
        <v>0</v>
      </c>
      <c r="AF129" s="17">
        <f>AA128</f>
        <v>0</v>
      </c>
      <c r="AG129" s="3">
        <v>0</v>
      </c>
      <c r="AI129" s="2" t="s">
        <v>51</v>
      </c>
      <c r="AJ129" s="17">
        <f>AJ128-120</f>
        <v>-120</v>
      </c>
      <c r="AK129">
        <v>0</v>
      </c>
      <c r="AL129" s="17">
        <f>AJ128-120</f>
        <v>-120</v>
      </c>
      <c r="AM129">
        <v>0</v>
      </c>
      <c r="AN129" s="17">
        <f>AJ128-150</f>
        <v>-150</v>
      </c>
      <c r="AO129" s="17">
        <f>AJ128-90</f>
        <v>-90</v>
      </c>
      <c r="AP129" s="3">
        <v>0</v>
      </c>
    </row>
    <row r="130" spans="3:42" x14ac:dyDescent="0.25">
      <c r="K130" s="48"/>
      <c r="Z130" s="2" t="s">
        <v>52</v>
      </c>
      <c r="AA130" s="17">
        <f>AA128</f>
        <v>0</v>
      </c>
      <c r="AB130">
        <v>0</v>
      </c>
      <c r="AC130">
        <v>0</v>
      </c>
      <c r="AD130" s="17">
        <f>AA128</f>
        <v>0</v>
      </c>
      <c r="AE130">
        <v>0</v>
      </c>
      <c r="AF130" s="17">
        <f>AA128</f>
        <v>0</v>
      </c>
      <c r="AG130" s="18">
        <f>AA128</f>
        <v>0</v>
      </c>
      <c r="AI130" s="2" t="s">
        <v>52</v>
      </c>
      <c r="AJ130" s="17">
        <f>AJ128+120</f>
        <v>120</v>
      </c>
      <c r="AK130">
        <v>0</v>
      </c>
      <c r="AL130">
        <v>0</v>
      </c>
      <c r="AM130" s="17">
        <f>AJ128+120</f>
        <v>120</v>
      </c>
      <c r="AN130">
        <v>0</v>
      </c>
      <c r="AO130" s="17">
        <f>AJ128+90</f>
        <v>90</v>
      </c>
      <c r="AP130" s="18">
        <f>AJ128+150</f>
        <v>150</v>
      </c>
    </row>
    <row r="131" spans="3:42" x14ac:dyDescent="0.25">
      <c r="E131" s="24"/>
      <c r="F131" s="17"/>
      <c r="H131" s="17"/>
      <c r="I131" s="24"/>
      <c r="J131" s="17"/>
      <c r="Z131" s="13" t="s">
        <v>42</v>
      </c>
      <c r="AA131" s="19">
        <v>0</v>
      </c>
      <c r="AB131" s="20">
        <f>AA128</f>
        <v>0</v>
      </c>
      <c r="AC131" s="20">
        <f>AA128</f>
        <v>0</v>
      </c>
      <c r="AD131" s="20">
        <f>AA128</f>
        <v>0</v>
      </c>
      <c r="AE131" s="19">
        <v>0</v>
      </c>
      <c r="AF131" s="19">
        <v>0</v>
      </c>
      <c r="AG131" s="14">
        <v>0</v>
      </c>
      <c r="AI131" s="13" t="s">
        <v>42</v>
      </c>
      <c r="AJ131" s="19">
        <v>0</v>
      </c>
      <c r="AK131" s="20">
        <f>AJ128+180</f>
        <v>180</v>
      </c>
      <c r="AL131" s="20">
        <f>AJ128+180-120</f>
        <v>60</v>
      </c>
      <c r="AM131" s="20">
        <f>AJ128-180+120</f>
        <v>-60</v>
      </c>
      <c r="AN131" s="19">
        <v>0</v>
      </c>
      <c r="AO131" s="19">
        <v>0</v>
      </c>
      <c r="AP131" s="14">
        <v>0</v>
      </c>
    </row>
    <row r="132" spans="3:42" x14ac:dyDescent="0.25">
      <c r="E132" s="30"/>
      <c r="F132" s="17"/>
      <c r="G132" s="30"/>
      <c r="H132" s="17"/>
      <c r="J132" s="17"/>
    </row>
    <row r="133" spans="3:42" x14ac:dyDescent="0.25">
      <c r="Z133" s="4"/>
      <c r="AA133" s="5">
        <v>1</v>
      </c>
      <c r="AB133" s="5">
        <v>2</v>
      </c>
      <c r="AC133" s="5">
        <v>3</v>
      </c>
      <c r="AD133" s="5">
        <v>4</v>
      </c>
      <c r="AE133" s="5">
        <v>5</v>
      </c>
      <c r="AF133" s="5">
        <v>6</v>
      </c>
      <c r="AG133" s="6">
        <v>7</v>
      </c>
      <c r="AI133" s="4"/>
      <c r="AJ133" s="5">
        <v>1</v>
      </c>
      <c r="AK133" s="5">
        <v>2</v>
      </c>
      <c r="AL133" s="5">
        <v>3</v>
      </c>
      <c r="AM133" s="5">
        <v>4</v>
      </c>
      <c r="AN133" s="5">
        <v>5</v>
      </c>
      <c r="AO133" s="5">
        <v>6</v>
      </c>
      <c r="AP133" s="6">
        <v>7</v>
      </c>
    </row>
    <row r="134" spans="3:42" x14ac:dyDescent="0.25">
      <c r="C134">
        <f>COS(RADIANS(Q23))*O23</f>
        <v>0</v>
      </c>
      <c r="F134">
        <f>COS(RADIANS(T23))*R23</f>
        <v>0</v>
      </c>
      <c r="I134">
        <f>COS(RADIANS(W23))*U23</f>
        <v>0</v>
      </c>
      <c r="L134">
        <f>IMABS(COMPLEX(C134+F134+I134,C135+F135+I135))</f>
        <v>0</v>
      </c>
      <c r="Z134" s="2"/>
      <c r="AA134" t="s">
        <v>32</v>
      </c>
      <c r="AB134" t="s">
        <v>34</v>
      </c>
      <c r="AC134" t="s">
        <v>35</v>
      </c>
      <c r="AD134" t="s">
        <v>36</v>
      </c>
      <c r="AE134" t="s">
        <v>37</v>
      </c>
      <c r="AF134" t="s">
        <v>38</v>
      </c>
      <c r="AG134" s="3" t="s">
        <v>39</v>
      </c>
      <c r="AI134" s="29" t="s">
        <v>55</v>
      </c>
      <c r="AJ134" t="s">
        <v>32</v>
      </c>
      <c r="AK134" t="s">
        <v>34</v>
      </c>
      <c r="AL134" t="s">
        <v>35</v>
      </c>
      <c r="AM134" t="s">
        <v>36</v>
      </c>
      <c r="AN134" t="s">
        <v>37</v>
      </c>
      <c r="AO134" t="s">
        <v>38</v>
      </c>
      <c r="AP134" s="3" t="s">
        <v>39</v>
      </c>
    </row>
    <row r="135" spans="3:42" x14ac:dyDescent="0.25">
      <c r="C135">
        <f>SIN(RADIANS(Q23))*O23</f>
        <v>0</v>
      </c>
      <c r="F135">
        <f>SIN(RADIANS(T23))*R23</f>
        <v>0</v>
      </c>
      <c r="I135">
        <f>SIN(RADIANS(W23))*U23</f>
        <v>0</v>
      </c>
      <c r="L135" t="str">
        <f>COMPLEX(C134+F134+I134,C135+F135+I135)</f>
        <v>0</v>
      </c>
      <c r="Z135" s="2" t="s">
        <v>50</v>
      </c>
      <c r="AA135" s="17">
        <f>H20</f>
        <v>0</v>
      </c>
      <c r="AB135" s="17">
        <f>AA135</f>
        <v>0</v>
      </c>
      <c r="AC135">
        <v>0</v>
      </c>
      <c r="AD135">
        <v>0</v>
      </c>
      <c r="AE135" s="17">
        <f>AA135</f>
        <v>0</v>
      </c>
      <c r="AF135">
        <v>0</v>
      </c>
      <c r="AG135" s="18">
        <f>AA135</f>
        <v>0</v>
      </c>
      <c r="AI135" s="2" t="s">
        <v>50</v>
      </c>
      <c r="AJ135" s="17">
        <f>K20</f>
        <v>0</v>
      </c>
      <c r="AK135" s="17">
        <f>AJ135</f>
        <v>0</v>
      </c>
      <c r="AL135">
        <v>0</v>
      </c>
      <c r="AM135">
        <v>0</v>
      </c>
      <c r="AN135" s="17">
        <f>AJ135+30</f>
        <v>30</v>
      </c>
      <c r="AO135">
        <v>0</v>
      </c>
      <c r="AP135" s="18">
        <f>AJ135-30</f>
        <v>-30</v>
      </c>
    </row>
    <row r="136" spans="3:42" x14ac:dyDescent="0.25">
      <c r="Y136">
        <v>13</v>
      </c>
      <c r="Z136" s="2" t="s">
        <v>51</v>
      </c>
      <c r="AA136" s="17">
        <f>AA135</f>
        <v>0</v>
      </c>
      <c r="AB136">
        <v>0</v>
      </c>
      <c r="AC136" s="17">
        <f>AA135</f>
        <v>0</v>
      </c>
      <c r="AD136">
        <v>0</v>
      </c>
      <c r="AE136" s="17">
        <f>AA135</f>
        <v>0</v>
      </c>
      <c r="AF136" s="17">
        <f>AA135</f>
        <v>0</v>
      </c>
      <c r="AG136" s="3">
        <v>0</v>
      </c>
      <c r="AI136" s="2" t="s">
        <v>51</v>
      </c>
      <c r="AJ136" s="17">
        <f>AJ135-120</f>
        <v>-120</v>
      </c>
      <c r="AK136">
        <v>0</v>
      </c>
      <c r="AL136" s="17">
        <f>AJ135-120</f>
        <v>-120</v>
      </c>
      <c r="AM136">
        <v>0</v>
      </c>
      <c r="AN136" s="17">
        <f>AJ135-150</f>
        <v>-150</v>
      </c>
      <c r="AO136" s="17">
        <f>AJ135-90</f>
        <v>-90</v>
      </c>
      <c r="AP136" s="3">
        <v>0</v>
      </c>
    </row>
    <row r="137" spans="3:42" x14ac:dyDescent="0.25">
      <c r="C137">
        <f>COS(RADIANS(Q24))*O24</f>
        <v>0</v>
      </c>
      <c r="F137">
        <f>COS(RADIANS(T24))*R24</f>
        <v>0</v>
      </c>
      <c r="I137">
        <f>COS(RADIANS(W24))*U24</f>
        <v>0</v>
      </c>
      <c r="L137">
        <f>IMABS(COMPLEX(C137+F137+I137,C138+F138+I138))</f>
        <v>0</v>
      </c>
      <c r="Z137" s="2" t="s">
        <v>52</v>
      </c>
      <c r="AA137" s="17">
        <f>AA135</f>
        <v>0</v>
      </c>
      <c r="AB137">
        <v>0</v>
      </c>
      <c r="AC137">
        <v>0</v>
      </c>
      <c r="AD137" s="17">
        <f>AA135</f>
        <v>0</v>
      </c>
      <c r="AE137">
        <v>0</v>
      </c>
      <c r="AF137" s="17">
        <f>AA135</f>
        <v>0</v>
      </c>
      <c r="AG137" s="18">
        <f>AA135</f>
        <v>0</v>
      </c>
      <c r="AI137" s="2" t="s">
        <v>52</v>
      </c>
      <c r="AJ137" s="17">
        <f>AJ135+120</f>
        <v>120</v>
      </c>
      <c r="AK137">
        <v>0</v>
      </c>
      <c r="AL137">
        <v>0</v>
      </c>
      <c r="AM137" s="17">
        <f>AJ135+120</f>
        <v>120</v>
      </c>
      <c r="AN137">
        <v>0</v>
      </c>
      <c r="AO137" s="17">
        <f>AJ135+90</f>
        <v>90</v>
      </c>
      <c r="AP137" s="18">
        <f>AJ135+150</f>
        <v>150</v>
      </c>
    </row>
    <row r="138" spans="3:42" x14ac:dyDescent="0.25">
      <c r="C138">
        <f>SIN(RADIANS(Q24))*O24</f>
        <v>0</v>
      </c>
      <c r="F138">
        <f>SIN(RADIANS(T24))*R24</f>
        <v>0</v>
      </c>
      <c r="I138">
        <f>SIN(RADIANS(W24))*U24</f>
        <v>0</v>
      </c>
      <c r="L138" t="str">
        <f>COMPLEX(C137+F137+I137,C138+F138+I138)</f>
        <v>0</v>
      </c>
      <c r="Z138" s="13" t="s">
        <v>42</v>
      </c>
      <c r="AA138" s="19">
        <v>0</v>
      </c>
      <c r="AB138" s="20">
        <f>AA135</f>
        <v>0</v>
      </c>
      <c r="AC138" s="20">
        <f>AA135</f>
        <v>0</v>
      </c>
      <c r="AD138" s="20">
        <f>AA135</f>
        <v>0</v>
      </c>
      <c r="AE138" s="19">
        <v>0</v>
      </c>
      <c r="AF138" s="19">
        <v>0</v>
      </c>
      <c r="AG138" s="14">
        <v>0</v>
      </c>
      <c r="AI138" s="13" t="s">
        <v>42</v>
      </c>
      <c r="AJ138" s="19">
        <v>0</v>
      </c>
      <c r="AK138" s="20">
        <f>AJ135+180</f>
        <v>180</v>
      </c>
      <c r="AL138" s="20">
        <f>AJ135+180-120</f>
        <v>60</v>
      </c>
      <c r="AM138" s="20">
        <f>AJ135-180+120</f>
        <v>-60</v>
      </c>
      <c r="AN138" s="19">
        <v>0</v>
      </c>
      <c r="AO138" s="19">
        <v>0</v>
      </c>
      <c r="AP138" s="14">
        <v>0</v>
      </c>
    </row>
    <row r="140" spans="3:42" x14ac:dyDescent="0.25">
      <c r="Z140" s="4"/>
      <c r="AA140" s="5">
        <v>1</v>
      </c>
      <c r="AB140" s="5">
        <v>2</v>
      </c>
      <c r="AC140" s="5">
        <v>3</v>
      </c>
      <c r="AD140" s="5">
        <v>4</v>
      </c>
      <c r="AE140" s="5">
        <v>5</v>
      </c>
      <c r="AF140" s="5">
        <v>6</v>
      </c>
      <c r="AG140" s="6">
        <v>7</v>
      </c>
      <c r="AI140" s="4"/>
      <c r="AJ140" s="5">
        <v>1</v>
      </c>
      <c r="AK140" s="5">
        <v>2</v>
      </c>
      <c r="AL140" s="5">
        <v>3</v>
      </c>
      <c r="AM140" s="5">
        <v>4</v>
      </c>
      <c r="AN140" s="5">
        <v>5</v>
      </c>
      <c r="AO140" s="5">
        <v>6</v>
      </c>
      <c r="AP140" s="6">
        <v>7</v>
      </c>
    </row>
    <row r="141" spans="3:42" x14ac:dyDescent="0.25">
      <c r="Z141" s="2"/>
      <c r="AA141" t="s">
        <v>32</v>
      </c>
      <c r="AB141" t="s">
        <v>34</v>
      </c>
      <c r="AC141" t="s">
        <v>35</v>
      </c>
      <c r="AD141" t="s">
        <v>36</v>
      </c>
      <c r="AE141" t="s">
        <v>37</v>
      </c>
      <c r="AF141" t="s">
        <v>38</v>
      </c>
      <c r="AG141" s="3" t="s">
        <v>39</v>
      </c>
      <c r="AI141" s="29" t="s">
        <v>55</v>
      </c>
      <c r="AJ141" t="s">
        <v>32</v>
      </c>
      <c r="AK141" t="s">
        <v>34</v>
      </c>
      <c r="AL141" t="s">
        <v>35</v>
      </c>
      <c r="AM141" t="s">
        <v>36</v>
      </c>
      <c r="AN141" t="s">
        <v>37</v>
      </c>
      <c r="AO141" t="s">
        <v>38</v>
      </c>
      <c r="AP141" s="3" t="s">
        <v>39</v>
      </c>
    </row>
    <row r="142" spans="3:42" x14ac:dyDescent="0.25">
      <c r="Y142">
        <v>14</v>
      </c>
      <c r="Z142" s="2" t="s">
        <v>50</v>
      </c>
      <c r="AA142" s="17">
        <f>H21</f>
        <v>0</v>
      </c>
      <c r="AB142" s="17">
        <f>AA142</f>
        <v>0</v>
      </c>
      <c r="AC142">
        <v>0</v>
      </c>
      <c r="AD142">
        <v>0</v>
      </c>
      <c r="AE142" s="17">
        <f>AA142</f>
        <v>0</v>
      </c>
      <c r="AF142">
        <v>0</v>
      </c>
      <c r="AG142" s="18">
        <f>AA142</f>
        <v>0</v>
      </c>
      <c r="AI142" s="2" t="s">
        <v>50</v>
      </c>
      <c r="AJ142" s="17">
        <f>K21</f>
        <v>0</v>
      </c>
      <c r="AK142" s="17">
        <f>AJ142</f>
        <v>0</v>
      </c>
      <c r="AL142">
        <v>0</v>
      </c>
      <c r="AM142">
        <v>0</v>
      </c>
      <c r="AN142" s="17">
        <f>AJ142+30</f>
        <v>30</v>
      </c>
      <c r="AO142">
        <v>0</v>
      </c>
      <c r="AP142" s="18">
        <f>AJ142-30</f>
        <v>-30</v>
      </c>
    </row>
    <row r="143" spans="3:42" x14ac:dyDescent="0.25">
      <c r="Z143" s="2" t="s">
        <v>51</v>
      </c>
      <c r="AA143" s="17">
        <f>AA142</f>
        <v>0</v>
      </c>
      <c r="AB143">
        <v>0</v>
      </c>
      <c r="AC143" s="17">
        <f>AA142</f>
        <v>0</v>
      </c>
      <c r="AD143">
        <v>0</v>
      </c>
      <c r="AE143" s="17">
        <f>AA142</f>
        <v>0</v>
      </c>
      <c r="AF143" s="17">
        <f>AA142</f>
        <v>0</v>
      </c>
      <c r="AG143" s="3">
        <v>0</v>
      </c>
      <c r="AI143" s="2" t="s">
        <v>51</v>
      </c>
      <c r="AJ143" s="17">
        <f>AJ142-120</f>
        <v>-120</v>
      </c>
      <c r="AK143">
        <v>0</v>
      </c>
      <c r="AL143" s="17">
        <f>AJ142-120</f>
        <v>-120</v>
      </c>
      <c r="AM143">
        <v>0</v>
      </c>
      <c r="AN143" s="17">
        <f>AJ142-150</f>
        <v>-150</v>
      </c>
      <c r="AO143" s="17">
        <f>AJ142-90</f>
        <v>-90</v>
      </c>
      <c r="AP143" s="3">
        <v>0</v>
      </c>
    </row>
    <row r="144" spans="3:42" x14ac:dyDescent="0.25">
      <c r="Z144" s="2" t="s">
        <v>52</v>
      </c>
      <c r="AA144" s="17">
        <f>AA142</f>
        <v>0</v>
      </c>
      <c r="AB144">
        <v>0</v>
      </c>
      <c r="AC144">
        <v>0</v>
      </c>
      <c r="AD144" s="17">
        <f>AA142</f>
        <v>0</v>
      </c>
      <c r="AE144">
        <v>0</v>
      </c>
      <c r="AF144" s="17">
        <f>AA142</f>
        <v>0</v>
      </c>
      <c r="AG144" s="18">
        <f>AA142</f>
        <v>0</v>
      </c>
      <c r="AI144" s="2" t="s">
        <v>52</v>
      </c>
      <c r="AJ144" s="17">
        <f>AJ142+120</f>
        <v>120</v>
      </c>
      <c r="AK144">
        <v>0</v>
      </c>
      <c r="AL144">
        <v>0</v>
      </c>
      <c r="AM144" s="17">
        <f>AJ142+120</f>
        <v>120</v>
      </c>
      <c r="AN144">
        <v>0</v>
      </c>
      <c r="AO144" s="17">
        <f>AJ142+90</f>
        <v>90</v>
      </c>
      <c r="AP144" s="18">
        <f>AJ142+150</f>
        <v>150</v>
      </c>
    </row>
    <row r="145" spans="25:42" x14ac:dyDescent="0.25">
      <c r="Z145" s="13" t="s">
        <v>42</v>
      </c>
      <c r="AA145" s="19">
        <v>0</v>
      </c>
      <c r="AB145" s="20">
        <f>AA142</f>
        <v>0</v>
      </c>
      <c r="AC145" s="20">
        <f>AA142</f>
        <v>0</v>
      </c>
      <c r="AD145" s="20">
        <f>AA142</f>
        <v>0</v>
      </c>
      <c r="AE145" s="19">
        <v>0</v>
      </c>
      <c r="AF145" s="19">
        <v>0</v>
      </c>
      <c r="AG145" s="14">
        <v>0</v>
      </c>
      <c r="AI145" s="13" t="s">
        <v>42</v>
      </c>
      <c r="AJ145" s="19">
        <v>0</v>
      </c>
      <c r="AK145" s="20">
        <f>AJ142+180</f>
        <v>180</v>
      </c>
      <c r="AL145" s="20">
        <f>AJ142+180-120</f>
        <v>60</v>
      </c>
      <c r="AM145" s="20">
        <f>AJ142-180+120</f>
        <v>-60</v>
      </c>
      <c r="AN145" s="19">
        <v>0</v>
      </c>
      <c r="AO145" s="19">
        <v>0</v>
      </c>
      <c r="AP145" s="14">
        <v>0</v>
      </c>
    </row>
    <row r="147" spans="25:42" x14ac:dyDescent="0.25">
      <c r="Z147" s="4"/>
      <c r="AA147" s="5">
        <v>1</v>
      </c>
      <c r="AB147" s="5">
        <v>2</v>
      </c>
      <c r="AC147" s="5">
        <v>3</v>
      </c>
      <c r="AD147" s="5">
        <v>4</v>
      </c>
      <c r="AE147" s="5">
        <v>5</v>
      </c>
      <c r="AF147" s="5">
        <v>6</v>
      </c>
      <c r="AG147" s="6">
        <v>7</v>
      </c>
      <c r="AI147" s="4"/>
      <c r="AJ147" s="5">
        <v>1</v>
      </c>
      <c r="AK147" s="5">
        <v>2</v>
      </c>
      <c r="AL147" s="5">
        <v>3</v>
      </c>
      <c r="AM147" s="5">
        <v>4</v>
      </c>
      <c r="AN147" s="5">
        <v>5</v>
      </c>
      <c r="AO147" s="5">
        <v>6</v>
      </c>
      <c r="AP147" s="6">
        <v>7</v>
      </c>
    </row>
    <row r="148" spans="25:42" x14ac:dyDescent="0.25">
      <c r="Z148" s="2"/>
      <c r="AA148" t="s">
        <v>32</v>
      </c>
      <c r="AB148" t="s">
        <v>34</v>
      </c>
      <c r="AC148" t="s">
        <v>35</v>
      </c>
      <c r="AD148" t="s">
        <v>36</v>
      </c>
      <c r="AE148" t="s">
        <v>37</v>
      </c>
      <c r="AF148" t="s">
        <v>38</v>
      </c>
      <c r="AG148" s="3" t="s">
        <v>39</v>
      </c>
      <c r="AI148" s="29" t="s">
        <v>55</v>
      </c>
      <c r="AJ148" t="s">
        <v>32</v>
      </c>
      <c r="AK148" t="s">
        <v>34</v>
      </c>
      <c r="AL148" t="s">
        <v>35</v>
      </c>
      <c r="AM148" t="s">
        <v>36</v>
      </c>
      <c r="AN148" t="s">
        <v>37</v>
      </c>
      <c r="AO148" t="s">
        <v>38</v>
      </c>
      <c r="AP148" s="3" t="s">
        <v>39</v>
      </c>
    </row>
    <row r="149" spans="25:42" x14ac:dyDescent="0.25">
      <c r="Z149" s="2" t="s">
        <v>50</v>
      </c>
      <c r="AA149" s="17">
        <f>H22</f>
        <v>0</v>
      </c>
      <c r="AB149" s="17">
        <f>AA149</f>
        <v>0</v>
      </c>
      <c r="AC149">
        <v>0</v>
      </c>
      <c r="AD149">
        <v>0</v>
      </c>
      <c r="AE149" s="17">
        <f>AA149</f>
        <v>0</v>
      </c>
      <c r="AF149">
        <v>0</v>
      </c>
      <c r="AG149" s="18">
        <f>AA149</f>
        <v>0</v>
      </c>
      <c r="AI149" s="2" t="s">
        <v>50</v>
      </c>
      <c r="AJ149" s="17">
        <f>K22</f>
        <v>0</v>
      </c>
      <c r="AK149" s="17">
        <f>AJ149</f>
        <v>0</v>
      </c>
      <c r="AL149">
        <v>0</v>
      </c>
      <c r="AM149">
        <v>0</v>
      </c>
      <c r="AN149" s="17">
        <f>AJ149+30</f>
        <v>30</v>
      </c>
      <c r="AO149">
        <v>0</v>
      </c>
      <c r="AP149" s="18">
        <f>AJ149-30</f>
        <v>-30</v>
      </c>
    </row>
    <row r="150" spans="25:42" x14ac:dyDescent="0.25">
      <c r="Y150">
        <v>15</v>
      </c>
      <c r="Z150" s="2" t="s">
        <v>51</v>
      </c>
      <c r="AA150" s="17">
        <f>AA149</f>
        <v>0</v>
      </c>
      <c r="AB150">
        <v>0</v>
      </c>
      <c r="AC150" s="17">
        <f>AA149</f>
        <v>0</v>
      </c>
      <c r="AD150">
        <v>0</v>
      </c>
      <c r="AE150" s="17">
        <f>AA149</f>
        <v>0</v>
      </c>
      <c r="AF150" s="17">
        <f>AA149</f>
        <v>0</v>
      </c>
      <c r="AG150" s="3">
        <v>0</v>
      </c>
      <c r="AI150" s="2" t="s">
        <v>51</v>
      </c>
      <c r="AJ150" s="17">
        <f>AJ149-120</f>
        <v>-120</v>
      </c>
      <c r="AK150">
        <v>0</v>
      </c>
      <c r="AL150" s="17">
        <f>AJ149-120</f>
        <v>-120</v>
      </c>
      <c r="AM150">
        <v>0</v>
      </c>
      <c r="AN150" s="17">
        <f>AJ149-150</f>
        <v>-150</v>
      </c>
      <c r="AO150" s="17">
        <f>AJ149-90</f>
        <v>-90</v>
      </c>
      <c r="AP150" s="3">
        <v>0</v>
      </c>
    </row>
    <row r="151" spans="25:42" x14ac:dyDescent="0.25">
      <c r="Z151" s="2" t="s">
        <v>52</v>
      </c>
      <c r="AA151" s="17">
        <f>AA149</f>
        <v>0</v>
      </c>
      <c r="AB151">
        <v>0</v>
      </c>
      <c r="AC151">
        <v>0</v>
      </c>
      <c r="AD151" s="17">
        <f>AA149</f>
        <v>0</v>
      </c>
      <c r="AE151">
        <v>0</v>
      </c>
      <c r="AF151" s="17">
        <f>AA149</f>
        <v>0</v>
      </c>
      <c r="AG151" s="18">
        <f>AA149</f>
        <v>0</v>
      </c>
      <c r="AI151" s="2" t="s">
        <v>52</v>
      </c>
      <c r="AJ151" s="17">
        <f>AJ149+120</f>
        <v>120</v>
      </c>
      <c r="AK151">
        <v>0</v>
      </c>
      <c r="AL151">
        <v>0</v>
      </c>
      <c r="AM151" s="17">
        <f>AJ149+120</f>
        <v>120</v>
      </c>
      <c r="AN151">
        <v>0</v>
      </c>
      <c r="AO151" s="17">
        <f>AJ149+90</f>
        <v>90</v>
      </c>
      <c r="AP151" s="18">
        <f>AJ149+150</f>
        <v>150</v>
      </c>
    </row>
    <row r="152" spans="25:42" x14ac:dyDescent="0.25">
      <c r="Z152" s="13" t="s">
        <v>42</v>
      </c>
      <c r="AA152" s="19">
        <v>0</v>
      </c>
      <c r="AB152" s="20">
        <f>AA149</f>
        <v>0</v>
      </c>
      <c r="AC152" s="20">
        <f>AA149</f>
        <v>0</v>
      </c>
      <c r="AD152" s="20">
        <f>AA149</f>
        <v>0</v>
      </c>
      <c r="AE152" s="19">
        <v>0</v>
      </c>
      <c r="AF152" s="19">
        <v>0</v>
      </c>
      <c r="AG152" s="14">
        <v>0</v>
      </c>
      <c r="AI152" s="13" t="s">
        <v>42</v>
      </c>
      <c r="AJ152" s="19">
        <v>0</v>
      </c>
      <c r="AK152" s="20">
        <f>AJ149+180</f>
        <v>180</v>
      </c>
      <c r="AL152" s="20">
        <f>AJ149+180-120</f>
        <v>60</v>
      </c>
      <c r="AM152" s="20">
        <f>AJ149-180+120</f>
        <v>-60</v>
      </c>
      <c r="AN152" s="19">
        <v>0</v>
      </c>
      <c r="AO152" s="19">
        <v>0</v>
      </c>
      <c r="AP152" s="14">
        <v>0</v>
      </c>
    </row>
    <row r="600" spans="5:5" x14ac:dyDescent="0.25">
      <c r="E600">
        <v>1</v>
      </c>
    </row>
  </sheetData>
  <conditionalFormatting sqref="M8">
    <cfRule type="expression" dxfId="59" priority="15">
      <formula>$L$51=2</formula>
    </cfRule>
  </conditionalFormatting>
  <conditionalFormatting sqref="M9">
    <cfRule type="expression" dxfId="58" priority="14">
      <formula>$L$55=2</formula>
    </cfRule>
  </conditionalFormatting>
  <conditionalFormatting sqref="M10">
    <cfRule type="expression" dxfId="57" priority="13">
      <formula>$L$59=2</formula>
    </cfRule>
  </conditionalFormatting>
  <conditionalFormatting sqref="M11">
    <cfRule type="expression" dxfId="56" priority="12">
      <formula>$L$63=2</formula>
    </cfRule>
  </conditionalFormatting>
  <conditionalFormatting sqref="M12">
    <cfRule type="expression" dxfId="55" priority="11">
      <formula>$L$67=2</formula>
    </cfRule>
  </conditionalFormatting>
  <conditionalFormatting sqref="M13">
    <cfRule type="expression" dxfId="54" priority="10">
      <formula>$L$71=2</formula>
    </cfRule>
  </conditionalFormatting>
  <conditionalFormatting sqref="M14">
    <cfRule type="expression" dxfId="53" priority="9">
      <formula>$L$75=2</formula>
    </cfRule>
  </conditionalFormatting>
  <conditionalFormatting sqref="M15">
    <cfRule type="expression" dxfId="52" priority="8">
      <formula>$L$79=2</formula>
    </cfRule>
  </conditionalFormatting>
  <conditionalFormatting sqref="M16">
    <cfRule type="expression" dxfId="51" priority="7">
      <formula>$L$83=2</formula>
    </cfRule>
  </conditionalFormatting>
  <conditionalFormatting sqref="M17">
    <cfRule type="expression" dxfId="50" priority="6">
      <formula>$L$87=2</formula>
    </cfRule>
  </conditionalFormatting>
  <conditionalFormatting sqref="M18">
    <cfRule type="expression" dxfId="49" priority="5">
      <formula>$L$91=2</formula>
    </cfRule>
  </conditionalFormatting>
  <conditionalFormatting sqref="M19">
    <cfRule type="expression" dxfId="48" priority="4">
      <formula>$L$95=2</formula>
    </cfRule>
  </conditionalFormatting>
  <conditionalFormatting sqref="M20">
    <cfRule type="expression" dxfId="47" priority="3">
      <formula>$L$99=2</formula>
    </cfRule>
  </conditionalFormatting>
  <conditionalFormatting sqref="M21">
    <cfRule type="expression" dxfId="46" priority="2">
      <formula>$L$103=2</formula>
    </cfRule>
  </conditionalFormatting>
  <conditionalFormatting sqref="M22">
    <cfRule type="expression" dxfId="45" priority="1">
      <formula>$L$107=2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Drop Down 1">
              <controlPr locked="0" defaultSize="0" autoLine="0" autoPict="0">
                <anchor moveWithCells="1">
                  <from>
                    <xdr:col>4</xdr:col>
                    <xdr:colOff>9525</xdr:colOff>
                    <xdr:row>7</xdr:row>
                    <xdr:rowOff>9525</xdr:rowOff>
                  </from>
                  <to>
                    <xdr:col>5</xdr:col>
                    <xdr:colOff>9525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4" name="Drop Down 2">
              <controlPr locked="0" defaultSize="0" autoLine="0" autoPict="0">
                <anchor moveWithCells="1">
                  <from>
                    <xdr:col>4</xdr:col>
                    <xdr:colOff>9525</xdr:colOff>
                    <xdr:row>8</xdr:row>
                    <xdr:rowOff>9525</xdr:rowOff>
                  </from>
                  <to>
                    <xdr:col>5</xdr:col>
                    <xdr:colOff>9525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5" name="Drop Down 3">
              <controlPr locked="0" defaultSize="0" autoLine="0" autoPict="0">
                <anchor moveWithCells="1">
                  <from>
                    <xdr:col>4</xdr:col>
                    <xdr:colOff>9525</xdr:colOff>
                    <xdr:row>9</xdr:row>
                    <xdr:rowOff>9525</xdr:rowOff>
                  </from>
                  <to>
                    <xdr:col>5</xdr:col>
                    <xdr:colOff>9525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6" name="Drop Down 4">
              <controlPr locked="0" defaultSize="0" autoLine="0" autoPict="0">
                <anchor moveWithCells="1">
                  <from>
                    <xdr:col>4</xdr:col>
                    <xdr:colOff>9525</xdr:colOff>
                    <xdr:row>10</xdr:row>
                    <xdr:rowOff>9525</xdr:rowOff>
                  </from>
                  <to>
                    <xdr:col>5</xdr:col>
                    <xdr:colOff>9525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7" name="Drop Down 5">
              <controlPr locked="0" defaultSize="0" autoLine="0" autoPict="0">
                <anchor moveWithCells="1">
                  <from>
                    <xdr:col>4</xdr:col>
                    <xdr:colOff>9525</xdr:colOff>
                    <xdr:row>11</xdr:row>
                    <xdr:rowOff>9525</xdr:rowOff>
                  </from>
                  <to>
                    <xdr:col>5</xdr:col>
                    <xdr:colOff>9525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8" name="Drop Down 6">
              <controlPr locked="0" defaultSize="0" autoLine="0" autoPict="0">
                <anchor moveWithCells="1">
                  <from>
                    <xdr:col>4</xdr:col>
                    <xdr:colOff>9525</xdr:colOff>
                    <xdr:row>12</xdr:row>
                    <xdr:rowOff>9525</xdr:rowOff>
                  </from>
                  <to>
                    <xdr:col>5</xdr:col>
                    <xdr:colOff>9525</xdr:colOff>
                    <xdr:row>12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9" name="Drop Down 7">
              <controlPr locked="0" defaultSize="0" autoLine="0" autoPict="0">
                <anchor moveWithCells="1">
                  <from>
                    <xdr:col>4</xdr:col>
                    <xdr:colOff>9525</xdr:colOff>
                    <xdr:row>13</xdr:row>
                    <xdr:rowOff>9525</xdr:rowOff>
                  </from>
                  <to>
                    <xdr:col>5</xdr:col>
                    <xdr:colOff>9525</xdr:colOff>
                    <xdr:row>13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0" name="Drop Down 8">
              <controlPr locked="0" defaultSize="0" autoLine="0" autoPict="0">
                <anchor moveWithCells="1">
                  <from>
                    <xdr:col>4</xdr:col>
                    <xdr:colOff>9525</xdr:colOff>
                    <xdr:row>14</xdr:row>
                    <xdr:rowOff>9525</xdr:rowOff>
                  </from>
                  <to>
                    <xdr:col>5</xdr:col>
                    <xdr:colOff>9525</xdr:colOff>
                    <xdr:row>14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1" name="Drop Down 9">
              <controlPr locked="0" defaultSize="0" autoLine="0" autoPict="0">
                <anchor moveWithCells="1">
                  <from>
                    <xdr:col>4</xdr:col>
                    <xdr:colOff>9525</xdr:colOff>
                    <xdr:row>15</xdr:row>
                    <xdr:rowOff>9525</xdr:rowOff>
                  </from>
                  <to>
                    <xdr:col>5</xdr:col>
                    <xdr:colOff>9525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2" name="Drop Down 10">
              <controlPr locked="0" defaultSize="0" autoLine="0" autoPict="0">
                <anchor moveWithCells="1">
                  <from>
                    <xdr:col>4</xdr:col>
                    <xdr:colOff>9525</xdr:colOff>
                    <xdr:row>16</xdr:row>
                    <xdr:rowOff>9525</xdr:rowOff>
                  </from>
                  <to>
                    <xdr:col>5</xdr:col>
                    <xdr:colOff>9525</xdr:colOff>
                    <xdr:row>16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3" name="Drop Down 11">
              <controlPr locked="0" defaultSize="0" autoLine="0" autoPict="0">
                <anchor moveWithCells="1">
                  <from>
                    <xdr:col>4</xdr:col>
                    <xdr:colOff>9525</xdr:colOff>
                    <xdr:row>17</xdr:row>
                    <xdr:rowOff>9525</xdr:rowOff>
                  </from>
                  <to>
                    <xdr:col>5</xdr:col>
                    <xdr:colOff>9525</xdr:colOff>
                    <xdr:row>17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4" name="Drop Down 12">
              <controlPr locked="0" defaultSize="0" autoLine="0" autoPict="0">
                <anchor moveWithCells="1">
                  <from>
                    <xdr:col>4</xdr:col>
                    <xdr:colOff>9525</xdr:colOff>
                    <xdr:row>18</xdr:row>
                    <xdr:rowOff>9525</xdr:rowOff>
                  </from>
                  <to>
                    <xdr:col>5</xdr:col>
                    <xdr:colOff>9525</xdr:colOff>
                    <xdr:row>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5" name="Drop Down 13">
              <controlPr locked="0" defaultSize="0" autoLine="0" autoPict="0">
                <anchor moveWithCells="1">
                  <from>
                    <xdr:col>4</xdr:col>
                    <xdr:colOff>9525</xdr:colOff>
                    <xdr:row>19</xdr:row>
                    <xdr:rowOff>9525</xdr:rowOff>
                  </from>
                  <to>
                    <xdr:col>5</xdr:col>
                    <xdr:colOff>9525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6" name="Drop Down 14">
              <controlPr locked="0" defaultSize="0" autoLine="0" autoPict="0">
                <anchor moveWithCells="1">
                  <from>
                    <xdr:col>4</xdr:col>
                    <xdr:colOff>9525</xdr:colOff>
                    <xdr:row>20</xdr:row>
                    <xdr:rowOff>9525</xdr:rowOff>
                  </from>
                  <to>
                    <xdr:col>5</xdr:col>
                    <xdr:colOff>9525</xdr:colOff>
                    <xdr:row>20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7" name="Drop Down 15">
              <controlPr locked="0" defaultSize="0" autoLine="0" autoPict="0">
                <anchor moveWithCells="1">
                  <from>
                    <xdr:col>4</xdr:col>
                    <xdr:colOff>9525</xdr:colOff>
                    <xdr:row>21</xdr:row>
                    <xdr:rowOff>9525</xdr:rowOff>
                  </from>
                  <to>
                    <xdr:col>5</xdr:col>
                    <xdr:colOff>9525</xdr:colOff>
                    <xdr:row>21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8" name="Drop Down 16">
              <controlPr locked="0" defaultSize="0" autoLine="0" autoPict="0">
                <anchor moveWithCells="1">
                  <from>
                    <xdr:col>9</xdr:col>
                    <xdr:colOff>9525</xdr:colOff>
                    <xdr:row>7</xdr:row>
                    <xdr:rowOff>9525</xdr:rowOff>
                  </from>
                  <to>
                    <xdr:col>10</xdr:col>
                    <xdr:colOff>9525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19" name="Drop Down 17">
              <controlPr defaultSize="0" autoLine="0" autoPict="0">
                <anchor moveWithCells="1">
                  <from>
                    <xdr:col>9</xdr:col>
                    <xdr:colOff>9525</xdr:colOff>
                    <xdr:row>8</xdr:row>
                    <xdr:rowOff>9525</xdr:rowOff>
                  </from>
                  <to>
                    <xdr:col>10</xdr:col>
                    <xdr:colOff>9525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0" name="Drop Down 18">
              <controlPr defaultSize="0" autoLine="0" autoPict="0">
                <anchor moveWithCells="1">
                  <from>
                    <xdr:col>9</xdr:col>
                    <xdr:colOff>9525</xdr:colOff>
                    <xdr:row>9</xdr:row>
                    <xdr:rowOff>9525</xdr:rowOff>
                  </from>
                  <to>
                    <xdr:col>10</xdr:col>
                    <xdr:colOff>9525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1" name="Drop Down 19">
              <controlPr defaultSize="0" autoLine="0" autoPict="0">
                <anchor moveWithCells="1">
                  <from>
                    <xdr:col>9</xdr:col>
                    <xdr:colOff>9525</xdr:colOff>
                    <xdr:row>10</xdr:row>
                    <xdr:rowOff>9525</xdr:rowOff>
                  </from>
                  <to>
                    <xdr:col>10</xdr:col>
                    <xdr:colOff>9525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2" name="Drop Down 20">
              <controlPr defaultSize="0" autoLine="0" autoPict="0">
                <anchor moveWithCells="1">
                  <from>
                    <xdr:col>9</xdr:col>
                    <xdr:colOff>9525</xdr:colOff>
                    <xdr:row>11</xdr:row>
                    <xdr:rowOff>9525</xdr:rowOff>
                  </from>
                  <to>
                    <xdr:col>10</xdr:col>
                    <xdr:colOff>9525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3" name="Drop Down 21">
              <controlPr defaultSize="0" autoLine="0" autoPict="0">
                <anchor moveWithCells="1">
                  <from>
                    <xdr:col>9</xdr:col>
                    <xdr:colOff>9525</xdr:colOff>
                    <xdr:row>12</xdr:row>
                    <xdr:rowOff>9525</xdr:rowOff>
                  </from>
                  <to>
                    <xdr:col>10</xdr:col>
                    <xdr:colOff>9525</xdr:colOff>
                    <xdr:row>12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4" name="Drop Down 22">
              <controlPr defaultSize="0" autoLine="0" autoPict="0">
                <anchor moveWithCells="1">
                  <from>
                    <xdr:col>9</xdr:col>
                    <xdr:colOff>9525</xdr:colOff>
                    <xdr:row>13</xdr:row>
                    <xdr:rowOff>9525</xdr:rowOff>
                  </from>
                  <to>
                    <xdr:col>10</xdr:col>
                    <xdr:colOff>9525</xdr:colOff>
                    <xdr:row>13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5" name="Drop Down 23">
              <controlPr defaultSize="0" autoLine="0" autoPict="0">
                <anchor moveWithCells="1">
                  <from>
                    <xdr:col>9</xdr:col>
                    <xdr:colOff>9525</xdr:colOff>
                    <xdr:row>14</xdr:row>
                    <xdr:rowOff>9525</xdr:rowOff>
                  </from>
                  <to>
                    <xdr:col>10</xdr:col>
                    <xdr:colOff>9525</xdr:colOff>
                    <xdr:row>14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6" name="Drop Down 24">
              <controlPr defaultSize="0" autoLine="0" autoPict="0">
                <anchor moveWithCells="1">
                  <from>
                    <xdr:col>9</xdr:col>
                    <xdr:colOff>9525</xdr:colOff>
                    <xdr:row>15</xdr:row>
                    <xdr:rowOff>9525</xdr:rowOff>
                  </from>
                  <to>
                    <xdr:col>10</xdr:col>
                    <xdr:colOff>9525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7" name="Drop Down 25">
              <controlPr defaultSize="0" autoLine="0" autoPict="0">
                <anchor moveWithCells="1">
                  <from>
                    <xdr:col>9</xdr:col>
                    <xdr:colOff>9525</xdr:colOff>
                    <xdr:row>16</xdr:row>
                    <xdr:rowOff>9525</xdr:rowOff>
                  </from>
                  <to>
                    <xdr:col>10</xdr:col>
                    <xdr:colOff>9525</xdr:colOff>
                    <xdr:row>16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8" name="Drop Down 26">
              <controlPr defaultSize="0" autoLine="0" autoPict="0">
                <anchor moveWithCells="1">
                  <from>
                    <xdr:col>9</xdr:col>
                    <xdr:colOff>9525</xdr:colOff>
                    <xdr:row>17</xdr:row>
                    <xdr:rowOff>9525</xdr:rowOff>
                  </from>
                  <to>
                    <xdr:col>10</xdr:col>
                    <xdr:colOff>9525</xdr:colOff>
                    <xdr:row>17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29" name="Drop Down 27">
              <controlPr defaultSize="0" autoLine="0" autoPict="0">
                <anchor moveWithCells="1">
                  <from>
                    <xdr:col>9</xdr:col>
                    <xdr:colOff>9525</xdr:colOff>
                    <xdr:row>18</xdr:row>
                    <xdr:rowOff>9525</xdr:rowOff>
                  </from>
                  <to>
                    <xdr:col>10</xdr:col>
                    <xdr:colOff>9525</xdr:colOff>
                    <xdr:row>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30" name="Drop Down 28">
              <controlPr defaultSize="0" autoLine="0" autoPict="0">
                <anchor moveWithCells="1">
                  <from>
                    <xdr:col>9</xdr:col>
                    <xdr:colOff>9525</xdr:colOff>
                    <xdr:row>19</xdr:row>
                    <xdr:rowOff>9525</xdr:rowOff>
                  </from>
                  <to>
                    <xdr:col>10</xdr:col>
                    <xdr:colOff>9525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31" name="Drop Down 29">
              <controlPr defaultSize="0" autoLine="0" autoPict="0">
                <anchor moveWithCells="1">
                  <from>
                    <xdr:col>9</xdr:col>
                    <xdr:colOff>9525</xdr:colOff>
                    <xdr:row>20</xdr:row>
                    <xdr:rowOff>9525</xdr:rowOff>
                  </from>
                  <to>
                    <xdr:col>10</xdr:col>
                    <xdr:colOff>9525</xdr:colOff>
                    <xdr:row>20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32" name="Drop Down 30">
              <controlPr defaultSize="0" autoLine="0" autoPict="0">
                <anchor moveWithCells="1">
                  <from>
                    <xdr:col>9</xdr:col>
                    <xdr:colOff>9525</xdr:colOff>
                    <xdr:row>21</xdr:row>
                    <xdr:rowOff>9525</xdr:rowOff>
                  </from>
                  <to>
                    <xdr:col>10</xdr:col>
                    <xdr:colOff>9525</xdr:colOff>
                    <xdr:row>21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33" name="Drop Down 31">
              <controlPr locked="0" defaultSize="0" autoLine="0" autoPict="0">
                <anchor moveWithCells="1">
                  <from>
                    <xdr:col>9</xdr:col>
                    <xdr:colOff>9525</xdr:colOff>
                    <xdr:row>8</xdr:row>
                    <xdr:rowOff>9525</xdr:rowOff>
                  </from>
                  <to>
                    <xdr:col>10</xdr:col>
                    <xdr:colOff>9525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34" name="Drop Down 32">
              <controlPr locked="0" defaultSize="0" autoLine="0" autoPict="0">
                <anchor moveWithCells="1">
                  <from>
                    <xdr:col>9</xdr:col>
                    <xdr:colOff>9525</xdr:colOff>
                    <xdr:row>9</xdr:row>
                    <xdr:rowOff>9525</xdr:rowOff>
                  </from>
                  <to>
                    <xdr:col>10</xdr:col>
                    <xdr:colOff>9525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35" name="Drop Down 33">
              <controlPr locked="0" defaultSize="0" autoLine="0" autoPict="0">
                <anchor moveWithCells="1">
                  <from>
                    <xdr:col>9</xdr:col>
                    <xdr:colOff>9525</xdr:colOff>
                    <xdr:row>10</xdr:row>
                    <xdr:rowOff>9525</xdr:rowOff>
                  </from>
                  <to>
                    <xdr:col>10</xdr:col>
                    <xdr:colOff>9525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6" r:id="rId36" name="Drop Down 34">
              <controlPr locked="0" defaultSize="0" autoLine="0" autoPict="0">
                <anchor moveWithCells="1">
                  <from>
                    <xdr:col>9</xdr:col>
                    <xdr:colOff>9525</xdr:colOff>
                    <xdr:row>11</xdr:row>
                    <xdr:rowOff>9525</xdr:rowOff>
                  </from>
                  <to>
                    <xdr:col>10</xdr:col>
                    <xdr:colOff>9525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7" r:id="rId37" name="Drop Down 35">
              <controlPr locked="0" defaultSize="0" autoLine="0" autoPict="0">
                <anchor moveWithCells="1">
                  <from>
                    <xdr:col>9</xdr:col>
                    <xdr:colOff>9525</xdr:colOff>
                    <xdr:row>12</xdr:row>
                    <xdr:rowOff>9525</xdr:rowOff>
                  </from>
                  <to>
                    <xdr:col>10</xdr:col>
                    <xdr:colOff>9525</xdr:colOff>
                    <xdr:row>12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8" r:id="rId38" name="Drop Down 36">
              <controlPr locked="0" defaultSize="0" autoLine="0" autoPict="0">
                <anchor moveWithCells="1">
                  <from>
                    <xdr:col>9</xdr:col>
                    <xdr:colOff>9525</xdr:colOff>
                    <xdr:row>13</xdr:row>
                    <xdr:rowOff>9525</xdr:rowOff>
                  </from>
                  <to>
                    <xdr:col>10</xdr:col>
                    <xdr:colOff>9525</xdr:colOff>
                    <xdr:row>13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9" r:id="rId39" name="Drop Down 37">
              <controlPr locked="0" defaultSize="0" autoLine="0" autoPict="0">
                <anchor moveWithCells="1">
                  <from>
                    <xdr:col>9</xdr:col>
                    <xdr:colOff>9525</xdr:colOff>
                    <xdr:row>14</xdr:row>
                    <xdr:rowOff>9525</xdr:rowOff>
                  </from>
                  <to>
                    <xdr:col>10</xdr:col>
                    <xdr:colOff>9525</xdr:colOff>
                    <xdr:row>14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0" r:id="rId40" name="Drop Down 38">
              <controlPr locked="0" defaultSize="0" autoLine="0" autoPict="0">
                <anchor moveWithCells="1">
                  <from>
                    <xdr:col>9</xdr:col>
                    <xdr:colOff>9525</xdr:colOff>
                    <xdr:row>15</xdr:row>
                    <xdr:rowOff>9525</xdr:rowOff>
                  </from>
                  <to>
                    <xdr:col>10</xdr:col>
                    <xdr:colOff>9525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1" r:id="rId41" name="Drop Down 39">
              <controlPr locked="0" defaultSize="0" autoLine="0" autoPict="0">
                <anchor moveWithCells="1">
                  <from>
                    <xdr:col>9</xdr:col>
                    <xdr:colOff>9525</xdr:colOff>
                    <xdr:row>16</xdr:row>
                    <xdr:rowOff>9525</xdr:rowOff>
                  </from>
                  <to>
                    <xdr:col>10</xdr:col>
                    <xdr:colOff>9525</xdr:colOff>
                    <xdr:row>16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2" r:id="rId42" name="Drop Down 40">
              <controlPr locked="0" defaultSize="0" autoLine="0" autoPict="0">
                <anchor moveWithCells="1">
                  <from>
                    <xdr:col>9</xdr:col>
                    <xdr:colOff>9525</xdr:colOff>
                    <xdr:row>17</xdr:row>
                    <xdr:rowOff>9525</xdr:rowOff>
                  </from>
                  <to>
                    <xdr:col>10</xdr:col>
                    <xdr:colOff>9525</xdr:colOff>
                    <xdr:row>17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3" r:id="rId43" name="Drop Down 41">
              <controlPr locked="0" defaultSize="0" autoLine="0" autoPict="0">
                <anchor moveWithCells="1">
                  <from>
                    <xdr:col>9</xdr:col>
                    <xdr:colOff>9525</xdr:colOff>
                    <xdr:row>18</xdr:row>
                    <xdr:rowOff>9525</xdr:rowOff>
                  </from>
                  <to>
                    <xdr:col>10</xdr:col>
                    <xdr:colOff>9525</xdr:colOff>
                    <xdr:row>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4" r:id="rId44" name="Drop Down 42">
              <controlPr locked="0" defaultSize="0" autoLine="0" autoPict="0">
                <anchor moveWithCells="1">
                  <from>
                    <xdr:col>9</xdr:col>
                    <xdr:colOff>9525</xdr:colOff>
                    <xdr:row>19</xdr:row>
                    <xdr:rowOff>9525</xdr:rowOff>
                  </from>
                  <to>
                    <xdr:col>10</xdr:col>
                    <xdr:colOff>9525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5" r:id="rId45" name="Drop Down 43">
              <controlPr locked="0" defaultSize="0" autoLine="0" autoPict="0">
                <anchor moveWithCells="1">
                  <from>
                    <xdr:col>9</xdr:col>
                    <xdr:colOff>9525</xdr:colOff>
                    <xdr:row>20</xdr:row>
                    <xdr:rowOff>9525</xdr:rowOff>
                  </from>
                  <to>
                    <xdr:col>10</xdr:col>
                    <xdr:colOff>9525</xdr:colOff>
                    <xdr:row>20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6" r:id="rId46" name="Drop Down 44">
              <controlPr locked="0" defaultSize="0" autoLine="0" autoPict="0">
                <anchor moveWithCells="1">
                  <from>
                    <xdr:col>9</xdr:col>
                    <xdr:colOff>9525</xdr:colOff>
                    <xdr:row>21</xdr:row>
                    <xdr:rowOff>9525</xdr:rowOff>
                  </from>
                  <to>
                    <xdr:col>10</xdr:col>
                    <xdr:colOff>9525</xdr:colOff>
                    <xdr:row>21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7" r:id="rId47" name="Drop Down 45">
              <controlPr locked="0" defaultSize="0" autoLine="0" autoPict="0">
                <anchor moveWithCells="1">
                  <from>
                    <xdr:col>4</xdr:col>
                    <xdr:colOff>9525</xdr:colOff>
                    <xdr:row>8</xdr:row>
                    <xdr:rowOff>9525</xdr:rowOff>
                  </from>
                  <to>
                    <xdr:col>5</xdr:col>
                    <xdr:colOff>9525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8" r:id="rId48" name="Drop Down 46">
              <controlPr locked="0" defaultSize="0" autoLine="0" autoPict="0">
                <anchor moveWithCells="1">
                  <from>
                    <xdr:col>4</xdr:col>
                    <xdr:colOff>9525</xdr:colOff>
                    <xdr:row>9</xdr:row>
                    <xdr:rowOff>9525</xdr:rowOff>
                  </from>
                  <to>
                    <xdr:col>5</xdr:col>
                    <xdr:colOff>9525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9" r:id="rId49" name="Drop Down 47">
              <controlPr locked="0" defaultSize="0" autoLine="0" autoPict="0">
                <anchor moveWithCells="1">
                  <from>
                    <xdr:col>4</xdr:col>
                    <xdr:colOff>9525</xdr:colOff>
                    <xdr:row>10</xdr:row>
                    <xdr:rowOff>9525</xdr:rowOff>
                  </from>
                  <to>
                    <xdr:col>5</xdr:col>
                    <xdr:colOff>9525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0" r:id="rId50" name="Drop Down 48">
              <controlPr locked="0" defaultSize="0" autoLine="0" autoPict="0">
                <anchor moveWithCells="1">
                  <from>
                    <xdr:col>4</xdr:col>
                    <xdr:colOff>9525</xdr:colOff>
                    <xdr:row>11</xdr:row>
                    <xdr:rowOff>9525</xdr:rowOff>
                  </from>
                  <to>
                    <xdr:col>5</xdr:col>
                    <xdr:colOff>9525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1" r:id="rId51" name="Drop Down 49">
              <controlPr locked="0" defaultSize="0" autoLine="0" autoPict="0">
                <anchor moveWithCells="1">
                  <from>
                    <xdr:col>4</xdr:col>
                    <xdr:colOff>9525</xdr:colOff>
                    <xdr:row>12</xdr:row>
                    <xdr:rowOff>9525</xdr:rowOff>
                  </from>
                  <to>
                    <xdr:col>5</xdr:col>
                    <xdr:colOff>9525</xdr:colOff>
                    <xdr:row>12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2" r:id="rId52" name="Drop Down 50">
              <controlPr locked="0" defaultSize="0" autoLine="0" autoPict="0">
                <anchor moveWithCells="1">
                  <from>
                    <xdr:col>4</xdr:col>
                    <xdr:colOff>9525</xdr:colOff>
                    <xdr:row>13</xdr:row>
                    <xdr:rowOff>9525</xdr:rowOff>
                  </from>
                  <to>
                    <xdr:col>5</xdr:col>
                    <xdr:colOff>9525</xdr:colOff>
                    <xdr:row>13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3" r:id="rId53" name="Drop Down 51">
              <controlPr locked="0" defaultSize="0" autoLine="0" autoPict="0">
                <anchor moveWithCells="1">
                  <from>
                    <xdr:col>4</xdr:col>
                    <xdr:colOff>9525</xdr:colOff>
                    <xdr:row>14</xdr:row>
                    <xdr:rowOff>9525</xdr:rowOff>
                  </from>
                  <to>
                    <xdr:col>5</xdr:col>
                    <xdr:colOff>9525</xdr:colOff>
                    <xdr:row>14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4" r:id="rId54" name="Drop Down 52">
              <controlPr locked="0" defaultSize="0" autoLine="0" autoPict="0">
                <anchor moveWithCells="1">
                  <from>
                    <xdr:col>4</xdr:col>
                    <xdr:colOff>9525</xdr:colOff>
                    <xdr:row>15</xdr:row>
                    <xdr:rowOff>9525</xdr:rowOff>
                  </from>
                  <to>
                    <xdr:col>5</xdr:col>
                    <xdr:colOff>9525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5" r:id="rId55" name="Drop Down 53">
              <controlPr locked="0" defaultSize="0" autoLine="0" autoPict="0">
                <anchor moveWithCells="1">
                  <from>
                    <xdr:col>4</xdr:col>
                    <xdr:colOff>9525</xdr:colOff>
                    <xdr:row>16</xdr:row>
                    <xdr:rowOff>9525</xdr:rowOff>
                  </from>
                  <to>
                    <xdr:col>5</xdr:col>
                    <xdr:colOff>9525</xdr:colOff>
                    <xdr:row>16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6" r:id="rId56" name="Drop Down 54">
              <controlPr locked="0" defaultSize="0" autoLine="0" autoPict="0">
                <anchor moveWithCells="1">
                  <from>
                    <xdr:col>4</xdr:col>
                    <xdr:colOff>9525</xdr:colOff>
                    <xdr:row>17</xdr:row>
                    <xdr:rowOff>9525</xdr:rowOff>
                  </from>
                  <to>
                    <xdr:col>5</xdr:col>
                    <xdr:colOff>9525</xdr:colOff>
                    <xdr:row>17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7" r:id="rId57" name="Drop Down 55">
              <controlPr locked="0" defaultSize="0" autoLine="0" autoPict="0">
                <anchor moveWithCells="1">
                  <from>
                    <xdr:col>4</xdr:col>
                    <xdr:colOff>9525</xdr:colOff>
                    <xdr:row>18</xdr:row>
                    <xdr:rowOff>9525</xdr:rowOff>
                  </from>
                  <to>
                    <xdr:col>5</xdr:col>
                    <xdr:colOff>9525</xdr:colOff>
                    <xdr:row>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8" r:id="rId58" name="Drop Down 56">
              <controlPr locked="0" defaultSize="0" autoLine="0" autoPict="0">
                <anchor moveWithCells="1">
                  <from>
                    <xdr:col>4</xdr:col>
                    <xdr:colOff>9525</xdr:colOff>
                    <xdr:row>19</xdr:row>
                    <xdr:rowOff>9525</xdr:rowOff>
                  </from>
                  <to>
                    <xdr:col>5</xdr:col>
                    <xdr:colOff>9525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9" r:id="rId59" name="Drop Down 57">
              <controlPr locked="0" defaultSize="0" autoLine="0" autoPict="0">
                <anchor moveWithCells="1">
                  <from>
                    <xdr:col>4</xdr:col>
                    <xdr:colOff>9525</xdr:colOff>
                    <xdr:row>20</xdr:row>
                    <xdr:rowOff>9525</xdr:rowOff>
                  </from>
                  <to>
                    <xdr:col>5</xdr:col>
                    <xdr:colOff>9525</xdr:colOff>
                    <xdr:row>20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0" r:id="rId60" name="Drop Down 58">
              <controlPr locked="0" defaultSize="0" autoLine="0" autoPict="0">
                <anchor moveWithCells="1">
                  <from>
                    <xdr:col>4</xdr:col>
                    <xdr:colOff>9525</xdr:colOff>
                    <xdr:row>21</xdr:row>
                    <xdr:rowOff>9525</xdr:rowOff>
                  </from>
                  <to>
                    <xdr:col>5</xdr:col>
                    <xdr:colOff>9525</xdr:colOff>
                    <xdr:row>21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1" r:id="rId61" name="Drop Down 59">
              <controlPr locked="0" defaultSize="0" autoLine="0" autoPict="0">
                <anchor moveWithCells="1">
                  <from>
                    <xdr:col>9</xdr:col>
                    <xdr:colOff>9525</xdr:colOff>
                    <xdr:row>7</xdr:row>
                    <xdr:rowOff>9525</xdr:rowOff>
                  </from>
                  <to>
                    <xdr:col>10</xdr:col>
                    <xdr:colOff>9525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2" r:id="rId62" name="Drop Down 60">
              <controlPr defaultSize="0" autoLine="0" autoPict="0">
                <anchor moveWithCells="1">
                  <from>
                    <xdr:col>9</xdr:col>
                    <xdr:colOff>9525</xdr:colOff>
                    <xdr:row>8</xdr:row>
                    <xdr:rowOff>9525</xdr:rowOff>
                  </from>
                  <to>
                    <xdr:col>10</xdr:col>
                    <xdr:colOff>9525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3" r:id="rId63" name="Drop Down 61">
              <controlPr defaultSize="0" autoLine="0" autoPict="0">
                <anchor moveWithCells="1">
                  <from>
                    <xdr:col>9</xdr:col>
                    <xdr:colOff>9525</xdr:colOff>
                    <xdr:row>9</xdr:row>
                    <xdr:rowOff>9525</xdr:rowOff>
                  </from>
                  <to>
                    <xdr:col>10</xdr:col>
                    <xdr:colOff>9525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4" r:id="rId64" name="Drop Down 62">
              <controlPr defaultSize="0" autoLine="0" autoPict="0">
                <anchor moveWithCells="1">
                  <from>
                    <xdr:col>9</xdr:col>
                    <xdr:colOff>9525</xdr:colOff>
                    <xdr:row>10</xdr:row>
                    <xdr:rowOff>9525</xdr:rowOff>
                  </from>
                  <to>
                    <xdr:col>10</xdr:col>
                    <xdr:colOff>9525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5" r:id="rId65" name="Drop Down 63">
              <controlPr defaultSize="0" autoLine="0" autoPict="0">
                <anchor moveWithCells="1">
                  <from>
                    <xdr:col>9</xdr:col>
                    <xdr:colOff>9525</xdr:colOff>
                    <xdr:row>11</xdr:row>
                    <xdr:rowOff>9525</xdr:rowOff>
                  </from>
                  <to>
                    <xdr:col>10</xdr:col>
                    <xdr:colOff>9525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6" r:id="rId66" name="Drop Down 64">
              <controlPr defaultSize="0" autoLine="0" autoPict="0">
                <anchor moveWithCells="1">
                  <from>
                    <xdr:col>9</xdr:col>
                    <xdr:colOff>9525</xdr:colOff>
                    <xdr:row>12</xdr:row>
                    <xdr:rowOff>9525</xdr:rowOff>
                  </from>
                  <to>
                    <xdr:col>10</xdr:col>
                    <xdr:colOff>9525</xdr:colOff>
                    <xdr:row>12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7" r:id="rId67" name="Drop Down 65">
              <controlPr defaultSize="0" autoLine="0" autoPict="0">
                <anchor moveWithCells="1">
                  <from>
                    <xdr:col>9</xdr:col>
                    <xdr:colOff>9525</xdr:colOff>
                    <xdr:row>13</xdr:row>
                    <xdr:rowOff>9525</xdr:rowOff>
                  </from>
                  <to>
                    <xdr:col>10</xdr:col>
                    <xdr:colOff>9525</xdr:colOff>
                    <xdr:row>13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8" r:id="rId68" name="Drop Down 66">
              <controlPr defaultSize="0" autoLine="0" autoPict="0">
                <anchor moveWithCells="1">
                  <from>
                    <xdr:col>9</xdr:col>
                    <xdr:colOff>9525</xdr:colOff>
                    <xdr:row>14</xdr:row>
                    <xdr:rowOff>9525</xdr:rowOff>
                  </from>
                  <to>
                    <xdr:col>10</xdr:col>
                    <xdr:colOff>9525</xdr:colOff>
                    <xdr:row>14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9" r:id="rId69" name="Drop Down 67">
              <controlPr defaultSize="0" autoLine="0" autoPict="0">
                <anchor moveWithCells="1">
                  <from>
                    <xdr:col>9</xdr:col>
                    <xdr:colOff>9525</xdr:colOff>
                    <xdr:row>15</xdr:row>
                    <xdr:rowOff>9525</xdr:rowOff>
                  </from>
                  <to>
                    <xdr:col>10</xdr:col>
                    <xdr:colOff>9525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0" r:id="rId70" name="Drop Down 68">
              <controlPr defaultSize="0" autoLine="0" autoPict="0">
                <anchor moveWithCells="1">
                  <from>
                    <xdr:col>9</xdr:col>
                    <xdr:colOff>9525</xdr:colOff>
                    <xdr:row>16</xdr:row>
                    <xdr:rowOff>9525</xdr:rowOff>
                  </from>
                  <to>
                    <xdr:col>10</xdr:col>
                    <xdr:colOff>9525</xdr:colOff>
                    <xdr:row>16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1" r:id="rId71" name="Drop Down 69">
              <controlPr defaultSize="0" autoLine="0" autoPict="0">
                <anchor moveWithCells="1">
                  <from>
                    <xdr:col>9</xdr:col>
                    <xdr:colOff>9525</xdr:colOff>
                    <xdr:row>17</xdr:row>
                    <xdr:rowOff>9525</xdr:rowOff>
                  </from>
                  <to>
                    <xdr:col>10</xdr:col>
                    <xdr:colOff>9525</xdr:colOff>
                    <xdr:row>17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2" r:id="rId72" name="Drop Down 70">
              <controlPr defaultSize="0" autoLine="0" autoPict="0">
                <anchor moveWithCells="1">
                  <from>
                    <xdr:col>9</xdr:col>
                    <xdr:colOff>9525</xdr:colOff>
                    <xdr:row>18</xdr:row>
                    <xdr:rowOff>9525</xdr:rowOff>
                  </from>
                  <to>
                    <xdr:col>10</xdr:col>
                    <xdr:colOff>9525</xdr:colOff>
                    <xdr:row>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3" r:id="rId73" name="Drop Down 71">
              <controlPr defaultSize="0" autoLine="0" autoPict="0">
                <anchor moveWithCells="1">
                  <from>
                    <xdr:col>9</xdr:col>
                    <xdr:colOff>9525</xdr:colOff>
                    <xdr:row>19</xdr:row>
                    <xdr:rowOff>9525</xdr:rowOff>
                  </from>
                  <to>
                    <xdr:col>10</xdr:col>
                    <xdr:colOff>9525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4" r:id="rId74" name="Drop Down 72">
              <controlPr defaultSize="0" autoLine="0" autoPict="0">
                <anchor moveWithCells="1">
                  <from>
                    <xdr:col>9</xdr:col>
                    <xdr:colOff>9525</xdr:colOff>
                    <xdr:row>20</xdr:row>
                    <xdr:rowOff>9525</xdr:rowOff>
                  </from>
                  <to>
                    <xdr:col>10</xdr:col>
                    <xdr:colOff>9525</xdr:colOff>
                    <xdr:row>20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5" r:id="rId75" name="Drop Down 73">
              <controlPr defaultSize="0" autoLine="0" autoPict="0">
                <anchor moveWithCells="1">
                  <from>
                    <xdr:col>9</xdr:col>
                    <xdr:colOff>9525</xdr:colOff>
                    <xdr:row>21</xdr:row>
                    <xdr:rowOff>9525</xdr:rowOff>
                  </from>
                  <to>
                    <xdr:col>10</xdr:col>
                    <xdr:colOff>9525</xdr:colOff>
                    <xdr:row>21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6" r:id="rId76" name="Drop Down 74">
              <controlPr locked="0" defaultSize="0" autoLine="0" autoPict="0">
                <anchor moveWithCells="1">
                  <from>
                    <xdr:col>9</xdr:col>
                    <xdr:colOff>9525</xdr:colOff>
                    <xdr:row>8</xdr:row>
                    <xdr:rowOff>9525</xdr:rowOff>
                  </from>
                  <to>
                    <xdr:col>10</xdr:col>
                    <xdr:colOff>9525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7" r:id="rId77" name="Drop Down 75">
              <controlPr locked="0" defaultSize="0" autoLine="0" autoPict="0">
                <anchor moveWithCells="1">
                  <from>
                    <xdr:col>9</xdr:col>
                    <xdr:colOff>9525</xdr:colOff>
                    <xdr:row>9</xdr:row>
                    <xdr:rowOff>9525</xdr:rowOff>
                  </from>
                  <to>
                    <xdr:col>10</xdr:col>
                    <xdr:colOff>9525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8" r:id="rId78" name="Drop Down 76">
              <controlPr locked="0" defaultSize="0" autoLine="0" autoPict="0">
                <anchor moveWithCells="1">
                  <from>
                    <xdr:col>9</xdr:col>
                    <xdr:colOff>9525</xdr:colOff>
                    <xdr:row>10</xdr:row>
                    <xdr:rowOff>9525</xdr:rowOff>
                  </from>
                  <to>
                    <xdr:col>10</xdr:col>
                    <xdr:colOff>9525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9" r:id="rId79" name="Drop Down 77">
              <controlPr locked="0" defaultSize="0" autoLine="0" autoPict="0">
                <anchor moveWithCells="1">
                  <from>
                    <xdr:col>9</xdr:col>
                    <xdr:colOff>9525</xdr:colOff>
                    <xdr:row>11</xdr:row>
                    <xdr:rowOff>9525</xdr:rowOff>
                  </from>
                  <to>
                    <xdr:col>10</xdr:col>
                    <xdr:colOff>9525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0" r:id="rId80" name="Drop Down 78">
              <controlPr locked="0" defaultSize="0" autoLine="0" autoPict="0">
                <anchor moveWithCells="1">
                  <from>
                    <xdr:col>9</xdr:col>
                    <xdr:colOff>9525</xdr:colOff>
                    <xdr:row>12</xdr:row>
                    <xdr:rowOff>9525</xdr:rowOff>
                  </from>
                  <to>
                    <xdr:col>10</xdr:col>
                    <xdr:colOff>9525</xdr:colOff>
                    <xdr:row>12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1" r:id="rId81" name="Drop Down 79">
              <controlPr locked="0" defaultSize="0" autoLine="0" autoPict="0">
                <anchor moveWithCells="1">
                  <from>
                    <xdr:col>9</xdr:col>
                    <xdr:colOff>9525</xdr:colOff>
                    <xdr:row>13</xdr:row>
                    <xdr:rowOff>9525</xdr:rowOff>
                  </from>
                  <to>
                    <xdr:col>10</xdr:col>
                    <xdr:colOff>9525</xdr:colOff>
                    <xdr:row>13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2" r:id="rId82" name="Drop Down 80">
              <controlPr locked="0" defaultSize="0" autoLine="0" autoPict="0">
                <anchor moveWithCells="1">
                  <from>
                    <xdr:col>9</xdr:col>
                    <xdr:colOff>9525</xdr:colOff>
                    <xdr:row>14</xdr:row>
                    <xdr:rowOff>9525</xdr:rowOff>
                  </from>
                  <to>
                    <xdr:col>10</xdr:col>
                    <xdr:colOff>9525</xdr:colOff>
                    <xdr:row>14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3" r:id="rId83" name="Drop Down 81">
              <controlPr locked="0" defaultSize="0" autoLine="0" autoPict="0">
                <anchor moveWithCells="1">
                  <from>
                    <xdr:col>9</xdr:col>
                    <xdr:colOff>9525</xdr:colOff>
                    <xdr:row>15</xdr:row>
                    <xdr:rowOff>9525</xdr:rowOff>
                  </from>
                  <to>
                    <xdr:col>10</xdr:col>
                    <xdr:colOff>9525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4" r:id="rId84" name="Drop Down 82">
              <controlPr locked="0" defaultSize="0" autoLine="0" autoPict="0">
                <anchor moveWithCells="1">
                  <from>
                    <xdr:col>9</xdr:col>
                    <xdr:colOff>9525</xdr:colOff>
                    <xdr:row>16</xdr:row>
                    <xdr:rowOff>9525</xdr:rowOff>
                  </from>
                  <to>
                    <xdr:col>10</xdr:col>
                    <xdr:colOff>9525</xdr:colOff>
                    <xdr:row>16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5" r:id="rId85" name="Drop Down 83">
              <controlPr locked="0" defaultSize="0" autoLine="0" autoPict="0">
                <anchor moveWithCells="1">
                  <from>
                    <xdr:col>9</xdr:col>
                    <xdr:colOff>9525</xdr:colOff>
                    <xdr:row>17</xdr:row>
                    <xdr:rowOff>9525</xdr:rowOff>
                  </from>
                  <to>
                    <xdr:col>10</xdr:col>
                    <xdr:colOff>9525</xdr:colOff>
                    <xdr:row>17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6" r:id="rId86" name="Drop Down 84">
              <controlPr locked="0" defaultSize="0" autoLine="0" autoPict="0">
                <anchor moveWithCells="1">
                  <from>
                    <xdr:col>9</xdr:col>
                    <xdr:colOff>9525</xdr:colOff>
                    <xdr:row>18</xdr:row>
                    <xdr:rowOff>9525</xdr:rowOff>
                  </from>
                  <to>
                    <xdr:col>10</xdr:col>
                    <xdr:colOff>9525</xdr:colOff>
                    <xdr:row>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7" r:id="rId87" name="Drop Down 85">
              <controlPr locked="0" defaultSize="0" autoLine="0" autoPict="0">
                <anchor moveWithCells="1">
                  <from>
                    <xdr:col>9</xdr:col>
                    <xdr:colOff>9525</xdr:colOff>
                    <xdr:row>19</xdr:row>
                    <xdr:rowOff>9525</xdr:rowOff>
                  </from>
                  <to>
                    <xdr:col>10</xdr:col>
                    <xdr:colOff>9525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8" r:id="rId88" name="Drop Down 86">
              <controlPr locked="0" defaultSize="0" autoLine="0" autoPict="0">
                <anchor moveWithCells="1">
                  <from>
                    <xdr:col>9</xdr:col>
                    <xdr:colOff>9525</xdr:colOff>
                    <xdr:row>20</xdr:row>
                    <xdr:rowOff>9525</xdr:rowOff>
                  </from>
                  <to>
                    <xdr:col>10</xdr:col>
                    <xdr:colOff>9525</xdr:colOff>
                    <xdr:row>20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9" r:id="rId89" name="Drop Down 87">
              <controlPr locked="0" defaultSize="0" autoLine="0" autoPict="0">
                <anchor moveWithCells="1">
                  <from>
                    <xdr:col>9</xdr:col>
                    <xdr:colOff>9525</xdr:colOff>
                    <xdr:row>21</xdr:row>
                    <xdr:rowOff>9525</xdr:rowOff>
                  </from>
                  <to>
                    <xdr:col>10</xdr:col>
                    <xdr:colOff>9525</xdr:colOff>
                    <xdr:row>21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0" r:id="rId90" name="Drop Down 88">
              <controlPr locked="0" defaultSize="0" autoLine="0" autoPict="0">
                <anchor moveWithCells="1">
                  <from>
                    <xdr:col>11</xdr:col>
                    <xdr:colOff>9525</xdr:colOff>
                    <xdr:row>7</xdr:row>
                    <xdr:rowOff>9525</xdr:rowOff>
                  </from>
                  <to>
                    <xdr:col>11</xdr:col>
                    <xdr:colOff>714375</xdr:colOff>
                    <xdr:row>7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1" r:id="rId91" name="Drop Down 89">
              <controlPr locked="0" defaultSize="0" autoLine="0" autoPict="0">
                <anchor moveWithCells="1">
                  <from>
                    <xdr:col>11</xdr:col>
                    <xdr:colOff>9525</xdr:colOff>
                    <xdr:row>8</xdr:row>
                    <xdr:rowOff>9525</xdr:rowOff>
                  </from>
                  <to>
                    <xdr:col>11</xdr:col>
                    <xdr:colOff>714375</xdr:colOff>
                    <xdr:row>8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2" r:id="rId92" name="Drop Down 90">
              <controlPr locked="0" defaultSize="0" autoLine="0" autoPict="0">
                <anchor moveWithCells="1">
                  <from>
                    <xdr:col>11</xdr:col>
                    <xdr:colOff>9525</xdr:colOff>
                    <xdr:row>9</xdr:row>
                    <xdr:rowOff>9525</xdr:rowOff>
                  </from>
                  <to>
                    <xdr:col>11</xdr:col>
                    <xdr:colOff>714375</xdr:colOff>
                    <xdr:row>9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3" r:id="rId93" name="Drop Down 91">
              <controlPr locked="0" defaultSize="0" autoLine="0" autoPict="0">
                <anchor moveWithCells="1">
                  <from>
                    <xdr:col>11</xdr:col>
                    <xdr:colOff>9525</xdr:colOff>
                    <xdr:row>10</xdr:row>
                    <xdr:rowOff>9525</xdr:rowOff>
                  </from>
                  <to>
                    <xdr:col>11</xdr:col>
                    <xdr:colOff>714375</xdr:colOff>
                    <xdr:row>10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4" r:id="rId94" name="Drop Down 92">
              <controlPr locked="0" defaultSize="0" autoLine="0" autoPict="0">
                <anchor moveWithCells="1">
                  <from>
                    <xdr:col>11</xdr:col>
                    <xdr:colOff>9525</xdr:colOff>
                    <xdr:row>11</xdr:row>
                    <xdr:rowOff>9525</xdr:rowOff>
                  </from>
                  <to>
                    <xdr:col>11</xdr:col>
                    <xdr:colOff>714375</xdr:colOff>
                    <xdr:row>11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5" r:id="rId95" name="Drop Down 93">
              <controlPr locked="0" defaultSize="0" autoLine="0" autoPict="0">
                <anchor moveWithCells="1">
                  <from>
                    <xdr:col>11</xdr:col>
                    <xdr:colOff>9525</xdr:colOff>
                    <xdr:row>12</xdr:row>
                    <xdr:rowOff>9525</xdr:rowOff>
                  </from>
                  <to>
                    <xdr:col>11</xdr:col>
                    <xdr:colOff>714375</xdr:colOff>
                    <xdr:row>12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6" r:id="rId96" name="Drop Down 94">
              <controlPr locked="0" defaultSize="0" autoLine="0" autoPict="0">
                <anchor moveWithCells="1">
                  <from>
                    <xdr:col>11</xdr:col>
                    <xdr:colOff>9525</xdr:colOff>
                    <xdr:row>13</xdr:row>
                    <xdr:rowOff>9525</xdr:rowOff>
                  </from>
                  <to>
                    <xdr:col>11</xdr:col>
                    <xdr:colOff>714375</xdr:colOff>
                    <xdr:row>13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7" r:id="rId97" name="Drop Down 95">
              <controlPr locked="0" defaultSize="0" autoLine="0" autoPict="0">
                <anchor moveWithCells="1">
                  <from>
                    <xdr:col>11</xdr:col>
                    <xdr:colOff>9525</xdr:colOff>
                    <xdr:row>14</xdr:row>
                    <xdr:rowOff>9525</xdr:rowOff>
                  </from>
                  <to>
                    <xdr:col>11</xdr:col>
                    <xdr:colOff>714375</xdr:colOff>
                    <xdr:row>14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8" r:id="rId98" name="Drop Down 96">
              <controlPr locked="0" defaultSize="0" autoLine="0" autoPict="0">
                <anchor moveWithCells="1">
                  <from>
                    <xdr:col>11</xdr:col>
                    <xdr:colOff>9525</xdr:colOff>
                    <xdr:row>15</xdr:row>
                    <xdr:rowOff>9525</xdr:rowOff>
                  </from>
                  <to>
                    <xdr:col>11</xdr:col>
                    <xdr:colOff>714375</xdr:colOff>
                    <xdr:row>15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9" r:id="rId99" name="Drop Down 97">
              <controlPr locked="0" defaultSize="0" autoLine="0" autoPict="0">
                <anchor moveWithCells="1">
                  <from>
                    <xdr:col>11</xdr:col>
                    <xdr:colOff>9525</xdr:colOff>
                    <xdr:row>16</xdr:row>
                    <xdr:rowOff>9525</xdr:rowOff>
                  </from>
                  <to>
                    <xdr:col>11</xdr:col>
                    <xdr:colOff>714375</xdr:colOff>
                    <xdr:row>16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0" r:id="rId100" name="Drop Down 98">
              <controlPr locked="0" defaultSize="0" autoLine="0" autoPict="0">
                <anchor moveWithCells="1">
                  <from>
                    <xdr:col>11</xdr:col>
                    <xdr:colOff>9525</xdr:colOff>
                    <xdr:row>17</xdr:row>
                    <xdr:rowOff>9525</xdr:rowOff>
                  </from>
                  <to>
                    <xdr:col>11</xdr:col>
                    <xdr:colOff>714375</xdr:colOff>
                    <xdr:row>17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1" r:id="rId101" name="Drop Down 99">
              <controlPr locked="0" defaultSize="0" autoLine="0" autoPict="0">
                <anchor moveWithCells="1">
                  <from>
                    <xdr:col>11</xdr:col>
                    <xdr:colOff>9525</xdr:colOff>
                    <xdr:row>18</xdr:row>
                    <xdr:rowOff>9525</xdr:rowOff>
                  </from>
                  <to>
                    <xdr:col>11</xdr:col>
                    <xdr:colOff>714375</xdr:colOff>
                    <xdr:row>18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2" r:id="rId102" name="Drop Down 100">
              <controlPr locked="0" defaultSize="0" autoLine="0" autoPict="0">
                <anchor moveWithCells="1">
                  <from>
                    <xdr:col>11</xdr:col>
                    <xdr:colOff>9525</xdr:colOff>
                    <xdr:row>19</xdr:row>
                    <xdr:rowOff>9525</xdr:rowOff>
                  </from>
                  <to>
                    <xdr:col>11</xdr:col>
                    <xdr:colOff>714375</xdr:colOff>
                    <xdr:row>19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3" r:id="rId103" name="Drop Down 101">
              <controlPr locked="0" defaultSize="0" autoLine="0" autoPict="0">
                <anchor moveWithCells="1">
                  <from>
                    <xdr:col>11</xdr:col>
                    <xdr:colOff>9525</xdr:colOff>
                    <xdr:row>20</xdr:row>
                    <xdr:rowOff>9525</xdr:rowOff>
                  </from>
                  <to>
                    <xdr:col>11</xdr:col>
                    <xdr:colOff>714375</xdr:colOff>
                    <xdr:row>20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" r:id="rId104" name="Drop Down 102">
              <controlPr locked="0" defaultSize="0" autoLine="0" autoPict="0">
                <anchor moveWithCells="1">
                  <from>
                    <xdr:col>11</xdr:col>
                    <xdr:colOff>9525</xdr:colOff>
                    <xdr:row>21</xdr:row>
                    <xdr:rowOff>9525</xdr:rowOff>
                  </from>
                  <to>
                    <xdr:col>11</xdr:col>
                    <xdr:colOff>714375</xdr:colOff>
                    <xdr:row>21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" r:id="rId105" name="Drop Down 103">
              <controlPr locked="0" defaultSize="0" autoLine="0" autoPict="0">
                <anchor moveWithCells="1">
                  <from>
                    <xdr:col>9</xdr:col>
                    <xdr:colOff>9525</xdr:colOff>
                    <xdr:row>8</xdr:row>
                    <xdr:rowOff>9525</xdr:rowOff>
                  </from>
                  <to>
                    <xdr:col>10</xdr:col>
                    <xdr:colOff>9525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6" r:id="rId106" name="Drop Down 104">
              <controlPr locked="0" defaultSize="0" autoLine="0" autoPict="0">
                <anchor moveWithCells="1">
                  <from>
                    <xdr:col>9</xdr:col>
                    <xdr:colOff>9525</xdr:colOff>
                    <xdr:row>9</xdr:row>
                    <xdr:rowOff>9525</xdr:rowOff>
                  </from>
                  <to>
                    <xdr:col>10</xdr:col>
                    <xdr:colOff>9525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7" r:id="rId107" name="Drop Down 105">
              <controlPr locked="0" defaultSize="0" autoLine="0" autoPict="0">
                <anchor moveWithCells="1">
                  <from>
                    <xdr:col>9</xdr:col>
                    <xdr:colOff>9525</xdr:colOff>
                    <xdr:row>10</xdr:row>
                    <xdr:rowOff>9525</xdr:rowOff>
                  </from>
                  <to>
                    <xdr:col>10</xdr:col>
                    <xdr:colOff>9525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8" r:id="rId108" name="Drop Down 106">
              <controlPr locked="0" defaultSize="0" autoLine="0" autoPict="0">
                <anchor moveWithCells="1">
                  <from>
                    <xdr:col>9</xdr:col>
                    <xdr:colOff>9525</xdr:colOff>
                    <xdr:row>11</xdr:row>
                    <xdr:rowOff>9525</xdr:rowOff>
                  </from>
                  <to>
                    <xdr:col>10</xdr:col>
                    <xdr:colOff>9525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9" r:id="rId109" name="Drop Down 107">
              <controlPr locked="0" defaultSize="0" autoLine="0" autoPict="0">
                <anchor moveWithCells="1">
                  <from>
                    <xdr:col>9</xdr:col>
                    <xdr:colOff>9525</xdr:colOff>
                    <xdr:row>12</xdr:row>
                    <xdr:rowOff>9525</xdr:rowOff>
                  </from>
                  <to>
                    <xdr:col>10</xdr:col>
                    <xdr:colOff>9525</xdr:colOff>
                    <xdr:row>12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0" r:id="rId110" name="Drop Down 108">
              <controlPr locked="0" defaultSize="0" autoLine="0" autoPict="0">
                <anchor moveWithCells="1">
                  <from>
                    <xdr:col>9</xdr:col>
                    <xdr:colOff>9525</xdr:colOff>
                    <xdr:row>13</xdr:row>
                    <xdr:rowOff>9525</xdr:rowOff>
                  </from>
                  <to>
                    <xdr:col>10</xdr:col>
                    <xdr:colOff>9525</xdr:colOff>
                    <xdr:row>13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1" r:id="rId111" name="Drop Down 109">
              <controlPr locked="0" defaultSize="0" autoLine="0" autoPict="0">
                <anchor moveWithCells="1">
                  <from>
                    <xdr:col>9</xdr:col>
                    <xdr:colOff>9525</xdr:colOff>
                    <xdr:row>14</xdr:row>
                    <xdr:rowOff>9525</xdr:rowOff>
                  </from>
                  <to>
                    <xdr:col>10</xdr:col>
                    <xdr:colOff>9525</xdr:colOff>
                    <xdr:row>14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2" r:id="rId112" name="Drop Down 110">
              <controlPr locked="0" defaultSize="0" autoLine="0" autoPict="0">
                <anchor moveWithCells="1">
                  <from>
                    <xdr:col>9</xdr:col>
                    <xdr:colOff>9525</xdr:colOff>
                    <xdr:row>15</xdr:row>
                    <xdr:rowOff>9525</xdr:rowOff>
                  </from>
                  <to>
                    <xdr:col>10</xdr:col>
                    <xdr:colOff>9525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3" r:id="rId113" name="Drop Down 111">
              <controlPr locked="0" defaultSize="0" autoLine="0" autoPict="0">
                <anchor moveWithCells="1">
                  <from>
                    <xdr:col>9</xdr:col>
                    <xdr:colOff>9525</xdr:colOff>
                    <xdr:row>16</xdr:row>
                    <xdr:rowOff>9525</xdr:rowOff>
                  </from>
                  <to>
                    <xdr:col>10</xdr:col>
                    <xdr:colOff>9525</xdr:colOff>
                    <xdr:row>16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4" r:id="rId114" name="Drop Down 112">
              <controlPr locked="0" defaultSize="0" autoLine="0" autoPict="0">
                <anchor moveWithCells="1">
                  <from>
                    <xdr:col>9</xdr:col>
                    <xdr:colOff>9525</xdr:colOff>
                    <xdr:row>17</xdr:row>
                    <xdr:rowOff>9525</xdr:rowOff>
                  </from>
                  <to>
                    <xdr:col>10</xdr:col>
                    <xdr:colOff>9525</xdr:colOff>
                    <xdr:row>17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5" r:id="rId115" name="Drop Down 113">
              <controlPr locked="0" defaultSize="0" autoLine="0" autoPict="0">
                <anchor moveWithCells="1">
                  <from>
                    <xdr:col>9</xdr:col>
                    <xdr:colOff>9525</xdr:colOff>
                    <xdr:row>18</xdr:row>
                    <xdr:rowOff>9525</xdr:rowOff>
                  </from>
                  <to>
                    <xdr:col>10</xdr:col>
                    <xdr:colOff>9525</xdr:colOff>
                    <xdr:row>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6" r:id="rId116" name="Drop Down 114">
              <controlPr locked="0" defaultSize="0" autoLine="0" autoPict="0">
                <anchor moveWithCells="1">
                  <from>
                    <xdr:col>9</xdr:col>
                    <xdr:colOff>9525</xdr:colOff>
                    <xdr:row>19</xdr:row>
                    <xdr:rowOff>9525</xdr:rowOff>
                  </from>
                  <to>
                    <xdr:col>10</xdr:col>
                    <xdr:colOff>9525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7" r:id="rId117" name="Drop Down 115">
              <controlPr locked="0" defaultSize="0" autoLine="0" autoPict="0">
                <anchor moveWithCells="1">
                  <from>
                    <xdr:col>9</xdr:col>
                    <xdr:colOff>9525</xdr:colOff>
                    <xdr:row>20</xdr:row>
                    <xdr:rowOff>9525</xdr:rowOff>
                  </from>
                  <to>
                    <xdr:col>10</xdr:col>
                    <xdr:colOff>9525</xdr:colOff>
                    <xdr:row>20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8" r:id="rId118" name="Drop Down 116">
              <controlPr locked="0" defaultSize="0" autoLine="0" autoPict="0">
                <anchor moveWithCells="1">
                  <from>
                    <xdr:col>9</xdr:col>
                    <xdr:colOff>9525</xdr:colOff>
                    <xdr:row>21</xdr:row>
                    <xdr:rowOff>9525</xdr:rowOff>
                  </from>
                  <to>
                    <xdr:col>10</xdr:col>
                    <xdr:colOff>9525</xdr:colOff>
                    <xdr:row>21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600"/>
  <sheetViews>
    <sheetView workbookViewId="0">
      <selection activeCell="N28" sqref="N28"/>
    </sheetView>
  </sheetViews>
  <sheetFormatPr defaultRowHeight="15" x14ac:dyDescent="0.25"/>
  <cols>
    <col min="1" max="1" width="2.28515625" customWidth="1"/>
    <col min="2" max="2" width="1.5703125" customWidth="1"/>
    <col min="3" max="3" width="9.140625" customWidth="1"/>
    <col min="5" max="6" width="9.140625" customWidth="1"/>
    <col min="11" max="11" width="11.85546875" customWidth="1"/>
    <col min="12" max="12" width="10.42578125" customWidth="1"/>
    <col min="13" max="13" width="2.7109375" customWidth="1"/>
    <col min="14" max="14" width="16" customWidth="1"/>
    <col min="15" max="15" width="8.140625" customWidth="1"/>
    <col min="16" max="16" width="2.5703125" customWidth="1"/>
    <col min="17" max="17" width="6.28515625" customWidth="1"/>
    <col min="18" max="18" width="8.140625" customWidth="1"/>
    <col min="19" max="19" width="2.7109375" customWidth="1"/>
    <col min="20" max="20" width="6.85546875" customWidth="1"/>
    <col min="21" max="21" width="8" customWidth="1"/>
    <col min="22" max="22" width="2.7109375" customWidth="1"/>
    <col min="23" max="23" width="6.7109375" customWidth="1"/>
    <col min="24" max="24" width="7.7109375" customWidth="1"/>
    <col min="25" max="25" width="2.7109375" customWidth="1"/>
    <col min="26" max="26" width="7.140625" customWidth="1"/>
  </cols>
  <sheetData>
    <row r="1" spans="1:2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7" ht="31.5" x14ac:dyDescent="0.5">
      <c r="A2" s="1"/>
      <c r="B2" s="1"/>
      <c r="C2" s="42" t="s">
        <v>64</v>
      </c>
      <c r="D2" s="1"/>
      <c r="E2" s="1"/>
      <c r="F2" s="1"/>
      <c r="G2" s="1"/>
      <c r="H2" s="42">
        <v>14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 t="s">
        <v>58</v>
      </c>
      <c r="Q3" s="26">
        <v>1</v>
      </c>
      <c r="R3" s="1"/>
      <c r="S3" s="1" t="s">
        <v>57</v>
      </c>
      <c r="T3" s="26">
        <v>1</v>
      </c>
      <c r="U3" s="1"/>
      <c r="V3" s="1"/>
      <c r="W3" s="1"/>
      <c r="X3" s="1"/>
      <c r="Y3" s="1"/>
      <c r="Z3" s="1"/>
    </row>
    <row r="4" spans="1:27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53" t="s">
        <v>76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7" ht="18" x14ac:dyDescent="0.35">
      <c r="A5" s="1"/>
      <c r="B5" s="1"/>
      <c r="C5" s="1" t="s">
        <v>33</v>
      </c>
      <c r="D5" s="26">
        <v>400</v>
      </c>
      <c r="E5" s="27" t="s">
        <v>66</v>
      </c>
      <c r="F5" s="1" t="s">
        <v>65</v>
      </c>
      <c r="G5" s="1"/>
      <c r="H5" s="1"/>
      <c r="I5" s="26">
        <v>0</v>
      </c>
      <c r="J5" s="27" t="s">
        <v>62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7" ht="17.25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45" t="s">
        <v>94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44"/>
    </row>
    <row r="7" spans="1:27" ht="18" x14ac:dyDescent="0.35">
      <c r="A7" s="1"/>
      <c r="B7" s="1"/>
      <c r="C7" s="1"/>
      <c r="D7" s="1"/>
      <c r="E7" s="1"/>
      <c r="F7" s="1" t="s">
        <v>19</v>
      </c>
      <c r="G7" s="1"/>
      <c r="H7" s="1" t="s">
        <v>40</v>
      </c>
      <c r="I7" s="1" t="s">
        <v>20</v>
      </c>
      <c r="J7" s="1" t="s">
        <v>21</v>
      </c>
      <c r="K7" s="28" t="s">
        <v>54</v>
      </c>
      <c r="L7" s="1" t="s">
        <v>89</v>
      </c>
      <c r="M7" s="1"/>
      <c r="N7" s="34" t="s">
        <v>41</v>
      </c>
      <c r="O7" s="34"/>
      <c r="P7" s="35" t="s">
        <v>44</v>
      </c>
      <c r="Q7" s="36"/>
      <c r="R7" s="34"/>
      <c r="S7" s="35" t="s">
        <v>45</v>
      </c>
      <c r="T7" s="36"/>
      <c r="U7" s="34"/>
      <c r="V7" s="35" t="s">
        <v>46</v>
      </c>
      <c r="W7" s="36"/>
      <c r="X7" s="34"/>
      <c r="Y7" s="35" t="s">
        <v>47</v>
      </c>
      <c r="Z7" s="43"/>
      <c r="AA7" s="2"/>
    </row>
    <row r="8" spans="1:27" x14ac:dyDescent="0.25">
      <c r="A8" s="1"/>
      <c r="B8" s="1"/>
      <c r="C8" s="26" t="s">
        <v>0</v>
      </c>
      <c r="F8" s="26">
        <v>0</v>
      </c>
      <c r="G8" s="54" t="str">
        <f>VLOOKUP(E51,B44:D46,3)</f>
        <v>[kW]</v>
      </c>
      <c r="H8" s="41">
        <f>VLOOKUP(E51,M50:U53,J51+2)</f>
        <v>0</v>
      </c>
      <c r="I8" s="26">
        <v>1</v>
      </c>
      <c r="K8" s="41">
        <f>IF(L51=1,-DEGREES(ACOS(I8)),DEGREES(ACOS(I8)))</f>
        <v>0</v>
      </c>
      <c r="L8" s="1"/>
      <c r="M8" s="1"/>
      <c r="N8" s="2" t="str">
        <f>C8</f>
        <v>Belastning 1</v>
      </c>
      <c r="O8" s="31">
        <f>HLOOKUP($J$51,$AA$49:$AG$54,3)</f>
        <v>0</v>
      </c>
      <c r="P8" s="46" t="s">
        <v>43</v>
      </c>
      <c r="Q8" s="32">
        <f>HLOOKUP($J$51,$AJ$49:$AP$54,3)</f>
        <v>0</v>
      </c>
      <c r="R8" s="31">
        <f>HLOOKUP($J$51,$AA$49:$AG$54,4)</f>
        <v>0</v>
      </c>
      <c r="S8" s="46" t="s">
        <v>43</v>
      </c>
      <c r="T8" s="32">
        <f>HLOOKUP($J$51,$AJ$49:$AP$54,4)</f>
        <v>-120</v>
      </c>
      <c r="U8" s="31">
        <f>HLOOKUP($J$51,$AA$49:$AG$54,5)</f>
        <v>0</v>
      </c>
      <c r="V8" s="46" t="s">
        <v>43</v>
      </c>
      <c r="W8" s="32">
        <f>HLOOKUP($J$51,$AJ$49:$AP$54,5)</f>
        <v>120</v>
      </c>
      <c r="X8" s="31">
        <f>HLOOKUP($J$51,$AA$49:$AG$54,6)</f>
        <v>0</v>
      </c>
      <c r="Y8" s="46" t="s">
        <v>43</v>
      </c>
      <c r="Z8" s="33">
        <f>HLOOKUP($J$51,$AJ$49:$AP$54,6)</f>
        <v>0</v>
      </c>
      <c r="AA8" s="2"/>
    </row>
    <row r="9" spans="1:27" x14ac:dyDescent="0.25">
      <c r="A9" s="1"/>
      <c r="B9" s="1"/>
      <c r="C9" s="26" t="s">
        <v>1</v>
      </c>
      <c r="F9" s="26">
        <v>0</v>
      </c>
      <c r="G9" s="54" t="str">
        <f>VLOOKUP(E55,B44:D46,3)</f>
        <v>[kW]</v>
      </c>
      <c r="H9" s="41">
        <f>VLOOKUP(E55,M55:U57,J55+2)</f>
        <v>0</v>
      </c>
      <c r="I9" s="26">
        <v>1</v>
      </c>
      <c r="K9" s="41">
        <f>IF(L55=1,-DEGREES(ACOS(I9)),DEGREES(ACOS(I9)))</f>
        <v>0</v>
      </c>
      <c r="L9" s="1" t="s">
        <v>92</v>
      </c>
      <c r="M9" s="1"/>
      <c r="N9" s="2" t="str">
        <f t="shared" ref="N9:N22" si="0">C9</f>
        <v>Belastning 2</v>
      </c>
      <c r="O9" s="31">
        <f>HLOOKUP($J$55,$AA$56:$AG$61,3)</f>
        <v>0</v>
      </c>
      <c r="P9" s="46" t="s">
        <v>43</v>
      </c>
      <c r="Q9" s="32">
        <f>HLOOKUP($J$55,$AJ$56:$AP$61,3)</f>
        <v>0</v>
      </c>
      <c r="R9" s="31">
        <f>HLOOKUP($J$55,$AA$56:$AG$61,4)</f>
        <v>0</v>
      </c>
      <c r="S9" s="46" t="s">
        <v>43</v>
      </c>
      <c r="T9" s="32">
        <f>HLOOKUP($J$55,$AJ$56:$AP$61,4)</f>
        <v>-120</v>
      </c>
      <c r="U9" s="31">
        <f>HLOOKUP($J$55,$AA$56:$AG$61,5)</f>
        <v>0</v>
      </c>
      <c r="V9" s="46" t="s">
        <v>43</v>
      </c>
      <c r="W9" s="32">
        <f>HLOOKUP($J$55,$AJ$56:$AP$61,5)</f>
        <v>120</v>
      </c>
      <c r="X9" s="31">
        <f>HLOOKUP($J$55,$AA$56:$AG$61,6)</f>
        <v>0</v>
      </c>
      <c r="Y9" s="46" t="s">
        <v>43</v>
      </c>
      <c r="Z9" s="33">
        <f>HLOOKUP($J$55,$AJ$56:$AP$61,6)</f>
        <v>0</v>
      </c>
      <c r="AA9" s="2"/>
    </row>
    <row r="10" spans="1:27" x14ac:dyDescent="0.25">
      <c r="A10" s="1"/>
      <c r="B10" s="1"/>
      <c r="C10" s="26" t="s">
        <v>2</v>
      </c>
      <c r="F10" s="26">
        <v>0</v>
      </c>
      <c r="G10" s="54" t="str">
        <f>VLOOKUP(E59,B44:D46,3)</f>
        <v>[kW]</v>
      </c>
      <c r="H10" s="41">
        <f>VLOOKUP(E59,M59:U61,J59+2)</f>
        <v>0</v>
      </c>
      <c r="I10" s="26">
        <v>1</v>
      </c>
      <c r="K10" s="41">
        <f>IF(L59=1,-DEGREES(ACOS(I10)),DEGREES(ACOS(I10)))</f>
        <v>0</v>
      </c>
      <c r="L10" s="1"/>
      <c r="M10" s="1"/>
      <c r="N10" s="2" t="str">
        <f t="shared" si="0"/>
        <v>Belastning 3</v>
      </c>
      <c r="O10" s="31">
        <f>HLOOKUP($J$59,$AA$63:$AG468,3)</f>
        <v>0</v>
      </c>
      <c r="P10" s="46" t="s">
        <v>43</v>
      </c>
      <c r="Q10" s="32">
        <f>HLOOKUP($J$59,$AJ$63:$AP$68,3)</f>
        <v>0</v>
      </c>
      <c r="R10" s="31">
        <f>HLOOKUP($J$59,$AA$63:$AG468,4)</f>
        <v>0</v>
      </c>
      <c r="S10" s="46" t="s">
        <v>43</v>
      </c>
      <c r="T10" s="32">
        <f>HLOOKUP($J$59,$AJ$63:$AP$68,4)</f>
        <v>-120</v>
      </c>
      <c r="U10" s="31">
        <f>HLOOKUP($J$59,$AA$63:$AG468,5)</f>
        <v>0</v>
      </c>
      <c r="V10" s="46" t="s">
        <v>43</v>
      </c>
      <c r="W10" s="32">
        <f>HLOOKUP($J$59,$AJ$63:$AP$68,5)</f>
        <v>120</v>
      </c>
      <c r="X10" s="31">
        <f>HLOOKUP($J$59,$AA$63:$AG468,6)</f>
        <v>0</v>
      </c>
      <c r="Y10" s="46" t="s">
        <v>43</v>
      </c>
      <c r="Z10" s="33">
        <f>HLOOKUP($J$59,$AJ$63:$AP$68,6)</f>
        <v>0</v>
      </c>
      <c r="AA10" s="2"/>
    </row>
    <row r="11" spans="1:27" x14ac:dyDescent="0.25">
      <c r="A11" s="1"/>
      <c r="B11" s="1"/>
      <c r="C11" s="26" t="s">
        <v>3</v>
      </c>
      <c r="F11" s="26">
        <v>0</v>
      </c>
      <c r="G11" s="54" t="str">
        <f>VLOOKUP(E63,B44:D46,3)</f>
        <v>[kW]</v>
      </c>
      <c r="H11" s="41">
        <f>VLOOKUP(E63,M63:U65,J63+2)</f>
        <v>0</v>
      </c>
      <c r="I11" s="26">
        <v>1</v>
      </c>
      <c r="K11" s="41">
        <f>IF(L63=1,-DEGREES(ACOS(I11)),DEGREES(ACOS(I11)))</f>
        <v>0</v>
      </c>
      <c r="L11" s="1"/>
      <c r="M11" s="1"/>
      <c r="N11" s="2" t="str">
        <f t="shared" si="0"/>
        <v>Belastning 4</v>
      </c>
      <c r="O11" s="31">
        <f>HLOOKUP($J$63,$AA$70:$AG$75,3)</f>
        <v>0</v>
      </c>
      <c r="P11" s="46" t="s">
        <v>43</v>
      </c>
      <c r="Q11" s="32">
        <f>HLOOKUP($J$63,$AJ$70:$AP$75,3)</f>
        <v>0</v>
      </c>
      <c r="R11" s="31">
        <f>HLOOKUP($J$63,$AA$70:$AG$75,4)</f>
        <v>0</v>
      </c>
      <c r="S11" s="46" t="s">
        <v>43</v>
      </c>
      <c r="T11" s="32">
        <f>HLOOKUP($J$63,$AJ$70:$AP$75,4)</f>
        <v>-120</v>
      </c>
      <c r="U11" s="31">
        <f>HLOOKUP($J$63,$AA$70:$AG$75,5)</f>
        <v>0</v>
      </c>
      <c r="V11" s="46" t="s">
        <v>43</v>
      </c>
      <c r="W11" s="32">
        <f>HLOOKUP($J$63,$AJ$70:$AP$75,5)</f>
        <v>120</v>
      </c>
      <c r="X11" s="31">
        <f>HLOOKUP($J$63,$AA$70:$AG$75,6)</f>
        <v>0</v>
      </c>
      <c r="Y11" s="46" t="s">
        <v>43</v>
      </c>
      <c r="Z11" s="33">
        <f>HLOOKUP($J$63,$AJ$70:$AP$75,6)</f>
        <v>0</v>
      </c>
      <c r="AA11" s="2"/>
    </row>
    <row r="12" spans="1:27" x14ac:dyDescent="0.25">
      <c r="A12" s="1"/>
      <c r="B12" s="1"/>
      <c r="C12" s="26" t="s">
        <v>4</v>
      </c>
      <c r="F12" s="26">
        <v>0</v>
      </c>
      <c r="G12" s="54" t="str">
        <f>VLOOKUP(E67,B44:D46,3)</f>
        <v>[kW]</v>
      </c>
      <c r="H12" s="41">
        <f>VLOOKUP(E67,M67:U69,J67+2)</f>
        <v>0</v>
      </c>
      <c r="I12" s="26">
        <v>1</v>
      </c>
      <c r="K12" s="41">
        <f>IF(L67=1,-DEGREES(ACOS(I12)),DEGREES(ACOS(I12)))</f>
        <v>0</v>
      </c>
      <c r="L12" s="1"/>
      <c r="M12" s="1"/>
      <c r="N12" s="2" t="str">
        <f t="shared" si="0"/>
        <v>Belastning 5</v>
      </c>
      <c r="O12" s="31">
        <f>HLOOKUP($J$67,$AA$77:$AG$82,3)</f>
        <v>0</v>
      </c>
      <c r="P12" s="46" t="s">
        <v>43</v>
      </c>
      <c r="Q12" s="32">
        <f>HLOOKUP($J$67,$AJ$77:$AP$82,3)</f>
        <v>0</v>
      </c>
      <c r="R12" s="31">
        <f>HLOOKUP($J$67,$AA$77:$AG$82,4)</f>
        <v>0</v>
      </c>
      <c r="S12" s="46" t="s">
        <v>43</v>
      </c>
      <c r="T12" s="32">
        <f>HLOOKUP($J$67,$AJ$77:$AP$82,4)</f>
        <v>-120</v>
      </c>
      <c r="U12" s="31">
        <f>HLOOKUP($J$67,$AA$77:$AG$82,5)</f>
        <v>0</v>
      </c>
      <c r="V12" s="46" t="s">
        <v>43</v>
      </c>
      <c r="W12" s="32">
        <f>HLOOKUP($J$67,$AJ$77:$AP$82,5)</f>
        <v>120</v>
      </c>
      <c r="X12" s="31">
        <f>HLOOKUP($J$67,$AA$77:$AG$82,6)</f>
        <v>0</v>
      </c>
      <c r="Y12" s="46" t="s">
        <v>43</v>
      </c>
      <c r="Z12" s="33">
        <f>HLOOKUP($J$67,$AJ$77:$AP$82,6)</f>
        <v>0</v>
      </c>
      <c r="AA12" s="2"/>
    </row>
    <row r="13" spans="1:27" x14ac:dyDescent="0.25">
      <c r="A13" s="1"/>
      <c r="B13" s="1"/>
      <c r="C13" s="26" t="s">
        <v>5</v>
      </c>
      <c r="F13" s="26">
        <v>0</v>
      </c>
      <c r="G13" s="54" t="str">
        <f>VLOOKUP(E71,B44:D46,3)</f>
        <v>[kW]</v>
      </c>
      <c r="H13" s="41">
        <f>VLOOKUP(E71,M71:U73,J71+2)</f>
        <v>0</v>
      </c>
      <c r="I13" s="26">
        <v>1</v>
      </c>
      <c r="K13" s="41">
        <f>IF(L71=1,-DEGREES(ACOS(I13)),DEGREES(ACOS(I13)))</f>
        <v>0</v>
      </c>
      <c r="L13" s="1"/>
      <c r="M13" s="1"/>
      <c r="N13" s="2" t="str">
        <f t="shared" si="0"/>
        <v>Belastning 6</v>
      </c>
      <c r="O13" s="31">
        <f>HLOOKUP($J$71,$AA$84:$AG$89,3)</f>
        <v>0</v>
      </c>
      <c r="P13" s="46" t="s">
        <v>43</v>
      </c>
      <c r="Q13" s="32">
        <f>HLOOKUP($J$71,$AJ$84:$AP$89,3)</f>
        <v>0</v>
      </c>
      <c r="R13" s="31">
        <f>HLOOKUP($J$71,$AA$84:$AG$89,4)</f>
        <v>0</v>
      </c>
      <c r="S13" s="46" t="s">
        <v>43</v>
      </c>
      <c r="T13" s="32">
        <f>HLOOKUP($J$71,$AJ$84:$AP$89,4)</f>
        <v>-120</v>
      </c>
      <c r="U13" s="31">
        <f>HLOOKUP($J$71,$AA$84:$AG$89,5)</f>
        <v>0</v>
      </c>
      <c r="V13" s="46" t="s">
        <v>43</v>
      </c>
      <c r="W13" s="32">
        <f>HLOOKUP($J$71,$AJ$84:$AP$89,5)</f>
        <v>120</v>
      </c>
      <c r="X13" s="31">
        <f>HLOOKUP($J$71,$AA$84:$AG$89,6)</f>
        <v>0</v>
      </c>
      <c r="Y13" s="46" t="s">
        <v>43</v>
      </c>
      <c r="Z13" s="33">
        <f>HLOOKUP($J$71,$AJ$84:$AP$89,6)</f>
        <v>0</v>
      </c>
      <c r="AA13" s="2"/>
    </row>
    <row r="14" spans="1:27" x14ac:dyDescent="0.25">
      <c r="A14" s="1"/>
      <c r="B14" s="1"/>
      <c r="C14" s="26" t="s">
        <v>6</v>
      </c>
      <c r="F14" s="26">
        <v>0</v>
      </c>
      <c r="G14" s="54" t="str">
        <f>VLOOKUP(E75,B44:D46,3)</f>
        <v>[kW]</v>
      </c>
      <c r="H14" s="41">
        <f>VLOOKUP(E75,M75:U77,J75+2)</f>
        <v>0</v>
      </c>
      <c r="I14" s="26">
        <v>1</v>
      </c>
      <c r="K14" s="41">
        <f>IF(L75=1,-DEGREES(ACOS(I14)),DEGREES(ACOS(I14)))</f>
        <v>0</v>
      </c>
      <c r="L14" s="1"/>
      <c r="M14" s="1"/>
      <c r="N14" s="2" t="str">
        <f t="shared" si="0"/>
        <v>Belastning 7</v>
      </c>
      <c r="O14" s="31">
        <f>HLOOKUP($J$75,$AA$91:$AG$96,3)</f>
        <v>0</v>
      </c>
      <c r="P14" s="46" t="s">
        <v>43</v>
      </c>
      <c r="Q14" s="32">
        <f>HLOOKUP($J$75,$AJ$91:$AP$96,3)</f>
        <v>0</v>
      </c>
      <c r="R14" s="31">
        <f>HLOOKUP($J$75,$AA$91:$AG$96,4)</f>
        <v>0</v>
      </c>
      <c r="S14" s="46" t="s">
        <v>43</v>
      </c>
      <c r="T14" s="32">
        <f>HLOOKUP($J$75,$AJ$91:$AP$96,4)</f>
        <v>-120</v>
      </c>
      <c r="U14" s="31">
        <f>HLOOKUP($J$75,$AA$91:$AG$96,5)</f>
        <v>0</v>
      </c>
      <c r="V14" s="46" t="s">
        <v>43</v>
      </c>
      <c r="W14" s="32">
        <f>HLOOKUP($J$75,$AJ$91:$AP$96,5)</f>
        <v>120</v>
      </c>
      <c r="X14" s="31">
        <f>HLOOKUP($J$75,$AA$91:$AG$96,6)</f>
        <v>0</v>
      </c>
      <c r="Y14" s="46" t="s">
        <v>43</v>
      </c>
      <c r="Z14" s="33">
        <f>HLOOKUP($J$75,$AJ$91:$AP$96,6)</f>
        <v>0</v>
      </c>
      <c r="AA14" s="2"/>
    </row>
    <row r="15" spans="1:27" x14ac:dyDescent="0.25">
      <c r="A15" s="1"/>
      <c r="B15" s="1"/>
      <c r="C15" s="26" t="s">
        <v>7</v>
      </c>
      <c r="F15" s="26">
        <v>0</v>
      </c>
      <c r="G15" s="54" t="str">
        <f>VLOOKUP(E79,B44:D46,3)</f>
        <v>[kW]</v>
      </c>
      <c r="H15" s="41">
        <f>VLOOKUP(E79,M79:U81,J79+2)</f>
        <v>0</v>
      </c>
      <c r="I15" s="26">
        <v>1</v>
      </c>
      <c r="K15" s="41">
        <f>IF(L79=1,-DEGREES(ACOS(I15)),DEGREES(ACOS(I15)))</f>
        <v>0</v>
      </c>
      <c r="L15" s="1"/>
      <c r="M15" s="1"/>
      <c r="N15" s="2" t="str">
        <f t="shared" si="0"/>
        <v>Belastning 8</v>
      </c>
      <c r="O15" s="31">
        <f>HLOOKUP($J$79,$AA$98:$AG$103,3)</f>
        <v>0</v>
      </c>
      <c r="P15" s="46" t="s">
        <v>43</v>
      </c>
      <c r="Q15" s="32">
        <f>HLOOKUP($J$79,$AJ$98:$AP$103,3)</f>
        <v>0</v>
      </c>
      <c r="R15" s="31">
        <f>HLOOKUP($J$79,$AA$98:$AG$103,4)</f>
        <v>0</v>
      </c>
      <c r="S15" s="46" t="s">
        <v>43</v>
      </c>
      <c r="T15" s="32">
        <f>HLOOKUP($J$79,$AJ$98:$AP$103,4)</f>
        <v>-120</v>
      </c>
      <c r="U15" s="31">
        <f>HLOOKUP($J$79,$AA$98:$AG$103,5)</f>
        <v>0</v>
      </c>
      <c r="V15" s="46" t="s">
        <v>43</v>
      </c>
      <c r="W15" s="32">
        <f>HLOOKUP($J$79,$AJ$98:$AP$103,5)</f>
        <v>120</v>
      </c>
      <c r="X15" s="31">
        <f>HLOOKUP($J$79,$AA$98:$AG$103,6)</f>
        <v>0</v>
      </c>
      <c r="Y15" s="46" t="s">
        <v>43</v>
      </c>
      <c r="Z15" s="33">
        <f>HLOOKUP($J$79,$AJ$98:$AP$103,6)</f>
        <v>0</v>
      </c>
      <c r="AA15" s="2"/>
    </row>
    <row r="16" spans="1:27" x14ac:dyDescent="0.25">
      <c r="A16" s="1"/>
      <c r="B16" s="1"/>
      <c r="C16" s="26" t="s">
        <v>8</v>
      </c>
      <c r="F16" s="26">
        <v>0</v>
      </c>
      <c r="G16" s="54" t="str">
        <f>VLOOKUP(E83,B44:D46,3)</f>
        <v>[kW]</v>
      </c>
      <c r="H16" s="41">
        <f>VLOOKUP(E83,M83:U85,J83+2)</f>
        <v>0</v>
      </c>
      <c r="I16" s="26">
        <v>1</v>
      </c>
      <c r="K16" s="41">
        <f>IF(L83=1,-DEGREES(ACOS(I16)),DEGREES(ACOS(I16)))</f>
        <v>0</v>
      </c>
      <c r="L16" s="1"/>
      <c r="M16" s="1"/>
      <c r="N16" s="2" t="str">
        <f t="shared" si="0"/>
        <v>Belastning 9</v>
      </c>
      <c r="O16" s="31">
        <f>HLOOKUP($J$83,$AA$105:$AG$110,3)</f>
        <v>0</v>
      </c>
      <c r="P16" s="46" t="s">
        <v>43</v>
      </c>
      <c r="Q16" s="32">
        <f>HLOOKUP($J$83,$AJ$105:$AP$110,3)</f>
        <v>0</v>
      </c>
      <c r="R16" s="31">
        <f>HLOOKUP($J$83,$AA$105:$AG$110,4)</f>
        <v>0</v>
      </c>
      <c r="S16" s="46" t="s">
        <v>43</v>
      </c>
      <c r="T16" s="32">
        <f>HLOOKUP($J$83,$AJ$105:$AP$110,4)</f>
        <v>-120</v>
      </c>
      <c r="U16" s="31">
        <f>HLOOKUP($J$83,$AA$105:$AG$110,5)</f>
        <v>0</v>
      </c>
      <c r="V16" s="46" t="s">
        <v>43</v>
      </c>
      <c r="W16" s="32">
        <f>HLOOKUP($J$83,$AJ$105:$AP$110,5)</f>
        <v>120</v>
      </c>
      <c r="X16" s="31">
        <f>HLOOKUP($J$83,$AA$105:$AG$110,6)</f>
        <v>0</v>
      </c>
      <c r="Y16" s="46" t="s">
        <v>43</v>
      </c>
      <c r="Z16" s="33">
        <f>HLOOKUP($J$83,$AJ$105:$AP$110,6)</f>
        <v>0</v>
      </c>
      <c r="AA16" s="2"/>
    </row>
    <row r="17" spans="1:27" x14ac:dyDescent="0.25">
      <c r="A17" s="1"/>
      <c r="B17" s="1"/>
      <c r="C17" s="26" t="s">
        <v>9</v>
      </c>
      <c r="F17" s="26">
        <v>0</v>
      </c>
      <c r="G17" s="54" t="str">
        <f>VLOOKUP(E87,B44:D46,3)</f>
        <v>[kW]</v>
      </c>
      <c r="H17" s="41">
        <f>VLOOKUP(E87,M87:U89,J87+2)</f>
        <v>0</v>
      </c>
      <c r="I17" s="26">
        <v>1</v>
      </c>
      <c r="K17" s="41">
        <f>IF(L87=1,-DEGREES(ACOS(I17)),DEGREES(ACOS(I17)))</f>
        <v>0</v>
      </c>
      <c r="L17" s="1"/>
      <c r="M17" s="1"/>
      <c r="N17" s="2" t="str">
        <f t="shared" si="0"/>
        <v>Belastning 10</v>
      </c>
      <c r="O17" s="31">
        <f>HLOOKUP($J$87,$AA$112:$AG$117,3)</f>
        <v>0</v>
      </c>
      <c r="P17" s="46" t="s">
        <v>43</v>
      </c>
      <c r="Q17" s="32">
        <f>HLOOKUP($J$87,$AJ$112:$AP$117,3)</f>
        <v>0</v>
      </c>
      <c r="R17" s="31">
        <f>HLOOKUP($J$87,$AA$112:$AG$117,4)</f>
        <v>0</v>
      </c>
      <c r="S17" s="46" t="s">
        <v>43</v>
      </c>
      <c r="T17" s="32">
        <f>HLOOKUP($J$87,$AJ$112:$AP$117,4)</f>
        <v>-120</v>
      </c>
      <c r="U17" s="31">
        <f>HLOOKUP($J$87,$AA$112:$AG$117,5)</f>
        <v>0</v>
      </c>
      <c r="V17" s="46" t="s">
        <v>43</v>
      </c>
      <c r="W17" s="32">
        <f>HLOOKUP($J$87,$AJ$112:$AP$117,5)</f>
        <v>120</v>
      </c>
      <c r="X17" s="31">
        <f>HLOOKUP($J$87,$AA$112:$AG$117,6)</f>
        <v>0</v>
      </c>
      <c r="Y17" s="46" t="s">
        <v>43</v>
      </c>
      <c r="Z17" s="33">
        <f>HLOOKUP($J$87,$AJ$112:$AP$117,6)</f>
        <v>0</v>
      </c>
      <c r="AA17" s="2"/>
    </row>
    <row r="18" spans="1:27" x14ac:dyDescent="0.25">
      <c r="A18" s="1"/>
      <c r="B18" s="1"/>
      <c r="C18" s="26" t="s">
        <v>10</v>
      </c>
      <c r="F18" s="26">
        <v>0</v>
      </c>
      <c r="G18" s="54" t="str">
        <f>VLOOKUP(E91,B44:D46,3)</f>
        <v>[kW]</v>
      </c>
      <c r="H18" s="41">
        <f>VLOOKUP(E91,M91:U93,J91+2)</f>
        <v>0</v>
      </c>
      <c r="I18" s="26">
        <v>1</v>
      </c>
      <c r="K18" s="41">
        <f>IF(L91=1,-DEGREES(ACOS(I18)),DEGREES(ACOS(I18)))</f>
        <v>0</v>
      </c>
      <c r="L18" s="1"/>
      <c r="M18" s="1"/>
      <c r="N18" s="2" t="str">
        <f t="shared" si="0"/>
        <v>Belastning 11</v>
      </c>
      <c r="O18" s="31">
        <f>HLOOKUP($J$91,$AA$119:$AG$124,3)</f>
        <v>0</v>
      </c>
      <c r="P18" s="46" t="s">
        <v>43</v>
      </c>
      <c r="Q18" s="32">
        <f>HLOOKUP($J$91,$AJ$119:$AP$124,3)</f>
        <v>0</v>
      </c>
      <c r="R18" s="31">
        <f>HLOOKUP($J$91,$AA$119:$AG$124,4)</f>
        <v>0</v>
      </c>
      <c r="S18" s="46" t="s">
        <v>43</v>
      </c>
      <c r="T18" s="32">
        <f>HLOOKUP($J$91,$AJ$119:$AP$124,4)</f>
        <v>-120</v>
      </c>
      <c r="U18" s="31">
        <f>HLOOKUP($J$91,$AA$119:$AG$124,5)</f>
        <v>0</v>
      </c>
      <c r="V18" s="46" t="s">
        <v>43</v>
      </c>
      <c r="W18" s="32">
        <f>HLOOKUP($J$91,$AJ$119:$AP$124,5)</f>
        <v>120</v>
      </c>
      <c r="X18" s="31">
        <f>HLOOKUP($J$91,$AA$119:$AG$124,6)</f>
        <v>0</v>
      </c>
      <c r="Y18" s="46" t="s">
        <v>43</v>
      </c>
      <c r="Z18" s="33">
        <f>HLOOKUP($J$91,$AJ$119:$AP$124,6)</f>
        <v>0</v>
      </c>
      <c r="AA18" s="2"/>
    </row>
    <row r="19" spans="1:27" x14ac:dyDescent="0.25">
      <c r="A19" s="1"/>
      <c r="B19" s="1"/>
      <c r="C19" s="26" t="s">
        <v>11</v>
      </c>
      <c r="F19" s="26">
        <v>0</v>
      </c>
      <c r="G19" s="54" t="str">
        <f>VLOOKUP(E95,B44:D46,3)</f>
        <v>[kW]</v>
      </c>
      <c r="H19" s="41">
        <f>VLOOKUP(E95,M95:U97,J95+2)</f>
        <v>0</v>
      </c>
      <c r="I19" s="26">
        <v>1</v>
      </c>
      <c r="K19" s="41">
        <f>IF(L95=1,-DEGREES(ACOS(I19)),DEGREES(ACOS(I19)))</f>
        <v>0</v>
      </c>
      <c r="L19" s="1"/>
      <c r="M19" s="1"/>
      <c r="N19" s="2" t="str">
        <f t="shared" si="0"/>
        <v>Belastning 12</v>
      </c>
      <c r="O19" s="31">
        <f>HLOOKUP($J$95,$AA$126:$AG$131,3)</f>
        <v>0</v>
      </c>
      <c r="P19" s="46" t="s">
        <v>43</v>
      </c>
      <c r="Q19" s="32">
        <f>HLOOKUP($J$95,$AJ$126:$AP$131,3)</f>
        <v>0</v>
      </c>
      <c r="R19" s="31">
        <f>HLOOKUP($J$95,$AA$126:$AG$131,4)</f>
        <v>0</v>
      </c>
      <c r="S19" s="46" t="s">
        <v>43</v>
      </c>
      <c r="T19" s="32">
        <f>HLOOKUP($J$95,$AJ$126:$AP$131,4)</f>
        <v>-120</v>
      </c>
      <c r="U19" s="31">
        <f>HLOOKUP($J$95,$AA$126:$AG$131,5)</f>
        <v>0</v>
      </c>
      <c r="V19" s="46" t="s">
        <v>43</v>
      </c>
      <c r="W19" s="32">
        <f>HLOOKUP($J$95,$AJ$126:$AP$131,5)</f>
        <v>120</v>
      </c>
      <c r="X19" s="31">
        <f>HLOOKUP($J$95,$AA$126:$AG$131,6)</f>
        <v>0</v>
      </c>
      <c r="Y19" s="46" t="s">
        <v>43</v>
      </c>
      <c r="Z19" s="33">
        <f>HLOOKUP($J$95,$AJ$126:$AP$131,6)</f>
        <v>0</v>
      </c>
      <c r="AA19" s="2"/>
    </row>
    <row r="20" spans="1:27" x14ac:dyDescent="0.25">
      <c r="A20" s="1"/>
      <c r="B20" s="1"/>
      <c r="C20" s="26" t="s">
        <v>12</v>
      </c>
      <c r="F20" s="26">
        <v>0</v>
      </c>
      <c r="G20" s="54" t="str">
        <f>VLOOKUP(E99,B44:D46,3)</f>
        <v>[kW]</v>
      </c>
      <c r="H20" s="41">
        <f>VLOOKUP(E99,M99:U101,J99+2)</f>
        <v>0</v>
      </c>
      <c r="I20" s="26">
        <v>1</v>
      </c>
      <c r="K20" s="41">
        <f>IF(L99=1,-DEGREES(ACOS(I20)),DEGREES(ACOS(I20)))</f>
        <v>0</v>
      </c>
      <c r="L20" s="1"/>
      <c r="M20" s="1"/>
      <c r="N20" s="2" t="str">
        <f t="shared" si="0"/>
        <v>Belastning 13</v>
      </c>
      <c r="O20" s="31">
        <f>HLOOKUP($J$99,$AA$133:$AG$138,3)</f>
        <v>0</v>
      </c>
      <c r="P20" s="46" t="s">
        <v>43</v>
      </c>
      <c r="Q20" s="32">
        <f>HLOOKUP($J$99,$AJ$133:$AP$138,3)</f>
        <v>0</v>
      </c>
      <c r="R20" s="31">
        <f>HLOOKUP($J$99,$AA$133:$AG$138,4)</f>
        <v>0</v>
      </c>
      <c r="S20" s="46" t="s">
        <v>43</v>
      </c>
      <c r="T20" s="32">
        <f>HLOOKUP($J$99,$AJ$133:$AP$138,4)</f>
        <v>-120</v>
      </c>
      <c r="U20" s="31">
        <f>HLOOKUP($J$99,$AA$133:$AG$138,5)</f>
        <v>0</v>
      </c>
      <c r="V20" s="46" t="s">
        <v>43</v>
      </c>
      <c r="W20" s="32">
        <f>HLOOKUP($J$99,$AJ$133:$AP$138,5)</f>
        <v>120</v>
      </c>
      <c r="X20" s="31">
        <f>HLOOKUP($J$99,$AA$133:$AG$138,6)</f>
        <v>0</v>
      </c>
      <c r="Y20" s="46" t="s">
        <v>43</v>
      </c>
      <c r="Z20" s="33">
        <f>HLOOKUP($J$99,$AJ$133:$AP$138,6)</f>
        <v>0</v>
      </c>
      <c r="AA20" s="2"/>
    </row>
    <row r="21" spans="1:27" x14ac:dyDescent="0.25">
      <c r="A21" s="1"/>
      <c r="B21" s="1"/>
      <c r="C21" s="26" t="s">
        <v>13</v>
      </c>
      <c r="F21" s="26">
        <v>0</v>
      </c>
      <c r="G21" s="54" t="str">
        <f>VLOOKUP(E103,B44:D46,3)</f>
        <v>[kW]</v>
      </c>
      <c r="H21" s="41">
        <f>VLOOKUP(E103,M103:U105,J103+2)</f>
        <v>0</v>
      </c>
      <c r="I21" s="26">
        <v>1</v>
      </c>
      <c r="K21" s="41">
        <f>IF(L103=1,-DEGREES(ACOS(I21)),DEGREES(ACOS(I21)))</f>
        <v>0</v>
      </c>
      <c r="L21" s="1"/>
      <c r="M21" s="1"/>
      <c r="N21" s="2" t="str">
        <f t="shared" si="0"/>
        <v>Belastning 14</v>
      </c>
      <c r="O21" s="31">
        <f>HLOOKUP($J$103,$AA$140:$AG$145,3)</f>
        <v>0</v>
      </c>
      <c r="P21" s="46" t="s">
        <v>43</v>
      </c>
      <c r="Q21" s="32">
        <f>HLOOKUP($J$103,$AJ$140:$AP$145,3)</f>
        <v>0</v>
      </c>
      <c r="R21" s="31">
        <f>HLOOKUP($J$103,$AA$140:$AG$145,4)</f>
        <v>0</v>
      </c>
      <c r="S21" s="46" t="s">
        <v>43</v>
      </c>
      <c r="T21" s="32">
        <f>HLOOKUP($J$103,$AJ$140:$AP$145,4)</f>
        <v>-120</v>
      </c>
      <c r="U21" s="31">
        <f>HLOOKUP($J$103,$AA$140:$AG$145,5)</f>
        <v>0</v>
      </c>
      <c r="V21" s="46" t="s">
        <v>43</v>
      </c>
      <c r="W21" s="32">
        <f>HLOOKUP($J$103,$AJ$140:$AP$145,5)</f>
        <v>120</v>
      </c>
      <c r="X21" s="31">
        <f>HLOOKUP($J$103,$AA$140:$AG$145,6)</f>
        <v>0</v>
      </c>
      <c r="Y21" s="46" t="s">
        <v>43</v>
      </c>
      <c r="Z21" s="33">
        <f>HLOOKUP($J$103,$AJ$140:$AP$145,6)</f>
        <v>0</v>
      </c>
    </row>
    <row r="22" spans="1:27" x14ac:dyDescent="0.25">
      <c r="A22" s="1"/>
      <c r="B22" s="1"/>
      <c r="C22" s="26" t="s">
        <v>14</v>
      </c>
      <c r="F22" s="26">
        <v>0</v>
      </c>
      <c r="G22" s="54" t="str">
        <f>VLOOKUP(E107,B44:D46,3)</f>
        <v>[kW]</v>
      </c>
      <c r="H22" s="41">
        <f>VLOOKUP(E107,M107:U109,J107+2)</f>
        <v>0</v>
      </c>
      <c r="I22" s="26">
        <v>1</v>
      </c>
      <c r="K22" s="41">
        <f>IF(L107=1,-DEGREES(ACOS(I22)),DEGREES(ACOS(I22)))</f>
        <v>0</v>
      </c>
      <c r="L22" s="1"/>
      <c r="M22" s="1"/>
      <c r="N22" s="2" t="str">
        <f t="shared" si="0"/>
        <v>Belastning 15</v>
      </c>
      <c r="O22" s="31">
        <f>HLOOKUP($J$107,$AA$147:$AG$152,3)</f>
        <v>0</v>
      </c>
      <c r="P22" s="46" t="s">
        <v>43</v>
      </c>
      <c r="Q22" s="32">
        <f>HLOOKUP($J$107,$AJ$147:$AP$152,3)</f>
        <v>0</v>
      </c>
      <c r="R22" s="31">
        <f>HLOOKUP($J$107,$AA$147:$AG$152,4)</f>
        <v>0</v>
      </c>
      <c r="S22" s="46" t="s">
        <v>43</v>
      </c>
      <c r="T22" s="32">
        <f>HLOOKUP($J$107,$AJ$147:$AP$152,4)</f>
        <v>-120</v>
      </c>
      <c r="U22" s="31">
        <f>HLOOKUP($J$107,$AA$147:$AG$152,5)</f>
        <v>0</v>
      </c>
      <c r="V22" s="46" t="s">
        <v>43</v>
      </c>
      <c r="W22" s="32">
        <f>HLOOKUP($J$107,$AJ$147:$AP$152,5)</f>
        <v>120</v>
      </c>
      <c r="X22" s="31">
        <f>HLOOKUP($J$107,$AA$147:$AG$152,6)</f>
        <v>0</v>
      </c>
      <c r="Y22" s="46" t="s">
        <v>43</v>
      </c>
      <c r="Z22" s="33">
        <f>HLOOKUP($J$107,$AJ$147:$AP$152,6)</f>
        <v>0</v>
      </c>
    </row>
    <row r="23" spans="1:27" ht="18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37" t="s">
        <v>86</v>
      </c>
      <c r="O23" s="38">
        <f>SQRT(E128^2+F128^2)</f>
        <v>0</v>
      </c>
      <c r="P23" s="47" t="s">
        <v>43</v>
      </c>
      <c r="Q23" s="39">
        <f>IFERROR(DEGREES(ATAN(F128/E128)),0)</f>
        <v>0</v>
      </c>
      <c r="R23" s="38">
        <f>SQRT(G128^2+H128^2)</f>
        <v>0</v>
      </c>
      <c r="S23" s="47" t="s">
        <v>43</v>
      </c>
      <c r="T23" s="39">
        <f>IFERROR(-DEGREES(ATAN(G128/H128))-90,0)</f>
        <v>0</v>
      </c>
      <c r="U23" s="38">
        <f>SQRT(I128^2+J128^2)</f>
        <v>0</v>
      </c>
      <c r="V23" s="47" t="s">
        <v>43</v>
      </c>
      <c r="W23" s="39">
        <f>IFERROR(-DEGREES(ATAN(I128/J128))+90,0)</f>
        <v>0</v>
      </c>
      <c r="X23" s="40">
        <f>IMABS(COMPLEX(C134+F134+I134,C135+F135+I135))</f>
        <v>0</v>
      </c>
      <c r="Y23" s="47" t="s">
        <v>43</v>
      </c>
      <c r="Z23" s="39">
        <f>IFERROR(DEGREES(IMARGUMENT(IMSUM(L135)))+180,0)</f>
        <v>0</v>
      </c>
    </row>
    <row r="24" spans="1:27" ht="18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37" t="s">
        <v>88</v>
      </c>
      <c r="O24" s="38">
        <f>O23*Q3*T3</f>
        <v>0</v>
      </c>
      <c r="P24" s="47" t="s">
        <v>43</v>
      </c>
      <c r="Q24" s="39">
        <f>Q23</f>
        <v>0</v>
      </c>
      <c r="R24" s="38">
        <f>R23*Q3*T3</f>
        <v>0</v>
      </c>
      <c r="S24" s="47" t="s">
        <v>43</v>
      </c>
      <c r="T24" s="39">
        <f>T23</f>
        <v>0</v>
      </c>
      <c r="U24" s="38">
        <f>U23*Q3*T3</f>
        <v>0</v>
      </c>
      <c r="V24" s="47" t="s">
        <v>43</v>
      </c>
      <c r="W24" s="39">
        <f>W23</f>
        <v>0</v>
      </c>
      <c r="X24" s="40">
        <f>(X23)*Q3*T3</f>
        <v>0</v>
      </c>
      <c r="Y24" s="47" t="s">
        <v>43</v>
      </c>
      <c r="Z24" s="39">
        <f>Z23</f>
        <v>0</v>
      </c>
    </row>
    <row r="25" spans="1:27" ht="18" x14ac:dyDescent="0.35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37" t="s">
        <v>87</v>
      </c>
      <c r="O25" s="38">
        <f>O24</f>
        <v>0</v>
      </c>
      <c r="P25" s="47" t="s">
        <v>43</v>
      </c>
      <c r="Q25" s="39">
        <f>Q23</f>
        <v>0</v>
      </c>
      <c r="R25" s="38">
        <f>R24</f>
        <v>0</v>
      </c>
      <c r="S25" s="47" t="s">
        <v>43</v>
      </c>
      <c r="T25" s="39">
        <f>T24+120</f>
        <v>120</v>
      </c>
      <c r="U25" s="38">
        <f>U24</f>
        <v>0</v>
      </c>
      <c r="V25" s="47" t="s">
        <v>43</v>
      </c>
      <c r="W25" s="39">
        <f>W24-120</f>
        <v>-120</v>
      </c>
      <c r="X25" s="40">
        <f>(X24)</f>
        <v>0</v>
      </c>
      <c r="Y25" s="47" t="s">
        <v>43</v>
      </c>
      <c r="Z25" s="39">
        <f>Z24</f>
        <v>0</v>
      </c>
    </row>
    <row r="26" spans="1:27" x14ac:dyDescent="0.25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49" t="s">
        <v>69</v>
      </c>
      <c r="O26" s="50">
        <f>IFERROR(((I5/3)/O24)*100,0)</f>
        <v>0</v>
      </c>
      <c r="P26" s="51" t="s">
        <v>68</v>
      </c>
      <c r="Q26" s="52"/>
      <c r="R26" s="50">
        <f>IFERROR(((I5/3)/R24)*100,0)</f>
        <v>0</v>
      </c>
      <c r="S26" s="51" t="s">
        <v>68</v>
      </c>
      <c r="T26" s="52"/>
      <c r="U26" s="50">
        <f>IFERROR(((I5/3)/U24)*100,0)</f>
        <v>0</v>
      </c>
      <c r="V26" s="51" t="s">
        <v>68</v>
      </c>
      <c r="W26" s="52"/>
      <c r="X26" s="40"/>
      <c r="Y26" s="51"/>
      <c r="Z26" s="52"/>
    </row>
    <row r="27" spans="1:27" x14ac:dyDescent="0.25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 t="s">
        <v>70</v>
      </c>
      <c r="L27" s="53"/>
      <c r="M27" s="53"/>
    </row>
    <row r="39" spans="2:28" x14ac:dyDescent="0.25">
      <c r="I39">
        <v>1</v>
      </c>
      <c r="J39" t="s">
        <v>22</v>
      </c>
    </row>
    <row r="40" spans="2:28" x14ac:dyDescent="0.25">
      <c r="I40">
        <v>2</v>
      </c>
      <c r="J40" t="s">
        <v>23</v>
      </c>
    </row>
    <row r="41" spans="2:28" x14ac:dyDescent="0.25">
      <c r="I41">
        <v>3</v>
      </c>
      <c r="J41" t="s">
        <v>24</v>
      </c>
    </row>
    <row r="42" spans="2:28" x14ac:dyDescent="0.25">
      <c r="I42">
        <v>4</v>
      </c>
      <c r="J42" t="s">
        <v>25</v>
      </c>
      <c r="Z42" s="4"/>
      <c r="AA42" s="5"/>
    </row>
    <row r="43" spans="2:28" x14ac:dyDescent="0.25">
      <c r="I43">
        <v>5</v>
      </c>
      <c r="J43" t="s">
        <v>26</v>
      </c>
      <c r="Z43" s="2"/>
      <c r="AA43" t="s">
        <v>67</v>
      </c>
    </row>
    <row r="44" spans="2:28" x14ac:dyDescent="0.25">
      <c r="B44">
        <v>1</v>
      </c>
      <c r="C44" t="s">
        <v>15</v>
      </c>
      <c r="D44" t="s">
        <v>60</v>
      </c>
      <c r="I44">
        <v>6</v>
      </c>
      <c r="J44" t="s">
        <v>27</v>
      </c>
      <c r="L44" t="s">
        <v>90</v>
      </c>
      <c r="Y44">
        <v>1</v>
      </c>
      <c r="Z44" s="2" t="s">
        <v>50</v>
      </c>
      <c r="AB44" t="s">
        <v>68</v>
      </c>
    </row>
    <row r="45" spans="2:28" x14ac:dyDescent="0.25">
      <c r="B45">
        <v>2</v>
      </c>
      <c r="C45" t="s">
        <v>16</v>
      </c>
      <c r="D45" t="s">
        <v>61</v>
      </c>
      <c r="I45">
        <v>7</v>
      </c>
      <c r="J45" t="s">
        <v>28</v>
      </c>
      <c r="L45" t="s">
        <v>91</v>
      </c>
      <c r="Y45">
        <v>2</v>
      </c>
      <c r="Z45" s="2" t="s">
        <v>51</v>
      </c>
      <c r="AB45" t="s">
        <v>68</v>
      </c>
    </row>
    <row r="46" spans="2:28" x14ac:dyDescent="0.25">
      <c r="B46">
        <v>3</v>
      </c>
      <c r="C46" t="s">
        <v>17</v>
      </c>
      <c r="D46" t="s">
        <v>62</v>
      </c>
      <c r="Y46">
        <v>3</v>
      </c>
      <c r="Z46" s="2" t="s">
        <v>52</v>
      </c>
      <c r="AB46" t="s">
        <v>68</v>
      </c>
    </row>
    <row r="47" spans="2:28" x14ac:dyDescent="0.25">
      <c r="Y47">
        <v>4</v>
      </c>
      <c r="Z47" s="13" t="s">
        <v>42</v>
      </c>
      <c r="AA47" s="19"/>
    </row>
    <row r="49" spans="3:42" x14ac:dyDescent="0.25">
      <c r="E49" t="s">
        <v>18</v>
      </c>
      <c r="Z49" s="4"/>
      <c r="AA49" s="5">
        <v>1</v>
      </c>
      <c r="AB49" s="5">
        <v>2</v>
      </c>
      <c r="AC49" s="5">
        <v>3</v>
      </c>
      <c r="AD49" s="5">
        <v>4</v>
      </c>
      <c r="AE49" s="5">
        <v>5</v>
      </c>
      <c r="AF49" s="5">
        <v>6</v>
      </c>
      <c r="AG49" s="6">
        <v>7</v>
      </c>
      <c r="AI49" s="4"/>
      <c r="AJ49" s="5">
        <v>1</v>
      </c>
      <c r="AK49" s="5">
        <v>2</v>
      </c>
      <c r="AL49" s="5">
        <v>3</v>
      </c>
      <c r="AM49" s="5">
        <v>4</v>
      </c>
      <c r="AN49" s="5">
        <v>5</v>
      </c>
      <c r="AO49" s="5">
        <v>6</v>
      </c>
      <c r="AP49" s="6">
        <v>7</v>
      </c>
    </row>
    <row r="50" spans="3:42" x14ac:dyDescent="0.25">
      <c r="O50" t="s">
        <v>32</v>
      </c>
      <c r="P50" t="s">
        <v>34</v>
      </c>
      <c r="Q50" t="s">
        <v>35</v>
      </c>
      <c r="R50" t="s">
        <v>36</v>
      </c>
      <c r="S50" t="s">
        <v>37</v>
      </c>
      <c r="T50" t="s">
        <v>38</v>
      </c>
      <c r="U50" t="s">
        <v>39</v>
      </c>
      <c r="Z50" s="2"/>
      <c r="AA50" t="s">
        <v>32</v>
      </c>
      <c r="AB50" t="s">
        <v>34</v>
      </c>
      <c r="AC50" t="s">
        <v>35</v>
      </c>
      <c r="AD50" t="s">
        <v>36</v>
      </c>
      <c r="AE50" t="s">
        <v>37</v>
      </c>
      <c r="AF50" t="s">
        <v>38</v>
      </c>
      <c r="AG50" s="3" t="s">
        <v>39</v>
      </c>
      <c r="AI50" s="29" t="s">
        <v>55</v>
      </c>
      <c r="AJ50" t="s">
        <v>32</v>
      </c>
      <c r="AK50" t="s">
        <v>34</v>
      </c>
      <c r="AL50" t="s">
        <v>35</v>
      </c>
      <c r="AM50" t="s">
        <v>36</v>
      </c>
      <c r="AN50" t="s">
        <v>37</v>
      </c>
      <c r="AO50" t="s">
        <v>38</v>
      </c>
      <c r="AP50" s="3" t="s">
        <v>39</v>
      </c>
    </row>
    <row r="51" spans="3:42" x14ac:dyDescent="0.25">
      <c r="C51" t="s">
        <v>0</v>
      </c>
      <c r="E51">
        <v>1</v>
      </c>
      <c r="J51">
        <v>1</v>
      </c>
      <c r="L51">
        <v>1</v>
      </c>
      <c r="M51">
        <v>1</v>
      </c>
      <c r="N51" t="s">
        <v>29</v>
      </c>
      <c r="O51">
        <f>(F8*1000)/($D$5*SQRT(3)*I8)</f>
        <v>0</v>
      </c>
      <c r="P51">
        <f>($F$8*1000)/(($D$5/SQRT(3))*$I$8)</f>
        <v>0</v>
      </c>
      <c r="Q51">
        <f>P51</f>
        <v>0</v>
      </c>
      <c r="R51">
        <f>P51</f>
        <v>0</v>
      </c>
      <c r="S51">
        <f>($F$8*1000)/($D$5*$I$8)</f>
        <v>0</v>
      </c>
      <c r="T51">
        <f>S51</f>
        <v>0</v>
      </c>
      <c r="U51">
        <f>S51</f>
        <v>0</v>
      </c>
      <c r="Z51" s="2" t="s">
        <v>50</v>
      </c>
      <c r="AA51" s="17">
        <f>H8</f>
        <v>0</v>
      </c>
      <c r="AB51" s="17">
        <f>AA51</f>
        <v>0</v>
      </c>
      <c r="AC51">
        <v>0</v>
      </c>
      <c r="AD51">
        <v>0</v>
      </c>
      <c r="AE51" s="17">
        <f>AA51</f>
        <v>0</v>
      </c>
      <c r="AF51">
        <v>0</v>
      </c>
      <c r="AG51" s="18">
        <f>AA51</f>
        <v>0</v>
      </c>
      <c r="AI51" s="2" t="s">
        <v>50</v>
      </c>
      <c r="AJ51" s="17">
        <f>K8</f>
        <v>0</v>
      </c>
      <c r="AK51" s="17">
        <f>AJ51</f>
        <v>0</v>
      </c>
      <c r="AL51">
        <v>0</v>
      </c>
      <c r="AM51">
        <v>0</v>
      </c>
      <c r="AN51" s="17">
        <f>AJ51+30</f>
        <v>30</v>
      </c>
      <c r="AO51">
        <v>0</v>
      </c>
      <c r="AP51" s="18">
        <f>AJ51-30</f>
        <v>-30</v>
      </c>
    </row>
    <row r="52" spans="3:42" x14ac:dyDescent="0.25">
      <c r="M52">
        <v>2</v>
      </c>
      <c r="N52" t="s">
        <v>30</v>
      </c>
      <c r="O52">
        <f>(F8*1000)/($D$5*SQRT(3))</f>
        <v>0</v>
      </c>
      <c r="P52">
        <f>($F$8*1000)/(($D$5/SQRT(3)))</f>
        <v>0</v>
      </c>
      <c r="Q52">
        <f>P52</f>
        <v>0</v>
      </c>
      <c r="R52">
        <f>P52</f>
        <v>0</v>
      </c>
      <c r="S52">
        <f>($F$8*1000)/($D$5)</f>
        <v>0</v>
      </c>
      <c r="T52">
        <f>S52</f>
        <v>0</v>
      </c>
      <c r="U52">
        <f>S52</f>
        <v>0</v>
      </c>
      <c r="Y52">
        <v>1</v>
      </c>
      <c r="Z52" s="2" t="s">
        <v>51</v>
      </c>
      <c r="AA52" s="17">
        <f>AA51</f>
        <v>0</v>
      </c>
      <c r="AB52">
        <v>0</v>
      </c>
      <c r="AC52" s="17">
        <f>AA51</f>
        <v>0</v>
      </c>
      <c r="AD52">
        <v>0</v>
      </c>
      <c r="AE52" s="17">
        <f>AA51</f>
        <v>0</v>
      </c>
      <c r="AF52" s="17">
        <f>AA51</f>
        <v>0</v>
      </c>
      <c r="AG52" s="3">
        <v>0</v>
      </c>
      <c r="AI52" s="2" t="s">
        <v>51</v>
      </c>
      <c r="AJ52" s="17">
        <f>AJ51-120</f>
        <v>-120</v>
      </c>
      <c r="AK52">
        <v>0</v>
      </c>
      <c r="AL52" s="17">
        <f>AJ51-120</f>
        <v>-120</v>
      </c>
      <c r="AM52">
        <v>0</v>
      </c>
      <c r="AN52" s="17">
        <f>AJ51-150</f>
        <v>-150</v>
      </c>
      <c r="AO52" s="17">
        <f>AJ51-90</f>
        <v>-90</v>
      </c>
      <c r="AP52" s="3">
        <v>0</v>
      </c>
    </row>
    <row r="53" spans="3:42" x14ac:dyDescent="0.25">
      <c r="M53">
        <v>3</v>
      </c>
      <c r="N53" t="s">
        <v>31</v>
      </c>
      <c r="O53">
        <f>F8</f>
        <v>0</v>
      </c>
      <c r="P53">
        <f t="shared" ref="P53:U53" si="1">$F$8</f>
        <v>0</v>
      </c>
      <c r="Q53">
        <f t="shared" si="1"/>
        <v>0</v>
      </c>
      <c r="R53">
        <f t="shared" si="1"/>
        <v>0</v>
      </c>
      <c r="S53">
        <f t="shared" si="1"/>
        <v>0</v>
      </c>
      <c r="T53">
        <f t="shared" si="1"/>
        <v>0</v>
      </c>
      <c r="U53">
        <f t="shared" si="1"/>
        <v>0</v>
      </c>
      <c r="Z53" s="2" t="s">
        <v>52</v>
      </c>
      <c r="AA53" s="17">
        <f>AA51</f>
        <v>0</v>
      </c>
      <c r="AB53">
        <v>0</v>
      </c>
      <c r="AC53">
        <v>0</v>
      </c>
      <c r="AD53" s="17">
        <f>AA51</f>
        <v>0</v>
      </c>
      <c r="AE53">
        <v>0</v>
      </c>
      <c r="AF53" s="17">
        <f>AA51</f>
        <v>0</v>
      </c>
      <c r="AG53" s="18">
        <f>AA51</f>
        <v>0</v>
      </c>
      <c r="AI53" s="2" t="s">
        <v>52</v>
      </c>
      <c r="AJ53" s="17">
        <f>AJ51+120</f>
        <v>120</v>
      </c>
      <c r="AK53">
        <v>0</v>
      </c>
      <c r="AL53">
        <v>0</v>
      </c>
      <c r="AM53" s="17">
        <f>AJ51+120</f>
        <v>120</v>
      </c>
      <c r="AN53">
        <v>0</v>
      </c>
      <c r="AO53" s="17">
        <f>AJ51+90</f>
        <v>90</v>
      </c>
      <c r="AP53" s="18">
        <f>AJ51+150</f>
        <v>150</v>
      </c>
    </row>
    <row r="54" spans="3:42" x14ac:dyDescent="0.25">
      <c r="Z54" s="13" t="s">
        <v>42</v>
      </c>
      <c r="AA54" s="19">
        <v>0</v>
      </c>
      <c r="AB54" s="20">
        <f>AA51</f>
        <v>0</v>
      </c>
      <c r="AC54" s="20">
        <f>AA51</f>
        <v>0</v>
      </c>
      <c r="AD54" s="20">
        <f>AA51</f>
        <v>0</v>
      </c>
      <c r="AE54" s="19">
        <v>0</v>
      </c>
      <c r="AF54" s="19">
        <v>0</v>
      </c>
      <c r="AG54" s="14">
        <v>0</v>
      </c>
      <c r="AI54" s="13" t="s">
        <v>42</v>
      </c>
      <c r="AJ54" s="19">
        <v>0</v>
      </c>
      <c r="AK54" s="20">
        <f>AJ51+180</f>
        <v>180</v>
      </c>
      <c r="AL54" s="20">
        <f>AJ51+180-120</f>
        <v>60</v>
      </c>
      <c r="AM54" s="20">
        <f>AJ51-180+120</f>
        <v>-60</v>
      </c>
      <c r="AN54" s="19">
        <v>0</v>
      </c>
      <c r="AO54" s="19">
        <v>0</v>
      </c>
      <c r="AP54" s="14">
        <v>0</v>
      </c>
    </row>
    <row r="55" spans="3:42" x14ac:dyDescent="0.25">
      <c r="C55" t="s">
        <v>1</v>
      </c>
      <c r="E55">
        <v>1</v>
      </c>
      <c r="J55">
        <v>1</v>
      </c>
      <c r="L55">
        <v>1</v>
      </c>
      <c r="M55">
        <v>1</v>
      </c>
      <c r="N55" t="s">
        <v>29</v>
      </c>
      <c r="O55">
        <f>($F$9*1000)/($D$5*SQRT(3)*$I$9)</f>
        <v>0</v>
      </c>
      <c r="P55">
        <f>($F$9*1000)/(($D$5/SQRT(3))*$I$9)</f>
        <v>0</v>
      </c>
      <c r="Q55">
        <f>P55</f>
        <v>0</v>
      </c>
      <c r="R55">
        <f>P55</f>
        <v>0</v>
      </c>
      <c r="S55">
        <f>($F$9*1000)/($D$5*$I$9)</f>
        <v>0</v>
      </c>
      <c r="T55">
        <f>S55</f>
        <v>0</v>
      </c>
      <c r="U55">
        <f>S55</f>
        <v>0</v>
      </c>
    </row>
    <row r="56" spans="3:42" x14ac:dyDescent="0.25">
      <c r="M56">
        <v>2</v>
      </c>
      <c r="N56" t="s">
        <v>30</v>
      </c>
      <c r="O56">
        <f>($F$9*1000)/($D$5*SQRT(3))</f>
        <v>0</v>
      </c>
      <c r="P56">
        <f>($F$9*1000)/(($D$5/SQRT(3)))</f>
        <v>0</v>
      </c>
      <c r="Q56">
        <f>P56</f>
        <v>0</v>
      </c>
      <c r="R56">
        <f>P56</f>
        <v>0</v>
      </c>
      <c r="S56">
        <f>($F$9*1000)/($D$5)</f>
        <v>0</v>
      </c>
      <c r="T56">
        <f>S56</f>
        <v>0</v>
      </c>
      <c r="U56">
        <f>S56</f>
        <v>0</v>
      </c>
      <c r="Z56" s="4"/>
      <c r="AA56" s="5">
        <v>1</v>
      </c>
      <c r="AB56" s="5">
        <v>2</v>
      </c>
      <c r="AC56" s="5">
        <v>3</v>
      </c>
      <c r="AD56" s="5">
        <v>4</v>
      </c>
      <c r="AE56" s="5">
        <v>5</v>
      </c>
      <c r="AF56" s="5">
        <v>6</v>
      </c>
      <c r="AG56" s="6">
        <v>7</v>
      </c>
      <c r="AI56" s="4"/>
      <c r="AJ56" s="5">
        <v>1</v>
      </c>
      <c r="AK56" s="5">
        <v>2</v>
      </c>
      <c r="AL56" s="5">
        <v>3</v>
      </c>
      <c r="AM56" s="5">
        <v>4</v>
      </c>
      <c r="AN56" s="5">
        <v>5</v>
      </c>
      <c r="AO56" s="5">
        <v>6</v>
      </c>
      <c r="AP56" s="6">
        <v>7</v>
      </c>
    </row>
    <row r="57" spans="3:42" x14ac:dyDescent="0.25">
      <c r="M57">
        <v>3</v>
      </c>
      <c r="N57" t="s">
        <v>31</v>
      </c>
      <c r="O57">
        <f>$F$9</f>
        <v>0</v>
      </c>
      <c r="P57">
        <f>O57</f>
        <v>0</v>
      </c>
      <c r="Q57">
        <f>O57</f>
        <v>0</v>
      </c>
      <c r="R57">
        <f>O57</f>
        <v>0</v>
      </c>
      <c r="S57">
        <f>O57</f>
        <v>0</v>
      </c>
      <c r="T57">
        <f>O57</f>
        <v>0</v>
      </c>
      <c r="U57">
        <f>O57</f>
        <v>0</v>
      </c>
      <c r="Z57" s="2"/>
      <c r="AA57" t="s">
        <v>32</v>
      </c>
      <c r="AB57" t="s">
        <v>34</v>
      </c>
      <c r="AC57" t="s">
        <v>35</v>
      </c>
      <c r="AD57" t="s">
        <v>36</v>
      </c>
      <c r="AE57" t="s">
        <v>37</v>
      </c>
      <c r="AF57" t="s">
        <v>38</v>
      </c>
      <c r="AG57" s="3" t="s">
        <v>39</v>
      </c>
      <c r="AI57" s="29" t="s">
        <v>55</v>
      </c>
      <c r="AJ57" t="s">
        <v>32</v>
      </c>
      <c r="AK57" t="s">
        <v>34</v>
      </c>
      <c r="AL57" t="s">
        <v>35</v>
      </c>
      <c r="AM57" t="s">
        <v>36</v>
      </c>
      <c r="AN57" t="s">
        <v>37</v>
      </c>
      <c r="AO57" t="s">
        <v>38</v>
      </c>
      <c r="AP57" s="3" t="s">
        <v>39</v>
      </c>
    </row>
    <row r="58" spans="3:42" x14ac:dyDescent="0.25">
      <c r="Z58" s="2" t="s">
        <v>50</v>
      </c>
      <c r="AA58" s="17">
        <f>H9</f>
        <v>0</v>
      </c>
      <c r="AB58" s="17">
        <f>AA58</f>
        <v>0</v>
      </c>
      <c r="AC58">
        <v>0</v>
      </c>
      <c r="AD58">
        <v>0</v>
      </c>
      <c r="AE58" s="17">
        <f>AA58</f>
        <v>0</v>
      </c>
      <c r="AF58">
        <v>0</v>
      </c>
      <c r="AG58" s="18">
        <f>AA58</f>
        <v>0</v>
      </c>
      <c r="AI58" s="2" t="s">
        <v>50</v>
      </c>
      <c r="AJ58" s="17">
        <f>K9</f>
        <v>0</v>
      </c>
      <c r="AK58" s="17">
        <f>AJ58</f>
        <v>0</v>
      </c>
      <c r="AL58">
        <v>0</v>
      </c>
      <c r="AM58">
        <v>0</v>
      </c>
      <c r="AN58" s="17">
        <f>AJ58+30</f>
        <v>30</v>
      </c>
      <c r="AO58">
        <v>0</v>
      </c>
      <c r="AP58" s="18">
        <f>AJ58-30</f>
        <v>-30</v>
      </c>
    </row>
    <row r="59" spans="3:42" x14ac:dyDescent="0.25">
      <c r="C59" t="s">
        <v>2</v>
      </c>
      <c r="E59">
        <v>1</v>
      </c>
      <c r="J59">
        <v>1</v>
      </c>
      <c r="L59">
        <v>1</v>
      </c>
      <c r="M59">
        <v>1</v>
      </c>
      <c r="N59" t="s">
        <v>29</v>
      </c>
      <c r="O59">
        <f>($F$10*1000)/($D$5*SQRT(3)*$I$10)</f>
        <v>0</v>
      </c>
      <c r="P59">
        <f>($F$10*1000)/(($D$5/SQRT(3))*$I$10)</f>
        <v>0</v>
      </c>
      <c r="Q59">
        <f>P59</f>
        <v>0</v>
      </c>
      <c r="R59">
        <f>P59</f>
        <v>0</v>
      </c>
      <c r="S59">
        <f>($F$10*1000)/($D$5*$I$10)</f>
        <v>0</v>
      </c>
      <c r="T59">
        <f>S59</f>
        <v>0</v>
      </c>
      <c r="U59">
        <f>S59</f>
        <v>0</v>
      </c>
      <c r="Y59">
        <v>2</v>
      </c>
      <c r="Z59" s="2" t="s">
        <v>51</v>
      </c>
      <c r="AA59" s="17">
        <f>AA58</f>
        <v>0</v>
      </c>
      <c r="AB59">
        <v>0</v>
      </c>
      <c r="AC59" s="17">
        <f>AA58</f>
        <v>0</v>
      </c>
      <c r="AD59">
        <v>0</v>
      </c>
      <c r="AE59" s="17">
        <f>AA58</f>
        <v>0</v>
      </c>
      <c r="AF59" s="17">
        <f>AA58</f>
        <v>0</v>
      </c>
      <c r="AG59" s="3">
        <v>0</v>
      </c>
      <c r="AI59" s="2" t="s">
        <v>51</v>
      </c>
      <c r="AJ59" s="17">
        <f>AJ58-120</f>
        <v>-120</v>
      </c>
      <c r="AK59">
        <v>0</v>
      </c>
      <c r="AL59" s="17">
        <f>AJ58-120</f>
        <v>-120</v>
      </c>
      <c r="AM59">
        <v>0</v>
      </c>
      <c r="AN59" s="17">
        <f>AJ58-150</f>
        <v>-150</v>
      </c>
      <c r="AO59" s="17">
        <f>AJ58-90</f>
        <v>-90</v>
      </c>
      <c r="AP59" s="3">
        <v>0</v>
      </c>
    </row>
    <row r="60" spans="3:42" x14ac:dyDescent="0.25">
      <c r="M60">
        <v>2</v>
      </c>
      <c r="N60" t="s">
        <v>30</v>
      </c>
      <c r="O60">
        <f>($F$10*1000)/($D$5*SQRT(3))</f>
        <v>0</v>
      </c>
      <c r="P60">
        <f>($F$10*1000)/(($D$5/SQRT(3)))</f>
        <v>0</v>
      </c>
      <c r="Q60">
        <f>P60</f>
        <v>0</v>
      </c>
      <c r="R60">
        <f>P60</f>
        <v>0</v>
      </c>
      <c r="S60">
        <f>($F$10*1000)/($D$5)</f>
        <v>0</v>
      </c>
      <c r="T60">
        <f>S60</f>
        <v>0</v>
      </c>
      <c r="U60">
        <f>S60</f>
        <v>0</v>
      </c>
      <c r="Z60" s="2" t="s">
        <v>52</v>
      </c>
      <c r="AA60" s="17">
        <f>AA58</f>
        <v>0</v>
      </c>
      <c r="AB60">
        <v>0</v>
      </c>
      <c r="AC60">
        <v>0</v>
      </c>
      <c r="AD60" s="17">
        <f>AA58</f>
        <v>0</v>
      </c>
      <c r="AE60">
        <v>0</v>
      </c>
      <c r="AF60" s="17">
        <f>AA58</f>
        <v>0</v>
      </c>
      <c r="AG60" s="18">
        <f>AA58</f>
        <v>0</v>
      </c>
      <c r="AI60" s="2" t="s">
        <v>52</v>
      </c>
      <c r="AJ60" s="17">
        <f>AJ58+120</f>
        <v>120</v>
      </c>
      <c r="AK60">
        <v>0</v>
      </c>
      <c r="AL60">
        <v>0</v>
      </c>
      <c r="AM60" s="17">
        <f>AJ58+120</f>
        <v>120</v>
      </c>
      <c r="AN60">
        <v>0</v>
      </c>
      <c r="AO60" s="17">
        <f>AJ58+90</f>
        <v>90</v>
      </c>
      <c r="AP60" s="18">
        <f>AJ58+150</f>
        <v>150</v>
      </c>
    </row>
    <row r="61" spans="3:42" x14ac:dyDescent="0.25">
      <c r="M61">
        <v>3</v>
      </c>
      <c r="N61" t="s">
        <v>31</v>
      </c>
      <c r="O61">
        <f>$F$10</f>
        <v>0</v>
      </c>
      <c r="P61">
        <f>O61</f>
        <v>0</v>
      </c>
      <c r="Q61">
        <f>O61</f>
        <v>0</v>
      </c>
      <c r="R61">
        <f>O61</f>
        <v>0</v>
      </c>
      <c r="S61">
        <f>O61</f>
        <v>0</v>
      </c>
      <c r="T61">
        <f>O61</f>
        <v>0</v>
      </c>
      <c r="U61">
        <f>O61</f>
        <v>0</v>
      </c>
      <c r="Z61" s="13" t="s">
        <v>42</v>
      </c>
      <c r="AA61" s="19">
        <v>0</v>
      </c>
      <c r="AB61" s="20">
        <f>AA58</f>
        <v>0</v>
      </c>
      <c r="AC61" s="20">
        <f>AA58</f>
        <v>0</v>
      </c>
      <c r="AD61" s="20">
        <f>AA58</f>
        <v>0</v>
      </c>
      <c r="AE61" s="19">
        <v>0</v>
      </c>
      <c r="AF61" s="19">
        <v>0</v>
      </c>
      <c r="AG61" s="14">
        <v>0</v>
      </c>
      <c r="AI61" s="13" t="s">
        <v>42</v>
      </c>
      <c r="AJ61" s="19">
        <v>0</v>
      </c>
      <c r="AK61" s="20">
        <f>AJ58+180</f>
        <v>180</v>
      </c>
      <c r="AL61" s="20">
        <f>AJ58+180-120</f>
        <v>60</v>
      </c>
      <c r="AM61" s="20">
        <f>AJ58-180+120</f>
        <v>-60</v>
      </c>
      <c r="AN61" s="19">
        <v>0</v>
      </c>
      <c r="AO61" s="19">
        <v>0</v>
      </c>
      <c r="AP61" s="14">
        <v>0</v>
      </c>
    </row>
    <row r="63" spans="3:42" x14ac:dyDescent="0.25">
      <c r="C63" t="s">
        <v>3</v>
      </c>
      <c r="E63">
        <v>1</v>
      </c>
      <c r="J63">
        <v>1</v>
      </c>
      <c r="L63">
        <v>1</v>
      </c>
      <c r="M63">
        <v>1</v>
      </c>
      <c r="N63" t="s">
        <v>29</v>
      </c>
      <c r="O63">
        <f>($F$11*1000)/($D$5*SQRT(3)*$I$11)</f>
        <v>0</v>
      </c>
      <c r="P63">
        <f>($F$11*1000)/(($D$5/SQRT(3))*$I$11)</f>
        <v>0</v>
      </c>
      <c r="Q63">
        <f>P63</f>
        <v>0</v>
      </c>
      <c r="R63">
        <f>P63</f>
        <v>0</v>
      </c>
      <c r="S63">
        <f>($F$11*1000)/($D$5*$I$11)</f>
        <v>0</v>
      </c>
      <c r="T63">
        <f>S63</f>
        <v>0</v>
      </c>
      <c r="U63">
        <f>S63</f>
        <v>0</v>
      </c>
      <c r="Z63" s="4"/>
      <c r="AA63" s="5">
        <v>1</v>
      </c>
      <c r="AB63" s="5">
        <v>2</v>
      </c>
      <c r="AC63" s="5">
        <v>3</v>
      </c>
      <c r="AD63" s="5">
        <v>4</v>
      </c>
      <c r="AE63" s="5">
        <v>5</v>
      </c>
      <c r="AF63" s="5">
        <v>6</v>
      </c>
      <c r="AG63" s="6">
        <v>7</v>
      </c>
      <c r="AI63" s="4"/>
      <c r="AJ63" s="5">
        <v>1</v>
      </c>
      <c r="AK63" s="5">
        <v>2</v>
      </c>
      <c r="AL63" s="5">
        <v>3</v>
      </c>
      <c r="AM63" s="5">
        <v>4</v>
      </c>
      <c r="AN63" s="5">
        <v>5</v>
      </c>
      <c r="AO63" s="5">
        <v>6</v>
      </c>
      <c r="AP63" s="6">
        <v>7</v>
      </c>
    </row>
    <row r="64" spans="3:42" x14ac:dyDescent="0.25">
      <c r="M64">
        <v>2</v>
      </c>
      <c r="N64" t="s">
        <v>30</v>
      </c>
      <c r="O64">
        <f>($F$11*1000)/($D$5*SQRT(3))</f>
        <v>0</v>
      </c>
      <c r="P64">
        <f>($F$11*1000)/(($D$5/SQRT(3)))</f>
        <v>0</v>
      </c>
      <c r="Q64">
        <f>P64</f>
        <v>0</v>
      </c>
      <c r="R64">
        <f>P64</f>
        <v>0</v>
      </c>
      <c r="S64">
        <f>($F$11*1000)/($D$5)</f>
        <v>0</v>
      </c>
      <c r="T64">
        <f>S64</f>
        <v>0</v>
      </c>
      <c r="U64">
        <f>S64</f>
        <v>0</v>
      </c>
      <c r="Z64" s="2"/>
      <c r="AA64" t="s">
        <v>32</v>
      </c>
      <c r="AB64" t="s">
        <v>34</v>
      </c>
      <c r="AC64" t="s">
        <v>35</v>
      </c>
      <c r="AD64" t="s">
        <v>36</v>
      </c>
      <c r="AE64" t="s">
        <v>37</v>
      </c>
      <c r="AF64" t="s">
        <v>38</v>
      </c>
      <c r="AG64" s="3" t="s">
        <v>39</v>
      </c>
      <c r="AI64" s="29" t="s">
        <v>55</v>
      </c>
      <c r="AJ64" t="s">
        <v>32</v>
      </c>
      <c r="AK64" t="s">
        <v>34</v>
      </c>
      <c r="AL64" t="s">
        <v>35</v>
      </c>
      <c r="AM64" t="s">
        <v>36</v>
      </c>
      <c r="AN64" t="s">
        <v>37</v>
      </c>
      <c r="AO64" t="s">
        <v>38</v>
      </c>
      <c r="AP64" s="3" t="s">
        <v>39</v>
      </c>
    </row>
    <row r="65" spans="3:42" x14ac:dyDescent="0.25">
      <c r="M65">
        <v>3</v>
      </c>
      <c r="N65" t="s">
        <v>31</v>
      </c>
      <c r="O65">
        <f>$F$11</f>
        <v>0</v>
      </c>
      <c r="P65">
        <f>O65</f>
        <v>0</v>
      </c>
      <c r="Q65">
        <f>O65</f>
        <v>0</v>
      </c>
      <c r="R65">
        <f>O65</f>
        <v>0</v>
      </c>
      <c r="S65">
        <f>O65</f>
        <v>0</v>
      </c>
      <c r="T65">
        <f>O65</f>
        <v>0</v>
      </c>
      <c r="U65">
        <f>O65</f>
        <v>0</v>
      </c>
      <c r="Z65" s="2" t="s">
        <v>50</v>
      </c>
      <c r="AA65" s="17">
        <f>H10</f>
        <v>0</v>
      </c>
      <c r="AB65" s="17">
        <f>AA65</f>
        <v>0</v>
      </c>
      <c r="AC65">
        <v>0</v>
      </c>
      <c r="AD65">
        <v>0</v>
      </c>
      <c r="AE65" s="17">
        <f>AA65</f>
        <v>0</v>
      </c>
      <c r="AF65">
        <v>0</v>
      </c>
      <c r="AG65" s="18">
        <f>AA65</f>
        <v>0</v>
      </c>
      <c r="AI65" s="2" t="s">
        <v>50</v>
      </c>
      <c r="AJ65" s="17">
        <f>K10</f>
        <v>0</v>
      </c>
      <c r="AK65" s="17">
        <f>AJ65</f>
        <v>0</v>
      </c>
      <c r="AL65">
        <v>0</v>
      </c>
      <c r="AM65">
        <v>0</v>
      </c>
      <c r="AN65" s="17">
        <f>AJ65+30</f>
        <v>30</v>
      </c>
      <c r="AO65">
        <v>0</v>
      </c>
      <c r="AP65" s="18">
        <f>AJ65-30</f>
        <v>-30</v>
      </c>
    </row>
    <row r="66" spans="3:42" x14ac:dyDescent="0.25">
      <c r="Y66">
        <v>3</v>
      </c>
      <c r="Z66" s="2" t="s">
        <v>51</v>
      </c>
      <c r="AA66" s="17">
        <f>AA65</f>
        <v>0</v>
      </c>
      <c r="AB66">
        <v>0</v>
      </c>
      <c r="AC66" s="17">
        <f>AA65</f>
        <v>0</v>
      </c>
      <c r="AD66">
        <v>0</v>
      </c>
      <c r="AE66" s="17">
        <f>AA65</f>
        <v>0</v>
      </c>
      <c r="AF66" s="17">
        <f>AA65</f>
        <v>0</v>
      </c>
      <c r="AG66" s="3">
        <v>0</v>
      </c>
      <c r="AI66" s="2" t="s">
        <v>51</v>
      </c>
      <c r="AJ66" s="17">
        <f>AJ65-120</f>
        <v>-120</v>
      </c>
      <c r="AK66">
        <v>0</v>
      </c>
      <c r="AL66" s="17">
        <f>AJ65-120</f>
        <v>-120</v>
      </c>
      <c r="AM66">
        <v>0</v>
      </c>
      <c r="AN66" s="17">
        <f>AJ65-150</f>
        <v>-150</v>
      </c>
      <c r="AO66" s="17">
        <f>AJ65-90</f>
        <v>-90</v>
      </c>
      <c r="AP66" s="3">
        <v>0</v>
      </c>
    </row>
    <row r="67" spans="3:42" x14ac:dyDescent="0.25">
      <c r="C67" t="s">
        <v>4</v>
      </c>
      <c r="E67">
        <v>1</v>
      </c>
      <c r="J67">
        <v>1</v>
      </c>
      <c r="L67">
        <v>1</v>
      </c>
      <c r="M67">
        <v>1</v>
      </c>
      <c r="N67" t="s">
        <v>29</v>
      </c>
      <c r="O67">
        <f>($F$12*1000)/($D$5*SQRT(3)*$I$12)</f>
        <v>0</v>
      </c>
      <c r="P67">
        <f>($F$12*1000)/(($D$5/SQRT(3))*$I$12)</f>
        <v>0</v>
      </c>
      <c r="Q67">
        <f>P67</f>
        <v>0</v>
      </c>
      <c r="R67">
        <f>P67</f>
        <v>0</v>
      </c>
      <c r="S67">
        <f>($F$12*1000)/($D$5*$I$12)</f>
        <v>0</v>
      </c>
      <c r="T67">
        <f>S67</f>
        <v>0</v>
      </c>
      <c r="U67">
        <f>S67</f>
        <v>0</v>
      </c>
      <c r="Z67" s="2" t="s">
        <v>52</v>
      </c>
      <c r="AA67" s="17">
        <f>AA65</f>
        <v>0</v>
      </c>
      <c r="AB67">
        <v>0</v>
      </c>
      <c r="AC67">
        <v>0</v>
      </c>
      <c r="AD67" s="17">
        <f>AA65</f>
        <v>0</v>
      </c>
      <c r="AE67">
        <v>0</v>
      </c>
      <c r="AF67" s="17">
        <f>AA65</f>
        <v>0</v>
      </c>
      <c r="AG67" s="18">
        <f>AA65</f>
        <v>0</v>
      </c>
      <c r="AI67" s="2" t="s">
        <v>52</v>
      </c>
      <c r="AJ67" s="17">
        <f>AJ65+120</f>
        <v>120</v>
      </c>
      <c r="AK67">
        <v>0</v>
      </c>
      <c r="AL67">
        <v>0</v>
      </c>
      <c r="AM67" s="17">
        <f>AJ65+120</f>
        <v>120</v>
      </c>
      <c r="AN67">
        <v>0</v>
      </c>
      <c r="AO67" s="17">
        <f>AJ65+90</f>
        <v>90</v>
      </c>
      <c r="AP67" s="18">
        <f>AJ65+150</f>
        <v>150</v>
      </c>
    </row>
    <row r="68" spans="3:42" x14ac:dyDescent="0.25">
      <c r="M68">
        <v>2</v>
      </c>
      <c r="N68" t="s">
        <v>30</v>
      </c>
      <c r="O68">
        <f>($F$12*1000)/($D$5*SQRT(3))</f>
        <v>0</v>
      </c>
      <c r="P68">
        <f>($F$12*1000)/(($D$5/SQRT(3)))</f>
        <v>0</v>
      </c>
      <c r="Q68">
        <f>P68</f>
        <v>0</v>
      </c>
      <c r="R68">
        <f>P68</f>
        <v>0</v>
      </c>
      <c r="S68">
        <f>($F$12*1000)/($D$5)</f>
        <v>0</v>
      </c>
      <c r="T68">
        <f>S68</f>
        <v>0</v>
      </c>
      <c r="U68">
        <f>S68</f>
        <v>0</v>
      </c>
      <c r="Z68" s="13" t="s">
        <v>42</v>
      </c>
      <c r="AA68" s="19">
        <v>0</v>
      </c>
      <c r="AB68" s="20">
        <f>AA65</f>
        <v>0</v>
      </c>
      <c r="AC68" s="20">
        <f>AA65</f>
        <v>0</v>
      </c>
      <c r="AD68" s="20">
        <f>AA65</f>
        <v>0</v>
      </c>
      <c r="AE68" s="19">
        <v>0</v>
      </c>
      <c r="AF68" s="19">
        <v>0</v>
      </c>
      <c r="AG68" s="14">
        <v>0</v>
      </c>
      <c r="AI68" s="13" t="s">
        <v>42</v>
      </c>
      <c r="AJ68" s="19">
        <v>0</v>
      </c>
      <c r="AK68" s="20">
        <f>AJ65+180</f>
        <v>180</v>
      </c>
      <c r="AL68" s="20">
        <f>AJ65+180-120</f>
        <v>60</v>
      </c>
      <c r="AM68" s="20">
        <f>AJ65-180+120</f>
        <v>-60</v>
      </c>
      <c r="AN68" s="19">
        <v>0</v>
      </c>
      <c r="AO68" s="19">
        <v>0</v>
      </c>
      <c r="AP68" s="14">
        <v>0</v>
      </c>
    </row>
    <row r="69" spans="3:42" x14ac:dyDescent="0.25">
      <c r="M69">
        <v>3</v>
      </c>
      <c r="N69" t="s">
        <v>31</v>
      </c>
      <c r="O69">
        <f>$F$12</f>
        <v>0</v>
      </c>
      <c r="P69">
        <f>O69</f>
        <v>0</v>
      </c>
      <c r="Q69">
        <f>O69</f>
        <v>0</v>
      </c>
      <c r="R69">
        <f>O69</f>
        <v>0</v>
      </c>
      <c r="S69">
        <f>O69</f>
        <v>0</v>
      </c>
      <c r="T69">
        <f>O69</f>
        <v>0</v>
      </c>
      <c r="U69">
        <f>O69</f>
        <v>0</v>
      </c>
    </row>
    <row r="70" spans="3:42" x14ac:dyDescent="0.25">
      <c r="Z70" s="4"/>
      <c r="AA70" s="5">
        <v>1</v>
      </c>
      <c r="AB70" s="5">
        <v>2</v>
      </c>
      <c r="AC70" s="5">
        <v>3</v>
      </c>
      <c r="AD70" s="5">
        <v>4</v>
      </c>
      <c r="AE70" s="5">
        <v>5</v>
      </c>
      <c r="AF70" s="5">
        <v>6</v>
      </c>
      <c r="AG70" s="6">
        <v>7</v>
      </c>
      <c r="AI70" s="4"/>
      <c r="AJ70" s="5">
        <v>1</v>
      </c>
      <c r="AK70" s="5">
        <v>2</v>
      </c>
      <c r="AL70" s="5">
        <v>3</v>
      </c>
      <c r="AM70" s="5">
        <v>4</v>
      </c>
      <c r="AN70" s="5">
        <v>5</v>
      </c>
      <c r="AO70" s="5">
        <v>6</v>
      </c>
      <c r="AP70" s="6">
        <v>7</v>
      </c>
    </row>
    <row r="71" spans="3:42" x14ac:dyDescent="0.25">
      <c r="C71" t="s">
        <v>5</v>
      </c>
      <c r="E71">
        <v>1</v>
      </c>
      <c r="J71">
        <v>1</v>
      </c>
      <c r="L71">
        <v>1</v>
      </c>
      <c r="M71">
        <v>1</v>
      </c>
      <c r="N71" t="s">
        <v>29</v>
      </c>
      <c r="O71">
        <f>($F$13*1000)/($D$5*SQRT(3)*$I$13)</f>
        <v>0</v>
      </c>
      <c r="P71">
        <f>($F$13*1000)/(($D$5/SQRT(3))*$I$13)</f>
        <v>0</v>
      </c>
      <c r="Q71">
        <f>P71</f>
        <v>0</v>
      </c>
      <c r="R71">
        <f>P71</f>
        <v>0</v>
      </c>
      <c r="S71">
        <f>($F$13*1000)/($D$5*$I$13)</f>
        <v>0</v>
      </c>
      <c r="T71">
        <f>S71</f>
        <v>0</v>
      </c>
      <c r="U71">
        <f>S71</f>
        <v>0</v>
      </c>
      <c r="Z71" s="2"/>
      <c r="AA71" t="s">
        <v>32</v>
      </c>
      <c r="AB71" t="s">
        <v>34</v>
      </c>
      <c r="AC71" t="s">
        <v>35</v>
      </c>
      <c r="AD71" t="s">
        <v>36</v>
      </c>
      <c r="AE71" t="s">
        <v>37</v>
      </c>
      <c r="AF71" t="s">
        <v>38</v>
      </c>
      <c r="AG71" s="3" t="s">
        <v>39</v>
      </c>
      <c r="AI71" s="29" t="s">
        <v>55</v>
      </c>
      <c r="AJ71" t="s">
        <v>32</v>
      </c>
      <c r="AK71" t="s">
        <v>34</v>
      </c>
      <c r="AL71" t="s">
        <v>35</v>
      </c>
      <c r="AM71" t="s">
        <v>36</v>
      </c>
      <c r="AN71" t="s">
        <v>37</v>
      </c>
      <c r="AO71" t="s">
        <v>38</v>
      </c>
      <c r="AP71" s="3" t="s">
        <v>39</v>
      </c>
    </row>
    <row r="72" spans="3:42" x14ac:dyDescent="0.25">
      <c r="M72">
        <v>2</v>
      </c>
      <c r="N72" t="s">
        <v>30</v>
      </c>
      <c r="O72">
        <f>($F$13*1000)/($D$5*SQRT(3))</f>
        <v>0</v>
      </c>
      <c r="P72">
        <f>($F$13*1000)/(($D$5/SQRT(3)))</f>
        <v>0</v>
      </c>
      <c r="Q72">
        <f>P72</f>
        <v>0</v>
      </c>
      <c r="R72">
        <f>P72</f>
        <v>0</v>
      </c>
      <c r="S72">
        <f>($F$13*1000)/($D$5)</f>
        <v>0</v>
      </c>
      <c r="T72">
        <f>S72</f>
        <v>0</v>
      </c>
      <c r="U72">
        <f>S72</f>
        <v>0</v>
      </c>
      <c r="Z72" s="2" t="s">
        <v>50</v>
      </c>
      <c r="AA72" s="17">
        <f>H11</f>
        <v>0</v>
      </c>
      <c r="AB72" s="17">
        <f>AA72</f>
        <v>0</v>
      </c>
      <c r="AC72">
        <v>0</v>
      </c>
      <c r="AD72">
        <v>0</v>
      </c>
      <c r="AE72" s="17">
        <f>AA72</f>
        <v>0</v>
      </c>
      <c r="AF72">
        <v>0</v>
      </c>
      <c r="AG72" s="18">
        <f>AA72</f>
        <v>0</v>
      </c>
      <c r="AI72" s="2" t="s">
        <v>50</v>
      </c>
      <c r="AJ72" s="17">
        <f>K11</f>
        <v>0</v>
      </c>
      <c r="AK72" s="17">
        <f>AJ72</f>
        <v>0</v>
      </c>
      <c r="AL72">
        <v>0</v>
      </c>
      <c r="AM72">
        <v>0</v>
      </c>
      <c r="AN72" s="17">
        <f>AJ72+30</f>
        <v>30</v>
      </c>
      <c r="AO72">
        <v>0</v>
      </c>
      <c r="AP72" s="18">
        <f>AJ72-30</f>
        <v>-30</v>
      </c>
    </row>
    <row r="73" spans="3:42" x14ac:dyDescent="0.25">
      <c r="M73">
        <v>3</v>
      </c>
      <c r="N73" t="s">
        <v>31</v>
      </c>
      <c r="O73">
        <f>$F$13</f>
        <v>0</v>
      </c>
      <c r="P73">
        <f>O73</f>
        <v>0</v>
      </c>
      <c r="Q73">
        <f>O73</f>
        <v>0</v>
      </c>
      <c r="R73">
        <f>O73</f>
        <v>0</v>
      </c>
      <c r="S73">
        <f>O73</f>
        <v>0</v>
      </c>
      <c r="T73">
        <f>O73</f>
        <v>0</v>
      </c>
      <c r="U73">
        <f>O73</f>
        <v>0</v>
      </c>
      <c r="Y73">
        <v>4</v>
      </c>
      <c r="Z73" s="2" t="s">
        <v>51</v>
      </c>
      <c r="AA73" s="17">
        <f>AA72</f>
        <v>0</v>
      </c>
      <c r="AB73">
        <v>0</v>
      </c>
      <c r="AC73" s="17">
        <f>AA72</f>
        <v>0</v>
      </c>
      <c r="AD73">
        <v>0</v>
      </c>
      <c r="AE73" s="17">
        <f>AA72</f>
        <v>0</v>
      </c>
      <c r="AF73" s="17">
        <f>AA72</f>
        <v>0</v>
      </c>
      <c r="AG73" s="3">
        <v>0</v>
      </c>
      <c r="AI73" s="2" t="s">
        <v>51</v>
      </c>
      <c r="AJ73" s="17">
        <f>AJ72-120</f>
        <v>-120</v>
      </c>
      <c r="AK73">
        <v>0</v>
      </c>
      <c r="AL73" s="17">
        <f>AJ72-120</f>
        <v>-120</v>
      </c>
      <c r="AM73">
        <v>0</v>
      </c>
      <c r="AN73" s="17">
        <f>AJ72-150</f>
        <v>-150</v>
      </c>
      <c r="AO73" s="17">
        <f>AJ72-90</f>
        <v>-90</v>
      </c>
      <c r="AP73" s="3">
        <v>0</v>
      </c>
    </row>
    <row r="74" spans="3:42" x14ac:dyDescent="0.25">
      <c r="Z74" s="2" t="s">
        <v>52</v>
      </c>
      <c r="AA74" s="17">
        <f>AA72</f>
        <v>0</v>
      </c>
      <c r="AB74">
        <v>0</v>
      </c>
      <c r="AC74">
        <v>0</v>
      </c>
      <c r="AD74" s="17">
        <f>AA72</f>
        <v>0</v>
      </c>
      <c r="AE74">
        <v>0</v>
      </c>
      <c r="AF74" s="17">
        <f>AA72</f>
        <v>0</v>
      </c>
      <c r="AG74" s="18">
        <f>AA72</f>
        <v>0</v>
      </c>
      <c r="AI74" s="2" t="s">
        <v>52</v>
      </c>
      <c r="AJ74" s="17">
        <f>AJ72+120</f>
        <v>120</v>
      </c>
      <c r="AK74">
        <v>0</v>
      </c>
      <c r="AL74">
        <v>0</v>
      </c>
      <c r="AM74" s="17">
        <f>AJ72+120</f>
        <v>120</v>
      </c>
      <c r="AN74">
        <v>0</v>
      </c>
      <c r="AO74" s="17">
        <f>AJ72+90</f>
        <v>90</v>
      </c>
      <c r="AP74" s="18">
        <f>AJ72+150</f>
        <v>150</v>
      </c>
    </row>
    <row r="75" spans="3:42" x14ac:dyDescent="0.25">
      <c r="C75" t="s">
        <v>6</v>
      </c>
      <c r="E75">
        <v>1</v>
      </c>
      <c r="J75">
        <v>1</v>
      </c>
      <c r="L75">
        <v>1</v>
      </c>
      <c r="M75">
        <v>1</v>
      </c>
      <c r="N75" t="s">
        <v>29</v>
      </c>
      <c r="O75">
        <f>($F$14*1000)/($D$5*SQRT(3)*$I$14)</f>
        <v>0</v>
      </c>
      <c r="P75">
        <f>($F$14*1000)/(($D$5/SQRT(3))*$I$14)</f>
        <v>0</v>
      </c>
      <c r="Q75">
        <f>P75</f>
        <v>0</v>
      </c>
      <c r="R75">
        <f>P75</f>
        <v>0</v>
      </c>
      <c r="S75">
        <f>($F$14*1000)/($D$5*$I$14)</f>
        <v>0</v>
      </c>
      <c r="T75">
        <f>S75</f>
        <v>0</v>
      </c>
      <c r="U75">
        <f>S75</f>
        <v>0</v>
      </c>
      <c r="Z75" s="13" t="s">
        <v>42</v>
      </c>
      <c r="AA75" s="19">
        <v>0</v>
      </c>
      <c r="AB75" s="20">
        <f>AA72</f>
        <v>0</v>
      </c>
      <c r="AC75" s="20">
        <f>AA72</f>
        <v>0</v>
      </c>
      <c r="AD75" s="20">
        <f>AA72</f>
        <v>0</v>
      </c>
      <c r="AE75" s="19">
        <v>0</v>
      </c>
      <c r="AF75" s="19">
        <v>0</v>
      </c>
      <c r="AG75" s="14">
        <v>0</v>
      </c>
      <c r="AI75" s="13" t="s">
        <v>42</v>
      </c>
      <c r="AJ75" s="19">
        <v>0</v>
      </c>
      <c r="AK75" s="20">
        <f>AJ72+180</f>
        <v>180</v>
      </c>
      <c r="AL75" s="20">
        <f>AJ72+180-120</f>
        <v>60</v>
      </c>
      <c r="AM75" s="20">
        <f>AJ72-180+120</f>
        <v>-60</v>
      </c>
      <c r="AN75" s="19">
        <v>0</v>
      </c>
      <c r="AO75" s="19">
        <v>0</v>
      </c>
      <c r="AP75" s="14">
        <v>0</v>
      </c>
    </row>
    <row r="76" spans="3:42" x14ac:dyDescent="0.25">
      <c r="M76">
        <v>2</v>
      </c>
      <c r="N76" t="s">
        <v>30</v>
      </c>
      <c r="O76">
        <f>($F$14*1000)/($D$5*SQRT(3))</f>
        <v>0</v>
      </c>
      <c r="P76">
        <f>($F$14*1000)/(($D$5/SQRT(3)))</f>
        <v>0</v>
      </c>
      <c r="Q76">
        <f>P76</f>
        <v>0</v>
      </c>
      <c r="R76">
        <f>P76</f>
        <v>0</v>
      </c>
      <c r="S76">
        <f>($F$14*1000)/($D$5)</f>
        <v>0</v>
      </c>
      <c r="T76">
        <f>S76</f>
        <v>0</v>
      </c>
      <c r="U76">
        <f>S76</f>
        <v>0</v>
      </c>
    </row>
    <row r="77" spans="3:42" x14ac:dyDescent="0.25">
      <c r="M77">
        <v>3</v>
      </c>
      <c r="N77" t="s">
        <v>31</v>
      </c>
      <c r="O77">
        <f>$F$14</f>
        <v>0</v>
      </c>
      <c r="P77">
        <f>O77</f>
        <v>0</v>
      </c>
      <c r="Q77">
        <f>O77</f>
        <v>0</v>
      </c>
      <c r="R77">
        <f>O77</f>
        <v>0</v>
      </c>
      <c r="S77">
        <f>O77</f>
        <v>0</v>
      </c>
      <c r="T77">
        <f>O77</f>
        <v>0</v>
      </c>
      <c r="U77">
        <f>O77</f>
        <v>0</v>
      </c>
      <c r="Z77" s="4"/>
      <c r="AA77" s="5">
        <v>1</v>
      </c>
      <c r="AB77" s="5">
        <v>2</v>
      </c>
      <c r="AC77" s="5">
        <v>3</v>
      </c>
      <c r="AD77" s="5">
        <v>4</v>
      </c>
      <c r="AE77" s="5">
        <v>5</v>
      </c>
      <c r="AF77" s="5">
        <v>6</v>
      </c>
      <c r="AG77" s="6">
        <v>7</v>
      </c>
      <c r="AI77" s="4"/>
      <c r="AJ77" s="5">
        <v>1</v>
      </c>
      <c r="AK77" s="5">
        <v>2</v>
      </c>
      <c r="AL77" s="5">
        <v>3</v>
      </c>
      <c r="AM77" s="5">
        <v>4</v>
      </c>
      <c r="AN77" s="5">
        <v>5</v>
      </c>
      <c r="AO77" s="5">
        <v>6</v>
      </c>
      <c r="AP77" s="6">
        <v>7</v>
      </c>
    </row>
    <row r="78" spans="3:42" x14ac:dyDescent="0.25">
      <c r="Z78" s="2"/>
      <c r="AA78" t="s">
        <v>32</v>
      </c>
      <c r="AB78" t="s">
        <v>34</v>
      </c>
      <c r="AC78" t="s">
        <v>35</v>
      </c>
      <c r="AD78" t="s">
        <v>36</v>
      </c>
      <c r="AE78" t="s">
        <v>37</v>
      </c>
      <c r="AF78" t="s">
        <v>38</v>
      </c>
      <c r="AG78" s="3" t="s">
        <v>39</v>
      </c>
      <c r="AI78" s="29" t="s">
        <v>55</v>
      </c>
      <c r="AJ78" t="s">
        <v>32</v>
      </c>
      <c r="AK78" t="s">
        <v>34</v>
      </c>
      <c r="AL78" t="s">
        <v>35</v>
      </c>
      <c r="AM78" t="s">
        <v>36</v>
      </c>
      <c r="AN78" t="s">
        <v>37</v>
      </c>
      <c r="AO78" t="s">
        <v>38</v>
      </c>
      <c r="AP78" s="3" t="s">
        <v>39</v>
      </c>
    </row>
    <row r="79" spans="3:42" x14ac:dyDescent="0.25">
      <c r="C79" t="s">
        <v>7</v>
      </c>
      <c r="E79">
        <v>1</v>
      </c>
      <c r="J79">
        <v>1</v>
      </c>
      <c r="L79">
        <v>1</v>
      </c>
      <c r="M79">
        <v>1</v>
      </c>
      <c r="N79" t="s">
        <v>29</v>
      </c>
      <c r="O79">
        <f>($F$15*1000)/($D$5*SQRT(3)*$I$15)</f>
        <v>0</v>
      </c>
      <c r="P79">
        <f>($F$15*1000)/(($D$5/SQRT(3))*$I$15)</f>
        <v>0</v>
      </c>
      <c r="Q79">
        <f>P79</f>
        <v>0</v>
      </c>
      <c r="R79">
        <f>P79</f>
        <v>0</v>
      </c>
      <c r="S79">
        <f>($F$15*1000)/($D$5*$I$15)</f>
        <v>0</v>
      </c>
      <c r="T79">
        <f>S79</f>
        <v>0</v>
      </c>
      <c r="U79">
        <f>S79</f>
        <v>0</v>
      </c>
      <c r="Z79" s="2" t="s">
        <v>50</v>
      </c>
      <c r="AA79" s="17">
        <f>H12</f>
        <v>0</v>
      </c>
      <c r="AB79" s="17">
        <f>AA79</f>
        <v>0</v>
      </c>
      <c r="AC79">
        <v>0</v>
      </c>
      <c r="AD79">
        <v>0</v>
      </c>
      <c r="AE79" s="17">
        <f>AA79</f>
        <v>0</v>
      </c>
      <c r="AF79">
        <v>0</v>
      </c>
      <c r="AG79" s="18">
        <f>AA79</f>
        <v>0</v>
      </c>
      <c r="AI79" s="2" t="s">
        <v>50</v>
      </c>
      <c r="AJ79" s="17">
        <f>K12</f>
        <v>0</v>
      </c>
      <c r="AK79" s="17">
        <f>AJ79</f>
        <v>0</v>
      </c>
      <c r="AL79">
        <v>0</v>
      </c>
      <c r="AM79">
        <v>0</v>
      </c>
      <c r="AN79" s="17">
        <f>AJ79+30</f>
        <v>30</v>
      </c>
      <c r="AO79">
        <v>0</v>
      </c>
      <c r="AP79" s="18">
        <f>AJ79-30</f>
        <v>-30</v>
      </c>
    </row>
    <row r="80" spans="3:42" x14ac:dyDescent="0.25">
      <c r="M80">
        <v>2</v>
      </c>
      <c r="N80" t="s">
        <v>30</v>
      </c>
      <c r="O80">
        <f>($F$15*1000)/($D$5*SQRT(3))</f>
        <v>0</v>
      </c>
      <c r="P80">
        <f>($F$15*1000)/(($D$5/SQRT(3)))</f>
        <v>0</v>
      </c>
      <c r="Q80">
        <f>P80</f>
        <v>0</v>
      </c>
      <c r="R80">
        <f>P80</f>
        <v>0</v>
      </c>
      <c r="S80">
        <f>($F$15*1000)/($D$5)</f>
        <v>0</v>
      </c>
      <c r="T80">
        <f>S80</f>
        <v>0</v>
      </c>
      <c r="U80">
        <f>S80</f>
        <v>0</v>
      </c>
      <c r="Y80">
        <v>5</v>
      </c>
      <c r="Z80" s="2" t="s">
        <v>51</v>
      </c>
      <c r="AA80" s="17">
        <f>AA79</f>
        <v>0</v>
      </c>
      <c r="AB80">
        <v>0</v>
      </c>
      <c r="AC80" s="17">
        <f>AA79</f>
        <v>0</v>
      </c>
      <c r="AD80">
        <v>0</v>
      </c>
      <c r="AE80" s="17">
        <f>AA79</f>
        <v>0</v>
      </c>
      <c r="AF80" s="17">
        <f>AA79</f>
        <v>0</v>
      </c>
      <c r="AG80" s="3">
        <v>0</v>
      </c>
      <c r="AI80" s="2" t="s">
        <v>51</v>
      </c>
      <c r="AJ80" s="17">
        <f>AJ79-120</f>
        <v>-120</v>
      </c>
      <c r="AK80">
        <v>0</v>
      </c>
      <c r="AL80" s="17">
        <f>AJ79-120</f>
        <v>-120</v>
      </c>
      <c r="AM80">
        <v>0</v>
      </c>
      <c r="AN80" s="17">
        <f>AJ79-150</f>
        <v>-150</v>
      </c>
      <c r="AO80" s="17">
        <f>AJ79-90</f>
        <v>-90</v>
      </c>
      <c r="AP80" s="3">
        <v>0</v>
      </c>
    </row>
    <row r="81" spans="3:42" x14ac:dyDescent="0.25">
      <c r="M81">
        <v>3</v>
      </c>
      <c r="N81" t="s">
        <v>31</v>
      </c>
      <c r="O81">
        <f>$F$15</f>
        <v>0</v>
      </c>
      <c r="P81">
        <f>O81</f>
        <v>0</v>
      </c>
      <c r="Q81">
        <f>O81</f>
        <v>0</v>
      </c>
      <c r="R81">
        <f>O81</f>
        <v>0</v>
      </c>
      <c r="S81">
        <f>O81</f>
        <v>0</v>
      </c>
      <c r="T81">
        <f>O81</f>
        <v>0</v>
      </c>
      <c r="U81">
        <f>O81</f>
        <v>0</v>
      </c>
      <c r="Z81" s="2" t="s">
        <v>52</v>
      </c>
      <c r="AA81" s="17">
        <f>AA79</f>
        <v>0</v>
      </c>
      <c r="AB81">
        <v>0</v>
      </c>
      <c r="AC81">
        <v>0</v>
      </c>
      <c r="AD81" s="17">
        <f>AA79</f>
        <v>0</v>
      </c>
      <c r="AE81">
        <v>0</v>
      </c>
      <c r="AF81" s="17">
        <f>AA79</f>
        <v>0</v>
      </c>
      <c r="AG81" s="18">
        <f>AA79</f>
        <v>0</v>
      </c>
      <c r="AI81" s="2" t="s">
        <v>52</v>
      </c>
      <c r="AJ81" s="17">
        <f>AJ79+120</f>
        <v>120</v>
      </c>
      <c r="AK81">
        <v>0</v>
      </c>
      <c r="AL81">
        <v>0</v>
      </c>
      <c r="AM81" s="17">
        <f>AJ79+120</f>
        <v>120</v>
      </c>
      <c r="AN81">
        <v>0</v>
      </c>
      <c r="AO81" s="17">
        <f>AJ79+90</f>
        <v>90</v>
      </c>
      <c r="AP81" s="18">
        <f>AJ79+150</f>
        <v>150</v>
      </c>
    </row>
    <row r="82" spans="3:42" x14ac:dyDescent="0.25">
      <c r="Z82" s="13" t="s">
        <v>42</v>
      </c>
      <c r="AA82" s="19">
        <v>0</v>
      </c>
      <c r="AB82" s="20">
        <f>AA79</f>
        <v>0</v>
      </c>
      <c r="AC82" s="20">
        <f>AA79</f>
        <v>0</v>
      </c>
      <c r="AD82" s="20">
        <f>AA79</f>
        <v>0</v>
      </c>
      <c r="AE82" s="19">
        <v>0</v>
      </c>
      <c r="AF82" s="19">
        <v>0</v>
      </c>
      <c r="AG82" s="14">
        <v>0</v>
      </c>
      <c r="AI82" s="13" t="s">
        <v>42</v>
      </c>
      <c r="AJ82" s="19">
        <v>0</v>
      </c>
      <c r="AK82" s="20">
        <f>AJ79+180</f>
        <v>180</v>
      </c>
      <c r="AL82" s="20">
        <f>AJ79+180-120</f>
        <v>60</v>
      </c>
      <c r="AM82" s="20">
        <f>AJ79-180+120</f>
        <v>-60</v>
      </c>
      <c r="AN82" s="19">
        <v>0</v>
      </c>
      <c r="AO82" s="19">
        <v>0</v>
      </c>
      <c r="AP82" s="14">
        <v>0</v>
      </c>
    </row>
    <row r="83" spans="3:42" x14ac:dyDescent="0.25">
      <c r="C83" t="s">
        <v>8</v>
      </c>
      <c r="E83">
        <v>1</v>
      </c>
      <c r="J83">
        <v>1</v>
      </c>
      <c r="L83">
        <v>1</v>
      </c>
      <c r="M83">
        <v>1</v>
      </c>
      <c r="N83" t="s">
        <v>29</v>
      </c>
      <c r="O83">
        <f>($F$16*1000)/($D$5*SQRT(3)*$I$16)</f>
        <v>0</v>
      </c>
      <c r="P83">
        <f>($F$16*1000)/(($D$5/SQRT(3))*$I$16)</f>
        <v>0</v>
      </c>
      <c r="Q83">
        <f>P83</f>
        <v>0</v>
      </c>
      <c r="R83">
        <f>P83</f>
        <v>0</v>
      </c>
      <c r="S83">
        <f>($F$16*1000)/($D$5*$I$16)</f>
        <v>0</v>
      </c>
      <c r="T83">
        <f>S83</f>
        <v>0</v>
      </c>
      <c r="U83">
        <f>S83</f>
        <v>0</v>
      </c>
    </row>
    <row r="84" spans="3:42" x14ac:dyDescent="0.25">
      <c r="M84">
        <v>2</v>
      </c>
      <c r="N84" t="s">
        <v>30</v>
      </c>
      <c r="O84">
        <f>($F$16*1000)/($D$5*SQRT(3))</f>
        <v>0</v>
      </c>
      <c r="P84">
        <f>($F$16*1000)/(($D$5/SQRT(3)))</f>
        <v>0</v>
      </c>
      <c r="Q84">
        <f>P84</f>
        <v>0</v>
      </c>
      <c r="R84">
        <f>P84</f>
        <v>0</v>
      </c>
      <c r="S84">
        <f>($F$16*1000)/($D$5)</f>
        <v>0</v>
      </c>
      <c r="T84">
        <f>S84</f>
        <v>0</v>
      </c>
      <c r="U84">
        <f>S84</f>
        <v>0</v>
      </c>
      <c r="Z84" s="4"/>
      <c r="AA84" s="5">
        <v>1</v>
      </c>
      <c r="AB84" s="5">
        <v>2</v>
      </c>
      <c r="AC84" s="5">
        <v>3</v>
      </c>
      <c r="AD84" s="5">
        <v>4</v>
      </c>
      <c r="AE84" s="5">
        <v>5</v>
      </c>
      <c r="AF84" s="5">
        <v>6</v>
      </c>
      <c r="AG84" s="6">
        <v>7</v>
      </c>
      <c r="AI84" s="4"/>
      <c r="AJ84" s="5">
        <v>1</v>
      </c>
      <c r="AK84" s="5">
        <v>2</v>
      </c>
      <c r="AL84" s="5">
        <v>3</v>
      </c>
      <c r="AM84" s="5">
        <v>4</v>
      </c>
      <c r="AN84" s="5">
        <v>5</v>
      </c>
      <c r="AO84" s="5">
        <v>6</v>
      </c>
      <c r="AP84" s="6">
        <v>7</v>
      </c>
    </row>
    <row r="85" spans="3:42" x14ac:dyDescent="0.25">
      <c r="M85">
        <v>3</v>
      </c>
      <c r="N85" t="s">
        <v>31</v>
      </c>
      <c r="O85">
        <f>$F$16</f>
        <v>0</v>
      </c>
      <c r="P85">
        <f>O85</f>
        <v>0</v>
      </c>
      <c r="Q85">
        <f>O85</f>
        <v>0</v>
      </c>
      <c r="R85">
        <f>O85</f>
        <v>0</v>
      </c>
      <c r="S85">
        <f>O85</f>
        <v>0</v>
      </c>
      <c r="T85">
        <f>O85</f>
        <v>0</v>
      </c>
      <c r="U85">
        <f>O85</f>
        <v>0</v>
      </c>
      <c r="Z85" s="2"/>
      <c r="AA85" t="s">
        <v>32</v>
      </c>
      <c r="AB85" t="s">
        <v>34</v>
      </c>
      <c r="AC85" t="s">
        <v>35</v>
      </c>
      <c r="AD85" t="s">
        <v>36</v>
      </c>
      <c r="AE85" t="s">
        <v>37</v>
      </c>
      <c r="AF85" t="s">
        <v>38</v>
      </c>
      <c r="AG85" s="3" t="s">
        <v>39</v>
      </c>
      <c r="AI85" s="29" t="s">
        <v>55</v>
      </c>
      <c r="AJ85" t="s">
        <v>32</v>
      </c>
      <c r="AK85" t="s">
        <v>34</v>
      </c>
      <c r="AL85" t="s">
        <v>35</v>
      </c>
      <c r="AM85" t="s">
        <v>36</v>
      </c>
      <c r="AN85" t="s">
        <v>37</v>
      </c>
      <c r="AO85" t="s">
        <v>38</v>
      </c>
      <c r="AP85" s="3" t="s">
        <v>39</v>
      </c>
    </row>
    <row r="86" spans="3:42" x14ac:dyDescent="0.25">
      <c r="Z86" s="2" t="s">
        <v>50</v>
      </c>
      <c r="AA86" s="17">
        <f>H13</f>
        <v>0</v>
      </c>
      <c r="AB86" s="17">
        <f>AA86</f>
        <v>0</v>
      </c>
      <c r="AC86">
        <v>0</v>
      </c>
      <c r="AD86">
        <v>0</v>
      </c>
      <c r="AE86" s="17">
        <f>AA86</f>
        <v>0</v>
      </c>
      <c r="AF86">
        <v>0</v>
      </c>
      <c r="AG86" s="18">
        <f>AA86</f>
        <v>0</v>
      </c>
      <c r="AI86" s="2" t="s">
        <v>50</v>
      </c>
      <c r="AJ86" s="17">
        <f>K13</f>
        <v>0</v>
      </c>
      <c r="AK86" s="17">
        <f>AJ86</f>
        <v>0</v>
      </c>
      <c r="AL86">
        <v>0</v>
      </c>
      <c r="AM86">
        <v>0</v>
      </c>
      <c r="AN86" s="17">
        <f>AJ86+30</f>
        <v>30</v>
      </c>
      <c r="AO86">
        <v>0</v>
      </c>
      <c r="AP86" s="18">
        <f>AJ86-30</f>
        <v>-30</v>
      </c>
    </row>
    <row r="87" spans="3:42" x14ac:dyDescent="0.25">
      <c r="C87" t="s">
        <v>9</v>
      </c>
      <c r="E87">
        <v>1</v>
      </c>
      <c r="J87">
        <v>1</v>
      </c>
      <c r="L87">
        <v>1</v>
      </c>
      <c r="M87">
        <v>1</v>
      </c>
      <c r="N87" t="s">
        <v>29</v>
      </c>
      <c r="O87">
        <f>($F$17*1000)/($D$5*SQRT(3)*$I$17)</f>
        <v>0</v>
      </c>
      <c r="P87">
        <f>($F$17*1000)/(($D$5/SQRT(3))*$I$17)</f>
        <v>0</v>
      </c>
      <c r="Q87">
        <f>P87</f>
        <v>0</v>
      </c>
      <c r="R87">
        <f>P87</f>
        <v>0</v>
      </c>
      <c r="S87">
        <f>($F$17*1000)/($D$5*$I$17)</f>
        <v>0</v>
      </c>
      <c r="T87">
        <f>S87</f>
        <v>0</v>
      </c>
      <c r="U87">
        <f>S87</f>
        <v>0</v>
      </c>
      <c r="Y87">
        <v>6</v>
      </c>
      <c r="Z87" s="2" t="s">
        <v>51</v>
      </c>
      <c r="AA87" s="17">
        <f>AA86</f>
        <v>0</v>
      </c>
      <c r="AB87">
        <v>0</v>
      </c>
      <c r="AC87" s="17">
        <f>AA86</f>
        <v>0</v>
      </c>
      <c r="AD87">
        <v>0</v>
      </c>
      <c r="AE87" s="17">
        <f>AA86</f>
        <v>0</v>
      </c>
      <c r="AF87" s="17">
        <f>AA86</f>
        <v>0</v>
      </c>
      <c r="AG87" s="3">
        <v>0</v>
      </c>
      <c r="AI87" s="2" t="s">
        <v>51</v>
      </c>
      <c r="AJ87" s="17">
        <f>AJ86-120</f>
        <v>-120</v>
      </c>
      <c r="AK87">
        <v>0</v>
      </c>
      <c r="AL87" s="17">
        <f>AJ86-120</f>
        <v>-120</v>
      </c>
      <c r="AM87">
        <v>0</v>
      </c>
      <c r="AN87" s="17">
        <f>AJ86-150</f>
        <v>-150</v>
      </c>
      <c r="AO87" s="17">
        <f>AJ86-90</f>
        <v>-90</v>
      </c>
      <c r="AP87" s="3">
        <v>0</v>
      </c>
    </row>
    <row r="88" spans="3:42" x14ac:dyDescent="0.25">
      <c r="M88">
        <v>2</v>
      </c>
      <c r="N88" t="s">
        <v>30</v>
      </c>
      <c r="O88">
        <f>($F$17*1000)/($D$5*SQRT(3))</f>
        <v>0</v>
      </c>
      <c r="P88">
        <f>($F$17*1000)/(($D$5/SQRT(3)))</f>
        <v>0</v>
      </c>
      <c r="Q88">
        <f>P88</f>
        <v>0</v>
      </c>
      <c r="R88">
        <f>P88</f>
        <v>0</v>
      </c>
      <c r="S88">
        <f>($F$17*1000)/($D$5)</f>
        <v>0</v>
      </c>
      <c r="T88">
        <f>S88</f>
        <v>0</v>
      </c>
      <c r="U88">
        <f>S88</f>
        <v>0</v>
      </c>
      <c r="Z88" s="2" t="s">
        <v>52</v>
      </c>
      <c r="AA88" s="17">
        <f>AA86</f>
        <v>0</v>
      </c>
      <c r="AB88">
        <v>0</v>
      </c>
      <c r="AC88">
        <v>0</v>
      </c>
      <c r="AD88" s="17">
        <f>AA86</f>
        <v>0</v>
      </c>
      <c r="AE88">
        <v>0</v>
      </c>
      <c r="AF88" s="17">
        <f>AA86</f>
        <v>0</v>
      </c>
      <c r="AG88" s="18">
        <f>AA86</f>
        <v>0</v>
      </c>
      <c r="AI88" s="2" t="s">
        <v>52</v>
      </c>
      <c r="AJ88" s="17">
        <f>AJ86+120</f>
        <v>120</v>
      </c>
      <c r="AK88">
        <v>0</v>
      </c>
      <c r="AL88">
        <v>0</v>
      </c>
      <c r="AM88" s="17">
        <f>AJ86+120</f>
        <v>120</v>
      </c>
      <c r="AN88">
        <v>0</v>
      </c>
      <c r="AO88" s="17">
        <f>AJ86+90</f>
        <v>90</v>
      </c>
      <c r="AP88" s="18">
        <f>AJ86+150</f>
        <v>150</v>
      </c>
    </row>
    <row r="89" spans="3:42" x14ac:dyDescent="0.25">
      <c r="M89">
        <v>3</v>
      </c>
      <c r="N89" t="s">
        <v>31</v>
      </c>
      <c r="O89">
        <f>$F$17</f>
        <v>0</v>
      </c>
      <c r="P89">
        <f>O89</f>
        <v>0</v>
      </c>
      <c r="Q89">
        <f>O89</f>
        <v>0</v>
      </c>
      <c r="R89">
        <f>O89</f>
        <v>0</v>
      </c>
      <c r="S89">
        <f>O89</f>
        <v>0</v>
      </c>
      <c r="T89">
        <f>O89</f>
        <v>0</v>
      </c>
      <c r="U89">
        <f>O89</f>
        <v>0</v>
      </c>
      <c r="Z89" s="13" t="s">
        <v>42</v>
      </c>
      <c r="AA89" s="19">
        <v>0</v>
      </c>
      <c r="AB89" s="20">
        <f>AA86</f>
        <v>0</v>
      </c>
      <c r="AC89" s="20">
        <f>AA86</f>
        <v>0</v>
      </c>
      <c r="AD89" s="20">
        <f>AA86</f>
        <v>0</v>
      </c>
      <c r="AE89" s="19">
        <v>0</v>
      </c>
      <c r="AF89" s="19">
        <v>0</v>
      </c>
      <c r="AG89" s="14">
        <v>0</v>
      </c>
      <c r="AI89" s="13" t="s">
        <v>42</v>
      </c>
      <c r="AJ89" s="19">
        <v>0</v>
      </c>
      <c r="AK89" s="20">
        <f>AJ86+180</f>
        <v>180</v>
      </c>
      <c r="AL89" s="20">
        <f>AJ86+180-120</f>
        <v>60</v>
      </c>
      <c r="AM89" s="20">
        <f>AJ86-180+120</f>
        <v>-60</v>
      </c>
      <c r="AN89" s="19">
        <v>0</v>
      </c>
      <c r="AO89" s="19">
        <v>0</v>
      </c>
      <c r="AP89" s="14">
        <v>0</v>
      </c>
    </row>
    <row r="91" spans="3:42" x14ac:dyDescent="0.25">
      <c r="C91" t="s">
        <v>10</v>
      </c>
      <c r="E91">
        <v>1</v>
      </c>
      <c r="J91">
        <v>1</v>
      </c>
      <c r="L91">
        <v>1</v>
      </c>
      <c r="M91">
        <v>1</v>
      </c>
      <c r="N91" t="s">
        <v>29</v>
      </c>
      <c r="O91">
        <f>($F$18*1000)/($D$5*SQRT(3)*$I$18)</f>
        <v>0</v>
      </c>
      <c r="P91">
        <f>($F$18*1000)/(($D$5/SQRT(3))*$I$18)</f>
        <v>0</v>
      </c>
      <c r="Q91">
        <f>P91</f>
        <v>0</v>
      </c>
      <c r="R91">
        <f>P91</f>
        <v>0</v>
      </c>
      <c r="S91">
        <f>($F$18*1000)/($D$5*$I$18)</f>
        <v>0</v>
      </c>
      <c r="T91">
        <f>S91</f>
        <v>0</v>
      </c>
      <c r="U91">
        <f>S91</f>
        <v>0</v>
      </c>
      <c r="Z91" s="4"/>
      <c r="AA91" s="5">
        <v>1</v>
      </c>
      <c r="AB91" s="5">
        <v>2</v>
      </c>
      <c r="AC91" s="5">
        <v>3</v>
      </c>
      <c r="AD91" s="5">
        <v>4</v>
      </c>
      <c r="AE91" s="5">
        <v>5</v>
      </c>
      <c r="AF91" s="5">
        <v>6</v>
      </c>
      <c r="AG91" s="6">
        <v>7</v>
      </c>
      <c r="AI91" s="4"/>
      <c r="AJ91" s="5">
        <v>1</v>
      </c>
      <c r="AK91" s="5">
        <v>2</v>
      </c>
      <c r="AL91" s="5">
        <v>3</v>
      </c>
      <c r="AM91" s="5">
        <v>4</v>
      </c>
      <c r="AN91" s="5">
        <v>5</v>
      </c>
      <c r="AO91" s="5">
        <v>6</v>
      </c>
      <c r="AP91" s="6">
        <v>7</v>
      </c>
    </row>
    <row r="92" spans="3:42" x14ac:dyDescent="0.25">
      <c r="M92">
        <v>2</v>
      </c>
      <c r="N92" t="s">
        <v>30</v>
      </c>
      <c r="O92">
        <f>($F$18*1000)/($D$5*SQRT(3))</f>
        <v>0</v>
      </c>
      <c r="P92">
        <f>($F$18*1000)/(($D$5/SQRT(3)))</f>
        <v>0</v>
      </c>
      <c r="Q92">
        <f>P92</f>
        <v>0</v>
      </c>
      <c r="R92">
        <f>P92</f>
        <v>0</v>
      </c>
      <c r="S92">
        <f>($F$18*1000)/($D$5)</f>
        <v>0</v>
      </c>
      <c r="T92">
        <f>S92</f>
        <v>0</v>
      </c>
      <c r="U92">
        <f>S92</f>
        <v>0</v>
      </c>
      <c r="Z92" s="2"/>
      <c r="AA92" t="s">
        <v>32</v>
      </c>
      <c r="AB92" t="s">
        <v>34</v>
      </c>
      <c r="AC92" t="s">
        <v>35</v>
      </c>
      <c r="AD92" t="s">
        <v>36</v>
      </c>
      <c r="AE92" t="s">
        <v>37</v>
      </c>
      <c r="AF92" t="s">
        <v>38</v>
      </c>
      <c r="AG92" s="3" t="s">
        <v>39</v>
      </c>
      <c r="AI92" s="29" t="s">
        <v>55</v>
      </c>
      <c r="AJ92" t="s">
        <v>32</v>
      </c>
      <c r="AK92" t="s">
        <v>34</v>
      </c>
      <c r="AL92" t="s">
        <v>35</v>
      </c>
      <c r="AM92" t="s">
        <v>36</v>
      </c>
      <c r="AN92" t="s">
        <v>37</v>
      </c>
      <c r="AO92" t="s">
        <v>38</v>
      </c>
      <c r="AP92" s="3" t="s">
        <v>39</v>
      </c>
    </row>
    <row r="93" spans="3:42" x14ac:dyDescent="0.25">
      <c r="M93">
        <v>3</v>
      </c>
      <c r="N93" t="s">
        <v>31</v>
      </c>
      <c r="O93">
        <f>$F$18</f>
        <v>0</v>
      </c>
      <c r="P93">
        <f>O93</f>
        <v>0</v>
      </c>
      <c r="Q93">
        <f>O93</f>
        <v>0</v>
      </c>
      <c r="R93">
        <f>O93</f>
        <v>0</v>
      </c>
      <c r="S93">
        <f>O93</f>
        <v>0</v>
      </c>
      <c r="T93">
        <f>O93</f>
        <v>0</v>
      </c>
      <c r="U93">
        <f>O93</f>
        <v>0</v>
      </c>
      <c r="Z93" s="2" t="s">
        <v>50</v>
      </c>
      <c r="AA93" s="17">
        <f>H14</f>
        <v>0</v>
      </c>
      <c r="AB93" s="17">
        <f>AA93</f>
        <v>0</v>
      </c>
      <c r="AC93">
        <v>0</v>
      </c>
      <c r="AD93">
        <v>0</v>
      </c>
      <c r="AE93" s="17">
        <f>AA93</f>
        <v>0</v>
      </c>
      <c r="AF93">
        <v>0</v>
      </c>
      <c r="AG93" s="18">
        <f>AA93</f>
        <v>0</v>
      </c>
      <c r="AI93" s="2" t="s">
        <v>50</v>
      </c>
      <c r="AJ93" s="17">
        <f>K14</f>
        <v>0</v>
      </c>
      <c r="AK93" s="17">
        <f>AJ93</f>
        <v>0</v>
      </c>
      <c r="AL93">
        <v>0</v>
      </c>
      <c r="AM93">
        <v>0</v>
      </c>
      <c r="AN93" s="17">
        <f>AJ93+30</f>
        <v>30</v>
      </c>
      <c r="AO93">
        <v>0</v>
      </c>
      <c r="AP93" s="18">
        <f>AJ93-30</f>
        <v>-30</v>
      </c>
    </row>
    <row r="94" spans="3:42" x14ac:dyDescent="0.25">
      <c r="Y94">
        <v>7</v>
      </c>
      <c r="Z94" s="2" t="s">
        <v>51</v>
      </c>
      <c r="AA94" s="17">
        <f>AA93</f>
        <v>0</v>
      </c>
      <c r="AB94">
        <v>0</v>
      </c>
      <c r="AC94" s="17">
        <f>AA93</f>
        <v>0</v>
      </c>
      <c r="AD94">
        <v>0</v>
      </c>
      <c r="AE94" s="17">
        <f>AA93</f>
        <v>0</v>
      </c>
      <c r="AF94" s="17">
        <f>AA93</f>
        <v>0</v>
      </c>
      <c r="AG94" s="3">
        <v>0</v>
      </c>
      <c r="AI94" s="2" t="s">
        <v>51</v>
      </c>
      <c r="AJ94" s="17">
        <f>AJ93-120</f>
        <v>-120</v>
      </c>
      <c r="AK94">
        <v>0</v>
      </c>
      <c r="AL94" s="17">
        <f>AJ93-120</f>
        <v>-120</v>
      </c>
      <c r="AM94">
        <v>0</v>
      </c>
      <c r="AN94" s="17">
        <f>AJ93-150</f>
        <v>-150</v>
      </c>
      <c r="AO94" s="17">
        <f>AJ93-90</f>
        <v>-90</v>
      </c>
      <c r="AP94" s="3">
        <v>0</v>
      </c>
    </row>
    <row r="95" spans="3:42" x14ac:dyDescent="0.25">
      <c r="C95" t="s">
        <v>11</v>
      </c>
      <c r="E95">
        <v>1</v>
      </c>
      <c r="J95">
        <v>1</v>
      </c>
      <c r="L95">
        <v>1</v>
      </c>
      <c r="M95">
        <v>1</v>
      </c>
      <c r="N95" t="s">
        <v>29</v>
      </c>
      <c r="O95">
        <f>($F$19*1000)/($D$5*SQRT(3)*$I$19)</f>
        <v>0</v>
      </c>
      <c r="P95">
        <f>($F$19*1000)/(($D$5/SQRT(3))*$I$19)</f>
        <v>0</v>
      </c>
      <c r="Q95">
        <f>P95</f>
        <v>0</v>
      </c>
      <c r="R95">
        <f>P95</f>
        <v>0</v>
      </c>
      <c r="S95">
        <f>($F$19*1000)/($D$5*$I$19)</f>
        <v>0</v>
      </c>
      <c r="T95">
        <f>S95</f>
        <v>0</v>
      </c>
      <c r="U95">
        <f>S95</f>
        <v>0</v>
      </c>
      <c r="Z95" s="2" t="s">
        <v>52</v>
      </c>
      <c r="AA95" s="17">
        <f>AA93</f>
        <v>0</v>
      </c>
      <c r="AB95">
        <v>0</v>
      </c>
      <c r="AC95">
        <v>0</v>
      </c>
      <c r="AD95" s="17">
        <f>AA93</f>
        <v>0</v>
      </c>
      <c r="AE95">
        <v>0</v>
      </c>
      <c r="AF95" s="17">
        <f>AA93</f>
        <v>0</v>
      </c>
      <c r="AG95" s="18">
        <f>AA93</f>
        <v>0</v>
      </c>
      <c r="AI95" s="2" t="s">
        <v>52</v>
      </c>
      <c r="AJ95" s="17">
        <f>AJ93+120</f>
        <v>120</v>
      </c>
      <c r="AK95">
        <v>0</v>
      </c>
      <c r="AL95">
        <v>0</v>
      </c>
      <c r="AM95" s="17">
        <f>AJ93+120</f>
        <v>120</v>
      </c>
      <c r="AN95">
        <v>0</v>
      </c>
      <c r="AO95" s="17">
        <f>AJ93+90</f>
        <v>90</v>
      </c>
      <c r="AP95" s="18">
        <f>AJ93+150</f>
        <v>150</v>
      </c>
    </row>
    <row r="96" spans="3:42" x14ac:dyDescent="0.25">
      <c r="M96">
        <v>2</v>
      </c>
      <c r="N96" t="s">
        <v>30</v>
      </c>
      <c r="O96">
        <f>($F$19*1000)/($D$5*SQRT(3))</f>
        <v>0</v>
      </c>
      <c r="P96">
        <f>($F$19*1000)/(($D$5/SQRT(3)))</f>
        <v>0</v>
      </c>
      <c r="Q96">
        <f>P96</f>
        <v>0</v>
      </c>
      <c r="R96">
        <f>P96</f>
        <v>0</v>
      </c>
      <c r="S96">
        <f>($F$19*1000)/($D$5)</f>
        <v>0</v>
      </c>
      <c r="T96">
        <f>S96</f>
        <v>0</v>
      </c>
      <c r="U96">
        <f>S96</f>
        <v>0</v>
      </c>
      <c r="Z96" s="13" t="s">
        <v>42</v>
      </c>
      <c r="AA96" s="19">
        <v>0</v>
      </c>
      <c r="AB96" s="20">
        <f>AA93</f>
        <v>0</v>
      </c>
      <c r="AC96" s="20">
        <f>AA93</f>
        <v>0</v>
      </c>
      <c r="AD96" s="20">
        <f>AA93</f>
        <v>0</v>
      </c>
      <c r="AE96" s="19">
        <v>0</v>
      </c>
      <c r="AF96" s="19">
        <v>0</v>
      </c>
      <c r="AG96" s="14">
        <v>0</v>
      </c>
      <c r="AI96" s="13" t="s">
        <v>42</v>
      </c>
      <c r="AJ96" s="19">
        <v>0</v>
      </c>
      <c r="AK96" s="20">
        <f>AJ93+180</f>
        <v>180</v>
      </c>
      <c r="AL96" s="20">
        <f>AJ93+180-120</f>
        <v>60</v>
      </c>
      <c r="AM96" s="20">
        <f>AJ93-180+120</f>
        <v>-60</v>
      </c>
      <c r="AN96" s="19">
        <v>0</v>
      </c>
      <c r="AO96" s="19">
        <v>0</v>
      </c>
      <c r="AP96" s="14">
        <v>0</v>
      </c>
    </row>
    <row r="97" spans="3:42" x14ac:dyDescent="0.25">
      <c r="M97">
        <v>3</v>
      </c>
      <c r="N97" t="s">
        <v>31</v>
      </c>
      <c r="O97">
        <f>$F$19</f>
        <v>0</v>
      </c>
      <c r="P97">
        <f>O97</f>
        <v>0</v>
      </c>
      <c r="Q97">
        <f>O97</f>
        <v>0</v>
      </c>
      <c r="R97">
        <f>O97</f>
        <v>0</v>
      </c>
      <c r="S97">
        <f>O97</f>
        <v>0</v>
      </c>
      <c r="T97">
        <f>O97</f>
        <v>0</v>
      </c>
      <c r="U97">
        <f>O97</f>
        <v>0</v>
      </c>
    </row>
    <row r="98" spans="3:42" x14ac:dyDescent="0.25">
      <c r="Z98" s="4"/>
      <c r="AA98" s="5">
        <v>1</v>
      </c>
      <c r="AB98" s="5">
        <v>2</v>
      </c>
      <c r="AC98" s="5">
        <v>3</v>
      </c>
      <c r="AD98" s="5">
        <v>4</v>
      </c>
      <c r="AE98" s="5">
        <v>5</v>
      </c>
      <c r="AF98" s="5">
        <v>6</v>
      </c>
      <c r="AG98" s="6">
        <v>7</v>
      </c>
      <c r="AI98" s="4"/>
      <c r="AJ98" s="5">
        <v>1</v>
      </c>
      <c r="AK98" s="5">
        <v>2</v>
      </c>
      <c r="AL98" s="5">
        <v>3</v>
      </c>
      <c r="AM98" s="5">
        <v>4</v>
      </c>
      <c r="AN98" s="5">
        <v>5</v>
      </c>
      <c r="AO98" s="5">
        <v>6</v>
      </c>
      <c r="AP98" s="6">
        <v>7</v>
      </c>
    </row>
    <row r="99" spans="3:42" x14ac:dyDescent="0.25">
      <c r="C99" t="s">
        <v>12</v>
      </c>
      <c r="E99">
        <v>1</v>
      </c>
      <c r="J99">
        <v>1</v>
      </c>
      <c r="L99">
        <v>1</v>
      </c>
      <c r="M99">
        <v>1</v>
      </c>
      <c r="N99" t="s">
        <v>29</v>
      </c>
      <c r="O99">
        <f>($F$20*1000)/($D$5*SQRT(3)*$I$20)</f>
        <v>0</v>
      </c>
      <c r="P99">
        <f>($F$20*1000)/(($D$5/SQRT(3))*$I$20)</f>
        <v>0</v>
      </c>
      <c r="Q99">
        <f>P99</f>
        <v>0</v>
      </c>
      <c r="R99">
        <f>P99</f>
        <v>0</v>
      </c>
      <c r="S99">
        <f>($F$20*1000)/($D$5*$I$20)</f>
        <v>0</v>
      </c>
      <c r="T99">
        <f>S99</f>
        <v>0</v>
      </c>
      <c r="U99">
        <f>S99</f>
        <v>0</v>
      </c>
      <c r="Z99" s="2"/>
      <c r="AA99" t="s">
        <v>32</v>
      </c>
      <c r="AB99" t="s">
        <v>34</v>
      </c>
      <c r="AC99" t="s">
        <v>35</v>
      </c>
      <c r="AD99" t="s">
        <v>36</v>
      </c>
      <c r="AE99" t="s">
        <v>37</v>
      </c>
      <c r="AF99" t="s">
        <v>38</v>
      </c>
      <c r="AG99" s="3" t="s">
        <v>39</v>
      </c>
      <c r="AI99" s="29" t="s">
        <v>55</v>
      </c>
      <c r="AJ99" t="s">
        <v>32</v>
      </c>
      <c r="AK99" t="s">
        <v>34</v>
      </c>
      <c r="AL99" t="s">
        <v>35</v>
      </c>
      <c r="AM99" t="s">
        <v>36</v>
      </c>
      <c r="AN99" t="s">
        <v>37</v>
      </c>
      <c r="AO99" t="s">
        <v>38</v>
      </c>
      <c r="AP99" s="3" t="s">
        <v>39</v>
      </c>
    </row>
    <row r="100" spans="3:42" x14ac:dyDescent="0.25">
      <c r="M100">
        <v>2</v>
      </c>
      <c r="N100" t="s">
        <v>30</v>
      </c>
      <c r="O100">
        <f>($F$20*1000)/($D$5*SQRT(3))</f>
        <v>0</v>
      </c>
      <c r="P100">
        <f>($F$20*1000)/(($D$5/SQRT(3)))</f>
        <v>0</v>
      </c>
      <c r="Q100">
        <f>P100</f>
        <v>0</v>
      </c>
      <c r="R100">
        <f>P100</f>
        <v>0</v>
      </c>
      <c r="S100">
        <f>($F$20*1000)/($D$5)</f>
        <v>0</v>
      </c>
      <c r="T100">
        <f>S100</f>
        <v>0</v>
      </c>
      <c r="U100">
        <f>S100</f>
        <v>0</v>
      </c>
      <c r="Z100" s="2" t="s">
        <v>50</v>
      </c>
      <c r="AA100" s="17">
        <f>H15</f>
        <v>0</v>
      </c>
      <c r="AB100" s="17">
        <f>AA100</f>
        <v>0</v>
      </c>
      <c r="AC100">
        <v>0</v>
      </c>
      <c r="AD100">
        <v>0</v>
      </c>
      <c r="AE100" s="17">
        <f>AA100</f>
        <v>0</v>
      </c>
      <c r="AF100">
        <v>0</v>
      </c>
      <c r="AG100" s="18">
        <f>AA100</f>
        <v>0</v>
      </c>
      <c r="AI100" s="2" t="s">
        <v>50</v>
      </c>
      <c r="AJ100" s="17">
        <f>K15</f>
        <v>0</v>
      </c>
      <c r="AK100" s="17">
        <f>AJ100</f>
        <v>0</v>
      </c>
      <c r="AL100">
        <v>0</v>
      </c>
      <c r="AM100">
        <v>0</v>
      </c>
      <c r="AN100" s="17">
        <f>AJ100+30</f>
        <v>30</v>
      </c>
      <c r="AO100">
        <v>0</v>
      </c>
      <c r="AP100" s="18">
        <f>AJ100-30</f>
        <v>-30</v>
      </c>
    </row>
    <row r="101" spans="3:42" x14ac:dyDescent="0.25">
      <c r="M101">
        <v>3</v>
      </c>
      <c r="N101" t="s">
        <v>31</v>
      </c>
      <c r="O101">
        <f>$F$20</f>
        <v>0</v>
      </c>
      <c r="P101">
        <f>O101</f>
        <v>0</v>
      </c>
      <c r="Q101">
        <f>O101</f>
        <v>0</v>
      </c>
      <c r="R101">
        <f>O101</f>
        <v>0</v>
      </c>
      <c r="S101">
        <f>O101</f>
        <v>0</v>
      </c>
      <c r="T101">
        <f>O101</f>
        <v>0</v>
      </c>
      <c r="U101">
        <f>O101</f>
        <v>0</v>
      </c>
      <c r="Y101">
        <v>8</v>
      </c>
      <c r="Z101" s="2" t="s">
        <v>51</v>
      </c>
      <c r="AA101" s="17">
        <f>AA100</f>
        <v>0</v>
      </c>
      <c r="AB101">
        <v>0</v>
      </c>
      <c r="AC101" s="17">
        <f>AA100</f>
        <v>0</v>
      </c>
      <c r="AD101">
        <v>0</v>
      </c>
      <c r="AE101" s="17">
        <f>AA100</f>
        <v>0</v>
      </c>
      <c r="AF101" s="17">
        <f>AA100</f>
        <v>0</v>
      </c>
      <c r="AG101" s="3">
        <v>0</v>
      </c>
      <c r="AI101" s="2" t="s">
        <v>51</v>
      </c>
      <c r="AJ101" s="17">
        <f>AJ100-120</f>
        <v>-120</v>
      </c>
      <c r="AK101">
        <v>0</v>
      </c>
      <c r="AL101" s="17">
        <f>AJ100-120</f>
        <v>-120</v>
      </c>
      <c r="AM101">
        <v>0</v>
      </c>
      <c r="AN101" s="17">
        <f>AJ100-150</f>
        <v>-150</v>
      </c>
      <c r="AO101" s="17">
        <f>AJ100-90</f>
        <v>-90</v>
      </c>
      <c r="AP101" s="3">
        <v>0</v>
      </c>
    </row>
    <row r="102" spans="3:42" x14ac:dyDescent="0.25">
      <c r="Z102" s="2" t="s">
        <v>52</v>
      </c>
      <c r="AA102" s="17">
        <f>AA100</f>
        <v>0</v>
      </c>
      <c r="AB102">
        <v>0</v>
      </c>
      <c r="AC102">
        <v>0</v>
      </c>
      <c r="AD102" s="17">
        <f>AA100</f>
        <v>0</v>
      </c>
      <c r="AE102">
        <v>0</v>
      </c>
      <c r="AF102" s="17">
        <f>AA100</f>
        <v>0</v>
      </c>
      <c r="AG102" s="18">
        <f>AA100</f>
        <v>0</v>
      </c>
      <c r="AI102" s="2" t="s">
        <v>52</v>
      </c>
      <c r="AJ102" s="17">
        <f>AJ100+120</f>
        <v>120</v>
      </c>
      <c r="AK102">
        <v>0</v>
      </c>
      <c r="AL102">
        <v>0</v>
      </c>
      <c r="AM102" s="17">
        <f>AJ100+120</f>
        <v>120</v>
      </c>
      <c r="AN102">
        <v>0</v>
      </c>
      <c r="AO102" s="17">
        <f>AJ100+90</f>
        <v>90</v>
      </c>
      <c r="AP102" s="18">
        <f>AJ100+150</f>
        <v>150</v>
      </c>
    </row>
    <row r="103" spans="3:42" x14ac:dyDescent="0.25">
      <c r="C103" t="s">
        <v>13</v>
      </c>
      <c r="E103">
        <v>1</v>
      </c>
      <c r="J103">
        <v>1</v>
      </c>
      <c r="L103">
        <v>1</v>
      </c>
      <c r="M103">
        <v>1</v>
      </c>
      <c r="N103" t="s">
        <v>29</v>
      </c>
      <c r="O103">
        <f>($F$21*1000)/($D$5*SQRT(3)*$I$21)</f>
        <v>0</v>
      </c>
      <c r="P103">
        <f>($F$21*1000)/(($D$5/SQRT(3))*$I$21)</f>
        <v>0</v>
      </c>
      <c r="Q103">
        <f>P103</f>
        <v>0</v>
      </c>
      <c r="R103">
        <f>P103</f>
        <v>0</v>
      </c>
      <c r="S103">
        <f>($F$21*1000)/($D$5*$I$21)</f>
        <v>0</v>
      </c>
      <c r="T103">
        <f>S103</f>
        <v>0</v>
      </c>
      <c r="U103">
        <f>S103</f>
        <v>0</v>
      </c>
      <c r="Z103" s="13" t="s">
        <v>42</v>
      </c>
      <c r="AA103" s="19">
        <v>0</v>
      </c>
      <c r="AB103" s="20">
        <f>AA100</f>
        <v>0</v>
      </c>
      <c r="AC103" s="20">
        <f>AA100</f>
        <v>0</v>
      </c>
      <c r="AD103" s="20">
        <f>AA100</f>
        <v>0</v>
      </c>
      <c r="AE103" s="19">
        <v>0</v>
      </c>
      <c r="AF103" s="19">
        <v>0</v>
      </c>
      <c r="AG103" s="14">
        <v>0</v>
      </c>
      <c r="AI103" s="13" t="s">
        <v>42</v>
      </c>
      <c r="AJ103" s="19">
        <v>0</v>
      </c>
      <c r="AK103" s="20">
        <f>AJ100+180</f>
        <v>180</v>
      </c>
      <c r="AL103" s="20">
        <f>AJ100+180-120</f>
        <v>60</v>
      </c>
      <c r="AM103" s="20">
        <f>AJ100-180+120</f>
        <v>-60</v>
      </c>
      <c r="AN103" s="19">
        <v>0</v>
      </c>
      <c r="AO103" s="19">
        <v>0</v>
      </c>
      <c r="AP103" s="14">
        <v>0</v>
      </c>
    </row>
    <row r="104" spans="3:42" x14ac:dyDescent="0.25">
      <c r="M104">
        <v>2</v>
      </c>
      <c r="N104" t="s">
        <v>30</v>
      </c>
      <c r="O104">
        <f>($F$21*1000)/($D$5*SQRT(3))</f>
        <v>0</v>
      </c>
      <c r="P104">
        <f>($F$21*1000)/(($D$5/SQRT(3)))</f>
        <v>0</v>
      </c>
      <c r="Q104">
        <f>P104</f>
        <v>0</v>
      </c>
      <c r="R104">
        <f>P104</f>
        <v>0</v>
      </c>
      <c r="S104">
        <f>($F$21*1000)/($D$5)</f>
        <v>0</v>
      </c>
      <c r="T104">
        <f>S104</f>
        <v>0</v>
      </c>
      <c r="U104">
        <f>S104</f>
        <v>0</v>
      </c>
    </row>
    <row r="105" spans="3:42" x14ac:dyDescent="0.25">
      <c r="M105">
        <v>3</v>
      </c>
      <c r="N105" t="s">
        <v>31</v>
      </c>
      <c r="O105">
        <f>$F$21</f>
        <v>0</v>
      </c>
      <c r="P105">
        <f>O105</f>
        <v>0</v>
      </c>
      <c r="Q105">
        <f>O105</f>
        <v>0</v>
      </c>
      <c r="R105">
        <f>O105</f>
        <v>0</v>
      </c>
      <c r="S105">
        <f>O105</f>
        <v>0</v>
      </c>
      <c r="T105">
        <f>O105</f>
        <v>0</v>
      </c>
      <c r="U105">
        <f>O105</f>
        <v>0</v>
      </c>
      <c r="Z105" s="4"/>
      <c r="AA105" s="5">
        <v>1</v>
      </c>
      <c r="AB105" s="5">
        <v>2</v>
      </c>
      <c r="AC105" s="5">
        <v>3</v>
      </c>
      <c r="AD105" s="5">
        <v>4</v>
      </c>
      <c r="AE105" s="5">
        <v>5</v>
      </c>
      <c r="AF105" s="5">
        <v>6</v>
      </c>
      <c r="AG105" s="6">
        <v>7</v>
      </c>
      <c r="AI105" s="4"/>
      <c r="AJ105" s="5">
        <v>1</v>
      </c>
      <c r="AK105" s="5">
        <v>2</v>
      </c>
      <c r="AL105" s="5">
        <v>3</v>
      </c>
      <c r="AM105" s="5">
        <v>4</v>
      </c>
      <c r="AN105" s="5">
        <v>5</v>
      </c>
      <c r="AO105" s="5">
        <v>6</v>
      </c>
      <c r="AP105" s="6">
        <v>7</v>
      </c>
    </row>
    <row r="106" spans="3:42" x14ac:dyDescent="0.25">
      <c r="Z106" s="2"/>
      <c r="AA106" t="s">
        <v>32</v>
      </c>
      <c r="AB106" t="s">
        <v>34</v>
      </c>
      <c r="AC106" t="s">
        <v>35</v>
      </c>
      <c r="AD106" t="s">
        <v>36</v>
      </c>
      <c r="AE106" t="s">
        <v>37</v>
      </c>
      <c r="AF106" t="s">
        <v>38</v>
      </c>
      <c r="AG106" s="3" t="s">
        <v>39</v>
      </c>
      <c r="AI106" s="29" t="s">
        <v>55</v>
      </c>
      <c r="AJ106" t="s">
        <v>32</v>
      </c>
      <c r="AK106" t="s">
        <v>34</v>
      </c>
      <c r="AL106" t="s">
        <v>35</v>
      </c>
      <c r="AM106" t="s">
        <v>36</v>
      </c>
      <c r="AN106" t="s">
        <v>37</v>
      </c>
      <c r="AO106" t="s">
        <v>38</v>
      </c>
      <c r="AP106" s="3" t="s">
        <v>39</v>
      </c>
    </row>
    <row r="107" spans="3:42" x14ac:dyDescent="0.25">
      <c r="C107" t="s">
        <v>14</v>
      </c>
      <c r="E107">
        <v>1</v>
      </c>
      <c r="J107">
        <v>1</v>
      </c>
      <c r="L107">
        <v>1</v>
      </c>
      <c r="M107">
        <v>1</v>
      </c>
      <c r="N107" t="s">
        <v>29</v>
      </c>
      <c r="O107">
        <f>($F$22*1000)/($D$5*SQRT(3)*$I$22)</f>
        <v>0</v>
      </c>
      <c r="P107">
        <f>($F$22*1000)/(($D$5/SQRT(3))*$I$22)</f>
        <v>0</v>
      </c>
      <c r="Q107">
        <f>P107</f>
        <v>0</v>
      </c>
      <c r="R107">
        <f>P107</f>
        <v>0</v>
      </c>
      <c r="S107">
        <f>($F$22*1000)/($D$5*$I$22)</f>
        <v>0</v>
      </c>
      <c r="T107">
        <f>S107</f>
        <v>0</v>
      </c>
      <c r="U107">
        <f>S107</f>
        <v>0</v>
      </c>
      <c r="Z107" s="2" t="s">
        <v>50</v>
      </c>
      <c r="AA107" s="17">
        <f>H16</f>
        <v>0</v>
      </c>
      <c r="AB107" s="17">
        <f>AA107</f>
        <v>0</v>
      </c>
      <c r="AC107">
        <v>0</v>
      </c>
      <c r="AD107">
        <v>0</v>
      </c>
      <c r="AE107" s="17">
        <f>AA107</f>
        <v>0</v>
      </c>
      <c r="AF107">
        <v>0</v>
      </c>
      <c r="AG107" s="18">
        <f>AA107</f>
        <v>0</v>
      </c>
      <c r="AI107" s="2" t="s">
        <v>50</v>
      </c>
      <c r="AJ107" s="17">
        <f>K16</f>
        <v>0</v>
      </c>
      <c r="AK107" s="17">
        <f>AJ107</f>
        <v>0</v>
      </c>
      <c r="AL107">
        <v>0</v>
      </c>
      <c r="AM107">
        <v>0</v>
      </c>
      <c r="AN107" s="17">
        <f>AJ107+30</f>
        <v>30</v>
      </c>
      <c r="AO107">
        <v>0</v>
      </c>
      <c r="AP107" s="18">
        <f>AJ107-30</f>
        <v>-30</v>
      </c>
    </row>
    <row r="108" spans="3:42" x14ac:dyDescent="0.25">
      <c r="M108">
        <v>2</v>
      </c>
      <c r="N108" t="s">
        <v>30</v>
      </c>
      <c r="O108">
        <f>($F$22*1000)/($D$5*SQRT(3))</f>
        <v>0</v>
      </c>
      <c r="P108">
        <f>($F$22*1000)/(($D$5/SQRT(3)))</f>
        <v>0</v>
      </c>
      <c r="Q108">
        <f>P108</f>
        <v>0</v>
      </c>
      <c r="R108">
        <f>P108</f>
        <v>0</v>
      </c>
      <c r="S108">
        <f>($F$22*1000)/($D$5)</f>
        <v>0</v>
      </c>
      <c r="T108">
        <f>S108</f>
        <v>0</v>
      </c>
      <c r="U108">
        <f>S108</f>
        <v>0</v>
      </c>
      <c r="Z108" s="2" t="s">
        <v>51</v>
      </c>
      <c r="AA108" s="17">
        <f>AA107</f>
        <v>0</v>
      </c>
      <c r="AB108">
        <v>0</v>
      </c>
      <c r="AC108" s="17">
        <f>AA107</f>
        <v>0</v>
      </c>
      <c r="AD108">
        <v>0</v>
      </c>
      <c r="AE108" s="17">
        <f>AA107</f>
        <v>0</v>
      </c>
      <c r="AF108" s="17">
        <f>AA107</f>
        <v>0</v>
      </c>
      <c r="AG108" s="3">
        <v>0</v>
      </c>
      <c r="AI108" s="2" t="s">
        <v>51</v>
      </c>
      <c r="AJ108" s="17">
        <f>AJ107-120</f>
        <v>-120</v>
      </c>
      <c r="AK108">
        <v>0</v>
      </c>
      <c r="AL108" s="17">
        <f>AJ107-120</f>
        <v>-120</v>
      </c>
      <c r="AM108">
        <v>0</v>
      </c>
      <c r="AN108" s="17">
        <f>AJ107-150</f>
        <v>-150</v>
      </c>
      <c r="AO108" s="17">
        <f>AJ107-90</f>
        <v>-90</v>
      </c>
      <c r="AP108" s="3">
        <v>0</v>
      </c>
    </row>
    <row r="109" spans="3:42" x14ac:dyDescent="0.25">
      <c r="M109">
        <v>3</v>
      </c>
      <c r="N109" t="s">
        <v>31</v>
      </c>
      <c r="O109">
        <f>$F$22</f>
        <v>0</v>
      </c>
      <c r="P109">
        <f>O109</f>
        <v>0</v>
      </c>
      <c r="Q109">
        <f>O109</f>
        <v>0</v>
      </c>
      <c r="R109">
        <f>O109</f>
        <v>0</v>
      </c>
      <c r="S109">
        <f>O109</f>
        <v>0</v>
      </c>
      <c r="T109">
        <f>O109</f>
        <v>0</v>
      </c>
      <c r="U109">
        <f>O109</f>
        <v>0</v>
      </c>
      <c r="Y109">
        <v>9</v>
      </c>
      <c r="Z109" s="2" t="s">
        <v>52</v>
      </c>
      <c r="AA109" s="17">
        <f>AA107</f>
        <v>0</v>
      </c>
      <c r="AB109">
        <v>0</v>
      </c>
      <c r="AC109">
        <v>0</v>
      </c>
      <c r="AD109" s="17">
        <f>AA107</f>
        <v>0</v>
      </c>
      <c r="AE109">
        <v>0</v>
      </c>
      <c r="AF109" s="17">
        <f>AA107</f>
        <v>0</v>
      </c>
      <c r="AG109" s="18">
        <f>AA107</f>
        <v>0</v>
      </c>
      <c r="AI109" s="2" t="s">
        <v>52</v>
      </c>
      <c r="AJ109" s="17">
        <f>AJ107+120</f>
        <v>120</v>
      </c>
      <c r="AK109">
        <v>0</v>
      </c>
      <c r="AL109">
        <v>0</v>
      </c>
      <c r="AM109" s="17">
        <f>AJ107+120</f>
        <v>120</v>
      </c>
      <c r="AN109">
        <v>0</v>
      </c>
      <c r="AO109" s="17">
        <f>AJ107+90</f>
        <v>90</v>
      </c>
      <c r="AP109" s="18">
        <f>AJ107+150</f>
        <v>150</v>
      </c>
    </row>
    <row r="110" spans="3:42" x14ac:dyDescent="0.25">
      <c r="Z110" s="13" t="s">
        <v>42</v>
      </c>
      <c r="AA110" s="19">
        <v>0</v>
      </c>
      <c r="AB110" s="20">
        <f>AA107</f>
        <v>0</v>
      </c>
      <c r="AC110" s="20">
        <f>AA107</f>
        <v>0</v>
      </c>
      <c r="AD110" s="20">
        <f>AA107</f>
        <v>0</v>
      </c>
      <c r="AE110" s="19">
        <v>0</v>
      </c>
      <c r="AF110" s="19">
        <v>0</v>
      </c>
      <c r="AG110" s="14">
        <v>0</v>
      </c>
      <c r="AI110" s="13" t="s">
        <v>42</v>
      </c>
      <c r="AJ110" s="19">
        <v>0</v>
      </c>
      <c r="AK110" s="20">
        <f>AJ107+180</f>
        <v>180</v>
      </c>
      <c r="AL110" s="20">
        <f>AJ107+180-120</f>
        <v>60</v>
      </c>
      <c r="AM110" s="20">
        <f>AJ107-180+120</f>
        <v>-60</v>
      </c>
      <c r="AN110" s="19">
        <v>0</v>
      </c>
      <c r="AO110" s="19">
        <v>0</v>
      </c>
      <c r="AP110" s="14">
        <v>0</v>
      </c>
    </row>
    <row r="111" spans="3:42" ht="18" x14ac:dyDescent="0.35">
      <c r="C111" s="7"/>
      <c r="D111" s="12"/>
      <c r="E111" s="7" t="s">
        <v>44</v>
      </c>
      <c r="F111" s="12"/>
      <c r="G111" s="7" t="s">
        <v>45</v>
      </c>
      <c r="H111" s="12"/>
      <c r="I111" s="7" t="s">
        <v>46</v>
      </c>
      <c r="J111" s="12"/>
      <c r="K111" s="7" t="s">
        <v>47</v>
      </c>
      <c r="L111" s="12"/>
    </row>
    <row r="112" spans="3:42" x14ac:dyDescent="0.25">
      <c r="C112" s="9" t="s">
        <v>41</v>
      </c>
      <c r="D112" s="10"/>
      <c r="E112" s="9" t="s">
        <v>48</v>
      </c>
      <c r="F112" s="10" t="s">
        <v>49</v>
      </c>
      <c r="G112" s="9" t="s">
        <v>48</v>
      </c>
      <c r="H112" s="10" t="s">
        <v>49</v>
      </c>
      <c r="I112" s="9" t="s">
        <v>48</v>
      </c>
      <c r="J112" s="10" t="s">
        <v>49</v>
      </c>
      <c r="K112" s="9" t="s">
        <v>48</v>
      </c>
      <c r="L112" s="10" t="s">
        <v>49</v>
      </c>
      <c r="M112" s="8"/>
      <c r="N112" s="8"/>
      <c r="O112" s="8"/>
      <c r="Z112" s="4"/>
      <c r="AA112" s="5">
        <v>1</v>
      </c>
      <c r="AB112" s="5">
        <v>2</v>
      </c>
      <c r="AC112" s="5">
        <v>3</v>
      </c>
      <c r="AD112" s="5">
        <v>4</v>
      </c>
      <c r="AE112" s="5">
        <v>5</v>
      </c>
      <c r="AF112" s="5">
        <v>6</v>
      </c>
      <c r="AG112" s="6">
        <v>7</v>
      </c>
      <c r="AI112" s="4"/>
      <c r="AJ112" s="5">
        <v>1</v>
      </c>
      <c r="AK112" s="5">
        <v>2</v>
      </c>
      <c r="AL112" s="5">
        <v>3</v>
      </c>
      <c r="AM112" s="5">
        <v>4</v>
      </c>
      <c r="AN112" s="5">
        <v>5</v>
      </c>
      <c r="AO112" s="5">
        <v>6</v>
      </c>
      <c r="AP112" s="6">
        <v>7</v>
      </c>
    </row>
    <row r="113" spans="3:42" x14ac:dyDescent="0.25">
      <c r="C113" s="2" t="str">
        <f t="shared" ref="C113:C127" si="2">C8</f>
        <v>Belastning 1</v>
      </c>
      <c r="D113" s="15"/>
      <c r="E113" s="2">
        <f>COS(RADIANS(Q8))*O8</f>
        <v>0</v>
      </c>
      <c r="F113" s="3">
        <f>SIN(RADIANS(Q8))*O8</f>
        <v>0</v>
      </c>
      <c r="G113" s="2">
        <f>COS(RADIANS(T8))*R8</f>
        <v>0</v>
      </c>
      <c r="H113" s="3">
        <f>SIN(RADIANS(T8))*R8</f>
        <v>0</v>
      </c>
      <c r="I113" s="2">
        <f>COS(RADIANS(W8))*U8</f>
        <v>0</v>
      </c>
      <c r="J113" s="3">
        <f>SIN(RADIANS(W8))*U8</f>
        <v>0</v>
      </c>
      <c r="K113" s="2"/>
      <c r="L113" s="3"/>
      <c r="M113" s="11"/>
      <c r="O113" s="8"/>
      <c r="Z113" s="2"/>
      <c r="AA113" t="s">
        <v>32</v>
      </c>
      <c r="AB113" t="s">
        <v>34</v>
      </c>
      <c r="AC113" t="s">
        <v>35</v>
      </c>
      <c r="AD113" t="s">
        <v>36</v>
      </c>
      <c r="AE113" t="s">
        <v>37</v>
      </c>
      <c r="AF113" t="s">
        <v>38</v>
      </c>
      <c r="AG113" s="3" t="s">
        <v>39</v>
      </c>
      <c r="AI113" s="29" t="s">
        <v>55</v>
      </c>
      <c r="AJ113" t="s">
        <v>32</v>
      </c>
      <c r="AK113" t="s">
        <v>34</v>
      </c>
      <c r="AL113" t="s">
        <v>35</v>
      </c>
      <c r="AM113" t="s">
        <v>36</v>
      </c>
      <c r="AN113" t="s">
        <v>37</v>
      </c>
      <c r="AO113" t="s">
        <v>38</v>
      </c>
      <c r="AP113" s="3" t="s">
        <v>39</v>
      </c>
    </row>
    <row r="114" spans="3:42" x14ac:dyDescent="0.25">
      <c r="C114" s="2" t="str">
        <f t="shared" si="2"/>
        <v>Belastning 2</v>
      </c>
      <c r="D114" s="15"/>
      <c r="E114" s="2">
        <f t="shared" ref="E114:E127" si="3">COS(RADIANS(Q9))*O9</f>
        <v>0</v>
      </c>
      <c r="F114" s="3">
        <f t="shared" ref="F114:F127" si="4">SIN(RADIANS(Q9))*O9</f>
        <v>0</v>
      </c>
      <c r="G114" s="2">
        <f t="shared" ref="G114:G127" si="5">COS(RADIANS(T9))*R9</f>
        <v>0</v>
      </c>
      <c r="H114" s="3">
        <f t="shared" ref="H114:H127" si="6">SIN(RADIANS(T9))*R9</f>
        <v>0</v>
      </c>
      <c r="I114" s="2">
        <f t="shared" ref="I114:I127" si="7">COS(RADIANS(W9))*U9</f>
        <v>0</v>
      </c>
      <c r="J114" s="3">
        <f t="shared" ref="J114:J127" si="8">SIN(RADIANS(W9))*U9</f>
        <v>0</v>
      </c>
      <c r="K114" s="2"/>
      <c r="L114" s="3"/>
      <c r="M114" s="11"/>
      <c r="O114" s="8"/>
      <c r="Z114" s="2" t="s">
        <v>50</v>
      </c>
      <c r="AA114" s="17">
        <f>H17</f>
        <v>0</v>
      </c>
      <c r="AB114" s="17">
        <f>AA114</f>
        <v>0</v>
      </c>
      <c r="AC114">
        <v>0</v>
      </c>
      <c r="AD114">
        <v>0</v>
      </c>
      <c r="AE114" s="17">
        <f>AA114</f>
        <v>0</v>
      </c>
      <c r="AF114">
        <v>0</v>
      </c>
      <c r="AG114" s="18">
        <f>AA114</f>
        <v>0</v>
      </c>
      <c r="AI114" s="2" t="s">
        <v>50</v>
      </c>
      <c r="AJ114" s="17">
        <f>K17</f>
        <v>0</v>
      </c>
      <c r="AK114" s="17">
        <f>AJ114</f>
        <v>0</v>
      </c>
      <c r="AL114">
        <v>0</v>
      </c>
      <c r="AM114">
        <v>0</v>
      </c>
      <c r="AN114" s="17">
        <f>AJ114+30</f>
        <v>30</v>
      </c>
      <c r="AO114">
        <v>0</v>
      </c>
      <c r="AP114" s="18">
        <f>AJ114-30</f>
        <v>-30</v>
      </c>
    </row>
    <row r="115" spans="3:42" x14ac:dyDescent="0.25">
      <c r="C115" s="2" t="str">
        <f t="shared" si="2"/>
        <v>Belastning 3</v>
      </c>
      <c r="D115" s="15"/>
      <c r="E115" s="2">
        <f t="shared" si="3"/>
        <v>0</v>
      </c>
      <c r="F115" s="3">
        <f t="shared" si="4"/>
        <v>0</v>
      </c>
      <c r="G115" s="2">
        <f t="shared" si="5"/>
        <v>0</v>
      </c>
      <c r="H115" s="3">
        <f t="shared" si="6"/>
        <v>0</v>
      </c>
      <c r="I115" s="2">
        <f t="shared" si="7"/>
        <v>0</v>
      </c>
      <c r="J115" s="3">
        <f t="shared" si="8"/>
        <v>0</v>
      </c>
      <c r="K115" s="2"/>
      <c r="L115" s="3"/>
      <c r="M115" s="11"/>
      <c r="O115" s="8"/>
      <c r="Z115" s="2" t="s">
        <v>51</v>
      </c>
      <c r="AA115" s="17">
        <f>AA114</f>
        <v>0</v>
      </c>
      <c r="AB115">
        <v>0</v>
      </c>
      <c r="AC115" s="17">
        <f>AA114</f>
        <v>0</v>
      </c>
      <c r="AD115">
        <v>0</v>
      </c>
      <c r="AE115" s="17">
        <f>AA114</f>
        <v>0</v>
      </c>
      <c r="AF115" s="17">
        <f>AA114</f>
        <v>0</v>
      </c>
      <c r="AG115" s="3">
        <v>0</v>
      </c>
      <c r="AI115" s="2" t="s">
        <v>51</v>
      </c>
      <c r="AJ115" s="17">
        <f>AJ114-120</f>
        <v>-120</v>
      </c>
      <c r="AK115">
        <v>0</v>
      </c>
      <c r="AL115" s="17">
        <f>AJ114-120</f>
        <v>-120</v>
      </c>
      <c r="AM115">
        <v>0</v>
      </c>
      <c r="AN115" s="17">
        <f>AJ114-150</f>
        <v>-150</v>
      </c>
      <c r="AO115" s="17">
        <f>AJ114-90</f>
        <v>-90</v>
      </c>
      <c r="AP115" s="3">
        <v>0</v>
      </c>
    </row>
    <row r="116" spans="3:42" x14ac:dyDescent="0.25">
      <c r="C116" s="2" t="str">
        <f t="shared" si="2"/>
        <v>Belastning 4</v>
      </c>
      <c r="D116" s="15"/>
      <c r="E116" s="2">
        <f t="shared" si="3"/>
        <v>0</v>
      </c>
      <c r="F116" s="3">
        <f t="shared" si="4"/>
        <v>0</v>
      </c>
      <c r="G116" s="2">
        <f t="shared" si="5"/>
        <v>0</v>
      </c>
      <c r="H116" s="3">
        <f t="shared" si="6"/>
        <v>0</v>
      </c>
      <c r="I116" s="2">
        <f t="shared" si="7"/>
        <v>0</v>
      </c>
      <c r="J116" s="3">
        <f t="shared" si="8"/>
        <v>0</v>
      </c>
      <c r="K116" s="2"/>
      <c r="L116" s="3"/>
      <c r="M116" s="11"/>
      <c r="O116" s="8"/>
      <c r="Y116">
        <v>10</v>
      </c>
      <c r="Z116" s="2" t="s">
        <v>52</v>
      </c>
      <c r="AA116" s="17">
        <f>AA114</f>
        <v>0</v>
      </c>
      <c r="AB116">
        <v>0</v>
      </c>
      <c r="AC116">
        <v>0</v>
      </c>
      <c r="AD116" s="17">
        <f>AA114</f>
        <v>0</v>
      </c>
      <c r="AE116">
        <v>0</v>
      </c>
      <c r="AF116" s="17">
        <f>AA114</f>
        <v>0</v>
      </c>
      <c r="AG116" s="18">
        <f>AA114</f>
        <v>0</v>
      </c>
      <c r="AI116" s="2" t="s">
        <v>52</v>
      </c>
      <c r="AJ116" s="17">
        <f>AJ114+120</f>
        <v>120</v>
      </c>
      <c r="AK116">
        <v>0</v>
      </c>
      <c r="AL116">
        <v>0</v>
      </c>
      <c r="AM116" s="17">
        <f>AJ114+120</f>
        <v>120</v>
      </c>
      <c r="AN116">
        <v>0</v>
      </c>
      <c r="AO116" s="17">
        <f>AJ114+90</f>
        <v>90</v>
      </c>
      <c r="AP116" s="18">
        <f>AJ114+150</f>
        <v>150</v>
      </c>
    </row>
    <row r="117" spans="3:42" x14ac:dyDescent="0.25">
      <c r="C117" s="2" t="str">
        <f t="shared" si="2"/>
        <v>Belastning 5</v>
      </c>
      <c r="D117" s="15"/>
      <c r="E117" s="2">
        <f t="shared" si="3"/>
        <v>0</v>
      </c>
      <c r="F117" s="3">
        <f t="shared" si="4"/>
        <v>0</v>
      </c>
      <c r="G117" s="2">
        <f t="shared" si="5"/>
        <v>0</v>
      </c>
      <c r="H117" s="3">
        <f t="shared" si="6"/>
        <v>0</v>
      </c>
      <c r="I117" s="2">
        <f t="shared" si="7"/>
        <v>0</v>
      </c>
      <c r="J117" s="3">
        <f t="shared" si="8"/>
        <v>0</v>
      </c>
      <c r="K117" s="2"/>
      <c r="L117" s="3"/>
      <c r="M117" s="11"/>
      <c r="O117" s="8"/>
      <c r="Z117" s="13" t="s">
        <v>42</v>
      </c>
      <c r="AA117" s="19">
        <v>0</v>
      </c>
      <c r="AB117" s="20">
        <f>AA114</f>
        <v>0</v>
      </c>
      <c r="AC117" s="20">
        <f>AA114</f>
        <v>0</v>
      </c>
      <c r="AD117" s="20">
        <f>AA114</f>
        <v>0</v>
      </c>
      <c r="AE117" s="19">
        <v>0</v>
      </c>
      <c r="AF117" s="19">
        <v>0</v>
      </c>
      <c r="AG117" s="14">
        <v>0</v>
      </c>
      <c r="AI117" s="13" t="s">
        <v>42</v>
      </c>
      <c r="AJ117" s="19">
        <v>0</v>
      </c>
      <c r="AK117" s="20">
        <f>AJ114+180</f>
        <v>180</v>
      </c>
      <c r="AL117" s="20">
        <f>AJ114+180-120</f>
        <v>60</v>
      </c>
      <c r="AM117" s="20">
        <f>AJ114-180+120</f>
        <v>-60</v>
      </c>
      <c r="AN117" s="19">
        <v>0</v>
      </c>
      <c r="AO117" s="19">
        <v>0</v>
      </c>
      <c r="AP117" s="14">
        <v>0</v>
      </c>
    </row>
    <row r="118" spans="3:42" x14ac:dyDescent="0.25">
      <c r="C118" s="2" t="str">
        <f t="shared" si="2"/>
        <v>Belastning 6</v>
      </c>
      <c r="D118" s="15"/>
      <c r="E118" s="2">
        <f t="shared" si="3"/>
        <v>0</v>
      </c>
      <c r="F118" s="3">
        <f t="shared" si="4"/>
        <v>0</v>
      </c>
      <c r="G118" s="2">
        <f t="shared" si="5"/>
        <v>0</v>
      </c>
      <c r="H118" s="3">
        <f t="shared" si="6"/>
        <v>0</v>
      </c>
      <c r="I118" s="2">
        <f t="shared" si="7"/>
        <v>0</v>
      </c>
      <c r="J118" s="3">
        <f t="shared" si="8"/>
        <v>0</v>
      </c>
      <c r="K118" s="2"/>
      <c r="L118" s="3"/>
      <c r="M118" s="11"/>
      <c r="O118" s="8"/>
    </row>
    <row r="119" spans="3:42" x14ac:dyDescent="0.25">
      <c r="C119" s="2" t="str">
        <f t="shared" si="2"/>
        <v>Belastning 7</v>
      </c>
      <c r="D119" s="15"/>
      <c r="E119" s="2">
        <f t="shared" si="3"/>
        <v>0</v>
      </c>
      <c r="F119" s="3">
        <f t="shared" si="4"/>
        <v>0</v>
      </c>
      <c r="G119" s="2">
        <f t="shared" si="5"/>
        <v>0</v>
      </c>
      <c r="H119" s="3">
        <f t="shared" si="6"/>
        <v>0</v>
      </c>
      <c r="I119" s="2">
        <f t="shared" si="7"/>
        <v>0</v>
      </c>
      <c r="J119" s="3">
        <f t="shared" si="8"/>
        <v>0</v>
      </c>
      <c r="K119" s="2"/>
      <c r="L119" s="3"/>
      <c r="M119" s="11"/>
      <c r="O119" s="8"/>
      <c r="Z119" s="4"/>
      <c r="AA119" s="5">
        <v>1</v>
      </c>
      <c r="AB119" s="5">
        <v>2</v>
      </c>
      <c r="AC119" s="5">
        <v>3</v>
      </c>
      <c r="AD119" s="5">
        <v>4</v>
      </c>
      <c r="AE119" s="5">
        <v>5</v>
      </c>
      <c r="AF119" s="5">
        <v>6</v>
      </c>
      <c r="AG119" s="6">
        <v>7</v>
      </c>
      <c r="AI119" s="4"/>
      <c r="AJ119" s="5">
        <v>1</v>
      </c>
      <c r="AK119" s="5">
        <v>2</v>
      </c>
      <c r="AL119" s="5">
        <v>3</v>
      </c>
      <c r="AM119" s="5">
        <v>4</v>
      </c>
      <c r="AN119" s="5">
        <v>5</v>
      </c>
      <c r="AO119" s="5">
        <v>6</v>
      </c>
      <c r="AP119" s="6">
        <v>7</v>
      </c>
    </row>
    <row r="120" spans="3:42" x14ac:dyDescent="0.25">
      <c r="C120" s="2" t="str">
        <f t="shared" si="2"/>
        <v>Belastning 8</v>
      </c>
      <c r="D120" s="15"/>
      <c r="E120" s="2">
        <f t="shared" si="3"/>
        <v>0</v>
      </c>
      <c r="F120" s="3">
        <f t="shared" si="4"/>
        <v>0</v>
      </c>
      <c r="G120" s="2">
        <f t="shared" si="5"/>
        <v>0</v>
      </c>
      <c r="H120" s="3">
        <f t="shared" si="6"/>
        <v>0</v>
      </c>
      <c r="I120" s="2">
        <f t="shared" si="7"/>
        <v>0</v>
      </c>
      <c r="J120" s="3">
        <f t="shared" si="8"/>
        <v>0</v>
      </c>
      <c r="K120" s="2"/>
      <c r="L120" s="3"/>
      <c r="M120" s="11"/>
      <c r="O120" s="8"/>
      <c r="Z120" s="2"/>
      <c r="AA120" t="s">
        <v>32</v>
      </c>
      <c r="AB120" t="s">
        <v>34</v>
      </c>
      <c r="AC120" t="s">
        <v>35</v>
      </c>
      <c r="AD120" t="s">
        <v>36</v>
      </c>
      <c r="AE120" t="s">
        <v>37</v>
      </c>
      <c r="AF120" t="s">
        <v>38</v>
      </c>
      <c r="AG120" s="3" t="s">
        <v>39</v>
      </c>
      <c r="AI120" s="29" t="s">
        <v>55</v>
      </c>
      <c r="AJ120" t="s">
        <v>32</v>
      </c>
      <c r="AK120" t="s">
        <v>34</v>
      </c>
      <c r="AL120" t="s">
        <v>35</v>
      </c>
      <c r="AM120" t="s">
        <v>36</v>
      </c>
      <c r="AN120" t="s">
        <v>37</v>
      </c>
      <c r="AO120" t="s">
        <v>38</v>
      </c>
      <c r="AP120" s="3" t="s">
        <v>39</v>
      </c>
    </row>
    <row r="121" spans="3:42" x14ac:dyDescent="0.25">
      <c r="C121" s="2" t="str">
        <f t="shared" si="2"/>
        <v>Belastning 9</v>
      </c>
      <c r="D121" s="15"/>
      <c r="E121" s="2">
        <f t="shared" si="3"/>
        <v>0</v>
      </c>
      <c r="F121" s="3">
        <f t="shared" si="4"/>
        <v>0</v>
      </c>
      <c r="G121" s="2">
        <f t="shared" si="5"/>
        <v>0</v>
      </c>
      <c r="H121" s="3">
        <f t="shared" si="6"/>
        <v>0</v>
      </c>
      <c r="I121" s="2">
        <f t="shared" si="7"/>
        <v>0</v>
      </c>
      <c r="J121" s="3">
        <f t="shared" si="8"/>
        <v>0</v>
      </c>
      <c r="K121" s="2"/>
      <c r="L121" s="3"/>
      <c r="M121" s="11"/>
      <c r="O121" s="8"/>
      <c r="Z121" s="2" t="s">
        <v>50</v>
      </c>
      <c r="AA121" s="17">
        <f>H18</f>
        <v>0</v>
      </c>
      <c r="AB121" s="17">
        <f>AA121</f>
        <v>0</v>
      </c>
      <c r="AC121">
        <v>0</v>
      </c>
      <c r="AD121">
        <v>0</v>
      </c>
      <c r="AE121" s="17">
        <f>AA121</f>
        <v>0</v>
      </c>
      <c r="AF121">
        <v>0</v>
      </c>
      <c r="AG121" s="18">
        <f>AA121</f>
        <v>0</v>
      </c>
      <c r="AI121" s="2" t="s">
        <v>50</v>
      </c>
      <c r="AJ121" s="17">
        <f>K18</f>
        <v>0</v>
      </c>
      <c r="AK121" s="17">
        <f>AJ121</f>
        <v>0</v>
      </c>
      <c r="AL121">
        <v>0</v>
      </c>
      <c r="AM121">
        <v>0</v>
      </c>
      <c r="AN121" s="17">
        <f>AJ121+30</f>
        <v>30</v>
      </c>
      <c r="AO121">
        <v>0</v>
      </c>
      <c r="AP121" s="18">
        <f>AJ121-30</f>
        <v>-30</v>
      </c>
    </row>
    <row r="122" spans="3:42" x14ac:dyDescent="0.25">
      <c r="C122" s="2" t="str">
        <f t="shared" si="2"/>
        <v>Belastning 10</v>
      </c>
      <c r="D122" s="15"/>
      <c r="E122" s="2">
        <f t="shared" si="3"/>
        <v>0</v>
      </c>
      <c r="F122" s="3">
        <f t="shared" si="4"/>
        <v>0</v>
      </c>
      <c r="G122" s="2">
        <f t="shared" si="5"/>
        <v>0</v>
      </c>
      <c r="H122" s="3">
        <f t="shared" si="6"/>
        <v>0</v>
      </c>
      <c r="I122" s="2">
        <f t="shared" si="7"/>
        <v>0</v>
      </c>
      <c r="J122" s="3">
        <f t="shared" si="8"/>
        <v>0</v>
      </c>
      <c r="K122" s="2"/>
      <c r="L122" s="3"/>
      <c r="M122" s="11"/>
      <c r="O122" s="8"/>
      <c r="Z122" s="2" t="s">
        <v>51</v>
      </c>
      <c r="AA122" s="17">
        <f>AA121</f>
        <v>0</v>
      </c>
      <c r="AB122">
        <v>0</v>
      </c>
      <c r="AC122" s="17">
        <f>AA121</f>
        <v>0</v>
      </c>
      <c r="AD122">
        <v>0</v>
      </c>
      <c r="AE122" s="17">
        <f>AA121</f>
        <v>0</v>
      </c>
      <c r="AF122" s="17">
        <f>AA121</f>
        <v>0</v>
      </c>
      <c r="AG122" s="3">
        <v>0</v>
      </c>
      <c r="AI122" s="2" t="s">
        <v>51</v>
      </c>
      <c r="AJ122" s="17">
        <f>AJ121-120</f>
        <v>-120</v>
      </c>
      <c r="AK122">
        <v>0</v>
      </c>
      <c r="AL122" s="17">
        <f>AJ121-120</f>
        <v>-120</v>
      </c>
      <c r="AM122">
        <v>0</v>
      </c>
      <c r="AN122" s="17">
        <f>AJ121-150</f>
        <v>-150</v>
      </c>
      <c r="AO122" s="17">
        <f>AJ121-90</f>
        <v>-90</v>
      </c>
      <c r="AP122" s="3">
        <v>0</v>
      </c>
    </row>
    <row r="123" spans="3:42" x14ac:dyDescent="0.25">
      <c r="C123" s="2" t="str">
        <f t="shared" si="2"/>
        <v>Belastning 11</v>
      </c>
      <c r="D123" s="15"/>
      <c r="E123" s="2">
        <f t="shared" si="3"/>
        <v>0</v>
      </c>
      <c r="F123" s="3">
        <f t="shared" si="4"/>
        <v>0</v>
      </c>
      <c r="G123" s="2">
        <f t="shared" si="5"/>
        <v>0</v>
      </c>
      <c r="H123" s="3">
        <f t="shared" si="6"/>
        <v>0</v>
      </c>
      <c r="I123" s="2">
        <f t="shared" si="7"/>
        <v>0</v>
      </c>
      <c r="J123" s="3">
        <f t="shared" si="8"/>
        <v>0</v>
      </c>
      <c r="K123" s="2"/>
      <c r="L123" s="3"/>
      <c r="M123" s="11"/>
      <c r="O123" s="8"/>
      <c r="Y123">
        <v>11</v>
      </c>
      <c r="Z123" s="2" t="s">
        <v>52</v>
      </c>
      <c r="AA123" s="17">
        <f>AA121</f>
        <v>0</v>
      </c>
      <c r="AB123">
        <v>0</v>
      </c>
      <c r="AC123">
        <v>0</v>
      </c>
      <c r="AD123" s="17">
        <f>AA121</f>
        <v>0</v>
      </c>
      <c r="AE123">
        <v>0</v>
      </c>
      <c r="AF123" s="17">
        <f>AA121</f>
        <v>0</v>
      </c>
      <c r="AG123" s="18">
        <f>AA121</f>
        <v>0</v>
      </c>
      <c r="AI123" s="2" t="s">
        <v>52</v>
      </c>
      <c r="AJ123" s="17">
        <f>AJ121+120</f>
        <v>120</v>
      </c>
      <c r="AK123">
        <v>0</v>
      </c>
      <c r="AL123">
        <v>0</v>
      </c>
      <c r="AM123" s="17">
        <f>AJ121+120</f>
        <v>120</v>
      </c>
      <c r="AN123">
        <v>0</v>
      </c>
      <c r="AO123" s="17">
        <f>AJ121+90</f>
        <v>90</v>
      </c>
      <c r="AP123" s="18">
        <f>AJ121+150</f>
        <v>150</v>
      </c>
    </row>
    <row r="124" spans="3:42" x14ac:dyDescent="0.25">
      <c r="C124" s="2" t="str">
        <f t="shared" si="2"/>
        <v>Belastning 12</v>
      </c>
      <c r="D124" s="15"/>
      <c r="E124" s="2">
        <f t="shared" si="3"/>
        <v>0</v>
      </c>
      <c r="F124" s="3">
        <f t="shared" si="4"/>
        <v>0</v>
      </c>
      <c r="G124" s="2">
        <f t="shared" si="5"/>
        <v>0</v>
      </c>
      <c r="H124" s="3">
        <f t="shared" si="6"/>
        <v>0</v>
      </c>
      <c r="I124" s="2">
        <f t="shared" si="7"/>
        <v>0</v>
      </c>
      <c r="J124" s="3">
        <f t="shared" si="8"/>
        <v>0</v>
      </c>
      <c r="K124" s="2"/>
      <c r="L124" s="3"/>
      <c r="M124" s="11"/>
      <c r="O124" s="8"/>
      <c r="Z124" s="13" t="s">
        <v>42</v>
      </c>
      <c r="AA124" s="19">
        <v>0</v>
      </c>
      <c r="AB124" s="20">
        <f>AA121</f>
        <v>0</v>
      </c>
      <c r="AC124" s="20">
        <f>AA121</f>
        <v>0</v>
      </c>
      <c r="AD124" s="20">
        <f>AA121</f>
        <v>0</v>
      </c>
      <c r="AE124" s="19">
        <v>0</v>
      </c>
      <c r="AF124" s="19">
        <v>0</v>
      </c>
      <c r="AG124" s="14">
        <v>0</v>
      </c>
      <c r="AI124" s="13" t="s">
        <v>42</v>
      </c>
      <c r="AJ124" s="19">
        <v>0</v>
      </c>
      <c r="AK124" s="20">
        <f>AJ121+180</f>
        <v>180</v>
      </c>
      <c r="AL124" s="20">
        <f>AJ121+180-120</f>
        <v>60</v>
      </c>
      <c r="AM124" s="20">
        <f>AJ121-180+120</f>
        <v>-60</v>
      </c>
      <c r="AN124" s="19">
        <v>0</v>
      </c>
      <c r="AO124" s="19">
        <v>0</v>
      </c>
      <c r="AP124" s="14">
        <v>0</v>
      </c>
    </row>
    <row r="125" spans="3:42" x14ac:dyDescent="0.25">
      <c r="C125" s="2" t="str">
        <f t="shared" si="2"/>
        <v>Belastning 13</v>
      </c>
      <c r="D125" s="15"/>
      <c r="E125" s="2">
        <f t="shared" si="3"/>
        <v>0</v>
      </c>
      <c r="F125" s="3">
        <f t="shared" si="4"/>
        <v>0</v>
      </c>
      <c r="G125" s="2">
        <f t="shared" si="5"/>
        <v>0</v>
      </c>
      <c r="H125" s="3">
        <f t="shared" si="6"/>
        <v>0</v>
      </c>
      <c r="I125" s="2">
        <f t="shared" si="7"/>
        <v>0</v>
      </c>
      <c r="J125" s="3">
        <f t="shared" si="8"/>
        <v>0</v>
      </c>
      <c r="K125" s="2"/>
      <c r="L125" s="3"/>
      <c r="M125" s="11"/>
      <c r="O125" s="8"/>
    </row>
    <row r="126" spans="3:42" x14ac:dyDescent="0.25">
      <c r="C126" s="2" t="str">
        <f t="shared" si="2"/>
        <v>Belastning 14</v>
      </c>
      <c r="D126" s="15"/>
      <c r="E126" s="2">
        <f t="shared" si="3"/>
        <v>0</v>
      </c>
      <c r="F126" s="3">
        <f t="shared" si="4"/>
        <v>0</v>
      </c>
      <c r="G126" s="2">
        <f t="shared" si="5"/>
        <v>0</v>
      </c>
      <c r="H126" s="3">
        <f t="shared" si="6"/>
        <v>0</v>
      </c>
      <c r="I126" s="2">
        <f t="shared" si="7"/>
        <v>0</v>
      </c>
      <c r="J126" s="3">
        <f t="shared" si="8"/>
        <v>0</v>
      </c>
      <c r="K126" s="2"/>
      <c r="L126" s="3"/>
      <c r="M126" s="11"/>
      <c r="O126" s="8"/>
      <c r="Z126" s="4"/>
      <c r="AA126" s="5">
        <v>1</v>
      </c>
      <c r="AB126" s="5">
        <v>2</v>
      </c>
      <c r="AC126" s="5">
        <v>3</v>
      </c>
      <c r="AD126" s="5">
        <v>4</v>
      </c>
      <c r="AE126" s="5">
        <v>5</v>
      </c>
      <c r="AF126" s="5">
        <v>6</v>
      </c>
      <c r="AG126" s="6">
        <v>7</v>
      </c>
      <c r="AI126" s="4"/>
      <c r="AJ126" s="5">
        <v>1</v>
      </c>
      <c r="AK126" s="5">
        <v>2</v>
      </c>
      <c r="AL126" s="5">
        <v>3</v>
      </c>
      <c r="AM126" s="5">
        <v>4</v>
      </c>
      <c r="AN126" s="5">
        <v>5</v>
      </c>
      <c r="AO126" s="5">
        <v>6</v>
      </c>
      <c r="AP126" s="6">
        <v>7</v>
      </c>
    </row>
    <row r="127" spans="3:42" x14ac:dyDescent="0.25">
      <c r="C127" s="13" t="str">
        <f t="shared" si="2"/>
        <v>Belastning 15</v>
      </c>
      <c r="D127" s="16"/>
      <c r="E127" s="2">
        <f t="shared" si="3"/>
        <v>0</v>
      </c>
      <c r="F127" s="3">
        <f t="shared" si="4"/>
        <v>0</v>
      </c>
      <c r="G127" s="2">
        <f t="shared" si="5"/>
        <v>0</v>
      </c>
      <c r="H127" s="3">
        <f t="shared" si="6"/>
        <v>0</v>
      </c>
      <c r="I127" s="2">
        <f t="shared" si="7"/>
        <v>0</v>
      </c>
      <c r="J127" s="3">
        <f t="shared" si="8"/>
        <v>0</v>
      </c>
      <c r="K127" s="2"/>
      <c r="L127" s="3"/>
      <c r="M127" s="11"/>
      <c r="O127" s="8"/>
      <c r="Z127" s="2"/>
      <c r="AA127" t="s">
        <v>32</v>
      </c>
      <c r="AB127" t="s">
        <v>34</v>
      </c>
      <c r="AC127" t="s">
        <v>35</v>
      </c>
      <c r="AD127" t="s">
        <v>36</v>
      </c>
      <c r="AE127" t="s">
        <v>37</v>
      </c>
      <c r="AF127" t="s">
        <v>38</v>
      </c>
      <c r="AG127" s="3" t="s">
        <v>39</v>
      </c>
      <c r="AI127" s="29" t="s">
        <v>55</v>
      </c>
      <c r="AJ127" t="s">
        <v>32</v>
      </c>
      <c r="AK127" t="s">
        <v>34</v>
      </c>
      <c r="AL127" t="s">
        <v>35</v>
      </c>
      <c r="AM127" t="s">
        <v>36</v>
      </c>
      <c r="AN127" t="s">
        <v>37</v>
      </c>
      <c r="AO127" t="s">
        <v>38</v>
      </c>
      <c r="AP127" s="3" t="s">
        <v>39</v>
      </c>
    </row>
    <row r="128" spans="3:42" x14ac:dyDescent="0.25">
      <c r="C128" s="21" t="s">
        <v>53</v>
      </c>
      <c r="D128" s="22"/>
      <c r="E128" s="25">
        <f t="shared" ref="E128:J128" si="9">SUM(E113:E127)</f>
        <v>0</v>
      </c>
      <c r="F128" s="23">
        <f t="shared" si="9"/>
        <v>0</v>
      </c>
      <c r="G128" s="25">
        <f t="shared" si="9"/>
        <v>0</v>
      </c>
      <c r="H128" s="23">
        <f t="shared" si="9"/>
        <v>0</v>
      </c>
      <c r="I128" s="25">
        <f t="shared" si="9"/>
        <v>0</v>
      </c>
      <c r="J128" s="23">
        <f t="shared" si="9"/>
        <v>0</v>
      </c>
      <c r="K128" s="22"/>
      <c r="L128" s="23"/>
      <c r="Z128" s="2" t="s">
        <v>50</v>
      </c>
      <c r="AA128" s="17">
        <f>H19</f>
        <v>0</v>
      </c>
      <c r="AB128" s="17">
        <f>AA128</f>
        <v>0</v>
      </c>
      <c r="AC128">
        <v>0</v>
      </c>
      <c r="AD128">
        <v>0</v>
      </c>
      <c r="AE128" s="17">
        <f>AA128</f>
        <v>0</v>
      </c>
      <c r="AF128">
        <v>0</v>
      </c>
      <c r="AG128" s="18">
        <f>AA128</f>
        <v>0</v>
      </c>
      <c r="AI128" s="2" t="s">
        <v>50</v>
      </c>
      <c r="AJ128" s="17">
        <f>K19</f>
        <v>0</v>
      </c>
      <c r="AK128" s="17">
        <f>AJ128</f>
        <v>0</v>
      </c>
      <c r="AL128">
        <v>0</v>
      </c>
      <c r="AM128">
        <v>0</v>
      </c>
      <c r="AN128" s="17">
        <f>AJ128+30</f>
        <v>30</v>
      </c>
      <c r="AO128">
        <v>0</v>
      </c>
      <c r="AP128" s="18">
        <f>AJ128-30</f>
        <v>-30</v>
      </c>
    </row>
    <row r="129" spans="3:42" x14ac:dyDescent="0.25">
      <c r="Y129">
        <v>12</v>
      </c>
      <c r="Z129" s="2" t="s">
        <v>51</v>
      </c>
      <c r="AA129" s="17">
        <f>AA128</f>
        <v>0</v>
      </c>
      <c r="AB129">
        <v>0</v>
      </c>
      <c r="AC129" s="17">
        <f>AA128</f>
        <v>0</v>
      </c>
      <c r="AD129">
        <v>0</v>
      </c>
      <c r="AE129" s="17">
        <f>AA128</f>
        <v>0</v>
      </c>
      <c r="AF129" s="17">
        <f>AA128</f>
        <v>0</v>
      </c>
      <c r="AG129" s="3">
        <v>0</v>
      </c>
      <c r="AI129" s="2" t="s">
        <v>51</v>
      </c>
      <c r="AJ129" s="17">
        <f>AJ128-120</f>
        <v>-120</v>
      </c>
      <c r="AK129">
        <v>0</v>
      </c>
      <c r="AL129" s="17">
        <f>AJ128-120</f>
        <v>-120</v>
      </c>
      <c r="AM129">
        <v>0</v>
      </c>
      <c r="AN129" s="17">
        <f>AJ128-150</f>
        <v>-150</v>
      </c>
      <c r="AO129" s="17">
        <f>AJ128-90</f>
        <v>-90</v>
      </c>
      <c r="AP129" s="3">
        <v>0</v>
      </c>
    </row>
    <row r="130" spans="3:42" x14ac:dyDescent="0.25">
      <c r="K130" s="48"/>
      <c r="Z130" s="2" t="s">
        <v>52</v>
      </c>
      <c r="AA130" s="17">
        <f>AA128</f>
        <v>0</v>
      </c>
      <c r="AB130">
        <v>0</v>
      </c>
      <c r="AC130">
        <v>0</v>
      </c>
      <c r="AD130" s="17">
        <f>AA128</f>
        <v>0</v>
      </c>
      <c r="AE130">
        <v>0</v>
      </c>
      <c r="AF130" s="17">
        <f>AA128</f>
        <v>0</v>
      </c>
      <c r="AG130" s="18">
        <f>AA128</f>
        <v>0</v>
      </c>
      <c r="AI130" s="2" t="s">
        <v>52</v>
      </c>
      <c r="AJ130" s="17">
        <f>AJ128+120</f>
        <v>120</v>
      </c>
      <c r="AK130">
        <v>0</v>
      </c>
      <c r="AL130">
        <v>0</v>
      </c>
      <c r="AM130" s="17">
        <f>AJ128+120</f>
        <v>120</v>
      </c>
      <c r="AN130">
        <v>0</v>
      </c>
      <c r="AO130" s="17">
        <f>AJ128+90</f>
        <v>90</v>
      </c>
      <c r="AP130" s="18">
        <f>AJ128+150</f>
        <v>150</v>
      </c>
    </row>
    <row r="131" spans="3:42" x14ac:dyDescent="0.25">
      <c r="E131" s="24"/>
      <c r="F131" s="17"/>
      <c r="H131" s="17"/>
      <c r="I131" s="24"/>
      <c r="J131" s="17"/>
      <c r="Z131" s="13" t="s">
        <v>42</v>
      </c>
      <c r="AA131" s="19">
        <v>0</v>
      </c>
      <c r="AB131" s="20">
        <f>AA128</f>
        <v>0</v>
      </c>
      <c r="AC131" s="20">
        <f>AA128</f>
        <v>0</v>
      </c>
      <c r="AD131" s="20">
        <f>AA128</f>
        <v>0</v>
      </c>
      <c r="AE131" s="19">
        <v>0</v>
      </c>
      <c r="AF131" s="19">
        <v>0</v>
      </c>
      <c r="AG131" s="14">
        <v>0</v>
      </c>
      <c r="AI131" s="13" t="s">
        <v>42</v>
      </c>
      <c r="AJ131" s="19">
        <v>0</v>
      </c>
      <c r="AK131" s="20">
        <f>AJ128+180</f>
        <v>180</v>
      </c>
      <c r="AL131" s="20">
        <f>AJ128+180-120</f>
        <v>60</v>
      </c>
      <c r="AM131" s="20">
        <f>AJ128-180+120</f>
        <v>-60</v>
      </c>
      <c r="AN131" s="19">
        <v>0</v>
      </c>
      <c r="AO131" s="19">
        <v>0</v>
      </c>
      <c r="AP131" s="14">
        <v>0</v>
      </c>
    </row>
    <row r="132" spans="3:42" x14ac:dyDescent="0.25">
      <c r="E132" s="30"/>
      <c r="F132" s="17"/>
      <c r="G132" s="30"/>
      <c r="H132" s="17"/>
      <c r="J132" s="17"/>
    </row>
    <row r="133" spans="3:42" x14ac:dyDescent="0.25">
      <c r="Z133" s="4"/>
      <c r="AA133" s="5">
        <v>1</v>
      </c>
      <c r="AB133" s="5">
        <v>2</v>
      </c>
      <c r="AC133" s="5">
        <v>3</v>
      </c>
      <c r="AD133" s="5">
        <v>4</v>
      </c>
      <c r="AE133" s="5">
        <v>5</v>
      </c>
      <c r="AF133" s="5">
        <v>6</v>
      </c>
      <c r="AG133" s="6">
        <v>7</v>
      </c>
      <c r="AI133" s="4"/>
      <c r="AJ133" s="5">
        <v>1</v>
      </c>
      <c r="AK133" s="5">
        <v>2</v>
      </c>
      <c r="AL133" s="5">
        <v>3</v>
      </c>
      <c r="AM133" s="5">
        <v>4</v>
      </c>
      <c r="AN133" s="5">
        <v>5</v>
      </c>
      <c r="AO133" s="5">
        <v>6</v>
      </c>
      <c r="AP133" s="6">
        <v>7</v>
      </c>
    </row>
    <row r="134" spans="3:42" x14ac:dyDescent="0.25">
      <c r="C134">
        <f>COS(RADIANS(Q23))*O23</f>
        <v>0</v>
      </c>
      <c r="F134">
        <f>COS(RADIANS(T23))*R23</f>
        <v>0</v>
      </c>
      <c r="I134">
        <f>COS(RADIANS(W23))*U23</f>
        <v>0</v>
      </c>
      <c r="L134">
        <f>IMABS(COMPLEX(C134+F134+I134,C135+F135+I135))</f>
        <v>0</v>
      </c>
      <c r="Z134" s="2"/>
      <c r="AA134" t="s">
        <v>32</v>
      </c>
      <c r="AB134" t="s">
        <v>34</v>
      </c>
      <c r="AC134" t="s">
        <v>35</v>
      </c>
      <c r="AD134" t="s">
        <v>36</v>
      </c>
      <c r="AE134" t="s">
        <v>37</v>
      </c>
      <c r="AF134" t="s">
        <v>38</v>
      </c>
      <c r="AG134" s="3" t="s">
        <v>39</v>
      </c>
      <c r="AI134" s="29" t="s">
        <v>55</v>
      </c>
      <c r="AJ134" t="s">
        <v>32</v>
      </c>
      <c r="AK134" t="s">
        <v>34</v>
      </c>
      <c r="AL134" t="s">
        <v>35</v>
      </c>
      <c r="AM134" t="s">
        <v>36</v>
      </c>
      <c r="AN134" t="s">
        <v>37</v>
      </c>
      <c r="AO134" t="s">
        <v>38</v>
      </c>
      <c r="AP134" s="3" t="s">
        <v>39</v>
      </c>
    </row>
    <row r="135" spans="3:42" x14ac:dyDescent="0.25">
      <c r="C135">
        <f>SIN(RADIANS(Q23))*O23</f>
        <v>0</v>
      </c>
      <c r="F135">
        <f>SIN(RADIANS(T23))*R23</f>
        <v>0</v>
      </c>
      <c r="I135">
        <f>SIN(RADIANS(W23))*U23</f>
        <v>0</v>
      </c>
      <c r="L135" t="str">
        <f>COMPLEX(C134+F134+I134,C135+F135+I135)</f>
        <v>0</v>
      </c>
      <c r="Z135" s="2" t="s">
        <v>50</v>
      </c>
      <c r="AA135" s="17">
        <f>H20</f>
        <v>0</v>
      </c>
      <c r="AB135" s="17">
        <f>AA135</f>
        <v>0</v>
      </c>
      <c r="AC135">
        <v>0</v>
      </c>
      <c r="AD135">
        <v>0</v>
      </c>
      <c r="AE135" s="17">
        <f>AA135</f>
        <v>0</v>
      </c>
      <c r="AF135">
        <v>0</v>
      </c>
      <c r="AG135" s="18">
        <f>AA135</f>
        <v>0</v>
      </c>
      <c r="AI135" s="2" t="s">
        <v>50</v>
      </c>
      <c r="AJ135" s="17">
        <f>K20</f>
        <v>0</v>
      </c>
      <c r="AK135" s="17">
        <f>AJ135</f>
        <v>0</v>
      </c>
      <c r="AL135">
        <v>0</v>
      </c>
      <c r="AM135">
        <v>0</v>
      </c>
      <c r="AN135" s="17">
        <f>AJ135+30</f>
        <v>30</v>
      </c>
      <c r="AO135">
        <v>0</v>
      </c>
      <c r="AP135" s="18">
        <f>AJ135-30</f>
        <v>-30</v>
      </c>
    </row>
    <row r="136" spans="3:42" x14ac:dyDescent="0.25">
      <c r="Y136">
        <v>13</v>
      </c>
      <c r="Z136" s="2" t="s">
        <v>51</v>
      </c>
      <c r="AA136" s="17">
        <f>AA135</f>
        <v>0</v>
      </c>
      <c r="AB136">
        <v>0</v>
      </c>
      <c r="AC136" s="17">
        <f>AA135</f>
        <v>0</v>
      </c>
      <c r="AD136">
        <v>0</v>
      </c>
      <c r="AE136" s="17">
        <f>AA135</f>
        <v>0</v>
      </c>
      <c r="AF136" s="17">
        <f>AA135</f>
        <v>0</v>
      </c>
      <c r="AG136" s="3">
        <v>0</v>
      </c>
      <c r="AI136" s="2" t="s">
        <v>51</v>
      </c>
      <c r="AJ136" s="17">
        <f>AJ135-120</f>
        <v>-120</v>
      </c>
      <c r="AK136">
        <v>0</v>
      </c>
      <c r="AL136" s="17">
        <f>AJ135-120</f>
        <v>-120</v>
      </c>
      <c r="AM136">
        <v>0</v>
      </c>
      <c r="AN136" s="17">
        <f>AJ135-150</f>
        <v>-150</v>
      </c>
      <c r="AO136" s="17">
        <f>AJ135-90</f>
        <v>-90</v>
      </c>
      <c r="AP136" s="3">
        <v>0</v>
      </c>
    </row>
    <row r="137" spans="3:42" x14ac:dyDescent="0.25">
      <c r="C137">
        <f>COS(RADIANS(Q24))*O24</f>
        <v>0</v>
      </c>
      <c r="F137">
        <f>COS(RADIANS(T24))*R24</f>
        <v>0</v>
      </c>
      <c r="I137">
        <f>COS(RADIANS(W24))*U24</f>
        <v>0</v>
      </c>
      <c r="L137">
        <f>IMABS(COMPLEX(C137+F137+I137,C138+F138+I138))</f>
        <v>0</v>
      </c>
      <c r="Z137" s="2" t="s">
        <v>52</v>
      </c>
      <c r="AA137" s="17">
        <f>AA135</f>
        <v>0</v>
      </c>
      <c r="AB137">
        <v>0</v>
      </c>
      <c r="AC137">
        <v>0</v>
      </c>
      <c r="AD137" s="17">
        <f>AA135</f>
        <v>0</v>
      </c>
      <c r="AE137">
        <v>0</v>
      </c>
      <c r="AF137" s="17">
        <f>AA135</f>
        <v>0</v>
      </c>
      <c r="AG137" s="18">
        <f>AA135</f>
        <v>0</v>
      </c>
      <c r="AI137" s="2" t="s">
        <v>52</v>
      </c>
      <c r="AJ137" s="17">
        <f>AJ135+120</f>
        <v>120</v>
      </c>
      <c r="AK137">
        <v>0</v>
      </c>
      <c r="AL137">
        <v>0</v>
      </c>
      <c r="AM137" s="17">
        <f>AJ135+120</f>
        <v>120</v>
      </c>
      <c r="AN137">
        <v>0</v>
      </c>
      <c r="AO137" s="17">
        <f>AJ135+90</f>
        <v>90</v>
      </c>
      <c r="AP137" s="18">
        <f>AJ135+150</f>
        <v>150</v>
      </c>
    </row>
    <row r="138" spans="3:42" x14ac:dyDescent="0.25">
      <c r="C138">
        <f>SIN(RADIANS(Q24))*O24</f>
        <v>0</v>
      </c>
      <c r="F138">
        <f>SIN(RADIANS(T24))*R24</f>
        <v>0</v>
      </c>
      <c r="I138">
        <f>SIN(RADIANS(W24))*U24</f>
        <v>0</v>
      </c>
      <c r="L138" t="str">
        <f>COMPLEX(C137+F137+I137,C138+F138+I138)</f>
        <v>0</v>
      </c>
      <c r="Z138" s="13" t="s">
        <v>42</v>
      </c>
      <c r="AA138" s="19">
        <v>0</v>
      </c>
      <c r="AB138" s="20">
        <f>AA135</f>
        <v>0</v>
      </c>
      <c r="AC138" s="20">
        <f>AA135</f>
        <v>0</v>
      </c>
      <c r="AD138" s="20">
        <f>AA135</f>
        <v>0</v>
      </c>
      <c r="AE138" s="19">
        <v>0</v>
      </c>
      <c r="AF138" s="19">
        <v>0</v>
      </c>
      <c r="AG138" s="14">
        <v>0</v>
      </c>
      <c r="AI138" s="13" t="s">
        <v>42</v>
      </c>
      <c r="AJ138" s="19">
        <v>0</v>
      </c>
      <c r="AK138" s="20">
        <f>AJ135+180</f>
        <v>180</v>
      </c>
      <c r="AL138" s="20">
        <f>AJ135+180-120</f>
        <v>60</v>
      </c>
      <c r="AM138" s="20">
        <f>AJ135-180+120</f>
        <v>-60</v>
      </c>
      <c r="AN138" s="19">
        <v>0</v>
      </c>
      <c r="AO138" s="19">
        <v>0</v>
      </c>
      <c r="AP138" s="14">
        <v>0</v>
      </c>
    </row>
    <row r="140" spans="3:42" x14ac:dyDescent="0.25">
      <c r="Z140" s="4"/>
      <c r="AA140" s="5">
        <v>1</v>
      </c>
      <c r="AB140" s="5">
        <v>2</v>
      </c>
      <c r="AC140" s="5">
        <v>3</v>
      </c>
      <c r="AD140" s="5">
        <v>4</v>
      </c>
      <c r="AE140" s="5">
        <v>5</v>
      </c>
      <c r="AF140" s="5">
        <v>6</v>
      </c>
      <c r="AG140" s="6">
        <v>7</v>
      </c>
      <c r="AI140" s="4"/>
      <c r="AJ140" s="5">
        <v>1</v>
      </c>
      <c r="AK140" s="5">
        <v>2</v>
      </c>
      <c r="AL140" s="5">
        <v>3</v>
      </c>
      <c r="AM140" s="5">
        <v>4</v>
      </c>
      <c r="AN140" s="5">
        <v>5</v>
      </c>
      <c r="AO140" s="5">
        <v>6</v>
      </c>
      <c r="AP140" s="6">
        <v>7</v>
      </c>
    </row>
    <row r="141" spans="3:42" x14ac:dyDescent="0.25">
      <c r="Z141" s="2"/>
      <c r="AA141" t="s">
        <v>32</v>
      </c>
      <c r="AB141" t="s">
        <v>34</v>
      </c>
      <c r="AC141" t="s">
        <v>35</v>
      </c>
      <c r="AD141" t="s">
        <v>36</v>
      </c>
      <c r="AE141" t="s">
        <v>37</v>
      </c>
      <c r="AF141" t="s">
        <v>38</v>
      </c>
      <c r="AG141" s="3" t="s">
        <v>39</v>
      </c>
      <c r="AI141" s="29" t="s">
        <v>55</v>
      </c>
      <c r="AJ141" t="s">
        <v>32</v>
      </c>
      <c r="AK141" t="s">
        <v>34</v>
      </c>
      <c r="AL141" t="s">
        <v>35</v>
      </c>
      <c r="AM141" t="s">
        <v>36</v>
      </c>
      <c r="AN141" t="s">
        <v>37</v>
      </c>
      <c r="AO141" t="s">
        <v>38</v>
      </c>
      <c r="AP141" s="3" t="s">
        <v>39</v>
      </c>
    </row>
    <row r="142" spans="3:42" x14ac:dyDescent="0.25">
      <c r="Y142">
        <v>14</v>
      </c>
      <c r="Z142" s="2" t="s">
        <v>50</v>
      </c>
      <c r="AA142" s="17">
        <f>H21</f>
        <v>0</v>
      </c>
      <c r="AB142" s="17">
        <f>AA142</f>
        <v>0</v>
      </c>
      <c r="AC142">
        <v>0</v>
      </c>
      <c r="AD142">
        <v>0</v>
      </c>
      <c r="AE142" s="17">
        <f>AA142</f>
        <v>0</v>
      </c>
      <c r="AF142">
        <v>0</v>
      </c>
      <c r="AG142" s="18">
        <f>AA142</f>
        <v>0</v>
      </c>
      <c r="AI142" s="2" t="s">
        <v>50</v>
      </c>
      <c r="AJ142" s="17">
        <f>K21</f>
        <v>0</v>
      </c>
      <c r="AK142" s="17">
        <f>AJ142</f>
        <v>0</v>
      </c>
      <c r="AL142">
        <v>0</v>
      </c>
      <c r="AM142">
        <v>0</v>
      </c>
      <c r="AN142" s="17">
        <f>AJ142+30</f>
        <v>30</v>
      </c>
      <c r="AO142">
        <v>0</v>
      </c>
      <c r="AP142" s="18">
        <f>AJ142-30</f>
        <v>-30</v>
      </c>
    </row>
    <row r="143" spans="3:42" x14ac:dyDescent="0.25">
      <c r="Z143" s="2" t="s">
        <v>51</v>
      </c>
      <c r="AA143" s="17">
        <f>AA142</f>
        <v>0</v>
      </c>
      <c r="AB143">
        <v>0</v>
      </c>
      <c r="AC143" s="17">
        <f>AA142</f>
        <v>0</v>
      </c>
      <c r="AD143">
        <v>0</v>
      </c>
      <c r="AE143" s="17">
        <f>AA142</f>
        <v>0</v>
      </c>
      <c r="AF143" s="17">
        <f>AA142</f>
        <v>0</v>
      </c>
      <c r="AG143" s="3">
        <v>0</v>
      </c>
      <c r="AI143" s="2" t="s">
        <v>51</v>
      </c>
      <c r="AJ143" s="17">
        <f>AJ142-120</f>
        <v>-120</v>
      </c>
      <c r="AK143">
        <v>0</v>
      </c>
      <c r="AL143" s="17">
        <f>AJ142-120</f>
        <v>-120</v>
      </c>
      <c r="AM143">
        <v>0</v>
      </c>
      <c r="AN143" s="17">
        <f>AJ142-150</f>
        <v>-150</v>
      </c>
      <c r="AO143" s="17">
        <f>AJ142-90</f>
        <v>-90</v>
      </c>
      <c r="AP143" s="3">
        <v>0</v>
      </c>
    </row>
    <row r="144" spans="3:42" x14ac:dyDescent="0.25">
      <c r="Z144" s="2" t="s">
        <v>52</v>
      </c>
      <c r="AA144" s="17">
        <f>AA142</f>
        <v>0</v>
      </c>
      <c r="AB144">
        <v>0</v>
      </c>
      <c r="AC144">
        <v>0</v>
      </c>
      <c r="AD144" s="17">
        <f>AA142</f>
        <v>0</v>
      </c>
      <c r="AE144">
        <v>0</v>
      </c>
      <c r="AF144" s="17">
        <f>AA142</f>
        <v>0</v>
      </c>
      <c r="AG144" s="18">
        <f>AA142</f>
        <v>0</v>
      </c>
      <c r="AI144" s="2" t="s">
        <v>52</v>
      </c>
      <c r="AJ144" s="17">
        <f>AJ142+120</f>
        <v>120</v>
      </c>
      <c r="AK144">
        <v>0</v>
      </c>
      <c r="AL144">
        <v>0</v>
      </c>
      <c r="AM144" s="17">
        <f>AJ142+120</f>
        <v>120</v>
      </c>
      <c r="AN144">
        <v>0</v>
      </c>
      <c r="AO144" s="17">
        <f>AJ142+90</f>
        <v>90</v>
      </c>
      <c r="AP144" s="18">
        <f>AJ142+150</f>
        <v>150</v>
      </c>
    </row>
    <row r="145" spans="25:42" x14ac:dyDescent="0.25">
      <c r="Z145" s="13" t="s">
        <v>42</v>
      </c>
      <c r="AA145" s="19">
        <v>0</v>
      </c>
      <c r="AB145" s="20">
        <f>AA142</f>
        <v>0</v>
      </c>
      <c r="AC145" s="20">
        <f>AA142</f>
        <v>0</v>
      </c>
      <c r="AD145" s="20">
        <f>AA142</f>
        <v>0</v>
      </c>
      <c r="AE145" s="19">
        <v>0</v>
      </c>
      <c r="AF145" s="19">
        <v>0</v>
      </c>
      <c r="AG145" s="14">
        <v>0</v>
      </c>
      <c r="AI145" s="13" t="s">
        <v>42</v>
      </c>
      <c r="AJ145" s="19">
        <v>0</v>
      </c>
      <c r="AK145" s="20">
        <f>AJ142+180</f>
        <v>180</v>
      </c>
      <c r="AL145" s="20">
        <f>AJ142+180-120</f>
        <v>60</v>
      </c>
      <c r="AM145" s="20">
        <f>AJ142-180+120</f>
        <v>-60</v>
      </c>
      <c r="AN145" s="19">
        <v>0</v>
      </c>
      <c r="AO145" s="19">
        <v>0</v>
      </c>
      <c r="AP145" s="14">
        <v>0</v>
      </c>
    </row>
    <row r="147" spans="25:42" x14ac:dyDescent="0.25">
      <c r="Z147" s="4"/>
      <c r="AA147" s="5">
        <v>1</v>
      </c>
      <c r="AB147" s="5">
        <v>2</v>
      </c>
      <c r="AC147" s="5">
        <v>3</v>
      </c>
      <c r="AD147" s="5">
        <v>4</v>
      </c>
      <c r="AE147" s="5">
        <v>5</v>
      </c>
      <c r="AF147" s="5">
        <v>6</v>
      </c>
      <c r="AG147" s="6">
        <v>7</v>
      </c>
      <c r="AI147" s="4"/>
      <c r="AJ147" s="5">
        <v>1</v>
      </c>
      <c r="AK147" s="5">
        <v>2</v>
      </c>
      <c r="AL147" s="5">
        <v>3</v>
      </c>
      <c r="AM147" s="5">
        <v>4</v>
      </c>
      <c r="AN147" s="5">
        <v>5</v>
      </c>
      <c r="AO147" s="5">
        <v>6</v>
      </c>
      <c r="AP147" s="6">
        <v>7</v>
      </c>
    </row>
    <row r="148" spans="25:42" x14ac:dyDescent="0.25">
      <c r="Z148" s="2"/>
      <c r="AA148" t="s">
        <v>32</v>
      </c>
      <c r="AB148" t="s">
        <v>34</v>
      </c>
      <c r="AC148" t="s">
        <v>35</v>
      </c>
      <c r="AD148" t="s">
        <v>36</v>
      </c>
      <c r="AE148" t="s">
        <v>37</v>
      </c>
      <c r="AF148" t="s">
        <v>38</v>
      </c>
      <c r="AG148" s="3" t="s">
        <v>39</v>
      </c>
      <c r="AI148" s="29" t="s">
        <v>55</v>
      </c>
      <c r="AJ148" t="s">
        <v>32</v>
      </c>
      <c r="AK148" t="s">
        <v>34</v>
      </c>
      <c r="AL148" t="s">
        <v>35</v>
      </c>
      <c r="AM148" t="s">
        <v>36</v>
      </c>
      <c r="AN148" t="s">
        <v>37</v>
      </c>
      <c r="AO148" t="s">
        <v>38</v>
      </c>
      <c r="AP148" s="3" t="s">
        <v>39</v>
      </c>
    </row>
    <row r="149" spans="25:42" x14ac:dyDescent="0.25">
      <c r="Z149" s="2" t="s">
        <v>50</v>
      </c>
      <c r="AA149" s="17">
        <f>H22</f>
        <v>0</v>
      </c>
      <c r="AB149" s="17">
        <f>AA149</f>
        <v>0</v>
      </c>
      <c r="AC149">
        <v>0</v>
      </c>
      <c r="AD149">
        <v>0</v>
      </c>
      <c r="AE149" s="17">
        <f>AA149</f>
        <v>0</v>
      </c>
      <c r="AF149">
        <v>0</v>
      </c>
      <c r="AG149" s="18">
        <f>AA149</f>
        <v>0</v>
      </c>
      <c r="AI149" s="2" t="s">
        <v>50</v>
      </c>
      <c r="AJ149" s="17">
        <f>K22</f>
        <v>0</v>
      </c>
      <c r="AK149" s="17">
        <f>AJ149</f>
        <v>0</v>
      </c>
      <c r="AL149">
        <v>0</v>
      </c>
      <c r="AM149">
        <v>0</v>
      </c>
      <c r="AN149" s="17">
        <f>AJ149+30</f>
        <v>30</v>
      </c>
      <c r="AO149">
        <v>0</v>
      </c>
      <c r="AP149" s="18">
        <f>AJ149-30</f>
        <v>-30</v>
      </c>
    </row>
    <row r="150" spans="25:42" x14ac:dyDescent="0.25">
      <c r="Y150">
        <v>15</v>
      </c>
      <c r="Z150" s="2" t="s">
        <v>51</v>
      </c>
      <c r="AA150" s="17">
        <f>AA149</f>
        <v>0</v>
      </c>
      <c r="AB150">
        <v>0</v>
      </c>
      <c r="AC150" s="17">
        <f>AA149</f>
        <v>0</v>
      </c>
      <c r="AD150">
        <v>0</v>
      </c>
      <c r="AE150" s="17">
        <f>AA149</f>
        <v>0</v>
      </c>
      <c r="AF150" s="17">
        <f>AA149</f>
        <v>0</v>
      </c>
      <c r="AG150" s="3">
        <v>0</v>
      </c>
      <c r="AI150" s="2" t="s">
        <v>51</v>
      </c>
      <c r="AJ150" s="17">
        <f>AJ149-120</f>
        <v>-120</v>
      </c>
      <c r="AK150">
        <v>0</v>
      </c>
      <c r="AL150" s="17">
        <f>AJ149-120</f>
        <v>-120</v>
      </c>
      <c r="AM150">
        <v>0</v>
      </c>
      <c r="AN150" s="17">
        <f>AJ149-150</f>
        <v>-150</v>
      </c>
      <c r="AO150" s="17">
        <f>AJ149-90</f>
        <v>-90</v>
      </c>
      <c r="AP150" s="3">
        <v>0</v>
      </c>
    </row>
    <row r="151" spans="25:42" x14ac:dyDescent="0.25">
      <c r="Z151" s="2" t="s">
        <v>52</v>
      </c>
      <c r="AA151" s="17">
        <f>AA149</f>
        <v>0</v>
      </c>
      <c r="AB151">
        <v>0</v>
      </c>
      <c r="AC151">
        <v>0</v>
      </c>
      <c r="AD151" s="17">
        <f>AA149</f>
        <v>0</v>
      </c>
      <c r="AE151">
        <v>0</v>
      </c>
      <c r="AF151" s="17">
        <f>AA149</f>
        <v>0</v>
      </c>
      <c r="AG151" s="18">
        <f>AA149</f>
        <v>0</v>
      </c>
      <c r="AI151" s="2" t="s">
        <v>52</v>
      </c>
      <c r="AJ151" s="17">
        <f>AJ149+120</f>
        <v>120</v>
      </c>
      <c r="AK151">
        <v>0</v>
      </c>
      <c r="AL151">
        <v>0</v>
      </c>
      <c r="AM151" s="17">
        <f>AJ149+120</f>
        <v>120</v>
      </c>
      <c r="AN151">
        <v>0</v>
      </c>
      <c r="AO151" s="17">
        <f>AJ149+90</f>
        <v>90</v>
      </c>
      <c r="AP151" s="18">
        <f>AJ149+150</f>
        <v>150</v>
      </c>
    </row>
    <row r="152" spans="25:42" x14ac:dyDescent="0.25">
      <c r="Z152" s="13" t="s">
        <v>42</v>
      </c>
      <c r="AA152" s="19">
        <v>0</v>
      </c>
      <c r="AB152" s="20">
        <f>AA149</f>
        <v>0</v>
      </c>
      <c r="AC152" s="20">
        <f>AA149</f>
        <v>0</v>
      </c>
      <c r="AD152" s="20">
        <f>AA149</f>
        <v>0</v>
      </c>
      <c r="AE152" s="19">
        <v>0</v>
      </c>
      <c r="AF152" s="19">
        <v>0</v>
      </c>
      <c r="AG152" s="14">
        <v>0</v>
      </c>
      <c r="AI152" s="13" t="s">
        <v>42</v>
      </c>
      <c r="AJ152" s="19">
        <v>0</v>
      </c>
      <c r="AK152" s="20">
        <f>AJ149+180</f>
        <v>180</v>
      </c>
      <c r="AL152" s="20">
        <f>AJ149+180-120</f>
        <v>60</v>
      </c>
      <c r="AM152" s="20">
        <f>AJ149-180+120</f>
        <v>-60</v>
      </c>
      <c r="AN152" s="19">
        <v>0</v>
      </c>
      <c r="AO152" s="19">
        <v>0</v>
      </c>
      <c r="AP152" s="14">
        <v>0</v>
      </c>
    </row>
    <row r="600" spans="5:5" x14ac:dyDescent="0.25">
      <c r="E600">
        <v>1</v>
      </c>
    </row>
  </sheetData>
  <conditionalFormatting sqref="M8">
    <cfRule type="expression" dxfId="44" priority="15">
      <formula>$L$51=2</formula>
    </cfRule>
  </conditionalFormatting>
  <conditionalFormatting sqref="M9">
    <cfRule type="expression" dxfId="43" priority="14">
      <formula>$L$55=2</formula>
    </cfRule>
  </conditionalFormatting>
  <conditionalFormatting sqref="M10">
    <cfRule type="expression" dxfId="42" priority="13">
      <formula>$L$59=2</formula>
    </cfRule>
  </conditionalFormatting>
  <conditionalFormatting sqref="M11">
    <cfRule type="expression" dxfId="41" priority="12">
      <formula>$L$63=2</formula>
    </cfRule>
  </conditionalFormatting>
  <conditionalFormatting sqref="M12">
    <cfRule type="expression" dxfId="40" priority="11">
      <formula>$L$67=2</formula>
    </cfRule>
  </conditionalFormatting>
  <conditionalFormatting sqref="M13">
    <cfRule type="expression" dxfId="39" priority="10">
      <formula>$L$71=2</formula>
    </cfRule>
  </conditionalFormatting>
  <conditionalFormatting sqref="M14">
    <cfRule type="expression" dxfId="38" priority="9">
      <formula>$L$75=2</formula>
    </cfRule>
  </conditionalFormatting>
  <conditionalFormatting sqref="M15">
    <cfRule type="expression" dxfId="37" priority="8">
      <formula>$L$79=2</formula>
    </cfRule>
  </conditionalFormatting>
  <conditionalFormatting sqref="M16">
    <cfRule type="expression" dxfId="36" priority="7">
      <formula>$L$83=2</formula>
    </cfRule>
  </conditionalFormatting>
  <conditionalFormatting sqref="M17">
    <cfRule type="expression" dxfId="35" priority="6">
      <formula>$L$87=2</formula>
    </cfRule>
  </conditionalFormatting>
  <conditionalFormatting sqref="M18">
    <cfRule type="expression" dxfId="34" priority="5">
      <formula>$L$91=2</formula>
    </cfRule>
  </conditionalFormatting>
  <conditionalFormatting sqref="M19">
    <cfRule type="expression" dxfId="33" priority="4">
      <formula>$L$95=2</formula>
    </cfRule>
  </conditionalFormatting>
  <conditionalFormatting sqref="M20">
    <cfRule type="expression" dxfId="32" priority="3">
      <formula>$L$99=2</formula>
    </cfRule>
  </conditionalFormatting>
  <conditionalFormatting sqref="M21">
    <cfRule type="expression" dxfId="31" priority="2">
      <formula>$L$103=2</formula>
    </cfRule>
  </conditionalFormatting>
  <conditionalFormatting sqref="M22">
    <cfRule type="expression" dxfId="30" priority="1">
      <formula>$L$107=2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Drop Down 1">
              <controlPr locked="0" defaultSize="0" autoLine="0" autoPict="0">
                <anchor moveWithCells="1">
                  <from>
                    <xdr:col>4</xdr:col>
                    <xdr:colOff>9525</xdr:colOff>
                    <xdr:row>7</xdr:row>
                    <xdr:rowOff>9525</xdr:rowOff>
                  </from>
                  <to>
                    <xdr:col>5</xdr:col>
                    <xdr:colOff>9525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4" name="Drop Down 2">
              <controlPr locked="0" defaultSize="0" autoLine="0" autoPict="0">
                <anchor moveWithCells="1">
                  <from>
                    <xdr:col>4</xdr:col>
                    <xdr:colOff>9525</xdr:colOff>
                    <xdr:row>8</xdr:row>
                    <xdr:rowOff>9525</xdr:rowOff>
                  </from>
                  <to>
                    <xdr:col>5</xdr:col>
                    <xdr:colOff>9525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5" name="Drop Down 3">
              <controlPr locked="0" defaultSize="0" autoLine="0" autoPict="0">
                <anchor moveWithCells="1">
                  <from>
                    <xdr:col>4</xdr:col>
                    <xdr:colOff>9525</xdr:colOff>
                    <xdr:row>9</xdr:row>
                    <xdr:rowOff>9525</xdr:rowOff>
                  </from>
                  <to>
                    <xdr:col>5</xdr:col>
                    <xdr:colOff>9525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6" name="Drop Down 4">
              <controlPr locked="0" defaultSize="0" autoLine="0" autoPict="0">
                <anchor moveWithCells="1">
                  <from>
                    <xdr:col>4</xdr:col>
                    <xdr:colOff>9525</xdr:colOff>
                    <xdr:row>10</xdr:row>
                    <xdr:rowOff>9525</xdr:rowOff>
                  </from>
                  <to>
                    <xdr:col>5</xdr:col>
                    <xdr:colOff>9525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7" name="Drop Down 5">
              <controlPr locked="0" defaultSize="0" autoLine="0" autoPict="0">
                <anchor moveWithCells="1">
                  <from>
                    <xdr:col>4</xdr:col>
                    <xdr:colOff>9525</xdr:colOff>
                    <xdr:row>11</xdr:row>
                    <xdr:rowOff>9525</xdr:rowOff>
                  </from>
                  <to>
                    <xdr:col>5</xdr:col>
                    <xdr:colOff>9525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8" name="Drop Down 6">
              <controlPr locked="0" defaultSize="0" autoLine="0" autoPict="0">
                <anchor moveWithCells="1">
                  <from>
                    <xdr:col>4</xdr:col>
                    <xdr:colOff>9525</xdr:colOff>
                    <xdr:row>12</xdr:row>
                    <xdr:rowOff>9525</xdr:rowOff>
                  </from>
                  <to>
                    <xdr:col>5</xdr:col>
                    <xdr:colOff>9525</xdr:colOff>
                    <xdr:row>12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9" name="Drop Down 7">
              <controlPr locked="0" defaultSize="0" autoLine="0" autoPict="0">
                <anchor moveWithCells="1">
                  <from>
                    <xdr:col>4</xdr:col>
                    <xdr:colOff>9525</xdr:colOff>
                    <xdr:row>13</xdr:row>
                    <xdr:rowOff>9525</xdr:rowOff>
                  </from>
                  <to>
                    <xdr:col>5</xdr:col>
                    <xdr:colOff>9525</xdr:colOff>
                    <xdr:row>13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0" name="Drop Down 8">
              <controlPr locked="0" defaultSize="0" autoLine="0" autoPict="0">
                <anchor moveWithCells="1">
                  <from>
                    <xdr:col>4</xdr:col>
                    <xdr:colOff>9525</xdr:colOff>
                    <xdr:row>14</xdr:row>
                    <xdr:rowOff>9525</xdr:rowOff>
                  </from>
                  <to>
                    <xdr:col>5</xdr:col>
                    <xdr:colOff>9525</xdr:colOff>
                    <xdr:row>14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1" name="Drop Down 9">
              <controlPr locked="0" defaultSize="0" autoLine="0" autoPict="0">
                <anchor moveWithCells="1">
                  <from>
                    <xdr:col>4</xdr:col>
                    <xdr:colOff>9525</xdr:colOff>
                    <xdr:row>15</xdr:row>
                    <xdr:rowOff>9525</xdr:rowOff>
                  </from>
                  <to>
                    <xdr:col>5</xdr:col>
                    <xdr:colOff>9525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2" name="Drop Down 10">
              <controlPr locked="0" defaultSize="0" autoLine="0" autoPict="0">
                <anchor moveWithCells="1">
                  <from>
                    <xdr:col>4</xdr:col>
                    <xdr:colOff>9525</xdr:colOff>
                    <xdr:row>16</xdr:row>
                    <xdr:rowOff>9525</xdr:rowOff>
                  </from>
                  <to>
                    <xdr:col>5</xdr:col>
                    <xdr:colOff>9525</xdr:colOff>
                    <xdr:row>16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3" name="Drop Down 11">
              <controlPr locked="0" defaultSize="0" autoLine="0" autoPict="0">
                <anchor moveWithCells="1">
                  <from>
                    <xdr:col>4</xdr:col>
                    <xdr:colOff>9525</xdr:colOff>
                    <xdr:row>17</xdr:row>
                    <xdr:rowOff>9525</xdr:rowOff>
                  </from>
                  <to>
                    <xdr:col>5</xdr:col>
                    <xdr:colOff>9525</xdr:colOff>
                    <xdr:row>17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4" name="Drop Down 12">
              <controlPr locked="0" defaultSize="0" autoLine="0" autoPict="0">
                <anchor moveWithCells="1">
                  <from>
                    <xdr:col>4</xdr:col>
                    <xdr:colOff>9525</xdr:colOff>
                    <xdr:row>18</xdr:row>
                    <xdr:rowOff>9525</xdr:rowOff>
                  </from>
                  <to>
                    <xdr:col>5</xdr:col>
                    <xdr:colOff>9525</xdr:colOff>
                    <xdr:row>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5" name="Drop Down 13">
              <controlPr locked="0" defaultSize="0" autoLine="0" autoPict="0">
                <anchor moveWithCells="1">
                  <from>
                    <xdr:col>4</xdr:col>
                    <xdr:colOff>9525</xdr:colOff>
                    <xdr:row>19</xdr:row>
                    <xdr:rowOff>9525</xdr:rowOff>
                  </from>
                  <to>
                    <xdr:col>5</xdr:col>
                    <xdr:colOff>9525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6" name="Drop Down 14">
              <controlPr locked="0" defaultSize="0" autoLine="0" autoPict="0">
                <anchor moveWithCells="1">
                  <from>
                    <xdr:col>4</xdr:col>
                    <xdr:colOff>9525</xdr:colOff>
                    <xdr:row>20</xdr:row>
                    <xdr:rowOff>9525</xdr:rowOff>
                  </from>
                  <to>
                    <xdr:col>5</xdr:col>
                    <xdr:colOff>9525</xdr:colOff>
                    <xdr:row>20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7" name="Drop Down 15">
              <controlPr locked="0" defaultSize="0" autoLine="0" autoPict="0">
                <anchor moveWithCells="1">
                  <from>
                    <xdr:col>4</xdr:col>
                    <xdr:colOff>9525</xdr:colOff>
                    <xdr:row>21</xdr:row>
                    <xdr:rowOff>9525</xdr:rowOff>
                  </from>
                  <to>
                    <xdr:col>5</xdr:col>
                    <xdr:colOff>9525</xdr:colOff>
                    <xdr:row>21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18" name="Drop Down 16">
              <controlPr locked="0" defaultSize="0" autoLine="0" autoPict="0">
                <anchor moveWithCells="1">
                  <from>
                    <xdr:col>9</xdr:col>
                    <xdr:colOff>9525</xdr:colOff>
                    <xdr:row>7</xdr:row>
                    <xdr:rowOff>9525</xdr:rowOff>
                  </from>
                  <to>
                    <xdr:col>10</xdr:col>
                    <xdr:colOff>9525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19" name="Drop Down 17">
              <controlPr defaultSize="0" autoLine="0" autoPict="0">
                <anchor moveWithCells="1">
                  <from>
                    <xdr:col>9</xdr:col>
                    <xdr:colOff>9525</xdr:colOff>
                    <xdr:row>8</xdr:row>
                    <xdr:rowOff>9525</xdr:rowOff>
                  </from>
                  <to>
                    <xdr:col>10</xdr:col>
                    <xdr:colOff>9525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0" name="Drop Down 18">
              <controlPr defaultSize="0" autoLine="0" autoPict="0">
                <anchor moveWithCells="1">
                  <from>
                    <xdr:col>9</xdr:col>
                    <xdr:colOff>9525</xdr:colOff>
                    <xdr:row>9</xdr:row>
                    <xdr:rowOff>9525</xdr:rowOff>
                  </from>
                  <to>
                    <xdr:col>10</xdr:col>
                    <xdr:colOff>9525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1" name="Drop Down 19">
              <controlPr defaultSize="0" autoLine="0" autoPict="0">
                <anchor moveWithCells="1">
                  <from>
                    <xdr:col>9</xdr:col>
                    <xdr:colOff>9525</xdr:colOff>
                    <xdr:row>10</xdr:row>
                    <xdr:rowOff>9525</xdr:rowOff>
                  </from>
                  <to>
                    <xdr:col>10</xdr:col>
                    <xdr:colOff>9525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2" name="Drop Down 20">
              <controlPr defaultSize="0" autoLine="0" autoPict="0">
                <anchor moveWithCells="1">
                  <from>
                    <xdr:col>9</xdr:col>
                    <xdr:colOff>9525</xdr:colOff>
                    <xdr:row>11</xdr:row>
                    <xdr:rowOff>9525</xdr:rowOff>
                  </from>
                  <to>
                    <xdr:col>10</xdr:col>
                    <xdr:colOff>9525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7" r:id="rId23" name="Drop Down 21">
              <controlPr defaultSize="0" autoLine="0" autoPict="0">
                <anchor moveWithCells="1">
                  <from>
                    <xdr:col>9</xdr:col>
                    <xdr:colOff>9525</xdr:colOff>
                    <xdr:row>12</xdr:row>
                    <xdr:rowOff>9525</xdr:rowOff>
                  </from>
                  <to>
                    <xdr:col>10</xdr:col>
                    <xdr:colOff>9525</xdr:colOff>
                    <xdr:row>12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8" r:id="rId24" name="Drop Down 22">
              <controlPr defaultSize="0" autoLine="0" autoPict="0">
                <anchor moveWithCells="1">
                  <from>
                    <xdr:col>9</xdr:col>
                    <xdr:colOff>9525</xdr:colOff>
                    <xdr:row>13</xdr:row>
                    <xdr:rowOff>9525</xdr:rowOff>
                  </from>
                  <to>
                    <xdr:col>10</xdr:col>
                    <xdr:colOff>9525</xdr:colOff>
                    <xdr:row>13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9" r:id="rId25" name="Drop Down 23">
              <controlPr defaultSize="0" autoLine="0" autoPict="0">
                <anchor moveWithCells="1">
                  <from>
                    <xdr:col>9</xdr:col>
                    <xdr:colOff>9525</xdr:colOff>
                    <xdr:row>14</xdr:row>
                    <xdr:rowOff>9525</xdr:rowOff>
                  </from>
                  <to>
                    <xdr:col>10</xdr:col>
                    <xdr:colOff>9525</xdr:colOff>
                    <xdr:row>14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0" r:id="rId26" name="Drop Down 24">
              <controlPr defaultSize="0" autoLine="0" autoPict="0">
                <anchor moveWithCells="1">
                  <from>
                    <xdr:col>9</xdr:col>
                    <xdr:colOff>9525</xdr:colOff>
                    <xdr:row>15</xdr:row>
                    <xdr:rowOff>9525</xdr:rowOff>
                  </from>
                  <to>
                    <xdr:col>10</xdr:col>
                    <xdr:colOff>9525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7" name="Drop Down 25">
              <controlPr defaultSize="0" autoLine="0" autoPict="0">
                <anchor moveWithCells="1">
                  <from>
                    <xdr:col>9</xdr:col>
                    <xdr:colOff>9525</xdr:colOff>
                    <xdr:row>16</xdr:row>
                    <xdr:rowOff>9525</xdr:rowOff>
                  </from>
                  <to>
                    <xdr:col>10</xdr:col>
                    <xdr:colOff>9525</xdr:colOff>
                    <xdr:row>16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8" name="Drop Down 26">
              <controlPr defaultSize="0" autoLine="0" autoPict="0">
                <anchor moveWithCells="1">
                  <from>
                    <xdr:col>9</xdr:col>
                    <xdr:colOff>9525</xdr:colOff>
                    <xdr:row>17</xdr:row>
                    <xdr:rowOff>9525</xdr:rowOff>
                  </from>
                  <to>
                    <xdr:col>10</xdr:col>
                    <xdr:colOff>9525</xdr:colOff>
                    <xdr:row>17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9" name="Drop Down 27">
              <controlPr defaultSize="0" autoLine="0" autoPict="0">
                <anchor moveWithCells="1">
                  <from>
                    <xdr:col>9</xdr:col>
                    <xdr:colOff>9525</xdr:colOff>
                    <xdr:row>18</xdr:row>
                    <xdr:rowOff>9525</xdr:rowOff>
                  </from>
                  <to>
                    <xdr:col>10</xdr:col>
                    <xdr:colOff>9525</xdr:colOff>
                    <xdr:row>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30" name="Drop Down 28">
              <controlPr defaultSize="0" autoLine="0" autoPict="0">
                <anchor moveWithCells="1">
                  <from>
                    <xdr:col>9</xdr:col>
                    <xdr:colOff>9525</xdr:colOff>
                    <xdr:row>19</xdr:row>
                    <xdr:rowOff>9525</xdr:rowOff>
                  </from>
                  <to>
                    <xdr:col>10</xdr:col>
                    <xdr:colOff>9525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31" name="Drop Down 29">
              <controlPr defaultSize="0" autoLine="0" autoPict="0">
                <anchor moveWithCells="1">
                  <from>
                    <xdr:col>9</xdr:col>
                    <xdr:colOff>9525</xdr:colOff>
                    <xdr:row>20</xdr:row>
                    <xdr:rowOff>9525</xdr:rowOff>
                  </from>
                  <to>
                    <xdr:col>10</xdr:col>
                    <xdr:colOff>9525</xdr:colOff>
                    <xdr:row>20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6" r:id="rId32" name="Drop Down 30">
              <controlPr defaultSize="0" autoLine="0" autoPict="0">
                <anchor moveWithCells="1">
                  <from>
                    <xdr:col>9</xdr:col>
                    <xdr:colOff>9525</xdr:colOff>
                    <xdr:row>21</xdr:row>
                    <xdr:rowOff>9525</xdr:rowOff>
                  </from>
                  <to>
                    <xdr:col>10</xdr:col>
                    <xdr:colOff>9525</xdr:colOff>
                    <xdr:row>21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7" r:id="rId33" name="Drop Down 31">
              <controlPr locked="0" defaultSize="0" autoLine="0" autoPict="0">
                <anchor moveWithCells="1">
                  <from>
                    <xdr:col>9</xdr:col>
                    <xdr:colOff>9525</xdr:colOff>
                    <xdr:row>8</xdr:row>
                    <xdr:rowOff>9525</xdr:rowOff>
                  </from>
                  <to>
                    <xdr:col>10</xdr:col>
                    <xdr:colOff>9525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8" r:id="rId34" name="Drop Down 32">
              <controlPr locked="0" defaultSize="0" autoLine="0" autoPict="0">
                <anchor moveWithCells="1">
                  <from>
                    <xdr:col>9</xdr:col>
                    <xdr:colOff>9525</xdr:colOff>
                    <xdr:row>9</xdr:row>
                    <xdr:rowOff>9525</xdr:rowOff>
                  </from>
                  <to>
                    <xdr:col>10</xdr:col>
                    <xdr:colOff>9525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9" r:id="rId35" name="Drop Down 33">
              <controlPr locked="0" defaultSize="0" autoLine="0" autoPict="0">
                <anchor moveWithCells="1">
                  <from>
                    <xdr:col>9</xdr:col>
                    <xdr:colOff>9525</xdr:colOff>
                    <xdr:row>10</xdr:row>
                    <xdr:rowOff>9525</xdr:rowOff>
                  </from>
                  <to>
                    <xdr:col>10</xdr:col>
                    <xdr:colOff>9525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0" r:id="rId36" name="Drop Down 34">
              <controlPr locked="0" defaultSize="0" autoLine="0" autoPict="0">
                <anchor moveWithCells="1">
                  <from>
                    <xdr:col>9</xdr:col>
                    <xdr:colOff>9525</xdr:colOff>
                    <xdr:row>11</xdr:row>
                    <xdr:rowOff>9525</xdr:rowOff>
                  </from>
                  <to>
                    <xdr:col>10</xdr:col>
                    <xdr:colOff>9525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1" r:id="rId37" name="Drop Down 35">
              <controlPr locked="0" defaultSize="0" autoLine="0" autoPict="0">
                <anchor moveWithCells="1">
                  <from>
                    <xdr:col>9</xdr:col>
                    <xdr:colOff>9525</xdr:colOff>
                    <xdr:row>12</xdr:row>
                    <xdr:rowOff>9525</xdr:rowOff>
                  </from>
                  <to>
                    <xdr:col>10</xdr:col>
                    <xdr:colOff>9525</xdr:colOff>
                    <xdr:row>12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2" r:id="rId38" name="Drop Down 36">
              <controlPr locked="0" defaultSize="0" autoLine="0" autoPict="0">
                <anchor moveWithCells="1">
                  <from>
                    <xdr:col>9</xdr:col>
                    <xdr:colOff>9525</xdr:colOff>
                    <xdr:row>13</xdr:row>
                    <xdr:rowOff>9525</xdr:rowOff>
                  </from>
                  <to>
                    <xdr:col>10</xdr:col>
                    <xdr:colOff>9525</xdr:colOff>
                    <xdr:row>13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3" r:id="rId39" name="Drop Down 37">
              <controlPr locked="0" defaultSize="0" autoLine="0" autoPict="0">
                <anchor moveWithCells="1">
                  <from>
                    <xdr:col>9</xdr:col>
                    <xdr:colOff>9525</xdr:colOff>
                    <xdr:row>14</xdr:row>
                    <xdr:rowOff>9525</xdr:rowOff>
                  </from>
                  <to>
                    <xdr:col>10</xdr:col>
                    <xdr:colOff>9525</xdr:colOff>
                    <xdr:row>14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4" r:id="rId40" name="Drop Down 38">
              <controlPr locked="0" defaultSize="0" autoLine="0" autoPict="0">
                <anchor moveWithCells="1">
                  <from>
                    <xdr:col>9</xdr:col>
                    <xdr:colOff>9525</xdr:colOff>
                    <xdr:row>15</xdr:row>
                    <xdr:rowOff>9525</xdr:rowOff>
                  </from>
                  <to>
                    <xdr:col>10</xdr:col>
                    <xdr:colOff>9525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5" r:id="rId41" name="Drop Down 39">
              <controlPr locked="0" defaultSize="0" autoLine="0" autoPict="0">
                <anchor moveWithCells="1">
                  <from>
                    <xdr:col>9</xdr:col>
                    <xdr:colOff>9525</xdr:colOff>
                    <xdr:row>16</xdr:row>
                    <xdr:rowOff>9525</xdr:rowOff>
                  </from>
                  <to>
                    <xdr:col>10</xdr:col>
                    <xdr:colOff>9525</xdr:colOff>
                    <xdr:row>16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6" r:id="rId42" name="Drop Down 40">
              <controlPr locked="0" defaultSize="0" autoLine="0" autoPict="0">
                <anchor moveWithCells="1">
                  <from>
                    <xdr:col>9</xdr:col>
                    <xdr:colOff>9525</xdr:colOff>
                    <xdr:row>17</xdr:row>
                    <xdr:rowOff>9525</xdr:rowOff>
                  </from>
                  <to>
                    <xdr:col>10</xdr:col>
                    <xdr:colOff>9525</xdr:colOff>
                    <xdr:row>17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7" r:id="rId43" name="Drop Down 41">
              <controlPr locked="0" defaultSize="0" autoLine="0" autoPict="0">
                <anchor moveWithCells="1">
                  <from>
                    <xdr:col>9</xdr:col>
                    <xdr:colOff>9525</xdr:colOff>
                    <xdr:row>18</xdr:row>
                    <xdr:rowOff>9525</xdr:rowOff>
                  </from>
                  <to>
                    <xdr:col>10</xdr:col>
                    <xdr:colOff>9525</xdr:colOff>
                    <xdr:row>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8" r:id="rId44" name="Drop Down 42">
              <controlPr locked="0" defaultSize="0" autoLine="0" autoPict="0">
                <anchor moveWithCells="1">
                  <from>
                    <xdr:col>9</xdr:col>
                    <xdr:colOff>9525</xdr:colOff>
                    <xdr:row>19</xdr:row>
                    <xdr:rowOff>9525</xdr:rowOff>
                  </from>
                  <to>
                    <xdr:col>10</xdr:col>
                    <xdr:colOff>9525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9" r:id="rId45" name="Drop Down 43">
              <controlPr locked="0" defaultSize="0" autoLine="0" autoPict="0">
                <anchor moveWithCells="1">
                  <from>
                    <xdr:col>9</xdr:col>
                    <xdr:colOff>9525</xdr:colOff>
                    <xdr:row>20</xdr:row>
                    <xdr:rowOff>9525</xdr:rowOff>
                  </from>
                  <to>
                    <xdr:col>10</xdr:col>
                    <xdr:colOff>9525</xdr:colOff>
                    <xdr:row>20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0" r:id="rId46" name="Drop Down 44">
              <controlPr locked="0" defaultSize="0" autoLine="0" autoPict="0">
                <anchor moveWithCells="1">
                  <from>
                    <xdr:col>9</xdr:col>
                    <xdr:colOff>9525</xdr:colOff>
                    <xdr:row>21</xdr:row>
                    <xdr:rowOff>9525</xdr:rowOff>
                  </from>
                  <to>
                    <xdr:col>10</xdr:col>
                    <xdr:colOff>9525</xdr:colOff>
                    <xdr:row>21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1" r:id="rId47" name="Drop Down 45">
              <controlPr locked="0" defaultSize="0" autoLine="0" autoPict="0">
                <anchor moveWithCells="1">
                  <from>
                    <xdr:col>9</xdr:col>
                    <xdr:colOff>9525</xdr:colOff>
                    <xdr:row>7</xdr:row>
                    <xdr:rowOff>9525</xdr:rowOff>
                  </from>
                  <to>
                    <xdr:col>10</xdr:col>
                    <xdr:colOff>9525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2" r:id="rId48" name="Drop Down 46">
              <controlPr defaultSize="0" autoLine="0" autoPict="0">
                <anchor moveWithCells="1">
                  <from>
                    <xdr:col>9</xdr:col>
                    <xdr:colOff>9525</xdr:colOff>
                    <xdr:row>8</xdr:row>
                    <xdr:rowOff>9525</xdr:rowOff>
                  </from>
                  <to>
                    <xdr:col>10</xdr:col>
                    <xdr:colOff>9525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3" r:id="rId49" name="Drop Down 47">
              <controlPr defaultSize="0" autoLine="0" autoPict="0">
                <anchor moveWithCells="1">
                  <from>
                    <xdr:col>9</xdr:col>
                    <xdr:colOff>9525</xdr:colOff>
                    <xdr:row>9</xdr:row>
                    <xdr:rowOff>9525</xdr:rowOff>
                  </from>
                  <to>
                    <xdr:col>10</xdr:col>
                    <xdr:colOff>9525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4" r:id="rId50" name="Drop Down 48">
              <controlPr defaultSize="0" autoLine="0" autoPict="0">
                <anchor moveWithCells="1">
                  <from>
                    <xdr:col>9</xdr:col>
                    <xdr:colOff>9525</xdr:colOff>
                    <xdr:row>10</xdr:row>
                    <xdr:rowOff>9525</xdr:rowOff>
                  </from>
                  <to>
                    <xdr:col>10</xdr:col>
                    <xdr:colOff>9525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5" r:id="rId51" name="Drop Down 49">
              <controlPr defaultSize="0" autoLine="0" autoPict="0">
                <anchor moveWithCells="1">
                  <from>
                    <xdr:col>9</xdr:col>
                    <xdr:colOff>9525</xdr:colOff>
                    <xdr:row>11</xdr:row>
                    <xdr:rowOff>9525</xdr:rowOff>
                  </from>
                  <to>
                    <xdr:col>10</xdr:col>
                    <xdr:colOff>9525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6" r:id="rId52" name="Drop Down 50">
              <controlPr defaultSize="0" autoLine="0" autoPict="0">
                <anchor moveWithCells="1">
                  <from>
                    <xdr:col>9</xdr:col>
                    <xdr:colOff>9525</xdr:colOff>
                    <xdr:row>12</xdr:row>
                    <xdr:rowOff>9525</xdr:rowOff>
                  </from>
                  <to>
                    <xdr:col>10</xdr:col>
                    <xdr:colOff>9525</xdr:colOff>
                    <xdr:row>12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7" r:id="rId53" name="Drop Down 51">
              <controlPr defaultSize="0" autoLine="0" autoPict="0">
                <anchor moveWithCells="1">
                  <from>
                    <xdr:col>9</xdr:col>
                    <xdr:colOff>9525</xdr:colOff>
                    <xdr:row>13</xdr:row>
                    <xdr:rowOff>9525</xdr:rowOff>
                  </from>
                  <to>
                    <xdr:col>10</xdr:col>
                    <xdr:colOff>9525</xdr:colOff>
                    <xdr:row>13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8" r:id="rId54" name="Drop Down 52">
              <controlPr defaultSize="0" autoLine="0" autoPict="0">
                <anchor moveWithCells="1">
                  <from>
                    <xdr:col>9</xdr:col>
                    <xdr:colOff>9525</xdr:colOff>
                    <xdr:row>14</xdr:row>
                    <xdr:rowOff>9525</xdr:rowOff>
                  </from>
                  <to>
                    <xdr:col>10</xdr:col>
                    <xdr:colOff>9525</xdr:colOff>
                    <xdr:row>14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9" r:id="rId55" name="Drop Down 53">
              <controlPr defaultSize="0" autoLine="0" autoPict="0">
                <anchor moveWithCells="1">
                  <from>
                    <xdr:col>9</xdr:col>
                    <xdr:colOff>9525</xdr:colOff>
                    <xdr:row>15</xdr:row>
                    <xdr:rowOff>9525</xdr:rowOff>
                  </from>
                  <to>
                    <xdr:col>10</xdr:col>
                    <xdr:colOff>9525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0" r:id="rId56" name="Drop Down 54">
              <controlPr defaultSize="0" autoLine="0" autoPict="0">
                <anchor moveWithCells="1">
                  <from>
                    <xdr:col>9</xdr:col>
                    <xdr:colOff>9525</xdr:colOff>
                    <xdr:row>16</xdr:row>
                    <xdr:rowOff>9525</xdr:rowOff>
                  </from>
                  <to>
                    <xdr:col>10</xdr:col>
                    <xdr:colOff>9525</xdr:colOff>
                    <xdr:row>16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1" r:id="rId57" name="Drop Down 55">
              <controlPr defaultSize="0" autoLine="0" autoPict="0">
                <anchor moveWithCells="1">
                  <from>
                    <xdr:col>9</xdr:col>
                    <xdr:colOff>9525</xdr:colOff>
                    <xdr:row>17</xdr:row>
                    <xdr:rowOff>9525</xdr:rowOff>
                  </from>
                  <to>
                    <xdr:col>10</xdr:col>
                    <xdr:colOff>9525</xdr:colOff>
                    <xdr:row>17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2" r:id="rId58" name="Drop Down 56">
              <controlPr defaultSize="0" autoLine="0" autoPict="0">
                <anchor moveWithCells="1">
                  <from>
                    <xdr:col>9</xdr:col>
                    <xdr:colOff>9525</xdr:colOff>
                    <xdr:row>18</xdr:row>
                    <xdr:rowOff>9525</xdr:rowOff>
                  </from>
                  <to>
                    <xdr:col>10</xdr:col>
                    <xdr:colOff>9525</xdr:colOff>
                    <xdr:row>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3" r:id="rId59" name="Drop Down 57">
              <controlPr defaultSize="0" autoLine="0" autoPict="0">
                <anchor moveWithCells="1">
                  <from>
                    <xdr:col>9</xdr:col>
                    <xdr:colOff>9525</xdr:colOff>
                    <xdr:row>19</xdr:row>
                    <xdr:rowOff>9525</xdr:rowOff>
                  </from>
                  <to>
                    <xdr:col>10</xdr:col>
                    <xdr:colOff>9525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4" r:id="rId60" name="Drop Down 58">
              <controlPr defaultSize="0" autoLine="0" autoPict="0">
                <anchor moveWithCells="1">
                  <from>
                    <xdr:col>9</xdr:col>
                    <xdr:colOff>9525</xdr:colOff>
                    <xdr:row>20</xdr:row>
                    <xdr:rowOff>9525</xdr:rowOff>
                  </from>
                  <to>
                    <xdr:col>10</xdr:col>
                    <xdr:colOff>9525</xdr:colOff>
                    <xdr:row>20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5" r:id="rId61" name="Drop Down 59">
              <controlPr defaultSize="0" autoLine="0" autoPict="0">
                <anchor moveWithCells="1">
                  <from>
                    <xdr:col>9</xdr:col>
                    <xdr:colOff>9525</xdr:colOff>
                    <xdr:row>21</xdr:row>
                    <xdr:rowOff>9525</xdr:rowOff>
                  </from>
                  <to>
                    <xdr:col>10</xdr:col>
                    <xdr:colOff>9525</xdr:colOff>
                    <xdr:row>21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6" r:id="rId62" name="Drop Down 60">
              <controlPr locked="0" defaultSize="0" autoLine="0" autoPict="0">
                <anchor moveWithCells="1">
                  <from>
                    <xdr:col>9</xdr:col>
                    <xdr:colOff>9525</xdr:colOff>
                    <xdr:row>8</xdr:row>
                    <xdr:rowOff>9525</xdr:rowOff>
                  </from>
                  <to>
                    <xdr:col>10</xdr:col>
                    <xdr:colOff>9525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7" r:id="rId63" name="Drop Down 61">
              <controlPr locked="0" defaultSize="0" autoLine="0" autoPict="0">
                <anchor moveWithCells="1">
                  <from>
                    <xdr:col>9</xdr:col>
                    <xdr:colOff>9525</xdr:colOff>
                    <xdr:row>9</xdr:row>
                    <xdr:rowOff>9525</xdr:rowOff>
                  </from>
                  <to>
                    <xdr:col>10</xdr:col>
                    <xdr:colOff>9525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8" r:id="rId64" name="Drop Down 62">
              <controlPr locked="0" defaultSize="0" autoLine="0" autoPict="0">
                <anchor moveWithCells="1">
                  <from>
                    <xdr:col>9</xdr:col>
                    <xdr:colOff>9525</xdr:colOff>
                    <xdr:row>10</xdr:row>
                    <xdr:rowOff>9525</xdr:rowOff>
                  </from>
                  <to>
                    <xdr:col>10</xdr:col>
                    <xdr:colOff>9525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9" r:id="rId65" name="Drop Down 63">
              <controlPr locked="0" defaultSize="0" autoLine="0" autoPict="0">
                <anchor moveWithCells="1">
                  <from>
                    <xdr:col>9</xdr:col>
                    <xdr:colOff>9525</xdr:colOff>
                    <xdr:row>11</xdr:row>
                    <xdr:rowOff>9525</xdr:rowOff>
                  </from>
                  <to>
                    <xdr:col>10</xdr:col>
                    <xdr:colOff>9525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0" r:id="rId66" name="Drop Down 64">
              <controlPr locked="0" defaultSize="0" autoLine="0" autoPict="0">
                <anchor moveWithCells="1">
                  <from>
                    <xdr:col>9</xdr:col>
                    <xdr:colOff>9525</xdr:colOff>
                    <xdr:row>12</xdr:row>
                    <xdr:rowOff>9525</xdr:rowOff>
                  </from>
                  <to>
                    <xdr:col>10</xdr:col>
                    <xdr:colOff>9525</xdr:colOff>
                    <xdr:row>12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1" r:id="rId67" name="Drop Down 65">
              <controlPr locked="0" defaultSize="0" autoLine="0" autoPict="0">
                <anchor moveWithCells="1">
                  <from>
                    <xdr:col>9</xdr:col>
                    <xdr:colOff>9525</xdr:colOff>
                    <xdr:row>13</xdr:row>
                    <xdr:rowOff>9525</xdr:rowOff>
                  </from>
                  <to>
                    <xdr:col>10</xdr:col>
                    <xdr:colOff>9525</xdr:colOff>
                    <xdr:row>13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2" r:id="rId68" name="Drop Down 66">
              <controlPr locked="0" defaultSize="0" autoLine="0" autoPict="0">
                <anchor moveWithCells="1">
                  <from>
                    <xdr:col>9</xdr:col>
                    <xdr:colOff>9525</xdr:colOff>
                    <xdr:row>14</xdr:row>
                    <xdr:rowOff>9525</xdr:rowOff>
                  </from>
                  <to>
                    <xdr:col>10</xdr:col>
                    <xdr:colOff>9525</xdr:colOff>
                    <xdr:row>14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3" r:id="rId69" name="Drop Down 67">
              <controlPr locked="0" defaultSize="0" autoLine="0" autoPict="0">
                <anchor moveWithCells="1">
                  <from>
                    <xdr:col>9</xdr:col>
                    <xdr:colOff>9525</xdr:colOff>
                    <xdr:row>15</xdr:row>
                    <xdr:rowOff>9525</xdr:rowOff>
                  </from>
                  <to>
                    <xdr:col>10</xdr:col>
                    <xdr:colOff>9525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4" r:id="rId70" name="Drop Down 68">
              <controlPr locked="0" defaultSize="0" autoLine="0" autoPict="0">
                <anchor moveWithCells="1">
                  <from>
                    <xdr:col>9</xdr:col>
                    <xdr:colOff>9525</xdr:colOff>
                    <xdr:row>16</xdr:row>
                    <xdr:rowOff>9525</xdr:rowOff>
                  </from>
                  <to>
                    <xdr:col>10</xdr:col>
                    <xdr:colOff>9525</xdr:colOff>
                    <xdr:row>16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5" r:id="rId71" name="Drop Down 69">
              <controlPr locked="0" defaultSize="0" autoLine="0" autoPict="0">
                <anchor moveWithCells="1">
                  <from>
                    <xdr:col>9</xdr:col>
                    <xdr:colOff>9525</xdr:colOff>
                    <xdr:row>17</xdr:row>
                    <xdr:rowOff>9525</xdr:rowOff>
                  </from>
                  <to>
                    <xdr:col>10</xdr:col>
                    <xdr:colOff>9525</xdr:colOff>
                    <xdr:row>17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6" r:id="rId72" name="Drop Down 70">
              <controlPr locked="0" defaultSize="0" autoLine="0" autoPict="0">
                <anchor moveWithCells="1">
                  <from>
                    <xdr:col>9</xdr:col>
                    <xdr:colOff>9525</xdr:colOff>
                    <xdr:row>18</xdr:row>
                    <xdr:rowOff>9525</xdr:rowOff>
                  </from>
                  <to>
                    <xdr:col>10</xdr:col>
                    <xdr:colOff>9525</xdr:colOff>
                    <xdr:row>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7" r:id="rId73" name="Drop Down 71">
              <controlPr locked="0" defaultSize="0" autoLine="0" autoPict="0">
                <anchor moveWithCells="1">
                  <from>
                    <xdr:col>9</xdr:col>
                    <xdr:colOff>9525</xdr:colOff>
                    <xdr:row>19</xdr:row>
                    <xdr:rowOff>9525</xdr:rowOff>
                  </from>
                  <to>
                    <xdr:col>10</xdr:col>
                    <xdr:colOff>9525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8" r:id="rId74" name="Drop Down 72">
              <controlPr locked="0" defaultSize="0" autoLine="0" autoPict="0">
                <anchor moveWithCells="1">
                  <from>
                    <xdr:col>9</xdr:col>
                    <xdr:colOff>9525</xdr:colOff>
                    <xdr:row>20</xdr:row>
                    <xdr:rowOff>9525</xdr:rowOff>
                  </from>
                  <to>
                    <xdr:col>10</xdr:col>
                    <xdr:colOff>9525</xdr:colOff>
                    <xdr:row>20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9" r:id="rId75" name="Drop Down 73">
              <controlPr locked="0" defaultSize="0" autoLine="0" autoPict="0">
                <anchor moveWithCells="1">
                  <from>
                    <xdr:col>9</xdr:col>
                    <xdr:colOff>9525</xdr:colOff>
                    <xdr:row>21</xdr:row>
                    <xdr:rowOff>9525</xdr:rowOff>
                  </from>
                  <to>
                    <xdr:col>10</xdr:col>
                    <xdr:colOff>9525</xdr:colOff>
                    <xdr:row>21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0" r:id="rId76" name="Drop Down 74">
              <controlPr locked="0" defaultSize="0" autoLine="0" autoPict="0">
                <anchor moveWithCells="1">
                  <from>
                    <xdr:col>11</xdr:col>
                    <xdr:colOff>9525</xdr:colOff>
                    <xdr:row>7</xdr:row>
                    <xdr:rowOff>9525</xdr:rowOff>
                  </from>
                  <to>
                    <xdr:col>12</xdr:col>
                    <xdr:colOff>0</xdr:colOff>
                    <xdr:row>7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1" r:id="rId77" name="Drop Down 75">
              <controlPr locked="0" defaultSize="0" autoLine="0" autoPict="0">
                <anchor moveWithCells="1">
                  <from>
                    <xdr:col>11</xdr:col>
                    <xdr:colOff>9525</xdr:colOff>
                    <xdr:row>8</xdr:row>
                    <xdr:rowOff>9525</xdr:rowOff>
                  </from>
                  <to>
                    <xdr:col>12</xdr:col>
                    <xdr:colOff>0</xdr:colOff>
                    <xdr:row>8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2" r:id="rId78" name="Drop Down 76">
              <controlPr locked="0" defaultSize="0" autoLine="0" autoPict="0">
                <anchor moveWithCells="1">
                  <from>
                    <xdr:col>11</xdr:col>
                    <xdr:colOff>9525</xdr:colOff>
                    <xdr:row>9</xdr:row>
                    <xdr:rowOff>9525</xdr:rowOff>
                  </from>
                  <to>
                    <xdr:col>12</xdr:col>
                    <xdr:colOff>0</xdr:colOff>
                    <xdr:row>9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3" r:id="rId79" name="Drop Down 77">
              <controlPr locked="0" defaultSize="0" autoLine="0" autoPict="0">
                <anchor moveWithCells="1">
                  <from>
                    <xdr:col>11</xdr:col>
                    <xdr:colOff>9525</xdr:colOff>
                    <xdr:row>10</xdr:row>
                    <xdr:rowOff>9525</xdr:rowOff>
                  </from>
                  <to>
                    <xdr:col>12</xdr:col>
                    <xdr:colOff>0</xdr:colOff>
                    <xdr:row>10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4" r:id="rId80" name="Drop Down 78">
              <controlPr locked="0" defaultSize="0" autoLine="0" autoPict="0">
                <anchor moveWithCells="1">
                  <from>
                    <xdr:col>11</xdr:col>
                    <xdr:colOff>9525</xdr:colOff>
                    <xdr:row>11</xdr:row>
                    <xdr:rowOff>9525</xdr:rowOff>
                  </from>
                  <to>
                    <xdr:col>12</xdr:col>
                    <xdr:colOff>0</xdr:colOff>
                    <xdr:row>11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5" r:id="rId81" name="Drop Down 79">
              <controlPr locked="0" defaultSize="0" autoLine="0" autoPict="0">
                <anchor moveWithCells="1">
                  <from>
                    <xdr:col>11</xdr:col>
                    <xdr:colOff>9525</xdr:colOff>
                    <xdr:row>12</xdr:row>
                    <xdr:rowOff>9525</xdr:rowOff>
                  </from>
                  <to>
                    <xdr:col>12</xdr:col>
                    <xdr:colOff>0</xdr:colOff>
                    <xdr:row>12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6" r:id="rId82" name="Drop Down 80">
              <controlPr locked="0" defaultSize="0" autoLine="0" autoPict="0">
                <anchor moveWithCells="1">
                  <from>
                    <xdr:col>11</xdr:col>
                    <xdr:colOff>9525</xdr:colOff>
                    <xdr:row>13</xdr:row>
                    <xdr:rowOff>9525</xdr:rowOff>
                  </from>
                  <to>
                    <xdr:col>12</xdr:col>
                    <xdr:colOff>0</xdr:colOff>
                    <xdr:row>13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7" r:id="rId83" name="Drop Down 81">
              <controlPr locked="0" defaultSize="0" autoLine="0" autoPict="0">
                <anchor moveWithCells="1">
                  <from>
                    <xdr:col>11</xdr:col>
                    <xdr:colOff>9525</xdr:colOff>
                    <xdr:row>14</xdr:row>
                    <xdr:rowOff>9525</xdr:rowOff>
                  </from>
                  <to>
                    <xdr:col>12</xdr:col>
                    <xdr:colOff>0</xdr:colOff>
                    <xdr:row>14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8" r:id="rId84" name="Drop Down 82">
              <controlPr locked="0" defaultSize="0" autoLine="0" autoPict="0">
                <anchor moveWithCells="1">
                  <from>
                    <xdr:col>11</xdr:col>
                    <xdr:colOff>9525</xdr:colOff>
                    <xdr:row>15</xdr:row>
                    <xdr:rowOff>9525</xdr:rowOff>
                  </from>
                  <to>
                    <xdr:col>12</xdr:col>
                    <xdr:colOff>0</xdr:colOff>
                    <xdr:row>15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9" r:id="rId85" name="Drop Down 83">
              <controlPr locked="0" defaultSize="0" autoLine="0" autoPict="0">
                <anchor moveWithCells="1">
                  <from>
                    <xdr:col>11</xdr:col>
                    <xdr:colOff>9525</xdr:colOff>
                    <xdr:row>16</xdr:row>
                    <xdr:rowOff>9525</xdr:rowOff>
                  </from>
                  <to>
                    <xdr:col>12</xdr:col>
                    <xdr:colOff>0</xdr:colOff>
                    <xdr:row>16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0" r:id="rId86" name="Drop Down 84">
              <controlPr locked="0" defaultSize="0" autoLine="0" autoPict="0">
                <anchor moveWithCells="1">
                  <from>
                    <xdr:col>11</xdr:col>
                    <xdr:colOff>9525</xdr:colOff>
                    <xdr:row>17</xdr:row>
                    <xdr:rowOff>9525</xdr:rowOff>
                  </from>
                  <to>
                    <xdr:col>12</xdr:col>
                    <xdr:colOff>0</xdr:colOff>
                    <xdr:row>17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1" r:id="rId87" name="Drop Down 85">
              <controlPr locked="0" defaultSize="0" autoLine="0" autoPict="0">
                <anchor moveWithCells="1">
                  <from>
                    <xdr:col>11</xdr:col>
                    <xdr:colOff>9525</xdr:colOff>
                    <xdr:row>18</xdr:row>
                    <xdr:rowOff>9525</xdr:rowOff>
                  </from>
                  <to>
                    <xdr:col>12</xdr:col>
                    <xdr:colOff>0</xdr:colOff>
                    <xdr:row>18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2" r:id="rId88" name="Drop Down 86">
              <controlPr locked="0" defaultSize="0" autoLine="0" autoPict="0">
                <anchor moveWithCells="1">
                  <from>
                    <xdr:col>11</xdr:col>
                    <xdr:colOff>9525</xdr:colOff>
                    <xdr:row>19</xdr:row>
                    <xdr:rowOff>9525</xdr:rowOff>
                  </from>
                  <to>
                    <xdr:col>12</xdr:col>
                    <xdr:colOff>0</xdr:colOff>
                    <xdr:row>19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3" r:id="rId89" name="Drop Down 87">
              <controlPr locked="0" defaultSize="0" autoLine="0" autoPict="0">
                <anchor moveWithCells="1">
                  <from>
                    <xdr:col>11</xdr:col>
                    <xdr:colOff>9525</xdr:colOff>
                    <xdr:row>20</xdr:row>
                    <xdr:rowOff>9525</xdr:rowOff>
                  </from>
                  <to>
                    <xdr:col>12</xdr:col>
                    <xdr:colOff>0</xdr:colOff>
                    <xdr:row>20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4" r:id="rId90" name="Drop Down 88">
              <controlPr locked="0" defaultSize="0" autoLine="0" autoPict="0">
                <anchor moveWithCells="1">
                  <from>
                    <xdr:col>11</xdr:col>
                    <xdr:colOff>9525</xdr:colOff>
                    <xdr:row>21</xdr:row>
                    <xdr:rowOff>9525</xdr:rowOff>
                  </from>
                  <to>
                    <xdr:col>12</xdr:col>
                    <xdr:colOff>0</xdr:colOff>
                    <xdr:row>21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5" r:id="rId91" name="Drop Down 89">
              <controlPr locked="0" defaultSize="0" autoLine="0" autoPict="0">
                <anchor moveWithCells="1">
                  <from>
                    <xdr:col>9</xdr:col>
                    <xdr:colOff>9525</xdr:colOff>
                    <xdr:row>8</xdr:row>
                    <xdr:rowOff>9525</xdr:rowOff>
                  </from>
                  <to>
                    <xdr:col>10</xdr:col>
                    <xdr:colOff>9525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6" r:id="rId92" name="Drop Down 90">
              <controlPr locked="0" defaultSize="0" autoLine="0" autoPict="0">
                <anchor moveWithCells="1">
                  <from>
                    <xdr:col>9</xdr:col>
                    <xdr:colOff>9525</xdr:colOff>
                    <xdr:row>9</xdr:row>
                    <xdr:rowOff>9525</xdr:rowOff>
                  </from>
                  <to>
                    <xdr:col>10</xdr:col>
                    <xdr:colOff>9525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7" r:id="rId93" name="Drop Down 91">
              <controlPr locked="0" defaultSize="0" autoLine="0" autoPict="0">
                <anchor moveWithCells="1">
                  <from>
                    <xdr:col>9</xdr:col>
                    <xdr:colOff>9525</xdr:colOff>
                    <xdr:row>10</xdr:row>
                    <xdr:rowOff>9525</xdr:rowOff>
                  </from>
                  <to>
                    <xdr:col>10</xdr:col>
                    <xdr:colOff>9525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8" r:id="rId94" name="Drop Down 92">
              <controlPr locked="0" defaultSize="0" autoLine="0" autoPict="0">
                <anchor moveWithCells="1">
                  <from>
                    <xdr:col>9</xdr:col>
                    <xdr:colOff>9525</xdr:colOff>
                    <xdr:row>11</xdr:row>
                    <xdr:rowOff>9525</xdr:rowOff>
                  </from>
                  <to>
                    <xdr:col>10</xdr:col>
                    <xdr:colOff>9525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9" r:id="rId95" name="Drop Down 93">
              <controlPr locked="0" defaultSize="0" autoLine="0" autoPict="0">
                <anchor moveWithCells="1">
                  <from>
                    <xdr:col>9</xdr:col>
                    <xdr:colOff>9525</xdr:colOff>
                    <xdr:row>12</xdr:row>
                    <xdr:rowOff>9525</xdr:rowOff>
                  </from>
                  <to>
                    <xdr:col>10</xdr:col>
                    <xdr:colOff>9525</xdr:colOff>
                    <xdr:row>12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0" r:id="rId96" name="Drop Down 94">
              <controlPr locked="0" defaultSize="0" autoLine="0" autoPict="0">
                <anchor moveWithCells="1">
                  <from>
                    <xdr:col>9</xdr:col>
                    <xdr:colOff>9525</xdr:colOff>
                    <xdr:row>13</xdr:row>
                    <xdr:rowOff>9525</xdr:rowOff>
                  </from>
                  <to>
                    <xdr:col>10</xdr:col>
                    <xdr:colOff>9525</xdr:colOff>
                    <xdr:row>13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1" r:id="rId97" name="Drop Down 95">
              <controlPr locked="0" defaultSize="0" autoLine="0" autoPict="0">
                <anchor moveWithCells="1">
                  <from>
                    <xdr:col>9</xdr:col>
                    <xdr:colOff>9525</xdr:colOff>
                    <xdr:row>14</xdr:row>
                    <xdr:rowOff>9525</xdr:rowOff>
                  </from>
                  <to>
                    <xdr:col>10</xdr:col>
                    <xdr:colOff>9525</xdr:colOff>
                    <xdr:row>14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2" r:id="rId98" name="Drop Down 96">
              <controlPr locked="0" defaultSize="0" autoLine="0" autoPict="0">
                <anchor moveWithCells="1">
                  <from>
                    <xdr:col>9</xdr:col>
                    <xdr:colOff>9525</xdr:colOff>
                    <xdr:row>15</xdr:row>
                    <xdr:rowOff>9525</xdr:rowOff>
                  </from>
                  <to>
                    <xdr:col>10</xdr:col>
                    <xdr:colOff>9525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3" r:id="rId99" name="Drop Down 97">
              <controlPr locked="0" defaultSize="0" autoLine="0" autoPict="0">
                <anchor moveWithCells="1">
                  <from>
                    <xdr:col>9</xdr:col>
                    <xdr:colOff>9525</xdr:colOff>
                    <xdr:row>16</xdr:row>
                    <xdr:rowOff>9525</xdr:rowOff>
                  </from>
                  <to>
                    <xdr:col>10</xdr:col>
                    <xdr:colOff>9525</xdr:colOff>
                    <xdr:row>16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4" r:id="rId100" name="Drop Down 98">
              <controlPr locked="0" defaultSize="0" autoLine="0" autoPict="0">
                <anchor moveWithCells="1">
                  <from>
                    <xdr:col>9</xdr:col>
                    <xdr:colOff>9525</xdr:colOff>
                    <xdr:row>17</xdr:row>
                    <xdr:rowOff>9525</xdr:rowOff>
                  </from>
                  <to>
                    <xdr:col>10</xdr:col>
                    <xdr:colOff>9525</xdr:colOff>
                    <xdr:row>17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5" r:id="rId101" name="Drop Down 99">
              <controlPr locked="0" defaultSize="0" autoLine="0" autoPict="0">
                <anchor moveWithCells="1">
                  <from>
                    <xdr:col>9</xdr:col>
                    <xdr:colOff>9525</xdr:colOff>
                    <xdr:row>18</xdr:row>
                    <xdr:rowOff>9525</xdr:rowOff>
                  </from>
                  <to>
                    <xdr:col>10</xdr:col>
                    <xdr:colOff>9525</xdr:colOff>
                    <xdr:row>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6" r:id="rId102" name="Drop Down 100">
              <controlPr locked="0" defaultSize="0" autoLine="0" autoPict="0">
                <anchor moveWithCells="1">
                  <from>
                    <xdr:col>9</xdr:col>
                    <xdr:colOff>9525</xdr:colOff>
                    <xdr:row>19</xdr:row>
                    <xdr:rowOff>9525</xdr:rowOff>
                  </from>
                  <to>
                    <xdr:col>10</xdr:col>
                    <xdr:colOff>9525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7" r:id="rId103" name="Drop Down 101">
              <controlPr locked="0" defaultSize="0" autoLine="0" autoPict="0">
                <anchor moveWithCells="1">
                  <from>
                    <xdr:col>9</xdr:col>
                    <xdr:colOff>9525</xdr:colOff>
                    <xdr:row>20</xdr:row>
                    <xdr:rowOff>9525</xdr:rowOff>
                  </from>
                  <to>
                    <xdr:col>10</xdr:col>
                    <xdr:colOff>9525</xdr:colOff>
                    <xdr:row>20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8" r:id="rId104" name="Drop Down 102">
              <controlPr locked="0" defaultSize="0" autoLine="0" autoPict="0">
                <anchor moveWithCells="1">
                  <from>
                    <xdr:col>9</xdr:col>
                    <xdr:colOff>9525</xdr:colOff>
                    <xdr:row>21</xdr:row>
                    <xdr:rowOff>9525</xdr:rowOff>
                  </from>
                  <to>
                    <xdr:col>10</xdr:col>
                    <xdr:colOff>9525</xdr:colOff>
                    <xdr:row>21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600"/>
  <sheetViews>
    <sheetView workbookViewId="0">
      <selection activeCell="P30" sqref="P30"/>
    </sheetView>
  </sheetViews>
  <sheetFormatPr defaultRowHeight="15" x14ac:dyDescent="0.25"/>
  <cols>
    <col min="1" max="1" width="2.28515625" customWidth="1"/>
    <col min="2" max="2" width="1.5703125" customWidth="1"/>
    <col min="3" max="3" width="9.140625" customWidth="1"/>
    <col min="5" max="6" width="9.140625" customWidth="1"/>
    <col min="11" max="11" width="11.85546875" customWidth="1"/>
    <col min="12" max="12" width="11.28515625" customWidth="1"/>
    <col min="13" max="13" width="2.7109375" customWidth="1"/>
    <col min="14" max="14" width="16" customWidth="1"/>
    <col min="15" max="15" width="8.140625" customWidth="1"/>
    <col min="16" max="16" width="2.5703125" customWidth="1"/>
    <col min="17" max="17" width="6.28515625" customWidth="1"/>
    <col min="18" max="18" width="8.140625" customWidth="1"/>
    <col min="19" max="19" width="2.7109375" customWidth="1"/>
    <col min="20" max="20" width="6.85546875" customWidth="1"/>
    <col min="21" max="21" width="8" customWidth="1"/>
    <col min="22" max="22" width="2.7109375" customWidth="1"/>
    <col min="23" max="23" width="6.7109375" customWidth="1"/>
    <col min="24" max="24" width="7.7109375" customWidth="1"/>
    <col min="25" max="25" width="2.7109375" customWidth="1"/>
    <col min="26" max="26" width="7.140625" customWidth="1"/>
  </cols>
  <sheetData>
    <row r="1" spans="1:2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7" ht="31.5" x14ac:dyDescent="0.5">
      <c r="A2" s="1"/>
      <c r="B2" s="1"/>
      <c r="C2" s="42" t="s">
        <v>64</v>
      </c>
      <c r="D2" s="1"/>
      <c r="E2" s="1"/>
      <c r="F2" s="1"/>
      <c r="G2" s="1"/>
      <c r="H2" s="42">
        <v>15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 t="s">
        <v>58</v>
      </c>
      <c r="Q3" s="26">
        <v>1</v>
      </c>
      <c r="R3" s="1"/>
      <c r="S3" s="1" t="s">
        <v>57</v>
      </c>
      <c r="T3" s="26">
        <v>1</v>
      </c>
      <c r="U3" s="1"/>
      <c r="V3" s="1"/>
      <c r="W3" s="1"/>
      <c r="X3" s="1"/>
      <c r="Y3" s="1"/>
      <c r="Z3" s="1"/>
    </row>
    <row r="4" spans="1:27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53" t="s">
        <v>76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7" ht="18" x14ac:dyDescent="0.35">
      <c r="A5" s="1"/>
      <c r="B5" s="1"/>
      <c r="C5" s="1" t="s">
        <v>33</v>
      </c>
      <c r="D5" s="26">
        <v>400</v>
      </c>
      <c r="E5" s="27" t="s">
        <v>66</v>
      </c>
      <c r="F5" s="1" t="s">
        <v>65</v>
      </c>
      <c r="G5" s="1"/>
      <c r="H5" s="1"/>
      <c r="I5" s="26">
        <v>0</v>
      </c>
      <c r="J5" s="27" t="s">
        <v>62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7" ht="17.25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45" t="s">
        <v>104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44"/>
    </row>
    <row r="7" spans="1:27" ht="18" x14ac:dyDescent="0.35">
      <c r="A7" s="1"/>
      <c r="B7" s="1"/>
      <c r="C7" s="1"/>
      <c r="D7" s="1"/>
      <c r="E7" s="1"/>
      <c r="F7" s="1" t="s">
        <v>19</v>
      </c>
      <c r="G7" s="1"/>
      <c r="H7" s="1" t="s">
        <v>40</v>
      </c>
      <c r="I7" s="1" t="s">
        <v>20</v>
      </c>
      <c r="J7" s="1" t="s">
        <v>21</v>
      </c>
      <c r="K7" s="28" t="s">
        <v>54</v>
      </c>
      <c r="L7" s="1" t="s">
        <v>89</v>
      </c>
      <c r="M7" s="1"/>
      <c r="N7" s="34" t="s">
        <v>41</v>
      </c>
      <c r="O7" s="34"/>
      <c r="P7" s="35" t="s">
        <v>44</v>
      </c>
      <c r="Q7" s="36"/>
      <c r="R7" s="34"/>
      <c r="S7" s="35" t="s">
        <v>45</v>
      </c>
      <c r="T7" s="36"/>
      <c r="U7" s="34"/>
      <c r="V7" s="35" t="s">
        <v>46</v>
      </c>
      <c r="W7" s="36"/>
      <c r="X7" s="34"/>
      <c r="Y7" s="35" t="s">
        <v>47</v>
      </c>
      <c r="Z7" s="43"/>
      <c r="AA7" s="2"/>
    </row>
    <row r="8" spans="1:27" x14ac:dyDescent="0.25">
      <c r="A8" s="1"/>
      <c r="B8" s="1"/>
      <c r="C8" s="26" t="s">
        <v>0</v>
      </c>
      <c r="F8" s="26">
        <v>0</v>
      </c>
      <c r="G8" s="54" t="str">
        <f>VLOOKUP(E51,B44:D46,3)</f>
        <v>[kW]</v>
      </c>
      <c r="H8" s="41">
        <f>VLOOKUP(E51,M50:U53,J51+2)</f>
        <v>0</v>
      </c>
      <c r="I8" s="26">
        <v>1</v>
      </c>
      <c r="K8" s="41">
        <f>IF(L51=1,-DEGREES(ACOS(I8)),DEGREES(ACOS(I8)))</f>
        <v>0</v>
      </c>
      <c r="L8" s="1"/>
      <c r="M8" s="1"/>
      <c r="N8" s="2" t="str">
        <f>C8</f>
        <v>Belastning 1</v>
      </c>
      <c r="O8" s="31">
        <f>HLOOKUP($J$51,$AA$49:$AG$54,3)</f>
        <v>0</v>
      </c>
      <c r="P8" s="46" t="s">
        <v>43</v>
      </c>
      <c r="Q8" s="32">
        <f>HLOOKUP($J$51,$AJ$49:$AP$54,3)</f>
        <v>0</v>
      </c>
      <c r="R8" s="31">
        <f>HLOOKUP($J$51,$AA$49:$AG$54,4)</f>
        <v>0</v>
      </c>
      <c r="S8" s="46" t="s">
        <v>43</v>
      </c>
      <c r="T8" s="32">
        <f>HLOOKUP($J$51,$AJ$49:$AP$54,4)</f>
        <v>-120</v>
      </c>
      <c r="U8" s="31">
        <f>HLOOKUP($J$51,$AA$49:$AG$54,5)</f>
        <v>0</v>
      </c>
      <c r="V8" s="46" t="s">
        <v>43</v>
      </c>
      <c r="W8" s="32">
        <f>HLOOKUP($J$51,$AJ$49:$AP$54,5)</f>
        <v>120</v>
      </c>
      <c r="X8" s="31">
        <f>HLOOKUP($J$51,$AA$49:$AG$54,6)</f>
        <v>0</v>
      </c>
      <c r="Y8" s="46" t="s">
        <v>43</v>
      </c>
      <c r="Z8" s="33">
        <f>HLOOKUP($J$51,$AJ$49:$AP$54,6)</f>
        <v>0</v>
      </c>
      <c r="AA8" s="2"/>
    </row>
    <row r="9" spans="1:27" x14ac:dyDescent="0.25">
      <c r="A9" s="1"/>
      <c r="B9" s="1"/>
      <c r="C9" s="26" t="s">
        <v>1</v>
      </c>
      <c r="F9" s="26">
        <v>0</v>
      </c>
      <c r="G9" s="54" t="str">
        <f>VLOOKUP(E55,B44:D46,3)</f>
        <v>[kW]</v>
      </c>
      <c r="H9" s="41">
        <f>VLOOKUP(E55,M55:U57,J55+2)</f>
        <v>0</v>
      </c>
      <c r="I9" s="26">
        <v>1</v>
      </c>
      <c r="K9" s="41">
        <f>IF(L55=1,-DEGREES(ACOS(I9)),DEGREES(ACOS(I9)))</f>
        <v>0</v>
      </c>
      <c r="L9" s="1" t="s">
        <v>92</v>
      </c>
      <c r="M9" s="1"/>
      <c r="N9" s="2" t="str">
        <f t="shared" ref="N9:N22" si="0">C9</f>
        <v>Belastning 2</v>
      </c>
      <c r="O9" s="31">
        <f>HLOOKUP($J$55,$AA$56:$AG$61,3)</f>
        <v>0</v>
      </c>
      <c r="P9" s="46" t="s">
        <v>43</v>
      </c>
      <c r="Q9" s="32">
        <f>HLOOKUP($J$55,$AJ$56:$AP$61,3)</f>
        <v>0</v>
      </c>
      <c r="R9" s="31">
        <f>HLOOKUP($J$55,$AA$56:$AG$61,4)</f>
        <v>0</v>
      </c>
      <c r="S9" s="46" t="s">
        <v>43</v>
      </c>
      <c r="T9" s="32">
        <f>HLOOKUP($J$55,$AJ$56:$AP$61,4)</f>
        <v>-120</v>
      </c>
      <c r="U9" s="31">
        <f>HLOOKUP($J$55,$AA$56:$AG$61,5)</f>
        <v>0</v>
      </c>
      <c r="V9" s="46" t="s">
        <v>43</v>
      </c>
      <c r="W9" s="32">
        <f>HLOOKUP($J$55,$AJ$56:$AP$61,5)</f>
        <v>120</v>
      </c>
      <c r="X9" s="31">
        <f>HLOOKUP($J$55,$AA$56:$AG$61,6)</f>
        <v>0</v>
      </c>
      <c r="Y9" s="46" t="s">
        <v>43</v>
      </c>
      <c r="Z9" s="33">
        <f>HLOOKUP($J$55,$AJ$56:$AP$61,6)</f>
        <v>0</v>
      </c>
      <c r="AA9" s="2"/>
    </row>
    <row r="10" spans="1:27" x14ac:dyDescent="0.25">
      <c r="A10" s="1"/>
      <c r="B10" s="1"/>
      <c r="C10" s="26" t="s">
        <v>2</v>
      </c>
      <c r="F10" s="26">
        <v>0</v>
      </c>
      <c r="G10" s="54" t="str">
        <f>VLOOKUP(E59,B44:D46,3)</f>
        <v>[kW]</v>
      </c>
      <c r="H10" s="41">
        <f>VLOOKUP(E59,M59:U61,J59+2)</f>
        <v>0</v>
      </c>
      <c r="I10" s="26">
        <v>1</v>
      </c>
      <c r="K10" s="41">
        <f>IF(L59=1,-DEGREES(ACOS(I10)),DEGREES(ACOS(I10)))</f>
        <v>0</v>
      </c>
      <c r="L10" s="1"/>
      <c r="M10" s="1"/>
      <c r="N10" s="2" t="str">
        <f t="shared" si="0"/>
        <v>Belastning 3</v>
      </c>
      <c r="O10" s="31">
        <f>HLOOKUP($J$59,$AA$63:$AG468,3)</f>
        <v>0</v>
      </c>
      <c r="P10" s="46" t="s">
        <v>43</v>
      </c>
      <c r="Q10" s="32">
        <f>HLOOKUP($J$59,$AJ$63:$AP$68,3)</f>
        <v>0</v>
      </c>
      <c r="R10" s="31">
        <f>HLOOKUP($J$59,$AA$63:$AG468,4)</f>
        <v>0</v>
      </c>
      <c r="S10" s="46" t="s">
        <v>43</v>
      </c>
      <c r="T10" s="32">
        <f>HLOOKUP($J$59,$AJ$63:$AP$68,4)</f>
        <v>-120</v>
      </c>
      <c r="U10" s="31">
        <f>HLOOKUP($J$59,$AA$63:$AG468,5)</f>
        <v>0</v>
      </c>
      <c r="V10" s="46" t="s">
        <v>43</v>
      </c>
      <c r="W10" s="32">
        <f>HLOOKUP($J$59,$AJ$63:$AP$68,5)</f>
        <v>120</v>
      </c>
      <c r="X10" s="31">
        <f>HLOOKUP($J$59,$AA$63:$AG468,6)</f>
        <v>0</v>
      </c>
      <c r="Y10" s="46" t="s">
        <v>43</v>
      </c>
      <c r="Z10" s="33">
        <f>HLOOKUP($J$59,$AJ$63:$AP$68,6)</f>
        <v>0</v>
      </c>
      <c r="AA10" s="2"/>
    </row>
    <row r="11" spans="1:27" x14ac:dyDescent="0.25">
      <c r="A11" s="1"/>
      <c r="B11" s="1"/>
      <c r="C11" s="26" t="s">
        <v>3</v>
      </c>
      <c r="F11" s="26">
        <v>0</v>
      </c>
      <c r="G11" s="54" t="str">
        <f>VLOOKUP(E63,B44:D46,3)</f>
        <v>[kW]</v>
      </c>
      <c r="H11" s="41">
        <f>VLOOKUP(E63,M63:U65,J63+2)</f>
        <v>0</v>
      </c>
      <c r="I11" s="26">
        <v>1</v>
      </c>
      <c r="K11" s="41">
        <f>IF(L63=1,-DEGREES(ACOS(I11)),DEGREES(ACOS(I11)))</f>
        <v>0</v>
      </c>
      <c r="L11" s="1"/>
      <c r="M11" s="1"/>
      <c r="N11" s="2" t="str">
        <f t="shared" si="0"/>
        <v>Belastning 4</v>
      </c>
      <c r="O11" s="31">
        <f>HLOOKUP($J$63,$AA$70:$AG$75,3)</f>
        <v>0</v>
      </c>
      <c r="P11" s="46" t="s">
        <v>43</v>
      </c>
      <c r="Q11" s="32">
        <f>HLOOKUP($J$63,$AJ$70:$AP$75,3)</f>
        <v>0</v>
      </c>
      <c r="R11" s="31">
        <f>HLOOKUP($J$63,$AA$70:$AG$75,4)</f>
        <v>0</v>
      </c>
      <c r="S11" s="46" t="s">
        <v>43</v>
      </c>
      <c r="T11" s="32">
        <f>HLOOKUP($J$63,$AJ$70:$AP$75,4)</f>
        <v>-120</v>
      </c>
      <c r="U11" s="31">
        <f>HLOOKUP($J$63,$AA$70:$AG$75,5)</f>
        <v>0</v>
      </c>
      <c r="V11" s="46" t="s">
        <v>43</v>
      </c>
      <c r="W11" s="32">
        <f>HLOOKUP($J$63,$AJ$70:$AP$75,5)</f>
        <v>120</v>
      </c>
      <c r="X11" s="31">
        <f>HLOOKUP($J$63,$AA$70:$AG$75,6)</f>
        <v>0</v>
      </c>
      <c r="Y11" s="46" t="s">
        <v>43</v>
      </c>
      <c r="Z11" s="33">
        <f>HLOOKUP($J$63,$AJ$70:$AP$75,6)</f>
        <v>0</v>
      </c>
      <c r="AA11" s="2"/>
    </row>
    <row r="12" spans="1:27" x14ac:dyDescent="0.25">
      <c r="A12" s="1"/>
      <c r="B12" s="1"/>
      <c r="C12" s="26" t="s">
        <v>4</v>
      </c>
      <c r="F12" s="26">
        <v>0</v>
      </c>
      <c r="G12" s="54" t="str">
        <f>VLOOKUP(E67,B44:D46,3)</f>
        <v>[kW]</v>
      </c>
      <c r="H12" s="41">
        <f>VLOOKUP(E67,M67:U69,J67+2)</f>
        <v>0</v>
      </c>
      <c r="I12" s="26">
        <v>1</v>
      </c>
      <c r="K12" s="41">
        <f>IF(L67=1,-DEGREES(ACOS(I12)),DEGREES(ACOS(I12)))</f>
        <v>0</v>
      </c>
      <c r="L12" s="1"/>
      <c r="M12" s="1"/>
      <c r="N12" s="2" t="str">
        <f t="shared" si="0"/>
        <v>Belastning 5</v>
      </c>
      <c r="O12" s="31">
        <f>HLOOKUP($J$67,$AA$77:$AG$82,3)</f>
        <v>0</v>
      </c>
      <c r="P12" s="46" t="s">
        <v>43</v>
      </c>
      <c r="Q12" s="32">
        <f>HLOOKUP($J$67,$AJ$77:$AP$82,3)</f>
        <v>0</v>
      </c>
      <c r="R12" s="31">
        <f>HLOOKUP($J$67,$AA$77:$AG$82,4)</f>
        <v>0</v>
      </c>
      <c r="S12" s="46" t="s">
        <v>43</v>
      </c>
      <c r="T12" s="32">
        <f>HLOOKUP($J$67,$AJ$77:$AP$82,4)</f>
        <v>-120</v>
      </c>
      <c r="U12" s="31">
        <f>HLOOKUP($J$67,$AA$77:$AG$82,5)</f>
        <v>0</v>
      </c>
      <c r="V12" s="46" t="s">
        <v>43</v>
      </c>
      <c r="W12" s="32">
        <f>HLOOKUP($J$67,$AJ$77:$AP$82,5)</f>
        <v>120</v>
      </c>
      <c r="X12" s="31">
        <f>HLOOKUP($J$67,$AA$77:$AG$82,6)</f>
        <v>0</v>
      </c>
      <c r="Y12" s="46" t="s">
        <v>43</v>
      </c>
      <c r="Z12" s="33">
        <f>HLOOKUP($J$67,$AJ$77:$AP$82,6)</f>
        <v>0</v>
      </c>
      <c r="AA12" s="2"/>
    </row>
    <row r="13" spans="1:27" x14ac:dyDescent="0.25">
      <c r="A13" s="1"/>
      <c r="B13" s="1"/>
      <c r="C13" s="26" t="s">
        <v>5</v>
      </c>
      <c r="F13" s="26">
        <v>0</v>
      </c>
      <c r="G13" s="54" t="str">
        <f>VLOOKUP(E71,B44:D46,3)</f>
        <v>[kW]</v>
      </c>
      <c r="H13" s="41">
        <f>VLOOKUP(E71,M71:U73,J71+2)</f>
        <v>0</v>
      </c>
      <c r="I13" s="26">
        <v>1</v>
      </c>
      <c r="K13" s="41">
        <f>IF(L71=1,-DEGREES(ACOS(I13)),DEGREES(ACOS(I13)))</f>
        <v>0</v>
      </c>
      <c r="L13" s="1"/>
      <c r="M13" s="1"/>
      <c r="N13" s="2" t="str">
        <f t="shared" si="0"/>
        <v>Belastning 6</v>
      </c>
      <c r="O13" s="31">
        <f>HLOOKUP($J$71,$AA$84:$AG$89,3)</f>
        <v>0</v>
      </c>
      <c r="P13" s="46" t="s">
        <v>43</v>
      </c>
      <c r="Q13" s="32">
        <f>HLOOKUP($J$71,$AJ$84:$AP$89,3)</f>
        <v>0</v>
      </c>
      <c r="R13" s="31">
        <f>HLOOKUP($J$71,$AA$84:$AG$89,4)</f>
        <v>0</v>
      </c>
      <c r="S13" s="46" t="s">
        <v>43</v>
      </c>
      <c r="T13" s="32">
        <f>HLOOKUP($J$71,$AJ$84:$AP$89,4)</f>
        <v>-120</v>
      </c>
      <c r="U13" s="31">
        <f>HLOOKUP($J$71,$AA$84:$AG$89,5)</f>
        <v>0</v>
      </c>
      <c r="V13" s="46" t="s">
        <v>43</v>
      </c>
      <c r="W13" s="32">
        <f>HLOOKUP($J$71,$AJ$84:$AP$89,5)</f>
        <v>120</v>
      </c>
      <c r="X13" s="31">
        <f>HLOOKUP($J$71,$AA$84:$AG$89,6)</f>
        <v>0</v>
      </c>
      <c r="Y13" s="46" t="s">
        <v>43</v>
      </c>
      <c r="Z13" s="33">
        <f>HLOOKUP($J$71,$AJ$84:$AP$89,6)</f>
        <v>0</v>
      </c>
      <c r="AA13" s="2"/>
    </row>
    <row r="14" spans="1:27" x14ac:dyDescent="0.25">
      <c r="A14" s="1"/>
      <c r="B14" s="1"/>
      <c r="C14" s="26" t="s">
        <v>6</v>
      </c>
      <c r="F14" s="26">
        <v>0</v>
      </c>
      <c r="G14" s="54" t="str">
        <f>VLOOKUP(E75,B44:D46,3)</f>
        <v>[kW]</v>
      </c>
      <c r="H14" s="41">
        <f>VLOOKUP(E75,M75:U77,J75+2)</f>
        <v>0</v>
      </c>
      <c r="I14" s="26">
        <v>1</v>
      </c>
      <c r="K14" s="41">
        <f>IF(L75=1,-DEGREES(ACOS(I14)),DEGREES(ACOS(I14)))</f>
        <v>0</v>
      </c>
      <c r="L14" s="1"/>
      <c r="M14" s="1"/>
      <c r="N14" s="2" t="str">
        <f t="shared" si="0"/>
        <v>Belastning 7</v>
      </c>
      <c r="O14" s="31">
        <f>HLOOKUP($J$75,$AA$91:$AG$96,3)</f>
        <v>0</v>
      </c>
      <c r="P14" s="46" t="s">
        <v>43</v>
      </c>
      <c r="Q14" s="32">
        <f>HLOOKUP($J$75,$AJ$91:$AP$96,3)</f>
        <v>0</v>
      </c>
      <c r="R14" s="31">
        <f>HLOOKUP($J$75,$AA$91:$AG$96,4)</f>
        <v>0</v>
      </c>
      <c r="S14" s="46" t="s">
        <v>43</v>
      </c>
      <c r="T14" s="32">
        <f>HLOOKUP($J$75,$AJ$91:$AP$96,4)</f>
        <v>-120</v>
      </c>
      <c r="U14" s="31">
        <f>HLOOKUP($J$75,$AA$91:$AG$96,5)</f>
        <v>0</v>
      </c>
      <c r="V14" s="46" t="s">
        <v>43</v>
      </c>
      <c r="W14" s="32">
        <f>HLOOKUP($J$75,$AJ$91:$AP$96,5)</f>
        <v>120</v>
      </c>
      <c r="X14" s="31">
        <f>HLOOKUP($J$75,$AA$91:$AG$96,6)</f>
        <v>0</v>
      </c>
      <c r="Y14" s="46" t="s">
        <v>43</v>
      </c>
      <c r="Z14" s="33">
        <f>HLOOKUP($J$75,$AJ$91:$AP$96,6)</f>
        <v>0</v>
      </c>
      <c r="AA14" s="2"/>
    </row>
    <row r="15" spans="1:27" x14ac:dyDescent="0.25">
      <c r="A15" s="1"/>
      <c r="B15" s="1"/>
      <c r="C15" s="26" t="s">
        <v>7</v>
      </c>
      <c r="F15" s="26">
        <v>0</v>
      </c>
      <c r="G15" s="54" t="str">
        <f>VLOOKUP(E79,B44:D46,3)</f>
        <v>[kW]</v>
      </c>
      <c r="H15" s="41">
        <f>VLOOKUP(E79,M79:U81,J79+2)</f>
        <v>0</v>
      </c>
      <c r="I15" s="26">
        <v>1</v>
      </c>
      <c r="K15" s="41">
        <f>IF(L79=1,-DEGREES(ACOS(I15)),DEGREES(ACOS(I15)))</f>
        <v>0</v>
      </c>
      <c r="L15" s="1"/>
      <c r="M15" s="1"/>
      <c r="N15" s="2" t="str">
        <f t="shared" si="0"/>
        <v>Belastning 8</v>
      </c>
      <c r="O15" s="31">
        <f>HLOOKUP($J$79,$AA$98:$AG$103,3)</f>
        <v>0</v>
      </c>
      <c r="P15" s="46" t="s">
        <v>43</v>
      </c>
      <c r="Q15" s="32">
        <f>HLOOKUP($J$79,$AJ$98:$AP$103,3)</f>
        <v>0</v>
      </c>
      <c r="R15" s="31">
        <f>HLOOKUP($J$79,$AA$98:$AG$103,4)</f>
        <v>0</v>
      </c>
      <c r="S15" s="46" t="s">
        <v>43</v>
      </c>
      <c r="T15" s="32">
        <f>HLOOKUP($J$79,$AJ$98:$AP$103,4)</f>
        <v>-120</v>
      </c>
      <c r="U15" s="31">
        <f>HLOOKUP($J$79,$AA$98:$AG$103,5)</f>
        <v>0</v>
      </c>
      <c r="V15" s="46" t="s">
        <v>43</v>
      </c>
      <c r="W15" s="32">
        <f>HLOOKUP($J$79,$AJ$98:$AP$103,5)</f>
        <v>120</v>
      </c>
      <c r="X15" s="31">
        <f>HLOOKUP($J$79,$AA$98:$AG$103,6)</f>
        <v>0</v>
      </c>
      <c r="Y15" s="46" t="s">
        <v>43</v>
      </c>
      <c r="Z15" s="33">
        <f>HLOOKUP($J$79,$AJ$98:$AP$103,6)</f>
        <v>0</v>
      </c>
      <c r="AA15" s="2"/>
    </row>
    <row r="16" spans="1:27" x14ac:dyDescent="0.25">
      <c r="A16" s="1"/>
      <c r="B16" s="1"/>
      <c r="C16" s="26" t="s">
        <v>8</v>
      </c>
      <c r="F16" s="26">
        <v>0</v>
      </c>
      <c r="G16" s="54" t="str">
        <f>VLOOKUP(E83,B44:D46,3)</f>
        <v>[kW]</v>
      </c>
      <c r="H16" s="41">
        <f>VLOOKUP(E83,M83:U85,J83+2)</f>
        <v>0</v>
      </c>
      <c r="I16" s="26">
        <v>1</v>
      </c>
      <c r="K16" s="41">
        <f>IF(L83=1,-DEGREES(ACOS(I16)),DEGREES(ACOS(I16)))</f>
        <v>0</v>
      </c>
      <c r="L16" s="1"/>
      <c r="M16" s="1"/>
      <c r="N16" s="2" t="str">
        <f t="shared" si="0"/>
        <v>Belastning 9</v>
      </c>
      <c r="O16" s="31">
        <f>HLOOKUP($J$83,$AA$105:$AG$110,3)</f>
        <v>0</v>
      </c>
      <c r="P16" s="46" t="s">
        <v>43</v>
      </c>
      <c r="Q16" s="32">
        <f>HLOOKUP($J$83,$AJ$105:$AP$110,3)</f>
        <v>0</v>
      </c>
      <c r="R16" s="31">
        <f>HLOOKUP($J$83,$AA$105:$AG$110,4)</f>
        <v>0</v>
      </c>
      <c r="S16" s="46" t="s">
        <v>43</v>
      </c>
      <c r="T16" s="32">
        <f>HLOOKUP($J$83,$AJ$105:$AP$110,4)</f>
        <v>-120</v>
      </c>
      <c r="U16" s="31">
        <f>HLOOKUP($J$83,$AA$105:$AG$110,5)</f>
        <v>0</v>
      </c>
      <c r="V16" s="46" t="s">
        <v>43</v>
      </c>
      <c r="W16" s="32">
        <f>HLOOKUP($J$83,$AJ$105:$AP$110,5)</f>
        <v>120</v>
      </c>
      <c r="X16" s="31">
        <f>HLOOKUP($J$83,$AA$105:$AG$110,6)</f>
        <v>0</v>
      </c>
      <c r="Y16" s="46" t="s">
        <v>43</v>
      </c>
      <c r="Z16" s="33">
        <f>HLOOKUP($J$83,$AJ$105:$AP$110,6)</f>
        <v>0</v>
      </c>
      <c r="AA16" s="2"/>
    </row>
    <row r="17" spans="1:27" x14ac:dyDescent="0.25">
      <c r="A17" s="1"/>
      <c r="B17" s="1"/>
      <c r="C17" s="26" t="s">
        <v>9</v>
      </c>
      <c r="F17" s="26">
        <v>0</v>
      </c>
      <c r="G17" s="54" t="str">
        <f>VLOOKUP(E87,B44:D46,3)</f>
        <v>[kW]</v>
      </c>
      <c r="H17" s="41">
        <f>VLOOKUP(E87,M87:U89,J87+2)</f>
        <v>0</v>
      </c>
      <c r="I17" s="26">
        <v>1</v>
      </c>
      <c r="K17" s="41">
        <f>IF(L87=1,-DEGREES(ACOS(I17)),DEGREES(ACOS(I17)))</f>
        <v>0</v>
      </c>
      <c r="L17" s="1"/>
      <c r="M17" s="1"/>
      <c r="N17" s="2" t="str">
        <f t="shared" si="0"/>
        <v>Belastning 10</v>
      </c>
      <c r="O17" s="31">
        <f>HLOOKUP($J$87,$AA$112:$AG$117,3)</f>
        <v>0</v>
      </c>
      <c r="P17" s="46" t="s">
        <v>43</v>
      </c>
      <c r="Q17" s="32">
        <f>HLOOKUP($J$87,$AJ$112:$AP$117,3)</f>
        <v>0</v>
      </c>
      <c r="R17" s="31">
        <f>HLOOKUP($J$87,$AA$112:$AG$117,4)</f>
        <v>0</v>
      </c>
      <c r="S17" s="46" t="s">
        <v>43</v>
      </c>
      <c r="T17" s="32">
        <f>HLOOKUP($J$87,$AJ$112:$AP$117,4)</f>
        <v>-120</v>
      </c>
      <c r="U17" s="31">
        <f>HLOOKUP($J$87,$AA$112:$AG$117,5)</f>
        <v>0</v>
      </c>
      <c r="V17" s="46" t="s">
        <v>43</v>
      </c>
      <c r="W17" s="32">
        <f>HLOOKUP($J$87,$AJ$112:$AP$117,5)</f>
        <v>120</v>
      </c>
      <c r="X17" s="31">
        <f>HLOOKUP($J$87,$AA$112:$AG$117,6)</f>
        <v>0</v>
      </c>
      <c r="Y17" s="46" t="s">
        <v>43</v>
      </c>
      <c r="Z17" s="33">
        <f>HLOOKUP($J$87,$AJ$112:$AP$117,6)</f>
        <v>0</v>
      </c>
      <c r="AA17" s="2"/>
    </row>
    <row r="18" spans="1:27" x14ac:dyDescent="0.25">
      <c r="A18" s="1"/>
      <c r="B18" s="1"/>
      <c r="C18" s="26" t="s">
        <v>10</v>
      </c>
      <c r="F18" s="26">
        <v>0</v>
      </c>
      <c r="G18" s="54" t="str">
        <f>VLOOKUP(E91,B44:D46,3)</f>
        <v>[kW]</v>
      </c>
      <c r="H18" s="41">
        <f>VLOOKUP(E91,M91:U93,J91+2)</f>
        <v>0</v>
      </c>
      <c r="I18" s="26">
        <v>1</v>
      </c>
      <c r="K18" s="41">
        <f>IF(L91=1,-DEGREES(ACOS(I18)),DEGREES(ACOS(I18)))</f>
        <v>0</v>
      </c>
      <c r="L18" s="1"/>
      <c r="M18" s="1"/>
      <c r="N18" s="2" t="str">
        <f t="shared" si="0"/>
        <v>Belastning 11</v>
      </c>
      <c r="O18" s="31">
        <f>HLOOKUP($J$91,$AA$119:$AG$124,3)</f>
        <v>0</v>
      </c>
      <c r="P18" s="46" t="s">
        <v>43</v>
      </c>
      <c r="Q18" s="32">
        <f>HLOOKUP($J$91,$AJ$119:$AP$124,3)</f>
        <v>0</v>
      </c>
      <c r="R18" s="31">
        <f>HLOOKUP($J$91,$AA$119:$AG$124,4)</f>
        <v>0</v>
      </c>
      <c r="S18" s="46" t="s">
        <v>43</v>
      </c>
      <c r="T18" s="32">
        <f>HLOOKUP($J$91,$AJ$119:$AP$124,4)</f>
        <v>-120</v>
      </c>
      <c r="U18" s="31">
        <f>HLOOKUP($J$91,$AA$119:$AG$124,5)</f>
        <v>0</v>
      </c>
      <c r="V18" s="46" t="s">
        <v>43</v>
      </c>
      <c r="W18" s="32">
        <f>HLOOKUP($J$91,$AJ$119:$AP$124,5)</f>
        <v>120</v>
      </c>
      <c r="X18" s="31">
        <f>HLOOKUP($J$91,$AA$119:$AG$124,6)</f>
        <v>0</v>
      </c>
      <c r="Y18" s="46" t="s">
        <v>43</v>
      </c>
      <c r="Z18" s="33">
        <f>HLOOKUP($J$91,$AJ$119:$AP$124,6)</f>
        <v>0</v>
      </c>
      <c r="AA18" s="2"/>
    </row>
    <row r="19" spans="1:27" x14ac:dyDescent="0.25">
      <c r="A19" s="1"/>
      <c r="B19" s="1"/>
      <c r="C19" s="26" t="s">
        <v>11</v>
      </c>
      <c r="F19" s="26">
        <v>0</v>
      </c>
      <c r="G19" s="54" t="str">
        <f>VLOOKUP(E95,B44:D46,3)</f>
        <v>[kW]</v>
      </c>
      <c r="H19" s="41">
        <f>VLOOKUP(E95,M95:U97,J95+2)</f>
        <v>0</v>
      </c>
      <c r="I19" s="26">
        <v>1</v>
      </c>
      <c r="K19" s="41">
        <f>IF(L95=1,-DEGREES(ACOS(I19)),DEGREES(ACOS(I19)))</f>
        <v>0</v>
      </c>
      <c r="L19" s="1"/>
      <c r="M19" s="1"/>
      <c r="N19" s="2" t="str">
        <f t="shared" si="0"/>
        <v>Belastning 12</v>
      </c>
      <c r="O19" s="31">
        <f>HLOOKUP($J$95,$AA$126:$AG$131,3)</f>
        <v>0</v>
      </c>
      <c r="P19" s="46" t="s">
        <v>43</v>
      </c>
      <c r="Q19" s="32">
        <f>HLOOKUP($J$95,$AJ$126:$AP$131,3)</f>
        <v>0</v>
      </c>
      <c r="R19" s="31">
        <f>HLOOKUP($J$95,$AA$126:$AG$131,4)</f>
        <v>0</v>
      </c>
      <c r="S19" s="46" t="s">
        <v>43</v>
      </c>
      <c r="T19" s="32">
        <f>HLOOKUP($J$95,$AJ$126:$AP$131,4)</f>
        <v>-120</v>
      </c>
      <c r="U19" s="31">
        <f>HLOOKUP($J$95,$AA$126:$AG$131,5)</f>
        <v>0</v>
      </c>
      <c r="V19" s="46" t="s">
        <v>43</v>
      </c>
      <c r="W19" s="32">
        <f>HLOOKUP($J$95,$AJ$126:$AP$131,5)</f>
        <v>120</v>
      </c>
      <c r="X19" s="31">
        <f>HLOOKUP($J$95,$AA$126:$AG$131,6)</f>
        <v>0</v>
      </c>
      <c r="Y19" s="46" t="s">
        <v>43</v>
      </c>
      <c r="Z19" s="33">
        <f>HLOOKUP($J$95,$AJ$126:$AP$131,6)</f>
        <v>0</v>
      </c>
      <c r="AA19" s="2"/>
    </row>
    <row r="20" spans="1:27" x14ac:dyDescent="0.25">
      <c r="A20" s="1"/>
      <c r="B20" s="1"/>
      <c r="C20" s="26" t="s">
        <v>12</v>
      </c>
      <c r="F20" s="26">
        <v>0</v>
      </c>
      <c r="G20" s="54" t="str">
        <f>VLOOKUP(E99,B44:D46,3)</f>
        <v>[kW]</v>
      </c>
      <c r="H20" s="41">
        <f>VLOOKUP(E99,M99:U101,J99+2)</f>
        <v>0</v>
      </c>
      <c r="I20" s="26">
        <v>1</v>
      </c>
      <c r="K20" s="41">
        <f>IF(L99=1,-DEGREES(ACOS(I20)),DEGREES(ACOS(I20)))</f>
        <v>0</v>
      </c>
      <c r="L20" s="1"/>
      <c r="M20" s="1"/>
      <c r="N20" s="2" t="str">
        <f t="shared" si="0"/>
        <v>Belastning 13</v>
      </c>
      <c r="O20" s="31">
        <f>HLOOKUP($J$99,$AA$133:$AG$138,3)</f>
        <v>0</v>
      </c>
      <c r="P20" s="46" t="s">
        <v>43</v>
      </c>
      <c r="Q20" s="32">
        <f>HLOOKUP($J$99,$AJ$133:$AP$138,3)</f>
        <v>0</v>
      </c>
      <c r="R20" s="31">
        <f>HLOOKUP($J$99,$AA$133:$AG$138,4)</f>
        <v>0</v>
      </c>
      <c r="S20" s="46" t="s">
        <v>43</v>
      </c>
      <c r="T20" s="32">
        <f>HLOOKUP($J$99,$AJ$133:$AP$138,4)</f>
        <v>-120</v>
      </c>
      <c r="U20" s="31">
        <f>HLOOKUP($J$99,$AA$133:$AG$138,5)</f>
        <v>0</v>
      </c>
      <c r="V20" s="46" t="s">
        <v>43</v>
      </c>
      <c r="W20" s="32">
        <f>HLOOKUP($J$99,$AJ$133:$AP$138,5)</f>
        <v>120</v>
      </c>
      <c r="X20" s="31">
        <f>HLOOKUP($J$99,$AA$133:$AG$138,6)</f>
        <v>0</v>
      </c>
      <c r="Y20" s="46" t="s">
        <v>43</v>
      </c>
      <c r="Z20" s="33">
        <f>HLOOKUP($J$99,$AJ$133:$AP$138,6)</f>
        <v>0</v>
      </c>
      <c r="AA20" s="2"/>
    </row>
    <row r="21" spans="1:27" x14ac:dyDescent="0.25">
      <c r="A21" s="1"/>
      <c r="B21" s="1"/>
      <c r="C21" s="26" t="s">
        <v>13</v>
      </c>
      <c r="F21" s="26">
        <v>0</v>
      </c>
      <c r="G21" s="54" t="str">
        <f>VLOOKUP(E103,B44:D46,3)</f>
        <v>[kW]</v>
      </c>
      <c r="H21" s="41">
        <f>VLOOKUP(E103,M103:U105,J103+2)</f>
        <v>0</v>
      </c>
      <c r="I21" s="26">
        <v>1</v>
      </c>
      <c r="K21" s="41">
        <f>IF(L103=1,-DEGREES(ACOS(I21)),DEGREES(ACOS(I21)))</f>
        <v>0</v>
      </c>
      <c r="L21" s="1"/>
      <c r="M21" s="1"/>
      <c r="N21" s="2" t="str">
        <f t="shared" si="0"/>
        <v>Belastning 14</v>
      </c>
      <c r="O21" s="31">
        <f>HLOOKUP($J$103,$AA$140:$AG$145,3)</f>
        <v>0</v>
      </c>
      <c r="P21" s="46" t="s">
        <v>43</v>
      </c>
      <c r="Q21" s="32">
        <f>HLOOKUP($J$103,$AJ$140:$AP$145,3)</f>
        <v>0</v>
      </c>
      <c r="R21" s="31">
        <f>HLOOKUP($J$103,$AA$140:$AG$145,4)</f>
        <v>0</v>
      </c>
      <c r="S21" s="46" t="s">
        <v>43</v>
      </c>
      <c r="T21" s="32">
        <f>HLOOKUP($J$103,$AJ$140:$AP$145,4)</f>
        <v>-120</v>
      </c>
      <c r="U21" s="31">
        <f>HLOOKUP($J$103,$AA$140:$AG$145,5)</f>
        <v>0</v>
      </c>
      <c r="V21" s="46" t="s">
        <v>43</v>
      </c>
      <c r="W21" s="32">
        <f>HLOOKUP($J$103,$AJ$140:$AP$145,5)</f>
        <v>120</v>
      </c>
      <c r="X21" s="31">
        <f>HLOOKUP($J$103,$AA$140:$AG$145,6)</f>
        <v>0</v>
      </c>
      <c r="Y21" s="46" t="s">
        <v>43</v>
      </c>
      <c r="Z21" s="33">
        <f>HLOOKUP($J$103,$AJ$140:$AP$145,6)</f>
        <v>0</v>
      </c>
    </row>
    <row r="22" spans="1:27" x14ac:dyDescent="0.25">
      <c r="A22" s="1"/>
      <c r="B22" s="1"/>
      <c r="C22" s="26" t="s">
        <v>14</v>
      </c>
      <c r="F22" s="26">
        <v>0</v>
      </c>
      <c r="G22" s="54" t="str">
        <f>VLOOKUP(E107,B44:D46,3)</f>
        <v>[kW]</v>
      </c>
      <c r="H22" s="41">
        <f>VLOOKUP(E107,M107:U109,J107+2)</f>
        <v>0</v>
      </c>
      <c r="I22" s="26">
        <v>1</v>
      </c>
      <c r="K22" s="41">
        <f>IF(L107=1,-DEGREES(ACOS(I22)),DEGREES(ACOS(I22)))</f>
        <v>0</v>
      </c>
      <c r="L22" s="1"/>
      <c r="M22" s="1"/>
      <c r="N22" s="2" t="str">
        <f t="shared" si="0"/>
        <v>Belastning 15</v>
      </c>
      <c r="O22" s="31">
        <f>HLOOKUP($J$107,$AA$147:$AG$152,3)</f>
        <v>0</v>
      </c>
      <c r="P22" s="46" t="s">
        <v>43</v>
      </c>
      <c r="Q22" s="32">
        <f>HLOOKUP($J$107,$AJ$147:$AP$152,3)</f>
        <v>0</v>
      </c>
      <c r="R22" s="31">
        <f>HLOOKUP($J$107,$AA$147:$AG$152,4)</f>
        <v>0</v>
      </c>
      <c r="S22" s="46" t="s">
        <v>43</v>
      </c>
      <c r="T22" s="32">
        <f>HLOOKUP($J$107,$AJ$147:$AP$152,4)</f>
        <v>-120</v>
      </c>
      <c r="U22" s="31">
        <f>HLOOKUP($J$107,$AA$147:$AG$152,5)</f>
        <v>0</v>
      </c>
      <c r="V22" s="46" t="s">
        <v>43</v>
      </c>
      <c r="W22" s="32">
        <f>HLOOKUP($J$107,$AJ$147:$AP$152,5)</f>
        <v>120</v>
      </c>
      <c r="X22" s="31">
        <f>HLOOKUP($J$107,$AA$147:$AG$152,6)</f>
        <v>0</v>
      </c>
      <c r="Y22" s="46" t="s">
        <v>43</v>
      </c>
      <c r="Z22" s="33">
        <f>HLOOKUP($J$107,$AJ$147:$AP$152,6)</f>
        <v>0</v>
      </c>
    </row>
    <row r="23" spans="1:27" ht="18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37" t="s">
        <v>86</v>
      </c>
      <c r="O23" s="38">
        <f>SQRT(E128^2+F128^2)</f>
        <v>0</v>
      </c>
      <c r="P23" s="47" t="s">
        <v>43</v>
      </c>
      <c r="Q23" s="39">
        <f>IFERROR(DEGREES(ATAN(F128/E128)),0)</f>
        <v>0</v>
      </c>
      <c r="R23" s="38">
        <f>SQRT(G128^2+H128^2)</f>
        <v>0</v>
      </c>
      <c r="S23" s="47" t="s">
        <v>43</v>
      </c>
      <c r="T23" s="39">
        <f>IFERROR(-DEGREES(ATAN(G128/H128))-90,0)</f>
        <v>0</v>
      </c>
      <c r="U23" s="38">
        <f>SQRT(I128^2+J128^2)</f>
        <v>0</v>
      </c>
      <c r="V23" s="47" t="s">
        <v>43</v>
      </c>
      <c r="W23" s="39">
        <f>IFERROR(-DEGREES(ATAN(I128/J128))+90,0)</f>
        <v>0</v>
      </c>
      <c r="X23" s="40">
        <f>IMABS(COMPLEX(C134+F134+I134,C135+F135+I135))</f>
        <v>0</v>
      </c>
      <c r="Y23" s="47" t="s">
        <v>43</v>
      </c>
      <c r="Z23" s="39">
        <f>IFERROR(DEGREES(IMARGUMENT(IMSUM(L135)))+180,0)</f>
        <v>0</v>
      </c>
    </row>
    <row r="24" spans="1:27" ht="18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37" t="s">
        <v>88</v>
      </c>
      <c r="O24" s="38">
        <f>O23*Q3*T3</f>
        <v>0</v>
      </c>
      <c r="P24" s="47" t="s">
        <v>43</v>
      </c>
      <c r="Q24" s="39">
        <f>Q23</f>
        <v>0</v>
      </c>
      <c r="R24" s="38">
        <f>R23*Q3*T3</f>
        <v>0</v>
      </c>
      <c r="S24" s="47" t="s">
        <v>43</v>
      </c>
      <c r="T24" s="39">
        <f>T23</f>
        <v>0</v>
      </c>
      <c r="U24" s="38">
        <f>U23*Q3*T3</f>
        <v>0</v>
      </c>
      <c r="V24" s="47" t="s">
        <v>43</v>
      </c>
      <c r="W24" s="39">
        <f>W23</f>
        <v>0</v>
      </c>
      <c r="X24" s="40">
        <f>(X23)*Q3*T3</f>
        <v>0</v>
      </c>
      <c r="Y24" s="47" t="s">
        <v>43</v>
      </c>
      <c r="Z24" s="39">
        <f>Z23</f>
        <v>0</v>
      </c>
    </row>
    <row r="25" spans="1:27" ht="18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37" t="s">
        <v>87</v>
      </c>
      <c r="O25" s="38">
        <f>O24</f>
        <v>0</v>
      </c>
      <c r="P25" s="47" t="s">
        <v>43</v>
      </c>
      <c r="Q25" s="39">
        <f>Q23</f>
        <v>0</v>
      </c>
      <c r="R25" s="38">
        <f>R24</f>
        <v>0</v>
      </c>
      <c r="S25" s="47" t="s">
        <v>43</v>
      </c>
      <c r="T25" s="39">
        <f>T24+120</f>
        <v>120</v>
      </c>
      <c r="U25" s="38">
        <f>U24</f>
        <v>0</v>
      </c>
      <c r="V25" s="47" t="s">
        <v>43</v>
      </c>
      <c r="W25" s="39">
        <f>W24-120</f>
        <v>-120</v>
      </c>
      <c r="X25" s="40">
        <f>(X24)</f>
        <v>0</v>
      </c>
      <c r="Y25" s="47" t="s">
        <v>43</v>
      </c>
      <c r="Z25" s="39">
        <f>Z24</f>
        <v>0</v>
      </c>
    </row>
    <row r="26" spans="1:2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49" t="s">
        <v>69</v>
      </c>
      <c r="O26" s="50">
        <f>IFERROR(((I5/3)/O24)*100,0)</f>
        <v>0</v>
      </c>
      <c r="P26" s="51" t="s">
        <v>68</v>
      </c>
      <c r="Q26" s="52"/>
      <c r="R26" s="50">
        <f>IFERROR(((I5/3)/R24)*100,0)</f>
        <v>0</v>
      </c>
      <c r="S26" s="51" t="s">
        <v>68</v>
      </c>
      <c r="T26" s="52"/>
      <c r="U26" s="50">
        <f>IFERROR(((I5/3)/U24)*100,0)</f>
        <v>0</v>
      </c>
      <c r="V26" s="51" t="s">
        <v>68</v>
      </c>
      <c r="W26" s="52"/>
      <c r="X26" s="40"/>
      <c r="Y26" s="51"/>
      <c r="Z26" s="52"/>
    </row>
    <row r="27" spans="1:2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53" t="s">
        <v>70</v>
      </c>
      <c r="L27" s="1"/>
      <c r="M27" s="1"/>
    </row>
    <row r="39" spans="2:28" x14ac:dyDescent="0.25">
      <c r="I39">
        <v>1</v>
      </c>
      <c r="J39" t="s">
        <v>22</v>
      </c>
    </row>
    <row r="40" spans="2:28" x14ac:dyDescent="0.25">
      <c r="I40">
        <v>2</v>
      </c>
      <c r="J40" t="s">
        <v>23</v>
      </c>
    </row>
    <row r="41" spans="2:28" x14ac:dyDescent="0.25">
      <c r="I41">
        <v>3</v>
      </c>
      <c r="J41" t="s">
        <v>24</v>
      </c>
    </row>
    <row r="42" spans="2:28" x14ac:dyDescent="0.25">
      <c r="I42">
        <v>4</v>
      </c>
      <c r="J42" t="s">
        <v>25</v>
      </c>
      <c r="Z42" s="4"/>
      <c r="AA42" s="5"/>
    </row>
    <row r="43" spans="2:28" x14ac:dyDescent="0.25">
      <c r="I43">
        <v>5</v>
      </c>
      <c r="J43" t="s">
        <v>26</v>
      </c>
      <c r="Z43" s="2"/>
      <c r="AA43" t="s">
        <v>67</v>
      </c>
    </row>
    <row r="44" spans="2:28" x14ac:dyDescent="0.25">
      <c r="B44">
        <v>1</v>
      </c>
      <c r="C44" t="s">
        <v>15</v>
      </c>
      <c r="D44" t="s">
        <v>60</v>
      </c>
      <c r="I44">
        <v>6</v>
      </c>
      <c r="J44" t="s">
        <v>27</v>
      </c>
      <c r="L44" t="s">
        <v>90</v>
      </c>
      <c r="Y44">
        <v>1</v>
      </c>
      <c r="Z44" s="2" t="s">
        <v>50</v>
      </c>
      <c r="AB44" t="s">
        <v>68</v>
      </c>
    </row>
    <row r="45" spans="2:28" x14ac:dyDescent="0.25">
      <c r="B45">
        <v>2</v>
      </c>
      <c r="C45" t="s">
        <v>16</v>
      </c>
      <c r="D45" t="s">
        <v>61</v>
      </c>
      <c r="I45">
        <v>7</v>
      </c>
      <c r="J45" t="s">
        <v>28</v>
      </c>
      <c r="L45" t="s">
        <v>91</v>
      </c>
      <c r="Y45">
        <v>2</v>
      </c>
      <c r="Z45" s="2" t="s">
        <v>51</v>
      </c>
      <c r="AB45" t="s">
        <v>68</v>
      </c>
    </row>
    <row r="46" spans="2:28" x14ac:dyDescent="0.25">
      <c r="B46">
        <v>3</v>
      </c>
      <c r="C46" t="s">
        <v>17</v>
      </c>
      <c r="D46" t="s">
        <v>62</v>
      </c>
      <c r="Y46">
        <v>3</v>
      </c>
      <c r="Z46" s="2" t="s">
        <v>52</v>
      </c>
      <c r="AB46" t="s">
        <v>68</v>
      </c>
    </row>
    <row r="47" spans="2:28" x14ac:dyDescent="0.25">
      <c r="Y47">
        <v>4</v>
      </c>
      <c r="Z47" s="13" t="s">
        <v>42</v>
      </c>
      <c r="AA47" s="19"/>
    </row>
    <row r="49" spans="3:42" x14ac:dyDescent="0.25">
      <c r="E49" t="s">
        <v>18</v>
      </c>
      <c r="Z49" s="4"/>
      <c r="AA49" s="5">
        <v>1</v>
      </c>
      <c r="AB49" s="5">
        <v>2</v>
      </c>
      <c r="AC49" s="5">
        <v>3</v>
      </c>
      <c r="AD49" s="5">
        <v>4</v>
      </c>
      <c r="AE49" s="5">
        <v>5</v>
      </c>
      <c r="AF49" s="5">
        <v>6</v>
      </c>
      <c r="AG49" s="6">
        <v>7</v>
      </c>
      <c r="AI49" s="4"/>
      <c r="AJ49" s="5">
        <v>1</v>
      </c>
      <c r="AK49" s="5">
        <v>2</v>
      </c>
      <c r="AL49" s="5">
        <v>3</v>
      </c>
      <c r="AM49" s="5">
        <v>4</v>
      </c>
      <c r="AN49" s="5">
        <v>5</v>
      </c>
      <c r="AO49" s="5">
        <v>6</v>
      </c>
      <c r="AP49" s="6">
        <v>7</v>
      </c>
    </row>
    <row r="50" spans="3:42" x14ac:dyDescent="0.25">
      <c r="O50" t="s">
        <v>32</v>
      </c>
      <c r="P50" t="s">
        <v>34</v>
      </c>
      <c r="Q50" t="s">
        <v>35</v>
      </c>
      <c r="R50" t="s">
        <v>36</v>
      </c>
      <c r="S50" t="s">
        <v>37</v>
      </c>
      <c r="T50" t="s">
        <v>38</v>
      </c>
      <c r="U50" t="s">
        <v>39</v>
      </c>
      <c r="Z50" s="2"/>
      <c r="AA50" t="s">
        <v>32</v>
      </c>
      <c r="AB50" t="s">
        <v>34</v>
      </c>
      <c r="AC50" t="s">
        <v>35</v>
      </c>
      <c r="AD50" t="s">
        <v>36</v>
      </c>
      <c r="AE50" t="s">
        <v>37</v>
      </c>
      <c r="AF50" t="s">
        <v>38</v>
      </c>
      <c r="AG50" s="3" t="s">
        <v>39</v>
      </c>
      <c r="AI50" s="29" t="s">
        <v>55</v>
      </c>
      <c r="AJ50" t="s">
        <v>32</v>
      </c>
      <c r="AK50" t="s">
        <v>34</v>
      </c>
      <c r="AL50" t="s">
        <v>35</v>
      </c>
      <c r="AM50" t="s">
        <v>36</v>
      </c>
      <c r="AN50" t="s">
        <v>37</v>
      </c>
      <c r="AO50" t="s">
        <v>38</v>
      </c>
      <c r="AP50" s="3" t="s">
        <v>39</v>
      </c>
    </row>
    <row r="51" spans="3:42" x14ac:dyDescent="0.25">
      <c r="C51" t="s">
        <v>0</v>
      </c>
      <c r="E51">
        <v>1</v>
      </c>
      <c r="J51">
        <v>1</v>
      </c>
      <c r="L51">
        <v>1</v>
      </c>
      <c r="M51">
        <v>1</v>
      </c>
      <c r="N51" t="s">
        <v>29</v>
      </c>
      <c r="O51">
        <f>(F8*1000)/($D$5*SQRT(3)*I8)</f>
        <v>0</v>
      </c>
      <c r="P51">
        <f>($F$8*1000)/(($D$5/SQRT(3))*$I$8)</f>
        <v>0</v>
      </c>
      <c r="Q51">
        <f>P51</f>
        <v>0</v>
      </c>
      <c r="R51">
        <f>P51</f>
        <v>0</v>
      </c>
      <c r="S51">
        <f>($F$8*1000)/($D$5*$I$8)</f>
        <v>0</v>
      </c>
      <c r="T51">
        <f>S51</f>
        <v>0</v>
      </c>
      <c r="U51">
        <f>S51</f>
        <v>0</v>
      </c>
      <c r="Z51" s="2" t="s">
        <v>50</v>
      </c>
      <c r="AA51" s="17">
        <f>H8</f>
        <v>0</v>
      </c>
      <c r="AB51" s="17">
        <f>AA51</f>
        <v>0</v>
      </c>
      <c r="AC51">
        <v>0</v>
      </c>
      <c r="AD51">
        <v>0</v>
      </c>
      <c r="AE51" s="17">
        <f>AA51</f>
        <v>0</v>
      </c>
      <c r="AF51">
        <v>0</v>
      </c>
      <c r="AG51" s="18">
        <f>AA51</f>
        <v>0</v>
      </c>
      <c r="AI51" s="2" t="s">
        <v>50</v>
      </c>
      <c r="AJ51" s="17">
        <f>K8</f>
        <v>0</v>
      </c>
      <c r="AK51" s="17">
        <f>AJ51</f>
        <v>0</v>
      </c>
      <c r="AL51">
        <v>0</v>
      </c>
      <c r="AM51">
        <v>0</v>
      </c>
      <c r="AN51" s="17">
        <f>AJ51+30</f>
        <v>30</v>
      </c>
      <c r="AO51">
        <v>0</v>
      </c>
      <c r="AP51" s="18">
        <f>AJ51-30</f>
        <v>-30</v>
      </c>
    </row>
    <row r="52" spans="3:42" x14ac:dyDescent="0.25">
      <c r="M52">
        <v>2</v>
      </c>
      <c r="N52" t="s">
        <v>30</v>
      </c>
      <c r="O52">
        <f>(F8*1000)/($D$5*SQRT(3))</f>
        <v>0</v>
      </c>
      <c r="P52">
        <f>($F$8*1000)/(($D$5/SQRT(3)))</f>
        <v>0</v>
      </c>
      <c r="Q52">
        <f>P52</f>
        <v>0</v>
      </c>
      <c r="R52">
        <f>P52</f>
        <v>0</v>
      </c>
      <c r="S52">
        <f>($F$8*1000)/($D$5)</f>
        <v>0</v>
      </c>
      <c r="T52">
        <f>S52</f>
        <v>0</v>
      </c>
      <c r="U52">
        <f>S52</f>
        <v>0</v>
      </c>
      <c r="Y52">
        <v>1</v>
      </c>
      <c r="Z52" s="2" t="s">
        <v>51</v>
      </c>
      <c r="AA52" s="17">
        <f>AA51</f>
        <v>0</v>
      </c>
      <c r="AB52">
        <v>0</v>
      </c>
      <c r="AC52" s="17">
        <f>AA51</f>
        <v>0</v>
      </c>
      <c r="AD52">
        <v>0</v>
      </c>
      <c r="AE52" s="17">
        <f>AA51</f>
        <v>0</v>
      </c>
      <c r="AF52" s="17">
        <f>AA51</f>
        <v>0</v>
      </c>
      <c r="AG52" s="3">
        <v>0</v>
      </c>
      <c r="AI52" s="2" t="s">
        <v>51</v>
      </c>
      <c r="AJ52" s="17">
        <f>AJ51-120</f>
        <v>-120</v>
      </c>
      <c r="AK52">
        <v>0</v>
      </c>
      <c r="AL52" s="17">
        <f>AJ51-120</f>
        <v>-120</v>
      </c>
      <c r="AM52">
        <v>0</v>
      </c>
      <c r="AN52" s="17">
        <f>AJ51-150</f>
        <v>-150</v>
      </c>
      <c r="AO52" s="17">
        <f>AJ51-90</f>
        <v>-90</v>
      </c>
      <c r="AP52" s="3">
        <v>0</v>
      </c>
    </row>
    <row r="53" spans="3:42" x14ac:dyDescent="0.25">
      <c r="M53">
        <v>3</v>
      </c>
      <c r="N53" t="s">
        <v>31</v>
      </c>
      <c r="O53">
        <f>F8</f>
        <v>0</v>
      </c>
      <c r="P53">
        <f t="shared" ref="P53:U53" si="1">$F$8</f>
        <v>0</v>
      </c>
      <c r="Q53">
        <f t="shared" si="1"/>
        <v>0</v>
      </c>
      <c r="R53">
        <f t="shared" si="1"/>
        <v>0</v>
      </c>
      <c r="S53">
        <f t="shared" si="1"/>
        <v>0</v>
      </c>
      <c r="T53">
        <f t="shared" si="1"/>
        <v>0</v>
      </c>
      <c r="U53">
        <f t="shared" si="1"/>
        <v>0</v>
      </c>
      <c r="Z53" s="2" t="s">
        <v>52</v>
      </c>
      <c r="AA53" s="17">
        <f>AA51</f>
        <v>0</v>
      </c>
      <c r="AB53">
        <v>0</v>
      </c>
      <c r="AC53">
        <v>0</v>
      </c>
      <c r="AD53" s="17">
        <f>AA51</f>
        <v>0</v>
      </c>
      <c r="AE53">
        <v>0</v>
      </c>
      <c r="AF53" s="17">
        <f>AA51</f>
        <v>0</v>
      </c>
      <c r="AG53" s="18">
        <f>AA51</f>
        <v>0</v>
      </c>
      <c r="AI53" s="2" t="s">
        <v>52</v>
      </c>
      <c r="AJ53" s="17">
        <f>AJ51+120</f>
        <v>120</v>
      </c>
      <c r="AK53">
        <v>0</v>
      </c>
      <c r="AL53">
        <v>0</v>
      </c>
      <c r="AM53" s="17">
        <f>AJ51+120</f>
        <v>120</v>
      </c>
      <c r="AN53">
        <v>0</v>
      </c>
      <c r="AO53" s="17">
        <f>AJ51+90</f>
        <v>90</v>
      </c>
      <c r="AP53" s="18">
        <f>AJ51+150</f>
        <v>150</v>
      </c>
    </row>
    <row r="54" spans="3:42" x14ac:dyDescent="0.25">
      <c r="Z54" s="13" t="s">
        <v>42</v>
      </c>
      <c r="AA54" s="19">
        <v>0</v>
      </c>
      <c r="AB54" s="20">
        <f>AA51</f>
        <v>0</v>
      </c>
      <c r="AC54" s="20">
        <f>AA51</f>
        <v>0</v>
      </c>
      <c r="AD54" s="20">
        <f>AA51</f>
        <v>0</v>
      </c>
      <c r="AE54" s="19">
        <v>0</v>
      </c>
      <c r="AF54" s="19">
        <v>0</v>
      </c>
      <c r="AG54" s="14">
        <v>0</v>
      </c>
      <c r="AI54" s="13" t="s">
        <v>42</v>
      </c>
      <c r="AJ54" s="19">
        <v>0</v>
      </c>
      <c r="AK54" s="20">
        <f>AJ51+180</f>
        <v>180</v>
      </c>
      <c r="AL54" s="20">
        <f>AJ51+180-120</f>
        <v>60</v>
      </c>
      <c r="AM54" s="20">
        <f>AJ51-180+120</f>
        <v>-60</v>
      </c>
      <c r="AN54" s="19">
        <v>0</v>
      </c>
      <c r="AO54" s="19">
        <v>0</v>
      </c>
      <c r="AP54" s="14">
        <v>0</v>
      </c>
    </row>
    <row r="55" spans="3:42" x14ac:dyDescent="0.25">
      <c r="C55" t="s">
        <v>1</v>
      </c>
      <c r="E55">
        <v>1</v>
      </c>
      <c r="J55">
        <v>1</v>
      </c>
      <c r="L55">
        <v>1</v>
      </c>
      <c r="M55">
        <v>1</v>
      </c>
      <c r="N55" t="s">
        <v>29</v>
      </c>
      <c r="O55">
        <f>($F$9*1000)/($D$5*SQRT(3)*$I$9)</f>
        <v>0</v>
      </c>
      <c r="P55">
        <f>($F$9*1000)/(($D$5/SQRT(3))*$I$9)</f>
        <v>0</v>
      </c>
      <c r="Q55">
        <f>P55</f>
        <v>0</v>
      </c>
      <c r="R55">
        <f>P55</f>
        <v>0</v>
      </c>
      <c r="S55">
        <f>($F$9*1000)/($D$5*$I$9)</f>
        <v>0</v>
      </c>
      <c r="T55">
        <f>S55</f>
        <v>0</v>
      </c>
      <c r="U55">
        <f>S55</f>
        <v>0</v>
      </c>
    </row>
    <row r="56" spans="3:42" x14ac:dyDescent="0.25">
      <c r="M56">
        <v>2</v>
      </c>
      <c r="N56" t="s">
        <v>30</v>
      </c>
      <c r="O56">
        <f>($F$9*1000)/($D$5*SQRT(3))</f>
        <v>0</v>
      </c>
      <c r="P56">
        <f>($F$9*1000)/(($D$5/SQRT(3)))</f>
        <v>0</v>
      </c>
      <c r="Q56">
        <f>P56</f>
        <v>0</v>
      </c>
      <c r="R56">
        <f>P56</f>
        <v>0</v>
      </c>
      <c r="S56">
        <f>($F$9*1000)/($D$5)</f>
        <v>0</v>
      </c>
      <c r="T56">
        <f>S56</f>
        <v>0</v>
      </c>
      <c r="U56">
        <f>S56</f>
        <v>0</v>
      </c>
      <c r="Z56" s="4"/>
      <c r="AA56" s="5">
        <v>1</v>
      </c>
      <c r="AB56" s="5">
        <v>2</v>
      </c>
      <c r="AC56" s="5">
        <v>3</v>
      </c>
      <c r="AD56" s="5">
        <v>4</v>
      </c>
      <c r="AE56" s="5">
        <v>5</v>
      </c>
      <c r="AF56" s="5">
        <v>6</v>
      </c>
      <c r="AG56" s="6">
        <v>7</v>
      </c>
      <c r="AI56" s="4"/>
      <c r="AJ56" s="5">
        <v>1</v>
      </c>
      <c r="AK56" s="5">
        <v>2</v>
      </c>
      <c r="AL56" s="5">
        <v>3</v>
      </c>
      <c r="AM56" s="5">
        <v>4</v>
      </c>
      <c r="AN56" s="5">
        <v>5</v>
      </c>
      <c r="AO56" s="5">
        <v>6</v>
      </c>
      <c r="AP56" s="6">
        <v>7</v>
      </c>
    </row>
    <row r="57" spans="3:42" x14ac:dyDescent="0.25">
      <c r="M57">
        <v>3</v>
      </c>
      <c r="N57" t="s">
        <v>31</v>
      </c>
      <c r="O57">
        <f>$F$9</f>
        <v>0</v>
      </c>
      <c r="P57">
        <f>O57</f>
        <v>0</v>
      </c>
      <c r="Q57">
        <f>O57</f>
        <v>0</v>
      </c>
      <c r="R57">
        <f>O57</f>
        <v>0</v>
      </c>
      <c r="S57">
        <f>O57</f>
        <v>0</v>
      </c>
      <c r="T57">
        <f>O57</f>
        <v>0</v>
      </c>
      <c r="U57">
        <f>O57</f>
        <v>0</v>
      </c>
      <c r="Z57" s="2"/>
      <c r="AA57" t="s">
        <v>32</v>
      </c>
      <c r="AB57" t="s">
        <v>34</v>
      </c>
      <c r="AC57" t="s">
        <v>35</v>
      </c>
      <c r="AD57" t="s">
        <v>36</v>
      </c>
      <c r="AE57" t="s">
        <v>37</v>
      </c>
      <c r="AF57" t="s">
        <v>38</v>
      </c>
      <c r="AG57" s="3" t="s">
        <v>39</v>
      </c>
      <c r="AI57" s="29" t="s">
        <v>55</v>
      </c>
      <c r="AJ57" t="s">
        <v>32</v>
      </c>
      <c r="AK57" t="s">
        <v>34</v>
      </c>
      <c r="AL57" t="s">
        <v>35</v>
      </c>
      <c r="AM57" t="s">
        <v>36</v>
      </c>
      <c r="AN57" t="s">
        <v>37</v>
      </c>
      <c r="AO57" t="s">
        <v>38</v>
      </c>
      <c r="AP57" s="3" t="s">
        <v>39</v>
      </c>
    </row>
    <row r="58" spans="3:42" x14ac:dyDescent="0.25">
      <c r="Z58" s="2" t="s">
        <v>50</v>
      </c>
      <c r="AA58" s="17">
        <f>H9</f>
        <v>0</v>
      </c>
      <c r="AB58" s="17">
        <f>AA58</f>
        <v>0</v>
      </c>
      <c r="AC58">
        <v>0</v>
      </c>
      <c r="AD58">
        <v>0</v>
      </c>
      <c r="AE58" s="17">
        <f>AA58</f>
        <v>0</v>
      </c>
      <c r="AF58">
        <v>0</v>
      </c>
      <c r="AG58" s="18">
        <f>AA58</f>
        <v>0</v>
      </c>
      <c r="AI58" s="2" t="s">
        <v>50</v>
      </c>
      <c r="AJ58" s="17">
        <f>K9</f>
        <v>0</v>
      </c>
      <c r="AK58" s="17">
        <f>AJ58</f>
        <v>0</v>
      </c>
      <c r="AL58">
        <v>0</v>
      </c>
      <c r="AM58">
        <v>0</v>
      </c>
      <c r="AN58" s="17">
        <f>AJ58+30</f>
        <v>30</v>
      </c>
      <c r="AO58">
        <v>0</v>
      </c>
      <c r="AP58" s="18">
        <f>AJ58-30</f>
        <v>-30</v>
      </c>
    </row>
    <row r="59" spans="3:42" x14ac:dyDescent="0.25">
      <c r="C59" t="s">
        <v>2</v>
      </c>
      <c r="E59">
        <v>1</v>
      </c>
      <c r="J59">
        <v>1</v>
      </c>
      <c r="L59">
        <v>1</v>
      </c>
      <c r="M59">
        <v>1</v>
      </c>
      <c r="N59" t="s">
        <v>29</v>
      </c>
      <c r="O59">
        <f>($F$10*1000)/($D$5*SQRT(3)*$I$10)</f>
        <v>0</v>
      </c>
      <c r="P59">
        <f>($F$10*1000)/(($D$5/SQRT(3))*$I$10)</f>
        <v>0</v>
      </c>
      <c r="Q59">
        <f>P59</f>
        <v>0</v>
      </c>
      <c r="R59">
        <f>P59</f>
        <v>0</v>
      </c>
      <c r="S59">
        <f>($F$10*1000)/($D$5*$I$10)</f>
        <v>0</v>
      </c>
      <c r="T59">
        <f>S59</f>
        <v>0</v>
      </c>
      <c r="U59">
        <f>S59</f>
        <v>0</v>
      </c>
      <c r="Y59">
        <v>2</v>
      </c>
      <c r="Z59" s="2" t="s">
        <v>51</v>
      </c>
      <c r="AA59" s="17">
        <f>AA58</f>
        <v>0</v>
      </c>
      <c r="AB59">
        <v>0</v>
      </c>
      <c r="AC59" s="17">
        <f>AA58</f>
        <v>0</v>
      </c>
      <c r="AD59">
        <v>0</v>
      </c>
      <c r="AE59" s="17">
        <f>AA58</f>
        <v>0</v>
      </c>
      <c r="AF59" s="17">
        <f>AA58</f>
        <v>0</v>
      </c>
      <c r="AG59" s="3">
        <v>0</v>
      </c>
      <c r="AI59" s="2" t="s">
        <v>51</v>
      </c>
      <c r="AJ59" s="17">
        <f>AJ58-120</f>
        <v>-120</v>
      </c>
      <c r="AK59">
        <v>0</v>
      </c>
      <c r="AL59" s="17">
        <f>AJ58-120</f>
        <v>-120</v>
      </c>
      <c r="AM59">
        <v>0</v>
      </c>
      <c r="AN59" s="17">
        <f>AJ58-150</f>
        <v>-150</v>
      </c>
      <c r="AO59" s="17">
        <f>AJ58-90</f>
        <v>-90</v>
      </c>
      <c r="AP59" s="3">
        <v>0</v>
      </c>
    </row>
    <row r="60" spans="3:42" x14ac:dyDescent="0.25">
      <c r="M60">
        <v>2</v>
      </c>
      <c r="N60" t="s">
        <v>30</v>
      </c>
      <c r="O60">
        <f>($F$10*1000)/($D$5*SQRT(3))</f>
        <v>0</v>
      </c>
      <c r="P60">
        <f>($F$10*1000)/(($D$5/SQRT(3)))</f>
        <v>0</v>
      </c>
      <c r="Q60">
        <f>P60</f>
        <v>0</v>
      </c>
      <c r="R60">
        <f>P60</f>
        <v>0</v>
      </c>
      <c r="S60">
        <f>($F$10*1000)/($D$5)</f>
        <v>0</v>
      </c>
      <c r="T60">
        <f>S60</f>
        <v>0</v>
      </c>
      <c r="U60">
        <f>S60</f>
        <v>0</v>
      </c>
      <c r="Z60" s="2" t="s">
        <v>52</v>
      </c>
      <c r="AA60" s="17">
        <f>AA58</f>
        <v>0</v>
      </c>
      <c r="AB60">
        <v>0</v>
      </c>
      <c r="AC60">
        <v>0</v>
      </c>
      <c r="AD60" s="17">
        <f>AA58</f>
        <v>0</v>
      </c>
      <c r="AE60">
        <v>0</v>
      </c>
      <c r="AF60" s="17">
        <f>AA58</f>
        <v>0</v>
      </c>
      <c r="AG60" s="18">
        <f>AA58</f>
        <v>0</v>
      </c>
      <c r="AI60" s="2" t="s">
        <v>52</v>
      </c>
      <c r="AJ60" s="17">
        <f>AJ58+120</f>
        <v>120</v>
      </c>
      <c r="AK60">
        <v>0</v>
      </c>
      <c r="AL60">
        <v>0</v>
      </c>
      <c r="AM60" s="17">
        <f>AJ58+120</f>
        <v>120</v>
      </c>
      <c r="AN60">
        <v>0</v>
      </c>
      <c r="AO60" s="17">
        <f>AJ58+90</f>
        <v>90</v>
      </c>
      <c r="AP60" s="18">
        <f>AJ58+150</f>
        <v>150</v>
      </c>
    </row>
    <row r="61" spans="3:42" x14ac:dyDescent="0.25">
      <c r="M61">
        <v>3</v>
      </c>
      <c r="N61" t="s">
        <v>31</v>
      </c>
      <c r="O61">
        <f>$F$10</f>
        <v>0</v>
      </c>
      <c r="P61">
        <f>O61</f>
        <v>0</v>
      </c>
      <c r="Q61">
        <f>O61</f>
        <v>0</v>
      </c>
      <c r="R61">
        <f>O61</f>
        <v>0</v>
      </c>
      <c r="S61">
        <f>O61</f>
        <v>0</v>
      </c>
      <c r="T61">
        <f>O61</f>
        <v>0</v>
      </c>
      <c r="U61">
        <f>O61</f>
        <v>0</v>
      </c>
      <c r="Z61" s="13" t="s">
        <v>42</v>
      </c>
      <c r="AA61" s="19">
        <v>0</v>
      </c>
      <c r="AB61" s="20">
        <f>AA58</f>
        <v>0</v>
      </c>
      <c r="AC61" s="20">
        <f>AA58</f>
        <v>0</v>
      </c>
      <c r="AD61" s="20">
        <f>AA58</f>
        <v>0</v>
      </c>
      <c r="AE61" s="19">
        <v>0</v>
      </c>
      <c r="AF61" s="19">
        <v>0</v>
      </c>
      <c r="AG61" s="14">
        <v>0</v>
      </c>
      <c r="AI61" s="13" t="s">
        <v>42</v>
      </c>
      <c r="AJ61" s="19">
        <v>0</v>
      </c>
      <c r="AK61" s="20">
        <f>AJ58+180</f>
        <v>180</v>
      </c>
      <c r="AL61" s="20">
        <f>AJ58+180-120</f>
        <v>60</v>
      </c>
      <c r="AM61" s="20">
        <f>AJ58-180+120</f>
        <v>-60</v>
      </c>
      <c r="AN61" s="19">
        <v>0</v>
      </c>
      <c r="AO61" s="19">
        <v>0</v>
      </c>
      <c r="AP61" s="14">
        <v>0</v>
      </c>
    </row>
    <row r="63" spans="3:42" x14ac:dyDescent="0.25">
      <c r="C63" t="s">
        <v>3</v>
      </c>
      <c r="E63">
        <v>1</v>
      </c>
      <c r="J63">
        <v>1</v>
      </c>
      <c r="L63">
        <v>1</v>
      </c>
      <c r="M63">
        <v>1</v>
      </c>
      <c r="N63" t="s">
        <v>29</v>
      </c>
      <c r="O63">
        <f>($F$11*1000)/($D$5*SQRT(3)*$I$11)</f>
        <v>0</v>
      </c>
      <c r="P63">
        <f>($F$11*1000)/(($D$5/SQRT(3))*$I$11)</f>
        <v>0</v>
      </c>
      <c r="Q63">
        <f>P63</f>
        <v>0</v>
      </c>
      <c r="R63">
        <f>P63</f>
        <v>0</v>
      </c>
      <c r="S63">
        <f>($F$11*1000)/($D$5*$I$11)</f>
        <v>0</v>
      </c>
      <c r="T63">
        <f>S63</f>
        <v>0</v>
      </c>
      <c r="U63">
        <f>S63</f>
        <v>0</v>
      </c>
      <c r="Z63" s="4"/>
      <c r="AA63" s="5">
        <v>1</v>
      </c>
      <c r="AB63" s="5">
        <v>2</v>
      </c>
      <c r="AC63" s="5">
        <v>3</v>
      </c>
      <c r="AD63" s="5">
        <v>4</v>
      </c>
      <c r="AE63" s="5">
        <v>5</v>
      </c>
      <c r="AF63" s="5">
        <v>6</v>
      </c>
      <c r="AG63" s="6">
        <v>7</v>
      </c>
      <c r="AI63" s="4"/>
      <c r="AJ63" s="5">
        <v>1</v>
      </c>
      <c r="AK63" s="5">
        <v>2</v>
      </c>
      <c r="AL63" s="5">
        <v>3</v>
      </c>
      <c r="AM63" s="5">
        <v>4</v>
      </c>
      <c r="AN63" s="5">
        <v>5</v>
      </c>
      <c r="AO63" s="5">
        <v>6</v>
      </c>
      <c r="AP63" s="6">
        <v>7</v>
      </c>
    </row>
    <row r="64" spans="3:42" x14ac:dyDescent="0.25">
      <c r="M64">
        <v>2</v>
      </c>
      <c r="N64" t="s">
        <v>30</v>
      </c>
      <c r="O64">
        <f>($F$11*1000)/($D$5*SQRT(3))</f>
        <v>0</v>
      </c>
      <c r="P64">
        <f>($F$11*1000)/(($D$5/SQRT(3)))</f>
        <v>0</v>
      </c>
      <c r="Q64">
        <f>P64</f>
        <v>0</v>
      </c>
      <c r="R64">
        <f>P64</f>
        <v>0</v>
      </c>
      <c r="S64">
        <f>($F$11*1000)/($D$5)</f>
        <v>0</v>
      </c>
      <c r="T64">
        <f>S64</f>
        <v>0</v>
      </c>
      <c r="U64">
        <f>S64</f>
        <v>0</v>
      </c>
      <c r="Z64" s="2"/>
      <c r="AA64" t="s">
        <v>32</v>
      </c>
      <c r="AB64" t="s">
        <v>34</v>
      </c>
      <c r="AC64" t="s">
        <v>35</v>
      </c>
      <c r="AD64" t="s">
        <v>36</v>
      </c>
      <c r="AE64" t="s">
        <v>37</v>
      </c>
      <c r="AF64" t="s">
        <v>38</v>
      </c>
      <c r="AG64" s="3" t="s">
        <v>39</v>
      </c>
      <c r="AI64" s="29" t="s">
        <v>55</v>
      </c>
      <c r="AJ64" t="s">
        <v>32</v>
      </c>
      <c r="AK64" t="s">
        <v>34</v>
      </c>
      <c r="AL64" t="s">
        <v>35</v>
      </c>
      <c r="AM64" t="s">
        <v>36</v>
      </c>
      <c r="AN64" t="s">
        <v>37</v>
      </c>
      <c r="AO64" t="s">
        <v>38</v>
      </c>
      <c r="AP64" s="3" t="s">
        <v>39</v>
      </c>
    </row>
    <row r="65" spans="3:42" x14ac:dyDescent="0.25">
      <c r="M65">
        <v>3</v>
      </c>
      <c r="N65" t="s">
        <v>31</v>
      </c>
      <c r="O65">
        <f>$F$11</f>
        <v>0</v>
      </c>
      <c r="P65">
        <f>O65</f>
        <v>0</v>
      </c>
      <c r="Q65">
        <f>O65</f>
        <v>0</v>
      </c>
      <c r="R65">
        <f>O65</f>
        <v>0</v>
      </c>
      <c r="S65">
        <f>O65</f>
        <v>0</v>
      </c>
      <c r="T65">
        <f>O65</f>
        <v>0</v>
      </c>
      <c r="U65">
        <f>O65</f>
        <v>0</v>
      </c>
      <c r="Z65" s="2" t="s">
        <v>50</v>
      </c>
      <c r="AA65" s="17">
        <f>H10</f>
        <v>0</v>
      </c>
      <c r="AB65" s="17">
        <f>AA65</f>
        <v>0</v>
      </c>
      <c r="AC65">
        <v>0</v>
      </c>
      <c r="AD65">
        <v>0</v>
      </c>
      <c r="AE65" s="17">
        <f>AA65</f>
        <v>0</v>
      </c>
      <c r="AF65">
        <v>0</v>
      </c>
      <c r="AG65" s="18">
        <f>AA65</f>
        <v>0</v>
      </c>
      <c r="AI65" s="2" t="s">
        <v>50</v>
      </c>
      <c r="AJ65" s="17">
        <f>K10</f>
        <v>0</v>
      </c>
      <c r="AK65" s="17">
        <f>AJ65</f>
        <v>0</v>
      </c>
      <c r="AL65">
        <v>0</v>
      </c>
      <c r="AM65">
        <v>0</v>
      </c>
      <c r="AN65" s="17">
        <f>AJ65+30</f>
        <v>30</v>
      </c>
      <c r="AO65">
        <v>0</v>
      </c>
      <c r="AP65" s="18">
        <f>AJ65-30</f>
        <v>-30</v>
      </c>
    </row>
    <row r="66" spans="3:42" x14ac:dyDescent="0.25">
      <c r="Y66">
        <v>3</v>
      </c>
      <c r="Z66" s="2" t="s">
        <v>51</v>
      </c>
      <c r="AA66" s="17">
        <f>AA65</f>
        <v>0</v>
      </c>
      <c r="AB66">
        <v>0</v>
      </c>
      <c r="AC66" s="17">
        <f>AA65</f>
        <v>0</v>
      </c>
      <c r="AD66">
        <v>0</v>
      </c>
      <c r="AE66" s="17">
        <f>AA65</f>
        <v>0</v>
      </c>
      <c r="AF66" s="17">
        <f>AA65</f>
        <v>0</v>
      </c>
      <c r="AG66" s="3">
        <v>0</v>
      </c>
      <c r="AI66" s="2" t="s">
        <v>51</v>
      </c>
      <c r="AJ66" s="17">
        <f>AJ65-120</f>
        <v>-120</v>
      </c>
      <c r="AK66">
        <v>0</v>
      </c>
      <c r="AL66" s="17">
        <f>AJ65-120</f>
        <v>-120</v>
      </c>
      <c r="AM66">
        <v>0</v>
      </c>
      <c r="AN66" s="17">
        <f>AJ65-150</f>
        <v>-150</v>
      </c>
      <c r="AO66" s="17">
        <f>AJ65-90</f>
        <v>-90</v>
      </c>
      <c r="AP66" s="3">
        <v>0</v>
      </c>
    </row>
    <row r="67" spans="3:42" x14ac:dyDescent="0.25">
      <c r="C67" t="s">
        <v>4</v>
      </c>
      <c r="E67">
        <v>1</v>
      </c>
      <c r="J67">
        <v>1</v>
      </c>
      <c r="L67">
        <v>1</v>
      </c>
      <c r="M67">
        <v>1</v>
      </c>
      <c r="N67" t="s">
        <v>29</v>
      </c>
      <c r="O67">
        <f>($F$12*1000)/($D$5*SQRT(3)*$I$12)</f>
        <v>0</v>
      </c>
      <c r="P67">
        <f>($F$12*1000)/(($D$5/SQRT(3))*$I$12)</f>
        <v>0</v>
      </c>
      <c r="Q67">
        <f>P67</f>
        <v>0</v>
      </c>
      <c r="R67">
        <f>P67</f>
        <v>0</v>
      </c>
      <c r="S67">
        <f>($F$12*1000)/($D$5*$I$12)</f>
        <v>0</v>
      </c>
      <c r="T67">
        <f>S67</f>
        <v>0</v>
      </c>
      <c r="U67">
        <f>S67</f>
        <v>0</v>
      </c>
      <c r="Z67" s="2" t="s">
        <v>52</v>
      </c>
      <c r="AA67" s="17">
        <f>AA65</f>
        <v>0</v>
      </c>
      <c r="AB67">
        <v>0</v>
      </c>
      <c r="AC67">
        <v>0</v>
      </c>
      <c r="AD67" s="17">
        <f>AA65</f>
        <v>0</v>
      </c>
      <c r="AE67">
        <v>0</v>
      </c>
      <c r="AF67" s="17">
        <f>AA65</f>
        <v>0</v>
      </c>
      <c r="AG67" s="18">
        <f>AA65</f>
        <v>0</v>
      </c>
      <c r="AI67" s="2" t="s">
        <v>52</v>
      </c>
      <c r="AJ67" s="17">
        <f>AJ65+120</f>
        <v>120</v>
      </c>
      <c r="AK67">
        <v>0</v>
      </c>
      <c r="AL67">
        <v>0</v>
      </c>
      <c r="AM67" s="17">
        <f>AJ65+120</f>
        <v>120</v>
      </c>
      <c r="AN67">
        <v>0</v>
      </c>
      <c r="AO67" s="17">
        <f>AJ65+90</f>
        <v>90</v>
      </c>
      <c r="AP67" s="18">
        <f>AJ65+150</f>
        <v>150</v>
      </c>
    </row>
    <row r="68" spans="3:42" x14ac:dyDescent="0.25">
      <c r="M68">
        <v>2</v>
      </c>
      <c r="N68" t="s">
        <v>30</v>
      </c>
      <c r="O68">
        <f>($F$12*1000)/($D$5*SQRT(3))</f>
        <v>0</v>
      </c>
      <c r="P68">
        <f>($F$12*1000)/(($D$5/SQRT(3)))</f>
        <v>0</v>
      </c>
      <c r="Q68">
        <f>P68</f>
        <v>0</v>
      </c>
      <c r="R68">
        <f>P68</f>
        <v>0</v>
      </c>
      <c r="S68">
        <f>($F$12*1000)/($D$5)</f>
        <v>0</v>
      </c>
      <c r="T68">
        <f>S68</f>
        <v>0</v>
      </c>
      <c r="U68">
        <f>S68</f>
        <v>0</v>
      </c>
      <c r="Z68" s="13" t="s">
        <v>42</v>
      </c>
      <c r="AA68" s="19">
        <v>0</v>
      </c>
      <c r="AB68" s="20">
        <f>AA65</f>
        <v>0</v>
      </c>
      <c r="AC68" s="20">
        <f>AA65</f>
        <v>0</v>
      </c>
      <c r="AD68" s="20">
        <f>AA65</f>
        <v>0</v>
      </c>
      <c r="AE68" s="19">
        <v>0</v>
      </c>
      <c r="AF68" s="19">
        <v>0</v>
      </c>
      <c r="AG68" s="14">
        <v>0</v>
      </c>
      <c r="AI68" s="13" t="s">
        <v>42</v>
      </c>
      <c r="AJ68" s="19">
        <v>0</v>
      </c>
      <c r="AK68" s="20">
        <f>AJ65+180</f>
        <v>180</v>
      </c>
      <c r="AL68" s="20">
        <f>AJ65+180-120</f>
        <v>60</v>
      </c>
      <c r="AM68" s="20">
        <f>AJ65-180+120</f>
        <v>-60</v>
      </c>
      <c r="AN68" s="19">
        <v>0</v>
      </c>
      <c r="AO68" s="19">
        <v>0</v>
      </c>
      <c r="AP68" s="14">
        <v>0</v>
      </c>
    </row>
    <row r="69" spans="3:42" x14ac:dyDescent="0.25">
      <c r="M69">
        <v>3</v>
      </c>
      <c r="N69" t="s">
        <v>31</v>
      </c>
      <c r="O69">
        <f>$F$12</f>
        <v>0</v>
      </c>
      <c r="P69">
        <f>O69</f>
        <v>0</v>
      </c>
      <c r="Q69">
        <f>O69</f>
        <v>0</v>
      </c>
      <c r="R69">
        <f>O69</f>
        <v>0</v>
      </c>
      <c r="S69">
        <f>O69</f>
        <v>0</v>
      </c>
      <c r="T69">
        <f>O69</f>
        <v>0</v>
      </c>
      <c r="U69">
        <f>O69</f>
        <v>0</v>
      </c>
    </row>
    <row r="70" spans="3:42" x14ac:dyDescent="0.25">
      <c r="Z70" s="4"/>
      <c r="AA70" s="5">
        <v>1</v>
      </c>
      <c r="AB70" s="5">
        <v>2</v>
      </c>
      <c r="AC70" s="5">
        <v>3</v>
      </c>
      <c r="AD70" s="5">
        <v>4</v>
      </c>
      <c r="AE70" s="5">
        <v>5</v>
      </c>
      <c r="AF70" s="5">
        <v>6</v>
      </c>
      <c r="AG70" s="6">
        <v>7</v>
      </c>
      <c r="AI70" s="4"/>
      <c r="AJ70" s="5">
        <v>1</v>
      </c>
      <c r="AK70" s="5">
        <v>2</v>
      </c>
      <c r="AL70" s="5">
        <v>3</v>
      </c>
      <c r="AM70" s="5">
        <v>4</v>
      </c>
      <c r="AN70" s="5">
        <v>5</v>
      </c>
      <c r="AO70" s="5">
        <v>6</v>
      </c>
      <c r="AP70" s="6">
        <v>7</v>
      </c>
    </row>
    <row r="71" spans="3:42" x14ac:dyDescent="0.25">
      <c r="C71" t="s">
        <v>5</v>
      </c>
      <c r="E71">
        <v>1</v>
      </c>
      <c r="J71">
        <v>1</v>
      </c>
      <c r="L71">
        <v>1</v>
      </c>
      <c r="M71">
        <v>1</v>
      </c>
      <c r="N71" t="s">
        <v>29</v>
      </c>
      <c r="O71">
        <f>($F$13*1000)/($D$5*SQRT(3)*$I$13)</f>
        <v>0</v>
      </c>
      <c r="P71">
        <f>($F$13*1000)/(($D$5/SQRT(3))*$I$13)</f>
        <v>0</v>
      </c>
      <c r="Q71">
        <f>P71</f>
        <v>0</v>
      </c>
      <c r="R71">
        <f>P71</f>
        <v>0</v>
      </c>
      <c r="S71">
        <f>($F$13*1000)/($D$5*$I$13)</f>
        <v>0</v>
      </c>
      <c r="T71">
        <f>S71</f>
        <v>0</v>
      </c>
      <c r="U71">
        <f>S71</f>
        <v>0</v>
      </c>
      <c r="Z71" s="2"/>
      <c r="AA71" t="s">
        <v>32</v>
      </c>
      <c r="AB71" t="s">
        <v>34</v>
      </c>
      <c r="AC71" t="s">
        <v>35</v>
      </c>
      <c r="AD71" t="s">
        <v>36</v>
      </c>
      <c r="AE71" t="s">
        <v>37</v>
      </c>
      <c r="AF71" t="s">
        <v>38</v>
      </c>
      <c r="AG71" s="3" t="s">
        <v>39</v>
      </c>
      <c r="AI71" s="29" t="s">
        <v>55</v>
      </c>
      <c r="AJ71" t="s">
        <v>32</v>
      </c>
      <c r="AK71" t="s">
        <v>34</v>
      </c>
      <c r="AL71" t="s">
        <v>35</v>
      </c>
      <c r="AM71" t="s">
        <v>36</v>
      </c>
      <c r="AN71" t="s">
        <v>37</v>
      </c>
      <c r="AO71" t="s">
        <v>38</v>
      </c>
      <c r="AP71" s="3" t="s">
        <v>39</v>
      </c>
    </row>
    <row r="72" spans="3:42" x14ac:dyDescent="0.25">
      <c r="M72">
        <v>2</v>
      </c>
      <c r="N72" t="s">
        <v>30</v>
      </c>
      <c r="O72">
        <f>($F$13*1000)/($D$5*SQRT(3))</f>
        <v>0</v>
      </c>
      <c r="P72">
        <f>($F$13*1000)/(($D$5/SQRT(3)))</f>
        <v>0</v>
      </c>
      <c r="Q72">
        <f>P72</f>
        <v>0</v>
      </c>
      <c r="R72">
        <f>P72</f>
        <v>0</v>
      </c>
      <c r="S72">
        <f>($F$13*1000)/($D$5)</f>
        <v>0</v>
      </c>
      <c r="T72">
        <f>S72</f>
        <v>0</v>
      </c>
      <c r="U72">
        <f>S72</f>
        <v>0</v>
      </c>
      <c r="Z72" s="2" t="s">
        <v>50</v>
      </c>
      <c r="AA72" s="17">
        <f>H11</f>
        <v>0</v>
      </c>
      <c r="AB72" s="17">
        <f>AA72</f>
        <v>0</v>
      </c>
      <c r="AC72">
        <v>0</v>
      </c>
      <c r="AD72">
        <v>0</v>
      </c>
      <c r="AE72" s="17">
        <f>AA72</f>
        <v>0</v>
      </c>
      <c r="AF72">
        <v>0</v>
      </c>
      <c r="AG72" s="18">
        <f>AA72</f>
        <v>0</v>
      </c>
      <c r="AI72" s="2" t="s">
        <v>50</v>
      </c>
      <c r="AJ72" s="17">
        <f>K11</f>
        <v>0</v>
      </c>
      <c r="AK72" s="17">
        <f>AJ72</f>
        <v>0</v>
      </c>
      <c r="AL72">
        <v>0</v>
      </c>
      <c r="AM72">
        <v>0</v>
      </c>
      <c r="AN72" s="17">
        <f>AJ72+30</f>
        <v>30</v>
      </c>
      <c r="AO72">
        <v>0</v>
      </c>
      <c r="AP72" s="18">
        <f>AJ72-30</f>
        <v>-30</v>
      </c>
    </row>
    <row r="73" spans="3:42" x14ac:dyDescent="0.25">
      <c r="M73">
        <v>3</v>
      </c>
      <c r="N73" t="s">
        <v>31</v>
      </c>
      <c r="O73">
        <f>$F$13</f>
        <v>0</v>
      </c>
      <c r="P73">
        <f>O73</f>
        <v>0</v>
      </c>
      <c r="Q73">
        <f>O73</f>
        <v>0</v>
      </c>
      <c r="R73">
        <f>O73</f>
        <v>0</v>
      </c>
      <c r="S73">
        <f>O73</f>
        <v>0</v>
      </c>
      <c r="T73">
        <f>O73</f>
        <v>0</v>
      </c>
      <c r="U73">
        <f>O73</f>
        <v>0</v>
      </c>
      <c r="Y73">
        <v>4</v>
      </c>
      <c r="Z73" s="2" t="s">
        <v>51</v>
      </c>
      <c r="AA73" s="17">
        <f>AA72</f>
        <v>0</v>
      </c>
      <c r="AB73">
        <v>0</v>
      </c>
      <c r="AC73" s="17">
        <f>AA72</f>
        <v>0</v>
      </c>
      <c r="AD73">
        <v>0</v>
      </c>
      <c r="AE73" s="17">
        <f>AA72</f>
        <v>0</v>
      </c>
      <c r="AF73" s="17">
        <f>AA72</f>
        <v>0</v>
      </c>
      <c r="AG73" s="3">
        <v>0</v>
      </c>
      <c r="AI73" s="2" t="s">
        <v>51</v>
      </c>
      <c r="AJ73" s="17">
        <f>AJ72-120</f>
        <v>-120</v>
      </c>
      <c r="AK73">
        <v>0</v>
      </c>
      <c r="AL73" s="17">
        <f>AJ72-120</f>
        <v>-120</v>
      </c>
      <c r="AM73">
        <v>0</v>
      </c>
      <c r="AN73" s="17">
        <f>AJ72-150</f>
        <v>-150</v>
      </c>
      <c r="AO73" s="17">
        <f>AJ72-90</f>
        <v>-90</v>
      </c>
      <c r="AP73" s="3">
        <v>0</v>
      </c>
    </row>
    <row r="74" spans="3:42" x14ac:dyDescent="0.25">
      <c r="Z74" s="2" t="s">
        <v>52</v>
      </c>
      <c r="AA74" s="17">
        <f>AA72</f>
        <v>0</v>
      </c>
      <c r="AB74">
        <v>0</v>
      </c>
      <c r="AC74">
        <v>0</v>
      </c>
      <c r="AD74" s="17">
        <f>AA72</f>
        <v>0</v>
      </c>
      <c r="AE74">
        <v>0</v>
      </c>
      <c r="AF74" s="17">
        <f>AA72</f>
        <v>0</v>
      </c>
      <c r="AG74" s="18">
        <f>AA72</f>
        <v>0</v>
      </c>
      <c r="AI74" s="2" t="s">
        <v>52</v>
      </c>
      <c r="AJ74" s="17">
        <f>AJ72+120</f>
        <v>120</v>
      </c>
      <c r="AK74">
        <v>0</v>
      </c>
      <c r="AL74">
        <v>0</v>
      </c>
      <c r="AM74" s="17">
        <f>AJ72+120</f>
        <v>120</v>
      </c>
      <c r="AN74">
        <v>0</v>
      </c>
      <c r="AO74" s="17">
        <f>AJ72+90</f>
        <v>90</v>
      </c>
      <c r="AP74" s="18">
        <f>AJ72+150</f>
        <v>150</v>
      </c>
    </row>
    <row r="75" spans="3:42" x14ac:dyDescent="0.25">
      <c r="C75" t="s">
        <v>6</v>
      </c>
      <c r="E75">
        <v>1</v>
      </c>
      <c r="J75">
        <v>1</v>
      </c>
      <c r="L75">
        <v>1</v>
      </c>
      <c r="M75">
        <v>1</v>
      </c>
      <c r="N75" t="s">
        <v>29</v>
      </c>
      <c r="O75">
        <f>($F$14*1000)/($D$5*SQRT(3)*$I$14)</f>
        <v>0</v>
      </c>
      <c r="P75">
        <f>($F$14*1000)/(($D$5/SQRT(3))*$I$14)</f>
        <v>0</v>
      </c>
      <c r="Q75">
        <f>P75</f>
        <v>0</v>
      </c>
      <c r="R75">
        <f>P75</f>
        <v>0</v>
      </c>
      <c r="S75">
        <f>($F$14*1000)/($D$5*$I$14)</f>
        <v>0</v>
      </c>
      <c r="T75">
        <f>S75</f>
        <v>0</v>
      </c>
      <c r="U75">
        <f>S75</f>
        <v>0</v>
      </c>
      <c r="Z75" s="13" t="s">
        <v>42</v>
      </c>
      <c r="AA75" s="19">
        <v>0</v>
      </c>
      <c r="AB75" s="20">
        <f>AA72</f>
        <v>0</v>
      </c>
      <c r="AC75" s="20">
        <f>AA72</f>
        <v>0</v>
      </c>
      <c r="AD75" s="20">
        <f>AA72</f>
        <v>0</v>
      </c>
      <c r="AE75" s="19">
        <v>0</v>
      </c>
      <c r="AF75" s="19">
        <v>0</v>
      </c>
      <c r="AG75" s="14">
        <v>0</v>
      </c>
      <c r="AI75" s="13" t="s">
        <v>42</v>
      </c>
      <c r="AJ75" s="19">
        <v>0</v>
      </c>
      <c r="AK75" s="20">
        <f>AJ72+180</f>
        <v>180</v>
      </c>
      <c r="AL75" s="20">
        <f>AJ72+180-120</f>
        <v>60</v>
      </c>
      <c r="AM75" s="20">
        <f>AJ72-180+120</f>
        <v>-60</v>
      </c>
      <c r="AN75" s="19">
        <v>0</v>
      </c>
      <c r="AO75" s="19">
        <v>0</v>
      </c>
      <c r="AP75" s="14">
        <v>0</v>
      </c>
    </row>
    <row r="76" spans="3:42" x14ac:dyDescent="0.25">
      <c r="M76">
        <v>2</v>
      </c>
      <c r="N76" t="s">
        <v>30</v>
      </c>
      <c r="O76">
        <f>($F$14*1000)/($D$5*SQRT(3))</f>
        <v>0</v>
      </c>
      <c r="P76">
        <f>($F$14*1000)/(($D$5/SQRT(3)))</f>
        <v>0</v>
      </c>
      <c r="Q76">
        <f>P76</f>
        <v>0</v>
      </c>
      <c r="R76">
        <f>P76</f>
        <v>0</v>
      </c>
      <c r="S76">
        <f>($F$14*1000)/($D$5)</f>
        <v>0</v>
      </c>
      <c r="T76">
        <f>S76</f>
        <v>0</v>
      </c>
      <c r="U76">
        <f>S76</f>
        <v>0</v>
      </c>
    </row>
    <row r="77" spans="3:42" x14ac:dyDescent="0.25">
      <c r="M77">
        <v>3</v>
      </c>
      <c r="N77" t="s">
        <v>31</v>
      </c>
      <c r="O77">
        <f>$F$14</f>
        <v>0</v>
      </c>
      <c r="P77">
        <f>O77</f>
        <v>0</v>
      </c>
      <c r="Q77">
        <f>O77</f>
        <v>0</v>
      </c>
      <c r="R77">
        <f>O77</f>
        <v>0</v>
      </c>
      <c r="S77">
        <f>O77</f>
        <v>0</v>
      </c>
      <c r="T77">
        <f>O77</f>
        <v>0</v>
      </c>
      <c r="U77">
        <f>O77</f>
        <v>0</v>
      </c>
      <c r="Z77" s="4"/>
      <c r="AA77" s="5">
        <v>1</v>
      </c>
      <c r="AB77" s="5">
        <v>2</v>
      </c>
      <c r="AC77" s="5">
        <v>3</v>
      </c>
      <c r="AD77" s="5">
        <v>4</v>
      </c>
      <c r="AE77" s="5">
        <v>5</v>
      </c>
      <c r="AF77" s="5">
        <v>6</v>
      </c>
      <c r="AG77" s="6">
        <v>7</v>
      </c>
      <c r="AI77" s="4"/>
      <c r="AJ77" s="5">
        <v>1</v>
      </c>
      <c r="AK77" s="5">
        <v>2</v>
      </c>
      <c r="AL77" s="5">
        <v>3</v>
      </c>
      <c r="AM77" s="5">
        <v>4</v>
      </c>
      <c r="AN77" s="5">
        <v>5</v>
      </c>
      <c r="AO77" s="5">
        <v>6</v>
      </c>
      <c r="AP77" s="6">
        <v>7</v>
      </c>
    </row>
    <row r="78" spans="3:42" x14ac:dyDescent="0.25">
      <c r="Z78" s="2"/>
      <c r="AA78" t="s">
        <v>32</v>
      </c>
      <c r="AB78" t="s">
        <v>34</v>
      </c>
      <c r="AC78" t="s">
        <v>35</v>
      </c>
      <c r="AD78" t="s">
        <v>36</v>
      </c>
      <c r="AE78" t="s">
        <v>37</v>
      </c>
      <c r="AF78" t="s">
        <v>38</v>
      </c>
      <c r="AG78" s="3" t="s">
        <v>39</v>
      </c>
      <c r="AI78" s="29" t="s">
        <v>55</v>
      </c>
      <c r="AJ78" t="s">
        <v>32</v>
      </c>
      <c r="AK78" t="s">
        <v>34</v>
      </c>
      <c r="AL78" t="s">
        <v>35</v>
      </c>
      <c r="AM78" t="s">
        <v>36</v>
      </c>
      <c r="AN78" t="s">
        <v>37</v>
      </c>
      <c r="AO78" t="s">
        <v>38</v>
      </c>
      <c r="AP78" s="3" t="s">
        <v>39</v>
      </c>
    </row>
    <row r="79" spans="3:42" x14ac:dyDescent="0.25">
      <c r="C79" t="s">
        <v>7</v>
      </c>
      <c r="E79">
        <v>1</v>
      </c>
      <c r="J79">
        <v>1</v>
      </c>
      <c r="L79">
        <v>1</v>
      </c>
      <c r="M79">
        <v>1</v>
      </c>
      <c r="N79" t="s">
        <v>29</v>
      </c>
      <c r="O79">
        <f>($F$15*1000)/($D$5*SQRT(3)*$I$15)</f>
        <v>0</v>
      </c>
      <c r="P79">
        <f>($F$15*1000)/(($D$5/SQRT(3))*$I$15)</f>
        <v>0</v>
      </c>
      <c r="Q79">
        <f>P79</f>
        <v>0</v>
      </c>
      <c r="R79">
        <f>P79</f>
        <v>0</v>
      </c>
      <c r="S79">
        <f>($F$15*1000)/($D$5*$I$15)</f>
        <v>0</v>
      </c>
      <c r="T79">
        <f>S79</f>
        <v>0</v>
      </c>
      <c r="U79">
        <f>S79</f>
        <v>0</v>
      </c>
      <c r="Z79" s="2" t="s">
        <v>50</v>
      </c>
      <c r="AA79" s="17">
        <f>H12</f>
        <v>0</v>
      </c>
      <c r="AB79" s="17">
        <f>AA79</f>
        <v>0</v>
      </c>
      <c r="AC79">
        <v>0</v>
      </c>
      <c r="AD79">
        <v>0</v>
      </c>
      <c r="AE79" s="17">
        <f>AA79</f>
        <v>0</v>
      </c>
      <c r="AF79">
        <v>0</v>
      </c>
      <c r="AG79" s="18">
        <f>AA79</f>
        <v>0</v>
      </c>
      <c r="AI79" s="2" t="s">
        <v>50</v>
      </c>
      <c r="AJ79" s="17">
        <f>K12</f>
        <v>0</v>
      </c>
      <c r="AK79" s="17">
        <f>AJ79</f>
        <v>0</v>
      </c>
      <c r="AL79">
        <v>0</v>
      </c>
      <c r="AM79">
        <v>0</v>
      </c>
      <c r="AN79" s="17">
        <f>AJ79+30</f>
        <v>30</v>
      </c>
      <c r="AO79">
        <v>0</v>
      </c>
      <c r="AP79" s="18">
        <f>AJ79-30</f>
        <v>-30</v>
      </c>
    </row>
    <row r="80" spans="3:42" x14ac:dyDescent="0.25">
      <c r="M80">
        <v>2</v>
      </c>
      <c r="N80" t="s">
        <v>30</v>
      </c>
      <c r="O80">
        <f>($F$15*1000)/($D$5*SQRT(3))</f>
        <v>0</v>
      </c>
      <c r="P80">
        <f>($F$15*1000)/(($D$5/SQRT(3)))</f>
        <v>0</v>
      </c>
      <c r="Q80">
        <f>P80</f>
        <v>0</v>
      </c>
      <c r="R80">
        <f>P80</f>
        <v>0</v>
      </c>
      <c r="S80">
        <f>($F$15*1000)/($D$5)</f>
        <v>0</v>
      </c>
      <c r="T80">
        <f>S80</f>
        <v>0</v>
      </c>
      <c r="U80">
        <f>S80</f>
        <v>0</v>
      </c>
      <c r="Y80">
        <v>5</v>
      </c>
      <c r="Z80" s="2" t="s">
        <v>51</v>
      </c>
      <c r="AA80" s="17">
        <f>AA79</f>
        <v>0</v>
      </c>
      <c r="AB80">
        <v>0</v>
      </c>
      <c r="AC80" s="17">
        <f>AA79</f>
        <v>0</v>
      </c>
      <c r="AD80">
        <v>0</v>
      </c>
      <c r="AE80" s="17">
        <f>AA79</f>
        <v>0</v>
      </c>
      <c r="AF80" s="17">
        <f>AA79</f>
        <v>0</v>
      </c>
      <c r="AG80" s="3">
        <v>0</v>
      </c>
      <c r="AI80" s="2" t="s">
        <v>51</v>
      </c>
      <c r="AJ80" s="17">
        <f>AJ79-120</f>
        <v>-120</v>
      </c>
      <c r="AK80">
        <v>0</v>
      </c>
      <c r="AL80" s="17">
        <f>AJ79-120</f>
        <v>-120</v>
      </c>
      <c r="AM80">
        <v>0</v>
      </c>
      <c r="AN80" s="17">
        <f>AJ79-150</f>
        <v>-150</v>
      </c>
      <c r="AO80" s="17">
        <f>AJ79-90</f>
        <v>-90</v>
      </c>
      <c r="AP80" s="3">
        <v>0</v>
      </c>
    </row>
    <row r="81" spans="3:42" x14ac:dyDescent="0.25">
      <c r="M81">
        <v>3</v>
      </c>
      <c r="N81" t="s">
        <v>31</v>
      </c>
      <c r="O81">
        <f>$F$15</f>
        <v>0</v>
      </c>
      <c r="P81">
        <f>O81</f>
        <v>0</v>
      </c>
      <c r="Q81">
        <f>O81</f>
        <v>0</v>
      </c>
      <c r="R81">
        <f>O81</f>
        <v>0</v>
      </c>
      <c r="S81">
        <f>O81</f>
        <v>0</v>
      </c>
      <c r="T81">
        <f>O81</f>
        <v>0</v>
      </c>
      <c r="U81">
        <f>O81</f>
        <v>0</v>
      </c>
      <c r="Z81" s="2" t="s">
        <v>52</v>
      </c>
      <c r="AA81" s="17">
        <f>AA79</f>
        <v>0</v>
      </c>
      <c r="AB81">
        <v>0</v>
      </c>
      <c r="AC81">
        <v>0</v>
      </c>
      <c r="AD81" s="17">
        <f>AA79</f>
        <v>0</v>
      </c>
      <c r="AE81">
        <v>0</v>
      </c>
      <c r="AF81" s="17">
        <f>AA79</f>
        <v>0</v>
      </c>
      <c r="AG81" s="18">
        <f>AA79</f>
        <v>0</v>
      </c>
      <c r="AI81" s="2" t="s">
        <v>52</v>
      </c>
      <c r="AJ81" s="17">
        <f>AJ79+120</f>
        <v>120</v>
      </c>
      <c r="AK81">
        <v>0</v>
      </c>
      <c r="AL81">
        <v>0</v>
      </c>
      <c r="AM81" s="17">
        <f>AJ79+120</f>
        <v>120</v>
      </c>
      <c r="AN81">
        <v>0</v>
      </c>
      <c r="AO81" s="17">
        <f>AJ79+90</f>
        <v>90</v>
      </c>
      <c r="AP81" s="18">
        <f>AJ79+150</f>
        <v>150</v>
      </c>
    </row>
    <row r="82" spans="3:42" x14ac:dyDescent="0.25">
      <c r="Z82" s="13" t="s">
        <v>42</v>
      </c>
      <c r="AA82" s="19">
        <v>0</v>
      </c>
      <c r="AB82" s="20">
        <f>AA79</f>
        <v>0</v>
      </c>
      <c r="AC82" s="20">
        <f>AA79</f>
        <v>0</v>
      </c>
      <c r="AD82" s="20">
        <f>AA79</f>
        <v>0</v>
      </c>
      <c r="AE82" s="19">
        <v>0</v>
      </c>
      <c r="AF82" s="19">
        <v>0</v>
      </c>
      <c r="AG82" s="14">
        <v>0</v>
      </c>
      <c r="AI82" s="13" t="s">
        <v>42</v>
      </c>
      <c r="AJ82" s="19">
        <v>0</v>
      </c>
      <c r="AK82" s="20">
        <f>AJ79+180</f>
        <v>180</v>
      </c>
      <c r="AL82" s="20">
        <f>AJ79+180-120</f>
        <v>60</v>
      </c>
      <c r="AM82" s="20">
        <f>AJ79-180+120</f>
        <v>-60</v>
      </c>
      <c r="AN82" s="19">
        <v>0</v>
      </c>
      <c r="AO82" s="19">
        <v>0</v>
      </c>
      <c r="AP82" s="14">
        <v>0</v>
      </c>
    </row>
    <row r="83" spans="3:42" x14ac:dyDescent="0.25">
      <c r="C83" t="s">
        <v>8</v>
      </c>
      <c r="E83">
        <v>1</v>
      </c>
      <c r="J83">
        <v>1</v>
      </c>
      <c r="L83">
        <v>1</v>
      </c>
      <c r="M83">
        <v>1</v>
      </c>
      <c r="N83" t="s">
        <v>29</v>
      </c>
      <c r="O83">
        <f>($F$16*1000)/($D$5*SQRT(3)*$I$16)</f>
        <v>0</v>
      </c>
      <c r="P83">
        <f>($F$16*1000)/(($D$5/SQRT(3))*$I$16)</f>
        <v>0</v>
      </c>
      <c r="Q83">
        <f>P83</f>
        <v>0</v>
      </c>
      <c r="R83">
        <f>P83</f>
        <v>0</v>
      </c>
      <c r="S83">
        <f>($F$16*1000)/($D$5*$I$16)</f>
        <v>0</v>
      </c>
      <c r="T83">
        <f>S83</f>
        <v>0</v>
      </c>
      <c r="U83">
        <f>S83</f>
        <v>0</v>
      </c>
    </row>
    <row r="84" spans="3:42" x14ac:dyDescent="0.25">
      <c r="M84">
        <v>2</v>
      </c>
      <c r="N84" t="s">
        <v>30</v>
      </c>
      <c r="O84">
        <f>($F$16*1000)/($D$5*SQRT(3))</f>
        <v>0</v>
      </c>
      <c r="P84">
        <f>($F$16*1000)/(($D$5/SQRT(3)))</f>
        <v>0</v>
      </c>
      <c r="Q84">
        <f>P84</f>
        <v>0</v>
      </c>
      <c r="R84">
        <f>P84</f>
        <v>0</v>
      </c>
      <c r="S84">
        <f>($F$16*1000)/($D$5)</f>
        <v>0</v>
      </c>
      <c r="T84">
        <f>S84</f>
        <v>0</v>
      </c>
      <c r="U84">
        <f>S84</f>
        <v>0</v>
      </c>
      <c r="Z84" s="4"/>
      <c r="AA84" s="5">
        <v>1</v>
      </c>
      <c r="AB84" s="5">
        <v>2</v>
      </c>
      <c r="AC84" s="5">
        <v>3</v>
      </c>
      <c r="AD84" s="5">
        <v>4</v>
      </c>
      <c r="AE84" s="5">
        <v>5</v>
      </c>
      <c r="AF84" s="5">
        <v>6</v>
      </c>
      <c r="AG84" s="6">
        <v>7</v>
      </c>
      <c r="AI84" s="4"/>
      <c r="AJ84" s="5">
        <v>1</v>
      </c>
      <c r="AK84" s="5">
        <v>2</v>
      </c>
      <c r="AL84" s="5">
        <v>3</v>
      </c>
      <c r="AM84" s="5">
        <v>4</v>
      </c>
      <c r="AN84" s="5">
        <v>5</v>
      </c>
      <c r="AO84" s="5">
        <v>6</v>
      </c>
      <c r="AP84" s="6">
        <v>7</v>
      </c>
    </row>
    <row r="85" spans="3:42" x14ac:dyDescent="0.25">
      <c r="M85">
        <v>3</v>
      </c>
      <c r="N85" t="s">
        <v>31</v>
      </c>
      <c r="O85">
        <f>$F$16</f>
        <v>0</v>
      </c>
      <c r="P85">
        <f>O85</f>
        <v>0</v>
      </c>
      <c r="Q85">
        <f>O85</f>
        <v>0</v>
      </c>
      <c r="R85">
        <f>O85</f>
        <v>0</v>
      </c>
      <c r="S85">
        <f>O85</f>
        <v>0</v>
      </c>
      <c r="T85">
        <f>O85</f>
        <v>0</v>
      </c>
      <c r="U85">
        <f>O85</f>
        <v>0</v>
      </c>
      <c r="Z85" s="2"/>
      <c r="AA85" t="s">
        <v>32</v>
      </c>
      <c r="AB85" t="s">
        <v>34</v>
      </c>
      <c r="AC85" t="s">
        <v>35</v>
      </c>
      <c r="AD85" t="s">
        <v>36</v>
      </c>
      <c r="AE85" t="s">
        <v>37</v>
      </c>
      <c r="AF85" t="s">
        <v>38</v>
      </c>
      <c r="AG85" s="3" t="s">
        <v>39</v>
      </c>
      <c r="AI85" s="29" t="s">
        <v>55</v>
      </c>
      <c r="AJ85" t="s">
        <v>32</v>
      </c>
      <c r="AK85" t="s">
        <v>34</v>
      </c>
      <c r="AL85" t="s">
        <v>35</v>
      </c>
      <c r="AM85" t="s">
        <v>36</v>
      </c>
      <c r="AN85" t="s">
        <v>37</v>
      </c>
      <c r="AO85" t="s">
        <v>38</v>
      </c>
      <c r="AP85" s="3" t="s">
        <v>39</v>
      </c>
    </row>
    <row r="86" spans="3:42" x14ac:dyDescent="0.25">
      <c r="Z86" s="2" t="s">
        <v>50</v>
      </c>
      <c r="AA86" s="17">
        <f>H13</f>
        <v>0</v>
      </c>
      <c r="AB86" s="17">
        <f>AA86</f>
        <v>0</v>
      </c>
      <c r="AC86">
        <v>0</v>
      </c>
      <c r="AD86">
        <v>0</v>
      </c>
      <c r="AE86" s="17">
        <f>AA86</f>
        <v>0</v>
      </c>
      <c r="AF86">
        <v>0</v>
      </c>
      <c r="AG86" s="18">
        <f>AA86</f>
        <v>0</v>
      </c>
      <c r="AI86" s="2" t="s">
        <v>50</v>
      </c>
      <c r="AJ86" s="17">
        <f>K13</f>
        <v>0</v>
      </c>
      <c r="AK86" s="17">
        <f>AJ86</f>
        <v>0</v>
      </c>
      <c r="AL86">
        <v>0</v>
      </c>
      <c r="AM86">
        <v>0</v>
      </c>
      <c r="AN86" s="17">
        <f>AJ86+30</f>
        <v>30</v>
      </c>
      <c r="AO86">
        <v>0</v>
      </c>
      <c r="AP86" s="18">
        <f>AJ86-30</f>
        <v>-30</v>
      </c>
    </row>
    <row r="87" spans="3:42" x14ac:dyDescent="0.25">
      <c r="C87" t="s">
        <v>9</v>
      </c>
      <c r="E87">
        <v>1</v>
      </c>
      <c r="J87">
        <v>1</v>
      </c>
      <c r="L87">
        <v>1</v>
      </c>
      <c r="M87">
        <v>1</v>
      </c>
      <c r="N87" t="s">
        <v>29</v>
      </c>
      <c r="O87">
        <f>($F$17*1000)/($D$5*SQRT(3)*$I$17)</f>
        <v>0</v>
      </c>
      <c r="P87">
        <f>($F$17*1000)/(($D$5/SQRT(3))*$I$17)</f>
        <v>0</v>
      </c>
      <c r="Q87">
        <f>P87</f>
        <v>0</v>
      </c>
      <c r="R87">
        <f>P87</f>
        <v>0</v>
      </c>
      <c r="S87">
        <f>($F$17*1000)/($D$5*$I$17)</f>
        <v>0</v>
      </c>
      <c r="T87">
        <f>S87</f>
        <v>0</v>
      </c>
      <c r="U87">
        <f>S87</f>
        <v>0</v>
      </c>
      <c r="Y87">
        <v>6</v>
      </c>
      <c r="Z87" s="2" t="s">
        <v>51</v>
      </c>
      <c r="AA87" s="17">
        <f>AA86</f>
        <v>0</v>
      </c>
      <c r="AB87">
        <v>0</v>
      </c>
      <c r="AC87" s="17">
        <f>AA86</f>
        <v>0</v>
      </c>
      <c r="AD87">
        <v>0</v>
      </c>
      <c r="AE87" s="17">
        <f>AA86</f>
        <v>0</v>
      </c>
      <c r="AF87" s="17">
        <f>AA86</f>
        <v>0</v>
      </c>
      <c r="AG87" s="3">
        <v>0</v>
      </c>
      <c r="AI87" s="2" t="s">
        <v>51</v>
      </c>
      <c r="AJ87" s="17">
        <f>AJ86-120</f>
        <v>-120</v>
      </c>
      <c r="AK87">
        <v>0</v>
      </c>
      <c r="AL87" s="17">
        <f>AJ86-120</f>
        <v>-120</v>
      </c>
      <c r="AM87">
        <v>0</v>
      </c>
      <c r="AN87" s="17">
        <f>AJ86-150</f>
        <v>-150</v>
      </c>
      <c r="AO87" s="17">
        <f>AJ86-90</f>
        <v>-90</v>
      </c>
      <c r="AP87" s="3">
        <v>0</v>
      </c>
    </row>
    <row r="88" spans="3:42" x14ac:dyDescent="0.25">
      <c r="M88">
        <v>2</v>
      </c>
      <c r="N88" t="s">
        <v>30</v>
      </c>
      <c r="O88">
        <f>($F$17*1000)/($D$5*SQRT(3))</f>
        <v>0</v>
      </c>
      <c r="P88">
        <f>($F$17*1000)/(($D$5/SQRT(3)))</f>
        <v>0</v>
      </c>
      <c r="Q88">
        <f>P88</f>
        <v>0</v>
      </c>
      <c r="R88">
        <f>P88</f>
        <v>0</v>
      </c>
      <c r="S88">
        <f>($F$17*1000)/($D$5)</f>
        <v>0</v>
      </c>
      <c r="T88">
        <f>S88</f>
        <v>0</v>
      </c>
      <c r="U88">
        <f>S88</f>
        <v>0</v>
      </c>
      <c r="Z88" s="2" t="s">
        <v>52</v>
      </c>
      <c r="AA88" s="17">
        <f>AA86</f>
        <v>0</v>
      </c>
      <c r="AB88">
        <v>0</v>
      </c>
      <c r="AC88">
        <v>0</v>
      </c>
      <c r="AD88" s="17">
        <f>AA86</f>
        <v>0</v>
      </c>
      <c r="AE88">
        <v>0</v>
      </c>
      <c r="AF88" s="17">
        <f>AA86</f>
        <v>0</v>
      </c>
      <c r="AG88" s="18">
        <f>AA86</f>
        <v>0</v>
      </c>
      <c r="AI88" s="2" t="s">
        <v>52</v>
      </c>
      <c r="AJ88" s="17">
        <f>AJ86+120</f>
        <v>120</v>
      </c>
      <c r="AK88">
        <v>0</v>
      </c>
      <c r="AL88">
        <v>0</v>
      </c>
      <c r="AM88" s="17">
        <f>AJ86+120</f>
        <v>120</v>
      </c>
      <c r="AN88">
        <v>0</v>
      </c>
      <c r="AO88" s="17">
        <f>AJ86+90</f>
        <v>90</v>
      </c>
      <c r="AP88" s="18">
        <f>AJ86+150</f>
        <v>150</v>
      </c>
    </row>
    <row r="89" spans="3:42" x14ac:dyDescent="0.25">
      <c r="M89">
        <v>3</v>
      </c>
      <c r="N89" t="s">
        <v>31</v>
      </c>
      <c r="O89">
        <f>$F$17</f>
        <v>0</v>
      </c>
      <c r="P89">
        <f>O89</f>
        <v>0</v>
      </c>
      <c r="Q89">
        <f>O89</f>
        <v>0</v>
      </c>
      <c r="R89">
        <f>O89</f>
        <v>0</v>
      </c>
      <c r="S89">
        <f>O89</f>
        <v>0</v>
      </c>
      <c r="T89">
        <f>O89</f>
        <v>0</v>
      </c>
      <c r="U89">
        <f>O89</f>
        <v>0</v>
      </c>
      <c r="Z89" s="13" t="s">
        <v>42</v>
      </c>
      <c r="AA89" s="19">
        <v>0</v>
      </c>
      <c r="AB89" s="20">
        <f>AA86</f>
        <v>0</v>
      </c>
      <c r="AC89" s="20">
        <f>AA86</f>
        <v>0</v>
      </c>
      <c r="AD89" s="20">
        <f>AA86</f>
        <v>0</v>
      </c>
      <c r="AE89" s="19">
        <v>0</v>
      </c>
      <c r="AF89" s="19">
        <v>0</v>
      </c>
      <c r="AG89" s="14">
        <v>0</v>
      </c>
      <c r="AI89" s="13" t="s">
        <v>42</v>
      </c>
      <c r="AJ89" s="19">
        <v>0</v>
      </c>
      <c r="AK89" s="20">
        <f>AJ86+180</f>
        <v>180</v>
      </c>
      <c r="AL89" s="20">
        <f>AJ86+180-120</f>
        <v>60</v>
      </c>
      <c r="AM89" s="20">
        <f>AJ86-180+120</f>
        <v>-60</v>
      </c>
      <c r="AN89" s="19">
        <v>0</v>
      </c>
      <c r="AO89" s="19">
        <v>0</v>
      </c>
      <c r="AP89" s="14">
        <v>0</v>
      </c>
    </row>
    <row r="91" spans="3:42" x14ac:dyDescent="0.25">
      <c r="C91" t="s">
        <v>10</v>
      </c>
      <c r="E91">
        <v>1</v>
      </c>
      <c r="J91">
        <v>1</v>
      </c>
      <c r="L91">
        <v>1</v>
      </c>
      <c r="M91">
        <v>1</v>
      </c>
      <c r="N91" t="s">
        <v>29</v>
      </c>
      <c r="O91">
        <f>($F$18*1000)/($D$5*SQRT(3)*$I$18)</f>
        <v>0</v>
      </c>
      <c r="P91">
        <f>($F$18*1000)/(($D$5/SQRT(3))*$I$18)</f>
        <v>0</v>
      </c>
      <c r="Q91">
        <f>P91</f>
        <v>0</v>
      </c>
      <c r="R91">
        <f>P91</f>
        <v>0</v>
      </c>
      <c r="S91">
        <f>($F$18*1000)/($D$5*$I$18)</f>
        <v>0</v>
      </c>
      <c r="T91">
        <f>S91</f>
        <v>0</v>
      </c>
      <c r="U91">
        <f>S91</f>
        <v>0</v>
      </c>
      <c r="Z91" s="4"/>
      <c r="AA91" s="5">
        <v>1</v>
      </c>
      <c r="AB91" s="5">
        <v>2</v>
      </c>
      <c r="AC91" s="5">
        <v>3</v>
      </c>
      <c r="AD91" s="5">
        <v>4</v>
      </c>
      <c r="AE91" s="5">
        <v>5</v>
      </c>
      <c r="AF91" s="5">
        <v>6</v>
      </c>
      <c r="AG91" s="6">
        <v>7</v>
      </c>
      <c r="AI91" s="4"/>
      <c r="AJ91" s="5">
        <v>1</v>
      </c>
      <c r="AK91" s="5">
        <v>2</v>
      </c>
      <c r="AL91" s="5">
        <v>3</v>
      </c>
      <c r="AM91" s="5">
        <v>4</v>
      </c>
      <c r="AN91" s="5">
        <v>5</v>
      </c>
      <c r="AO91" s="5">
        <v>6</v>
      </c>
      <c r="AP91" s="6">
        <v>7</v>
      </c>
    </row>
    <row r="92" spans="3:42" x14ac:dyDescent="0.25">
      <c r="M92">
        <v>2</v>
      </c>
      <c r="N92" t="s">
        <v>30</v>
      </c>
      <c r="O92">
        <f>($F$18*1000)/($D$5*SQRT(3))</f>
        <v>0</v>
      </c>
      <c r="P92">
        <f>($F$18*1000)/(($D$5/SQRT(3)))</f>
        <v>0</v>
      </c>
      <c r="Q92">
        <f>P92</f>
        <v>0</v>
      </c>
      <c r="R92">
        <f>P92</f>
        <v>0</v>
      </c>
      <c r="S92">
        <f>($F$18*1000)/($D$5)</f>
        <v>0</v>
      </c>
      <c r="T92">
        <f>S92</f>
        <v>0</v>
      </c>
      <c r="U92">
        <f>S92</f>
        <v>0</v>
      </c>
      <c r="Z92" s="2"/>
      <c r="AA92" t="s">
        <v>32</v>
      </c>
      <c r="AB92" t="s">
        <v>34</v>
      </c>
      <c r="AC92" t="s">
        <v>35</v>
      </c>
      <c r="AD92" t="s">
        <v>36</v>
      </c>
      <c r="AE92" t="s">
        <v>37</v>
      </c>
      <c r="AF92" t="s">
        <v>38</v>
      </c>
      <c r="AG92" s="3" t="s">
        <v>39</v>
      </c>
      <c r="AI92" s="29" t="s">
        <v>55</v>
      </c>
      <c r="AJ92" t="s">
        <v>32</v>
      </c>
      <c r="AK92" t="s">
        <v>34</v>
      </c>
      <c r="AL92" t="s">
        <v>35</v>
      </c>
      <c r="AM92" t="s">
        <v>36</v>
      </c>
      <c r="AN92" t="s">
        <v>37</v>
      </c>
      <c r="AO92" t="s">
        <v>38</v>
      </c>
      <c r="AP92" s="3" t="s">
        <v>39</v>
      </c>
    </row>
    <row r="93" spans="3:42" x14ac:dyDescent="0.25">
      <c r="M93">
        <v>3</v>
      </c>
      <c r="N93" t="s">
        <v>31</v>
      </c>
      <c r="O93">
        <f>$F$18</f>
        <v>0</v>
      </c>
      <c r="P93">
        <f>O93</f>
        <v>0</v>
      </c>
      <c r="Q93">
        <f>O93</f>
        <v>0</v>
      </c>
      <c r="R93">
        <f>O93</f>
        <v>0</v>
      </c>
      <c r="S93">
        <f>O93</f>
        <v>0</v>
      </c>
      <c r="T93">
        <f>O93</f>
        <v>0</v>
      </c>
      <c r="U93">
        <f>O93</f>
        <v>0</v>
      </c>
      <c r="Z93" s="2" t="s">
        <v>50</v>
      </c>
      <c r="AA93" s="17">
        <f>H14</f>
        <v>0</v>
      </c>
      <c r="AB93" s="17">
        <f>AA93</f>
        <v>0</v>
      </c>
      <c r="AC93">
        <v>0</v>
      </c>
      <c r="AD93">
        <v>0</v>
      </c>
      <c r="AE93" s="17">
        <f>AA93</f>
        <v>0</v>
      </c>
      <c r="AF93">
        <v>0</v>
      </c>
      <c r="AG93" s="18">
        <f>AA93</f>
        <v>0</v>
      </c>
      <c r="AI93" s="2" t="s">
        <v>50</v>
      </c>
      <c r="AJ93" s="17">
        <f>K14</f>
        <v>0</v>
      </c>
      <c r="AK93" s="17">
        <f>AJ93</f>
        <v>0</v>
      </c>
      <c r="AL93">
        <v>0</v>
      </c>
      <c r="AM93">
        <v>0</v>
      </c>
      <c r="AN93" s="17">
        <f>AJ93+30</f>
        <v>30</v>
      </c>
      <c r="AO93">
        <v>0</v>
      </c>
      <c r="AP93" s="18">
        <f>AJ93-30</f>
        <v>-30</v>
      </c>
    </row>
    <row r="94" spans="3:42" x14ac:dyDescent="0.25">
      <c r="Y94">
        <v>7</v>
      </c>
      <c r="Z94" s="2" t="s">
        <v>51</v>
      </c>
      <c r="AA94" s="17">
        <f>AA93</f>
        <v>0</v>
      </c>
      <c r="AB94">
        <v>0</v>
      </c>
      <c r="AC94" s="17">
        <f>AA93</f>
        <v>0</v>
      </c>
      <c r="AD94">
        <v>0</v>
      </c>
      <c r="AE94" s="17">
        <f>AA93</f>
        <v>0</v>
      </c>
      <c r="AF94" s="17">
        <f>AA93</f>
        <v>0</v>
      </c>
      <c r="AG94" s="3">
        <v>0</v>
      </c>
      <c r="AI94" s="2" t="s">
        <v>51</v>
      </c>
      <c r="AJ94" s="17">
        <f>AJ93-120</f>
        <v>-120</v>
      </c>
      <c r="AK94">
        <v>0</v>
      </c>
      <c r="AL94" s="17">
        <f>AJ93-120</f>
        <v>-120</v>
      </c>
      <c r="AM94">
        <v>0</v>
      </c>
      <c r="AN94" s="17">
        <f>AJ93-150</f>
        <v>-150</v>
      </c>
      <c r="AO94" s="17">
        <f>AJ93-90</f>
        <v>-90</v>
      </c>
      <c r="AP94" s="3">
        <v>0</v>
      </c>
    </row>
    <row r="95" spans="3:42" x14ac:dyDescent="0.25">
      <c r="C95" t="s">
        <v>11</v>
      </c>
      <c r="E95">
        <v>1</v>
      </c>
      <c r="J95">
        <v>1</v>
      </c>
      <c r="L95">
        <v>1</v>
      </c>
      <c r="M95">
        <v>1</v>
      </c>
      <c r="N95" t="s">
        <v>29</v>
      </c>
      <c r="O95">
        <f>($F$19*1000)/($D$5*SQRT(3)*$I$19)</f>
        <v>0</v>
      </c>
      <c r="P95">
        <f>($F$19*1000)/(($D$5/SQRT(3))*$I$19)</f>
        <v>0</v>
      </c>
      <c r="Q95">
        <f>P95</f>
        <v>0</v>
      </c>
      <c r="R95">
        <f>P95</f>
        <v>0</v>
      </c>
      <c r="S95">
        <f>($F$19*1000)/($D$5*$I$19)</f>
        <v>0</v>
      </c>
      <c r="T95">
        <f>S95</f>
        <v>0</v>
      </c>
      <c r="U95">
        <f>S95</f>
        <v>0</v>
      </c>
      <c r="Z95" s="2" t="s">
        <v>52</v>
      </c>
      <c r="AA95" s="17">
        <f>AA93</f>
        <v>0</v>
      </c>
      <c r="AB95">
        <v>0</v>
      </c>
      <c r="AC95">
        <v>0</v>
      </c>
      <c r="AD95" s="17">
        <f>AA93</f>
        <v>0</v>
      </c>
      <c r="AE95">
        <v>0</v>
      </c>
      <c r="AF95" s="17">
        <f>AA93</f>
        <v>0</v>
      </c>
      <c r="AG95" s="18">
        <f>AA93</f>
        <v>0</v>
      </c>
      <c r="AI95" s="2" t="s">
        <v>52</v>
      </c>
      <c r="AJ95" s="17">
        <f>AJ93+120</f>
        <v>120</v>
      </c>
      <c r="AK95">
        <v>0</v>
      </c>
      <c r="AL95">
        <v>0</v>
      </c>
      <c r="AM95" s="17">
        <f>AJ93+120</f>
        <v>120</v>
      </c>
      <c r="AN95">
        <v>0</v>
      </c>
      <c r="AO95" s="17">
        <f>AJ93+90</f>
        <v>90</v>
      </c>
      <c r="AP95" s="18">
        <f>AJ93+150</f>
        <v>150</v>
      </c>
    </row>
    <row r="96" spans="3:42" x14ac:dyDescent="0.25">
      <c r="M96">
        <v>2</v>
      </c>
      <c r="N96" t="s">
        <v>30</v>
      </c>
      <c r="O96">
        <f>($F$19*1000)/($D$5*SQRT(3))</f>
        <v>0</v>
      </c>
      <c r="P96">
        <f>($F$19*1000)/(($D$5/SQRT(3)))</f>
        <v>0</v>
      </c>
      <c r="Q96">
        <f>P96</f>
        <v>0</v>
      </c>
      <c r="R96">
        <f>P96</f>
        <v>0</v>
      </c>
      <c r="S96">
        <f>($F$19*1000)/($D$5)</f>
        <v>0</v>
      </c>
      <c r="T96">
        <f>S96</f>
        <v>0</v>
      </c>
      <c r="U96">
        <f>S96</f>
        <v>0</v>
      </c>
      <c r="Z96" s="13" t="s">
        <v>42</v>
      </c>
      <c r="AA96" s="19">
        <v>0</v>
      </c>
      <c r="AB96" s="20">
        <f>AA93</f>
        <v>0</v>
      </c>
      <c r="AC96" s="20">
        <f>AA93</f>
        <v>0</v>
      </c>
      <c r="AD96" s="20">
        <f>AA93</f>
        <v>0</v>
      </c>
      <c r="AE96" s="19">
        <v>0</v>
      </c>
      <c r="AF96" s="19">
        <v>0</v>
      </c>
      <c r="AG96" s="14">
        <v>0</v>
      </c>
      <c r="AI96" s="13" t="s">
        <v>42</v>
      </c>
      <c r="AJ96" s="19">
        <v>0</v>
      </c>
      <c r="AK96" s="20">
        <f>AJ93+180</f>
        <v>180</v>
      </c>
      <c r="AL96" s="20">
        <f>AJ93+180-120</f>
        <v>60</v>
      </c>
      <c r="AM96" s="20">
        <f>AJ93-180+120</f>
        <v>-60</v>
      </c>
      <c r="AN96" s="19">
        <v>0</v>
      </c>
      <c r="AO96" s="19">
        <v>0</v>
      </c>
      <c r="AP96" s="14">
        <v>0</v>
      </c>
    </row>
    <row r="97" spans="3:42" x14ac:dyDescent="0.25">
      <c r="M97">
        <v>3</v>
      </c>
      <c r="N97" t="s">
        <v>31</v>
      </c>
      <c r="O97">
        <f>$F$19</f>
        <v>0</v>
      </c>
      <c r="P97">
        <f>O97</f>
        <v>0</v>
      </c>
      <c r="Q97">
        <f>O97</f>
        <v>0</v>
      </c>
      <c r="R97">
        <f>O97</f>
        <v>0</v>
      </c>
      <c r="S97">
        <f>O97</f>
        <v>0</v>
      </c>
      <c r="T97">
        <f>O97</f>
        <v>0</v>
      </c>
      <c r="U97">
        <f>O97</f>
        <v>0</v>
      </c>
    </row>
    <row r="98" spans="3:42" x14ac:dyDescent="0.25">
      <c r="Z98" s="4"/>
      <c r="AA98" s="5">
        <v>1</v>
      </c>
      <c r="AB98" s="5">
        <v>2</v>
      </c>
      <c r="AC98" s="5">
        <v>3</v>
      </c>
      <c r="AD98" s="5">
        <v>4</v>
      </c>
      <c r="AE98" s="5">
        <v>5</v>
      </c>
      <c r="AF98" s="5">
        <v>6</v>
      </c>
      <c r="AG98" s="6">
        <v>7</v>
      </c>
      <c r="AI98" s="4"/>
      <c r="AJ98" s="5">
        <v>1</v>
      </c>
      <c r="AK98" s="5">
        <v>2</v>
      </c>
      <c r="AL98" s="5">
        <v>3</v>
      </c>
      <c r="AM98" s="5">
        <v>4</v>
      </c>
      <c r="AN98" s="5">
        <v>5</v>
      </c>
      <c r="AO98" s="5">
        <v>6</v>
      </c>
      <c r="AP98" s="6">
        <v>7</v>
      </c>
    </row>
    <row r="99" spans="3:42" x14ac:dyDescent="0.25">
      <c r="C99" t="s">
        <v>12</v>
      </c>
      <c r="E99">
        <v>1</v>
      </c>
      <c r="J99">
        <v>1</v>
      </c>
      <c r="L99">
        <v>1</v>
      </c>
      <c r="M99">
        <v>1</v>
      </c>
      <c r="N99" t="s">
        <v>29</v>
      </c>
      <c r="O99">
        <f>($F$20*1000)/($D$5*SQRT(3)*$I$20)</f>
        <v>0</v>
      </c>
      <c r="P99">
        <f>($F$20*1000)/(($D$5/SQRT(3))*$I$20)</f>
        <v>0</v>
      </c>
      <c r="Q99">
        <f>P99</f>
        <v>0</v>
      </c>
      <c r="R99">
        <f>P99</f>
        <v>0</v>
      </c>
      <c r="S99">
        <f>($F$20*1000)/($D$5*$I$20)</f>
        <v>0</v>
      </c>
      <c r="T99">
        <f>S99</f>
        <v>0</v>
      </c>
      <c r="U99">
        <f>S99</f>
        <v>0</v>
      </c>
      <c r="Z99" s="2"/>
      <c r="AA99" t="s">
        <v>32</v>
      </c>
      <c r="AB99" t="s">
        <v>34</v>
      </c>
      <c r="AC99" t="s">
        <v>35</v>
      </c>
      <c r="AD99" t="s">
        <v>36</v>
      </c>
      <c r="AE99" t="s">
        <v>37</v>
      </c>
      <c r="AF99" t="s">
        <v>38</v>
      </c>
      <c r="AG99" s="3" t="s">
        <v>39</v>
      </c>
      <c r="AI99" s="29" t="s">
        <v>55</v>
      </c>
      <c r="AJ99" t="s">
        <v>32</v>
      </c>
      <c r="AK99" t="s">
        <v>34</v>
      </c>
      <c r="AL99" t="s">
        <v>35</v>
      </c>
      <c r="AM99" t="s">
        <v>36</v>
      </c>
      <c r="AN99" t="s">
        <v>37</v>
      </c>
      <c r="AO99" t="s">
        <v>38</v>
      </c>
      <c r="AP99" s="3" t="s">
        <v>39</v>
      </c>
    </row>
    <row r="100" spans="3:42" x14ac:dyDescent="0.25">
      <c r="M100">
        <v>2</v>
      </c>
      <c r="N100" t="s">
        <v>30</v>
      </c>
      <c r="O100">
        <f>($F$20*1000)/($D$5*SQRT(3))</f>
        <v>0</v>
      </c>
      <c r="P100">
        <f>($F$20*1000)/(($D$5/SQRT(3)))</f>
        <v>0</v>
      </c>
      <c r="Q100">
        <f>P100</f>
        <v>0</v>
      </c>
      <c r="R100">
        <f>P100</f>
        <v>0</v>
      </c>
      <c r="S100">
        <f>($F$20*1000)/($D$5)</f>
        <v>0</v>
      </c>
      <c r="T100">
        <f>S100</f>
        <v>0</v>
      </c>
      <c r="U100">
        <f>S100</f>
        <v>0</v>
      </c>
      <c r="Z100" s="2" t="s">
        <v>50</v>
      </c>
      <c r="AA100" s="17">
        <f>H15</f>
        <v>0</v>
      </c>
      <c r="AB100" s="17">
        <f>AA100</f>
        <v>0</v>
      </c>
      <c r="AC100">
        <v>0</v>
      </c>
      <c r="AD100">
        <v>0</v>
      </c>
      <c r="AE100" s="17">
        <f>AA100</f>
        <v>0</v>
      </c>
      <c r="AF100">
        <v>0</v>
      </c>
      <c r="AG100" s="18">
        <f>AA100</f>
        <v>0</v>
      </c>
      <c r="AI100" s="2" t="s">
        <v>50</v>
      </c>
      <c r="AJ100" s="17">
        <f>K15</f>
        <v>0</v>
      </c>
      <c r="AK100" s="17">
        <f>AJ100</f>
        <v>0</v>
      </c>
      <c r="AL100">
        <v>0</v>
      </c>
      <c r="AM100">
        <v>0</v>
      </c>
      <c r="AN100" s="17">
        <f>AJ100+30</f>
        <v>30</v>
      </c>
      <c r="AO100">
        <v>0</v>
      </c>
      <c r="AP100" s="18">
        <f>AJ100-30</f>
        <v>-30</v>
      </c>
    </row>
    <row r="101" spans="3:42" x14ac:dyDescent="0.25">
      <c r="M101">
        <v>3</v>
      </c>
      <c r="N101" t="s">
        <v>31</v>
      </c>
      <c r="O101">
        <f>$F$20</f>
        <v>0</v>
      </c>
      <c r="P101">
        <f>O101</f>
        <v>0</v>
      </c>
      <c r="Q101">
        <f>O101</f>
        <v>0</v>
      </c>
      <c r="R101">
        <f>O101</f>
        <v>0</v>
      </c>
      <c r="S101">
        <f>O101</f>
        <v>0</v>
      </c>
      <c r="T101">
        <f>O101</f>
        <v>0</v>
      </c>
      <c r="U101">
        <f>O101</f>
        <v>0</v>
      </c>
      <c r="Y101">
        <v>8</v>
      </c>
      <c r="Z101" s="2" t="s">
        <v>51</v>
      </c>
      <c r="AA101" s="17">
        <f>AA100</f>
        <v>0</v>
      </c>
      <c r="AB101">
        <v>0</v>
      </c>
      <c r="AC101" s="17">
        <f>AA100</f>
        <v>0</v>
      </c>
      <c r="AD101">
        <v>0</v>
      </c>
      <c r="AE101" s="17">
        <f>AA100</f>
        <v>0</v>
      </c>
      <c r="AF101" s="17">
        <f>AA100</f>
        <v>0</v>
      </c>
      <c r="AG101" s="3">
        <v>0</v>
      </c>
      <c r="AI101" s="2" t="s">
        <v>51</v>
      </c>
      <c r="AJ101" s="17">
        <f>AJ100-120</f>
        <v>-120</v>
      </c>
      <c r="AK101">
        <v>0</v>
      </c>
      <c r="AL101" s="17">
        <f>AJ100-120</f>
        <v>-120</v>
      </c>
      <c r="AM101">
        <v>0</v>
      </c>
      <c r="AN101" s="17">
        <f>AJ100-150</f>
        <v>-150</v>
      </c>
      <c r="AO101" s="17">
        <f>AJ100-90</f>
        <v>-90</v>
      </c>
      <c r="AP101" s="3">
        <v>0</v>
      </c>
    </row>
    <row r="102" spans="3:42" x14ac:dyDescent="0.25">
      <c r="Z102" s="2" t="s">
        <v>52</v>
      </c>
      <c r="AA102" s="17">
        <f>AA100</f>
        <v>0</v>
      </c>
      <c r="AB102">
        <v>0</v>
      </c>
      <c r="AC102">
        <v>0</v>
      </c>
      <c r="AD102" s="17">
        <f>AA100</f>
        <v>0</v>
      </c>
      <c r="AE102">
        <v>0</v>
      </c>
      <c r="AF102" s="17">
        <f>AA100</f>
        <v>0</v>
      </c>
      <c r="AG102" s="18">
        <f>AA100</f>
        <v>0</v>
      </c>
      <c r="AI102" s="2" t="s">
        <v>52</v>
      </c>
      <c r="AJ102" s="17">
        <f>AJ100+120</f>
        <v>120</v>
      </c>
      <c r="AK102">
        <v>0</v>
      </c>
      <c r="AL102">
        <v>0</v>
      </c>
      <c r="AM102" s="17">
        <f>AJ100+120</f>
        <v>120</v>
      </c>
      <c r="AN102">
        <v>0</v>
      </c>
      <c r="AO102" s="17">
        <f>AJ100+90</f>
        <v>90</v>
      </c>
      <c r="AP102" s="18">
        <f>AJ100+150</f>
        <v>150</v>
      </c>
    </row>
    <row r="103" spans="3:42" x14ac:dyDescent="0.25">
      <c r="C103" t="s">
        <v>13</v>
      </c>
      <c r="E103">
        <v>1</v>
      </c>
      <c r="J103">
        <v>1</v>
      </c>
      <c r="L103">
        <v>1</v>
      </c>
      <c r="M103">
        <v>1</v>
      </c>
      <c r="N103" t="s">
        <v>29</v>
      </c>
      <c r="O103">
        <f>($F$21*1000)/($D$5*SQRT(3)*$I$21)</f>
        <v>0</v>
      </c>
      <c r="P103">
        <f>($F$21*1000)/(($D$5/SQRT(3))*$I$21)</f>
        <v>0</v>
      </c>
      <c r="Q103">
        <f>P103</f>
        <v>0</v>
      </c>
      <c r="R103">
        <f>P103</f>
        <v>0</v>
      </c>
      <c r="S103">
        <f>($F$21*1000)/($D$5*$I$21)</f>
        <v>0</v>
      </c>
      <c r="T103">
        <f>S103</f>
        <v>0</v>
      </c>
      <c r="U103">
        <f>S103</f>
        <v>0</v>
      </c>
      <c r="Z103" s="13" t="s">
        <v>42</v>
      </c>
      <c r="AA103" s="19">
        <v>0</v>
      </c>
      <c r="AB103" s="20">
        <f>AA100</f>
        <v>0</v>
      </c>
      <c r="AC103" s="20">
        <f>AA100</f>
        <v>0</v>
      </c>
      <c r="AD103" s="20">
        <f>AA100</f>
        <v>0</v>
      </c>
      <c r="AE103" s="19">
        <v>0</v>
      </c>
      <c r="AF103" s="19">
        <v>0</v>
      </c>
      <c r="AG103" s="14">
        <v>0</v>
      </c>
      <c r="AI103" s="13" t="s">
        <v>42</v>
      </c>
      <c r="AJ103" s="19">
        <v>0</v>
      </c>
      <c r="AK103" s="20">
        <f>AJ100+180</f>
        <v>180</v>
      </c>
      <c r="AL103" s="20">
        <f>AJ100+180-120</f>
        <v>60</v>
      </c>
      <c r="AM103" s="20">
        <f>AJ100-180+120</f>
        <v>-60</v>
      </c>
      <c r="AN103" s="19">
        <v>0</v>
      </c>
      <c r="AO103" s="19">
        <v>0</v>
      </c>
      <c r="AP103" s="14">
        <v>0</v>
      </c>
    </row>
    <row r="104" spans="3:42" x14ac:dyDescent="0.25">
      <c r="M104">
        <v>2</v>
      </c>
      <c r="N104" t="s">
        <v>30</v>
      </c>
      <c r="O104">
        <f>($F$21*1000)/($D$5*SQRT(3))</f>
        <v>0</v>
      </c>
      <c r="P104">
        <f>($F$21*1000)/(($D$5/SQRT(3)))</f>
        <v>0</v>
      </c>
      <c r="Q104">
        <f>P104</f>
        <v>0</v>
      </c>
      <c r="R104">
        <f>P104</f>
        <v>0</v>
      </c>
      <c r="S104">
        <f>($F$21*1000)/($D$5)</f>
        <v>0</v>
      </c>
      <c r="T104">
        <f>S104</f>
        <v>0</v>
      </c>
      <c r="U104">
        <f>S104</f>
        <v>0</v>
      </c>
    </row>
    <row r="105" spans="3:42" x14ac:dyDescent="0.25">
      <c r="M105">
        <v>3</v>
      </c>
      <c r="N105" t="s">
        <v>31</v>
      </c>
      <c r="O105">
        <f>$F$21</f>
        <v>0</v>
      </c>
      <c r="P105">
        <f>O105</f>
        <v>0</v>
      </c>
      <c r="Q105">
        <f>O105</f>
        <v>0</v>
      </c>
      <c r="R105">
        <f>O105</f>
        <v>0</v>
      </c>
      <c r="S105">
        <f>O105</f>
        <v>0</v>
      </c>
      <c r="T105">
        <f>O105</f>
        <v>0</v>
      </c>
      <c r="U105">
        <f>O105</f>
        <v>0</v>
      </c>
      <c r="Z105" s="4"/>
      <c r="AA105" s="5">
        <v>1</v>
      </c>
      <c r="AB105" s="5">
        <v>2</v>
      </c>
      <c r="AC105" s="5">
        <v>3</v>
      </c>
      <c r="AD105" s="5">
        <v>4</v>
      </c>
      <c r="AE105" s="5">
        <v>5</v>
      </c>
      <c r="AF105" s="5">
        <v>6</v>
      </c>
      <c r="AG105" s="6">
        <v>7</v>
      </c>
      <c r="AI105" s="4"/>
      <c r="AJ105" s="5">
        <v>1</v>
      </c>
      <c r="AK105" s="5">
        <v>2</v>
      </c>
      <c r="AL105" s="5">
        <v>3</v>
      </c>
      <c r="AM105" s="5">
        <v>4</v>
      </c>
      <c r="AN105" s="5">
        <v>5</v>
      </c>
      <c r="AO105" s="5">
        <v>6</v>
      </c>
      <c r="AP105" s="6">
        <v>7</v>
      </c>
    </row>
    <row r="106" spans="3:42" x14ac:dyDescent="0.25">
      <c r="Z106" s="2"/>
      <c r="AA106" t="s">
        <v>32</v>
      </c>
      <c r="AB106" t="s">
        <v>34</v>
      </c>
      <c r="AC106" t="s">
        <v>35</v>
      </c>
      <c r="AD106" t="s">
        <v>36</v>
      </c>
      <c r="AE106" t="s">
        <v>37</v>
      </c>
      <c r="AF106" t="s">
        <v>38</v>
      </c>
      <c r="AG106" s="3" t="s">
        <v>39</v>
      </c>
      <c r="AI106" s="29" t="s">
        <v>55</v>
      </c>
      <c r="AJ106" t="s">
        <v>32</v>
      </c>
      <c r="AK106" t="s">
        <v>34</v>
      </c>
      <c r="AL106" t="s">
        <v>35</v>
      </c>
      <c r="AM106" t="s">
        <v>36</v>
      </c>
      <c r="AN106" t="s">
        <v>37</v>
      </c>
      <c r="AO106" t="s">
        <v>38</v>
      </c>
      <c r="AP106" s="3" t="s">
        <v>39</v>
      </c>
    </row>
    <row r="107" spans="3:42" x14ac:dyDescent="0.25">
      <c r="C107" t="s">
        <v>14</v>
      </c>
      <c r="E107">
        <v>1</v>
      </c>
      <c r="J107">
        <v>1</v>
      </c>
      <c r="L107">
        <v>1</v>
      </c>
      <c r="M107">
        <v>1</v>
      </c>
      <c r="N107" t="s">
        <v>29</v>
      </c>
      <c r="O107">
        <f>($F$22*1000)/($D$5*SQRT(3)*$I$22)</f>
        <v>0</v>
      </c>
      <c r="P107">
        <f>($F$22*1000)/(($D$5/SQRT(3))*$I$22)</f>
        <v>0</v>
      </c>
      <c r="Q107">
        <f>P107</f>
        <v>0</v>
      </c>
      <c r="R107">
        <f>P107</f>
        <v>0</v>
      </c>
      <c r="S107">
        <f>($F$22*1000)/($D$5*$I$22)</f>
        <v>0</v>
      </c>
      <c r="T107">
        <f>S107</f>
        <v>0</v>
      </c>
      <c r="U107">
        <f>S107</f>
        <v>0</v>
      </c>
      <c r="Z107" s="2" t="s">
        <v>50</v>
      </c>
      <c r="AA107" s="17">
        <f>H16</f>
        <v>0</v>
      </c>
      <c r="AB107" s="17">
        <f>AA107</f>
        <v>0</v>
      </c>
      <c r="AC107">
        <v>0</v>
      </c>
      <c r="AD107">
        <v>0</v>
      </c>
      <c r="AE107" s="17">
        <f>AA107</f>
        <v>0</v>
      </c>
      <c r="AF107">
        <v>0</v>
      </c>
      <c r="AG107" s="18">
        <f>AA107</f>
        <v>0</v>
      </c>
      <c r="AI107" s="2" t="s">
        <v>50</v>
      </c>
      <c r="AJ107" s="17">
        <f>K16</f>
        <v>0</v>
      </c>
      <c r="AK107" s="17">
        <f>AJ107</f>
        <v>0</v>
      </c>
      <c r="AL107">
        <v>0</v>
      </c>
      <c r="AM107">
        <v>0</v>
      </c>
      <c r="AN107" s="17">
        <f>AJ107+30</f>
        <v>30</v>
      </c>
      <c r="AO107">
        <v>0</v>
      </c>
      <c r="AP107" s="18">
        <f>AJ107-30</f>
        <v>-30</v>
      </c>
    </row>
    <row r="108" spans="3:42" x14ac:dyDescent="0.25">
      <c r="M108">
        <v>2</v>
      </c>
      <c r="N108" t="s">
        <v>30</v>
      </c>
      <c r="O108">
        <f>($F$22*1000)/($D$5*SQRT(3))</f>
        <v>0</v>
      </c>
      <c r="P108">
        <f>($F$22*1000)/(($D$5/SQRT(3)))</f>
        <v>0</v>
      </c>
      <c r="Q108">
        <f>P108</f>
        <v>0</v>
      </c>
      <c r="R108">
        <f>P108</f>
        <v>0</v>
      </c>
      <c r="S108">
        <f>($F$22*1000)/($D$5)</f>
        <v>0</v>
      </c>
      <c r="T108">
        <f>S108</f>
        <v>0</v>
      </c>
      <c r="U108">
        <f>S108</f>
        <v>0</v>
      </c>
      <c r="Z108" s="2" t="s">
        <v>51</v>
      </c>
      <c r="AA108" s="17">
        <f>AA107</f>
        <v>0</v>
      </c>
      <c r="AB108">
        <v>0</v>
      </c>
      <c r="AC108" s="17">
        <f>AA107</f>
        <v>0</v>
      </c>
      <c r="AD108">
        <v>0</v>
      </c>
      <c r="AE108" s="17">
        <f>AA107</f>
        <v>0</v>
      </c>
      <c r="AF108" s="17">
        <f>AA107</f>
        <v>0</v>
      </c>
      <c r="AG108" s="3">
        <v>0</v>
      </c>
      <c r="AI108" s="2" t="s">
        <v>51</v>
      </c>
      <c r="AJ108" s="17">
        <f>AJ107-120</f>
        <v>-120</v>
      </c>
      <c r="AK108">
        <v>0</v>
      </c>
      <c r="AL108" s="17">
        <f>AJ107-120</f>
        <v>-120</v>
      </c>
      <c r="AM108">
        <v>0</v>
      </c>
      <c r="AN108" s="17">
        <f>AJ107-150</f>
        <v>-150</v>
      </c>
      <c r="AO108" s="17">
        <f>AJ107-90</f>
        <v>-90</v>
      </c>
      <c r="AP108" s="3">
        <v>0</v>
      </c>
    </row>
    <row r="109" spans="3:42" x14ac:dyDescent="0.25">
      <c r="M109">
        <v>3</v>
      </c>
      <c r="N109" t="s">
        <v>31</v>
      </c>
      <c r="O109">
        <f>$F$22</f>
        <v>0</v>
      </c>
      <c r="P109">
        <f>O109</f>
        <v>0</v>
      </c>
      <c r="Q109">
        <f>O109</f>
        <v>0</v>
      </c>
      <c r="R109">
        <f>O109</f>
        <v>0</v>
      </c>
      <c r="S109">
        <f>O109</f>
        <v>0</v>
      </c>
      <c r="T109">
        <f>O109</f>
        <v>0</v>
      </c>
      <c r="U109">
        <f>O109</f>
        <v>0</v>
      </c>
      <c r="Y109">
        <v>9</v>
      </c>
      <c r="Z109" s="2" t="s">
        <v>52</v>
      </c>
      <c r="AA109" s="17">
        <f>AA107</f>
        <v>0</v>
      </c>
      <c r="AB109">
        <v>0</v>
      </c>
      <c r="AC109">
        <v>0</v>
      </c>
      <c r="AD109" s="17">
        <f>AA107</f>
        <v>0</v>
      </c>
      <c r="AE109">
        <v>0</v>
      </c>
      <c r="AF109" s="17">
        <f>AA107</f>
        <v>0</v>
      </c>
      <c r="AG109" s="18">
        <f>AA107</f>
        <v>0</v>
      </c>
      <c r="AI109" s="2" t="s">
        <v>52</v>
      </c>
      <c r="AJ109" s="17">
        <f>AJ107+120</f>
        <v>120</v>
      </c>
      <c r="AK109">
        <v>0</v>
      </c>
      <c r="AL109">
        <v>0</v>
      </c>
      <c r="AM109" s="17">
        <f>AJ107+120</f>
        <v>120</v>
      </c>
      <c r="AN109">
        <v>0</v>
      </c>
      <c r="AO109" s="17">
        <f>AJ107+90</f>
        <v>90</v>
      </c>
      <c r="AP109" s="18">
        <f>AJ107+150</f>
        <v>150</v>
      </c>
    </row>
    <row r="110" spans="3:42" x14ac:dyDescent="0.25">
      <c r="Z110" s="13" t="s">
        <v>42</v>
      </c>
      <c r="AA110" s="19">
        <v>0</v>
      </c>
      <c r="AB110" s="20">
        <f>AA107</f>
        <v>0</v>
      </c>
      <c r="AC110" s="20">
        <f>AA107</f>
        <v>0</v>
      </c>
      <c r="AD110" s="20">
        <f>AA107</f>
        <v>0</v>
      </c>
      <c r="AE110" s="19">
        <v>0</v>
      </c>
      <c r="AF110" s="19">
        <v>0</v>
      </c>
      <c r="AG110" s="14">
        <v>0</v>
      </c>
      <c r="AI110" s="13" t="s">
        <v>42</v>
      </c>
      <c r="AJ110" s="19">
        <v>0</v>
      </c>
      <c r="AK110" s="20">
        <f>AJ107+180</f>
        <v>180</v>
      </c>
      <c r="AL110" s="20">
        <f>AJ107+180-120</f>
        <v>60</v>
      </c>
      <c r="AM110" s="20">
        <f>AJ107-180+120</f>
        <v>-60</v>
      </c>
      <c r="AN110" s="19">
        <v>0</v>
      </c>
      <c r="AO110" s="19">
        <v>0</v>
      </c>
      <c r="AP110" s="14">
        <v>0</v>
      </c>
    </row>
    <row r="111" spans="3:42" ht="18" x14ac:dyDescent="0.35">
      <c r="C111" s="7"/>
      <c r="D111" s="12"/>
      <c r="E111" s="7" t="s">
        <v>44</v>
      </c>
      <c r="F111" s="12"/>
      <c r="G111" s="7" t="s">
        <v>45</v>
      </c>
      <c r="H111" s="12"/>
      <c r="I111" s="7" t="s">
        <v>46</v>
      </c>
      <c r="J111" s="12"/>
      <c r="K111" s="7" t="s">
        <v>47</v>
      </c>
      <c r="L111" s="12"/>
    </row>
    <row r="112" spans="3:42" x14ac:dyDescent="0.25">
      <c r="C112" s="9" t="s">
        <v>41</v>
      </c>
      <c r="D112" s="10"/>
      <c r="E112" s="9" t="s">
        <v>48</v>
      </c>
      <c r="F112" s="10" t="s">
        <v>49</v>
      </c>
      <c r="G112" s="9" t="s">
        <v>48</v>
      </c>
      <c r="H112" s="10" t="s">
        <v>49</v>
      </c>
      <c r="I112" s="9" t="s">
        <v>48</v>
      </c>
      <c r="J112" s="10" t="s">
        <v>49</v>
      </c>
      <c r="K112" s="9" t="s">
        <v>48</v>
      </c>
      <c r="L112" s="10" t="s">
        <v>49</v>
      </c>
      <c r="M112" s="8"/>
      <c r="N112" s="8"/>
      <c r="O112" s="8"/>
      <c r="Z112" s="4"/>
      <c r="AA112" s="5">
        <v>1</v>
      </c>
      <c r="AB112" s="5">
        <v>2</v>
      </c>
      <c r="AC112" s="5">
        <v>3</v>
      </c>
      <c r="AD112" s="5">
        <v>4</v>
      </c>
      <c r="AE112" s="5">
        <v>5</v>
      </c>
      <c r="AF112" s="5">
        <v>6</v>
      </c>
      <c r="AG112" s="6">
        <v>7</v>
      </c>
      <c r="AI112" s="4"/>
      <c r="AJ112" s="5">
        <v>1</v>
      </c>
      <c r="AK112" s="5">
        <v>2</v>
      </c>
      <c r="AL112" s="5">
        <v>3</v>
      </c>
      <c r="AM112" s="5">
        <v>4</v>
      </c>
      <c r="AN112" s="5">
        <v>5</v>
      </c>
      <c r="AO112" s="5">
        <v>6</v>
      </c>
      <c r="AP112" s="6">
        <v>7</v>
      </c>
    </row>
    <row r="113" spans="3:42" x14ac:dyDescent="0.25">
      <c r="C113" s="2" t="str">
        <f t="shared" ref="C113:C127" si="2">C8</f>
        <v>Belastning 1</v>
      </c>
      <c r="D113" s="15"/>
      <c r="E113" s="2">
        <f>COS(RADIANS(Q8))*O8</f>
        <v>0</v>
      </c>
      <c r="F113" s="3">
        <f>SIN(RADIANS(Q8))*O8</f>
        <v>0</v>
      </c>
      <c r="G113" s="2">
        <f>COS(RADIANS(T8))*R8</f>
        <v>0</v>
      </c>
      <c r="H113" s="3">
        <f>SIN(RADIANS(T8))*R8</f>
        <v>0</v>
      </c>
      <c r="I113" s="2">
        <f>COS(RADIANS(W8))*U8</f>
        <v>0</v>
      </c>
      <c r="J113" s="3">
        <f>SIN(RADIANS(W8))*U8</f>
        <v>0</v>
      </c>
      <c r="K113" s="2"/>
      <c r="L113" s="3"/>
      <c r="M113" s="11"/>
      <c r="O113" s="8"/>
      <c r="Z113" s="2"/>
      <c r="AA113" t="s">
        <v>32</v>
      </c>
      <c r="AB113" t="s">
        <v>34</v>
      </c>
      <c r="AC113" t="s">
        <v>35</v>
      </c>
      <c r="AD113" t="s">
        <v>36</v>
      </c>
      <c r="AE113" t="s">
        <v>37</v>
      </c>
      <c r="AF113" t="s">
        <v>38</v>
      </c>
      <c r="AG113" s="3" t="s">
        <v>39</v>
      </c>
      <c r="AI113" s="29" t="s">
        <v>55</v>
      </c>
      <c r="AJ113" t="s">
        <v>32</v>
      </c>
      <c r="AK113" t="s">
        <v>34</v>
      </c>
      <c r="AL113" t="s">
        <v>35</v>
      </c>
      <c r="AM113" t="s">
        <v>36</v>
      </c>
      <c r="AN113" t="s">
        <v>37</v>
      </c>
      <c r="AO113" t="s">
        <v>38</v>
      </c>
      <c r="AP113" s="3" t="s">
        <v>39</v>
      </c>
    </row>
    <row r="114" spans="3:42" x14ac:dyDescent="0.25">
      <c r="C114" s="2" t="str">
        <f t="shared" si="2"/>
        <v>Belastning 2</v>
      </c>
      <c r="D114" s="15"/>
      <c r="E114" s="2">
        <f t="shared" ref="E114:E127" si="3">COS(RADIANS(Q9))*O9</f>
        <v>0</v>
      </c>
      <c r="F114" s="3">
        <f t="shared" ref="F114:F127" si="4">SIN(RADIANS(Q9))*O9</f>
        <v>0</v>
      </c>
      <c r="G114" s="2">
        <f t="shared" ref="G114:G127" si="5">COS(RADIANS(T9))*R9</f>
        <v>0</v>
      </c>
      <c r="H114" s="3">
        <f t="shared" ref="H114:H127" si="6">SIN(RADIANS(T9))*R9</f>
        <v>0</v>
      </c>
      <c r="I114" s="2">
        <f t="shared" ref="I114:I127" si="7">COS(RADIANS(W9))*U9</f>
        <v>0</v>
      </c>
      <c r="J114" s="3">
        <f t="shared" ref="J114:J127" si="8">SIN(RADIANS(W9))*U9</f>
        <v>0</v>
      </c>
      <c r="K114" s="2"/>
      <c r="L114" s="3"/>
      <c r="M114" s="11"/>
      <c r="O114" s="8"/>
      <c r="Z114" s="2" t="s">
        <v>50</v>
      </c>
      <c r="AA114" s="17">
        <f>H17</f>
        <v>0</v>
      </c>
      <c r="AB114" s="17">
        <f>AA114</f>
        <v>0</v>
      </c>
      <c r="AC114">
        <v>0</v>
      </c>
      <c r="AD114">
        <v>0</v>
      </c>
      <c r="AE114" s="17">
        <f>AA114</f>
        <v>0</v>
      </c>
      <c r="AF114">
        <v>0</v>
      </c>
      <c r="AG114" s="18">
        <f>AA114</f>
        <v>0</v>
      </c>
      <c r="AI114" s="2" t="s">
        <v>50</v>
      </c>
      <c r="AJ114" s="17">
        <f>K17</f>
        <v>0</v>
      </c>
      <c r="AK114" s="17">
        <f>AJ114</f>
        <v>0</v>
      </c>
      <c r="AL114">
        <v>0</v>
      </c>
      <c r="AM114">
        <v>0</v>
      </c>
      <c r="AN114" s="17">
        <f>AJ114+30</f>
        <v>30</v>
      </c>
      <c r="AO114">
        <v>0</v>
      </c>
      <c r="AP114" s="18">
        <f>AJ114-30</f>
        <v>-30</v>
      </c>
    </row>
    <row r="115" spans="3:42" x14ac:dyDescent="0.25">
      <c r="C115" s="2" t="str">
        <f t="shared" si="2"/>
        <v>Belastning 3</v>
      </c>
      <c r="D115" s="15"/>
      <c r="E115" s="2">
        <f t="shared" si="3"/>
        <v>0</v>
      </c>
      <c r="F115" s="3">
        <f t="shared" si="4"/>
        <v>0</v>
      </c>
      <c r="G115" s="2">
        <f t="shared" si="5"/>
        <v>0</v>
      </c>
      <c r="H115" s="3">
        <f t="shared" si="6"/>
        <v>0</v>
      </c>
      <c r="I115" s="2">
        <f t="shared" si="7"/>
        <v>0</v>
      </c>
      <c r="J115" s="3">
        <f t="shared" si="8"/>
        <v>0</v>
      </c>
      <c r="K115" s="2"/>
      <c r="L115" s="3"/>
      <c r="M115" s="11"/>
      <c r="O115" s="8"/>
      <c r="Z115" s="2" t="s">
        <v>51</v>
      </c>
      <c r="AA115" s="17">
        <f>AA114</f>
        <v>0</v>
      </c>
      <c r="AB115">
        <v>0</v>
      </c>
      <c r="AC115" s="17">
        <f>AA114</f>
        <v>0</v>
      </c>
      <c r="AD115">
        <v>0</v>
      </c>
      <c r="AE115" s="17">
        <f>AA114</f>
        <v>0</v>
      </c>
      <c r="AF115" s="17">
        <f>AA114</f>
        <v>0</v>
      </c>
      <c r="AG115" s="3">
        <v>0</v>
      </c>
      <c r="AI115" s="2" t="s">
        <v>51</v>
      </c>
      <c r="AJ115" s="17">
        <f>AJ114-120</f>
        <v>-120</v>
      </c>
      <c r="AK115">
        <v>0</v>
      </c>
      <c r="AL115" s="17">
        <f>AJ114-120</f>
        <v>-120</v>
      </c>
      <c r="AM115">
        <v>0</v>
      </c>
      <c r="AN115" s="17">
        <f>AJ114-150</f>
        <v>-150</v>
      </c>
      <c r="AO115" s="17">
        <f>AJ114-90</f>
        <v>-90</v>
      </c>
      <c r="AP115" s="3">
        <v>0</v>
      </c>
    </row>
    <row r="116" spans="3:42" x14ac:dyDescent="0.25">
      <c r="C116" s="2" t="str">
        <f t="shared" si="2"/>
        <v>Belastning 4</v>
      </c>
      <c r="D116" s="15"/>
      <c r="E116" s="2">
        <f t="shared" si="3"/>
        <v>0</v>
      </c>
      <c r="F116" s="3">
        <f t="shared" si="4"/>
        <v>0</v>
      </c>
      <c r="G116" s="2">
        <f t="shared" si="5"/>
        <v>0</v>
      </c>
      <c r="H116" s="3">
        <f t="shared" si="6"/>
        <v>0</v>
      </c>
      <c r="I116" s="2">
        <f t="shared" si="7"/>
        <v>0</v>
      </c>
      <c r="J116" s="3">
        <f t="shared" si="8"/>
        <v>0</v>
      </c>
      <c r="K116" s="2"/>
      <c r="L116" s="3"/>
      <c r="M116" s="11"/>
      <c r="O116" s="8"/>
      <c r="Y116">
        <v>10</v>
      </c>
      <c r="Z116" s="2" t="s">
        <v>52</v>
      </c>
      <c r="AA116" s="17">
        <f>AA114</f>
        <v>0</v>
      </c>
      <c r="AB116">
        <v>0</v>
      </c>
      <c r="AC116">
        <v>0</v>
      </c>
      <c r="AD116" s="17">
        <f>AA114</f>
        <v>0</v>
      </c>
      <c r="AE116">
        <v>0</v>
      </c>
      <c r="AF116" s="17">
        <f>AA114</f>
        <v>0</v>
      </c>
      <c r="AG116" s="18">
        <f>AA114</f>
        <v>0</v>
      </c>
      <c r="AI116" s="2" t="s">
        <v>52</v>
      </c>
      <c r="AJ116" s="17">
        <f>AJ114+120</f>
        <v>120</v>
      </c>
      <c r="AK116">
        <v>0</v>
      </c>
      <c r="AL116">
        <v>0</v>
      </c>
      <c r="AM116" s="17">
        <f>AJ114+120</f>
        <v>120</v>
      </c>
      <c r="AN116">
        <v>0</v>
      </c>
      <c r="AO116" s="17">
        <f>AJ114+90</f>
        <v>90</v>
      </c>
      <c r="AP116" s="18">
        <f>AJ114+150</f>
        <v>150</v>
      </c>
    </row>
    <row r="117" spans="3:42" x14ac:dyDescent="0.25">
      <c r="C117" s="2" t="str">
        <f t="shared" si="2"/>
        <v>Belastning 5</v>
      </c>
      <c r="D117" s="15"/>
      <c r="E117" s="2">
        <f t="shared" si="3"/>
        <v>0</v>
      </c>
      <c r="F117" s="3">
        <f t="shared" si="4"/>
        <v>0</v>
      </c>
      <c r="G117" s="2">
        <f t="shared" si="5"/>
        <v>0</v>
      </c>
      <c r="H117" s="3">
        <f t="shared" si="6"/>
        <v>0</v>
      </c>
      <c r="I117" s="2">
        <f t="shared" si="7"/>
        <v>0</v>
      </c>
      <c r="J117" s="3">
        <f t="shared" si="8"/>
        <v>0</v>
      </c>
      <c r="K117" s="2"/>
      <c r="L117" s="3"/>
      <c r="M117" s="11"/>
      <c r="O117" s="8"/>
      <c r="Z117" s="13" t="s">
        <v>42</v>
      </c>
      <c r="AA117" s="19">
        <v>0</v>
      </c>
      <c r="AB117" s="20">
        <f>AA114</f>
        <v>0</v>
      </c>
      <c r="AC117" s="20">
        <f>AA114</f>
        <v>0</v>
      </c>
      <c r="AD117" s="20">
        <f>AA114</f>
        <v>0</v>
      </c>
      <c r="AE117" s="19">
        <v>0</v>
      </c>
      <c r="AF117" s="19">
        <v>0</v>
      </c>
      <c r="AG117" s="14">
        <v>0</v>
      </c>
      <c r="AI117" s="13" t="s">
        <v>42</v>
      </c>
      <c r="AJ117" s="19">
        <v>0</v>
      </c>
      <c r="AK117" s="20">
        <f>AJ114+180</f>
        <v>180</v>
      </c>
      <c r="AL117" s="20">
        <f>AJ114+180-120</f>
        <v>60</v>
      </c>
      <c r="AM117" s="20">
        <f>AJ114-180+120</f>
        <v>-60</v>
      </c>
      <c r="AN117" s="19">
        <v>0</v>
      </c>
      <c r="AO117" s="19">
        <v>0</v>
      </c>
      <c r="AP117" s="14">
        <v>0</v>
      </c>
    </row>
    <row r="118" spans="3:42" x14ac:dyDescent="0.25">
      <c r="C118" s="2" t="str">
        <f t="shared" si="2"/>
        <v>Belastning 6</v>
      </c>
      <c r="D118" s="15"/>
      <c r="E118" s="2">
        <f t="shared" si="3"/>
        <v>0</v>
      </c>
      <c r="F118" s="3">
        <f t="shared" si="4"/>
        <v>0</v>
      </c>
      <c r="G118" s="2">
        <f t="shared" si="5"/>
        <v>0</v>
      </c>
      <c r="H118" s="3">
        <f t="shared" si="6"/>
        <v>0</v>
      </c>
      <c r="I118" s="2">
        <f t="shared" si="7"/>
        <v>0</v>
      </c>
      <c r="J118" s="3">
        <f t="shared" si="8"/>
        <v>0</v>
      </c>
      <c r="K118" s="2"/>
      <c r="L118" s="3"/>
      <c r="M118" s="11"/>
      <c r="O118" s="8"/>
    </row>
    <row r="119" spans="3:42" x14ac:dyDescent="0.25">
      <c r="C119" s="2" t="str">
        <f t="shared" si="2"/>
        <v>Belastning 7</v>
      </c>
      <c r="D119" s="15"/>
      <c r="E119" s="2">
        <f t="shared" si="3"/>
        <v>0</v>
      </c>
      <c r="F119" s="3">
        <f t="shared" si="4"/>
        <v>0</v>
      </c>
      <c r="G119" s="2">
        <f t="shared" si="5"/>
        <v>0</v>
      </c>
      <c r="H119" s="3">
        <f t="shared" si="6"/>
        <v>0</v>
      </c>
      <c r="I119" s="2">
        <f t="shared" si="7"/>
        <v>0</v>
      </c>
      <c r="J119" s="3">
        <f t="shared" si="8"/>
        <v>0</v>
      </c>
      <c r="K119" s="2"/>
      <c r="L119" s="3"/>
      <c r="M119" s="11"/>
      <c r="O119" s="8"/>
      <c r="Z119" s="4"/>
      <c r="AA119" s="5">
        <v>1</v>
      </c>
      <c r="AB119" s="5">
        <v>2</v>
      </c>
      <c r="AC119" s="5">
        <v>3</v>
      </c>
      <c r="AD119" s="5">
        <v>4</v>
      </c>
      <c r="AE119" s="5">
        <v>5</v>
      </c>
      <c r="AF119" s="5">
        <v>6</v>
      </c>
      <c r="AG119" s="6">
        <v>7</v>
      </c>
      <c r="AI119" s="4"/>
      <c r="AJ119" s="5">
        <v>1</v>
      </c>
      <c r="AK119" s="5">
        <v>2</v>
      </c>
      <c r="AL119" s="5">
        <v>3</v>
      </c>
      <c r="AM119" s="5">
        <v>4</v>
      </c>
      <c r="AN119" s="5">
        <v>5</v>
      </c>
      <c r="AO119" s="5">
        <v>6</v>
      </c>
      <c r="AP119" s="6">
        <v>7</v>
      </c>
    </row>
    <row r="120" spans="3:42" x14ac:dyDescent="0.25">
      <c r="C120" s="2" t="str">
        <f t="shared" si="2"/>
        <v>Belastning 8</v>
      </c>
      <c r="D120" s="15"/>
      <c r="E120" s="2">
        <f t="shared" si="3"/>
        <v>0</v>
      </c>
      <c r="F120" s="3">
        <f t="shared" si="4"/>
        <v>0</v>
      </c>
      <c r="G120" s="2">
        <f t="shared" si="5"/>
        <v>0</v>
      </c>
      <c r="H120" s="3">
        <f t="shared" si="6"/>
        <v>0</v>
      </c>
      <c r="I120" s="2">
        <f t="shared" si="7"/>
        <v>0</v>
      </c>
      <c r="J120" s="3">
        <f t="shared" si="8"/>
        <v>0</v>
      </c>
      <c r="K120" s="2"/>
      <c r="L120" s="3"/>
      <c r="M120" s="11"/>
      <c r="O120" s="8"/>
      <c r="Z120" s="2"/>
      <c r="AA120" t="s">
        <v>32</v>
      </c>
      <c r="AB120" t="s">
        <v>34</v>
      </c>
      <c r="AC120" t="s">
        <v>35</v>
      </c>
      <c r="AD120" t="s">
        <v>36</v>
      </c>
      <c r="AE120" t="s">
        <v>37</v>
      </c>
      <c r="AF120" t="s">
        <v>38</v>
      </c>
      <c r="AG120" s="3" t="s">
        <v>39</v>
      </c>
      <c r="AI120" s="29" t="s">
        <v>55</v>
      </c>
      <c r="AJ120" t="s">
        <v>32</v>
      </c>
      <c r="AK120" t="s">
        <v>34</v>
      </c>
      <c r="AL120" t="s">
        <v>35</v>
      </c>
      <c r="AM120" t="s">
        <v>36</v>
      </c>
      <c r="AN120" t="s">
        <v>37</v>
      </c>
      <c r="AO120" t="s">
        <v>38</v>
      </c>
      <c r="AP120" s="3" t="s">
        <v>39</v>
      </c>
    </row>
    <row r="121" spans="3:42" x14ac:dyDescent="0.25">
      <c r="C121" s="2" t="str">
        <f t="shared" si="2"/>
        <v>Belastning 9</v>
      </c>
      <c r="D121" s="15"/>
      <c r="E121" s="2">
        <f t="shared" si="3"/>
        <v>0</v>
      </c>
      <c r="F121" s="3">
        <f t="shared" si="4"/>
        <v>0</v>
      </c>
      <c r="G121" s="2">
        <f t="shared" si="5"/>
        <v>0</v>
      </c>
      <c r="H121" s="3">
        <f t="shared" si="6"/>
        <v>0</v>
      </c>
      <c r="I121" s="2">
        <f t="shared" si="7"/>
        <v>0</v>
      </c>
      <c r="J121" s="3">
        <f t="shared" si="8"/>
        <v>0</v>
      </c>
      <c r="K121" s="2"/>
      <c r="L121" s="3"/>
      <c r="M121" s="11"/>
      <c r="O121" s="8"/>
      <c r="Z121" s="2" t="s">
        <v>50</v>
      </c>
      <c r="AA121" s="17">
        <f>H18</f>
        <v>0</v>
      </c>
      <c r="AB121" s="17">
        <f>AA121</f>
        <v>0</v>
      </c>
      <c r="AC121">
        <v>0</v>
      </c>
      <c r="AD121">
        <v>0</v>
      </c>
      <c r="AE121" s="17">
        <f>AA121</f>
        <v>0</v>
      </c>
      <c r="AF121">
        <v>0</v>
      </c>
      <c r="AG121" s="18">
        <f>AA121</f>
        <v>0</v>
      </c>
      <c r="AI121" s="2" t="s">
        <v>50</v>
      </c>
      <c r="AJ121" s="17">
        <f>K18</f>
        <v>0</v>
      </c>
      <c r="AK121" s="17">
        <f>AJ121</f>
        <v>0</v>
      </c>
      <c r="AL121">
        <v>0</v>
      </c>
      <c r="AM121">
        <v>0</v>
      </c>
      <c r="AN121" s="17">
        <f>AJ121+30</f>
        <v>30</v>
      </c>
      <c r="AO121">
        <v>0</v>
      </c>
      <c r="AP121" s="18">
        <f>AJ121-30</f>
        <v>-30</v>
      </c>
    </row>
    <row r="122" spans="3:42" x14ac:dyDescent="0.25">
      <c r="C122" s="2" t="str">
        <f t="shared" si="2"/>
        <v>Belastning 10</v>
      </c>
      <c r="D122" s="15"/>
      <c r="E122" s="2">
        <f t="shared" si="3"/>
        <v>0</v>
      </c>
      <c r="F122" s="3">
        <f t="shared" si="4"/>
        <v>0</v>
      </c>
      <c r="G122" s="2">
        <f t="shared" si="5"/>
        <v>0</v>
      </c>
      <c r="H122" s="3">
        <f t="shared" si="6"/>
        <v>0</v>
      </c>
      <c r="I122" s="2">
        <f t="shared" si="7"/>
        <v>0</v>
      </c>
      <c r="J122" s="3">
        <f t="shared" si="8"/>
        <v>0</v>
      </c>
      <c r="K122" s="2"/>
      <c r="L122" s="3"/>
      <c r="M122" s="11"/>
      <c r="O122" s="8"/>
      <c r="Z122" s="2" t="s">
        <v>51</v>
      </c>
      <c r="AA122" s="17">
        <f>AA121</f>
        <v>0</v>
      </c>
      <c r="AB122">
        <v>0</v>
      </c>
      <c r="AC122" s="17">
        <f>AA121</f>
        <v>0</v>
      </c>
      <c r="AD122">
        <v>0</v>
      </c>
      <c r="AE122" s="17">
        <f>AA121</f>
        <v>0</v>
      </c>
      <c r="AF122" s="17">
        <f>AA121</f>
        <v>0</v>
      </c>
      <c r="AG122" s="3">
        <v>0</v>
      </c>
      <c r="AI122" s="2" t="s">
        <v>51</v>
      </c>
      <c r="AJ122" s="17">
        <f>AJ121-120</f>
        <v>-120</v>
      </c>
      <c r="AK122">
        <v>0</v>
      </c>
      <c r="AL122" s="17">
        <f>AJ121-120</f>
        <v>-120</v>
      </c>
      <c r="AM122">
        <v>0</v>
      </c>
      <c r="AN122" s="17">
        <f>AJ121-150</f>
        <v>-150</v>
      </c>
      <c r="AO122" s="17">
        <f>AJ121-90</f>
        <v>-90</v>
      </c>
      <c r="AP122" s="3">
        <v>0</v>
      </c>
    </row>
    <row r="123" spans="3:42" x14ac:dyDescent="0.25">
      <c r="C123" s="2" t="str">
        <f t="shared" si="2"/>
        <v>Belastning 11</v>
      </c>
      <c r="D123" s="15"/>
      <c r="E123" s="2">
        <f t="shared" si="3"/>
        <v>0</v>
      </c>
      <c r="F123" s="3">
        <f t="shared" si="4"/>
        <v>0</v>
      </c>
      <c r="G123" s="2">
        <f t="shared" si="5"/>
        <v>0</v>
      </c>
      <c r="H123" s="3">
        <f t="shared" si="6"/>
        <v>0</v>
      </c>
      <c r="I123" s="2">
        <f t="shared" si="7"/>
        <v>0</v>
      </c>
      <c r="J123" s="3">
        <f t="shared" si="8"/>
        <v>0</v>
      </c>
      <c r="K123" s="2"/>
      <c r="L123" s="3"/>
      <c r="M123" s="11"/>
      <c r="O123" s="8"/>
      <c r="Y123">
        <v>11</v>
      </c>
      <c r="Z123" s="2" t="s">
        <v>52</v>
      </c>
      <c r="AA123" s="17">
        <f>AA121</f>
        <v>0</v>
      </c>
      <c r="AB123">
        <v>0</v>
      </c>
      <c r="AC123">
        <v>0</v>
      </c>
      <c r="AD123" s="17">
        <f>AA121</f>
        <v>0</v>
      </c>
      <c r="AE123">
        <v>0</v>
      </c>
      <c r="AF123" s="17">
        <f>AA121</f>
        <v>0</v>
      </c>
      <c r="AG123" s="18">
        <f>AA121</f>
        <v>0</v>
      </c>
      <c r="AI123" s="2" t="s">
        <v>52</v>
      </c>
      <c r="AJ123" s="17">
        <f>AJ121+120</f>
        <v>120</v>
      </c>
      <c r="AK123">
        <v>0</v>
      </c>
      <c r="AL123">
        <v>0</v>
      </c>
      <c r="AM123" s="17">
        <f>AJ121+120</f>
        <v>120</v>
      </c>
      <c r="AN123">
        <v>0</v>
      </c>
      <c r="AO123" s="17">
        <f>AJ121+90</f>
        <v>90</v>
      </c>
      <c r="AP123" s="18">
        <f>AJ121+150</f>
        <v>150</v>
      </c>
    </row>
    <row r="124" spans="3:42" x14ac:dyDescent="0.25">
      <c r="C124" s="2" t="str">
        <f t="shared" si="2"/>
        <v>Belastning 12</v>
      </c>
      <c r="D124" s="15"/>
      <c r="E124" s="2">
        <f t="shared" si="3"/>
        <v>0</v>
      </c>
      <c r="F124" s="3">
        <f t="shared" si="4"/>
        <v>0</v>
      </c>
      <c r="G124" s="2">
        <f t="shared" si="5"/>
        <v>0</v>
      </c>
      <c r="H124" s="3">
        <f t="shared" si="6"/>
        <v>0</v>
      </c>
      <c r="I124" s="2">
        <f t="shared" si="7"/>
        <v>0</v>
      </c>
      <c r="J124" s="3">
        <f t="shared" si="8"/>
        <v>0</v>
      </c>
      <c r="K124" s="2"/>
      <c r="L124" s="3"/>
      <c r="M124" s="11"/>
      <c r="O124" s="8"/>
      <c r="Z124" s="13" t="s">
        <v>42</v>
      </c>
      <c r="AA124" s="19">
        <v>0</v>
      </c>
      <c r="AB124" s="20">
        <f>AA121</f>
        <v>0</v>
      </c>
      <c r="AC124" s="20">
        <f>AA121</f>
        <v>0</v>
      </c>
      <c r="AD124" s="20">
        <f>AA121</f>
        <v>0</v>
      </c>
      <c r="AE124" s="19">
        <v>0</v>
      </c>
      <c r="AF124" s="19">
        <v>0</v>
      </c>
      <c r="AG124" s="14">
        <v>0</v>
      </c>
      <c r="AI124" s="13" t="s">
        <v>42</v>
      </c>
      <c r="AJ124" s="19">
        <v>0</v>
      </c>
      <c r="AK124" s="20">
        <f>AJ121+180</f>
        <v>180</v>
      </c>
      <c r="AL124" s="20">
        <f>AJ121+180-120</f>
        <v>60</v>
      </c>
      <c r="AM124" s="20">
        <f>AJ121-180+120</f>
        <v>-60</v>
      </c>
      <c r="AN124" s="19">
        <v>0</v>
      </c>
      <c r="AO124" s="19">
        <v>0</v>
      </c>
      <c r="AP124" s="14">
        <v>0</v>
      </c>
    </row>
    <row r="125" spans="3:42" x14ac:dyDescent="0.25">
      <c r="C125" s="2" t="str">
        <f t="shared" si="2"/>
        <v>Belastning 13</v>
      </c>
      <c r="D125" s="15"/>
      <c r="E125" s="2">
        <f t="shared" si="3"/>
        <v>0</v>
      </c>
      <c r="F125" s="3">
        <f t="shared" si="4"/>
        <v>0</v>
      </c>
      <c r="G125" s="2">
        <f t="shared" si="5"/>
        <v>0</v>
      </c>
      <c r="H125" s="3">
        <f t="shared" si="6"/>
        <v>0</v>
      </c>
      <c r="I125" s="2">
        <f t="shared" si="7"/>
        <v>0</v>
      </c>
      <c r="J125" s="3">
        <f t="shared" si="8"/>
        <v>0</v>
      </c>
      <c r="K125" s="2"/>
      <c r="L125" s="3"/>
      <c r="M125" s="11"/>
      <c r="O125" s="8"/>
    </row>
    <row r="126" spans="3:42" x14ac:dyDescent="0.25">
      <c r="C126" s="2" t="str">
        <f t="shared" si="2"/>
        <v>Belastning 14</v>
      </c>
      <c r="D126" s="15"/>
      <c r="E126" s="2">
        <f t="shared" si="3"/>
        <v>0</v>
      </c>
      <c r="F126" s="3">
        <f t="shared" si="4"/>
        <v>0</v>
      </c>
      <c r="G126" s="2">
        <f t="shared" si="5"/>
        <v>0</v>
      </c>
      <c r="H126" s="3">
        <f t="shared" si="6"/>
        <v>0</v>
      </c>
      <c r="I126" s="2">
        <f t="shared" si="7"/>
        <v>0</v>
      </c>
      <c r="J126" s="3">
        <f t="shared" si="8"/>
        <v>0</v>
      </c>
      <c r="K126" s="2"/>
      <c r="L126" s="3"/>
      <c r="M126" s="11"/>
      <c r="O126" s="8"/>
      <c r="Z126" s="4"/>
      <c r="AA126" s="5">
        <v>1</v>
      </c>
      <c r="AB126" s="5">
        <v>2</v>
      </c>
      <c r="AC126" s="5">
        <v>3</v>
      </c>
      <c r="AD126" s="5">
        <v>4</v>
      </c>
      <c r="AE126" s="5">
        <v>5</v>
      </c>
      <c r="AF126" s="5">
        <v>6</v>
      </c>
      <c r="AG126" s="6">
        <v>7</v>
      </c>
      <c r="AI126" s="4"/>
      <c r="AJ126" s="5">
        <v>1</v>
      </c>
      <c r="AK126" s="5">
        <v>2</v>
      </c>
      <c r="AL126" s="5">
        <v>3</v>
      </c>
      <c r="AM126" s="5">
        <v>4</v>
      </c>
      <c r="AN126" s="5">
        <v>5</v>
      </c>
      <c r="AO126" s="5">
        <v>6</v>
      </c>
      <c r="AP126" s="6">
        <v>7</v>
      </c>
    </row>
    <row r="127" spans="3:42" x14ac:dyDescent="0.25">
      <c r="C127" s="13" t="str">
        <f t="shared" si="2"/>
        <v>Belastning 15</v>
      </c>
      <c r="D127" s="16"/>
      <c r="E127" s="2">
        <f t="shared" si="3"/>
        <v>0</v>
      </c>
      <c r="F127" s="3">
        <f t="shared" si="4"/>
        <v>0</v>
      </c>
      <c r="G127" s="2">
        <f t="shared" si="5"/>
        <v>0</v>
      </c>
      <c r="H127" s="3">
        <f t="shared" si="6"/>
        <v>0</v>
      </c>
      <c r="I127" s="2">
        <f t="shared" si="7"/>
        <v>0</v>
      </c>
      <c r="J127" s="3">
        <f t="shared" si="8"/>
        <v>0</v>
      </c>
      <c r="K127" s="2"/>
      <c r="L127" s="3"/>
      <c r="M127" s="11"/>
      <c r="O127" s="8"/>
      <c r="Z127" s="2"/>
      <c r="AA127" t="s">
        <v>32</v>
      </c>
      <c r="AB127" t="s">
        <v>34</v>
      </c>
      <c r="AC127" t="s">
        <v>35</v>
      </c>
      <c r="AD127" t="s">
        <v>36</v>
      </c>
      <c r="AE127" t="s">
        <v>37</v>
      </c>
      <c r="AF127" t="s">
        <v>38</v>
      </c>
      <c r="AG127" s="3" t="s">
        <v>39</v>
      </c>
      <c r="AI127" s="29" t="s">
        <v>55</v>
      </c>
      <c r="AJ127" t="s">
        <v>32</v>
      </c>
      <c r="AK127" t="s">
        <v>34</v>
      </c>
      <c r="AL127" t="s">
        <v>35</v>
      </c>
      <c r="AM127" t="s">
        <v>36</v>
      </c>
      <c r="AN127" t="s">
        <v>37</v>
      </c>
      <c r="AO127" t="s">
        <v>38</v>
      </c>
      <c r="AP127" s="3" t="s">
        <v>39</v>
      </c>
    </row>
    <row r="128" spans="3:42" x14ac:dyDescent="0.25">
      <c r="C128" s="21" t="s">
        <v>53</v>
      </c>
      <c r="D128" s="22"/>
      <c r="E128" s="25">
        <f t="shared" ref="E128:J128" si="9">SUM(E113:E127)</f>
        <v>0</v>
      </c>
      <c r="F128" s="23">
        <f t="shared" si="9"/>
        <v>0</v>
      </c>
      <c r="G128" s="25">
        <f t="shared" si="9"/>
        <v>0</v>
      </c>
      <c r="H128" s="23">
        <f t="shared" si="9"/>
        <v>0</v>
      </c>
      <c r="I128" s="25">
        <f t="shared" si="9"/>
        <v>0</v>
      </c>
      <c r="J128" s="23">
        <f t="shared" si="9"/>
        <v>0</v>
      </c>
      <c r="K128" s="22"/>
      <c r="L128" s="23"/>
      <c r="Z128" s="2" t="s">
        <v>50</v>
      </c>
      <c r="AA128" s="17">
        <f>H19</f>
        <v>0</v>
      </c>
      <c r="AB128" s="17">
        <f>AA128</f>
        <v>0</v>
      </c>
      <c r="AC128">
        <v>0</v>
      </c>
      <c r="AD128">
        <v>0</v>
      </c>
      <c r="AE128" s="17">
        <f>AA128</f>
        <v>0</v>
      </c>
      <c r="AF128">
        <v>0</v>
      </c>
      <c r="AG128" s="18">
        <f>AA128</f>
        <v>0</v>
      </c>
      <c r="AI128" s="2" t="s">
        <v>50</v>
      </c>
      <c r="AJ128" s="17">
        <f>K19</f>
        <v>0</v>
      </c>
      <c r="AK128" s="17">
        <f>AJ128</f>
        <v>0</v>
      </c>
      <c r="AL128">
        <v>0</v>
      </c>
      <c r="AM128">
        <v>0</v>
      </c>
      <c r="AN128" s="17">
        <f>AJ128+30</f>
        <v>30</v>
      </c>
      <c r="AO128">
        <v>0</v>
      </c>
      <c r="AP128" s="18">
        <f>AJ128-30</f>
        <v>-30</v>
      </c>
    </row>
    <row r="129" spans="3:42" x14ac:dyDescent="0.25">
      <c r="Y129">
        <v>12</v>
      </c>
      <c r="Z129" s="2" t="s">
        <v>51</v>
      </c>
      <c r="AA129" s="17">
        <f>AA128</f>
        <v>0</v>
      </c>
      <c r="AB129">
        <v>0</v>
      </c>
      <c r="AC129" s="17">
        <f>AA128</f>
        <v>0</v>
      </c>
      <c r="AD129">
        <v>0</v>
      </c>
      <c r="AE129" s="17">
        <f>AA128</f>
        <v>0</v>
      </c>
      <c r="AF129" s="17">
        <f>AA128</f>
        <v>0</v>
      </c>
      <c r="AG129" s="3">
        <v>0</v>
      </c>
      <c r="AI129" s="2" t="s">
        <v>51</v>
      </c>
      <c r="AJ129" s="17">
        <f>AJ128-120</f>
        <v>-120</v>
      </c>
      <c r="AK129">
        <v>0</v>
      </c>
      <c r="AL129" s="17">
        <f>AJ128-120</f>
        <v>-120</v>
      </c>
      <c r="AM129">
        <v>0</v>
      </c>
      <c r="AN129" s="17">
        <f>AJ128-150</f>
        <v>-150</v>
      </c>
      <c r="AO129" s="17">
        <f>AJ128-90</f>
        <v>-90</v>
      </c>
      <c r="AP129" s="3">
        <v>0</v>
      </c>
    </row>
    <row r="130" spans="3:42" x14ac:dyDescent="0.25">
      <c r="K130" s="48"/>
      <c r="Z130" s="2" t="s">
        <v>52</v>
      </c>
      <c r="AA130" s="17">
        <f>AA128</f>
        <v>0</v>
      </c>
      <c r="AB130">
        <v>0</v>
      </c>
      <c r="AC130">
        <v>0</v>
      </c>
      <c r="AD130" s="17">
        <f>AA128</f>
        <v>0</v>
      </c>
      <c r="AE130">
        <v>0</v>
      </c>
      <c r="AF130" s="17">
        <f>AA128</f>
        <v>0</v>
      </c>
      <c r="AG130" s="18">
        <f>AA128</f>
        <v>0</v>
      </c>
      <c r="AI130" s="2" t="s">
        <v>52</v>
      </c>
      <c r="AJ130" s="17">
        <f>AJ128+120</f>
        <v>120</v>
      </c>
      <c r="AK130">
        <v>0</v>
      </c>
      <c r="AL130">
        <v>0</v>
      </c>
      <c r="AM130" s="17">
        <f>AJ128+120</f>
        <v>120</v>
      </c>
      <c r="AN130">
        <v>0</v>
      </c>
      <c r="AO130" s="17">
        <f>AJ128+90</f>
        <v>90</v>
      </c>
      <c r="AP130" s="18">
        <f>AJ128+150</f>
        <v>150</v>
      </c>
    </row>
    <row r="131" spans="3:42" x14ac:dyDescent="0.25">
      <c r="E131" s="24"/>
      <c r="F131" s="17"/>
      <c r="H131" s="17"/>
      <c r="I131" s="24"/>
      <c r="J131" s="17"/>
      <c r="Z131" s="13" t="s">
        <v>42</v>
      </c>
      <c r="AA131" s="19">
        <v>0</v>
      </c>
      <c r="AB131" s="20">
        <f>AA128</f>
        <v>0</v>
      </c>
      <c r="AC131" s="20">
        <f>AA128</f>
        <v>0</v>
      </c>
      <c r="AD131" s="20">
        <f>AA128</f>
        <v>0</v>
      </c>
      <c r="AE131" s="19">
        <v>0</v>
      </c>
      <c r="AF131" s="19">
        <v>0</v>
      </c>
      <c r="AG131" s="14">
        <v>0</v>
      </c>
      <c r="AI131" s="13" t="s">
        <v>42</v>
      </c>
      <c r="AJ131" s="19">
        <v>0</v>
      </c>
      <c r="AK131" s="20">
        <f>AJ128+180</f>
        <v>180</v>
      </c>
      <c r="AL131" s="20">
        <f>AJ128+180-120</f>
        <v>60</v>
      </c>
      <c r="AM131" s="20">
        <f>AJ128-180+120</f>
        <v>-60</v>
      </c>
      <c r="AN131" s="19">
        <v>0</v>
      </c>
      <c r="AO131" s="19">
        <v>0</v>
      </c>
      <c r="AP131" s="14">
        <v>0</v>
      </c>
    </row>
    <row r="132" spans="3:42" x14ac:dyDescent="0.25">
      <c r="E132" s="30"/>
      <c r="F132" s="17"/>
      <c r="G132" s="30"/>
      <c r="H132" s="17"/>
      <c r="J132" s="17"/>
    </row>
    <row r="133" spans="3:42" x14ac:dyDescent="0.25">
      <c r="Z133" s="4"/>
      <c r="AA133" s="5">
        <v>1</v>
      </c>
      <c r="AB133" s="5">
        <v>2</v>
      </c>
      <c r="AC133" s="5">
        <v>3</v>
      </c>
      <c r="AD133" s="5">
        <v>4</v>
      </c>
      <c r="AE133" s="5">
        <v>5</v>
      </c>
      <c r="AF133" s="5">
        <v>6</v>
      </c>
      <c r="AG133" s="6">
        <v>7</v>
      </c>
      <c r="AI133" s="4"/>
      <c r="AJ133" s="5">
        <v>1</v>
      </c>
      <c r="AK133" s="5">
        <v>2</v>
      </c>
      <c r="AL133" s="5">
        <v>3</v>
      </c>
      <c r="AM133" s="5">
        <v>4</v>
      </c>
      <c r="AN133" s="5">
        <v>5</v>
      </c>
      <c r="AO133" s="5">
        <v>6</v>
      </c>
      <c r="AP133" s="6">
        <v>7</v>
      </c>
    </row>
    <row r="134" spans="3:42" x14ac:dyDescent="0.25">
      <c r="C134">
        <f>COS(RADIANS(Q23))*O23</f>
        <v>0</v>
      </c>
      <c r="F134">
        <f>COS(RADIANS(T23))*R23</f>
        <v>0</v>
      </c>
      <c r="I134">
        <f>COS(RADIANS(W23))*U23</f>
        <v>0</v>
      </c>
      <c r="L134">
        <f>IMABS(COMPLEX(C134+F134+I134,C135+F135+I135))</f>
        <v>0</v>
      </c>
      <c r="Z134" s="2"/>
      <c r="AA134" t="s">
        <v>32</v>
      </c>
      <c r="AB134" t="s">
        <v>34</v>
      </c>
      <c r="AC134" t="s">
        <v>35</v>
      </c>
      <c r="AD134" t="s">
        <v>36</v>
      </c>
      <c r="AE134" t="s">
        <v>37</v>
      </c>
      <c r="AF134" t="s">
        <v>38</v>
      </c>
      <c r="AG134" s="3" t="s">
        <v>39</v>
      </c>
      <c r="AI134" s="29" t="s">
        <v>55</v>
      </c>
      <c r="AJ134" t="s">
        <v>32</v>
      </c>
      <c r="AK134" t="s">
        <v>34</v>
      </c>
      <c r="AL134" t="s">
        <v>35</v>
      </c>
      <c r="AM134" t="s">
        <v>36</v>
      </c>
      <c r="AN134" t="s">
        <v>37</v>
      </c>
      <c r="AO134" t="s">
        <v>38</v>
      </c>
      <c r="AP134" s="3" t="s">
        <v>39</v>
      </c>
    </row>
    <row r="135" spans="3:42" x14ac:dyDescent="0.25">
      <c r="C135">
        <f>SIN(RADIANS(Q23))*O23</f>
        <v>0</v>
      </c>
      <c r="F135">
        <f>SIN(RADIANS(T23))*R23</f>
        <v>0</v>
      </c>
      <c r="I135">
        <f>SIN(RADIANS(W23))*U23</f>
        <v>0</v>
      </c>
      <c r="L135" t="str">
        <f>COMPLEX(C134+F134+I134,C135+F135+I135)</f>
        <v>0</v>
      </c>
      <c r="Z135" s="2" t="s">
        <v>50</v>
      </c>
      <c r="AA135" s="17">
        <f>H20</f>
        <v>0</v>
      </c>
      <c r="AB135" s="17">
        <f>AA135</f>
        <v>0</v>
      </c>
      <c r="AC135">
        <v>0</v>
      </c>
      <c r="AD135">
        <v>0</v>
      </c>
      <c r="AE135" s="17">
        <f>AA135</f>
        <v>0</v>
      </c>
      <c r="AF135">
        <v>0</v>
      </c>
      <c r="AG135" s="18">
        <f>AA135</f>
        <v>0</v>
      </c>
      <c r="AI135" s="2" t="s">
        <v>50</v>
      </c>
      <c r="AJ135" s="17">
        <f>K20</f>
        <v>0</v>
      </c>
      <c r="AK135" s="17">
        <f>AJ135</f>
        <v>0</v>
      </c>
      <c r="AL135">
        <v>0</v>
      </c>
      <c r="AM135">
        <v>0</v>
      </c>
      <c r="AN135" s="17">
        <f>AJ135+30</f>
        <v>30</v>
      </c>
      <c r="AO135">
        <v>0</v>
      </c>
      <c r="AP135" s="18">
        <f>AJ135-30</f>
        <v>-30</v>
      </c>
    </row>
    <row r="136" spans="3:42" x14ac:dyDescent="0.25">
      <c r="Y136">
        <v>13</v>
      </c>
      <c r="Z136" s="2" t="s">
        <v>51</v>
      </c>
      <c r="AA136" s="17">
        <f>AA135</f>
        <v>0</v>
      </c>
      <c r="AB136">
        <v>0</v>
      </c>
      <c r="AC136" s="17">
        <f>AA135</f>
        <v>0</v>
      </c>
      <c r="AD136">
        <v>0</v>
      </c>
      <c r="AE136" s="17">
        <f>AA135</f>
        <v>0</v>
      </c>
      <c r="AF136" s="17">
        <f>AA135</f>
        <v>0</v>
      </c>
      <c r="AG136" s="3">
        <v>0</v>
      </c>
      <c r="AI136" s="2" t="s">
        <v>51</v>
      </c>
      <c r="AJ136" s="17">
        <f>AJ135-120</f>
        <v>-120</v>
      </c>
      <c r="AK136">
        <v>0</v>
      </c>
      <c r="AL136" s="17">
        <f>AJ135-120</f>
        <v>-120</v>
      </c>
      <c r="AM136">
        <v>0</v>
      </c>
      <c r="AN136" s="17">
        <f>AJ135-150</f>
        <v>-150</v>
      </c>
      <c r="AO136" s="17">
        <f>AJ135-90</f>
        <v>-90</v>
      </c>
      <c r="AP136" s="3">
        <v>0</v>
      </c>
    </row>
    <row r="137" spans="3:42" x14ac:dyDescent="0.25">
      <c r="C137">
        <f>COS(RADIANS(Q24))*O24</f>
        <v>0</v>
      </c>
      <c r="F137">
        <f>COS(RADIANS(T24))*R24</f>
        <v>0</v>
      </c>
      <c r="I137">
        <f>COS(RADIANS(W24))*U24</f>
        <v>0</v>
      </c>
      <c r="L137">
        <f>IMABS(COMPLEX(C137+F137+I137,C138+F138+I138))</f>
        <v>0</v>
      </c>
      <c r="Z137" s="2" t="s">
        <v>52</v>
      </c>
      <c r="AA137" s="17">
        <f>AA135</f>
        <v>0</v>
      </c>
      <c r="AB137">
        <v>0</v>
      </c>
      <c r="AC137">
        <v>0</v>
      </c>
      <c r="AD137" s="17">
        <f>AA135</f>
        <v>0</v>
      </c>
      <c r="AE137">
        <v>0</v>
      </c>
      <c r="AF137" s="17">
        <f>AA135</f>
        <v>0</v>
      </c>
      <c r="AG137" s="18">
        <f>AA135</f>
        <v>0</v>
      </c>
      <c r="AI137" s="2" t="s">
        <v>52</v>
      </c>
      <c r="AJ137" s="17">
        <f>AJ135+120</f>
        <v>120</v>
      </c>
      <c r="AK137">
        <v>0</v>
      </c>
      <c r="AL137">
        <v>0</v>
      </c>
      <c r="AM137" s="17">
        <f>AJ135+120</f>
        <v>120</v>
      </c>
      <c r="AN137">
        <v>0</v>
      </c>
      <c r="AO137" s="17">
        <f>AJ135+90</f>
        <v>90</v>
      </c>
      <c r="AP137" s="18">
        <f>AJ135+150</f>
        <v>150</v>
      </c>
    </row>
    <row r="138" spans="3:42" x14ac:dyDescent="0.25">
      <c r="C138">
        <f>SIN(RADIANS(Q24))*O24</f>
        <v>0</v>
      </c>
      <c r="F138">
        <f>SIN(RADIANS(T24))*R24</f>
        <v>0</v>
      </c>
      <c r="I138">
        <f>SIN(RADIANS(W24))*U24</f>
        <v>0</v>
      </c>
      <c r="L138" t="str">
        <f>COMPLEX(C137+F137+I137,C138+F138+I138)</f>
        <v>0</v>
      </c>
      <c r="Z138" s="13" t="s">
        <v>42</v>
      </c>
      <c r="AA138" s="19">
        <v>0</v>
      </c>
      <c r="AB138" s="20">
        <f>AA135</f>
        <v>0</v>
      </c>
      <c r="AC138" s="20">
        <f>AA135</f>
        <v>0</v>
      </c>
      <c r="AD138" s="20">
        <f>AA135</f>
        <v>0</v>
      </c>
      <c r="AE138" s="19">
        <v>0</v>
      </c>
      <c r="AF138" s="19">
        <v>0</v>
      </c>
      <c r="AG138" s="14">
        <v>0</v>
      </c>
      <c r="AI138" s="13" t="s">
        <v>42</v>
      </c>
      <c r="AJ138" s="19">
        <v>0</v>
      </c>
      <c r="AK138" s="20">
        <f>AJ135+180</f>
        <v>180</v>
      </c>
      <c r="AL138" s="20">
        <f>AJ135+180-120</f>
        <v>60</v>
      </c>
      <c r="AM138" s="20">
        <f>AJ135-180+120</f>
        <v>-60</v>
      </c>
      <c r="AN138" s="19">
        <v>0</v>
      </c>
      <c r="AO138" s="19">
        <v>0</v>
      </c>
      <c r="AP138" s="14">
        <v>0</v>
      </c>
    </row>
    <row r="140" spans="3:42" x14ac:dyDescent="0.25">
      <c r="Z140" s="4"/>
      <c r="AA140" s="5">
        <v>1</v>
      </c>
      <c r="AB140" s="5">
        <v>2</v>
      </c>
      <c r="AC140" s="5">
        <v>3</v>
      </c>
      <c r="AD140" s="5">
        <v>4</v>
      </c>
      <c r="AE140" s="5">
        <v>5</v>
      </c>
      <c r="AF140" s="5">
        <v>6</v>
      </c>
      <c r="AG140" s="6">
        <v>7</v>
      </c>
      <c r="AI140" s="4"/>
      <c r="AJ140" s="5">
        <v>1</v>
      </c>
      <c r="AK140" s="5">
        <v>2</v>
      </c>
      <c r="AL140" s="5">
        <v>3</v>
      </c>
      <c r="AM140" s="5">
        <v>4</v>
      </c>
      <c r="AN140" s="5">
        <v>5</v>
      </c>
      <c r="AO140" s="5">
        <v>6</v>
      </c>
      <c r="AP140" s="6">
        <v>7</v>
      </c>
    </row>
    <row r="141" spans="3:42" x14ac:dyDescent="0.25">
      <c r="Z141" s="2"/>
      <c r="AA141" t="s">
        <v>32</v>
      </c>
      <c r="AB141" t="s">
        <v>34</v>
      </c>
      <c r="AC141" t="s">
        <v>35</v>
      </c>
      <c r="AD141" t="s">
        <v>36</v>
      </c>
      <c r="AE141" t="s">
        <v>37</v>
      </c>
      <c r="AF141" t="s">
        <v>38</v>
      </c>
      <c r="AG141" s="3" t="s">
        <v>39</v>
      </c>
      <c r="AI141" s="29" t="s">
        <v>55</v>
      </c>
      <c r="AJ141" t="s">
        <v>32</v>
      </c>
      <c r="AK141" t="s">
        <v>34</v>
      </c>
      <c r="AL141" t="s">
        <v>35</v>
      </c>
      <c r="AM141" t="s">
        <v>36</v>
      </c>
      <c r="AN141" t="s">
        <v>37</v>
      </c>
      <c r="AO141" t="s">
        <v>38</v>
      </c>
      <c r="AP141" s="3" t="s">
        <v>39</v>
      </c>
    </row>
    <row r="142" spans="3:42" x14ac:dyDescent="0.25">
      <c r="Y142">
        <v>14</v>
      </c>
      <c r="Z142" s="2" t="s">
        <v>50</v>
      </c>
      <c r="AA142" s="17">
        <f>H21</f>
        <v>0</v>
      </c>
      <c r="AB142" s="17">
        <f>AA142</f>
        <v>0</v>
      </c>
      <c r="AC142">
        <v>0</v>
      </c>
      <c r="AD142">
        <v>0</v>
      </c>
      <c r="AE142" s="17">
        <f>AA142</f>
        <v>0</v>
      </c>
      <c r="AF142">
        <v>0</v>
      </c>
      <c r="AG142" s="18">
        <f>AA142</f>
        <v>0</v>
      </c>
      <c r="AI142" s="2" t="s">
        <v>50</v>
      </c>
      <c r="AJ142" s="17">
        <f>K21</f>
        <v>0</v>
      </c>
      <c r="AK142" s="17">
        <f>AJ142</f>
        <v>0</v>
      </c>
      <c r="AL142">
        <v>0</v>
      </c>
      <c r="AM142">
        <v>0</v>
      </c>
      <c r="AN142" s="17">
        <f>AJ142+30</f>
        <v>30</v>
      </c>
      <c r="AO142">
        <v>0</v>
      </c>
      <c r="AP142" s="18">
        <f>AJ142-30</f>
        <v>-30</v>
      </c>
    </row>
    <row r="143" spans="3:42" x14ac:dyDescent="0.25">
      <c r="Z143" s="2" t="s">
        <v>51</v>
      </c>
      <c r="AA143" s="17">
        <f>AA142</f>
        <v>0</v>
      </c>
      <c r="AB143">
        <v>0</v>
      </c>
      <c r="AC143" s="17">
        <f>AA142</f>
        <v>0</v>
      </c>
      <c r="AD143">
        <v>0</v>
      </c>
      <c r="AE143" s="17">
        <f>AA142</f>
        <v>0</v>
      </c>
      <c r="AF143" s="17">
        <f>AA142</f>
        <v>0</v>
      </c>
      <c r="AG143" s="3">
        <v>0</v>
      </c>
      <c r="AI143" s="2" t="s">
        <v>51</v>
      </c>
      <c r="AJ143" s="17">
        <f>AJ142-120</f>
        <v>-120</v>
      </c>
      <c r="AK143">
        <v>0</v>
      </c>
      <c r="AL143" s="17">
        <f>AJ142-120</f>
        <v>-120</v>
      </c>
      <c r="AM143">
        <v>0</v>
      </c>
      <c r="AN143" s="17">
        <f>AJ142-150</f>
        <v>-150</v>
      </c>
      <c r="AO143" s="17">
        <f>AJ142-90</f>
        <v>-90</v>
      </c>
      <c r="AP143" s="3">
        <v>0</v>
      </c>
    </row>
    <row r="144" spans="3:42" x14ac:dyDescent="0.25">
      <c r="Z144" s="2" t="s">
        <v>52</v>
      </c>
      <c r="AA144" s="17">
        <f>AA142</f>
        <v>0</v>
      </c>
      <c r="AB144">
        <v>0</v>
      </c>
      <c r="AC144">
        <v>0</v>
      </c>
      <c r="AD144" s="17">
        <f>AA142</f>
        <v>0</v>
      </c>
      <c r="AE144">
        <v>0</v>
      </c>
      <c r="AF144" s="17">
        <f>AA142</f>
        <v>0</v>
      </c>
      <c r="AG144" s="18">
        <f>AA142</f>
        <v>0</v>
      </c>
      <c r="AI144" s="2" t="s">
        <v>52</v>
      </c>
      <c r="AJ144" s="17">
        <f>AJ142+120</f>
        <v>120</v>
      </c>
      <c r="AK144">
        <v>0</v>
      </c>
      <c r="AL144">
        <v>0</v>
      </c>
      <c r="AM144" s="17">
        <f>AJ142+120</f>
        <v>120</v>
      </c>
      <c r="AN144">
        <v>0</v>
      </c>
      <c r="AO144" s="17">
        <f>AJ142+90</f>
        <v>90</v>
      </c>
      <c r="AP144" s="18">
        <f>AJ142+150</f>
        <v>150</v>
      </c>
    </row>
    <row r="145" spans="25:42" x14ac:dyDescent="0.25">
      <c r="Z145" s="13" t="s">
        <v>42</v>
      </c>
      <c r="AA145" s="19">
        <v>0</v>
      </c>
      <c r="AB145" s="20">
        <f>AA142</f>
        <v>0</v>
      </c>
      <c r="AC145" s="20">
        <f>AA142</f>
        <v>0</v>
      </c>
      <c r="AD145" s="20">
        <f>AA142</f>
        <v>0</v>
      </c>
      <c r="AE145" s="19">
        <v>0</v>
      </c>
      <c r="AF145" s="19">
        <v>0</v>
      </c>
      <c r="AG145" s="14">
        <v>0</v>
      </c>
      <c r="AI145" s="13" t="s">
        <v>42</v>
      </c>
      <c r="AJ145" s="19">
        <v>0</v>
      </c>
      <c r="AK145" s="20">
        <f>AJ142+180</f>
        <v>180</v>
      </c>
      <c r="AL145" s="20">
        <f>AJ142+180-120</f>
        <v>60</v>
      </c>
      <c r="AM145" s="20">
        <f>AJ142-180+120</f>
        <v>-60</v>
      </c>
      <c r="AN145" s="19">
        <v>0</v>
      </c>
      <c r="AO145" s="19">
        <v>0</v>
      </c>
      <c r="AP145" s="14">
        <v>0</v>
      </c>
    </row>
    <row r="147" spans="25:42" x14ac:dyDescent="0.25">
      <c r="Z147" s="4"/>
      <c r="AA147" s="5">
        <v>1</v>
      </c>
      <c r="AB147" s="5">
        <v>2</v>
      </c>
      <c r="AC147" s="5">
        <v>3</v>
      </c>
      <c r="AD147" s="5">
        <v>4</v>
      </c>
      <c r="AE147" s="5">
        <v>5</v>
      </c>
      <c r="AF147" s="5">
        <v>6</v>
      </c>
      <c r="AG147" s="6">
        <v>7</v>
      </c>
      <c r="AI147" s="4"/>
      <c r="AJ147" s="5">
        <v>1</v>
      </c>
      <c r="AK147" s="5">
        <v>2</v>
      </c>
      <c r="AL147" s="5">
        <v>3</v>
      </c>
      <c r="AM147" s="5">
        <v>4</v>
      </c>
      <c r="AN147" s="5">
        <v>5</v>
      </c>
      <c r="AO147" s="5">
        <v>6</v>
      </c>
      <c r="AP147" s="6">
        <v>7</v>
      </c>
    </row>
    <row r="148" spans="25:42" x14ac:dyDescent="0.25">
      <c r="Z148" s="2"/>
      <c r="AA148" t="s">
        <v>32</v>
      </c>
      <c r="AB148" t="s">
        <v>34</v>
      </c>
      <c r="AC148" t="s">
        <v>35</v>
      </c>
      <c r="AD148" t="s">
        <v>36</v>
      </c>
      <c r="AE148" t="s">
        <v>37</v>
      </c>
      <c r="AF148" t="s">
        <v>38</v>
      </c>
      <c r="AG148" s="3" t="s">
        <v>39</v>
      </c>
      <c r="AI148" s="29" t="s">
        <v>55</v>
      </c>
      <c r="AJ148" t="s">
        <v>32</v>
      </c>
      <c r="AK148" t="s">
        <v>34</v>
      </c>
      <c r="AL148" t="s">
        <v>35</v>
      </c>
      <c r="AM148" t="s">
        <v>36</v>
      </c>
      <c r="AN148" t="s">
        <v>37</v>
      </c>
      <c r="AO148" t="s">
        <v>38</v>
      </c>
      <c r="AP148" s="3" t="s">
        <v>39</v>
      </c>
    </row>
    <row r="149" spans="25:42" x14ac:dyDescent="0.25">
      <c r="Z149" s="2" t="s">
        <v>50</v>
      </c>
      <c r="AA149" s="17">
        <f>H22</f>
        <v>0</v>
      </c>
      <c r="AB149" s="17">
        <f>AA149</f>
        <v>0</v>
      </c>
      <c r="AC149">
        <v>0</v>
      </c>
      <c r="AD149">
        <v>0</v>
      </c>
      <c r="AE149" s="17">
        <f>AA149</f>
        <v>0</v>
      </c>
      <c r="AF149">
        <v>0</v>
      </c>
      <c r="AG149" s="18">
        <f>AA149</f>
        <v>0</v>
      </c>
      <c r="AI149" s="2" t="s">
        <v>50</v>
      </c>
      <c r="AJ149" s="17">
        <f>K22</f>
        <v>0</v>
      </c>
      <c r="AK149" s="17">
        <f>AJ149</f>
        <v>0</v>
      </c>
      <c r="AL149">
        <v>0</v>
      </c>
      <c r="AM149">
        <v>0</v>
      </c>
      <c r="AN149" s="17">
        <f>AJ149+30</f>
        <v>30</v>
      </c>
      <c r="AO149">
        <v>0</v>
      </c>
      <c r="AP149" s="18">
        <f>AJ149-30</f>
        <v>-30</v>
      </c>
    </row>
    <row r="150" spans="25:42" x14ac:dyDescent="0.25">
      <c r="Y150">
        <v>15</v>
      </c>
      <c r="Z150" s="2" t="s">
        <v>51</v>
      </c>
      <c r="AA150" s="17">
        <f>AA149</f>
        <v>0</v>
      </c>
      <c r="AB150">
        <v>0</v>
      </c>
      <c r="AC150" s="17">
        <f>AA149</f>
        <v>0</v>
      </c>
      <c r="AD150">
        <v>0</v>
      </c>
      <c r="AE150" s="17">
        <f>AA149</f>
        <v>0</v>
      </c>
      <c r="AF150" s="17">
        <f>AA149</f>
        <v>0</v>
      </c>
      <c r="AG150" s="3">
        <v>0</v>
      </c>
      <c r="AI150" s="2" t="s">
        <v>51</v>
      </c>
      <c r="AJ150" s="17">
        <f>AJ149-120</f>
        <v>-120</v>
      </c>
      <c r="AK150">
        <v>0</v>
      </c>
      <c r="AL150" s="17">
        <f>AJ149-120</f>
        <v>-120</v>
      </c>
      <c r="AM150">
        <v>0</v>
      </c>
      <c r="AN150" s="17">
        <f>AJ149-150</f>
        <v>-150</v>
      </c>
      <c r="AO150" s="17">
        <f>AJ149-90</f>
        <v>-90</v>
      </c>
      <c r="AP150" s="3">
        <v>0</v>
      </c>
    </row>
    <row r="151" spans="25:42" x14ac:dyDescent="0.25">
      <c r="Z151" s="2" t="s">
        <v>52</v>
      </c>
      <c r="AA151" s="17">
        <f>AA149</f>
        <v>0</v>
      </c>
      <c r="AB151">
        <v>0</v>
      </c>
      <c r="AC151">
        <v>0</v>
      </c>
      <c r="AD151" s="17">
        <f>AA149</f>
        <v>0</v>
      </c>
      <c r="AE151">
        <v>0</v>
      </c>
      <c r="AF151" s="17">
        <f>AA149</f>
        <v>0</v>
      </c>
      <c r="AG151" s="18">
        <f>AA149</f>
        <v>0</v>
      </c>
      <c r="AI151" s="2" t="s">
        <v>52</v>
      </c>
      <c r="AJ151" s="17">
        <f>AJ149+120</f>
        <v>120</v>
      </c>
      <c r="AK151">
        <v>0</v>
      </c>
      <c r="AL151">
        <v>0</v>
      </c>
      <c r="AM151" s="17">
        <f>AJ149+120</f>
        <v>120</v>
      </c>
      <c r="AN151">
        <v>0</v>
      </c>
      <c r="AO151" s="17">
        <f>AJ149+90</f>
        <v>90</v>
      </c>
      <c r="AP151" s="18">
        <f>AJ149+150</f>
        <v>150</v>
      </c>
    </row>
    <row r="152" spans="25:42" x14ac:dyDescent="0.25">
      <c r="Z152" s="13" t="s">
        <v>42</v>
      </c>
      <c r="AA152" s="19">
        <v>0</v>
      </c>
      <c r="AB152" s="20">
        <f>AA149</f>
        <v>0</v>
      </c>
      <c r="AC152" s="20">
        <f>AA149</f>
        <v>0</v>
      </c>
      <c r="AD152" s="20">
        <f>AA149</f>
        <v>0</v>
      </c>
      <c r="AE152" s="19">
        <v>0</v>
      </c>
      <c r="AF152" s="19">
        <v>0</v>
      </c>
      <c r="AG152" s="14">
        <v>0</v>
      </c>
      <c r="AI152" s="13" t="s">
        <v>42</v>
      </c>
      <c r="AJ152" s="19">
        <v>0</v>
      </c>
      <c r="AK152" s="20">
        <f>AJ149+180</f>
        <v>180</v>
      </c>
      <c r="AL152" s="20">
        <f>AJ149+180-120</f>
        <v>60</v>
      </c>
      <c r="AM152" s="20">
        <f>AJ149-180+120</f>
        <v>-60</v>
      </c>
      <c r="AN152" s="19">
        <v>0</v>
      </c>
      <c r="AO152" s="19">
        <v>0</v>
      </c>
      <c r="AP152" s="14">
        <v>0</v>
      </c>
    </row>
    <row r="600" spans="5:5" x14ac:dyDescent="0.25">
      <c r="E600">
        <v>1</v>
      </c>
    </row>
  </sheetData>
  <conditionalFormatting sqref="M8">
    <cfRule type="expression" dxfId="29" priority="15">
      <formula>$L$51=2</formula>
    </cfRule>
  </conditionalFormatting>
  <conditionalFormatting sqref="M9">
    <cfRule type="expression" dxfId="28" priority="14">
      <formula>$L$55=2</formula>
    </cfRule>
  </conditionalFormatting>
  <conditionalFormatting sqref="M10">
    <cfRule type="expression" dxfId="27" priority="13">
      <formula>$L$59=2</formula>
    </cfRule>
  </conditionalFormatting>
  <conditionalFormatting sqref="M11">
    <cfRule type="expression" dxfId="26" priority="12">
      <formula>$L$63=2</formula>
    </cfRule>
  </conditionalFormatting>
  <conditionalFormatting sqref="M12">
    <cfRule type="expression" dxfId="25" priority="11">
      <formula>$L$67=2</formula>
    </cfRule>
  </conditionalFormatting>
  <conditionalFormatting sqref="M13">
    <cfRule type="expression" dxfId="24" priority="10">
      <formula>$L$71=2</formula>
    </cfRule>
  </conditionalFormatting>
  <conditionalFormatting sqref="M14">
    <cfRule type="expression" dxfId="23" priority="9">
      <formula>$L$75=2</formula>
    </cfRule>
  </conditionalFormatting>
  <conditionalFormatting sqref="M15">
    <cfRule type="expression" dxfId="22" priority="8">
      <formula>$L$79=2</formula>
    </cfRule>
  </conditionalFormatting>
  <conditionalFormatting sqref="M16">
    <cfRule type="expression" dxfId="21" priority="7">
      <formula>$L$83=2</formula>
    </cfRule>
  </conditionalFormatting>
  <conditionalFormatting sqref="M17">
    <cfRule type="expression" dxfId="20" priority="6">
      <formula>$L$87=2</formula>
    </cfRule>
  </conditionalFormatting>
  <conditionalFormatting sqref="M18">
    <cfRule type="expression" dxfId="19" priority="5">
      <formula>$L$91=2</formula>
    </cfRule>
  </conditionalFormatting>
  <conditionalFormatting sqref="M19">
    <cfRule type="expression" dxfId="18" priority="4">
      <formula>$L$95=2</formula>
    </cfRule>
  </conditionalFormatting>
  <conditionalFormatting sqref="M20">
    <cfRule type="expression" dxfId="17" priority="3">
      <formula>$L$99=2</formula>
    </cfRule>
  </conditionalFormatting>
  <conditionalFormatting sqref="M21">
    <cfRule type="expression" dxfId="16" priority="2">
      <formula>$L$103=2</formula>
    </cfRule>
  </conditionalFormatting>
  <conditionalFormatting sqref="M22">
    <cfRule type="expression" dxfId="15" priority="1">
      <formula>$L$107=2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3" name="Drop Down 1">
              <controlPr locked="0" defaultSize="0" autoLine="0" autoPict="0">
                <anchor moveWithCells="1">
                  <from>
                    <xdr:col>4</xdr:col>
                    <xdr:colOff>9525</xdr:colOff>
                    <xdr:row>7</xdr:row>
                    <xdr:rowOff>9525</xdr:rowOff>
                  </from>
                  <to>
                    <xdr:col>5</xdr:col>
                    <xdr:colOff>9525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4" name="Drop Down 2">
              <controlPr locked="0" defaultSize="0" autoLine="0" autoPict="0">
                <anchor moveWithCells="1">
                  <from>
                    <xdr:col>4</xdr:col>
                    <xdr:colOff>9525</xdr:colOff>
                    <xdr:row>8</xdr:row>
                    <xdr:rowOff>9525</xdr:rowOff>
                  </from>
                  <to>
                    <xdr:col>5</xdr:col>
                    <xdr:colOff>9525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5" name="Drop Down 3">
              <controlPr locked="0" defaultSize="0" autoLine="0" autoPict="0">
                <anchor moveWithCells="1">
                  <from>
                    <xdr:col>4</xdr:col>
                    <xdr:colOff>9525</xdr:colOff>
                    <xdr:row>9</xdr:row>
                    <xdr:rowOff>9525</xdr:rowOff>
                  </from>
                  <to>
                    <xdr:col>5</xdr:col>
                    <xdr:colOff>9525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6" name="Drop Down 4">
              <controlPr locked="0" defaultSize="0" autoLine="0" autoPict="0">
                <anchor moveWithCells="1">
                  <from>
                    <xdr:col>4</xdr:col>
                    <xdr:colOff>9525</xdr:colOff>
                    <xdr:row>10</xdr:row>
                    <xdr:rowOff>9525</xdr:rowOff>
                  </from>
                  <to>
                    <xdr:col>5</xdr:col>
                    <xdr:colOff>9525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7" name="Drop Down 5">
              <controlPr locked="0" defaultSize="0" autoLine="0" autoPict="0">
                <anchor moveWithCells="1">
                  <from>
                    <xdr:col>4</xdr:col>
                    <xdr:colOff>9525</xdr:colOff>
                    <xdr:row>11</xdr:row>
                    <xdr:rowOff>9525</xdr:rowOff>
                  </from>
                  <to>
                    <xdr:col>5</xdr:col>
                    <xdr:colOff>9525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8" name="Drop Down 6">
              <controlPr locked="0" defaultSize="0" autoLine="0" autoPict="0">
                <anchor moveWithCells="1">
                  <from>
                    <xdr:col>4</xdr:col>
                    <xdr:colOff>9525</xdr:colOff>
                    <xdr:row>12</xdr:row>
                    <xdr:rowOff>9525</xdr:rowOff>
                  </from>
                  <to>
                    <xdr:col>5</xdr:col>
                    <xdr:colOff>9525</xdr:colOff>
                    <xdr:row>12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7" r:id="rId9" name="Drop Down 7">
              <controlPr locked="0" defaultSize="0" autoLine="0" autoPict="0">
                <anchor moveWithCells="1">
                  <from>
                    <xdr:col>4</xdr:col>
                    <xdr:colOff>9525</xdr:colOff>
                    <xdr:row>13</xdr:row>
                    <xdr:rowOff>9525</xdr:rowOff>
                  </from>
                  <to>
                    <xdr:col>5</xdr:col>
                    <xdr:colOff>9525</xdr:colOff>
                    <xdr:row>13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r:id="rId10" name="Drop Down 8">
              <controlPr locked="0" defaultSize="0" autoLine="0" autoPict="0">
                <anchor moveWithCells="1">
                  <from>
                    <xdr:col>4</xdr:col>
                    <xdr:colOff>9525</xdr:colOff>
                    <xdr:row>14</xdr:row>
                    <xdr:rowOff>9525</xdr:rowOff>
                  </from>
                  <to>
                    <xdr:col>5</xdr:col>
                    <xdr:colOff>9525</xdr:colOff>
                    <xdr:row>14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r:id="rId11" name="Drop Down 9">
              <controlPr locked="0" defaultSize="0" autoLine="0" autoPict="0">
                <anchor moveWithCells="1">
                  <from>
                    <xdr:col>4</xdr:col>
                    <xdr:colOff>9525</xdr:colOff>
                    <xdr:row>15</xdr:row>
                    <xdr:rowOff>9525</xdr:rowOff>
                  </from>
                  <to>
                    <xdr:col>5</xdr:col>
                    <xdr:colOff>9525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12" name="Drop Down 10">
              <controlPr locked="0" defaultSize="0" autoLine="0" autoPict="0">
                <anchor moveWithCells="1">
                  <from>
                    <xdr:col>4</xdr:col>
                    <xdr:colOff>9525</xdr:colOff>
                    <xdr:row>16</xdr:row>
                    <xdr:rowOff>9525</xdr:rowOff>
                  </from>
                  <to>
                    <xdr:col>5</xdr:col>
                    <xdr:colOff>9525</xdr:colOff>
                    <xdr:row>16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1" r:id="rId13" name="Drop Down 11">
              <controlPr locked="0" defaultSize="0" autoLine="0" autoPict="0">
                <anchor moveWithCells="1">
                  <from>
                    <xdr:col>4</xdr:col>
                    <xdr:colOff>9525</xdr:colOff>
                    <xdr:row>17</xdr:row>
                    <xdr:rowOff>9525</xdr:rowOff>
                  </from>
                  <to>
                    <xdr:col>5</xdr:col>
                    <xdr:colOff>9525</xdr:colOff>
                    <xdr:row>17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2" r:id="rId14" name="Drop Down 12">
              <controlPr locked="0" defaultSize="0" autoLine="0" autoPict="0">
                <anchor moveWithCells="1">
                  <from>
                    <xdr:col>4</xdr:col>
                    <xdr:colOff>9525</xdr:colOff>
                    <xdr:row>18</xdr:row>
                    <xdr:rowOff>9525</xdr:rowOff>
                  </from>
                  <to>
                    <xdr:col>5</xdr:col>
                    <xdr:colOff>9525</xdr:colOff>
                    <xdr:row>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3" r:id="rId15" name="Drop Down 13">
              <controlPr locked="0" defaultSize="0" autoLine="0" autoPict="0">
                <anchor moveWithCells="1">
                  <from>
                    <xdr:col>4</xdr:col>
                    <xdr:colOff>9525</xdr:colOff>
                    <xdr:row>19</xdr:row>
                    <xdr:rowOff>9525</xdr:rowOff>
                  </from>
                  <to>
                    <xdr:col>5</xdr:col>
                    <xdr:colOff>9525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4" r:id="rId16" name="Drop Down 14">
              <controlPr locked="0" defaultSize="0" autoLine="0" autoPict="0">
                <anchor moveWithCells="1">
                  <from>
                    <xdr:col>4</xdr:col>
                    <xdr:colOff>9525</xdr:colOff>
                    <xdr:row>20</xdr:row>
                    <xdr:rowOff>9525</xdr:rowOff>
                  </from>
                  <to>
                    <xdr:col>5</xdr:col>
                    <xdr:colOff>9525</xdr:colOff>
                    <xdr:row>20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5" r:id="rId17" name="Drop Down 15">
              <controlPr locked="0" defaultSize="0" autoLine="0" autoPict="0">
                <anchor moveWithCells="1">
                  <from>
                    <xdr:col>4</xdr:col>
                    <xdr:colOff>9525</xdr:colOff>
                    <xdr:row>21</xdr:row>
                    <xdr:rowOff>9525</xdr:rowOff>
                  </from>
                  <to>
                    <xdr:col>5</xdr:col>
                    <xdr:colOff>9525</xdr:colOff>
                    <xdr:row>21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6" r:id="rId18" name="Drop Down 16">
              <controlPr locked="0" defaultSize="0" autoLine="0" autoPict="0">
                <anchor moveWithCells="1">
                  <from>
                    <xdr:col>9</xdr:col>
                    <xdr:colOff>9525</xdr:colOff>
                    <xdr:row>7</xdr:row>
                    <xdr:rowOff>9525</xdr:rowOff>
                  </from>
                  <to>
                    <xdr:col>10</xdr:col>
                    <xdr:colOff>9525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7" r:id="rId19" name="Drop Down 17">
              <controlPr defaultSize="0" autoLine="0" autoPict="0">
                <anchor moveWithCells="1">
                  <from>
                    <xdr:col>9</xdr:col>
                    <xdr:colOff>9525</xdr:colOff>
                    <xdr:row>8</xdr:row>
                    <xdr:rowOff>9525</xdr:rowOff>
                  </from>
                  <to>
                    <xdr:col>10</xdr:col>
                    <xdr:colOff>9525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8" r:id="rId20" name="Drop Down 18">
              <controlPr defaultSize="0" autoLine="0" autoPict="0">
                <anchor moveWithCells="1">
                  <from>
                    <xdr:col>9</xdr:col>
                    <xdr:colOff>9525</xdr:colOff>
                    <xdr:row>9</xdr:row>
                    <xdr:rowOff>9525</xdr:rowOff>
                  </from>
                  <to>
                    <xdr:col>10</xdr:col>
                    <xdr:colOff>9525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9" r:id="rId21" name="Drop Down 19">
              <controlPr defaultSize="0" autoLine="0" autoPict="0">
                <anchor moveWithCells="1">
                  <from>
                    <xdr:col>9</xdr:col>
                    <xdr:colOff>9525</xdr:colOff>
                    <xdr:row>10</xdr:row>
                    <xdr:rowOff>9525</xdr:rowOff>
                  </from>
                  <to>
                    <xdr:col>10</xdr:col>
                    <xdr:colOff>9525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0" r:id="rId22" name="Drop Down 20">
              <controlPr defaultSize="0" autoLine="0" autoPict="0">
                <anchor moveWithCells="1">
                  <from>
                    <xdr:col>9</xdr:col>
                    <xdr:colOff>9525</xdr:colOff>
                    <xdr:row>11</xdr:row>
                    <xdr:rowOff>9525</xdr:rowOff>
                  </from>
                  <to>
                    <xdr:col>10</xdr:col>
                    <xdr:colOff>9525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1" r:id="rId23" name="Drop Down 21">
              <controlPr defaultSize="0" autoLine="0" autoPict="0">
                <anchor moveWithCells="1">
                  <from>
                    <xdr:col>9</xdr:col>
                    <xdr:colOff>9525</xdr:colOff>
                    <xdr:row>12</xdr:row>
                    <xdr:rowOff>9525</xdr:rowOff>
                  </from>
                  <to>
                    <xdr:col>10</xdr:col>
                    <xdr:colOff>9525</xdr:colOff>
                    <xdr:row>12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2" r:id="rId24" name="Drop Down 22">
              <controlPr defaultSize="0" autoLine="0" autoPict="0">
                <anchor moveWithCells="1">
                  <from>
                    <xdr:col>9</xdr:col>
                    <xdr:colOff>9525</xdr:colOff>
                    <xdr:row>13</xdr:row>
                    <xdr:rowOff>9525</xdr:rowOff>
                  </from>
                  <to>
                    <xdr:col>10</xdr:col>
                    <xdr:colOff>9525</xdr:colOff>
                    <xdr:row>13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3" r:id="rId25" name="Drop Down 23">
              <controlPr defaultSize="0" autoLine="0" autoPict="0">
                <anchor moveWithCells="1">
                  <from>
                    <xdr:col>9</xdr:col>
                    <xdr:colOff>9525</xdr:colOff>
                    <xdr:row>14</xdr:row>
                    <xdr:rowOff>9525</xdr:rowOff>
                  </from>
                  <to>
                    <xdr:col>10</xdr:col>
                    <xdr:colOff>9525</xdr:colOff>
                    <xdr:row>14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4" r:id="rId26" name="Drop Down 24">
              <controlPr defaultSize="0" autoLine="0" autoPict="0">
                <anchor moveWithCells="1">
                  <from>
                    <xdr:col>9</xdr:col>
                    <xdr:colOff>9525</xdr:colOff>
                    <xdr:row>15</xdr:row>
                    <xdr:rowOff>9525</xdr:rowOff>
                  </from>
                  <to>
                    <xdr:col>10</xdr:col>
                    <xdr:colOff>9525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5" r:id="rId27" name="Drop Down 25">
              <controlPr defaultSize="0" autoLine="0" autoPict="0">
                <anchor moveWithCells="1">
                  <from>
                    <xdr:col>9</xdr:col>
                    <xdr:colOff>9525</xdr:colOff>
                    <xdr:row>16</xdr:row>
                    <xdr:rowOff>9525</xdr:rowOff>
                  </from>
                  <to>
                    <xdr:col>10</xdr:col>
                    <xdr:colOff>9525</xdr:colOff>
                    <xdr:row>16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6" r:id="rId28" name="Drop Down 26">
              <controlPr defaultSize="0" autoLine="0" autoPict="0">
                <anchor moveWithCells="1">
                  <from>
                    <xdr:col>9</xdr:col>
                    <xdr:colOff>9525</xdr:colOff>
                    <xdr:row>17</xdr:row>
                    <xdr:rowOff>9525</xdr:rowOff>
                  </from>
                  <to>
                    <xdr:col>10</xdr:col>
                    <xdr:colOff>9525</xdr:colOff>
                    <xdr:row>17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7" r:id="rId29" name="Drop Down 27">
              <controlPr defaultSize="0" autoLine="0" autoPict="0">
                <anchor moveWithCells="1">
                  <from>
                    <xdr:col>9</xdr:col>
                    <xdr:colOff>9525</xdr:colOff>
                    <xdr:row>18</xdr:row>
                    <xdr:rowOff>9525</xdr:rowOff>
                  </from>
                  <to>
                    <xdr:col>10</xdr:col>
                    <xdr:colOff>9525</xdr:colOff>
                    <xdr:row>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8" r:id="rId30" name="Drop Down 28">
              <controlPr defaultSize="0" autoLine="0" autoPict="0">
                <anchor moveWithCells="1">
                  <from>
                    <xdr:col>9</xdr:col>
                    <xdr:colOff>9525</xdr:colOff>
                    <xdr:row>19</xdr:row>
                    <xdr:rowOff>9525</xdr:rowOff>
                  </from>
                  <to>
                    <xdr:col>10</xdr:col>
                    <xdr:colOff>9525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9" r:id="rId31" name="Drop Down 29">
              <controlPr defaultSize="0" autoLine="0" autoPict="0">
                <anchor moveWithCells="1">
                  <from>
                    <xdr:col>9</xdr:col>
                    <xdr:colOff>9525</xdr:colOff>
                    <xdr:row>20</xdr:row>
                    <xdr:rowOff>9525</xdr:rowOff>
                  </from>
                  <to>
                    <xdr:col>10</xdr:col>
                    <xdr:colOff>9525</xdr:colOff>
                    <xdr:row>20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0" r:id="rId32" name="Drop Down 30">
              <controlPr defaultSize="0" autoLine="0" autoPict="0">
                <anchor moveWithCells="1">
                  <from>
                    <xdr:col>9</xdr:col>
                    <xdr:colOff>9525</xdr:colOff>
                    <xdr:row>21</xdr:row>
                    <xdr:rowOff>9525</xdr:rowOff>
                  </from>
                  <to>
                    <xdr:col>10</xdr:col>
                    <xdr:colOff>9525</xdr:colOff>
                    <xdr:row>21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1" r:id="rId33" name="Drop Down 31">
              <controlPr locked="0" defaultSize="0" autoLine="0" autoPict="0">
                <anchor moveWithCells="1">
                  <from>
                    <xdr:col>9</xdr:col>
                    <xdr:colOff>9525</xdr:colOff>
                    <xdr:row>8</xdr:row>
                    <xdr:rowOff>9525</xdr:rowOff>
                  </from>
                  <to>
                    <xdr:col>10</xdr:col>
                    <xdr:colOff>9525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2" r:id="rId34" name="Drop Down 32">
              <controlPr locked="0" defaultSize="0" autoLine="0" autoPict="0">
                <anchor moveWithCells="1">
                  <from>
                    <xdr:col>9</xdr:col>
                    <xdr:colOff>9525</xdr:colOff>
                    <xdr:row>9</xdr:row>
                    <xdr:rowOff>9525</xdr:rowOff>
                  </from>
                  <to>
                    <xdr:col>10</xdr:col>
                    <xdr:colOff>9525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3" r:id="rId35" name="Drop Down 33">
              <controlPr locked="0" defaultSize="0" autoLine="0" autoPict="0">
                <anchor moveWithCells="1">
                  <from>
                    <xdr:col>9</xdr:col>
                    <xdr:colOff>9525</xdr:colOff>
                    <xdr:row>10</xdr:row>
                    <xdr:rowOff>9525</xdr:rowOff>
                  </from>
                  <to>
                    <xdr:col>10</xdr:col>
                    <xdr:colOff>9525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4" r:id="rId36" name="Drop Down 34">
              <controlPr locked="0" defaultSize="0" autoLine="0" autoPict="0">
                <anchor moveWithCells="1">
                  <from>
                    <xdr:col>9</xdr:col>
                    <xdr:colOff>9525</xdr:colOff>
                    <xdr:row>11</xdr:row>
                    <xdr:rowOff>9525</xdr:rowOff>
                  </from>
                  <to>
                    <xdr:col>10</xdr:col>
                    <xdr:colOff>9525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5" r:id="rId37" name="Drop Down 35">
              <controlPr locked="0" defaultSize="0" autoLine="0" autoPict="0">
                <anchor moveWithCells="1">
                  <from>
                    <xdr:col>9</xdr:col>
                    <xdr:colOff>9525</xdr:colOff>
                    <xdr:row>12</xdr:row>
                    <xdr:rowOff>9525</xdr:rowOff>
                  </from>
                  <to>
                    <xdr:col>10</xdr:col>
                    <xdr:colOff>9525</xdr:colOff>
                    <xdr:row>12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6" r:id="rId38" name="Drop Down 36">
              <controlPr locked="0" defaultSize="0" autoLine="0" autoPict="0">
                <anchor moveWithCells="1">
                  <from>
                    <xdr:col>9</xdr:col>
                    <xdr:colOff>9525</xdr:colOff>
                    <xdr:row>13</xdr:row>
                    <xdr:rowOff>9525</xdr:rowOff>
                  </from>
                  <to>
                    <xdr:col>10</xdr:col>
                    <xdr:colOff>9525</xdr:colOff>
                    <xdr:row>13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7" r:id="rId39" name="Drop Down 37">
              <controlPr locked="0" defaultSize="0" autoLine="0" autoPict="0">
                <anchor moveWithCells="1">
                  <from>
                    <xdr:col>9</xdr:col>
                    <xdr:colOff>9525</xdr:colOff>
                    <xdr:row>14</xdr:row>
                    <xdr:rowOff>9525</xdr:rowOff>
                  </from>
                  <to>
                    <xdr:col>10</xdr:col>
                    <xdr:colOff>9525</xdr:colOff>
                    <xdr:row>14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8" r:id="rId40" name="Drop Down 38">
              <controlPr locked="0" defaultSize="0" autoLine="0" autoPict="0">
                <anchor moveWithCells="1">
                  <from>
                    <xdr:col>9</xdr:col>
                    <xdr:colOff>9525</xdr:colOff>
                    <xdr:row>15</xdr:row>
                    <xdr:rowOff>9525</xdr:rowOff>
                  </from>
                  <to>
                    <xdr:col>10</xdr:col>
                    <xdr:colOff>9525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9" r:id="rId41" name="Drop Down 39">
              <controlPr locked="0" defaultSize="0" autoLine="0" autoPict="0">
                <anchor moveWithCells="1">
                  <from>
                    <xdr:col>9</xdr:col>
                    <xdr:colOff>9525</xdr:colOff>
                    <xdr:row>16</xdr:row>
                    <xdr:rowOff>9525</xdr:rowOff>
                  </from>
                  <to>
                    <xdr:col>10</xdr:col>
                    <xdr:colOff>9525</xdr:colOff>
                    <xdr:row>16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0" r:id="rId42" name="Drop Down 40">
              <controlPr locked="0" defaultSize="0" autoLine="0" autoPict="0">
                <anchor moveWithCells="1">
                  <from>
                    <xdr:col>9</xdr:col>
                    <xdr:colOff>9525</xdr:colOff>
                    <xdr:row>17</xdr:row>
                    <xdr:rowOff>9525</xdr:rowOff>
                  </from>
                  <to>
                    <xdr:col>10</xdr:col>
                    <xdr:colOff>9525</xdr:colOff>
                    <xdr:row>17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1" r:id="rId43" name="Drop Down 41">
              <controlPr locked="0" defaultSize="0" autoLine="0" autoPict="0">
                <anchor moveWithCells="1">
                  <from>
                    <xdr:col>9</xdr:col>
                    <xdr:colOff>9525</xdr:colOff>
                    <xdr:row>18</xdr:row>
                    <xdr:rowOff>9525</xdr:rowOff>
                  </from>
                  <to>
                    <xdr:col>10</xdr:col>
                    <xdr:colOff>9525</xdr:colOff>
                    <xdr:row>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2" r:id="rId44" name="Drop Down 42">
              <controlPr locked="0" defaultSize="0" autoLine="0" autoPict="0">
                <anchor moveWithCells="1">
                  <from>
                    <xdr:col>9</xdr:col>
                    <xdr:colOff>9525</xdr:colOff>
                    <xdr:row>19</xdr:row>
                    <xdr:rowOff>9525</xdr:rowOff>
                  </from>
                  <to>
                    <xdr:col>10</xdr:col>
                    <xdr:colOff>9525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3" r:id="rId45" name="Drop Down 43">
              <controlPr locked="0" defaultSize="0" autoLine="0" autoPict="0">
                <anchor moveWithCells="1">
                  <from>
                    <xdr:col>9</xdr:col>
                    <xdr:colOff>9525</xdr:colOff>
                    <xdr:row>20</xdr:row>
                    <xdr:rowOff>9525</xdr:rowOff>
                  </from>
                  <to>
                    <xdr:col>10</xdr:col>
                    <xdr:colOff>9525</xdr:colOff>
                    <xdr:row>20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4" r:id="rId46" name="Drop Down 44">
              <controlPr locked="0" defaultSize="0" autoLine="0" autoPict="0">
                <anchor moveWithCells="1">
                  <from>
                    <xdr:col>9</xdr:col>
                    <xdr:colOff>9525</xdr:colOff>
                    <xdr:row>21</xdr:row>
                    <xdr:rowOff>9525</xdr:rowOff>
                  </from>
                  <to>
                    <xdr:col>10</xdr:col>
                    <xdr:colOff>9525</xdr:colOff>
                    <xdr:row>21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5" r:id="rId47" name="Drop Down 45">
              <controlPr locked="0" defaultSize="0" autoLine="0" autoPict="0">
                <anchor moveWithCells="1">
                  <from>
                    <xdr:col>9</xdr:col>
                    <xdr:colOff>9525</xdr:colOff>
                    <xdr:row>7</xdr:row>
                    <xdr:rowOff>9525</xdr:rowOff>
                  </from>
                  <to>
                    <xdr:col>10</xdr:col>
                    <xdr:colOff>9525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6" r:id="rId48" name="Drop Down 46">
              <controlPr defaultSize="0" autoLine="0" autoPict="0">
                <anchor moveWithCells="1">
                  <from>
                    <xdr:col>9</xdr:col>
                    <xdr:colOff>9525</xdr:colOff>
                    <xdr:row>8</xdr:row>
                    <xdr:rowOff>9525</xdr:rowOff>
                  </from>
                  <to>
                    <xdr:col>10</xdr:col>
                    <xdr:colOff>9525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7" r:id="rId49" name="Drop Down 47">
              <controlPr defaultSize="0" autoLine="0" autoPict="0">
                <anchor moveWithCells="1">
                  <from>
                    <xdr:col>9</xdr:col>
                    <xdr:colOff>9525</xdr:colOff>
                    <xdr:row>9</xdr:row>
                    <xdr:rowOff>9525</xdr:rowOff>
                  </from>
                  <to>
                    <xdr:col>10</xdr:col>
                    <xdr:colOff>9525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8" r:id="rId50" name="Drop Down 48">
              <controlPr defaultSize="0" autoLine="0" autoPict="0">
                <anchor moveWithCells="1">
                  <from>
                    <xdr:col>9</xdr:col>
                    <xdr:colOff>9525</xdr:colOff>
                    <xdr:row>10</xdr:row>
                    <xdr:rowOff>9525</xdr:rowOff>
                  </from>
                  <to>
                    <xdr:col>10</xdr:col>
                    <xdr:colOff>9525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9" r:id="rId51" name="Drop Down 49">
              <controlPr defaultSize="0" autoLine="0" autoPict="0">
                <anchor moveWithCells="1">
                  <from>
                    <xdr:col>9</xdr:col>
                    <xdr:colOff>9525</xdr:colOff>
                    <xdr:row>11</xdr:row>
                    <xdr:rowOff>9525</xdr:rowOff>
                  </from>
                  <to>
                    <xdr:col>10</xdr:col>
                    <xdr:colOff>9525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0" r:id="rId52" name="Drop Down 50">
              <controlPr defaultSize="0" autoLine="0" autoPict="0">
                <anchor moveWithCells="1">
                  <from>
                    <xdr:col>9</xdr:col>
                    <xdr:colOff>9525</xdr:colOff>
                    <xdr:row>12</xdr:row>
                    <xdr:rowOff>9525</xdr:rowOff>
                  </from>
                  <to>
                    <xdr:col>10</xdr:col>
                    <xdr:colOff>9525</xdr:colOff>
                    <xdr:row>12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1" r:id="rId53" name="Drop Down 51">
              <controlPr defaultSize="0" autoLine="0" autoPict="0">
                <anchor moveWithCells="1">
                  <from>
                    <xdr:col>9</xdr:col>
                    <xdr:colOff>9525</xdr:colOff>
                    <xdr:row>13</xdr:row>
                    <xdr:rowOff>9525</xdr:rowOff>
                  </from>
                  <to>
                    <xdr:col>10</xdr:col>
                    <xdr:colOff>9525</xdr:colOff>
                    <xdr:row>13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2" r:id="rId54" name="Drop Down 52">
              <controlPr defaultSize="0" autoLine="0" autoPict="0">
                <anchor moveWithCells="1">
                  <from>
                    <xdr:col>9</xdr:col>
                    <xdr:colOff>9525</xdr:colOff>
                    <xdr:row>14</xdr:row>
                    <xdr:rowOff>9525</xdr:rowOff>
                  </from>
                  <to>
                    <xdr:col>10</xdr:col>
                    <xdr:colOff>9525</xdr:colOff>
                    <xdr:row>14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3" r:id="rId55" name="Drop Down 53">
              <controlPr defaultSize="0" autoLine="0" autoPict="0">
                <anchor moveWithCells="1">
                  <from>
                    <xdr:col>9</xdr:col>
                    <xdr:colOff>9525</xdr:colOff>
                    <xdr:row>15</xdr:row>
                    <xdr:rowOff>9525</xdr:rowOff>
                  </from>
                  <to>
                    <xdr:col>10</xdr:col>
                    <xdr:colOff>9525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4" r:id="rId56" name="Drop Down 54">
              <controlPr defaultSize="0" autoLine="0" autoPict="0">
                <anchor moveWithCells="1">
                  <from>
                    <xdr:col>9</xdr:col>
                    <xdr:colOff>9525</xdr:colOff>
                    <xdr:row>16</xdr:row>
                    <xdr:rowOff>9525</xdr:rowOff>
                  </from>
                  <to>
                    <xdr:col>10</xdr:col>
                    <xdr:colOff>9525</xdr:colOff>
                    <xdr:row>16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5" r:id="rId57" name="Drop Down 55">
              <controlPr defaultSize="0" autoLine="0" autoPict="0">
                <anchor moveWithCells="1">
                  <from>
                    <xdr:col>9</xdr:col>
                    <xdr:colOff>9525</xdr:colOff>
                    <xdr:row>17</xdr:row>
                    <xdr:rowOff>9525</xdr:rowOff>
                  </from>
                  <to>
                    <xdr:col>10</xdr:col>
                    <xdr:colOff>9525</xdr:colOff>
                    <xdr:row>17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6" r:id="rId58" name="Drop Down 56">
              <controlPr defaultSize="0" autoLine="0" autoPict="0">
                <anchor moveWithCells="1">
                  <from>
                    <xdr:col>9</xdr:col>
                    <xdr:colOff>9525</xdr:colOff>
                    <xdr:row>18</xdr:row>
                    <xdr:rowOff>9525</xdr:rowOff>
                  </from>
                  <to>
                    <xdr:col>10</xdr:col>
                    <xdr:colOff>9525</xdr:colOff>
                    <xdr:row>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7" r:id="rId59" name="Drop Down 57">
              <controlPr defaultSize="0" autoLine="0" autoPict="0">
                <anchor moveWithCells="1">
                  <from>
                    <xdr:col>9</xdr:col>
                    <xdr:colOff>9525</xdr:colOff>
                    <xdr:row>19</xdr:row>
                    <xdr:rowOff>9525</xdr:rowOff>
                  </from>
                  <to>
                    <xdr:col>10</xdr:col>
                    <xdr:colOff>9525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8" r:id="rId60" name="Drop Down 58">
              <controlPr defaultSize="0" autoLine="0" autoPict="0">
                <anchor moveWithCells="1">
                  <from>
                    <xdr:col>9</xdr:col>
                    <xdr:colOff>9525</xdr:colOff>
                    <xdr:row>20</xdr:row>
                    <xdr:rowOff>9525</xdr:rowOff>
                  </from>
                  <to>
                    <xdr:col>10</xdr:col>
                    <xdr:colOff>9525</xdr:colOff>
                    <xdr:row>20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9" r:id="rId61" name="Drop Down 59">
              <controlPr defaultSize="0" autoLine="0" autoPict="0">
                <anchor moveWithCells="1">
                  <from>
                    <xdr:col>9</xdr:col>
                    <xdr:colOff>9525</xdr:colOff>
                    <xdr:row>21</xdr:row>
                    <xdr:rowOff>9525</xdr:rowOff>
                  </from>
                  <to>
                    <xdr:col>10</xdr:col>
                    <xdr:colOff>9525</xdr:colOff>
                    <xdr:row>21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0" r:id="rId62" name="Drop Down 60">
              <controlPr locked="0" defaultSize="0" autoLine="0" autoPict="0">
                <anchor moveWithCells="1">
                  <from>
                    <xdr:col>9</xdr:col>
                    <xdr:colOff>9525</xdr:colOff>
                    <xdr:row>8</xdr:row>
                    <xdr:rowOff>9525</xdr:rowOff>
                  </from>
                  <to>
                    <xdr:col>10</xdr:col>
                    <xdr:colOff>9525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1" r:id="rId63" name="Drop Down 61">
              <controlPr locked="0" defaultSize="0" autoLine="0" autoPict="0">
                <anchor moveWithCells="1">
                  <from>
                    <xdr:col>9</xdr:col>
                    <xdr:colOff>9525</xdr:colOff>
                    <xdr:row>9</xdr:row>
                    <xdr:rowOff>9525</xdr:rowOff>
                  </from>
                  <to>
                    <xdr:col>10</xdr:col>
                    <xdr:colOff>9525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2" r:id="rId64" name="Drop Down 62">
              <controlPr locked="0" defaultSize="0" autoLine="0" autoPict="0">
                <anchor moveWithCells="1">
                  <from>
                    <xdr:col>9</xdr:col>
                    <xdr:colOff>9525</xdr:colOff>
                    <xdr:row>10</xdr:row>
                    <xdr:rowOff>9525</xdr:rowOff>
                  </from>
                  <to>
                    <xdr:col>10</xdr:col>
                    <xdr:colOff>9525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3" r:id="rId65" name="Drop Down 63">
              <controlPr locked="0" defaultSize="0" autoLine="0" autoPict="0">
                <anchor moveWithCells="1">
                  <from>
                    <xdr:col>9</xdr:col>
                    <xdr:colOff>9525</xdr:colOff>
                    <xdr:row>11</xdr:row>
                    <xdr:rowOff>9525</xdr:rowOff>
                  </from>
                  <to>
                    <xdr:col>10</xdr:col>
                    <xdr:colOff>9525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4" r:id="rId66" name="Drop Down 64">
              <controlPr locked="0" defaultSize="0" autoLine="0" autoPict="0">
                <anchor moveWithCells="1">
                  <from>
                    <xdr:col>9</xdr:col>
                    <xdr:colOff>9525</xdr:colOff>
                    <xdr:row>12</xdr:row>
                    <xdr:rowOff>9525</xdr:rowOff>
                  </from>
                  <to>
                    <xdr:col>10</xdr:col>
                    <xdr:colOff>9525</xdr:colOff>
                    <xdr:row>12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5" r:id="rId67" name="Drop Down 65">
              <controlPr locked="0" defaultSize="0" autoLine="0" autoPict="0">
                <anchor moveWithCells="1">
                  <from>
                    <xdr:col>9</xdr:col>
                    <xdr:colOff>9525</xdr:colOff>
                    <xdr:row>13</xdr:row>
                    <xdr:rowOff>9525</xdr:rowOff>
                  </from>
                  <to>
                    <xdr:col>10</xdr:col>
                    <xdr:colOff>9525</xdr:colOff>
                    <xdr:row>13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6" r:id="rId68" name="Drop Down 66">
              <controlPr locked="0" defaultSize="0" autoLine="0" autoPict="0">
                <anchor moveWithCells="1">
                  <from>
                    <xdr:col>9</xdr:col>
                    <xdr:colOff>9525</xdr:colOff>
                    <xdr:row>14</xdr:row>
                    <xdr:rowOff>9525</xdr:rowOff>
                  </from>
                  <to>
                    <xdr:col>10</xdr:col>
                    <xdr:colOff>9525</xdr:colOff>
                    <xdr:row>14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7" r:id="rId69" name="Drop Down 67">
              <controlPr locked="0" defaultSize="0" autoLine="0" autoPict="0">
                <anchor moveWithCells="1">
                  <from>
                    <xdr:col>9</xdr:col>
                    <xdr:colOff>9525</xdr:colOff>
                    <xdr:row>15</xdr:row>
                    <xdr:rowOff>9525</xdr:rowOff>
                  </from>
                  <to>
                    <xdr:col>10</xdr:col>
                    <xdr:colOff>9525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8" r:id="rId70" name="Drop Down 68">
              <controlPr locked="0" defaultSize="0" autoLine="0" autoPict="0">
                <anchor moveWithCells="1">
                  <from>
                    <xdr:col>9</xdr:col>
                    <xdr:colOff>9525</xdr:colOff>
                    <xdr:row>16</xdr:row>
                    <xdr:rowOff>9525</xdr:rowOff>
                  </from>
                  <to>
                    <xdr:col>10</xdr:col>
                    <xdr:colOff>9525</xdr:colOff>
                    <xdr:row>16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89" r:id="rId71" name="Drop Down 69">
              <controlPr locked="0" defaultSize="0" autoLine="0" autoPict="0">
                <anchor moveWithCells="1">
                  <from>
                    <xdr:col>9</xdr:col>
                    <xdr:colOff>9525</xdr:colOff>
                    <xdr:row>17</xdr:row>
                    <xdr:rowOff>9525</xdr:rowOff>
                  </from>
                  <to>
                    <xdr:col>10</xdr:col>
                    <xdr:colOff>9525</xdr:colOff>
                    <xdr:row>17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0" r:id="rId72" name="Drop Down 70">
              <controlPr locked="0" defaultSize="0" autoLine="0" autoPict="0">
                <anchor moveWithCells="1">
                  <from>
                    <xdr:col>9</xdr:col>
                    <xdr:colOff>9525</xdr:colOff>
                    <xdr:row>18</xdr:row>
                    <xdr:rowOff>9525</xdr:rowOff>
                  </from>
                  <to>
                    <xdr:col>10</xdr:col>
                    <xdr:colOff>9525</xdr:colOff>
                    <xdr:row>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1" r:id="rId73" name="Drop Down 71">
              <controlPr locked="0" defaultSize="0" autoLine="0" autoPict="0">
                <anchor moveWithCells="1">
                  <from>
                    <xdr:col>9</xdr:col>
                    <xdr:colOff>9525</xdr:colOff>
                    <xdr:row>19</xdr:row>
                    <xdr:rowOff>9525</xdr:rowOff>
                  </from>
                  <to>
                    <xdr:col>10</xdr:col>
                    <xdr:colOff>9525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2" r:id="rId74" name="Drop Down 72">
              <controlPr locked="0" defaultSize="0" autoLine="0" autoPict="0">
                <anchor moveWithCells="1">
                  <from>
                    <xdr:col>9</xdr:col>
                    <xdr:colOff>9525</xdr:colOff>
                    <xdr:row>20</xdr:row>
                    <xdr:rowOff>9525</xdr:rowOff>
                  </from>
                  <to>
                    <xdr:col>10</xdr:col>
                    <xdr:colOff>9525</xdr:colOff>
                    <xdr:row>20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3" r:id="rId75" name="Drop Down 73">
              <controlPr locked="0" defaultSize="0" autoLine="0" autoPict="0">
                <anchor moveWithCells="1">
                  <from>
                    <xdr:col>9</xdr:col>
                    <xdr:colOff>9525</xdr:colOff>
                    <xdr:row>21</xdr:row>
                    <xdr:rowOff>9525</xdr:rowOff>
                  </from>
                  <to>
                    <xdr:col>10</xdr:col>
                    <xdr:colOff>9525</xdr:colOff>
                    <xdr:row>21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4" r:id="rId76" name="Drop Down 74">
              <controlPr locked="0" defaultSize="0" autoLine="0" autoPict="0">
                <anchor moveWithCells="1">
                  <from>
                    <xdr:col>11</xdr:col>
                    <xdr:colOff>9525</xdr:colOff>
                    <xdr:row>7</xdr:row>
                    <xdr:rowOff>9525</xdr:rowOff>
                  </from>
                  <to>
                    <xdr:col>11</xdr:col>
                    <xdr:colOff>714375</xdr:colOff>
                    <xdr:row>7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5" r:id="rId77" name="Drop Down 75">
              <controlPr locked="0" defaultSize="0" autoLine="0" autoPict="0">
                <anchor moveWithCells="1">
                  <from>
                    <xdr:col>11</xdr:col>
                    <xdr:colOff>9525</xdr:colOff>
                    <xdr:row>8</xdr:row>
                    <xdr:rowOff>9525</xdr:rowOff>
                  </from>
                  <to>
                    <xdr:col>11</xdr:col>
                    <xdr:colOff>714375</xdr:colOff>
                    <xdr:row>8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6" r:id="rId78" name="Drop Down 76">
              <controlPr locked="0" defaultSize="0" autoLine="0" autoPict="0">
                <anchor moveWithCells="1">
                  <from>
                    <xdr:col>11</xdr:col>
                    <xdr:colOff>9525</xdr:colOff>
                    <xdr:row>9</xdr:row>
                    <xdr:rowOff>9525</xdr:rowOff>
                  </from>
                  <to>
                    <xdr:col>11</xdr:col>
                    <xdr:colOff>714375</xdr:colOff>
                    <xdr:row>9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7" r:id="rId79" name="Drop Down 77">
              <controlPr locked="0" defaultSize="0" autoLine="0" autoPict="0">
                <anchor moveWithCells="1">
                  <from>
                    <xdr:col>11</xdr:col>
                    <xdr:colOff>9525</xdr:colOff>
                    <xdr:row>10</xdr:row>
                    <xdr:rowOff>9525</xdr:rowOff>
                  </from>
                  <to>
                    <xdr:col>11</xdr:col>
                    <xdr:colOff>714375</xdr:colOff>
                    <xdr:row>10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8" r:id="rId80" name="Drop Down 78">
              <controlPr locked="0" defaultSize="0" autoLine="0" autoPict="0">
                <anchor moveWithCells="1">
                  <from>
                    <xdr:col>11</xdr:col>
                    <xdr:colOff>9525</xdr:colOff>
                    <xdr:row>11</xdr:row>
                    <xdr:rowOff>9525</xdr:rowOff>
                  </from>
                  <to>
                    <xdr:col>11</xdr:col>
                    <xdr:colOff>714375</xdr:colOff>
                    <xdr:row>11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9" r:id="rId81" name="Drop Down 79">
              <controlPr locked="0" defaultSize="0" autoLine="0" autoPict="0">
                <anchor moveWithCells="1">
                  <from>
                    <xdr:col>11</xdr:col>
                    <xdr:colOff>9525</xdr:colOff>
                    <xdr:row>12</xdr:row>
                    <xdr:rowOff>9525</xdr:rowOff>
                  </from>
                  <to>
                    <xdr:col>11</xdr:col>
                    <xdr:colOff>714375</xdr:colOff>
                    <xdr:row>12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0" r:id="rId82" name="Drop Down 80">
              <controlPr locked="0" defaultSize="0" autoLine="0" autoPict="0">
                <anchor moveWithCells="1">
                  <from>
                    <xdr:col>11</xdr:col>
                    <xdr:colOff>9525</xdr:colOff>
                    <xdr:row>13</xdr:row>
                    <xdr:rowOff>9525</xdr:rowOff>
                  </from>
                  <to>
                    <xdr:col>11</xdr:col>
                    <xdr:colOff>714375</xdr:colOff>
                    <xdr:row>13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1" r:id="rId83" name="Drop Down 81">
              <controlPr locked="0" defaultSize="0" autoLine="0" autoPict="0">
                <anchor moveWithCells="1">
                  <from>
                    <xdr:col>11</xdr:col>
                    <xdr:colOff>9525</xdr:colOff>
                    <xdr:row>14</xdr:row>
                    <xdr:rowOff>9525</xdr:rowOff>
                  </from>
                  <to>
                    <xdr:col>11</xdr:col>
                    <xdr:colOff>714375</xdr:colOff>
                    <xdr:row>14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2" r:id="rId84" name="Drop Down 82">
              <controlPr locked="0" defaultSize="0" autoLine="0" autoPict="0">
                <anchor moveWithCells="1">
                  <from>
                    <xdr:col>11</xdr:col>
                    <xdr:colOff>9525</xdr:colOff>
                    <xdr:row>15</xdr:row>
                    <xdr:rowOff>9525</xdr:rowOff>
                  </from>
                  <to>
                    <xdr:col>11</xdr:col>
                    <xdr:colOff>714375</xdr:colOff>
                    <xdr:row>15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3" r:id="rId85" name="Drop Down 83">
              <controlPr locked="0" defaultSize="0" autoLine="0" autoPict="0">
                <anchor moveWithCells="1">
                  <from>
                    <xdr:col>11</xdr:col>
                    <xdr:colOff>9525</xdr:colOff>
                    <xdr:row>16</xdr:row>
                    <xdr:rowOff>9525</xdr:rowOff>
                  </from>
                  <to>
                    <xdr:col>11</xdr:col>
                    <xdr:colOff>714375</xdr:colOff>
                    <xdr:row>16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4" r:id="rId86" name="Drop Down 84">
              <controlPr locked="0" defaultSize="0" autoLine="0" autoPict="0">
                <anchor moveWithCells="1">
                  <from>
                    <xdr:col>11</xdr:col>
                    <xdr:colOff>9525</xdr:colOff>
                    <xdr:row>17</xdr:row>
                    <xdr:rowOff>9525</xdr:rowOff>
                  </from>
                  <to>
                    <xdr:col>11</xdr:col>
                    <xdr:colOff>714375</xdr:colOff>
                    <xdr:row>17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5" r:id="rId87" name="Drop Down 85">
              <controlPr locked="0" defaultSize="0" autoLine="0" autoPict="0">
                <anchor moveWithCells="1">
                  <from>
                    <xdr:col>11</xdr:col>
                    <xdr:colOff>9525</xdr:colOff>
                    <xdr:row>18</xdr:row>
                    <xdr:rowOff>9525</xdr:rowOff>
                  </from>
                  <to>
                    <xdr:col>11</xdr:col>
                    <xdr:colOff>714375</xdr:colOff>
                    <xdr:row>18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6" r:id="rId88" name="Drop Down 86">
              <controlPr locked="0" defaultSize="0" autoLine="0" autoPict="0">
                <anchor moveWithCells="1">
                  <from>
                    <xdr:col>11</xdr:col>
                    <xdr:colOff>9525</xdr:colOff>
                    <xdr:row>19</xdr:row>
                    <xdr:rowOff>9525</xdr:rowOff>
                  </from>
                  <to>
                    <xdr:col>11</xdr:col>
                    <xdr:colOff>714375</xdr:colOff>
                    <xdr:row>19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7" r:id="rId89" name="Drop Down 87">
              <controlPr locked="0" defaultSize="0" autoLine="0" autoPict="0">
                <anchor moveWithCells="1">
                  <from>
                    <xdr:col>11</xdr:col>
                    <xdr:colOff>9525</xdr:colOff>
                    <xdr:row>20</xdr:row>
                    <xdr:rowOff>9525</xdr:rowOff>
                  </from>
                  <to>
                    <xdr:col>11</xdr:col>
                    <xdr:colOff>714375</xdr:colOff>
                    <xdr:row>20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8" r:id="rId90" name="Drop Down 88">
              <controlPr locked="0" defaultSize="0" autoLine="0" autoPict="0">
                <anchor moveWithCells="1">
                  <from>
                    <xdr:col>11</xdr:col>
                    <xdr:colOff>9525</xdr:colOff>
                    <xdr:row>21</xdr:row>
                    <xdr:rowOff>9525</xdr:rowOff>
                  </from>
                  <to>
                    <xdr:col>11</xdr:col>
                    <xdr:colOff>714375</xdr:colOff>
                    <xdr:row>21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9" r:id="rId91" name="Drop Down 89">
              <controlPr locked="0" defaultSize="0" autoLine="0" autoPict="0">
                <anchor moveWithCells="1">
                  <from>
                    <xdr:col>9</xdr:col>
                    <xdr:colOff>9525</xdr:colOff>
                    <xdr:row>8</xdr:row>
                    <xdr:rowOff>9525</xdr:rowOff>
                  </from>
                  <to>
                    <xdr:col>10</xdr:col>
                    <xdr:colOff>9525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0" r:id="rId92" name="Drop Down 90">
              <controlPr locked="0" defaultSize="0" autoLine="0" autoPict="0">
                <anchor moveWithCells="1">
                  <from>
                    <xdr:col>9</xdr:col>
                    <xdr:colOff>9525</xdr:colOff>
                    <xdr:row>9</xdr:row>
                    <xdr:rowOff>9525</xdr:rowOff>
                  </from>
                  <to>
                    <xdr:col>10</xdr:col>
                    <xdr:colOff>9525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1" r:id="rId93" name="Drop Down 91">
              <controlPr locked="0" defaultSize="0" autoLine="0" autoPict="0">
                <anchor moveWithCells="1">
                  <from>
                    <xdr:col>9</xdr:col>
                    <xdr:colOff>9525</xdr:colOff>
                    <xdr:row>10</xdr:row>
                    <xdr:rowOff>9525</xdr:rowOff>
                  </from>
                  <to>
                    <xdr:col>10</xdr:col>
                    <xdr:colOff>9525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2" r:id="rId94" name="Drop Down 92">
              <controlPr locked="0" defaultSize="0" autoLine="0" autoPict="0">
                <anchor moveWithCells="1">
                  <from>
                    <xdr:col>9</xdr:col>
                    <xdr:colOff>9525</xdr:colOff>
                    <xdr:row>11</xdr:row>
                    <xdr:rowOff>9525</xdr:rowOff>
                  </from>
                  <to>
                    <xdr:col>10</xdr:col>
                    <xdr:colOff>9525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3" r:id="rId95" name="Drop Down 93">
              <controlPr locked="0" defaultSize="0" autoLine="0" autoPict="0">
                <anchor moveWithCells="1">
                  <from>
                    <xdr:col>9</xdr:col>
                    <xdr:colOff>9525</xdr:colOff>
                    <xdr:row>12</xdr:row>
                    <xdr:rowOff>9525</xdr:rowOff>
                  </from>
                  <to>
                    <xdr:col>10</xdr:col>
                    <xdr:colOff>9525</xdr:colOff>
                    <xdr:row>12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4" r:id="rId96" name="Drop Down 94">
              <controlPr locked="0" defaultSize="0" autoLine="0" autoPict="0">
                <anchor moveWithCells="1">
                  <from>
                    <xdr:col>9</xdr:col>
                    <xdr:colOff>9525</xdr:colOff>
                    <xdr:row>13</xdr:row>
                    <xdr:rowOff>9525</xdr:rowOff>
                  </from>
                  <to>
                    <xdr:col>10</xdr:col>
                    <xdr:colOff>9525</xdr:colOff>
                    <xdr:row>13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5" r:id="rId97" name="Drop Down 95">
              <controlPr locked="0" defaultSize="0" autoLine="0" autoPict="0">
                <anchor moveWithCells="1">
                  <from>
                    <xdr:col>9</xdr:col>
                    <xdr:colOff>9525</xdr:colOff>
                    <xdr:row>14</xdr:row>
                    <xdr:rowOff>9525</xdr:rowOff>
                  </from>
                  <to>
                    <xdr:col>10</xdr:col>
                    <xdr:colOff>9525</xdr:colOff>
                    <xdr:row>14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6" r:id="rId98" name="Drop Down 96">
              <controlPr locked="0" defaultSize="0" autoLine="0" autoPict="0">
                <anchor moveWithCells="1">
                  <from>
                    <xdr:col>9</xdr:col>
                    <xdr:colOff>9525</xdr:colOff>
                    <xdr:row>15</xdr:row>
                    <xdr:rowOff>9525</xdr:rowOff>
                  </from>
                  <to>
                    <xdr:col>10</xdr:col>
                    <xdr:colOff>9525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7" r:id="rId99" name="Drop Down 97">
              <controlPr locked="0" defaultSize="0" autoLine="0" autoPict="0">
                <anchor moveWithCells="1">
                  <from>
                    <xdr:col>9</xdr:col>
                    <xdr:colOff>9525</xdr:colOff>
                    <xdr:row>16</xdr:row>
                    <xdr:rowOff>9525</xdr:rowOff>
                  </from>
                  <to>
                    <xdr:col>10</xdr:col>
                    <xdr:colOff>9525</xdr:colOff>
                    <xdr:row>16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8" r:id="rId100" name="Drop Down 98">
              <controlPr locked="0" defaultSize="0" autoLine="0" autoPict="0">
                <anchor moveWithCells="1">
                  <from>
                    <xdr:col>9</xdr:col>
                    <xdr:colOff>9525</xdr:colOff>
                    <xdr:row>17</xdr:row>
                    <xdr:rowOff>9525</xdr:rowOff>
                  </from>
                  <to>
                    <xdr:col>10</xdr:col>
                    <xdr:colOff>9525</xdr:colOff>
                    <xdr:row>17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19" r:id="rId101" name="Drop Down 99">
              <controlPr locked="0" defaultSize="0" autoLine="0" autoPict="0">
                <anchor moveWithCells="1">
                  <from>
                    <xdr:col>9</xdr:col>
                    <xdr:colOff>9525</xdr:colOff>
                    <xdr:row>18</xdr:row>
                    <xdr:rowOff>9525</xdr:rowOff>
                  </from>
                  <to>
                    <xdr:col>10</xdr:col>
                    <xdr:colOff>9525</xdr:colOff>
                    <xdr:row>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0" r:id="rId102" name="Drop Down 100">
              <controlPr locked="0" defaultSize="0" autoLine="0" autoPict="0">
                <anchor moveWithCells="1">
                  <from>
                    <xdr:col>9</xdr:col>
                    <xdr:colOff>9525</xdr:colOff>
                    <xdr:row>19</xdr:row>
                    <xdr:rowOff>9525</xdr:rowOff>
                  </from>
                  <to>
                    <xdr:col>10</xdr:col>
                    <xdr:colOff>9525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1" r:id="rId103" name="Drop Down 101">
              <controlPr locked="0" defaultSize="0" autoLine="0" autoPict="0">
                <anchor moveWithCells="1">
                  <from>
                    <xdr:col>9</xdr:col>
                    <xdr:colOff>9525</xdr:colOff>
                    <xdr:row>20</xdr:row>
                    <xdr:rowOff>9525</xdr:rowOff>
                  </from>
                  <to>
                    <xdr:col>10</xdr:col>
                    <xdr:colOff>9525</xdr:colOff>
                    <xdr:row>20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2" r:id="rId104" name="Drop Down 102">
              <controlPr locked="0" defaultSize="0" autoLine="0" autoPict="0">
                <anchor moveWithCells="1">
                  <from>
                    <xdr:col>9</xdr:col>
                    <xdr:colOff>9525</xdr:colOff>
                    <xdr:row>21</xdr:row>
                    <xdr:rowOff>9525</xdr:rowOff>
                  </from>
                  <to>
                    <xdr:col>10</xdr:col>
                    <xdr:colOff>9525</xdr:colOff>
                    <xdr:row>21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P600"/>
  <sheetViews>
    <sheetView tabSelected="1" workbookViewId="0">
      <selection activeCell="R34" sqref="R34"/>
    </sheetView>
  </sheetViews>
  <sheetFormatPr defaultRowHeight="15" x14ac:dyDescent="0.25"/>
  <cols>
    <col min="1" max="1" width="2.28515625" customWidth="1"/>
    <col min="2" max="2" width="1.5703125" customWidth="1"/>
    <col min="3" max="3" width="9.140625" customWidth="1"/>
    <col min="5" max="6" width="9.140625" customWidth="1"/>
    <col min="11" max="11" width="11.85546875" customWidth="1"/>
    <col min="12" max="12" width="11.28515625" customWidth="1"/>
    <col min="13" max="13" width="2.7109375" customWidth="1"/>
    <col min="14" max="14" width="16" customWidth="1"/>
    <col min="15" max="15" width="8.140625" customWidth="1"/>
    <col min="16" max="16" width="2.5703125" customWidth="1"/>
    <col min="17" max="17" width="6.28515625" customWidth="1"/>
    <col min="18" max="18" width="8.140625" customWidth="1"/>
    <col min="19" max="19" width="2.7109375" customWidth="1"/>
    <col min="20" max="20" width="6.85546875" customWidth="1"/>
    <col min="21" max="21" width="8" customWidth="1"/>
    <col min="22" max="22" width="2.7109375" customWidth="1"/>
    <col min="23" max="23" width="6.7109375" customWidth="1"/>
    <col min="24" max="24" width="7.7109375" customWidth="1"/>
    <col min="25" max="25" width="2.7109375" customWidth="1"/>
    <col min="26" max="26" width="7.140625" customWidth="1"/>
  </cols>
  <sheetData>
    <row r="1" spans="1:2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7" ht="31.5" x14ac:dyDescent="0.5">
      <c r="A2" s="1"/>
      <c r="B2" s="1"/>
      <c r="C2" s="42" t="s">
        <v>75</v>
      </c>
      <c r="D2" s="1"/>
      <c r="E2" s="1"/>
      <c r="F2" s="42">
        <v>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 t="s">
        <v>58</v>
      </c>
      <c r="Q3" s="26">
        <v>1</v>
      </c>
      <c r="R3" s="1"/>
      <c r="S3" s="1" t="s">
        <v>57</v>
      </c>
      <c r="T3" s="26">
        <v>1</v>
      </c>
      <c r="U3" s="1"/>
      <c r="V3" s="1"/>
      <c r="W3" s="1"/>
      <c r="X3" s="1"/>
      <c r="Y3" s="1"/>
      <c r="Z3" s="1"/>
    </row>
    <row r="4" spans="1:27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53" t="s">
        <v>76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7" ht="18" x14ac:dyDescent="0.35">
      <c r="A5" s="1"/>
      <c r="B5" s="1"/>
      <c r="C5" s="1" t="s">
        <v>33</v>
      </c>
      <c r="D5" s="26">
        <v>400</v>
      </c>
      <c r="E5" s="27" t="s">
        <v>66</v>
      </c>
      <c r="F5" s="1" t="s">
        <v>65</v>
      </c>
      <c r="G5" s="1"/>
      <c r="H5" s="1"/>
      <c r="I5" s="26">
        <v>0</v>
      </c>
      <c r="J5" s="27" t="s">
        <v>62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7" ht="17.25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45" t="s">
        <v>103</v>
      </c>
      <c r="O6" s="32"/>
      <c r="P6" s="32"/>
      <c r="Q6" s="32"/>
      <c r="R6" s="45"/>
      <c r="S6" s="32"/>
      <c r="T6" s="32"/>
      <c r="U6" s="32"/>
      <c r="V6" s="32"/>
      <c r="W6" s="32"/>
      <c r="X6" s="32"/>
      <c r="Y6" s="32"/>
      <c r="Z6" s="44"/>
    </row>
    <row r="7" spans="1:27" ht="18" x14ac:dyDescent="0.35">
      <c r="A7" s="1"/>
      <c r="B7" s="1"/>
      <c r="C7" s="1"/>
      <c r="D7" s="1"/>
      <c r="E7" s="1"/>
      <c r="F7" s="1" t="s">
        <v>19</v>
      </c>
      <c r="G7" s="1"/>
      <c r="H7" s="1" t="s">
        <v>40</v>
      </c>
      <c r="I7" s="1" t="s">
        <v>20</v>
      </c>
      <c r="J7" s="1" t="s">
        <v>21</v>
      </c>
      <c r="K7" s="28" t="s">
        <v>54</v>
      </c>
      <c r="L7" s="1" t="s">
        <v>89</v>
      </c>
      <c r="M7" s="1"/>
      <c r="N7" s="34" t="s">
        <v>41</v>
      </c>
      <c r="O7" s="34"/>
      <c r="P7" s="35" t="s">
        <v>44</v>
      </c>
      <c r="Q7" s="36"/>
      <c r="R7" s="34"/>
      <c r="S7" s="35" t="s">
        <v>45</v>
      </c>
      <c r="T7" s="36"/>
      <c r="U7" s="34"/>
      <c r="V7" s="35" t="s">
        <v>46</v>
      </c>
      <c r="W7" s="36"/>
      <c r="X7" s="34"/>
      <c r="Y7" s="35" t="s">
        <v>47</v>
      </c>
      <c r="Z7" s="43"/>
      <c r="AA7" s="2"/>
    </row>
    <row r="8" spans="1:27" x14ac:dyDescent="0.25">
      <c r="A8" s="1"/>
      <c r="B8" s="1"/>
      <c r="C8" s="26" t="s">
        <v>0</v>
      </c>
      <c r="F8" s="26">
        <v>0</v>
      </c>
      <c r="G8" s="54" t="str">
        <f>VLOOKUP(E51,B44:D46,3)</f>
        <v>[kW]</v>
      </c>
      <c r="H8" s="41">
        <f>VLOOKUP(E51,M50:U53,J51+2)</f>
        <v>0</v>
      </c>
      <c r="I8" s="26">
        <v>1</v>
      </c>
      <c r="K8" s="41">
        <f>IF(L51=1,-DEGREES(ACOS(I8)),DEGREES(ACOS(I8)))</f>
        <v>0</v>
      </c>
      <c r="L8" s="1"/>
      <c r="M8" s="1"/>
      <c r="N8" s="2" t="str">
        <f>C8</f>
        <v>Belastning 1</v>
      </c>
      <c r="O8" s="31">
        <f>HLOOKUP($J$51,$AA$49:$AG$54,3)</f>
        <v>0</v>
      </c>
      <c r="P8" s="46" t="s">
        <v>43</v>
      </c>
      <c r="Q8" s="32">
        <f>HLOOKUP($J$51,$AJ$49:$AP$54,3)</f>
        <v>0</v>
      </c>
      <c r="R8" s="31">
        <f>HLOOKUP($J$51,$AA$49:$AG$54,4)</f>
        <v>0</v>
      </c>
      <c r="S8" s="46" t="s">
        <v>43</v>
      </c>
      <c r="T8" s="32">
        <f>HLOOKUP($J$51,$AJ$49:$AP$54,4)</f>
        <v>-120</v>
      </c>
      <c r="U8" s="31">
        <f>HLOOKUP($J$51,$AA$49:$AG$54,5)</f>
        <v>0</v>
      </c>
      <c r="V8" s="46" t="s">
        <v>43</v>
      </c>
      <c r="W8" s="32">
        <f>HLOOKUP($J$51,$AJ$49:$AP$54,5)</f>
        <v>120</v>
      </c>
      <c r="X8" s="31">
        <f>HLOOKUP($J$51,$AA$49:$AG$54,6)</f>
        <v>0</v>
      </c>
      <c r="Y8" s="46" t="s">
        <v>43</v>
      </c>
      <c r="Z8" s="33">
        <f>HLOOKUP($J$51,$AJ$49:$AP$54,6)</f>
        <v>0</v>
      </c>
      <c r="AA8" s="2"/>
    </row>
    <row r="9" spans="1:27" x14ac:dyDescent="0.25">
      <c r="A9" s="1"/>
      <c r="B9" s="1"/>
      <c r="C9" s="26" t="s">
        <v>1</v>
      </c>
      <c r="F9" s="26">
        <v>0</v>
      </c>
      <c r="G9" s="54" t="str">
        <f>VLOOKUP(E55,B44:D46,3)</f>
        <v>[kW]</v>
      </c>
      <c r="H9" s="41">
        <f>VLOOKUP(E55,M55:U57,J55+2)</f>
        <v>0</v>
      </c>
      <c r="I9" s="26">
        <v>1</v>
      </c>
      <c r="K9" s="41">
        <f>IF(L55=1,-DEGREES(ACOS(I9)),DEGREES(ACOS(I9)))</f>
        <v>0</v>
      </c>
      <c r="L9" s="1" t="s">
        <v>92</v>
      </c>
      <c r="M9" s="1"/>
      <c r="N9" s="2" t="str">
        <f t="shared" ref="N9:N22" si="0">C9</f>
        <v>Belastning 2</v>
      </c>
      <c r="O9" s="31">
        <f>HLOOKUP($J$55,$AA$56:$AG$61,3)</f>
        <v>0</v>
      </c>
      <c r="P9" s="46" t="s">
        <v>43</v>
      </c>
      <c r="Q9" s="32">
        <f>HLOOKUP($J$55,$AJ$56:$AP$61,3)</f>
        <v>0</v>
      </c>
      <c r="R9" s="31">
        <f>HLOOKUP($J$55,$AA$56:$AG$61,4)</f>
        <v>0</v>
      </c>
      <c r="S9" s="46" t="s">
        <v>43</v>
      </c>
      <c r="T9" s="32">
        <f>HLOOKUP($J$55,$AJ$56:$AP$61,4)</f>
        <v>-120</v>
      </c>
      <c r="U9" s="31">
        <f>HLOOKUP($J$55,$AA$56:$AG$61,5)</f>
        <v>0</v>
      </c>
      <c r="V9" s="46" t="s">
        <v>43</v>
      </c>
      <c r="W9" s="32">
        <f>HLOOKUP($J$55,$AJ$56:$AP$61,5)</f>
        <v>120</v>
      </c>
      <c r="X9" s="31">
        <f>HLOOKUP($J$55,$AA$56:$AG$61,6)</f>
        <v>0</v>
      </c>
      <c r="Y9" s="46" t="s">
        <v>43</v>
      </c>
      <c r="Z9" s="33">
        <f>HLOOKUP($J$55,$AJ$56:$AP$61,6)</f>
        <v>0</v>
      </c>
      <c r="AA9" s="2"/>
    </row>
    <row r="10" spans="1:27" x14ac:dyDescent="0.25">
      <c r="A10" s="1"/>
      <c r="B10" s="1"/>
      <c r="C10" s="26" t="s">
        <v>2</v>
      </c>
      <c r="F10" s="26">
        <v>0</v>
      </c>
      <c r="G10" s="54" t="str">
        <f>VLOOKUP(E59,B44:D46,3)</f>
        <v>[kW]</v>
      </c>
      <c r="H10" s="41">
        <f>VLOOKUP(E59,M59:U61,J59+2)</f>
        <v>0</v>
      </c>
      <c r="I10" s="26">
        <v>1</v>
      </c>
      <c r="K10" s="41">
        <f>IF(L59=1,-DEGREES(ACOS(I10)),DEGREES(ACOS(I10)))</f>
        <v>0</v>
      </c>
      <c r="L10" s="1"/>
      <c r="M10" s="1"/>
      <c r="N10" s="2" t="str">
        <f t="shared" si="0"/>
        <v>Belastning 3</v>
      </c>
      <c r="O10" s="31">
        <f>HLOOKUP($J$59,$AA$63:$AG468,3)</f>
        <v>0</v>
      </c>
      <c r="P10" s="46" t="s">
        <v>43</v>
      </c>
      <c r="Q10" s="32">
        <f>HLOOKUP($J$59,$AJ$63:$AP$68,3)</f>
        <v>0</v>
      </c>
      <c r="R10" s="31">
        <f>HLOOKUP($J$59,$AA$63:$AG468,4)</f>
        <v>0</v>
      </c>
      <c r="S10" s="46" t="s">
        <v>43</v>
      </c>
      <c r="T10" s="32">
        <f>HLOOKUP($J$59,$AJ$63:$AP$68,4)</f>
        <v>-120</v>
      </c>
      <c r="U10" s="31">
        <f>HLOOKUP($J$59,$AA$63:$AG468,5)</f>
        <v>0</v>
      </c>
      <c r="V10" s="46" t="s">
        <v>43</v>
      </c>
      <c r="W10" s="32">
        <f>HLOOKUP($J$59,$AJ$63:$AP$68,5)</f>
        <v>120</v>
      </c>
      <c r="X10" s="31">
        <f>HLOOKUP($J$59,$AA$63:$AG468,6)</f>
        <v>0</v>
      </c>
      <c r="Y10" s="46" t="s">
        <v>43</v>
      </c>
      <c r="Z10" s="33">
        <f>HLOOKUP($J$59,$AJ$63:$AP$68,6)</f>
        <v>0</v>
      </c>
      <c r="AA10" s="2"/>
    </row>
    <row r="11" spans="1:27" x14ac:dyDescent="0.25">
      <c r="A11" s="1"/>
      <c r="B11" s="1"/>
      <c r="C11" s="26" t="s">
        <v>3</v>
      </c>
      <c r="F11" s="26">
        <v>0</v>
      </c>
      <c r="G11" s="54" t="str">
        <f>VLOOKUP(E63,B44:D46,3)</f>
        <v>[kW]</v>
      </c>
      <c r="H11" s="41">
        <f>VLOOKUP(E63,M63:U65,J63+2)</f>
        <v>0</v>
      </c>
      <c r="I11" s="26">
        <v>1</v>
      </c>
      <c r="K11" s="41">
        <f>IF(L63=1,-DEGREES(ACOS(I11)),DEGREES(ACOS(I11)))</f>
        <v>0</v>
      </c>
      <c r="L11" s="1"/>
      <c r="M11" s="1"/>
      <c r="N11" s="2" t="str">
        <f t="shared" si="0"/>
        <v>Belastning 4</v>
      </c>
      <c r="O11" s="31">
        <f>HLOOKUP($J$63,$AA$70:$AG$75,3)</f>
        <v>0</v>
      </c>
      <c r="P11" s="46" t="s">
        <v>43</v>
      </c>
      <c r="Q11" s="32">
        <f>HLOOKUP($J$63,$AJ$70:$AP$75,3)</f>
        <v>0</v>
      </c>
      <c r="R11" s="31">
        <f>HLOOKUP($J$63,$AA$70:$AG$75,4)</f>
        <v>0</v>
      </c>
      <c r="S11" s="46" t="s">
        <v>43</v>
      </c>
      <c r="T11" s="32">
        <f>HLOOKUP($J$63,$AJ$70:$AP$75,4)</f>
        <v>-120</v>
      </c>
      <c r="U11" s="31">
        <f>HLOOKUP($J$63,$AA$70:$AG$75,5)</f>
        <v>0</v>
      </c>
      <c r="V11" s="46" t="s">
        <v>43</v>
      </c>
      <c r="W11" s="32">
        <f>HLOOKUP($J$63,$AJ$70:$AP$75,5)</f>
        <v>120</v>
      </c>
      <c r="X11" s="31">
        <f>HLOOKUP($J$63,$AA$70:$AG$75,6)</f>
        <v>0</v>
      </c>
      <c r="Y11" s="46" t="s">
        <v>43</v>
      </c>
      <c r="Z11" s="33">
        <f>HLOOKUP($J$63,$AJ$70:$AP$75,6)</f>
        <v>0</v>
      </c>
      <c r="AA11" s="2"/>
    </row>
    <row r="12" spans="1:27" x14ac:dyDescent="0.25">
      <c r="A12" s="1"/>
      <c r="B12" s="1"/>
      <c r="C12" s="26" t="s">
        <v>4</v>
      </c>
      <c r="F12" s="26">
        <v>0</v>
      </c>
      <c r="G12" s="54" t="str">
        <f>VLOOKUP(E67,B44:D46,3)</f>
        <v>[kW]</v>
      </c>
      <c r="H12" s="41">
        <f>VLOOKUP(E67,M67:U69,J67+2)</f>
        <v>0</v>
      </c>
      <c r="I12" s="26">
        <v>1</v>
      </c>
      <c r="K12" s="41">
        <f>IF(L67=1,-DEGREES(ACOS(I12)),DEGREES(ACOS(I12)))</f>
        <v>0</v>
      </c>
      <c r="L12" s="1"/>
      <c r="M12" s="1"/>
      <c r="N12" s="2" t="str">
        <f t="shared" si="0"/>
        <v>Belastning 5</v>
      </c>
      <c r="O12" s="31">
        <f>HLOOKUP($J$67,$AA$77:$AG$82,3)</f>
        <v>0</v>
      </c>
      <c r="P12" s="46" t="s">
        <v>43</v>
      </c>
      <c r="Q12" s="32">
        <f>HLOOKUP($J$67,$AJ$77:$AP$82,3)</f>
        <v>0</v>
      </c>
      <c r="R12" s="31">
        <f>HLOOKUP($J$67,$AA$77:$AG$82,4)</f>
        <v>0</v>
      </c>
      <c r="S12" s="46" t="s">
        <v>43</v>
      </c>
      <c r="T12" s="32">
        <f>HLOOKUP($J$67,$AJ$77:$AP$82,4)</f>
        <v>-120</v>
      </c>
      <c r="U12" s="31">
        <f>HLOOKUP($J$67,$AA$77:$AG$82,5)</f>
        <v>0</v>
      </c>
      <c r="V12" s="46" t="s">
        <v>43</v>
      </c>
      <c r="W12" s="32">
        <f>HLOOKUP($J$67,$AJ$77:$AP$82,5)</f>
        <v>120</v>
      </c>
      <c r="X12" s="31">
        <f>HLOOKUP($J$67,$AA$77:$AG$82,6)</f>
        <v>0</v>
      </c>
      <c r="Y12" s="46" t="s">
        <v>43</v>
      </c>
      <c r="Z12" s="33">
        <f>HLOOKUP($J$67,$AJ$77:$AP$82,6)</f>
        <v>0</v>
      </c>
      <c r="AA12" s="2"/>
    </row>
    <row r="13" spans="1:27" x14ac:dyDescent="0.25">
      <c r="A13" s="1"/>
      <c r="B13" s="1"/>
      <c r="C13" s="26" t="s">
        <v>5</v>
      </c>
      <c r="F13" s="26">
        <v>0</v>
      </c>
      <c r="G13" s="54" t="str">
        <f>VLOOKUP(E71,B44:D46,3)</f>
        <v>[kW]</v>
      </c>
      <c r="H13" s="41">
        <f>VLOOKUP(E71,M71:U73,J71+2)</f>
        <v>0</v>
      </c>
      <c r="I13" s="26">
        <v>1</v>
      </c>
      <c r="K13" s="41">
        <f>IF(L71=1,-DEGREES(ACOS(I13)),DEGREES(ACOS(I13)))</f>
        <v>0</v>
      </c>
      <c r="L13" s="1"/>
      <c r="M13" s="1"/>
      <c r="N13" s="2" t="str">
        <f t="shared" si="0"/>
        <v>Belastning 6</v>
      </c>
      <c r="O13" s="31">
        <f>HLOOKUP($J$71,$AA$84:$AG$89,3)</f>
        <v>0</v>
      </c>
      <c r="P13" s="46" t="s">
        <v>43</v>
      </c>
      <c r="Q13" s="32">
        <f>HLOOKUP($J$71,$AJ$84:$AP$89,3)</f>
        <v>0</v>
      </c>
      <c r="R13" s="31">
        <f>HLOOKUP($J$71,$AA$84:$AG$89,4)</f>
        <v>0</v>
      </c>
      <c r="S13" s="46" t="s">
        <v>43</v>
      </c>
      <c r="T13" s="32">
        <f>HLOOKUP($J$71,$AJ$84:$AP$89,4)</f>
        <v>-120</v>
      </c>
      <c r="U13" s="31">
        <f>HLOOKUP($J$71,$AA$84:$AG$89,5)</f>
        <v>0</v>
      </c>
      <c r="V13" s="46" t="s">
        <v>43</v>
      </c>
      <c r="W13" s="32">
        <f>HLOOKUP($J$71,$AJ$84:$AP$89,5)</f>
        <v>120</v>
      </c>
      <c r="X13" s="31">
        <f>HLOOKUP($J$71,$AA$84:$AG$89,6)</f>
        <v>0</v>
      </c>
      <c r="Y13" s="46" t="s">
        <v>43</v>
      </c>
      <c r="Z13" s="33">
        <f>HLOOKUP($J$71,$AJ$84:$AP$89,6)</f>
        <v>0</v>
      </c>
      <c r="AA13" s="2"/>
    </row>
    <row r="14" spans="1:27" x14ac:dyDescent="0.25">
      <c r="A14" s="1"/>
      <c r="B14" s="1"/>
      <c r="C14" s="26" t="s">
        <v>6</v>
      </c>
      <c r="F14" s="26">
        <v>0</v>
      </c>
      <c r="G14" s="54" t="str">
        <f>VLOOKUP(E75,B44:D46,3)</f>
        <v>[kW]</v>
      </c>
      <c r="H14" s="41">
        <f>VLOOKUP(E75,M75:U77,J75+2)</f>
        <v>0</v>
      </c>
      <c r="I14" s="26">
        <v>1</v>
      </c>
      <c r="K14" s="41">
        <f>IF(L75=1,-DEGREES(ACOS(I14)),DEGREES(ACOS(I14)))</f>
        <v>0</v>
      </c>
      <c r="L14" s="1"/>
      <c r="M14" s="1"/>
      <c r="N14" s="2" t="str">
        <f t="shared" si="0"/>
        <v>Belastning 7</v>
      </c>
      <c r="O14" s="31">
        <f>HLOOKUP($J$75,$AA$91:$AG$96,3)</f>
        <v>0</v>
      </c>
      <c r="P14" s="46" t="s">
        <v>43</v>
      </c>
      <c r="Q14" s="32">
        <f>HLOOKUP($J$75,$AJ$91:$AP$96,3)</f>
        <v>0</v>
      </c>
      <c r="R14" s="31">
        <f>HLOOKUP($J$75,$AA$91:$AG$96,4)</f>
        <v>0</v>
      </c>
      <c r="S14" s="46" t="s">
        <v>43</v>
      </c>
      <c r="T14" s="32">
        <f>HLOOKUP($J$75,$AJ$91:$AP$96,4)</f>
        <v>-120</v>
      </c>
      <c r="U14" s="31">
        <f>HLOOKUP($J$75,$AA$91:$AG$96,5)</f>
        <v>0</v>
      </c>
      <c r="V14" s="46" t="s">
        <v>43</v>
      </c>
      <c r="W14" s="32">
        <f>HLOOKUP($J$75,$AJ$91:$AP$96,5)</f>
        <v>120</v>
      </c>
      <c r="X14" s="31">
        <f>HLOOKUP($J$75,$AA$91:$AG$96,6)</f>
        <v>0</v>
      </c>
      <c r="Y14" s="46" t="s">
        <v>43</v>
      </c>
      <c r="Z14" s="33">
        <f>HLOOKUP($J$75,$AJ$91:$AP$96,6)</f>
        <v>0</v>
      </c>
      <c r="AA14" s="2"/>
    </row>
    <row r="15" spans="1:27" x14ac:dyDescent="0.25">
      <c r="A15" s="1"/>
      <c r="B15" s="1"/>
      <c r="C15" s="26" t="s">
        <v>7</v>
      </c>
      <c r="F15" s="26">
        <v>0</v>
      </c>
      <c r="G15" s="54" t="str">
        <f>VLOOKUP(E79,B44:D46,3)</f>
        <v>[kW]</v>
      </c>
      <c r="H15" s="41">
        <f>VLOOKUP(E79,M79:U81,J79+2)</f>
        <v>0</v>
      </c>
      <c r="I15" s="26">
        <v>1</v>
      </c>
      <c r="K15" s="41">
        <f>IF(L79=1,-DEGREES(ACOS(I15)),DEGREES(ACOS(I15)))</f>
        <v>0</v>
      </c>
      <c r="L15" s="1"/>
      <c r="M15" s="1"/>
      <c r="N15" s="2" t="str">
        <f t="shared" si="0"/>
        <v>Belastning 8</v>
      </c>
      <c r="O15" s="31">
        <f>HLOOKUP($J$79,$AA$98:$AG$103,3)</f>
        <v>0</v>
      </c>
      <c r="P15" s="46" t="s">
        <v>43</v>
      </c>
      <c r="Q15" s="32">
        <f>HLOOKUP($J$79,$AJ$98:$AP$103,3)</f>
        <v>0</v>
      </c>
      <c r="R15" s="31">
        <f>HLOOKUP($J$79,$AA$98:$AG$103,4)</f>
        <v>0</v>
      </c>
      <c r="S15" s="46" t="s">
        <v>43</v>
      </c>
      <c r="T15" s="32">
        <f>HLOOKUP($J$79,$AJ$98:$AP$103,4)</f>
        <v>-120</v>
      </c>
      <c r="U15" s="31">
        <f>HLOOKUP($J$79,$AA$98:$AG$103,5)</f>
        <v>0</v>
      </c>
      <c r="V15" s="46" t="s">
        <v>43</v>
      </c>
      <c r="W15" s="32">
        <f>HLOOKUP($J$79,$AJ$98:$AP$103,5)</f>
        <v>120</v>
      </c>
      <c r="X15" s="31">
        <f>HLOOKUP($J$79,$AA$98:$AG$103,6)</f>
        <v>0</v>
      </c>
      <c r="Y15" s="46" t="s">
        <v>43</v>
      </c>
      <c r="Z15" s="33">
        <f>HLOOKUP($J$79,$AJ$98:$AP$103,6)</f>
        <v>0</v>
      </c>
      <c r="AA15" s="2"/>
    </row>
    <row r="16" spans="1:27" x14ac:dyDescent="0.25">
      <c r="A16" s="1"/>
      <c r="B16" s="1"/>
      <c r="C16" s="26" t="s">
        <v>8</v>
      </c>
      <c r="F16" s="26">
        <v>0</v>
      </c>
      <c r="G16" s="54" t="str">
        <f>VLOOKUP(E83,B44:D46,3)</f>
        <v>[kW]</v>
      </c>
      <c r="H16" s="41">
        <f>VLOOKUP(E83,M83:U85,J83+2)</f>
        <v>0</v>
      </c>
      <c r="I16" s="26">
        <v>1</v>
      </c>
      <c r="K16" s="41">
        <f>IF(L83=1,-DEGREES(ACOS(I16)),DEGREES(ACOS(I16)))</f>
        <v>0</v>
      </c>
      <c r="L16" s="1"/>
      <c r="M16" s="1"/>
      <c r="N16" s="2" t="str">
        <f t="shared" si="0"/>
        <v>Belastning 9</v>
      </c>
      <c r="O16" s="31">
        <f>HLOOKUP($J$83,$AA$105:$AG$110,3)</f>
        <v>0</v>
      </c>
      <c r="P16" s="46" t="s">
        <v>43</v>
      </c>
      <c r="Q16" s="32">
        <f>HLOOKUP($J$83,$AJ$105:$AP$110,3)</f>
        <v>0</v>
      </c>
      <c r="R16" s="31">
        <f>HLOOKUP($J$83,$AA$105:$AG$110,4)</f>
        <v>0</v>
      </c>
      <c r="S16" s="46" t="s">
        <v>43</v>
      </c>
      <c r="T16" s="32">
        <f>HLOOKUP($J$83,$AJ$105:$AP$110,4)</f>
        <v>-120</v>
      </c>
      <c r="U16" s="31">
        <f>HLOOKUP($J$83,$AA$105:$AG$110,5)</f>
        <v>0</v>
      </c>
      <c r="V16" s="46" t="s">
        <v>43</v>
      </c>
      <c r="W16" s="32">
        <f>HLOOKUP($J$83,$AJ$105:$AP$110,5)</f>
        <v>120</v>
      </c>
      <c r="X16" s="31">
        <f>HLOOKUP($J$83,$AA$105:$AG$110,6)</f>
        <v>0</v>
      </c>
      <c r="Y16" s="46" t="s">
        <v>43</v>
      </c>
      <c r="Z16" s="33">
        <f>HLOOKUP($J$83,$AJ$105:$AP$110,6)</f>
        <v>0</v>
      </c>
      <c r="AA16" s="2"/>
    </row>
    <row r="17" spans="1:27" x14ac:dyDescent="0.25">
      <c r="A17" s="1"/>
      <c r="B17" s="1"/>
      <c r="C17" s="26" t="s">
        <v>9</v>
      </c>
      <c r="F17" s="26">
        <v>0</v>
      </c>
      <c r="G17" s="54" t="str">
        <f>VLOOKUP(E87,B44:D46,3)</f>
        <v>[kW]</v>
      </c>
      <c r="H17" s="41">
        <f>VLOOKUP(E87,M87:U89,J87+2)</f>
        <v>0</v>
      </c>
      <c r="I17" s="26">
        <v>1</v>
      </c>
      <c r="K17" s="41">
        <f>IF(L87=1,-DEGREES(ACOS(I17)),DEGREES(ACOS(I17)))</f>
        <v>0</v>
      </c>
      <c r="L17" s="1"/>
      <c r="M17" s="1"/>
      <c r="N17" s="2" t="str">
        <f t="shared" si="0"/>
        <v>Belastning 10</v>
      </c>
      <c r="O17" s="31">
        <f>HLOOKUP($J$87,$AA$112:$AG$117,3)</f>
        <v>0</v>
      </c>
      <c r="P17" s="46" t="s">
        <v>43</v>
      </c>
      <c r="Q17" s="32">
        <f>HLOOKUP($J$87,$AJ$112:$AP$117,3)</f>
        <v>0</v>
      </c>
      <c r="R17" s="31">
        <f>HLOOKUP($J$87,$AA$112:$AG$117,4)</f>
        <v>0</v>
      </c>
      <c r="S17" s="46" t="s">
        <v>43</v>
      </c>
      <c r="T17" s="32">
        <f>HLOOKUP($J$87,$AJ$112:$AP$117,4)</f>
        <v>-120</v>
      </c>
      <c r="U17" s="31">
        <f>HLOOKUP($J$87,$AA$112:$AG$117,5)</f>
        <v>0</v>
      </c>
      <c r="V17" s="46" t="s">
        <v>43</v>
      </c>
      <c r="W17" s="32">
        <f>HLOOKUP($J$87,$AJ$112:$AP$117,5)</f>
        <v>120</v>
      </c>
      <c r="X17" s="31">
        <f>HLOOKUP($J$87,$AA$112:$AG$117,6)</f>
        <v>0</v>
      </c>
      <c r="Y17" s="46" t="s">
        <v>43</v>
      </c>
      <c r="Z17" s="33">
        <f>HLOOKUP($J$87,$AJ$112:$AP$117,6)</f>
        <v>0</v>
      </c>
      <c r="AA17" s="2"/>
    </row>
    <row r="18" spans="1:27" x14ac:dyDescent="0.25">
      <c r="A18" s="1"/>
      <c r="B18" s="1"/>
      <c r="C18" s="26" t="s">
        <v>10</v>
      </c>
      <c r="F18" s="26">
        <v>0</v>
      </c>
      <c r="G18" s="54" t="str">
        <f>VLOOKUP(E91,B44:D46,3)</f>
        <v>[kW]</v>
      </c>
      <c r="H18" s="41">
        <f>VLOOKUP(E91,M91:U93,J91+2)</f>
        <v>0</v>
      </c>
      <c r="I18" s="26">
        <v>1</v>
      </c>
      <c r="K18" s="41">
        <f>IF(L91=1,-DEGREES(ACOS(I18)),DEGREES(ACOS(I18)))</f>
        <v>0</v>
      </c>
      <c r="L18" s="1"/>
      <c r="M18" s="1"/>
      <c r="N18" s="2" t="str">
        <f t="shared" si="0"/>
        <v>Belastning 11</v>
      </c>
      <c r="O18" s="31">
        <f>HLOOKUP($J$91,$AA$119:$AG$124,3)</f>
        <v>0</v>
      </c>
      <c r="P18" s="46" t="s">
        <v>43</v>
      </c>
      <c r="Q18" s="32">
        <f>HLOOKUP($J$91,$AJ$119:$AP$124,3)</f>
        <v>0</v>
      </c>
      <c r="R18" s="31">
        <f>HLOOKUP($J$91,$AA$119:$AG$124,4)</f>
        <v>0</v>
      </c>
      <c r="S18" s="46" t="s">
        <v>43</v>
      </c>
      <c r="T18" s="32">
        <f>HLOOKUP($J$91,$AJ$119:$AP$124,4)</f>
        <v>-120</v>
      </c>
      <c r="U18" s="31">
        <f>HLOOKUP($J$91,$AA$119:$AG$124,5)</f>
        <v>0</v>
      </c>
      <c r="V18" s="46" t="s">
        <v>43</v>
      </c>
      <c r="W18" s="32">
        <f>HLOOKUP($J$91,$AJ$119:$AP$124,5)</f>
        <v>120</v>
      </c>
      <c r="X18" s="31">
        <f>HLOOKUP($J$91,$AA$119:$AG$124,6)</f>
        <v>0</v>
      </c>
      <c r="Y18" s="46" t="s">
        <v>43</v>
      </c>
      <c r="Z18" s="33">
        <f>HLOOKUP($J$91,$AJ$119:$AP$124,6)</f>
        <v>0</v>
      </c>
      <c r="AA18" s="2"/>
    </row>
    <row r="19" spans="1:27" x14ac:dyDescent="0.25">
      <c r="A19" s="1"/>
      <c r="B19" s="1"/>
      <c r="C19" s="26" t="s">
        <v>11</v>
      </c>
      <c r="F19" s="26">
        <v>0</v>
      </c>
      <c r="G19" s="54" t="str">
        <f>VLOOKUP(E95,B44:D46,3)</f>
        <v>[kW]</v>
      </c>
      <c r="H19" s="41">
        <f>VLOOKUP(E95,M95:U97,J95+2)</f>
        <v>0</v>
      </c>
      <c r="I19" s="26">
        <v>1</v>
      </c>
      <c r="K19" s="41">
        <f>IF(L95=1,-DEGREES(ACOS(I19)),DEGREES(ACOS(I19)))</f>
        <v>0</v>
      </c>
      <c r="L19" s="1"/>
      <c r="M19" s="1"/>
      <c r="N19" s="2" t="str">
        <f t="shared" si="0"/>
        <v>Belastning 12</v>
      </c>
      <c r="O19" s="31">
        <f>HLOOKUP($J$95,$AA$126:$AG$131,3)</f>
        <v>0</v>
      </c>
      <c r="P19" s="46" t="s">
        <v>43</v>
      </c>
      <c r="Q19" s="32">
        <f>HLOOKUP($J$95,$AJ$126:$AP$131,3)</f>
        <v>0</v>
      </c>
      <c r="R19" s="31">
        <f>HLOOKUP($J$95,$AA$126:$AG$131,4)</f>
        <v>0</v>
      </c>
      <c r="S19" s="46" t="s">
        <v>43</v>
      </c>
      <c r="T19" s="32">
        <f>HLOOKUP($J$95,$AJ$126:$AP$131,4)</f>
        <v>-120</v>
      </c>
      <c r="U19" s="31">
        <f>HLOOKUP($J$95,$AA$126:$AG$131,5)</f>
        <v>0</v>
      </c>
      <c r="V19" s="46" t="s">
        <v>43</v>
      </c>
      <c r="W19" s="32">
        <f>HLOOKUP($J$95,$AJ$126:$AP$131,5)</f>
        <v>120</v>
      </c>
      <c r="X19" s="31">
        <f>HLOOKUP($J$95,$AA$126:$AG$131,6)</f>
        <v>0</v>
      </c>
      <c r="Y19" s="46" t="s">
        <v>43</v>
      </c>
      <c r="Z19" s="33">
        <f>HLOOKUP($J$95,$AJ$126:$AP$131,6)</f>
        <v>0</v>
      </c>
      <c r="AA19" s="2"/>
    </row>
    <row r="20" spans="1:27" x14ac:dyDescent="0.25">
      <c r="A20" s="1"/>
      <c r="B20" s="1"/>
      <c r="C20" s="26" t="s">
        <v>12</v>
      </c>
      <c r="F20" s="26">
        <v>0</v>
      </c>
      <c r="G20" s="54" t="str">
        <f>VLOOKUP(E99,B44:D46,3)</f>
        <v>[kW]</v>
      </c>
      <c r="H20" s="41">
        <f>VLOOKUP(E99,M99:U101,J99+2)</f>
        <v>0</v>
      </c>
      <c r="I20" s="26">
        <v>1</v>
      </c>
      <c r="K20" s="41">
        <f>IF(L99=1,-DEGREES(ACOS(I20)),DEGREES(ACOS(I20)))</f>
        <v>0</v>
      </c>
      <c r="L20" s="1"/>
      <c r="M20" s="1"/>
      <c r="N20" s="2" t="str">
        <f t="shared" si="0"/>
        <v>Belastning 13</v>
      </c>
      <c r="O20" s="31">
        <f>HLOOKUP($J$99,$AA$133:$AG$138,3)</f>
        <v>0</v>
      </c>
      <c r="P20" s="46" t="s">
        <v>43</v>
      </c>
      <c r="Q20" s="32">
        <f>HLOOKUP($J$99,$AJ$133:$AP$138,3)</f>
        <v>0</v>
      </c>
      <c r="R20" s="31">
        <f>HLOOKUP($J$99,$AA$133:$AG$138,4)</f>
        <v>0</v>
      </c>
      <c r="S20" s="46" t="s">
        <v>43</v>
      </c>
      <c r="T20" s="32">
        <f>HLOOKUP($J$99,$AJ$133:$AP$138,4)</f>
        <v>-120</v>
      </c>
      <c r="U20" s="31">
        <f>HLOOKUP($J$99,$AA$133:$AG$138,5)</f>
        <v>0</v>
      </c>
      <c r="V20" s="46" t="s">
        <v>43</v>
      </c>
      <c r="W20" s="32">
        <f>HLOOKUP($J$99,$AJ$133:$AP$138,5)</f>
        <v>120</v>
      </c>
      <c r="X20" s="31">
        <f>HLOOKUP($J$99,$AA$133:$AG$138,6)</f>
        <v>0</v>
      </c>
      <c r="Y20" s="46" t="s">
        <v>43</v>
      </c>
      <c r="Z20" s="33">
        <f>HLOOKUP($J$99,$AJ$133:$AP$138,6)</f>
        <v>0</v>
      </c>
      <c r="AA20" s="2"/>
    </row>
    <row r="21" spans="1:27" x14ac:dyDescent="0.25">
      <c r="A21" s="1"/>
      <c r="B21" s="1"/>
      <c r="C21" s="26" t="s">
        <v>13</v>
      </c>
      <c r="F21" s="26">
        <v>0</v>
      </c>
      <c r="G21" s="54" t="str">
        <f>VLOOKUP(E103,B44:D46,3)</f>
        <v>[kW]</v>
      </c>
      <c r="H21" s="41">
        <f>VLOOKUP(E103,M103:U105,J103+2)</f>
        <v>0</v>
      </c>
      <c r="I21" s="26">
        <v>1</v>
      </c>
      <c r="K21" s="41">
        <f>IF(L103=1,-DEGREES(ACOS(I21)),DEGREES(ACOS(I21)))</f>
        <v>0</v>
      </c>
      <c r="L21" s="1"/>
      <c r="M21" s="1"/>
      <c r="N21" s="2" t="str">
        <f t="shared" si="0"/>
        <v>Belastning 14</v>
      </c>
      <c r="O21" s="31">
        <f>HLOOKUP($J$103,$AA$140:$AG$145,3)</f>
        <v>0</v>
      </c>
      <c r="P21" s="46" t="s">
        <v>43</v>
      </c>
      <c r="Q21" s="32">
        <f>HLOOKUP($J$103,$AJ$140:$AP$145,3)</f>
        <v>0</v>
      </c>
      <c r="R21" s="31">
        <f>HLOOKUP($J$103,$AA$140:$AG$145,4)</f>
        <v>0</v>
      </c>
      <c r="S21" s="46" t="s">
        <v>43</v>
      </c>
      <c r="T21" s="32">
        <f>HLOOKUP($J$103,$AJ$140:$AP$145,4)</f>
        <v>-120</v>
      </c>
      <c r="U21" s="31">
        <f>HLOOKUP($J$103,$AA$140:$AG$145,5)</f>
        <v>0</v>
      </c>
      <c r="V21" s="46" t="s">
        <v>43</v>
      </c>
      <c r="W21" s="32">
        <f>HLOOKUP($J$103,$AJ$140:$AP$145,5)</f>
        <v>120</v>
      </c>
      <c r="X21" s="31">
        <f>HLOOKUP($J$103,$AA$140:$AG$145,6)</f>
        <v>0</v>
      </c>
      <c r="Y21" s="46" t="s">
        <v>43</v>
      </c>
      <c r="Z21" s="33">
        <f>HLOOKUP($J$103,$AJ$140:$AP$145,6)</f>
        <v>0</v>
      </c>
    </row>
    <row r="22" spans="1:27" x14ac:dyDescent="0.25">
      <c r="A22" s="1"/>
      <c r="B22" s="1"/>
      <c r="C22" s="26" t="s">
        <v>14</v>
      </c>
      <c r="F22" s="26">
        <v>0</v>
      </c>
      <c r="G22" s="54" t="str">
        <f>VLOOKUP(E107,B44:D46,3)</f>
        <v>[kW]</v>
      </c>
      <c r="H22" s="41">
        <f>VLOOKUP(E107,M107:U109,J107+2)</f>
        <v>0</v>
      </c>
      <c r="I22" s="26">
        <v>1</v>
      </c>
      <c r="K22" s="41">
        <f>IF(L107=1,-DEGREES(ACOS(I22)),DEGREES(ACOS(I22)))</f>
        <v>0</v>
      </c>
      <c r="L22" s="1"/>
      <c r="M22" s="1"/>
      <c r="N22" s="2" t="str">
        <f t="shared" si="0"/>
        <v>Belastning 15</v>
      </c>
      <c r="O22" s="31">
        <f>HLOOKUP($J$107,$AA$147:$AG$152,3)</f>
        <v>0</v>
      </c>
      <c r="P22" s="46" t="s">
        <v>43</v>
      </c>
      <c r="Q22" s="32">
        <f>HLOOKUP($J$107,$AJ$147:$AP$152,3)</f>
        <v>0</v>
      </c>
      <c r="R22" s="31">
        <f>HLOOKUP($J$107,$AA$147:$AG$152,4)</f>
        <v>0</v>
      </c>
      <c r="S22" s="46" t="s">
        <v>43</v>
      </c>
      <c r="T22" s="32">
        <f>HLOOKUP($J$107,$AJ$147:$AP$152,4)</f>
        <v>-120</v>
      </c>
      <c r="U22" s="31">
        <f>HLOOKUP($J$107,$AA$147:$AG$152,5)</f>
        <v>0</v>
      </c>
      <c r="V22" s="46" t="s">
        <v>43</v>
      </c>
      <c r="W22" s="32">
        <f>HLOOKUP($J$107,$AJ$147:$AP$152,5)</f>
        <v>120</v>
      </c>
      <c r="X22" s="31">
        <f>HLOOKUP($J$107,$AA$147:$AG$152,6)</f>
        <v>0</v>
      </c>
      <c r="Y22" s="46" t="s">
        <v>43</v>
      </c>
      <c r="Z22" s="33">
        <f>HLOOKUP($J$107,$AJ$147:$AP$152,6)</f>
        <v>0</v>
      </c>
    </row>
    <row r="23" spans="1:2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2" t="str">
        <f>'Tavle +A11'!N6</f>
        <v>Tavle +A11</v>
      </c>
      <c r="O23" s="31">
        <f>'Tavle +A11'!O24</f>
        <v>0</v>
      </c>
      <c r="P23" s="46" t="s">
        <v>43</v>
      </c>
      <c r="Q23" s="32">
        <f>'Tavle +A11'!Q23</f>
        <v>0</v>
      </c>
      <c r="R23" s="31">
        <f>'Tavle +A11'!R24</f>
        <v>0</v>
      </c>
      <c r="S23" s="46" t="s">
        <v>43</v>
      </c>
      <c r="T23" s="32">
        <f>'Tavle +A11'!T23</f>
        <v>0</v>
      </c>
      <c r="U23" s="31">
        <f>'Tavle +A11'!U24</f>
        <v>0</v>
      </c>
      <c r="V23" s="46" t="s">
        <v>43</v>
      </c>
      <c r="W23" s="32">
        <f>'Tavle +A11'!W24</f>
        <v>0</v>
      </c>
      <c r="X23" s="31">
        <f>'Tavle +A11'!X24</f>
        <v>0</v>
      </c>
      <c r="Y23" s="46" t="s">
        <v>43</v>
      </c>
      <c r="Z23" s="33">
        <f>'Tavle +A11'!Z24</f>
        <v>0</v>
      </c>
      <c r="AA23" t="str">
        <f>IF('Tavle +A11'!I5=0," ","OBS: 3. harmoniske strømme i nulleder")</f>
        <v xml:space="preserve"> </v>
      </c>
    </row>
    <row r="24" spans="1:2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2" t="str">
        <f>'Tavle +A12'!N6</f>
        <v>Tavle +A12</v>
      </c>
      <c r="O24" s="31">
        <f>'Tavle +A12'!O24</f>
        <v>0</v>
      </c>
      <c r="P24" s="46" t="s">
        <v>43</v>
      </c>
      <c r="Q24" s="32">
        <f>'Tavle +A12'!Q24</f>
        <v>0</v>
      </c>
      <c r="R24" s="31">
        <f>'Tavle +A12'!R24</f>
        <v>0</v>
      </c>
      <c r="S24" s="46" t="s">
        <v>43</v>
      </c>
      <c r="T24" s="32">
        <f>'Tavle +A12'!T24</f>
        <v>0</v>
      </c>
      <c r="U24" s="31">
        <f>'Tavle +A12'!U24</f>
        <v>0</v>
      </c>
      <c r="V24" s="46" t="s">
        <v>43</v>
      </c>
      <c r="W24" s="32">
        <f>'Tavle +A12'!W24</f>
        <v>0</v>
      </c>
      <c r="X24" s="31">
        <f>'Tavle +A12'!X24</f>
        <v>0</v>
      </c>
      <c r="Y24" s="46" t="s">
        <v>43</v>
      </c>
      <c r="Z24" s="33">
        <f>'Tavle +A12'!Z24</f>
        <v>0</v>
      </c>
      <c r="AA24" t="str">
        <f>IF('Tavle +A12'!I5=0," ","OBS: 3. harmoniske strømme i nulleder")</f>
        <v xml:space="preserve"> </v>
      </c>
    </row>
    <row r="25" spans="1:2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2" t="str">
        <f>'Tavle +A13'!N6</f>
        <v>Tavle +A13</v>
      </c>
      <c r="O25" s="31">
        <f>'Tavle +A13'!O24</f>
        <v>0</v>
      </c>
      <c r="P25" s="46" t="s">
        <v>43</v>
      </c>
      <c r="Q25" s="32">
        <f>'Tavle +A13'!Q24</f>
        <v>0</v>
      </c>
      <c r="R25" s="31">
        <f>'Tavle +A13'!R24</f>
        <v>0</v>
      </c>
      <c r="S25" s="46" t="s">
        <v>43</v>
      </c>
      <c r="T25" s="32">
        <f>'Tavle +A13'!T24</f>
        <v>0</v>
      </c>
      <c r="U25" s="31">
        <f>'Tavle +A13'!U24</f>
        <v>0</v>
      </c>
      <c r="V25" s="46" t="s">
        <v>43</v>
      </c>
      <c r="W25" s="32">
        <f>'Tavle +A13'!W24</f>
        <v>0</v>
      </c>
      <c r="X25" s="31">
        <f>'Tavle +A13'!X24</f>
        <v>0</v>
      </c>
      <c r="Y25" s="46" t="s">
        <v>43</v>
      </c>
      <c r="Z25" s="33">
        <f>'Tavle +A13'!Z24</f>
        <v>0</v>
      </c>
      <c r="AA25" t="str">
        <f>IF('Tavle +A13'!I5=0," ","OBS: 3. harmoniske strømme i nulleder")</f>
        <v xml:space="preserve"> </v>
      </c>
    </row>
    <row r="26" spans="1:2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2" t="str">
        <f>'Tavle +A14'!N6</f>
        <v>Tavle +A14</v>
      </c>
      <c r="O26" s="31">
        <f>'Tavle +A14'!O24</f>
        <v>0</v>
      </c>
      <c r="P26" s="46" t="s">
        <v>43</v>
      </c>
      <c r="Q26" s="32">
        <f>'Tavle +A14'!Q24</f>
        <v>0</v>
      </c>
      <c r="R26" s="31">
        <f>'Tavle +A14'!R24</f>
        <v>0</v>
      </c>
      <c r="S26" s="46" t="s">
        <v>43</v>
      </c>
      <c r="T26" s="32">
        <f>'Tavle +A14'!T24</f>
        <v>0</v>
      </c>
      <c r="U26" s="31">
        <f>'Tavle +A14'!U24</f>
        <v>0</v>
      </c>
      <c r="V26" s="46" t="s">
        <v>43</v>
      </c>
      <c r="W26" s="32">
        <f>'Tavle +A14'!W24</f>
        <v>0</v>
      </c>
      <c r="X26" s="31">
        <f>'Tavle +A14'!X24</f>
        <v>0</v>
      </c>
      <c r="Y26" s="46" t="s">
        <v>43</v>
      </c>
      <c r="Z26" s="33">
        <f>'Tavle +A14'!Z24</f>
        <v>0</v>
      </c>
      <c r="AA26" t="str">
        <f>IF('Tavle +A14'!I5=0," ","OBS: 3. harmoniske strømme i nulleder")</f>
        <v xml:space="preserve"> </v>
      </c>
    </row>
    <row r="27" spans="1:2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2" t="str">
        <f>'Tavle +A15'!N6</f>
        <v>Tavle +A15</v>
      </c>
      <c r="O27" s="31">
        <f>'Tavle +A15'!O24</f>
        <v>0</v>
      </c>
      <c r="P27" s="46" t="s">
        <v>43</v>
      </c>
      <c r="Q27" s="32">
        <f>'Tavle +A15'!Q24</f>
        <v>0</v>
      </c>
      <c r="R27" s="31">
        <f>'Tavle +A15'!R24</f>
        <v>0</v>
      </c>
      <c r="S27" s="46" t="s">
        <v>43</v>
      </c>
      <c r="T27" s="32">
        <f>'Tavle +A15'!T24</f>
        <v>0</v>
      </c>
      <c r="U27" s="31">
        <f>'Tavle +A15'!U24</f>
        <v>0</v>
      </c>
      <c r="V27" s="46" t="s">
        <v>43</v>
      </c>
      <c r="W27" s="32">
        <f>'Tavle +A15'!W24</f>
        <v>0</v>
      </c>
      <c r="X27" s="31">
        <f>'Tavle +A15'!X24</f>
        <v>0</v>
      </c>
      <c r="Y27" s="46" t="s">
        <v>43</v>
      </c>
      <c r="Z27" s="33">
        <f>'Tavle +A15'!Z24</f>
        <v>0</v>
      </c>
      <c r="AA27" t="str">
        <f>IF('Tavle +A15'!I5=0," ","OBS: 3. harmoniske strømme i nulleder")</f>
        <v xml:space="preserve"> </v>
      </c>
    </row>
    <row r="28" spans="1:27" ht="18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37" t="s">
        <v>86</v>
      </c>
      <c r="O28" s="38">
        <f>IMABS(COMPLEX(O190,O191))</f>
        <v>0</v>
      </c>
      <c r="P28" s="47" t="s">
        <v>43</v>
      </c>
      <c r="Q28" s="39">
        <f>IFERROR(DEGREES(ATAN(O191/O190)),0)</f>
        <v>0</v>
      </c>
      <c r="R28" s="38">
        <f>IMABS(COMPLEX(R190,R191))</f>
        <v>0</v>
      </c>
      <c r="S28" s="47" t="s">
        <v>43</v>
      </c>
      <c r="T28" s="39">
        <f>IFERROR(-DEGREES(ATAN(R190/R191))-90,0)</f>
        <v>0</v>
      </c>
      <c r="U28" s="38">
        <f>IMABS(COMPLEX(U190,U191))</f>
        <v>0</v>
      </c>
      <c r="V28" s="47" t="s">
        <v>43</v>
      </c>
      <c r="W28" s="39">
        <f>IFERROR(-DEGREES(ATAN(U190/U191))+90,0)</f>
        <v>0</v>
      </c>
      <c r="X28" s="40">
        <f>IMABS(COMPLEX(O195+R195+U195,O196+R196+U196))</f>
        <v>0</v>
      </c>
      <c r="Y28" s="47" t="s">
        <v>43</v>
      </c>
      <c r="Z28" s="39">
        <f>IFERROR(DEGREES(IMARGUMENT(IMSUM(AA190)))+180,0)</f>
        <v>0</v>
      </c>
    </row>
    <row r="29" spans="1:27" ht="18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37" t="s">
        <v>88</v>
      </c>
      <c r="O29" s="38">
        <f>O28*$Q$3*$T$3</f>
        <v>0</v>
      </c>
      <c r="P29" s="47" t="s">
        <v>43</v>
      </c>
      <c r="Q29" s="39">
        <f>Q28</f>
        <v>0</v>
      </c>
      <c r="R29" s="38">
        <f>R28*$Q$3*$T$3</f>
        <v>0</v>
      </c>
      <c r="S29" s="47" t="s">
        <v>43</v>
      </c>
      <c r="T29" s="39">
        <f>T28</f>
        <v>0</v>
      </c>
      <c r="U29" s="38">
        <f>U28*$Q$3*$T$3</f>
        <v>0</v>
      </c>
      <c r="V29" s="47" t="s">
        <v>43</v>
      </c>
      <c r="W29" s="39">
        <f>W28</f>
        <v>0</v>
      </c>
      <c r="X29" s="38">
        <f>X28*$Q$3*$T$3</f>
        <v>0</v>
      </c>
      <c r="Y29" s="47" t="s">
        <v>43</v>
      </c>
      <c r="Z29" s="39">
        <f>Z28</f>
        <v>0</v>
      </c>
    </row>
    <row r="30" spans="1:27" ht="18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37" t="s">
        <v>87</v>
      </c>
      <c r="O30" s="38">
        <f>O29</f>
        <v>0</v>
      </c>
      <c r="P30" s="47" t="s">
        <v>43</v>
      </c>
      <c r="Q30" s="39">
        <f>Q29</f>
        <v>0</v>
      </c>
      <c r="R30" s="38">
        <f>R29</f>
        <v>0</v>
      </c>
      <c r="S30" s="47" t="s">
        <v>43</v>
      </c>
      <c r="T30" s="39">
        <f>T29+120</f>
        <v>120</v>
      </c>
      <c r="U30" s="38">
        <f>U29</f>
        <v>0</v>
      </c>
      <c r="V30" s="47" t="s">
        <v>43</v>
      </c>
      <c r="W30" s="39">
        <f>W29-120</f>
        <v>-120</v>
      </c>
      <c r="X30" s="38">
        <f>X29</f>
        <v>0</v>
      </c>
      <c r="Y30" s="47" t="s">
        <v>43</v>
      </c>
      <c r="Z30" s="39">
        <f>Z29</f>
        <v>0</v>
      </c>
    </row>
    <row r="31" spans="1:2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49" t="s">
        <v>69</v>
      </c>
      <c r="O31" s="50">
        <f>IFERROR((((Z206+I5)/3)/O29)*100,0)</f>
        <v>0</v>
      </c>
      <c r="P31" s="51" t="s">
        <v>68</v>
      </c>
      <c r="Q31" s="52"/>
      <c r="R31" s="50">
        <f>IFERROR((((Z206+I5)/3)/R29)*100,0)</f>
        <v>0</v>
      </c>
      <c r="S31" s="51" t="s">
        <v>68</v>
      </c>
      <c r="T31" s="52"/>
      <c r="U31" s="50">
        <f>IFERROR((((Z206+I5)/3)/U29)*100,0)</f>
        <v>0</v>
      </c>
      <c r="V31" s="51" t="s">
        <v>68</v>
      </c>
      <c r="W31" s="52"/>
      <c r="X31" s="40"/>
      <c r="Y31" s="51"/>
      <c r="Z31" s="52"/>
    </row>
    <row r="32" spans="1:2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53" t="s">
        <v>70</v>
      </c>
      <c r="L32" s="1"/>
      <c r="M32" s="1"/>
    </row>
    <row r="39" spans="2:12" x14ac:dyDescent="0.25">
      <c r="I39">
        <v>1</v>
      </c>
      <c r="J39" t="s">
        <v>22</v>
      </c>
    </row>
    <row r="40" spans="2:12" x14ac:dyDescent="0.25">
      <c r="I40">
        <v>2</v>
      </c>
      <c r="J40" t="s">
        <v>23</v>
      </c>
    </row>
    <row r="41" spans="2:12" x14ac:dyDescent="0.25">
      <c r="I41">
        <v>3</v>
      </c>
      <c r="J41" t="s">
        <v>24</v>
      </c>
    </row>
    <row r="42" spans="2:12" x14ac:dyDescent="0.25">
      <c r="I42">
        <v>4</v>
      </c>
      <c r="J42" t="s">
        <v>25</v>
      </c>
    </row>
    <row r="43" spans="2:12" x14ac:dyDescent="0.25">
      <c r="I43">
        <v>5</v>
      </c>
      <c r="J43" t="s">
        <v>26</v>
      </c>
    </row>
    <row r="44" spans="2:12" x14ac:dyDescent="0.25">
      <c r="B44">
        <v>1</v>
      </c>
      <c r="C44" t="s">
        <v>15</v>
      </c>
      <c r="D44" t="s">
        <v>60</v>
      </c>
      <c r="I44">
        <v>6</v>
      </c>
      <c r="J44" t="s">
        <v>27</v>
      </c>
      <c r="L44" t="s">
        <v>90</v>
      </c>
    </row>
    <row r="45" spans="2:12" x14ac:dyDescent="0.25">
      <c r="B45">
        <v>2</v>
      </c>
      <c r="C45" t="s">
        <v>16</v>
      </c>
      <c r="D45" t="s">
        <v>61</v>
      </c>
      <c r="I45">
        <v>7</v>
      </c>
      <c r="J45" t="s">
        <v>28</v>
      </c>
      <c r="L45" t="s">
        <v>91</v>
      </c>
    </row>
    <row r="46" spans="2:12" x14ac:dyDescent="0.25">
      <c r="B46">
        <v>3</v>
      </c>
      <c r="C46" t="s">
        <v>17</v>
      </c>
      <c r="D46" t="s">
        <v>62</v>
      </c>
    </row>
    <row r="49" spans="3:42" x14ac:dyDescent="0.25">
      <c r="E49" t="s">
        <v>18</v>
      </c>
      <c r="Z49" s="4"/>
      <c r="AA49" s="5">
        <v>1</v>
      </c>
      <c r="AB49" s="5">
        <v>2</v>
      </c>
      <c r="AC49" s="5">
        <v>3</v>
      </c>
      <c r="AD49" s="5">
        <v>4</v>
      </c>
      <c r="AE49" s="5">
        <v>5</v>
      </c>
      <c r="AF49" s="5">
        <v>6</v>
      </c>
      <c r="AG49" s="6">
        <v>7</v>
      </c>
      <c r="AI49" s="4"/>
      <c r="AJ49" s="5">
        <v>1</v>
      </c>
      <c r="AK49" s="5">
        <v>2</v>
      </c>
      <c r="AL49" s="5">
        <v>3</v>
      </c>
      <c r="AM49" s="5">
        <v>4</v>
      </c>
      <c r="AN49" s="5">
        <v>5</v>
      </c>
      <c r="AO49" s="5">
        <v>6</v>
      </c>
      <c r="AP49" s="6">
        <v>7</v>
      </c>
    </row>
    <row r="50" spans="3:42" x14ac:dyDescent="0.25">
      <c r="O50" t="s">
        <v>32</v>
      </c>
      <c r="P50" t="s">
        <v>34</v>
      </c>
      <c r="Q50" t="s">
        <v>35</v>
      </c>
      <c r="R50" t="s">
        <v>36</v>
      </c>
      <c r="S50" t="s">
        <v>37</v>
      </c>
      <c r="T50" t="s">
        <v>38</v>
      </c>
      <c r="U50" t="s">
        <v>39</v>
      </c>
      <c r="Z50" s="2"/>
      <c r="AA50" t="s">
        <v>32</v>
      </c>
      <c r="AB50" t="s">
        <v>34</v>
      </c>
      <c r="AC50" t="s">
        <v>35</v>
      </c>
      <c r="AD50" t="s">
        <v>36</v>
      </c>
      <c r="AE50" t="s">
        <v>37</v>
      </c>
      <c r="AF50" t="s">
        <v>38</v>
      </c>
      <c r="AG50" s="3" t="s">
        <v>39</v>
      </c>
      <c r="AI50" s="29" t="s">
        <v>55</v>
      </c>
      <c r="AJ50" t="s">
        <v>32</v>
      </c>
      <c r="AK50" t="s">
        <v>34</v>
      </c>
      <c r="AL50" t="s">
        <v>35</v>
      </c>
      <c r="AM50" t="s">
        <v>36</v>
      </c>
      <c r="AN50" t="s">
        <v>37</v>
      </c>
      <c r="AO50" t="s">
        <v>38</v>
      </c>
      <c r="AP50" s="3" t="s">
        <v>39</v>
      </c>
    </row>
    <row r="51" spans="3:42" x14ac:dyDescent="0.25">
      <c r="C51" t="s">
        <v>0</v>
      </c>
      <c r="E51">
        <v>1</v>
      </c>
      <c r="J51">
        <v>1</v>
      </c>
      <c r="L51">
        <v>1</v>
      </c>
      <c r="M51">
        <v>1</v>
      </c>
      <c r="N51" t="s">
        <v>29</v>
      </c>
      <c r="O51">
        <f>(F8*1000)/($D$5*SQRT(3)*I8)</f>
        <v>0</v>
      </c>
      <c r="P51">
        <f>($F$8*1000)/(($D$5/SQRT(3))*$I$8)</f>
        <v>0</v>
      </c>
      <c r="Q51">
        <f>P51</f>
        <v>0</v>
      </c>
      <c r="R51">
        <f>P51</f>
        <v>0</v>
      </c>
      <c r="S51">
        <f>($F$8*1000)/($D$5*$I$8)</f>
        <v>0</v>
      </c>
      <c r="T51">
        <f>S51</f>
        <v>0</v>
      </c>
      <c r="U51">
        <f>S51</f>
        <v>0</v>
      </c>
      <c r="Z51" s="2" t="s">
        <v>50</v>
      </c>
      <c r="AA51" s="17">
        <f>H8</f>
        <v>0</v>
      </c>
      <c r="AB51" s="17">
        <f>AA51</f>
        <v>0</v>
      </c>
      <c r="AC51">
        <v>0</v>
      </c>
      <c r="AD51">
        <v>0</v>
      </c>
      <c r="AE51" s="17">
        <f>AA51</f>
        <v>0</v>
      </c>
      <c r="AF51">
        <v>0</v>
      </c>
      <c r="AG51" s="18">
        <f>AA51</f>
        <v>0</v>
      </c>
      <c r="AI51" s="2" t="s">
        <v>50</v>
      </c>
      <c r="AJ51" s="17">
        <f>K8</f>
        <v>0</v>
      </c>
      <c r="AK51" s="17">
        <f>AJ51</f>
        <v>0</v>
      </c>
      <c r="AL51">
        <v>0</v>
      </c>
      <c r="AM51">
        <v>0</v>
      </c>
      <c r="AN51" s="17">
        <f>AJ51+30</f>
        <v>30</v>
      </c>
      <c r="AO51">
        <v>0</v>
      </c>
      <c r="AP51" s="18">
        <f>AJ51-30</f>
        <v>-30</v>
      </c>
    </row>
    <row r="52" spans="3:42" x14ac:dyDescent="0.25">
      <c r="M52">
        <v>2</v>
      </c>
      <c r="N52" t="s">
        <v>30</v>
      </c>
      <c r="O52">
        <f>(F8*1000)/($D$5*SQRT(3))</f>
        <v>0</v>
      </c>
      <c r="P52">
        <f>($F$8*1000)/(($D$5/SQRT(3)))</f>
        <v>0</v>
      </c>
      <c r="Q52">
        <f>P52</f>
        <v>0</v>
      </c>
      <c r="R52">
        <f>P52</f>
        <v>0</v>
      </c>
      <c r="S52">
        <f>($F$8*1000)/($D$5)</f>
        <v>0</v>
      </c>
      <c r="T52">
        <f>S52</f>
        <v>0</v>
      </c>
      <c r="U52">
        <f>S52</f>
        <v>0</v>
      </c>
      <c r="Y52">
        <v>1</v>
      </c>
      <c r="Z52" s="2" t="s">
        <v>51</v>
      </c>
      <c r="AA52" s="17">
        <f>AA51</f>
        <v>0</v>
      </c>
      <c r="AB52">
        <v>0</v>
      </c>
      <c r="AC52" s="17">
        <f>AA51</f>
        <v>0</v>
      </c>
      <c r="AD52">
        <v>0</v>
      </c>
      <c r="AE52" s="17">
        <f>AA51</f>
        <v>0</v>
      </c>
      <c r="AF52" s="17">
        <f>AA51</f>
        <v>0</v>
      </c>
      <c r="AG52" s="3">
        <v>0</v>
      </c>
      <c r="AI52" s="2" t="s">
        <v>51</v>
      </c>
      <c r="AJ52" s="17">
        <f>AJ51-120</f>
        <v>-120</v>
      </c>
      <c r="AK52">
        <v>0</v>
      </c>
      <c r="AL52" s="17">
        <f>AJ51-120</f>
        <v>-120</v>
      </c>
      <c r="AM52">
        <v>0</v>
      </c>
      <c r="AN52" s="17">
        <f>AJ51-150</f>
        <v>-150</v>
      </c>
      <c r="AO52" s="17">
        <f>AJ51-90</f>
        <v>-90</v>
      </c>
      <c r="AP52" s="3">
        <v>0</v>
      </c>
    </row>
    <row r="53" spans="3:42" x14ac:dyDescent="0.25">
      <c r="M53">
        <v>3</v>
      </c>
      <c r="N53" t="s">
        <v>31</v>
      </c>
      <c r="O53">
        <f>F8</f>
        <v>0</v>
      </c>
      <c r="P53">
        <f t="shared" ref="P53:U53" si="1">$F$8</f>
        <v>0</v>
      </c>
      <c r="Q53">
        <f t="shared" si="1"/>
        <v>0</v>
      </c>
      <c r="R53">
        <f t="shared" si="1"/>
        <v>0</v>
      </c>
      <c r="S53">
        <f t="shared" si="1"/>
        <v>0</v>
      </c>
      <c r="T53">
        <f t="shared" si="1"/>
        <v>0</v>
      </c>
      <c r="U53">
        <f t="shared" si="1"/>
        <v>0</v>
      </c>
      <c r="Z53" s="2" t="s">
        <v>52</v>
      </c>
      <c r="AA53" s="17">
        <f>AA51</f>
        <v>0</v>
      </c>
      <c r="AB53">
        <v>0</v>
      </c>
      <c r="AC53">
        <v>0</v>
      </c>
      <c r="AD53" s="17">
        <f>AA51</f>
        <v>0</v>
      </c>
      <c r="AE53">
        <v>0</v>
      </c>
      <c r="AF53" s="17">
        <f>AA51</f>
        <v>0</v>
      </c>
      <c r="AG53" s="18">
        <f>AA51</f>
        <v>0</v>
      </c>
      <c r="AI53" s="2" t="s">
        <v>52</v>
      </c>
      <c r="AJ53" s="17">
        <f>AJ51+120</f>
        <v>120</v>
      </c>
      <c r="AK53">
        <v>0</v>
      </c>
      <c r="AL53">
        <v>0</v>
      </c>
      <c r="AM53" s="17">
        <f>AJ51+120</f>
        <v>120</v>
      </c>
      <c r="AN53">
        <v>0</v>
      </c>
      <c r="AO53" s="17">
        <f>AJ51+90</f>
        <v>90</v>
      </c>
      <c r="AP53" s="18">
        <f>AJ51+150</f>
        <v>150</v>
      </c>
    </row>
    <row r="54" spans="3:42" x14ac:dyDescent="0.25">
      <c r="Z54" s="13" t="s">
        <v>42</v>
      </c>
      <c r="AA54" s="19">
        <v>0</v>
      </c>
      <c r="AB54" s="20">
        <f>AA51</f>
        <v>0</v>
      </c>
      <c r="AC54" s="20">
        <f>AA51</f>
        <v>0</v>
      </c>
      <c r="AD54" s="20">
        <f>AA51</f>
        <v>0</v>
      </c>
      <c r="AE54" s="19">
        <v>0</v>
      </c>
      <c r="AF54" s="19">
        <v>0</v>
      </c>
      <c r="AG54" s="14">
        <v>0</v>
      </c>
      <c r="AI54" s="13" t="s">
        <v>42</v>
      </c>
      <c r="AJ54" s="19">
        <v>0</v>
      </c>
      <c r="AK54" s="20">
        <f>AJ51+180</f>
        <v>180</v>
      </c>
      <c r="AL54" s="20">
        <f>AJ51+180-120</f>
        <v>60</v>
      </c>
      <c r="AM54" s="20">
        <f>AJ51-180+120</f>
        <v>-60</v>
      </c>
      <c r="AN54" s="19">
        <v>0</v>
      </c>
      <c r="AO54" s="19">
        <v>0</v>
      </c>
      <c r="AP54" s="14">
        <v>0</v>
      </c>
    </row>
    <row r="55" spans="3:42" x14ac:dyDescent="0.25">
      <c r="C55" t="s">
        <v>1</v>
      </c>
      <c r="E55">
        <v>1</v>
      </c>
      <c r="J55">
        <v>1</v>
      </c>
      <c r="L55">
        <v>1</v>
      </c>
      <c r="M55">
        <v>1</v>
      </c>
      <c r="N55" t="s">
        <v>29</v>
      </c>
      <c r="O55">
        <f>($F$9*1000)/($D$5*SQRT(3)*$I$9)</f>
        <v>0</v>
      </c>
      <c r="P55">
        <f>($F$9*1000)/(($D$5/SQRT(3))*$I$9)</f>
        <v>0</v>
      </c>
      <c r="Q55">
        <f>P55</f>
        <v>0</v>
      </c>
      <c r="R55">
        <f>P55</f>
        <v>0</v>
      </c>
      <c r="S55">
        <f>($F$9*1000)/($D$5*$I$9)</f>
        <v>0</v>
      </c>
      <c r="T55">
        <f>S55</f>
        <v>0</v>
      </c>
      <c r="U55">
        <f>S55</f>
        <v>0</v>
      </c>
    </row>
    <row r="56" spans="3:42" x14ac:dyDescent="0.25">
      <c r="M56">
        <v>2</v>
      </c>
      <c r="N56" t="s">
        <v>30</v>
      </c>
      <c r="O56">
        <f>($F$9*1000)/($D$5*SQRT(3))</f>
        <v>0</v>
      </c>
      <c r="P56">
        <f>($F$9*1000)/(($D$5/SQRT(3)))</f>
        <v>0</v>
      </c>
      <c r="Q56">
        <f>P56</f>
        <v>0</v>
      </c>
      <c r="R56">
        <f>P56</f>
        <v>0</v>
      </c>
      <c r="S56">
        <f>($F$9*1000)/($D$5)</f>
        <v>0</v>
      </c>
      <c r="T56">
        <f>S56</f>
        <v>0</v>
      </c>
      <c r="U56">
        <f>S56</f>
        <v>0</v>
      </c>
      <c r="Z56" s="4"/>
      <c r="AA56" s="5">
        <v>1</v>
      </c>
      <c r="AB56" s="5">
        <v>2</v>
      </c>
      <c r="AC56" s="5">
        <v>3</v>
      </c>
      <c r="AD56" s="5">
        <v>4</v>
      </c>
      <c r="AE56" s="5">
        <v>5</v>
      </c>
      <c r="AF56" s="5">
        <v>6</v>
      </c>
      <c r="AG56" s="6">
        <v>7</v>
      </c>
      <c r="AI56" s="4"/>
      <c r="AJ56" s="5">
        <v>1</v>
      </c>
      <c r="AK56" s="5">
        <v>2</v>
      </c>
      <c r="AL56" s="5">
        <v>3</v>
      </c>
      <c r="AM56" s="5">
        <v>4</v>
      </c>
      <c r="AN56" s="5">
        <v>5</v>
      </c>
      <c r="AO56" s="5">
        <v>6</v>
      </c>
      <c r="AP56" s="6">
        <v>7</v>
      </c>
    </row>
    <row r="57" spans="3:42" x14ac:dyDescent="0.25">
      <c r="M57">
        <v>3</v>
      </c>
      <c r="N57" t="s">
        <v>31</v>
      </c>
      <c r="O57">
        <f>$F$9</f>
        <v>0</v>
      </c>
      <c r="P57">
        <f>O57</f>
        <v>0</v>
      </c>
      <c r="Q57">
        <f>O57</f>
        <v>0</v>
      </c>
      <c r="R57">
        <f>O57</f>
        <v>0</v>
      </c>
      <c r="S57">
        <f>O57</f>
        <v>0</v>
      </c>
      <c r="T57">
        <f>O57</f>
        <v>0</v>
      </c>
      <c r="U57">
        <f>O57</f>
        <v>0</v>
      </c>
      <c r="Z57" s="2"/>
      <c r="AA57" t="s">
        <v>32</v>
      </c>
      <c r="AB57" t="s">
        <v>34</v>
      </c>
      <c r="AC57" t="s">
        <v>35</v>
      </c>
      <c r="AD57" t="s">
        <v>36</v>
      </c>
      <c r="AE57" t="s">
        <v>37</v>
      </c>
      <c r="AF57" t="s">
        <v>38</v>
      </c>
      <c r="AG57" s="3" t="s">
        <v>39</v>
      </c>
      <c r="AI57" s="29" t="s">
        <v>55</v>
      </c>
      <c r="AJ57" t="s">
        <v>32</v>
      </c>
      <c r="AK57" t="s">
        <v>34</v>
      </c>
      <c r="AL57" t="s">
        <v>35</v>
      </c>
      <c r="AM57" t="s">
        <v>36</v>
      </c>
      <c r="AN57" t="s">
        <v>37</v>
      </c>
      <c r="AO57" t="s">
        <v>38</v>
      </c>
      <c r="AP57" s="3" t="s">
        <v>39</v>
      </c>
    </row>
    <row r="58" spans="3:42" x14ac:dyDescent="0.25">
      <c r="Z58" s="2" t="s">
        <v>50</v>
      </c>
      <c r="AA58" s="17">
        <f>H9</f>
        <v>0</v>
      </c>
      <c r="AB58" s="17">
        <f>AA58</f>
        <v>0</v>
      </c>
      <c r="AC58">
        <v>0</v>
      </c>
      <c r="AD58">
        <v>0</v>
      </c>
      <c r="AE58" s="17">
        <f>AA58</f>
        <v>0</v>
      </c>
      <c r="AF58">
        <v>0</v>
      </c>
      <c r="AG58" s="18">
        <f>AA58</f>
        <v>0</v>
      </c>
      <c r="AI58" s="2" t="s">
        <v>50</v>
      </c>
      <c r="AJ58" s="17">
        <f>K9</f>
        <v>0</v>
      </c>
      <c r="AK58" s="17">
        <f>AJ58</f>
        <v>0</v>
      </c>
      <c r="AL58">
        <v>0</v>
      </c>
      <c r="AM58">
        <v>0</v>
      </c>
      <c r="AN58" s="17">
        <f>AJ58+30</f>
        <v>30</v>
      </c>
      <c r="AO58">
        <v>0</v>
      </c>
      <c r="AP58" s="18">
        <f>AJ58-30</f>
        <v>-30</v>
      </c>
    </row>
    <row r="59" spans="3:42" x14ac:dyDescent="0.25">
      <c r="C59" t="s">
        <v>2</v>
      </c>
      <c r="E59">
        <v>1</v>
      </c>
      <c r="J59">
        <v>1</v>
      </c>
      <c r="L59">
        <v>1</v>
      </c>
      <c r="M59">
        <v>1</v>
      </c>
      <c r="N59" t="s">
        <v>29</v>
      </c>
      <c r="O59">
        <f>($F$10*1000)/($D$5*SQRT(3)*$I$10)</f>
        <v>0</v>
      </c>
      <c r="P59">
        <f>($F$10*1000)/(($D$5/SQRT(3))*$I$10)</f>
        <v>0</v>
      </c>
      <c r="Q59">
        <f>P59</f>
        <v>0</v>
      </c>
      <c r="R59">
        <f>P59</f>
        <v>0</v>
      </c>
      <c r="S59">
        <f>($F$10*1000)/($D$5*$I$10)</f>
        <v>0</v>
      </c>
      <c r="T59">
        <f>S59</f>
        <v>0</v>
      </c>
      <c r="U59">
        <f>S59</f>
        <v>0</v>
      </c>
      <c r="Y59">
        <v>2</v>
      </c>
      <c r="Z59" s="2" t="s">
        <v>51</v>
      </c>
      <c r="AA59" s="17">
        <f>AA58</f>
        <v>0</v>
      </c>
      <c r="AB59">
        <v>0</v>
      </c>
      <c r="AC59" s="17">
        <f>AA58</f>
        <v>0</v>
      </c>
      <c r="AD59">
        <v>0</v>
      </c>
      <c r="AE59" s="17">
        <f>AA58</f>
        <v>0</v>
      </c>
      <c r="AF59" s="17">
        <f>AA58</f>
        <v>0</v>
      </c>
      <c r="AG59" s="3">
        <v>0</v>
      </c>
      <c r="AI59" s="2" t="s">
        <v>51</v>
      </c>
      <c r="AJ59" s="17">
        <f>AJ58-120</f>
        <v>-120</v>
      </c>
      <c r="AK59">
        <v>0</v>
      </c>
      <c r="AL59" s="17">
        <f>AJ58-120</f>
        <v>-120</v>
      </c>
      <c r="AM59">
        <v>0</v>
      </c>
      <c r="AN59" s="17">
        <f>AJ58-150</f>
        <v>-150</v>
      </c>
      <c r="AO59" s="17">
        <f>AJ58-90</f>
        <v>-90</v>
      </c>
      <c r="AP59" s="3">
        <v>0</v>
      </c>
    </row>
    <row r="60" spans="3:42" x14ac:dyDescent="0.25">
      <c r="M60">
        <v>2</v>
      </c>
      <c r="N60" t="s">
        <v>30</v>
      </c>
      <c r="O60">
        <f>($F$10*1000)/($D$5*SQRT(3))</f>
        <v>0</v>
      </c>
      <c r="P60">
        <f>($F$10*1000)/(($D$5/SQRT(3)))</f>
        <v>0</v>
      </c>
      <c r="Q60">
        <f>P60</f>
        <v>0</v>
      </c>
      <c r="R60">
        <f>P60</f>
        <v>0</v>
      </c>
      <c r="S60">
        <f>($F$10*1000)/($D$5)</f>
        <v>0</v>
      </c>
      <c r="T60">
        <f>S60</f>
        <v>0</v>
      </c>
      <c r="U60">
        <f>S60</f>
        <v>0</v>
      </c>
      <c r="Z60" s="2" t="s">
        <v>52</v>
      </c>
      <c r="AA60" s="17">
        <f>AA58</f>
        <v>0</v>
      </c>
      <c r="AB60">
        <v>0</v>
      </c>
      <c r="AC60">
        <v>0</v>
      </c>
      <c r="AD60" s="17">
        <f>AA58</f>
        <v>0</v>
      </c>
      <c r="AE60">
        <v>0</v>
      </c>
      <c r="AF60" s="17">
        <f>AA58</f>
        <v>0</v>
      </c>
      <c r="AG60" s="18">
        <f>AA58</f>
        <v>0</v>
      </c>
      <c r="AI60" s="2" t="s">
        <v>52</v>
      </c>
      <c r="AJ60" s="17">
        <f>AJ58+120</f>
        <v>120</v>
      </c>
      <c r="AK60">
        <v>0</v>
      </c>
      <c r="AL60">
        <v>0</v>
      </c>
      <c r="AM60" s="17">
        <f>AJ58+120</f>
        <v>120</v>
      </c>
      <c r="AN60">
        <v>0</v>
      </c>
      <c r="AO60" s="17">
        <f>AJ58+90</f>
        <v>90</v>
      </c>
      <c r="AP60" s="18">
        <f>AJ58+150</f>
        <v>150</v>
      </c>
    </row>
    <row r="61" spans="3:42" x14ac:dyDescent="0.25">
      <c r="M61">
        <v>3</v>
      </c>
      <c r="N61" t="s">
        <v>31</v>
      </c>
      <c r="O61">
        <f>$F$10</f>
        <v>0</v>
      </c>
      <c r="P61">
        <f>O61</f>
        <v>0</v>
      </c>
      <c r="Q61">
        <f>O61</f>
        <v>0</v>
      </c>
      <c r="R61">
        <f>O61</f>
        <v>0</v>
      </c>
      <c r="S61">
        <f>O61</f>
        <v>0</v>
      </c>
      <c r="T61">
        <f>O61</f>
        <v>0</v>
      </c>
      <c r="U61">
        <f>O61</f>
        <v>0</v>
      </c>
      <c r="Z61" s="13" t="s">
        <v>42</v>
      </c>
      <c r="AA61" s="19">
        <v>0</v>
      </c>
      <c r="AB61" s="20">
        <f>AA58</f>
        <v>0</v>
      </c>
      <c r="AC61" s="20">
        <f>AA58</f>
        <v>0</v>
      </c>
      <c r="AD61" s="20">
        <f>AA58</f>
        <v>0</v>
      </c>
      <c r="AE61" s="19">
        <v>0</v>
      </c>
      <c r="AF61" s="19">
        <v>0</v>
      </c>
      <c r="AG61" s="14">
        <v>0</v>
      </c>
      <c r="AI61" s="13" t="s">
        <v>42</v>
      </c>
      <c r="AJ61" s="19">
        <v>0</v>
      </c>
      <c r="AK61" s="20">
        <f>AJ58+180</f>
        <v>180</v>
      </c>
      <c r="AL61" s="20">
        <f>AJ58+180-120</f>
        <v>60</v>
      </c>
      <c r="AM61" s="20">
        <f>AJ58-180+120</f>
        <v>-60</v>
      </c>
      <c r="AN61" s="19">
        <v>0</v>
      </c>
      <c r="AO61" s="19">
        <v>0</v>
      </c>
      <c r="AP61" s="14">
        <v>0</v>
      </c>
    </row>
    <row r="63" spans="3:42" x14ac:dyDescent="0.25">
      <c r="C63" t="s">
        <v>3</v>
      </c>
      <c r="E63">
        <v>1</v>
      </c>
      <c r="J63">
        <v>1</v>
      </c>
      <c r="L63">
        <v>1</v>
      </c>
      <c r="M63">
        <v>1</v>
      </c>
      <c r="N63" t="s">
        <v>29</v>
      </c>
      <c r="O63">
        <f>($F$11*1000)/($D$5*SQRT(3)*$I$11)</f>
        <v>0</v>
      </c>
      <c r="P63">
        <f>($F$11*1000)/(($D$5/SQRT(3))*$I$11)</f>
        <v>0</v>
      </c>
      <c r="Q63">
        <f>P63</f>
        <v>0</v>
      </c>
      <c r="R63">
        <f>P63</f>
        <v>0</v>
      </c>
      <c r="S63">
        <f>($F$11*1000)/($D$5*$I$11)</f>
        <v>0</v>
      </c>
      <c r="T63">
        <f>S63</f>
        <v>0</v>
      </c>
      <c r="U63">
        <f>S63</f>
        <v>0</v>
      </c>
      <c r="Z63" s="4"/>
      <c r="AA63" s="5">
        <v>1</v>
      </c>
      <c r="AB63" s="5">
        <v>2</v>
      </c>
      <c r="AC63" s="5">
        <v>3</v>
      </c>
      <c r="AD63" s="5">
        <v>4</v>
      </c>
      <c r="AE63" s="5">
        <v>5</v>
      </c>
      <c r="AF63" s="5">
        <v>6</v>
      </c>
      <c r="AG63" s="6">
        <v>7</v>
      </c>
      <c r="AI63" s="4"/>
      <c r="AJ63" s="5">
        <v>1</v>
      </c>
      <c r="AK63" s="5">
        <v>2</v>
      </c>
      <c r="AL63" s="5">
        <v>3</v>
      </c>
      <c r="AM63" s="5">
        <v>4</v>
      </c>
      <c r="AN63" s="5">
        <v>5</v>
      </c>
      <c r="AO63" s="5">
        <v>6</v>
      </c>
      <c r="AP63" s="6">
        <v>7</v>
      </c>
    </row>
    <row r="64" spans="3:42" x14ac:dyDescent="0.25">
      <c r="M64">
        <v>2</v>
      </c>
      <c r="N64" t="s">
        <v>30</v>
      </c>
      <c r="O64">
        <f>($F$11*1000)/($D$5*SQRT(3))</f>
        <v>0</v>
      </c>
      <c r="P64">
        <f>($F$11*1000)/(($D$5/SQRT(3)))</f>
        <v>0</v>
      </c>
      <c r="Q64">
        <f>P64</f>
        <v>0</v>
      </c>
      <c r="R64">
        <f>P64</f>
        <v>0</v>
      </c>
      <c r="S64">
        <f>($F$11*1000)/($D$5)</f>
        <v>0</v>
      </c>
      <c r="T64">
        <f>S64</f>
        <v>0</v>
      </c>
      <c r="U64">
        <f>S64</f>
        <v>0</v>
      </c>
      <c r="Z64" s="2"/>
      <c r="AA64" t="s">
        <v>32</v>
      </c>
      <c r="AB64" t="s">
        <v>34</v>
      </c>
      <c r="AC64" t="s">
        <v>35</v>
      </c>
      <c r="AD64" t="s">
        <v>36</v>
      </c>
      <c r="AE64" t="s">
        <v>37</v>
      </c>
      <c r="AF64" t="s">
        <v>38</v>
      </c>
      <c r="AG64" s="3" t="s">
        <v>39</v>
      </c>
      <c r="AI64" s="29" t="s">
        <v>55</v>
      </c>
      <c r="AJ64" t="s">
        <v>32</v>
      </c>
      <c r="AK64" t="s">
        <v>34</v>
      </c>
      <c r="AL64" t="s">
        <v>35</v>
      </c>
      <c r="AM64" t="s">
        <v>36</v>
      </c>
      <c r="AN64" t="s">
        <v>37</v>
      </c>
      <c r="AO64" t="s">
        <v>38</v>
      </c>
      <c r="AP64" s="3" t="s">
        <v>39</v>
      </c>
    </row>
    <row r="65" spans="3:42" x14ac:dyDescent="0.25">
      <c r="M65">
        <v>3</v>
      </c>
      <c r="N65" t="s">
        <v>31</v>
      </c>
      <c r="O65">
        <f>$F$11</f>
        <v>0</v>
      </c>
      <c r="P65">
        <f>O65</f>
        <v>0</v>
      </c>
      <c r="Q65">
        <f>O65</f>
        <v>0</v>
      </c>
      <c r="R65">
        <f>O65</f>
        <v>0</v>
      </c>
      <c r="S65">
        <f>O65</f>
        <v>0</v>
      </c>
      <c r="T65">
        <f>O65</f>
        <v>0</v>
      </c>
      <c r="U65">
        <f>O65</f>
        <v>0</v>
      </c>
      <c r="Z65" s="2" t="s">
        <v>50</v>
      </c>
      <c r="AA65" s="17">
        <f>H10</f>
        <v>0</v>
      </c>
      <c r="AB65" s="17">
        <f>AA65</f>
        <v>0</v>
      </c>
      <c r="AC65">
        <v>0</v>
      </c>
      <c r="AD65">
        <v>0</v>
      </c>
      <c r="AE65" s="17">
        <f>AA65</f>
        <v>0</v>
      </c>
      <c r="AF65">
        <v>0</v>
      </c>
      <c r="AG65" s="18">
        <f>AA65</f>
        <v>0</v>
      </c>
      <c r="AI65" s="2" t="s">
        <v>50</v>
      </c>
      <c r="AJ65" s="17">
        <f>K10</f>
        <v>0</v>
      </c>
      <c r="AK65" s="17">
        <f>AJ65</f>
        <v>0</v>
      </c>
      <c r="AL65">
        <v>0</v>
      </c>
      <c r="AM65">
        <v>0</v>
      </c>
      <c r="AN65" s="17">
        <f>AJ65+30</f>
        <v>30</v>
      </c>
      <c r="AO65">
        <v>0</v>
      </c>
      <c r="AP65" s="18">
        <f>AJ65-30</f>
        <v>-30</v>
      </c>
    </row>
    <row r="66" spans="3:42" x14ac:dyDescent="0.25">
      <c r="Y66">
        <v>3</v>
      </c>
      <c r="Z66" s="2" t="s">
        <v>51</v>
      </c>
      <c r="AA66" s="17">
        <f>AA65</f>
        <v>0</v>
      </c>
      <c r="AB66">
        <v>0</v>
      </c>
      <c r="AC66" s="17">
        <f>AA65</f>
        <v>0</v>
      </c>
      <c r="AD66">
        <v>0</v>
      </c>
      <c r="AE66" s="17">
        <f>AA65</f>
        <v>0</v>
      </c>
      <c r="AF66" s="17">
        <f>AA65</f>
        <v>0</v>
      </c>
      <c r="AG66" s="3">
        <v>0</v>
      </c>
      <c r="AI66" s="2" t="s">
        <v>51</v>
      </c>
      <c r="AJ66" s="17">
        <f>AJ65-120</f>
        <v>-120</v>
      </c>
      <c r="AK66">
        <v>0</v>
      </c>
      <c r="AL66" s="17">
        <f>AJ65-120</f>
        <v>-120</v>
      </c>
      <c r="AM66">
        <v>0</v>
      </c>
      <c r="AN66" s="17">
        <f>AJ65-150</f>
        <v>-150</v>
      </c>
      <c r="AO66" s="17">
        <f>AJ65-90</f>
        <v>-90</v>
      </c>
      <c r="AP66" s="3">
        <v>0</v>
      </c>
    </row>
    <row r="67" spans="3:42" x14ac:dyDescent="0.25">
      <c r="C67" t="s">
        <v>4</v>
      </c>
      <c r="E67">
        <v>1</v>
      </c>
      <c r="J67">
        <v>1</v>
      </c>
      <c r="L67">
        <v>1</v>
      </c>
      <c r="M67">
        <v>1</v>
      </c>
      <c r="N67" t="s">
        <v>29</v>
      </c>
      <c r="O67">
        <f>($F$12*1000)/($D$5*SQRT(3)*$I$12)</f>
        <v>0</v>
      </c>
      <c r="P67">
        <f>($F$12*1000)/(($D$5/SQRT(3))*$I$12)</f>
        <v>0</v>
      </c>
      <c r="Q67">
        <f>P67</f>
        <v>0</v>
      </c>
      <c r="R67">
        <f>P67</f>
        <v>0</v>
      </c>
      <c r="S67">
        <f>($F$12*1000)/($D$5*$I$12)</f>
        <v>0</v>
      </c>
      <c r="T67">
        <f>S67</f>
        <v>0</v>
      </c>
      <c r="U67">
        <f>S67</f>
        <v>0</v>
      </c>
      <c r="Z67" s="2" t="s">
        <v>52</v>
      </c>
      <c r="AA67" s="17">
        <f>AA65</f>
        <v>0</v>
      </c>
      <c r="AB67">
        <v>0</v>
      </c>
      <c r="AC67">
        <v>0</v>
      </c>
      <c r="AD67" s="17">
        <f>AA65</f>
        <v>0</v>
      </c>
      <c r="AE67">
        <v>0</v>
      </c>
      <c r="AF67" s="17">
        <f>AA65</f>
        <v>0</v>
      </c>
      <c r="AG67" s="18">
        <f>AA65</f>
        <v>0</v>
      </c>
      <c r="AI67" s="2" t="s">
        <v>52</v>
      </c>
      <c r="AJ67" s="17">
        <f>AJ65+120</f>
        <v>120</v>
      </c>
      <c r="AK67">
        <v>0</v>
      </c>
      <c r="AL67">
        <v>0</v>
      </c>
      <c r="AM67" s="17">
        <f>AJ65+120</f>
        <v>120</v>
      </c>
      <c r="AN67">
        <v>0</v>
      </c>
      <c r="AO67" s="17">
        <f>AJ65+90</f>
        <v>90</v>
      </c>
      <c r="AP67" s="18">
        <f>AJ65+150</f>
        <v>150</v>
      </c>
    </row>
    <row r="68" spans="3:42" x14ac:dyDescent="0.25">
      <c r="M68">
        <v>2</v>
      </c>
      <c r="N68" t="s">
        <v>30</v>
      </c>
      <c r="O68">
        <f>($F$12*1000)/($D$5*SQRT(3))</f>
        <v>0</v>
      </c>
      <c r="P68">
        <f>($F$12*1000)/(($D$5/SQRT(3)))</f>
        <v>0</v>
      </c>
      <c r="Q68">
        <f>P68</f>
        <v>0</v>
      </c>
      <c r="R68">
        <f>P68</f>
        <v>0</v>
      </c>
      <c r="S68">
        <f>($F$12*1000)/($D$5)</f>
        <v>0</v>
      </c>
      <c r="T68">
        <f>S68</f>
        <v>0</v>
      </c>
      <c r="U68">
        <f>S68</f>
        <v>0</v>
      </c>
      <c r="Z68" s="13" t="s">
        <v>42</v>
      </c>
      <c r="AA68" s="19">
        <v>0</v>
      </c>
      <c r="AB68" s="20">
        <f>AA65</f>
        <v>0</v>
      </c>
      <c r="AC68" s="20">
        <f>AA65</f>
        <v>0</v>
      </c>
      <c r="AD68" s="20">
        <f>AA65</f>
        <v>0</v>
      </c>
      <c r="AE68" s="19">
        <v>0</v>
      </c>
      <c r="AF68" s="19">
        <v>0</v>
      </c>
      <c r="AG68" s="14">
        <v>0</v>
      </c>
      <c r="AI68" s="13" t="s">
        <v>42</v>
      </c>
      <c r="AJ68" s="19">
        <v>0</v>
      </c>
      <c r="AK68" s="20">
        <f>AJ65+180</f>
        <v>180</v>
      </c>
      <c r="AL68" s="20">
        <f>AJ65+180-120</f>
        <v>60</v>
      </c>
      <c r="AM68" s="20">
        <f>AJ65-180+120</f>
        <v>-60</v>
      </c>
      <c r="AN68" s="19">
        <v>0</v>
      </c>
      <c r="AO68" s="19">
        <v>0</v>
      </c>
      <c r="AP68" s="14">
        <v>0</v>
      </c>
    </row>
    <row r="69" spans="3:42" x14ac:dyDescent="0.25">
      <c r="M69">
        <v>3</v>
      </c>
      <c r="N69" t="s">
        <v>31</v>
      </c>
      <c r="O69">
        <f>$F$12</f>
        <v>0</v>
      </c>
      <c r="P69">
        <f>O69</f>
        <v>0</v>
      </c>
      <c r="Q69">
        <f>O69</f>
        <v>0</v>
      </c>
      <c r="R69">
        <f>O69</f>
        <v>0</v>
      </c>
      <c r="S69">
        <f>O69</f>
        <v>0</v>
      </c>
      <c r="T69">
        <f>O69</f>
        <v>0</v>
      </c>
      <c r="U69">
        <f>O69</f>
        <v>0</v>
      </c>
    </row>
    <row r="70" spans="3:42" x14ac:dyDescent="0.25">
      <c r="Z70" s="4"/>
      <c r="AA70" s="5">
        <v>1</v>
      </c>
      <c r="AB70" s="5">
        <v>2</v>
      </c>
      <c r="AC70" s="5">
        <v>3</v>
      </c>
      <c r="AD70" s="5">
        <v>4</v>
      </c>
      <c r="AE70" s="5">
        <v>5</v>
      </c>
      <c r="AF70" s="5">
        <v>6</v>
      </c>
      <c r="AG70" s="6">
        <v>7</v>
      </c>
      <c r="AI70" s="4"/>
      <c r="AJ70" s="5">
        <v>1</v>
      </c>
      <c r="AK70" s="5">
        <v>2</v>
      </c>
      <c r="AL70" s="5">
        <v>3</v>
      </c>
      <c r="AM70" s="5">
        <v>4</v>
      </c>
      <c r="AN70" s="5">
        <v>5</v>
      </c>
      <c r="AO70" s="5">
        <v>6</v>
      </c>
      <c r="AP70" s="6">
        <v>7</v>
      </c>
    </row>
    <row r="71" spans="3:42" x14ac:dyDescent="0.25">
      <c r="C71" t="s">
        <v>5</v>
      </c>
      <c r="E71">
        <v>1</v>
      </c>
      <c r="J71">
        <v>1</v>
      </c>
      <c r="L71">
        <v>1</v>
      </c>
      <c r="M71">
        <v>1</v>
      </c>
      <c r="N71" t="s">
        <v>29</v>
      </c>
      <c r="O71">
        <f>($F$13*1000)/($D$5*SQRT(3)*$I$13)</f>
        <v>0</v>
      </c>
      <c r="P71">
        <f>($F$13*1000)/(($D$5/SQRT(3))*$I$13)</f>
        <v>0</v>
      </c>
      <c r="Q71">
        <f>P71</f>
        <v>0</v>
      </c>
      <c r="R71">
        <f>P71</f>
        <v>0</v>
      </c>
      <c r="S71">
        <f>($F$13*1000)/($D$5*$I$13)</f>
        <v>0</v>
      </c>
      <c r="T71">
        <f>S71</f>
        <v>0</v>
      </c>
      <c r="U71">
        <f>S71</f>
        <v>0</v>
      </c>
      <c r="Z71" s="2"/>
      <c r="AA71" t="s">
        <v>32</v>
      </c>
      <c r="AB71" t="s">
        <v>34</v>
      </c>
      <c r="AC71" t="s">
        <v>35</v>
      </c>
      <c r="AD71" t="s">
        <v>36</v>
      </c>
      <c r="AE71" t="s">
        <v>37</v>
      </c>
      <c r="AF71" t="s">
        <v>38</v>
      </c>
      <c r="AG71" s="3" t="s">
        <v>39</v>
      </c>
      <c r="AI71" s="29" t="s">
        <v>55</v>
      </c>
      <c r="AJ71" t="s">
        <v>32</v>
      </c>
      <c r="AK71" t="s">
        <v>34</v>
      </c>
      <c r="AL71" t="s">
        <v>35</v>
      </c>
      <c r="AM71" t="s">
        <v>36</v>
      </c>
      <c r="AN71" t="s">
        <v>37</v>
      </c>
      <c r="AO71" t="s">
        <v>38</v>
      </c>
      <c r="AP71" s="3" t="s">
        <v>39</v>
      </c>
    </row>
    <row r="72" spans="3:42" x14ac:dyDescent="0.25">
      <c r="M72">
        <v>2</v>
      </c>
      <c r="N72" t="s">
        <v>30</v>
      </c>
      <c r="O72">
        <f>($F$13*1000)/($D$5*SQRT(3))</f>
        <v>0</v>
      </c>
      <c r="P72">
        <f>($F$13*1000)/(($D$5/SQRT(3)))</f>
        <v>0</v>
      </c>
      <c r="Q72">
        <f>P72</f>
        <v>0</v>
      </c>
      <c r="R72">
        <f>P72</f>
        <v>0</v>
      </c>
      <c r="S72">
        <f>($F$13*1000)/($D$5)</f>
        <v>0</v>
      </c>
      <c r="T72">
        <f>S72</f>
        <v>0</v>
      </c>
      <c r="U72">
        <f>S72</f>
        <v>0</v>
      </c>
      <c r="Z72" s="2" t="s">
        <v>50</v>
      </c>
      <c r="AA72" s="17">
        <f>H11</f>
        <v>0</v>
      </c>
      <c r="AB72" s="17">
        <f>AA72</f>
        <v>0</v>
      </c>
      <c r="AC72">
        <v>0</v>
      </c>
      <c r="AD72">
        <v>0</v>
      </c>
      <c r="AE72" s="17">
        <f>AA72</f>
        <v>0</v>
      </c>
      <c r="AF72">
        <v>0</v>
      </c>
      <c r="AG72" s="18">
        <f>AA72</f>
        <v>0</v>
      </c>
      <c r="AI72" s="2" t="s">
        <v>50</v>
      </c>
      <c r="AJ72" s="17">
        <f>K11</f>
        <v>0</v>
      </c>
      <c r="AK72" s="17">
        <f>AJ72</f>
        <v>0</v>
      </c>
      <c r="AL72">
        <v>0</v>
      </c>
      <c r="AM72">
        <v>0</v>
      </c>
      <c r="AN72" s="17">
        <f>AJ72+30</f>
        <v>30</v>
      </c>
      <c r="AO72">
        <v>0</v>
      </c>
      <c r="AP72" s="18">
        <f>AJ72-30</f>
        <v>-30</v>
      </c>
    </row>
    <row r="73" spans="3:42" x14ac:dyDescent="0.25">
      <c r="M73">
        <v>3</v>
      </c>
      <c r="N73" t="s">
        <v>31</v>
      </c>
      <c r="O73">
        <f>$F$13</f>
        <v>0</v>
      </c>
      <c r="P73">
        <f>O73</f>
        <v>0</v>
      </c>
      <c r="Q73">
        <f>O73</f>
        <v>0</v>
      </c>
      <c r="R73">
        <f>O73</f>
        <v>0</v>
      </c>
      <c r="S73">
        <f>O73</f>
        <v>0</v>
      </c>
      <c r="T73">
        <f>O73</f>
        <v>0</v>
      </c>
      <c r="U73">
        <f>O73</f>
        <v>0</v>
      </c>
      <c r="Y73">
        <v>4</v>
      </c>
      <c r="Z73" s="2" t="s">
        <v>51</v>
      </c>
      <c r="AA73" s="17">
        <f>AA72</f>
        <v>0</v>
      </c>
      <c r="AB73">
        <v>0</v>
      </c>
      <c r="AC73" s="17">
        <f>AA72</f>
        <v>0</v>
      </c>
      <c r="AD73">
        <v>0</v>
      </c>
      <c r="AE73" s="17">
        <f>AA72</f>
        <v>0</v>
      </c>
      <c r="AF73" s="17">
        <f>AA72</f>
        <v>0</v>
      </c>
      <c r="AG73" s="3">
        <v>0</v>
      </c>
      <c r="AI73" s="2" t="s">
        <v>51</v>
      </c>
      <c r="AJ73" s="17">
        <f>AJ72-120</f>
        <v>-120</v>
      </c>
      <c r="AK73">
        <v>0</v>
      </c>
      <c r="AL73" s="17">
        <f>AJ72-120</f>
        <v>-120</v>
      </c>
      <c r="AM73">
        <v>0</v>
      </c>
      <c r="AN73" s="17">
        <f>AJ72-150</f>
        <v>-150</v>
      </c>
      <c r="AO73" s="17">
        <f>AJ72-90</f>
        <v>-90</v>
      </c>
      <c r="AP73" s="3">
        <v>0</v>
      </c>
    </row>
    <row r="74" spans="3:42" x14ac:dyDescent="0.25">
      <c r="Z74" s="2" t="s">
        <v>52</v>
      </c>
      <c r="AA74" s="17">
        <f>AA72</f>
        <v>0</v>
      </c>
      <c r="AB74">
        <v>0</v>
      </c>
      <c r="AC74">
        <v>0</v>
      </c>
      <c r="AD74" s="17">
        <f>AA72</f>
        <v>0</v>
      </c>
      <c r="AE74">
        <v>0</v>
      </c>
      <c r="AF74" s="17">
        <f>AA72</f>
        <v>0</v>
      </c>
      <c r="AG74" s="18">
        <f>AA72</f>
        <v>0</v>
      </c>
      <c r="AI74" s="2" t="s">
        <v>52</v>
      </c>
      <c r="AJ74" s="17">
        <f>AJ72+120</f>
        <v>120</v>
      </c>
      <c r="AK74">
        <v>0</v>
      </c>
      <c r="AL74">
        <v>0</v>
      </c>
      <c r="AM74" s="17">
        <f>AJ72+120</f>
        <v>120</v>
      </c>
      <c r="AN74">
        <v>0</v>
      </c>
      <c r="AO74" s="17">
        <f>AJ72+90</f>
        <v>90</v>
      </c>
      <c r="AP74" s="18">
        <f>AJ72+150</f>
        <v>150</v>
      </c>
    </row>
    <row r="75" spans="3:42" x14ac:dyDescent="0.25">
      <c r="C75" t="s">
        <v>6</v>
      </c>
      <c r="E75">
        <v>1</v>
      </c>
      <c r="J75">
        <v>1</v>
      </c>
      <c r="L75">
        <v>1</v>
      </c>
      <c r="M75">
        <v>1</v>
      </c>
      <c r="N75" t="s">
        <v>29</v>
      </c>
      <c r="O75">
        <f>($F$14*1000)/($D$5*SQRT(3)*$I$14)</f>
        <v>0</v>
      </c>
      <c r="P75">
        <f>($F$14*1000)/(($D$5/SQRT(3))*$I$14)</f>
        <v>0</v>
      </c>
      <c r="Q75">
        <f>P75</f>
        <v>0</v>
      </c>
      <c r="R75">
        <f>P75</f>
        <v>0</v>
      </c>
      <c r="S75">
        <f>($F$14*1000)/($D$5*$I$14)</f>
        <v>0</v>
      </c>
      <c r="T75">
        <f>S75</f>
        <v>0</v>
      </c>
      <c r="U75">
        <f>S75</f>
        <v>0</v>
      </c>
      <c r="Z75" s="13" t="s">
        <v>42</v>
      </c>
      <c r="AA75" s="19">
        <v>0</v>
      </c>
      <c r="AB75" s="20">
        <f>AA72</f>
        <v>0</v>
      </c>
      <c r="AC75" s="20">
        <f>AA72</f>
        <v>0</v>
      </c>
      <c r="AD75" s="20">
        <f>AA72</f>
        <v>0</v>
      </c>
      <c r="AE75" s="19">
        <v>0</v>
      </c>
      <c r="AF75" s="19">
        <v>0</v>
      </c>
      <c r="AG75" s="14">
        <v>0</v>
      </c>
      <c r="AI75" s="13" t="s">
        <v>42</v>
      </c>
      <c r="AJ75" s="19">
        <v>0</v>
      </c>
      <c r="AK75" s="20">
        <f>AJ72+180</f>
        <v>180</v>
      </c>
      <c r="AL75" s="20">
        <f>AJ72+180-120</f>
        <v>60</v>
      </c>
      <c r="AM75" s="20">
        <f>AJ72-180+120</f>
        <v>-60</v>
      </c>
      <c r="AN75" s="19">
        <v>0</v>
      </c>
      <c r="AO75" s="19">
        <v>0</v>
      </c>
      <c r="AP75" s="14">
        <v>0</v>
      </c>
    </row>
    <row r="76" spans="3:42" x14ac:dyDescent="0.25">
      <c r="M76">
        <v>2</v>
      </c>
      <c r="N76" t="s">
        <v>30</v>
      </c>
      <c r="O76">
        <f>($F$14*1000)/($D$5*SQRT(3))</f>
        <v>0</v>
      </c>
      <c r="P76">
        <f>($F$14*1000)/(($D$5/SQRT(3)))</f>
        <v>0</v>
      </c>
      <c r="Q76">
        <f>P76</f>
        <v>0</v>
      </c>
      <c r="R76">
        <f>P76</f>
        <v>0</v>
      </c>
      <c r="S76">
        <f>($F$14*1000)/($D$5)</f>
        <v>0</v>
      </c>
      <c r="T76">
        <f>S76</f>
        <v>0</v>
      </c>
      <c r="U76">
        <f>S76</f>
        <v>0</v>
      </c>
    </row>
    <row r="77" spans="3:42" x14ac:dyDescent="0.25">
      <c r="M77">
        <v>3</v>
      </c>
      <c r="N77" t="s">
        <v>31</v>
      </c>
      <c r="O77">
        <f>$F$14</f>
        <v>0</v>
      </c>
      <c r="P77">
        <f>O77</f>
        <v>0</v>
      </c>
      <c r="Q77">
        <f>O77</f>
        <v>0</v>
      </c>
      <c r="R77">
        <f>O77</f>
        <v>0</v>
      </c>
      <c r="S77">
        <f>O77</f>
        <v>0</v>
      </c>
      <c r="T77">
        <f>O77</f>
        <v>0</v>
      </c>
      <c r="U77">
        <f>O77</f>
        <v>0</v>
      </c>
      <c r="Z77" s="4"/>
      <c r="AA77" s="5">
        <v>1</v>
      </c>
      <c r="AB77" s="5">
        <v>2</v>
      </c>
      <c r="AC77" s="5">
        <v>3</v>
      </c>
      <c r="AD77" s="5">
        <v>4</v>
      </c>
      <c r="AE77" s="5">
        <v>5</v>
      </c>
      <c r="AF77" s="5">
        <v>6</v>
      </c>
      <c r="AG77" s="6">
        <v>7</v>
      </c>
      <c r="AI77" s="4"/>
      <c r="AJ77" s="5">
        <v>1</v>
      </c>
      <c r="AK77" s="5">
        <v>2</v>
      </c>
      <c r="AL77" s="5">
        <v>3</v>
      </c>
      <c r="AM77" s="5">
        <v>4</v>
      </c>
      <c r="AN77" s="5">
        <v>5</v>
      </c>
      <c r="AO77" s="5">
        <v>6</v>
      </c>
      <c r="AP77" s="6">
        <v>7</v>
      </c>
    </row>
    <row r="78" spans="3:42" x14ac:dyDescent="0.25">
      <c r="Z78" s="2"/>
      <c r="AA78" t="s">
        <v>32</v>
      </c>
      <c r="AB78" t="s">
        <v>34</v>
      </c>
      <c r="AC78" t="s">
        <v>35</v>
      </c>
      <c r="AD78" t="s">
        <v>36</v>
      </c>
      <c r="AE78" t="s">
        <v>37</v>
      </c>
      <c r="AF78" t="s">
        <v>38</v>
      </c>
      <c r="AG78" s="3" t="s">
        <v>39</v>
      </c>
      <c r="AI78" s="29" t="s">
        <v>55</v>
      </c>
      <c r="AJ78" t="s">
        <v>32</v>
      </c>
      <c r="AK78" t="s">
        <v>34</v>
      </c>
      <c r="AL78" t="s">
        <v>35</v>
      </c>
      <c r="AM78" t="s">
        <v>36</v>
      </c>
      <c r="AN78" t="s">
        <v>37</v>
      </c>
      <c r="AO78" t="s">
        <v>38</v>
      </c>
      <c r="AP78" s="3" t="s">
        <v>39</v>
      </c>
    </row>
    <row r="79" spans="3:42" x14ac:dyDescent="0.25">
      <c r="C79" t="s">
        <v>7</v>
      </c>
      <c r="E79">
        <v>1</v>
      </c>
      <c r="J79">
        <v>1</v>
      </c>
      <c r="L79">
        <v>1</v>
      </c>
      <c r="M79">
        <v>1</v>
      </c>
      <c r="N79" t="s">
        <v>29</v>
      </c>
      <c r="O79">
        <f>($F$15*1000)/($D$5*SQRT(3)*$I$15)</f>
        <v>0</v>
      </c>
      <c r="P79">
        <f>($F$15*1000)/(($D$5/SQRT(3))*$I$15)</f>
        <v>0</v>
      </c>
      <c r="Q79">
        <f>P79</f>
        <v>0</v>
      </c>
      <c r="R79">
        <f>P79</f>
        <v>0</v>
      </c>
      <c r="S79">
        <f>($F$15*1000)/($D$5*$I$15)</f>
        <v>0</v>
      </c>
      <c r="T79">
        <f>S79</f>
        <v>0</v>
      </c>
      <c r="U79">
        <f>S79</f>
        <v>0</v>
      </c>
      <c r="Z79" s="2" t="s">
        <v>50</v>
      </c>
      <c r="AA79" s="17">
        <f>H12</f>
        <v>0</v>
      </c>
      <c r="AB79" s="17">
        <f>AA79</f>
        <v>0</v>
      </c>
      <c r="AC79">
        <v>0</v>
      </c>
      <c r="AD79">
        <v>0</v>
      </c>
      <c r="AE79" s="17">
        <f>AA79</f>
        <v>0</v>
      </c>
      <c r="AF79">
        <v>0</v>
      </c>
      <c r="AG79" s="18">
        <f>AA79</f>
        <v>0</v>
      </c>
      <c r="AI79" s="2" t="s">
        <v>50</v>
      </c>
      <c r="AJ79" s="17">
        <f>K12</f>
        <v>0</v>
      </c>
      <c r="AK79" s="17">
        <f>AJ79</f>
        <v>0</v>
      </c>
      <c r="AL79">
        <v>0</v>
      </c>
      <c r="AM79">
        <v>0</v>
      </c>
      <c r="AN79" s="17">
        <f>AJ79+30</f>
        <v>30</v>
      </c>
      <c r="AO79">
        <v>0</v>
      </c>
      <c r="AP79" s="18">
        <f>AJ79-30</f>
        <v>-30</v>
      </c>
    </row>
    <row r="80" spans="3:42" x14ac:dyDescent="0.25">
      <c r="M80">
        <v>2</v>
      </c>
      <c r="N80" t="s">
        <v>30</v>
      </c>
      <c r="O80">
        <f>($F$15*1000)/($D$5*SQRT(3))</f>
        <v>0</v>
      </c>
      <c r="P80">
        <f>($F$15*1000)/(($D$5/SQRT(3)))</f>
        <v>0</v>
      </c>
      <c r="Q80">
        <f>P80</f>
        <v>0</v>
      </c>
      <c r="R80">
        <f>P80</f>
        <v>0</v>
      </c>
      <c r="S80">
        <f>($F$15*1000)/($D$5)</f>
        <v>0</v>
      </c>
      <c r="T80">
        <f>S80</f>
        <v>0</v>
      </c>
      <c r="U80">
        <f>S80</f>
        <v>0</v>
      </c>
      <c r="Y80">
        <v>5</v>
      </c>
      <c r="Z80" s="2" t="s">
        <v>51</v>
      </c>
      <c r="AA80" s="17">
        <f>AA79</f>
        <v>0</v>
      </c>
      <c r="AB80">
        <v>0</v>
      </c>
      <c r="AC80" s="17">
        <f>AA79</f>
        <v>0</v>
      </c>
      <c r="AD80">
        <v>0</v>
      </c>
      <c r="AE80" s="17">
        <f>AA79</f>
        <v>0</v>
      </c>
      <c r="AF80" s="17">
        <f>AA79</f>
        <v>0</v>
      </c>
      <c r="AG80" s="3">
        <v>0</v>
      </c>
      <c r="AI80" s="2" t="s">
        <v>51</v>
      </c>
      <c r="AJ80" s="17">
        <f>AJ79-120</f>
        <v>-120</v>
      </c>
      <c r="AK80">
        <v>0</v>
      </c>
      <c r="AL80" s="17">
        <f>AJ79-120</f>
        <v>-120</v>
      </c>
      <c r="AM80">
        <v>0</v>
      </c>
      <c r="AN80" s="17">
        <f>AJ79-150</f>
        <v>-150</v>
      </c>
      <c r="AO80" s="17">
        <f>AJ79-90</f>
        <v>-90</v>
      </c>
      <c r="AP80" s="3">
        <v>0</v>
      </c>
    </row>
    <row r="81" spans="3:42" x14ac:dyDescent="0.25">
      <c r="M81">
        <v>3</v>
      </c>
      <c r="N81" t="s">
        <v>31</v>
      </c>
      <c r="O81">
        <f>$F$15</f>
        <v>0</v>
      </c>
      <c r="P81">
        <f>O81</f>
        <v>0</v>
      </c>
      <c r="Q81">
        <f>O81</f>
        <v>0</v>
      </c>
      <c r="R81">
        <f>O81</f>
        <v>0</v>
      </c>
      <c r="S81">
        <f>O81</f>
        <v>0</v>
      </c>
      <c r="T81">
        <f>O81</f>
        <v>0</v>
      </c>
      <c r="U81">
        <f>O81</f>
        <v>0</v>
      </c>
      <c r="Z81" s="2" t="s">
        <v>52</v>
      </c>
      <c r="AA81" s="17">
        <f>AA79</f>
        <v>0</v>
      </c>
      <c r="AB81">
        <v>0</v>
      </c>
      <c r="AC81">
        <v>0</v>
      </c>
      <c r="AD81" s="17">
        <f>AA79</f>
        <v>0</v>
      </c>
      <c r="AE81">
        <v>0</v>
      </c>
      <c r="AF81" s="17">
        <f>AA79</f>
        <v>0</v>
      </c>
      <c r="AG81" s="18">
        <f>AA79</f>
        <v>0</v>
      </c>
      <c r="AI81" s="2" t="s">
        <v>52</v>
      </c>
      <c r="AJ81" s="17">
        <f>AJ79+120</f>
        <v>120</v>
      </c>
      <c r="AK81">
        <v>0</v>
      </c>
      <c r="AL81">
        <v>0</v>
      </c>
      <c r="AM81" s="17">
        <f>AJ79+120</f>
        <v>120</v>
      </c>
      <c r="AN81">
        <v>0</v>
      </c>
      <c r="AO81" s="17">
        <f>AJ79+90</f>
        <v>90</v>
      </c>
      <c r="AP81" s="18">
        <f>AJ79+150</f>
        <v>150</v>
      </c>
    </row>
    <row r="82" spans="3:42" x14ac:dyDescent="0.25">
      <c r="Z82" s="13" t="s">
        <v>42</v>
      </c>
      <c r="AA82" s="19">
        <v>0</v>
      </c>
      <c r="AB82" s="20">
        <f>AA79</f>
        <v>0</v>
      </c>
      <c r="AC82" s="20">
        <f>AA79</f>
        <v>0</v>
      </c>
      <c r="AD82" s="20">
        <f>AA79</f>
        <v>0</v>
      </c>
      <c r="AE82" s="19">
        <v>0</v>
      </c>
      <c r="AF82" s="19">
        <v>0</v>
      </c>
      <c r="AG82" s="14">
        <v>0</v>
      </c>
      <c r="AI82" s="13" t="s">
        <v>42</v>
      </c>
      <c r="AJ82" s="19">
        <v>0</v>
      </c>
      <c r="AK82" s="20">
        <f>AJ79+180</f>
        <v>180</v>
      </c>
      <c r="AL82" s="20">
        <f>AJ79+180-120</f>
        <v>60</v>
      </c>
      <c r="AM82" s="20">
        <f>AJ79-180+120</f>
        <v>-60</v>
      </c>
      <c r="AN82" s="19">
        <v>0</v>
      </c>
      <c r="AO82" s="19">
        <v>0</v>
      </c>
      <c r="AP82" s="14">
        <v>0</v>
      </c>
    </row>
    <row r="83" spans="3:42" x14ac:dyDescent="0.25">
      <c r="C83" t="s">
        <v>8</v>
      </c>
      <c r="E83">
        <v>1</v>
      </c>
      <c r="J83">
        <v>1</v>
      </c>
      <c r="L83">
        <v>1</v>
      </c>
      <c r="M83">
        <v>1</v>
      </c>
      <c r="N83" t="s">
        <v>29</v>
      </c>
      <c r="O83">
        <f>($F$16*1000)/($D$5*SQRT(3)*$I$16)</f>
        <v>0</v>
      </c>
      <c r="P83">
        <f>($F$16*1000)/(($D$5/SQRT(3))*$I$16)</f>
        <v>0</v>
      </c>
      <c r="Q83">
        <f>P83</f>
        <v>0</v>
      </c>
      <c r="R83">
        <f>P83</f>
        <v>0</v>
      </c>
      <c r="S83">
        <f>($F$16*1000)/($D$5*$I$16)</f>
        <v>0</v>
      </c>
      <c r="T83">
        <f>S83</f>
        <v>0</v>
      </c>
      <c r="U83">
        <f>S83</f>
        <v>0</v>
      </c>
    </row>
    <row r="84" spans="3:42" x14ac:dyDescent="0.25">
      <c r="M84">
        <v>2</v>
      </c>
      <c r="N84" t="s">
        <v>30</v>
      </c>
      <c r="O84">
        <f>($F$16*1000)/($D$5*SQRT(3))</f>
        <v>0</v>
      </c>
      <c r="P84">
        <f>($F$16*1000)/(($D$5/SQRT(3)))</f>
        <v>0</v>
      </c>
      <c r="Q84">
        <f>P84</f>
        <v>0</v>
      </c>
      <c r="R84">
        <f>P84</f>
        <v>0</v>
      </c>
      <c r="S84">
        <f>($F$16*1000)/($D$5)</f>
        <v>0</v>
      </c>
      <c r="T84">
        <f>S84</f>
        <v>0</v>
      </c>
      <c r="U84">
        <f>S84</f>
        <v>0</v>
      </c>
      <c r="Z84" s="4"/>
      <c r="AA84" s="5">
        <v>1</v>
      </c>
      <c r="AB84" s="5">
        <v>2</v>
      </c>
      <c r="AC84" s="5">
        <v>3</v>
      </c>
      <c r="AD84" s="5">
        <v>4</v>
      </c>
      <c r="AE84" s="5">
        <v>5</v>
      </c>
      <c r="AF84" s="5">
        <v>6</v>
      </c>
      <c r="AG84" s="6">
        <v>7</v>
      </c>
      <c r="AI84" s="4"/>
      <c r="AJ84" s="5">
        <v>1</v>
      </c>
      <c r="AK84" s="5">
        <v>2</v>
      </c>
      <c r="AL84" s="5">
        <v>3</v>
      </c>
      <c r="AM84" s="5">
        <v>4</v>
      </c>
      <c r="AN84" s="5">
        <v>5</v>
      </c>
      <c r="AO84" s="5">
        <v>6</v>
      </c>
      <c r="AP84" s="6">
        <v>7</v>
      </c>
    </row>
    <row r="85" spans="3:42" x14ac:dyDescent="0.25">
      <c r="M85">
        <v>3</v>
      </c>
      <c r="N85" t="s">
        <v>31</v>
      </c>
      <c r="O85">
        <f>$F$16</f>
        <v>0</v>
      </c>
      <c r="P85">
        <f>O85</f>
        <v>0</v>
      </c>
      <c r="Q85">
        <f>O85</f>
        <v>0</v>
      </c>
      <c r="R85">
        <f>O85</f>
        <v>0</v>
      </c>
      <c r="S85">
        <f>O85</f>
        <v>0</v>
      </c>
      <c r="T85">
        <f>O85</f>
        <v>0</v>
      </c>
      <c r="U85">
        <f>O85</f>
        <v>0</v>
      </c>
      <c r="Z85" s="2"/>
      <c r="AA85" t="s">
        <v>32</v>
      </c>
      <c r="AB85" t="s">
        <v>34</v>
      </c>
      <c r="AC85" t="s">
        <v>35</v>
      </c>
      <c r="AD85" t="s">
        <v>36</v>
      </c>
      <c r="AE85" t="s">
        <v>37</v>
      </c>
      <c r="AF85" t="s">
        <v>38</v>
      </c>
      <c r="AG85" s="3" t="s">
        <v>39</v>
      </c>
      <c r="AI85" s="29" t="s">
        <v>55</v>
      </c>
      <c r="AJ85" t="s">
        <v>32</v>
      </c>
      <c r="AK85" t="s">
        <v>34</v>
      </c>
      <c r="AL85" t="s">
        <v>35</v>
      </c>
      <c r="AM85" t="s">
        <v>36</v>
      </c>
      <c r="AN85" t="s">
        <v>37</v>
      </c>
      <c r="AO85" t="s">
        <v>38</v>
      </c>
      <c r="AP85" s="3" t="s">
        <v>39</v>
      </c>
    </row>
    <row r="86" spans="3:42" x14ac:dyDescent="0.25">
      <c r="Z86" s="2" t="s">
        <v>50</v>
      </c>
      <c r="AA86" s="17">
        <f>H13</f>
        <v>0</v>
      </c>
      <c r="AB86" s="17">
        <f>AA86</f>
        <v>0</v>
      </c>
      <c r="AC86">
        <v>0</v>
      </c>
      <c r="AD86">
        <v>0</v>
      </c>
      <c r="AE86" s="17">
        <f>AA86</f>
        <v>0</v>
      </c>
      <c r="AF86">
        <v>0</v>
      </c>
      <c r="AG86" s="18">
        <f>AA86</f>
        <v>0</v>
      </c>
      <c r="AI86" s="2" t="s">
        <v>50</v>
      </c>
      <c r="AJ86" s="17">
        <f>K13</f>
        <v>0</v>
      </c>
      <c r="AK86" s="17">
        <f>AJ86</f>
        <v>0</v>
      </c>
      <c r="AL86">
        <v>0</v>
      </c>
      <c r="AM86">
        <v>0</v>
      </c>
      <c r="AN86" s="17">
        <f>AJ86+30</f>
        <v>30</v>
      </c>
      <c r="AO86">
        <v>0</v>
      </c>
      <c r="AP86" s="18">
        <f>AJ86-30</f>
        <v>-30</v>
      </c>
    </row>
    <row r="87" spans="3:42" x14ac:dyDescent="0.25">
      <c r="C87" t="s">
        <v>9</v>
      </c>
      <c r="E87">
        <v>1</v>
      </c>
      <c r="J87">
        <v>1</v>
      </c>
      <c r="L87">
        <v>1</v>
      </c>
      <c r="M87">
        <v>1</v>
      </c>
      <c r="N87" t="s">
        <v>29</v>
      </c>
      <c r="O87">
        <f>($F$17*1000)/($D$5*SQRT(3)*$I$17)</f>
        <v>0</v>
      </c>
      <c r="P87">
        <f>($F$17*1000)/(($D$5/SQRT(3))*$I$17)</f>
        <v>0</v>
      </c>
      <c r="Q87">
        <f>P87</f>
        <v>0</v>
      </c>
      <c r="R87">
        <f>P87</f>
        <v>0</v>
      </c>
      <c r="S87">
        <f>($F$17*1000)/($D$5*$I$17)</f>
        <v>0</v>
      </c>
      <c r="T87">
        <f>S87</f>
        <v>0</v>
      </c>
      <c r="U87">
        <f>S87</f>
        <v>0</v>
      </c>
      <c r="Y87">
        <v>6</v>
      </c>
      <c r="Z87" s="2" t="s">
        <v>51</v>
      </c>
      <c r="AA87" s="17">
        <f>AA86</f>
        <v>0</v>
      </c>
      <c r="AB87">
        <v>0</v>
      </c>
      <c r="AC87" s="17">
        <f>AA86</f>
        <v>0</v>
      </c>
      <c r="AD87">
        <v>0</v>
      </c>
      <c r="AE87" s="17">
        <f>AA86</f>
        <v>0</v>
      </c>
      <c r="AF87" s="17">
        <f>AA86</f>
        <v>0</v>
      </c>
      <c r="AG87" s="3">
        <v>0</v>
      </c>
      <c r="AI87" s="2" t="s">
        <v>51</v>
      </c>
      <c r="AJ87" s="17">
        <f>AJ86-120</f>
        <v>-120</v>
      </c>
      <c r="AK87">
        <v>0</v>
      </c>
      <c r="AL87" s="17">
        <f>AJ86-120</f>
        <v>-120</v>
      </c>
      <c r="AM87">
        <v>0</v>
      </c>
      <c r="AN87" s="17">
        <f>AJ86-150</f>
        <v>-150</v>
      </c>
      <c r="AO87" s="17">
        <f>AJ86-90</f>
        <v>-90</v>
      </c>
      <c r="AP87" s="3">
        <v>0</v>
      </c>
    </row>
    <row r="88" spans="3:42" x14ac:dyDescent="0.25">
      <c r="M88">
        <v>2</v>
      </c>
      <c r="N88" t="s">
        <v>30</v>
      </c>
      <c r="O88">
        <f>($F$17*1000)/($D$5*SQRT(3))</f>
        <v>0</v>
      </c>
      <c r="P88">
        <f>($F$17*1000)/(($D$5/SQRT(3)))</f>
        <v>0</v>
      </c>
      <c r="Q88">
        <f>P88</f>
        <v>0</v>
      </c>
      <c r="R88">
        <f>P88</f>
        <v>0</v>
      </c>
      <c r="S88">
        <f>($F$17*1000)/($D$5)</f>
        <v>0</v>
      </c>
      <c r="T88">
        <f>S88</f>
        <v>0</v>
      </c>
      <c r="U88">
        <f>S88</f>
        <v>0</v>
      </c>
      <c r="Z88" s="2" t="s">
        <v>52</v>
      </c>
      <c r="AA88" s="17">
        <f>AA86</f>
        <v>0</v>
      </c>
      <c r="AB88">
        <v>0</v>
      </c>
      <c r="AC88">
        <v>0</v>
      </c>
      <c r="AD88" s="17">
        <f>AA86</f>
        <v>0</v>
      </c>
      <c r="AE88">
        <v>0</v>
      </c>
      <c r="AF88" s="17">
        <f>AA86</f>
        <v>0</v>
      </c>
      <c r="AG88" s="18">
        <f>AA86</f>
        <v>0</v>
      </c>
      <c r="AI88" s="2" t="s">
        <v>52</v>
      </c>
      <c r="AJ88" s="17">
        <f>AJ86+120</f>
        <v>120</v>
      </c>
      <c r="AK88">
        <v>0</v>
      </c>
      <c r="AL88">
        <v>0</v>
      </c>
      <c r="AM88" s="17">
        <f>AJ86+120</f>
        <v>120</v>
      </c>
      <c r="AN88">
        <v>0</v>
      </c>
      <c r="AO88" s="17">
        <f>AJ86+90</f>
        <v>90</v>
      </c>
      <c r="AP88" s="18">
        <f>AJ86+150</f>
        <v>150</v>
      </c>
    </row>
    <row r="89" spans="3:42" x14ac:dyDescent="0.25">
      <c r="M89">
        <v>3</v>
      </c>
      <c r="N89" t="s">
        <v>31</v>
      </c>
      <c r="O89">
        <f>$F$17</f>
        <v>0</v>
      </c>
      <c r="P89">
        <f>O89</f>
        <v>0</v>
      </c>
      <c r="Q89">
        <f>O89</f>
        <v>0</v>
      </c>
      <c r="R89">
        <f>O89</f>
        <v>0</v>
      </c>
      <c r="S89">
        <f>O89</f>
        <v>0</v>
      </c>
      <c r="T89">
        <f>O89</f>
        <v>0</v>
      </c>
      <c r="U89">
        <f>O89</f>
        <v>0</v>
      </c>
      <c r="Z89" s="13" t="s">
        <v>42</v>
      </c>
      <c r="AA89" s="19">
        <v>0</v>
      </c>
      <c r="AB89" s="20">
        <f>AA86</f>
        <v>0</v>
      </c>
      <c r="AC89" s="20">
        <f>AA86</f>
        <v>0</v>
      </c>
      <c r="AD89" s="20">
        <f>AA86</f>
        <v>0</v>
      </c>
      <c r="AE89" s="19">
        <v>0</v>
      </c>
      <c r="AF89" s="19">
        <v>0</v>
      </c>
      <c r="AG89" s="14">
        <v>0</v>
      </c>
      <c r="AI89" s="13" t="s">
        <v>42</v>
      </c>
      <c r="AJ89" s="19">
        <v>0</v>
      </c>
      <c r="AK89" s="20">
        <f>AJ86+180</f>
        <v>180</v>
      </c>
      <c r="AL89" s="20">
        <f>AJ86+180-120</f>
        <v>60</v>
      </c>
      <c r="AM89" s="20">
        <f>AJ86-180+120</f>
        <v>-60</v>
      </c>
      <c r="AN89" s="19">
        <v>0</v>
      </c>
      <c r="AO89" s="19">
        <v>0</v>
      </c>
      <c r="AP89" s="14">
        <v>0</v>
      </c>
    </row>
    <row r="91" spans="3:42" x14ac:dyDescent="0.25">
      <c r="C91" t="s">
        <v>10</v>
      </c>
      <c r="E91">
        <v>1</v>
      </c>
      <c r="J91">
        <v>1</v>
      </c>
      <c r="L91">
        <v>1</v>
      </c>
      <c r="M91">
        <v>1</v>
      </c>
      <c r="N91" t="s">
        <v>29</v>
      </c>
      <c r="O91">
        <f>($F$18*1000)/($D$5*SQRT(3)*$I$18)</f>
        <v>0</v>
      </c>
      <c r="P91">
        <f>($F$18*1000)/(($D$5/SQRT(3))*$I$18)</f>
        <v>0</v>
      </c>
      <c r="Q91">
        <f>P91</f>
        <v>0</v>
      </c>
      <c r="R91">
        <f>P91</f>
        <v>0</v>
      </c>
      <c r="S91">
        <f>($F$18*1000)/($D$5*$I$18)</f>
        <v>0</v>
      </c>
      <c r="T91">
        <f>S91</f>
        <v>0</v>
      </c>
      <c r="U91">
        <f>S91</f>
        <v>0</v>
      </c>
      <c r="Z91" s="4"/>
      <c r="AA91" s="5">
        <v>1</v>
      </c>
      <c r="AB91" s="5">
        <v>2</v>
      </c>
      <c r="AC91" s="5">
        <v>3</v>
      </c>
      <c r="AD91" s="5">
        <v>4</v>
      </c>
      <c r="AE91" s="5">
        <v>5</v>
      </c>
      <c r="AF91" s="5">
        <v>6</v>
      </c>
      <c r="AG91" s="6">
        <v>7</v>
      </c>
      <c r="AI91" s="4"/>
      <c r="AJ91" s="5">
        <v>1</v>
      </c>
      <c r="AK91" s="5">
        <v>2</v>
      </c>
      <c r="AL91" s="5">
        <v>3</v>
      </c>
      <c r="AM91" s="5">
        <v>4</v>
      </c>
      <c r="AN91" s="5">
        <v>5</v>
      </c>
      <c r="AO91" s="5">
        <v>6</v>
      </c>
      <c r="AP91" s="6">
        <v>7</v>
      </c>
    </row>
    <row r="92" spans="3:42" x14ac:dyDescent="0.25">
      <c r="M92">
        <v>2</v>
      </c>
      <c r="N92" t="s">
        <v>30</v>
      </c>
      <c r="O92">
        <f>($F$18*1000)/($D$5*SQRT(3))</f>
        <v>0</v>
      </c>
      <c r="P92">
        <f>($F$18*1000)/(($D$5/SQRT(3)))</f>
        <v>0</v>
      </c>
      <c r="Q92">
        <f>P92</f>
        <v>0</v>
      </c>
      <c r="R92">
        <f>P92</f>
        <v>0</v>
      </c>
      <c r="S92">
        <f>($F$18*1000)/($D$5)</f>
        <v>0</v>
      </c>
      <c r="T92">
        <f>S92</f>
        <v>0</v>
      </c>
      <c r="U92">
        <f>S92</f>
        <v>0</v>
      </c>
      <c r="Z92" s="2"/>
      <c r="AA92" t="s">
        <v>32</v>
      </c>
      <c r="AB92" t="s">
        <v>34</v>
      </c>
      <c r="AC92" t="s">
        <v>35</v>
      </c>
      <c r="AD92" t="s">
        <v>36</v>
      </c>
      <c r="AE92" t="s">
        <v>37</v>
      </c>
      <c r="AF92" t="s">
        <v>38</v>
      </c>
      <c r="AG92" s="3" t="s">
        <v>39</v>
      </c>
      <c r="AI92" s="29" t="s">
        <v>55</v>
      </c>
      <c r="AJ92" t="s">
        <v>32</v>
      </c>
      <c r="AK92" t="s">
        <v>34</v>
      </c>
      <c r="AL92" t="s">
        <v>35</v>
      </c>
      <c r="AM92" t="s">
        <v>36</v>
      </c>
      <c r="AN92" t="s">
        <v>37</v>
      </c>
      <c r="AO92" t="s">
        <v>38</v>
      </c>
      <c r="AP92" s="3" t="s">
        <v>39</v>
      </c>
    </row>
    <row r="93" spans="3:42" x14ac:dyDescent="0.25">
      <c r="M93">
        <v>3</v>
      </c>
      <c r="N93" t="s">
        <v>31</v>
      </c>
      <c r="O93">
        <f>$F$18</f>
        <v>0</v>
      </c>
      <c r="P93">
        <f>O93</f>
        <v>0</v>
      </c>
      <c r="Q93">
        <f>O93</f>
        <v>0</v>
      </c>
      <c r="R93">
        <f>O93</f>
        <v>0</v>
      </c>
      <c r="S93">
        <f>O93</f>
        <v>0</v>
      </c>
      <c r="T93">
        <f>O93</f>
        <v>0</v>
      </c>
      <c r="U93">
        <f>O93</f>
        <v>0</v>
      </c>
      <c r="Z93" s="2" t="s">
        <v>50</v>
      </c>
      <c r="AA93" s="17">
        <f>H14</f>
        <v>0</v>
      </c>
      <c r="AB93" s="17">
        <f>AA93</f>
        <v>0</v>
      </c>
      <c r="AC93">
        <v>0</v>
      </c>
      <c r="AD93">
        <v>0</v>
      </c>
      <c r="AE93" s="17">
        <f>AA93</f>
        <v>0</v>
      </c>
      <c r="AF93">
        <v>0</v>
      </c>
      <c r="AG93" s="18">
        <f>AA93</f>
        <v>0</v>
      </c>
      <c r="AI93" s="2" t="s">
        <v>50</v>
      </c>
      <c r="AJ93" s="17">
        <f>K14</f>
        <v>0</v>
      </c>
      <c r="AK93" s="17">
        <f>AJ93</f>
        <v>0</v>
      </c>
      <c r="AL93">
        <v>0</v>
      </c>
      <c r="AM93">
        <v>0</v>
      </c>
      <c r="AN93" s="17">
        <f>AJ93+30</f>
        <v>30</v>
      </c>
      <c r="AO93">
        <v>0</v>
      </c>
      <c r="AP93" s="18">
        <f>AJ93-30</f>
        <v>-30</v>
      </c>
    </row>
    <row r="94" spans="3:42" x14ac:dyDescent="0.25">
      <c r="Y94">
        <v>7</v>
      </c>
      <c r="Z94" s="2" t="s">
        <v>51</v>
      </c>
      <c r="AA94" s="17">
        <f>AA93</f>
        <v>0</v>
      </c>
      <c r="AB94">
        <v>0</v>
      </c>
      <c r="AC94" s="17">
        <f>AA93</f>
        <v>0</v>
      </c>
      <c r="AD94">
        <v>0</v>
      </c>
      <c r="AE94" s="17">
        <f>AA93</f>
        <v>0</v>
      </c>
      <c r="AF94" s="17">
        <f>AA93</f>
        <v>0</v>
      </c>
      <c r="AG94" s="3">
        <v>0</v>
      </c>
      <c r="AI94" s="2" t="s">
        <v>51</v>
      </c>
      <c r="AJ94" s="17">
        <f>AJ93-120</f>
        <v>-120</v>
      </c>
      <c r="AK94">
        <v>0</v>
      </c>
      <c r="AL94" s="17">
        <f>AJ93-120</f>
        <v>-120</v>
      </c>
      <c r="AM94">
        <v>0</v>
      </c>
      <c r="AN94" s="17">
        <f>AJ93-150</f>
        <v>-150</v>
      </c>
      <c r="AO94" s="17">
        <f>AJ93-90</f>
        <v>-90</v>
      </c>
      <c r="AP94" s="3">
        <v>0</v>
      </c>
    </row>
    <row r="95" spans="3:42" x14ac:dyDescent="0.25">
      <c r="C95" t="s">
        <v>11</v>
      </c>
      <c r="E95">
        <v>1</v>
      </c>
      <c r="J95">
        <v>1</v>
      </c>
      <c r="L95">
        <v>1</v>
      </c>
      <c r="M95">
        <v>1</v>
      </c>
      <c r="N95" t="s">
        <v>29</v>
      </c>
      <c r="O95">
        <f>($F$19*1000)/($D$5*SQRT(3)*$I$19)</f>
        <v>0</v>
      </c>
      <c r="P95">
        <f>($F$19*1000)/(($D$5/SQRT(3))*$I$19)</f>
        <v>0</v>
      </c>
      <c r="Q95">
        <f>P95</f>
        <v>0</v>
      </c>
      <c r="R95">
        <f>P95</f>
        <v>0</v>
      </c>
      <c r="S95">
        <f>($F$19*1000)/($D$5*$I$19)</f>
        <v>0</v>
      </c>
      <c r="T95">
        <f>S95</f>
        <v>0</v>
      </c>
      <c r="U95">
        <f>S95</f>
        <v>0</v>
      </c>
      <c r="Z95" s="2" t="s">
        <v>52</v>
      </c>
      <c r="AA95" s="17">
        <f>AA93</f>
        <v>0</v>
      </c>
      <c r="AB95">
        <v>0</v>
      </c>
      <c r="AC95">
        <v>0</v>
      </c>
      <c r="AD95" s="17">
        <f>AA93</f>
        <v>0</v>
      </c>
      <c r="AE95">
        <v>0</v>
      </c>
      <c r="AF95" s="17">
        <f>AA93</f>
        <v>0</v>
      </c>
      <c r="AG95" s="18">
        <f>AA93</f>
        <v>0</v>
      </c>
      <c r="AI95" s="2" t="s">
        <v>52</v>
      </c>
      <c r="AJ95" s="17">
        <f>AJ93+120</f>
        <v>120</v>
      </c>
      <c r="AK95">
        <v>0</v>
      </c>
      <c r="AL95">
        <v>0</v>
      </c>
      <c r="AM95" s="17">
        <f>AJ93+120</f>
        <v>120</v>
      </c>
      <c r="AN95">
        <v>0</v>
      </c>
      <c r="AO95" s="17">
        <f>AJ93+90</f>
        <v>90</v>
      </c>
      <c r="AP95" s="18">
        <f>AJ93+150</f>
        <v>150</v>
      </c>
    </row>
    <row r="96" spans="3:42" x14ac:dyDescent="0.25">
      <c r="M96">
        <v>2</v>
      </c>
      <c r="N96" t="s">
        <v>30</v>
      </c>
      <c r="O96">
        <f>($F$19*1000)/($D$5*SQRT(3))</f>
        <v>0</v>
      </c>
      <c r="P96">
        <f>($F$19*1000)/(($D$5/SQRT(3)))</f>
        <v>0</v>
      </c>
      <c r="Q96">
        <f>P96</f>
        <v>0</v>
      </c>
      <c r="R96">
        <f>P96</f>
        <v>0</v>
      </c>
      <c r="S96">
        <f>($F$19*1000)/($D$5)</f>
        <v>0</v>
      </c>
      <c r="T96">
        <f>S96</f>
        <v>0</v>
      </c>
      <c r="U96">
        <f>S96</f>
        <v>0</v>
      </c>
      <c r="Z96" s="13" t="s">
        <v>42</v>
      </c>
      <c r="AA96" s="19">
        <v>0</v>
      </c>
      <c r="AB96" s="20">
        <f>AA93</f>
        <v>0</v>
      </c>
      <c r="AC96" s="20">
        <f>AA93</f>
        <v>0</v>
      </c>
      <c r="AD96" s="20">
        <f>AA93</f>
        <v>0</v>
      </c>
      <c r="AE96" s="19">
        <v>0</v>
      </c>
      <c r="AF96" s="19">
        <v>0</v>
      </c>
      <c r="AG96" s="14">
        <v>0</v>
      </c>
      <c r="AI96" s="13" t="s">
        <v>42</v>
      </c>
      <c r="AJ96" s="19">
        <v>0</v>
      </c>
      <c r="AK96" s="20">
        <f>AJ93+180</f>
        <v>180</v>
      </c>
      <c r="AL96" s="20">
        <f>AJ93+180-120</f>
        <v>60</v>
      </c>
      <c r="AM96" s="20">
        <f>AJ93-180+120</f>
        <v>-60</v>
      </c>
      <c r="AN96" s="19">
        <v>0</v>
      </c>
      <c r="AO96" s="19">
        <v>0</v>
      </c>
      <c r="AP96" s="14">
        <v>0</v>
      </c>
    </row>
    <row r="97" spans="3:42" x14ac:dyDescent="0.25">
      <c r="M97">
        <v>3</v>
      </c>
      <c r="N97" t="s">
        <v>31</v>
      </c>
      <c r="O97">
        <f>$F$19</f>
        <v>0</v>
      </c>
      <c r="P97">
        <f>O97</f>
        <v>0</v>
      </c>
      <c r="Q97">
        <f>O97</f>
        <v>0</v>
      </c>
      <c r="R97">
        <f>O97</f>
        <v>0</v>
      </c>
      <c r="S97">
        <f>O97</f>
        <v>0</v>
      </c>
      <c r="T97">
        <f>O97</f>
        <v>0</v>
      </c>
      <c r="U97">
        <f>O97</f>
        <v>0</v>
      </c>
    </row>
    <row r="98" spans="3:42" x14ac:dyDescent="0.25">
      <c r="Z98" s="4"/>
      <c r="AA98" s="5">
        <v>1</v>
      </c>
      <c r="AB98" s="5">
        <v>2</v>
      </c>
      <c r="AC98" s="5">
        <v>3</v>
      </c>
      <c r="AD98" s="5">
        <v>4</v>
      </c>
      <c r="AE98" s="5">
        <v>5</v>
      </c>
      <c r="AF98" s="5">
        <v>6</v>
      </c>
      <c r="AG98" s="6">
        <v>7</v>
      </c>
      <c r="AI98" s="4"/>
      <c r="AJ98" s="5">
        <v>1</v>
      </c>
      <c r="AK98" s="5">
        <v>2</v>
      </c>
      <c r="AL98" s="5">
        <v>3</v>
      </c>
      <c r="AM98" s="5">
        <v>4</v>
      </c>
      <c r="AN98" s="5">
        <v>5</v>
      </c>
      <c r="AO98" s="5">
        <v>6</v>
      </c>
      <c r="AP98" s="6">
        <v>7</v>
      </c>
    </row>
    <row r="99" spans="3:42" x14ac:dyDescent="0.25">
      <c r="C99" t="s">
        <v>12</v>
      </c>
      <c r="E99">
        <v>1</v>
      </c>
      <c r="J99">
        <v>1</v>
      </c>
      <c r="L99">
        <v>1</v>
      </c>
      <c r="M99">
        <v>1</v>
      </c>
      <c r="N99" t="s">
        <v>29</v>
      </c>
      <c r="O99">
        <f>($F$20*1000)/($D$5*SQRT(3)*$I$20)</f>
        <v>0</v>
      </c>
      <c r="P99">
        <f>($F$20*1000)/(($D$5/SQRT(3))*$I$20)</f>
        <v>0</v>
      </c>
      <c r="Q99">
        <f>P99</f>
        <v>0</v>
      </c>
      <c r="R99">
        <f>P99</f>
        <v>0</v>
      </c>
      <c r="S99">
        <f>($F$20*1000)/($D$5*$I$20)</f>
        <v>0</v>
      </c>
      <c r="T99">
        <f>S99</f>
        <v>0</v>
      </c>
      <c r="U99">
        <f>S99</f>
        <v>0</v>
      </c>
      <c r="Z99" s="2"/>
      <c r="AA99" t="s">
        <v>32</v>
      </c>
      <c r="AB99" t="s">
        <v>34</v>
      </c>
      <c r="AC99" t="s">
        <v>35</v>
      </c>
      <c r="AD99" t="s">
        <v>36</v>
      </c>
      <c r="AE99" t="s">
        <v>37</v>
      </c>
      <c r="AF99" t="s">
        <v>38</v>
      </c>
      <c r="AG99" s="3" t="s">
        <v>39</v>
      </c>
      <c r="AI99" s="29" t="s">
        <v>55</v>
      </c>
      <c r="AJ99" t="s">
        <v>32</v>
      </c>
      <c r="AK99" t="s">
        <v>34</v>
      </c>
      <c r="AL99" t="s">
        <v>35</v>
      </c>
      <c r="AM99" t="s">
        <v>36</v>
      </c>
      <c r="AN99" t="s">
        <v>37</v>
      </c>
      <c r="AO99" t="s">
        <v>38</v>
      </c>
      <c r="AP99" s="3" t="s">
        <v>39</v>
      </c>
    </row>
    <row r="100" spans="3:42" x14ac:dyDescent="0.25">
      <c r="M100">
        <v>2</v>
      </c>
      <c r="N100" t="s">
        <v>30</v>
      </c>
      <c r="O100">
        <f>($F$20*1000)/($D$5*SQRT(3))</f>
        <v>0</v>
      </c>
      <c r="P100">
        <f>($F$20*1000)/(($D$5/SQRT(3)))</f>
        <v>0</v>
      </c>
      <c r="Q100">
        <f>P100</f>
        <v>0</v>
      </c>
      <c r="R100">
        <f>P100</f>
        <v>0</v>
      </c>
      <c r="S100">
        <f>($F$20*1000)/($D$5)</f>
        <v>0</v>
      </c>
      <c r="T100">
        <f>S100</f>
        <v>0</v>
      </c>
      <c r="U100">
        <f>S100</f>
        <v>0</v>
      </c>
      <c r="Z100" s="2" t="s">
        <v>50</v>
      </c>
      <c r="AA100" s="17">
        <f>H15</f>
        <v>0</v>
      </c>
      <c r="AB100" s="17">
        <f>AA100</f>
        <v>0</v>
      </c>
      <c r="AC100">
        <v>0</v>
      </c>
      <c r="AD100">
        <v>0</v>
      </c>
      <c r="AE100" s="17">
        <f>AA100</f>
        <v>0</v>
      </c>
      <c r="AF100">
        <v>0</v>
      </c>
      <c r="AG100" s="18">
        <f>AA100</f>
        <v>0</v>
      </c>
      <c r="AI100" s="2" t="s">
        <v>50</v>
      </c>
      <c r="AJ100" s="17">
        <f>K15</f>
        <v>0</v>
      </c>
      <c r="AK100" s="17">
        <f>AJ100</f>
        <v>0</v>
      </c>
      <c r="AL100">
        <v>0</v>
      </c>
      <c r="AM100">
        <v>0</v>
      </c>
      <c r="AN100" s="17">
        <f>AJ100+30</f>
        <v>30</v>
      </c>
      <c r="AO100">
        <v>0</v>
      </c>
      <c r="AP100" s="18">
        <f>AJ100-30</f>
        <v>-30</v>
      </c>
    </row>
    <row r="101" spans="3:42" x14ac:dyDescent="0.25">
      <c r="M101">
        <v>3</v>
      </c>
      <c r="N101" t="s">
        <v>31</v>
      </c>
      <c r="O101">
        <f>$F$20</f>
        <v>0</v>
      </c>
      <c r="P101">
        <f>O101</f>
        <v>0</v>
      </c>
      <c r="Q101">
        <f>O101</f>
        <v>0</v>
      </c>
      <c r="R101">
        <f>O101</f>
        <v>0</v>
      </c>
      <c r="S101">
        <f>O101</f>
        <v>0</v>
      </c>
      <c r="T101">
        <f>O101</f>
        <v>0</v>
      </c>
      <c r="U101">
        <f>O101</f>
        <v>0</v>
      </c>
      <c r="Y101">
        <v>8</v>
      </c>
      <c r="Z101" s="2" t="s">
        <v>51</v>
      </c>
      <c r="AA101" s="17">
        <f>AA100</f>
        <v>0</v>
      </c>
      <c r="AB101">
        <v>0</v>
      </c>
      <c r="AC101" s="17">
        <f>AA100</f>
        <v>0</v>
      </c>
      <c r="AD101">
        <v>0</v>
      </c>
      <c r="AE101" s="17">
        <f>AA100</f>
        <v>0</v>
      </c>
      <c r="AF101" s="17">
        <f>AA100</f>
        <v>0</v>
      </c>
      <c r="AG101" s="3">
        <v>0</v>
      </c>
      <c r="AI101" s="2" t="s">
        <v>51</v>
      </c>
      <c r="AJ101" s="17">
        <f>AJ100-120</f>
        <v>-120</v>
      </c>
      <c r="AK101">
        <v>0</v>
      </c>
      <c r="AL101" s="17">
        <f>AJ100-120</f>
        <v>-120</v>
      </c>
      <c r="AM101">
        <v>0</v>
      </c>
      <c r="AN101" s="17">
        <f>AJ100-150</f>
        <v>-150</v>
      </c>
      <c r="AO101" s="17">
        <f>AJ100-90</f>
        <v>-90</v>
      </c>
      <c r="AP101" s="3">
        <v>0</v>
      </c>
    </row>
    <row r="102" spans="3:42" x14ac:dyDescent="0.25">
      <c r="Z102" s="2" t="s">
        <v>52</v>
      </c>
      <c r="AA102" s="17">
        <f>AA100</f>
        <v>0</v>
      </c>
      <c r="AB102">
        <v>0</v>
      </c>
      <c r="AC102">
        <v>0</v>
      </c>
      <c r="AD102" s="17">
        <f>AA100</f>
        <v>0</v>
      </c>
      <c r="AE102">
        <v>0</v>
      </c>
      <c r="AF102" s="17">
        <f>AA100</f>
        <v>0</v>
      </c>
      <c r="AG102" s="18">
        <f>AA100</f>
        <v>0</v>
      </c>
      <c r="AI102" s="2" t="s">
        <v>52</v>
      </c>
      <c r="AJ102" s="17">
        <f>AJ100+120</f>
        <v>120</v>
      </c>
      <c r="AK102">
        <v>0</v>
      </c>
      <c r="AL102">
        <v>0</v>
      </c>
      <c r="AM102" s="17">
        <f>AJ100+120</f>
        <v>120</v>
      </c>
      <c r="AN102">
        <v>0</v>
      </c>
      <c r="AO102" s="17">
        <f>AJ100+90</f>
        <v>90</v>
      </c>
      <c r="AP102" s="18">
        <f>AJ100+150</f>
        <v>150</v>
      </c>
    </row>
    <row r="103" spans="3:42" x14ac:dyDescent="0.25">
      <c r="C103" t="s">
        <v>13</v>
      </c>
      <c r="E103">
        <v>1</v>
      </c>
      <c r="J103">
        <v>1</v>
      </c>
      <c r="L103">
        <v>1</v>
      </c>
      <c r="M103">
        <v>1</v>
      </c>
      <c r="N103" t="s">
        <v>29</v>
      </c>
      <c r="O103">
        <f>($F$21*1000)/($D$5*SQRT(3)*$I$21)</f>
        <v>0</v>
      </c>
      <c r="P103">
        <f>($F$21*1000)/(($D$5/SQRT(3))*$I$21)</f>
        <v>0</v>
      </c>
      <c r="Q103">
        <f>P103</f>
        <v>0</v>
      </c>
      <c r="R103">
        <f>P103</f>
        <v>0</v>
      </c>
      <c r="S103">
        <f>($F$21*1000)/($D$5*$I$21)</f>
        <v>0</v>
      </c>
      <c r="T103">
        <f>S103</f>
        <v>0</v>
      </c>
      <c r="U103">
        <f>S103</f>
        <v>0</v>
      </c>
      <c r="Z103" s="13" t="s">
        <v>42</v>
      </c>
      <c r="AA103" s="19">
        <v>0</v>
      </c>
      <c r="AB103" s="20">
        <f>AA100</f>
        <v>0</v>
      </c>
      <c r="AC103" s="20">
        <f>AA100</f>
        <v>0</v>
      </c>
      <c r="AD103" s="20">
        <f>AA100</f>
        <v>0</v>
      </c>
      <c r="AE103" s="19">
        <v>0</v>
      </c>
      <c r="AF103" s="19">
        <v>0</v>
      </c>
      <c r="AG103" s="14">
        <v>0</v>
      </c>
      <c r="AI103" s="13" t="s">
        <v>42</v>
      </c>
      <c r="AJ103" s="19">
        <v>0</v>
      </c>
      <c r="AK103" s="20">
        <f>AJ100+180</f>
        <v>180</v>
      </c>
      <c r="AL103" s="20">
        <f>AJ100+180-120</f>
        <v>60</v>
      </c>
      <c r="AM103" s="20">
        <f>AJ100-180+120</f>
        <v>-60</v>
      </c>
      <c r="AN103" s="19">
        <v>0</v>
      </c>
      <c r="AO103" s="19">
        <v>0</v>
      </c>
      <c r="AP103" s="14">
        <v>0</v>
      </c>
    </row>
    <row r="104" spans="3:42" x14ac:dyDescent="0.25">
      <c r="M104">
        <v>2</v>
      </c>
      <c r="N104" t="s">
        <v>30</v>
      </c>
      <c r="O104">
        <f>($F$21*1000)/($D$5*SQRT(3))</f>
        <v>0</v>
      </c>
      <c r="P104">
        <f>($F$21*1000)/(($D$5/SQRT(3)))</f>
        <v>0</v>
      </c>
      <c r="Q104">
        <f>P104</f>
        <v>0</v>
      </c>
      <c r="R104">
        <f>P104</f>
        <v>0</v>
      </c>
      <c r="S104">
        <f>($F$21*1000)/($D$5)</f>
        <v>0</v>
      </c>
      <c r="T104">
        <f>S104</f>
        <v>0</v>
      </c>
      <c r="U104">
        <f>S104</f>
        <v>0</v>
      </c>
    </row>
    <row r="105" spans="3:42" x14ac:dyDescent="0.25">
      <c r="M105">
        <v>3</v>
      </c>
      <c r="N105" t="s">
        <v>31</v>
      </c>
      <c r="O105">
        <f>$F$21</f>
        <v>0</v>
      </c>
      <c r="P105">
        <f>O105</f>
        <v>0</v>
      </c>
      <c r="Q105">
        <f>O105</f>
        <v>0</v>
      </c>
      <c r="R105">
        <f>O105</f>
        <v>0</v>
      </c>
      <c r="S105">
        <f>O105</f>
        <v>0</v>
      </c>
      <c r="T105">
        <f>O105</f>
        <v>0</v>
      </c>
      <c r="U105">
        <f>O105</f>
        <v>0</v>
      </c>
      <c r="Z105" s="4"/>
      <c r="AA105" s="5">
        <v>1</v>
      </c>
      <c r="AB105" s="5">
        <v>2</v>
      </c>
      <c r="AC105" s="5">
        <v>3</v>
      </c>
      <c r="AD105" s="5">
        <v>4</v>
      </c>
      <c r="AE105" s="5">
        <v>5</v>
      </c>
      <c r="AF105" s="5">
        <v>6</v>
      </c>
      <c r="AG105" s="6">
        <v>7</v>
      </c>
      <c r="AI105" s="4"/>
      <c r="AJ105" s="5">
        <v>1</v>
      </c>
      <c r="AK105" s="5">
        <v>2</v>
      </c>
      <c r="AL105" s="5">
        <v>3</v>
      </c>
      <c r="AM105" s="5">
        <v>4</v>
      </c>
      <c r="AN105" s="5">
        <v>5</v>
      </c>
      <c r="AO105" s="5">
        <v>6</v>
      </c>
      <c r="AP105" s="6">
        <v>7</v>
      </c>
    </row>
    <row r="106" spans="3:42" x14ac:dyDescent="0.25">
      <c r="Z106" s="2"/>
      <c r="AA106" t="s">
        <v>32</v>
      </c>
      <c r="AB106" t="s">
        <v>34</v>
      </c>
      <c r="AC106" t="s">
        <v>35</v>
      </c>
      <c r="AD106" t="s">
        <v>36</v>
      </c>
      <c r="AE106" t="s">
        <v>37</v>
      </c>
      <c r="AF106" t="s">
        <v>38</v>
      </c>
      <c r="AG106" s="3" t="s">
        <v>39</v>
      </c>
      <c r="AI106" s="29" t="s">
        <v>55</v>
      </c>
      <c r="AJ106" t="s">
        <v>32</v>
      </c>
      <c r="AK106" t="s">
        <v>34</v>
      </c>
      <c r="AL106" t="s">
        <v>35</v>
      </c>
      <c r="AM106" t="s">
        <v>36</v>
      </c>
      <c r="AN106" t="s">
        <v>37</v>
      </c>
      <c r="AO106" t="s">
        <v>38</v>
      </c>
      <c r="AP106" s="3" t="s">
        <v>39</v>
      </c>
    </row>
    <row r="107" spans="3:42" x14ac:dyDescent="0.25">
      <c r="C107" t="s">
        <v>14</v>
      </c>
      <c r="E107">
        <v>1</v>
      </c>
      <c r="J107">
        <v>1</v>
      </c>
      <c r="L107">
        <v>1</v>
      </c>
      <c r="M107">
        <v>1</v>
      </c>
      <c r="N107" t="s">
        <v>29</v>
      </c>
      <c r="O107">
        <f>($F$22*1000)/($D$5*SQRT(3)*$I$22)</f>
        <v>0</v>
      </c>
      <c r="P107">
        <f>($F$22*1000)/(($D$5/SQRT(3))*$I$22)</f>
        <v>0</v>
      </c>
      <c r="Q107">
        <f>P107</f>
        <v>0</v>
      </c>
      <c r="R107">
        <f>P107</f>
        <v>0</v>
      </c>
      <c r="S107">
        <f>($F$22*1000)/($D$5*$I$22)</f>
        <v>0</v>
      </c>
      <c r="T107">
        <f>S107</f>
        <v>0</v>
      </c>
      <c r="U107">
        <f>S107</f>
        <v>0</v>
      </c>
      <c r="Z107" s="2" t="s">
        <v>50</v>
      </c>
      <c r="AA107" s="17">
        <f>H16</f>
        <v>0</v>
      </c>
      <c r="AB107" s="17">
        <f>AA107</f>
        <v>0</v>
      </c>
      <c r="AC107">
        <v>0</v>
      </c>
      <c r="AD107">
        <v>0</v>
      </c>
      <c r="AE107" s="17">
        <f>AA107</f>
        <v>0</v>
      </c>
      <c r="AF107">
        <v>0</v>
      </c>
      <c r="AG107" s="18">
        <f>AA107</f>
        <v>0</v>
      </c>
      <c r="AI107" s="2" t="s">
        <v>50</v>
      </c>
      <c r="AJ107" s="17">
        <f>K16</f>
        <v>0</v>
      </c>
      <c r="AK107" s="17">
        <f>AJ107</f>
        <v>0</v>
      </c>
      <c r="AL107">
        <v>0</v>
      </c>
      <c r="AM107">
        <v>0</v>
      </c>
      <c r="AN107" s="17">
        <f>AJ107+30</f>
        <v>30</v>
      </c>
      <c r="AO107">
        <v>0</v>
      </c>
      <c r="AP107" s="18">
        <f>AJ107-30</f>
        <v>-30</v>
      </c>
    </row>
    <row r="108" spans="3:42" x14ac:dyDescent="0.25">
      <c r="M108">
        <v>2</v>
      </c>
      <c r="N108" t="s">
        <v>30</v>
      </c>
      <c r="O108">
        <f>($F$22*1000)/($D$5*SQRT(3))</f>
        <v>0</v>
      </c>
      <c r="P108">
        <f>($F$22*1000)/(($D$5/SQRT(3)))</f>
        <v>0</v>
      </c>
      <c r="Q108">
        <f>P108</f>
        <v>0</v>
      </c>
      <c r="R108">
        <f>P108</f>
        <v>0</v>
      </c>
      <c r="S108">
        <f>($F$22*1000)/($D$5)</f>
        <v>0</v>
      </c>
      <c r="T108">
        <f>S108</f>
        <v>0</v>
      </c>
      <c r="U108">
        <f>S108</f>
        <v>0</v>
      </c>
      <c r="Z108" s="2" t="s">
        <v>51</v>
      </c>
      <c r="AA108" s="17">
        <f>AA107</f>
        <v>0</v>
      </c>
      <c r="AB108">
        <v>0</v>
      </c>
      <c r="AC108" s="17">
        <f>AA107</f>
        <v>0</v>
      </c>
      <c r="AD108">
        <v>0</v>
      </c>
      <c r="AE108" s="17">
        <f>AA107</f>
        <v>0</v>
      </c>
      <c r="AF108" s="17">
        <f>AA107</f>
        <v>0</v>
      </c>
      <c r="AG108" s="3">
        <v>0</v>
      </c>
      <c r="AI108" s="2" t="s">
        <v>51</v>
      </c>
      <c r="AJ108" s="17">
        <f>AJ107-120</f>
        <v>-120</v>
      </c>
      <c r="AK108">
        <v>0</v>
      </c>
      <c r="AL108" s="17">
        <f>AJ107-120</f>
        <v>-120</v>
      </c>
      <c r="AM108">
        <v>0</v>
      </c>
      <c r="AN108" s="17">
        <f>AJ107-150</f>
        <v>-150</v>
      </c>
      <c r="AO108" s="17">
        <f>AJ107-90</f>
        <v>-90</v>
      </c>
      <c r="AP108" s="3">
        <v>0</v>
      </c>
    </row>
    <row r="109" spans="3:42" x14ac:dyDescent="0.25">
      <c r="M109">
        <v>3</v>
      </c>
      <c r="N109" t="s">
        <v>31</v>
      </c>
      <c r="O109">
        <f>$F$22</f>
        <v>0</v>
      </c>
      <c r="P109">
        <f>O109</f>
        <v>0</v>
      </c>
      <c r="Q109">
        <f>O109</f>
        <v>0</v>
      </c>
      <c r="R109">
        <f>O109</f>
        <v>0</v>
      </c>
      <c r="S109">
        <f>O109</f>
        <v>0</v>
      </c>
      <c r="T109">
        <f>O109</f>
        <v>0</v>
      </c>
      <c r="U109">
        <f>O109</f>
        <v>0</v>
      </c>
      <c r="Y109">
        <v>9</v>
      </c>
      <c r="Z109" s="2" t="s">
        <v>52</v>
      </c>
      <c r="AA109" s="17">
        <f>AA107</f>
        <v>0</v>
      </c>
      <c r="AB109">
        <v>0</v>
      </c>
      <c r="AC109">
        <v>0</v>
      </c>
      <c r="AD109" s="17">
        <f>AA107</f>
        <v>0</v>
      </c>
      <c r="AE109">
        <v>0</v>
      </c>
      <c r="AF109" s="17">
        <f>AA107</f>
        <v>0</v>
      </c>
      <c r="AG109" s="18">
        <f>AA107</f>
        <v>0</v>
      </c>
      <c r="AI109" s="2" t="s">
        <v>52</v>
      </c>
      <c r="AJ109" s="17">
        <f>AJ107+120</f>
        <v>120</v>
      </c>
      <c r="AK109">
        <v>0</v>
      </c>
      <c r="AL109">
        <v>0</v>
      </c>
      <c r="AM109" s="17">
        <f>AJ107+120</f>
        <v>120</v>
      </c>
      <c r="AN109">
        <v>0</v>
      </c>
      <c r="AO109" s="17">
        <f>AJ107+90</f>
        <v>90</v>
      </c>
      <c r="AP109" s="18">
        <f>AJ107+150</f>
        <v>150</v>
      </c>
    </row>
    <row r="110" spans="3:42" x14ac:dyDescent="0.25">
      <c r="Z110" s="13" t="s">
        <v>42</v>
      </c>
      <c r="AA110" s="19">
        <v>0</v>
      </c>
      <c r="AB110" s="20">
        <f>AA107</f>
        <v>0</v>
      </c>
      <c r="AC110" s="20">
        <f>AA107</f>
        <v>0</v>
      </c>
      <c r="AD110" s="20">
        <f>AA107</f>
        <v>0</v>
      </c>
      <c r="AE110" s="19">
        <v>0</v>
      </c>
      <c r="AF110" s="19">
        <v>0</v>
      </c>
      <c r="AG110" s="14">
        <v>0</v>
      </c>
      <c r="AI110" s="13" t="s">
        <v>42</v>
      </c>
      <c r="AJ110" s="19">
        <v>0</v>
      </c>
      <c r="AK110" s="20">
        <f>AJ107+180</f>
        <v>180</v>
      </c>
      <c r="AL110" s="20">
        <f>AJ107+180-120</f>
        <v>60</v>
      </c>
      <c r="AM110" s="20">
        <f>AJ107-180+120</f>
        <v>-60</v>
      </c>
      <c r="AN110" s="19">
        <v>0</v>
      </c>
      <c r="AO110" s="19">
        <v>0</v>
      </c>
      <c r="AP110" s="14">
        <v>0</v>
      </c>
    </row>
    <row r="111" spans="3:42" ht="18" x14ac:dyDescent="0.35">
      <c r="C111" s="7"/>
      <c r="D111" s="12"/>
      <c r="E111" s="7" t="s">
        <v>44</v>
      </c>
      <c r="F111" s="12"/>
      <c r="G111" s="7" t="s">
        <v>45</v>
      </c>
      <c r="H111" s="12"/>
      <c r="I111" s="7" t="s">
        <v>46</v>
      </c>
      <c r="J111" s="12"/>
      <c r="K111" s="7" t="s">
        <v>47</v>
      </c>
      <c r="L111" s="12"/>
    </row>
    <row r="112" spans="3:42" x14ac:dyDescent="0.25">
      <c r="C112" s="9" t="s">
        <v>41</v>
      </c>
      <c r="D112" s="10"/>
      <c r="E112" s="9" t="s">
        <v>48</v>
      </c>
      <c r="F112" s="10" t="s">
        <v>49</v>
      </c>
      <c r="G112" s="9" t="s">
        <v>48</v>
      </c>
      <c r="H112" s="10" t="s">
        <v>49</v>
      </c>
      <c r="I112" s="9" t="s">
        <v>48</v>
      </c>
      <c r="J112" s="10" t="s">
        <v>49</v>
      </c>
      <c r="K112" s="9" t="s">
        <v>48</v>
      </c>
      <c r="L112" s="10" t="s">
        <v>49</v>
      </c>
      <c r="M112" s="8"/>
      <c r="N112" s="8"/>
      <c r="O112" s="8"/>
      <c r="Z112" s="4"/>
      <c r="AA112" s="5">
        <v>1</v>
      </c>
      <c r="AB112" s="5">
        <v>2</v>
      </c>
      <c r="AC112" s="5">
        <v>3</v>
      </c>
      <c r="AD112" s="5">
        <v>4</v>
      </c>
      <c r="AE112" s="5">
        <v>5</v>
      </c>
      <c r="AF112" s="5">
        <v>6</v>
      </c>
      <c r="AG112" s="6">
        <v>7</v>
      </c>
      <c r="AI112" s="4"/>
      <c r="AJ112" s="5">
        <v>1</v>
      </c>
      <c r="AK112" s="5">
        <v>2</v>
      </c>
      <c r="AL112" s="5">
        <v>3</v>
      </c>
      <c r="AM112" s="5">
        <v>4</v>
      </c>
      <c r="AN112" s="5">
        <v>5</v>
      </c>
      <c r="AO112" s="5">
        <v>6</v>
      </c>
      <c r="AP112" s="6">
        <v>7</v>
      </c>
    </row>
    <row r="113" spans="3:42" x14ac:dyDescent="0.25">
      <c r="C113" s="2" t="str">
        <f t="shared" ref="C113:C127" si="2">C8</f>
        <v>Belastning 1</v>
      </c>
      <c r="D113" s="15"/>
      <c r="E113" s="2">
        <f>COS(RADIANS(Q8))*O8</f>
        <v>0</v>
      </c>
      <c r="F113" s="3">
        <f>SIN(RADIANS(Q8))*O8</f>
        <v>0</v>
      </c>
      <c r="G113" s="2">
        <f>COS(RADIANS(T8))*R8</f>
        <v>0</v>
      </c>
      <c r="H113" s="3">
        <f>SIN(RADIANS(T8))*R8</f>
        <v>0</v>
      </c>
      <c r="I113" s="2">
        <f>COS(RADIANS(W8))*U8</f>
        <v>0</v>
      </c>
      <c r="J113" s="3">
        <f>SIN(RADIANS(W8))*U8</f>
        <v>0</v>
      </c>
      <c r="K113" s="2"/>
      <c r="L113" s="3"/>
      <c r="M113" s="11"/>
      <c r="O113" s="8"/>
      <c r="Z113" s="2"/>
      <c r="AA113" t="s">
        <v>32</v>
      </c>
      <c r="AB113" t="s">
        <v>34</v>
      </c>
      <c r="AC113" t="s">
        <v>35</v>
      </c>
      <c r="AD113" t="s">
        <v>36</v>
      </c>
      <c r="AE113" t="s">
        <v>37</v>
      </c>
      <c r="AF113" t="s">
        <v>38</v>
      </c>
      <c r="AG113" s="3" t="s">
        <v>39</v>
      </c>
      <c r="AI113" s="29" t="s">
        <v>55</v>
      </c>
      <c r="AJ113" t="s">
        <v>32</v>
      </c>
      <c r="AK113" t="s">
        <v>34</v>
      </c>
      <c r="AL113" t="s">
        <v>35</v>
      </c>
      <c r="AM113" t="s">
        <v>36</v>
      </c>
      <c r="AN113" t="s">
        <v>37</v>
      </c>
      <c r="AO113" t="s">
        <v>38</v>
      </c>
      <c r="AP113" s="3" t="s">
        <v>39</v>
      </c>
    </row>
    <row r="114" spans="3:42" x14ac:dyDescent="0.25">
      <c r="C114" s="2" t="str">
        <f t="shared" si="2"/>
        <v>Belastning 2</v>
      </c>
      <c r="D114" s="15"/>
      <c r="E114" s="2">
        <f t="shared" ref="E114:E127" si="3">COS(RADIANS(Q9))*O9</f>
        <v>0</v>
      </c>
      <c r="F114" s="3">
        <f t="shared" ref="F114:F127" si="4">SIN(RADIANS(Q9))*O9</f>
        <v>0</v>
      </c>
      <c r="G114" s="2">
        <f t="shared" ref="G114:G127" si="5">COS(RADIANS(T9))*R9</f>
        <v>0</v>
      </c>
      <c r="H114" s="3">
        <f t="shared" ref="H114:H127" si="6">SIN(RADIANS(T9))*R9</f>
        <v>0</v>
      </c>
      <c r="I114" s="2">
        <f t="shared" ref="I114:I127" si="7">COS(RADIANS(W9))*U9</f>
        <v>0</v>
      </c>
      <c r="J114" s="3">
        <f t="shared" ref="J114:J127" si="8">SIN(RADIANS(W9))*U9</f>
        <v>0</v>
      </c>
      <c r="K114" s="2"/>
      <c r="L114" s="3"/>
      <c r="M114" s="11"/>
      <c r="O114" s="8"/>
      <c r="Z114" s="2" t="s">
        <v>50</v>
      </c>
      <c r="AA114" s="17">
        <f>H17</f>
        <v>0</v>
      </c>
      <c r="AB114" s="17">
        <f>AA114</f>
        <v>0</v>
      </c>
      <c r="AC114">
        <v>0</v>
      </c>
      <c r="AD114">
        <v>0</v>
      </c>
      <c r="AE114" s="17">
        <f>AA114</f>
        <v>0</v>
      </c>
      <c r="AF114">
        <v>0</v>
      </c>
      <c r="AG114" s="18">
        <f>AA114</f>
        <v>0</v>
      </c>
      <c r="AI114" s="2" t="s">
        <v>50</v>
      </c>
      <c r="AJ114" s="17">
        <f>K17</f>
        <v>0</v>
      </c>
      <c r="AK114" s="17">
        <f>AJ114</f>
        <v>0</v>
      </c>
      <c r="AL114">
        <v>0</v>
      </c>
      <c r="AM114">
        <v>0</v>
      </c>
      <c r="AN114" s="17">
        <f>AJ114+30</f>
        <v>30</v>
      </c>
      <c r="AO114">
        <v>0</v>
      </c>
      <c r="AP114" s="18">
        <f>AJ114-30</f>
        <v>-30</v>
      </c>
    </row>
    <row r="115" spans="3:42" x14ac:dyDescent="0.25">
      <c r="C115" s="2" t="str">
        <f t="shared" si="2"/>
        <v>Belastning 3</v>
      </c>
      <c r="D115" s="15"/>
      <c r="E115" s="2">
        <f t="shared" si="3"/>
        <v>0</v>
      </c>
      <c r="F115" s="3">
        <f t="shared" si="4"/>
        <v>0</v>
      </c>
      <c r="G115" s="2">
        <f t="shared" si="5"/>
        <v>0</v>
      </c>
      <c r="H115" s="3">
        <f t="shared" si="6"/>
        <v>0</v>
      </c>
      <c r="I115" s="2">
        <f t="shared" si="7"/>
        <v>0</v>
      </c>
      <c r="J115" s="3">
        <f t="shared" si="8"/>
        <v>0</v>
      </c>
      <c r="K115" s="2"/>
      <c r="L115" s="3"/>
      <c r="M115" s="11"/>
      <c r="O115" s="8"/>
      <c r="Z115" s="2" t="s">
        <v>51</v>
      </c>
      <c r="AA115" s="17">
        <f>AA114</f>
        <v>0</v>
      </c>
      <c r="AB115">
        <v>0</v>
      </c>
      <c r="AC115" s="17">
        <f>AA114</f>
        <v>0</v>
      </c>
      <c r="AD115">
        <v>0</v>
      </c>
      <c r="AE115" s="17">
        <f>AA114</f>
        <v>0</v>
      </c>
      <c r="AF115" s="17">
        <f>AA114</f>
        <v>0</v>
      </c>
      <c r="AG115" s="3">
        <v>0</v>
      </c>
      <c r="AI115" s="2" t="s">
        <v>51</v>
      </c>
      <c r="AJ115" s="17">
        <f>AJ114-120</f>
        <v>-120</v>
      </c>
      <c r="AK115">
        <v>0</v>
      </c>
      <c r="AL115" s="17">
        <f>AJ114-120</f>
        <v>-120</v>
      </c>
      <c r="AM115">
        <v>0</v>
      </c>
      <c r="AN115" s="17">
        <f>AJ114-150</f>
        <v>-150</v>
      </c>
      <c r="AO115" s="17">
        <f>AJ114-90</f>
        <v>-90</v>
      </c>
      <c r="AP115" s="3">
        <v>0</v>
      </c>
    </row>
    <row r="116" spans="3:42" x14ac:dyDescent="0.25">
      <c r="C116" s="2" t="str">
        <f t="shared" si="2"/>
        <v>Belastning 4</v>
      </c>
      <c r="D116" s="15"/>
      <c r="E116" s="2">
        <f t="shared" si="3"/>
        <v>0</v>
      </c>
      <c r="F116" s="3">
        <f t="shared" si="4"/>
        <v>0</v>
      </c>
      <c r="G116" s="2">
        <f t="shared" si="5"/>
        <v>0</v>
      </c>
      <c r="H116" s="3">
        <f t="shared" si="6"/>
        <v>0</v>
      </c>
      <c r="I116" s="2">
        <f t="shared" si="7"/>
        <v>0</v>
      </c>
      <c r="J116" s="3">
        <f t="shared" si="8"/>
        <v>0</v>
      </c>
      <c r="K116" s="2"/>
      <c r="L116" s="3"/>
      <c r="M116" s="11"/>
      <c r="O116" s="8"/>
      <c r="Y116">
        <v>10</v>
      </c>
      <c r="Z116" s="2" t="s">
        <v>52</v>
      </c>
      <c r="AA116" s="17">
        <f>AA114</f>
        <v>0</v>
      </c>
      <c r="AB116">
        <v>0</v>
      </c>
      <c r="AC116">
        <v>0</v>
      </c>
      <c r="AD116" s="17">
        <f>AA114</f>
        <v>0</v>
      </c>
      <c r="AE116">
        <v>0</v>
      </c>
      <c r="AF116" s="17">
        <f>AA114</f>
        <v>0</v>
      </c>
      <c r="AG116" s="18">
        <f>AA114</f>
        <v>0</v>
      </c>
      <c r="AI116" s="2" t="s">
        <v>52</v>
      </c>
      <c r="AJ116" s="17">
        <f>AJ114+120</f>
        <v>120</v>
      </c>
      <c r="AK116">
        <v>0</v>
      </c>
      <c r="AL116">
        <v>0</v>
      </c>
      <c r="AM116" s="17">
        <f>AJ114+120</f>
        <v>120</v>
      </c>
      <c r="AN116">
        <v>0</v>
      </c>
      <c r="AO116" s="17">
        <f>AJ114+90</f>
        <v>90</v>
      </c>
      <c r="AP116" s="18">
        <f>AJ114+150</f>
        <v>150</v>
      </c>
    </row>
    <row r="117" spans="3:42" x14ac:dyDescent="0.25">
      <c r="C117" s="2" t="str">
        <f t="shared" si="2"/>
        <v>Belastning 5</v>
      </c>
      <c r="D117" s="15"/>
      <c r="E117" s="2">
        <f t="shared" si="3"/>
        <v>0</v>
      </c>
      <c r="F117" s="3">
        <f t="shared" si="4"/>
        <v>0</v>
      </c>
      <c r="G117" s="2">
        <f t="shared" si="5"/>
        <v>0</v>
      </c>
      <c r="H117" s="3">
        <f t="shared" si="6"/>
        <v>0</v>
      </c>
      <c r="I117" s="2">
        <f t="shared" si="7"/>
        <v>0</v>
      </c>
      <c r="J117" s="3">
        <f t="shared" si="8"/>
        <v>0</v>
      </c>
      <c r="K117" s="2"/>
      <c r="L117" s="3"/>
      <c r="M117" s="11"/>
      <c r="O117" s="8"/>
      <c r="Z117" s="13" t="s">
        <v>42</v>
      </c>
      <c r="AA117" s="19">
        <v>0</v>
      </c>
      <c r="AB117" s="20">
        <f>AA114</f>
        <v>0</v>
      </c>
      <c r="AC117" s="20">
        <f>AA114</f>
        <v>0</v>
      </c>
      <c r="AD117" s="20">
        <f>AA114</f>
        <v>0</v>
      </c>
      <c r="AE117" s="19">
        <v>0</v>
      </c>
      <c r="AF117" s="19">
        <v>0</v>
      </c>
      <c r="AG117" s="14">
        <v>0</v>
      </c>
      <c r="AI117" s="13" t="s">
        <v>42</v>
      </c>
      <c r="AJ117" s="19">
        <v>0</v>
      </c>
      <c r="AK117" s="20">
        <f>AJ114+180</f>
        <v>180</v>
      </c>
      <c r="AL117" s="20">
        <f>AJ114+180-120</f>
        <v>60</v>
      </c>
      <c r="AM117" s="20">
        <f>AJ114-180+120</f>
        <v>-60</v>
      </c>
      <c r="AN117" s="19">
        <v>0</v>
      </c>
      <c r="AO117" s="19">
        <v>0</v>
      </c>
      <c r="AP117" s="14">
        <v>0</v>
      </c>
    </row>
    <row r="118" spans="3:42" x14ac:dyDescent="0.25">
      <c r="C118" s="2" t="str">
        <f t="shared" si="2"/>
        <v>Belastning 6</v>
      </c>
      <c r="D118" s="15"/>
      <c r="E118" s="2">
        <f t="shared" si="3"/>
        <v>0</v>
      </c>
      <c r="F118" s="3">
        <f t="shared" si="4"/>
        <v>0</v>
      </c>
      <c r="G118" s="2">
        <f t="shared" si="5"/>
        <v>0</v>
      </c>
      <c r="H118" s="3">
        <f t="shared" si="6"/>
        <v>0</v>
      </c>
      <c r="I118" s="2">
        <f t="shared" si="7"/>
        <v>0</v>
      </c>
      <c r="J118" s="3">
        <f t="shared" si="8"/>
        <v>0</v>
      </c>
      <c r="K118" s="2"/>
      <c r="L118" s="3"/>
      <c r="M118" s="11"/>
      <c r="O118" s="8"/>
    </row>
    <row r="119" spans="3:42" x14ac:dyDescent="0.25">
      <c r="C119" s="2" t="str">
        <f t="shared" si="2"/>
        <v>Belastning 7</v>
      </c>
      <c r="D119" s="15"/>
      <c r="E119" s="2">
        <f t="shared" si="3"/>
        <v>0</v>
      </c>
      <c r="F119" s="3">
        <f t="shared" si="4"/>
        <v>0</v>
      </c>
      <c r="G119" s="2">
        <f t="shared" si="5"/>
        <v>0</v>
      </c>
      <c r="H119" s="3">
        <f t="shared" si="6"/>
        <v>0</v>
      </c>
      <c r="I119" s="2">
        <f t="shared" si="7"/>
        <v>0</v>
      </c>
      <c r="J119" s="3">
        <f t="shared" si="8"/>
        <v>0</v>
      </c>
      <c r="K119" s="2"/>
      <c r="L119" s="3"/>
      <c r="M119" s="11"/>
      <c r="O119" s="8"/>
      <c r="Z119" s="4"/>
      <c r="AA119" s="5">
        <v>1</v>
      </c>
      <c r="AB119" s="5">
        <v>2</v>
      </c>
      <c r="AC119" s="5">
        <v>3</v>
      </c>
      <c r="AD119" s="5">
        <v>4</v>
      </c>
      <c r="AE119" s="5">
        <v>5</v>
      </c>
      <c r="AF119" s="5">
        <v>6</v>
      </c>
      <c r="AG119" s="6">
        <v>7</v>
      </c>
      <c r="AI119" s="4"/>
      <c r="AJ119" s="5">
        <v>1</v>
      </c>
      <c r="AK119" s="5">
        <v>2</v>
      </c>
      <c r="AL119" s="5">
        <v>3</v>
      </c>
      <c r="AM119" s="5">
        <v>4</v>
      </c>
      <c r="AN119" s="5">
        <v>5</v>
      </c>
      <c r="AO119" s="5">
        <v>6</v>
      </c>
      <c r="AP119" s="6">
        <v>7</v>
      </c>
    </row>
    <row r="120" spans="3:42" x14ac:dyDescent="0.25">
      <c r="C120" s="2" t="str">
        <f t="shared" si="2"/>
        <v>Belastning 8</v>
      </c>
      <c r="D120" s="15"/>
      <c r="E120" s="2">
        <f t="shared" si="3"/>
        <v>0</v>
      </c>
      <c r="F120" s="3">
        <f t="shared" si="4"/>
        <v>0</v>
      </c>
      <c r="G120" s="2">
        <f t="shared" si="5"/>
        <v>0</v>
      </c>
      <c r="H120" s="3">
        <f t="shared" si="6"/>
        <v>0</v>
      </c>
      <c r="I120" s="2">
        <f t="shared" si="7"/>
        <v>0</v>
      </c>
      <c r="J120" s="3">
        <f t="shared" si="8"/>
        <v>0</v>
      </c>
      <c r="K120" s="2"/>
      <c r="L120" s="3"/>
      <c r="M120" s="11"/>
      <c r="O120" s="8"/>
      <c r="Z120" s="2"/>
      <c r="AA120" t="s">
        <v>32</v>
      </c>
      <c r="AB120" t="s">
        <v>34</v>
      </c>
      <c r="AC120" t="s">
        <v>35</v>
      </c>
      <c r="AD120" t="s">
        <v>36</v>
      </c>
      <c r="AE120" t="s">
        <v>37</v>
      </c>
      <c r="AF120" t="s">
        <v>38</v>
      </c>
      <c r="AG120" s="3" t="s">
        <v>39</v>
      </c>
      <c r="AI120" s="29" t="s">
        <v>55</v>
      </c>
      <c r="AJ120" t="s">
        <v>32</v>
      </c>
      <c r="AK120" t="s">
        <v>34</v>
      </c>
      <c r="AL120" t="s">
        <v>35</v>
      </c>
      <c r="AM120" t="s">
        <v>36</v>
      </c>
      <c r="AN120" t="s">
        <v>37</v>
      </c>
      <c r="AO120" t="s">
        <v>38</v>
      </c>
      <c r="AP120" s="3" t="s">
        <v>39</v>
      </c>
    </row>
    <row r="121" spans="3:42" x14ac:dyDescent="0.25">
      <c r="C121" s="2" t="str">
        <f t="shared" si="2"/>
        <v>Belastning 9</v>
      </c>
      <c r="D121" s="15"/>
      <c r="E121" s="2">
        <f t="shared" si="3"/>
        <v>0</v>
      </c>
      <c r="F121" s="3">
        <f t="shared" si="4"/>
        <v>0</v>
      </c>
      <c r="G121" s="2">
        <f t="shared" si="5"/>
        <v>0</v>
      </c>
      <c r="H121" s="3">
        <f t="shared" si="6"/>
        <v>0</v>
      </c>
      <c r="I121" s="2">
        <f t="shared" si="7"/>
        <v>0</v>
      </c>
      <c r="J121" s="3">
        <f t="shared" si="8"/>
        <v>0</v>
      </c>
      <c r="K121" s="2"/>
      <c r="L121" s="3"/>
      <c r="M121" s="11"/>
      <c r="O121" s="8"/>
      <c r="Z121" s="2" t="s">
        <v>50</v>
      </c>
      <c r="AA121" s="17">
        <f>H18</f>
        <v>0</v>
      </c>
      <c r="AB121" s="17">
        <f>AA121</f>
        <v>0</v>
      </c>
      <c r="AC121">
        <v>0</v>
      </c>
      <c r="AD121">
        <v>0</v>
      </c>
      <c r="AE121" s="17">
        <f>AA121</f>
        <v>0</v>
      </c>
      <c r="AF121">
        <v>0</v>
      </c>
      <c r="AG121" s="18">
        <f>AA121</f>
        <v>0</v>
      </c>
      <c r="AI121" s="2" t="s">
        <v>50</v>
      </c>
      <c r="AJ121" s="17">
        <f>K18</f>
        <v>0</v>
      </c>
      <c r="AK121" s="17">
        <f>AJ121</f>
        <v>0</v>
      </c>
      <c r="AL121">
        <v>0</v>
      </c>
      <c r="AM121">
        <v>0</v>
      </c>
      <c r="AN121" s="17">
        <f>AJ121+30</f>
        <v>30</v>
      </c>
      <c r="AO121">
        <v>0</v>
      </c>
      <c r="AP121" s="18">
        <f>AJ121-30</f>
        <v>-30</v>
      </c>
    </row>
    <row r="122" spans="3:42" x14ac:dyDescent="0.25">
      <c r="C122" s="2" t="str">
        <f t="shared" si="2"/>
        <v>Belastning 10</v>
      </c>
      <c r="D122" s="15"/>
      <c r="E122" s="2">
        <f t="shared" si="3"/>
        <v>0</v>
      </c>
      <c r="F122" s="3">
        <f t="shared" si="4"/>
        <v>0</v>
      </c>
      <c r="G122" s="2">
        <f t="shared" si="5"/>
        <v>0</v>
      </c>
      <c r="H122" s="3">
        <f t="shared" si="6"/>
        <v>0</v>
      </c>
      <c r="I122" s="2">
        <f t="shared" si="7"/>
        <v>0</v>
      </c>
      <c r="J122" s="3">
        <f t="shared" si="8"/>
        <v>0</v>
      </c>
      <c r="K122" s="2"/>
      <c r="L122" s="3"/>
      <c r="M122" s="11"/>
      <c r="O122" s="8"/>
      <c r="Z122" s="2" t="s">
        <v>51</v>
      </c>
      <c r="AA122" s="17">
        <f>AA121</f>
        <v>0</v>
      </c>
      <c r="AB122">
        <v>0</v>
      </c>
      <c r="AC122" s="17">
        <f>AA121</f>
        <v>0</v>
      </c>
      <c r="AD122">
        <v>0</v>
      </c>
      <c r="AE122" s="17">
        <f>AA121</f>
        <v>0</v>
      </c>
      <c r="AF122" s="17">
        <f>AA121</f>
        <v>0</v>
      </c>
      <c r="AG122" s="3">
        <v>0</v>
      </c>
      <c r="AI122" s="2" t="s">
        <v>51</v>
      </c>
      <c r="AJ122" s="17">
        <f>AJ121-120</f>
        <v>-120</v>
      </c>
      <c r="AK122">
        <v>0</v>
      </c>
      <c r="AL122" s="17">
        <f>AJ121-120</f>
        <v>-120</v>
      </c>
      <c r="AM122">
        <v>0</v>
      </c>
      <c r="AN122" s="17">
        <f>AJ121-150</f>
        <v>-150</v>
      </c>
      <c r="AO122" s="17">
        <f>AJ121-90</f>
        <v>-90</v>
      </c>
      <c r="AP122" s="3">
        <v>0</v>
      </c>
    </row>
    <row r="123" spans="3:42" x14ac:dyDescent="0.25">
      <c r="C123" s="2" t="str">
        <f t="shared" si="2"/>
        <v>Belastning 11</v>
      </c>
      <c r="D123" s="15"/>
      <c r="E123" s="2">
        <f t="shared" si="3"/>
        <v>0</v>
      </c>
      <c r="F123" s="3">
        <f t="shared" si="4"/>
        <v>0</v>
      </c>
      <c r="G123" s="2">
        <f t="shared" si="5"/>
        <v>0</v>
      </c>
      <c r="H123" s="3">
        <f t="shared" si="6"/>
        <v>0</v>
      </c>
      <c r="I123" s="2">
        <f t="shared" si="7"/>
        <v>0</v>
      </c>
      <c r="J123" s="3">
        <f t="shared" si="8"/>
        <v>0</v>
      </c>
      <c r="K123" s="2"/>
      <c r="L123" s="3"/>
      <c r="M123" s="11"/>
      <c r="O123" s="8"/>
      <c r="Y123">
        <v>11</v>
      </c>
      <c r="Z123" s="2" t="s">
        <v>52</v>
      </c>
      <c r="AA123" s="17">
        <f>AA121</f>
        <v>0</v>
      </c>
      <c r="AB123">
        <v>0</v>
      </c>
      <c r="AC123">
        <v>0</v>
      </c>
      <c r="AD123" s="17">
        <f>AA121</f>
        <v>0</v>
      </c>
      <c r="AE123">
        <v>0</v>
      </c>
      <c r="AF123" s="17">
        <f>AA121</f>
        <v>0</v>
      </c>
      <c r="AG123" s="18">
        <f>AA121</f>
        <v>0</v>
      </c>
      <c r="AI123" s="2" t="s">
        <v>52</v>
      </c>
      <c r="AJ123" s="17">
        <f>AJ121+120</f>
        <v>120</v>
      </c>
      <c r="AK123">
        <v>0</v>
      </c>
      <c r="AL123">
        <v>0</v>
      </c>
      <c r="AM123" s="17">
        <f>AJ121+120</f>
        <v>120</v>
      </c>
      <c r="AN123">
        <v>0</v>
      </c>
      <c r="AO123" s="17">
        <f>AJ121+90</f>
        <v>90</v>
      </c>
      <c r="AP123" s="18">
        <f>AJ121+150</f>
        <v>150</v>
      </c>
    </row>
    <row r="124" spans="3:42" x14ac:dyDescent="0.25">
      <c r="C124" s="2" t="str">
        <f t="shared" si="2"/>
        <v>Belastning 12</v>
      </c>
      <c r="D124" s="15"/>
      <c r="E124" s="2">
        <f t="shared" si="3"/>
        <v>0</v>
      </c>
      <c r="F124" s="3">
        <f t="shared" si="4"/>
        <v>0</v>
      </c>
      <c r="G124" s="2">
        <f t="shared" si="5"/>
        <v>0</v>
      </c>
      <c r="H124" s="3">
        <f t="shared" si="6"/>
        <v>0</v>
      </c>
      <c r="I124" s="2">
        <f t="shared" si="7"/>
        <v>0</v>
      </c>
      <c r="J124" s="3">
        <f t="shared" si="8"/>
        <v>0</v>
      </c>
      <c r="K124" s="2"/>
      <c r="L124" s="3"/>
      <c r="M124" s="11"/>
      <c r="O124" s="8"/>
      <c r="Z124" s="13" t="s">
        <v>42</v>
      </c>
      <c r="AA124" s="19">
        <v>0</v>
      </c>
      <c r="AB124" s="20">
        <f>AA121</f>
        <v>0</v>
      </c>
      <c r="AC124" s="20">
        <f>AA121</f>
        <v>0</v>
      </c>
      <c r="AD124" s="20">
        <f>AA121</f>
        <v>0</v>
      </c>
      <c r="AE124" s="19">
        <v>0</v>
      </c>
      <c r="AF124" s="19">
        <v>0</v>
      </c>
      <c r="AG124" s="14">
        <v>0</v>
      </c>
      <c r="AI124" s="13" t="s">
        <v>42</v>
      </c>
      <c r="AJ124" s="19">
        <v>0</v>
      </c>
      <c r="AK124" s="20">
        <f>AJ121+180</f>
        <v>180</v>
      </c>
      <c r="AL124" s="20">
        <f>AJ121+180-120</f>
        <v>60</v>
      </c>
      <c r="AM124" s="20">
        <f>AJ121-180+120</f>
        <v>-60</v>
      </c>
      <c r="AN124" s="19">
        <v>0</v>
      </c>
      <c r="AO124" s="19">
        <v>0</v>
      </c>
      <c r="AP124" s="14">
        <v>0</v>
      </c>
    </row>
    <row r="125" spans="3:42" x14ac:dyDescent="0.25">
      <c r="C125" s="2" t="str">
        <f t="shared" si="2"/>
        <v>Belastning 13</v>
      </c>
      <c r="D125" s="15"/>
      <c r="E125" s="2">
        <f t="shared" si="3"/>
        <v>0</v>
      </c>
      <c r="F125" s="3">
        <f t="shared" si="4"/>
        <v>0</v>
      </c>
      <c r="G125" s="2">
        <f t="shared" si="5"/>
        <v>0</v>
      </c>
      <c r="H125" s="3">
        <f t="shared" si="6"/>
        <v>0</v>
      </c>
      <c r="I125" s="2">
        <f t="shared" si="7"/>
        <v>0</v>
      </c>
      <c r="J125" s="3">
        <f t="shared" si="8"/>
        <v>0</v>
      </c>
      <c r="K125" s="2"/>
      <c r="L125" s="3"/>
      <c r="M125" s="11"/>
      <c r="O125" s="8"/>
    </row>
    <row r="126" spans="3:42" x14ac:dyDescent="0.25">
      <c r="C126" s="2" t="str">
        <f t="shared" si="2"/>
        <v>Belastning 14</v>
      </c>
      <c r="D126" s="15"/>
      <c r="E126" s="2">
        <f t="shared" si="3"/>
        <v>0</v>
      </c>
      <c r="F126" s="3">
        <f t="shared" si="4"/>
        <v>0</v>
      </c>
      <c r="G126" s="2">
        <f t="shared" si="5"/>
        <v>0</v>
      </c>
      <c r="H126" s="3">
        <f t="shared" si="6"/>
        <v>0</v>
      </c>
      <c r="I126" s="2">
        <f t="shared" si="7"/>
        <v>0</v>
      </c>
      <c r="J126" s="3">
        <f t="shared" si="8"/>
        <v>0</v>
      </c>
      <c r="K126" s="2"/>
      <c r="L126" s="3"/>
      <c r="M126" s="11"/>
      <c r="O126" s="8"/>
      <c r="Z126" s="4"/>
      <c r="AA126" s="5">
        <v>1</v>
      </c>
      <c r="AB126" s="5">
        <v>2</v>
      </c>
      <c r="AC126" s="5">
        <v>3</v>
      </c>
      <c r="AD126" s="5">
        <v>4</v>
      </c>
      <c r="AE126" s="5">
        <v>5</v>
      </c>
      <c r="AF126" s="5">
        <v>6</v>
      </c>
      <c r="AG126" s="6">
        <v>7</v>
      </c>
      <c r="AI126" s="4"/>
      <c r="AJ126" s="5">
        <v>1</v>
      </c>
      <c r="AK126" s="5">
        <v>2</v>
      </c>
      <c r="AL126" s="5">
        <v>3</v>
      </c>
      <c r="AM126" s="5">
        <v>4</v>
      </c>
      <c r="AN126" s="5">
        <v>5</v>
      </c>
      <c r="AO126" s="5">
        <v>6</v>
      </c>
      <c r="AP126" s="6">
        <v>7</v>
      </c>
    </row>
    <row r="127" spans="3:42" x14ac:dyDescent="0.25">
      <c r="C127" s="13" t="str">
        <f t="shared" si="2"/>
        <v>Belastning 15</v>
      </c>
      <c r="D127" s="16"/>
      <c r="E127" s="2">
        <f t="shared" si="3"/>
        <v>0</v>
      </c>
      <c r="F127" s="3">
        <f t="shared" si="4"/>
        <v>0</v>
      </c>
      <c r="G127" s="2">
        <f t="shared" si="5"/>
        <v>0</v>
      </c>
      <c r="H127" s="3">
        <f t="shared" si="6"/>
        <v>0</v>
      </c>
      <c r="I127" s="2">
        <f t="shared" si="7"/>
        <v>0</v>
      </c>
      <c r="J127" s="3">
        <f t="shared" si="8"/>
        <v>0</v>
      </c>
      <c r="K127" s="2"/>
      <c r="L127" s="3"/>
      <c r="M127" s="11"/>
      <c r="O127" s="8"/>
      <c r="Z127" s="2"/>
      <c r="AA127" t="s">
        <v>32</v>
      </c>
      <c r="AB127" t="s">
        <v>34</v>
      </c>
      <c r="AC127" t="s">
        <v>35</v>
      </c>
      <c r="AD127" t="s">
        <v>36</v>
      </c>
      <c r="AE127" t="s">
        <v>37</v>
      </c>
      <c r="AF127" t="s">
        <v>38</v>
      </c>
      <c r="AG127" s="3" t="s">
        <v>39</v>
      </c>
      <c r="AI127" s="29" t="s">
        <v>55</v>
      </c>
      <c r="AJ127" t="s">
        <v>32</v>
      </c>
      <c r="AK127" t="s">
        <v>34</v>
      </c>
      <c r="AL127" t="s">
        <v>35</v>
      </c>
      <c r="AM127" t="s">
        <v>36</v>
      </c>
      <c r="AN127" t="s">
        <v>37</v>
      </c>
      <c r="AO127" t="s">
        <v>38</v>
      </c>
      <c r="AP127" s="3" t="s">
        <v>39</v>
      </c>
    </row>
    <row r="128" spans="3:42" x14ac:dyDescent="0.25">
      <c r="C128" s="21" t="s">
        <v>53</v>
      </c>
      <c r="D128" s="22"/>
      <c r="E128" s="25">
        <f t="shared" ref="E128:J128" si="9">SUM(E113:E127)</f>
        <v>0</v>
      </c>
      <c r="F128" s="23">
        <f t="shared" si="9"/>
        <v>0</v>
      </c>
      <c r="G128" s="25">
        <f t="shared" si="9"/>
        <v>0</v>
      </c>
      <c r="H128" s="23">
        <f t="shared" si="9"/>
        <v>0</v>
      </c>
      <c r="I128" s="25">
        <f t="shared" si="9"/>
        <v>0</v>
      </c>
      <c r="J128" s="23">
        <f t="shared" si="9"/>
        <v>0</v>
      </c>
      <c r="K128" s="22"/>
      <c r="L128" s="23"/>
      <c r="Z128" s="2" t="s">
        <v>50</v>
      </c>
      <c r="AA128" s="17">
        <f>H19</f>
        <v>0</v>
      </c>
      <c r="AB128" s="17">
        <f>AA128</f>
        <v>0</v>
      </c>
      <c r="AC128">
        <v>0</v>
      </c>
      <c r="AD128">
        <v>0</v>
      </c>
      <c r="AE128" s="17">
        <f>AA128</f>
        <v>0</v>
      </c>
      <c r="AF128">
        <v>0</v>
      </c>
      <c r="AG128" s="18">
        <f>AA128</f>
        <v>0</v>
      </c>
      <c r="AI128" s="2" t="s">
        <v>50</v>
      </c>
      <c r="AJ128" s="17">
        <f>K19</f>
        <v>0</v>
      </c>
      <c r="AK128" s="17">
        <f>AJ128</f>
        <v>0</v>
      </c>
      <c r="AL128">
        <v>0</v>
      </c>
      <c r="AM128">
        <v>0</v>
      </c>
      <c r="AN128" s="17">
        <f>AJ128+30</f>
        <v>30</v>
      </c>
      <c r="AO128">
        <v>0</v>
      </c>
      <c r="AP128" s="18">
        <f>AJ128-30</f>
        <v>-30</v>
      </c>
    </row>
    <row r="129" spans="3:42" x14ac:dyDescent="0.25">
      <c r="Y129">
        <v>12</v>
      </c>
      <c r="Z129" s="2" t="s">
        <v>51</v>
      </c>
      <c r="AA129" s="17">
        <f>AA128</f>
        <v>0</v>
      </c>
      <c r="AB129">
        <v>0</v>
      </c>
      <c r="AC129" s="17">
        <f>AA128</f>
        <v>0</v>
      </c>
      <c r="AD129">
        <v>0</v>
      </c>
      <c r="AE129" s="17">
        <f>AA128</f>
        <v>0</v>
      </c>
      <c r="AF129" s="17">
        <f>AA128</f>
        <v>0</v>
      </c>
      <c r="AG129" s="3">
        <v>0</v>
      </c>
      <c r="AI129" s="2" t="s">
        <v>51</v>
      </c>
      <c r="AJ129" s="17">
        <f>AJ128-120</f>
        <v>-120</v>
      </c>
      <c r="AK129">
        <v>0</v>
      </c>
      <c r="AL129" s="17">
        <f>AJ128-120</f>
        <v>-120</v>
      </c>
      <c r="AM129">
        <v>0</v>
      </c>
      <c r="AN129" s="17">
        <f>AJ128-150</f>
        <v>-150</v>
      </c>
      <c r="AO129" s="17">
        <f>AJ128-90</f>
        <v>-90</v>
      </c>
      <c r="AP129" s="3">
        <v>0</v>
      </c>
    </row>
    <row r="130" spans="3:42" x14ac:dyDescent="0.25">
      <c r="K130" s="48"/>
      <c r="Z130" s="2" t="s">
        <v>52</v>
      </c>
      <c r="AA130" s="17">
        <f>AA128</f>
        <v>0</v>
      </c>
      <c r="AB130">
        <v>0</v>
      </c>
      <c r="AC130">
        <v>0</v>
      </c>
      <c r="AD130" s="17">
        <f>AA128</f>
        <v>0</v>
      </c>
      <c r="AE130">
        <v>0</v>
      </c>
      <c r="AF130" s="17">
        <f>AA128</f>
        <v>0</v>
      </c>
      <c r="AG130" s="18">
        <f>AA128</f>
        <v>0</v>
      </c>
      <c r="AI130" s="2" t="s">
        <v>52</v>
      </c>
      <c r="AJ130" s="17">
        <f>AJ128+120</f>
        <v>120</v>
      </c>
      <c r="AK130">
        <v>0</v>
      </c>
      <c r="AL130">
        <v>0</v>
      </c>
      <c r="AM130" s="17">
        <f>AJ128+120</f>
        <v>120</v>
      </c>
      <c r="AN130">
        <v>0</v>
      </c>
      <c r="AO130" s="17">
        <f>AJ128+90</f>
        <v>90</v>
      </c>
      <c r="AP130" s="18">
        <f>AJ128+150</f>
        <v>150</v>
      </c>
    </row>
    <row r="131" spans="3:42" x14ac:dyDescent="0.25">
      <c r="E131" s="24"/>
      <c r="F131" s="17"/>
      <c r="H131" s="17"/>
      <c r="I131" s="24"/>
      <c r="J131" s="17"/>
      <c r="Z131" s="13" t="s">
        <v>42</v>
      </c>
      <c r="AA131" s="19">
        <v>0</v>
      </c>
      <c r="AB131" s="20">
        <f>AA128</f>
        <v>0</v>
      </c>
      <c r="AC131" s="20">
        <f>AA128</f>
        <v>0</v>
      </c>
      <c r="AD131" s="20">
        <f>AA128</f>
        <v>0</v>
      </c>
      <c r="AE131" s="19">
        <v>0</v>
      </c>
      <c r="AF131" s="19">
        <v>0</v>
      </c>
      <c r="AG131" s="14">
        <v>0</v>
      </c>
      <c r="AI131" s="13" t="s">
        <v>42</v>
      </c>
      <c r="AJ131" s="19">
        <v>0</v>
      </c>
      <c r="AK131" s="20">
        <f>AJ128+180</f>
        <v>180</v>
      </c>
      <c r="AL131" s="20">
        <f>AJ128+180-120</f>
        <v>60</v>
      </c>
      <c r="AM131" s="20">
        <f>AJ128-180+120</f>
        <v>-60</v>
      </c>
      <c r="AN131" s="19">
        <v>0</v>
      </c>
      <c r="AO131" s="19">
        <v>0</v>
      </c>
      <c r="AP131" s="14">
        <v>0</v>
      </c>
    </row>
    <row r="132" spans="3:42" x14ac:dyDescent="0.25">
      <c r="E132" s="30"/>
      <c r="F132" s="17"/>
      <c r="G132" s="30"/>
      <c r="H132" s="17"/>
      <c r="J132" s="17"/>
    </row>
    <row r="133" spans="3:42" x14ac:dyDescent="0.25">
      <c r="Z133" s="4"/>
      <c r="AA133" s="5">
        <v>1</v>
      </c>
      <c r="AB133" s="5">
        <v>2</v>
      </c>
      <c r="AC133" s="5">
        <v>3</v>
      </c>
      <c r="AD133" s="5">
        <v>4</v>
      </c>
      <c r="AE133" s="5">
        <v>5</v>
      </c>
      <c r="AF133" s="5">
        <v>6</v>
      </c>
      <c r="AG133" s="6">
        <v>7</v>
      </c>
      <c r="AI133" s="4"/>
      <c r="AJ133" s="5">
        <v>1</v>
      </c>
      <c r="AK133" s="5">
        <v>2</v>
      </c>
      <c r="AL133" s="5">
        <v>3</v>
      </c>
      <c r="AM133" s="5">
        <v>4</v>
      </c>
      <c r="AN133" s="5">
        <v>5</v>
      </c>
      <c r="AO133" s="5">
        <v>6</v>
      </c>
      <c r="AP133" s="6">
        <v>7</v>
      </c>
    </row>
    <row r="134" spans="3:42" x14ac:dyDescent="0.25">
      <c r="C134" s="4">
        <f>COS(RADIANS(Q167))*O167</f>
        <v>0</v>
      </c>
      <c r="D134" s="5"/>
      <c r="E134" s="5"/>
      <c r="F134" s="5">
        <f>COS(RADIANS(T167))*R167</f>
        <v>0</v>
      </c>
      <c r="G134" s="5"/>
      <c r="H134" s="5"/>
      <c r="I134" s="5">
        <f>COS(RADIANS(W167))*U167</f>
        <v>0</v>
      </c>
      <c r="J134" s="5"/>
      <c r="K134" s="5"/>
      <c r="L134" s="6">
        <f>IMABS(COMPLEX(C134+F134+I134,C135+F135+I135))</f>
        <v>0</v>
      </c>
      <c r="Z134" s="2"/>
      <c r="AA134" t="s">
        <v>32</v>
      </c>
      <c r="AB134" t="s">
        <v>34</v>
      </c>
      <c r="AC134" t="s">
        <v>35</v>
      </c>
      <c r="AD134" t="s">
        <v>36</v>
      </c>
      <c r="AE134" t="s">
        <v>37</v>
      </c>
      <c r="AF134" t="s">
        <v>38</v>
      </c>
      <c r="AG134" s="3" t="s">
        <v>39</v>
      </c>
      <c r="AI134" s="29" t="s">
        <v>55</v>
      </c>
      <c r="AJ134" t="s">
        <v>32</v>
      </c>
      <c r="AK134" t="s">
        <v>34</v>
      </c>
      <c r="AL134" t="s">
        <v>35</v>
      </c>
      <c r="AM134" t="s">
        <v>36</v>
      </c>
      <c r="AN134" t="s">
        <v>37</v>
      </c>
      <c r="AO134" t="s">
        <v>38</v>
      </c>
      <c r="AP134" s="3" t="s">
        <v>39</v>
      </c>
    </row>
    <row r="135" spans="3:42" x14ac:dyDescent="0.25">
      <c r="C135" s="2">
        <f>SIN(RADIANS(Q167))*O167</f>
        <v>0</v>
      </c>
      <c r="F135">
        <f>SIN(RADIANS(T167))*R167</f>
        <v>0</v>
      </c>
      <c r="I135">
        <f>SIN(RADIANS(W167))*U167</f>
        <v>0</v>
      </c>
      <c r="L135" s="3" t="str">
        <f>COMPLEX(C134+F134+I134,C135+F135+I135)</f>
        <v>0</v>
      </c>
      <c r="Z135" s="2" t="s">
        <v>50</v>
      </c>
      <c r="AA135" s="17">
        <f>H20</f>
        <v>0</v>
      </c>
      <c r="AB135" s="17">
        <f>AA135</f>
        <v>0</v>
      </c>
      <c r="AC135">
        <v>0</v>
      </c>
      <c r="AD135">
        <v>0</v>
      </c>
      <c r="AE135" s="17">
        <f>AA135</f>
        <v>0</v>
      </c>
      <c r="AF135">
        <v>0</v>
      </c>
      <c r="AG135" s="18">
        <f>AA135</f>
        <v>0</v>
      </c>
      <c r="AI135" s="2" t="s">
        <v>50</v>
      </c>
      <c r="AJ135" s="17">
        <f>K20</f>
        <v>0</v>
      </c>
      <c r="AK135" s="17">
        <f>AJ135</f>
        <v>0</v>
      </c>
      <c r="AL135">
        <v>0</v>
      </c>
      <c r="AM135">
        <v>0</v>
      </c>
      <c r="AN135" s="17">
        <f>AJ135+30</f>
        <v>30</v>
      </c>
      <c r="AO135">
        <v>0</v>
      </c>
      <c r="AP135" s="18">
        <f>AJ135-30</f>
        <v>-30</v>
      </c>
    </row>
    <row r="136" spans="3:42" x14ac:dyDescent="0.25">
      <c r="C136" s="2"/>
      <c r="L136" s="3"/>
      <c r="Y136">
        <v>13</v>
      </c>
      <c r="Z136" s="2" t="s">
        <v>51</v>
      </c>
      <c r="AA136" s="17">
        <f>AA135</f>
        <v>0</v>
      </c>
      <c r="AB136">
        <v>0</v>
      </c>
      <c r="AC136" s="17">
        <f>AA135</f>
        <v>0</v>
      </c>
      <c r="AD136">
        <v>0</v>
      </c>
      <c r="AE136" s="17">
        <f>AA135</f>
        <v>0</v>
      </c>
      <c r="AF136" s="17">
        <f>AA135</f>
        <v>0</v>
      </c>
      <c r="AG136" s="3">
        <v>0</v>
      </c>
      <c r="AI136" s="2" t="s">
        <v>51</v>
      </c>
      <c r="AJ136" s="17">
        <f>AJ135-120</f>
        <v>-120</v>
      </c>
      <c r="AK136">
        <v>0</v>
      </c>
      <c r="AL136" s="17">
        <f>AJ135-120</f>
        <v>-120</v>
      </c>
      <c r="AM136">
        <v>0</v>
      </c>
      <c r="AN136" s="17">
        <f>AJ135-150</f>
        <v>-150</v>
      </c>
      <c r="AO136" s="17">
        <f>AJ135-90</f>
        <v>-90</v>
      </c>
      <c r="AP136" s="3">
        <v>0</v>
      </c>
    </row>
    <row r="137" spans="3:42" x14ac:dyDescent="0.25">
      <c r="C137" s="2">
        <f>COS(RADIANS(Q168))*O168</f>
        <v>0</v>
      </c>
      <c r="F137">
        <f>COS(RADIANS(T168))*R168</f>
        <v>0</v>
      </c>
      <c r="I137">
        <f>COS(RADIANS(W168))*U168</f>
        <v>0</v>
      </c>
      <c r="L137" s="3">
        <f>IMABS(COMPLEX(C137+F137+I137,C138+F138+I138))</f>
        <v>0</v>
      </c>
      <c r="Z137" s="2" t="s">
        <v>52</v>
      </c>
      <c r="AA137" s="17">
        <f>AA135</f>
        <v>0</v>
      </c>
      <c r="AB137">
        <v>0</v>
      </c>
      <c r="AC137">
        <v>0</v>
      </c>
      <c r="AD137" s="17">
        <f>AA135</f>
        <v>0</v>
      </c>
      <c r="AE137">
        <v>0</v>
      </c>
      <c r="AF137" s="17">
        <f>AA135</f>
        <v>0</v>
      </c>
      <c r="AG137" s="18">
        <f>AA135</f>
        <v>0</v>
      </c>
      <c r="AI137" s="2" t="s">
        <v>52</v>
      </c>
      <c r="AJ137" s="17">
        <f>AJ135+120</f>
        <v>120</v>
      </c>
      <c r="AK137">
        <v>0</v>
      </c>
      <c r="AL137">
        <v>0</v>
      </c>
      <c r="AM137" s="17">
        <f>AJ135+120</f>
        <v>120</v>
      </c>
      <c r="AN137">
        <v>0</v>
      </c>
      <c r="AO137" s="17">
        <f>AJ135+90</f>
        <v>90</v>
      </c>
      <c r="AP137" s="18">
        <f>AJ135+150</f>
        <v>150</v>
      </c>
    </row>
    <row r="138" spans="3:42" x14ac:dyDescent="0.25">
      <c r="C138" s="13">
        <f>SIN(RADIANS(Q168))*O168</f>
        <v>0</v>
      </c>
      <c r="D138" s="19"/>
      <c r="E138" s="19"/>
      <c r="F138" s="19">
        <f>SIN(RADIANS(T168))*R168</f>
        <v>0</v>
      </c>
      <c r="G138" s="19"/>
      <c r="H138" s="19"/>
      <c r="I138" s="19">
        <f>SIN(RADIANS(W168))*U168</f>
        <v>0</v>
      </c>
      <c r="J138" s="19"/>
      <c r="K138" s="19"/>
      <c r="L138" s="14" t="str">
        <f>COMPLEX(C137+F137+I137,C138+F138+I138)</f>
        <v>0</v>
      </c>
      <c r="Z138" s="13" t="s">
        <v>42</v>
      </c>
      <c r="AA138" s="19">
        <v>0</v>
      </c>
      <c r="AB138" s="20">
        <f>AA135</f>
        <v>0</v>
      </c>
      <c r="AC138" s="20">
        <f>AA135</f>
        <v>0</v>
      </c>
      <c r="AD138" s="20">
        <f>AA135</f>
        <v>0</v>
      </c>
      <c r="AE138" s="19">
        <v>0</v>
      </c>
      <c r="AF138" s="19">
        <v>0</v>
      </c>
      <c r="AG138" s="14">
        <v>0</v>
      </c>
      <c r="AI138" s="13" t="s">
        <v>42</v>
      </c>
      <c r="AJ138" s="19">
        <v>0</v>
      </c>
      <c r="AK138" s="20">
        <f>AJ135+180</f>
        <v>180</v>
      </c>
      <c r="AL138" s="20">
        <f>AJ135+180-120</f>
        <v>60</v>
      </c>
      <c r="AM138" s="20">
        <f>AJ135-180+120</f>
        <v>-60</v>
      </c>
      <c r="AN138" s="19">
        <v>0</v>
      </c>
      <c r="AO138" s="19">
        <v>0</v>
      </c>
      <c r="AP138" s="14">
        <v>0</v>
      </c>
    </row>
    <row r="140" spans="3:42" x14ac:dyDescent="0.25">
      <c r="Z140" s="4"/>
      <c r="AA140" s="5">
        <v>1</v>
      </c>
      <c r="AB140" s="5">
        <v>2</v>
      </c>
      <c r="AC140" s="5">
        <v>3</v>
      </c>
      <c r="AD140" s="5">
        <v>4</v>
      </c>
      <c r="AE140" s="5">
        <v>5</v>
      </c>
      <c r="AF140" s="5">
        <v>6</v>
      </c>
      <c r="AG140" s="6">
        <v>7</v>
      </c>
      <c r="AI140" s="4"/>
      <c r="AJ140" s="5">
        <v>1</v>
      </c>
      <c r="AK140" s="5">
        <v>2</v>
      </c>
      <c r="AL140" s="5">
        <v>3</v>
      </c>
      <c r="AM140" s="5">
        <v>4</v>
      </c>
      <c r="AN140" s="5">
        <v>5</v>
      </c>
      <c r="AO140" s="5">
        <v>6</v>
      </c>
      <c r="AP140" s="6">
        <v>7</v>
      </c>
    </row>
    <row r="141" spans="3:42" x14ac:dyDescent="0.25">
      <c r="Z141" s="2"/>
      <c r="AA141" t="s">
        <v>32</v>
      </c>
      <c r="AB141" t="s">
        <v>34</v>
      </c>
      <c r="AC141" t="s">
        <v>35</v>
      </c>
      <c r="AD141" t="s">
        <v>36</v>
      </c>
      <c r="AE141" t="s">
        <v>37</v>
      </c>
      <c r="AF141" t="s">
        <v>38</v>
      </c>
      <c r="AG141" s="3" t="s">
        <v>39</v>
      </c>
      <c r="AI141" s="29" t="s">
        <v>55</v>
      </c>
      <c r="AJ141" t="s">
        <v>32</v>
      </c>
      <c r="AK141" t="s">
        <v>34</v>
      </c>
      <c r="AL141" t="s">
        <v>35</v>
      </c>
      <c r="AM141" t="s">
        <v>36</v>
      </c>
      <c r="AN141" t="s">
        <v>37</v>
      </c>
      <c r="AO141" t="s">
        <v>38</v>
      </c>
      <c r="AP141" s="3" t="s">
        <v>39</v>
      </c>
    </row>
    <row r="142" spans="3:42" x14ac:dyDescent="0.25">
      <c r="Y142">
        <v>14</v>
      </c>
      <c r="Z142" s="2" t="s">
        <v>50</v>
      </c>
      <c r="AA142" s="17">
        <f>H21</f>
        <v>0</v>
      </c>
      <c r="AB142" s="17">
        <f>AA142</f>
        <v>0</v>
      </c>
      <c r="AC142">
        <v>0</v>
      </c>
      <c r="AD142">
        <v>0</v>
      </c>
      <c r="AE142" s="17">
        <f>AA142</f>
        <v>0</v>
      </c>
      <c r="AF142">
        <v>0</v>
      </c>
      <c r="AG142" s="18">
        <f>AA142</f>
        <v>0</v>
      </c>
      <c r="AI142" s="2" t="s">
        <v>50</v>
      </c>
      <c r="AJ142" s="17">
        <f>K21</f>
        <v>0</v>
      </c>
      <c r="AK142" s="17">
        <f>AJ142</f>
        <v>0</v>
      </c>
      <c r="AL142">
        <v>0</v>
      </c>
      <c r="AM142">
        <v>0</v>
      </c>
      <c r="AN142" s="17">
        <f>AJ142+30</f>
        <v>30</v>
      </c>
      <c r="AO142">
        <v>0</v>
      </c>
      <c r="AP142" s="18">
        <f>AJ142-30</f>
        <v>-30</v>
      </c>
    </row>
    <row r="143" spans="3:42" x14ac:dyDescent="0.25">
      <c r="Z143" s="2" t="s">
        <v>51</v>
      </c>
      <c r="AA143" s="17">
        <f>AA142</f>
        <v>0</v>
      </c>
      <c r="AB143">
        <v>0</v>
      </c>
      <c r="AC143" s="17">
        <f>AA142</f>
        <v>0</v>
      </c>
      <c r="AD143">
        <v>0</v>
      </c>
      <c r="AE143" s="17">
        <f>AA142</f>
        <v>0</v>
      </c>
      <c r="AF143" s="17">
        <f>AA142</f>
        <v>0</v>
      </c>
      <c r="AG143" s="3">
        <v>0</v>
      </c>
      <c r="AI143" s="2" t="s">
        <v>51</v>
      </c>
      <c r="AJ143" s="17">
        <f>AJ142-120</f>
        <v>-120</v>
      </c>
      <c r="AK143">
        <v>0</v>
      </c>
      <c r="AL143" s="17">
        <f>AJ142-120</f>
        <v>-120</v>
      </c>
      <c r="AM143">
        <v>0</v>
      </c>
      <c r="AN143" s="17">
        <f>AJ142-150</f>
        <v>-150</v>
      </c>
      <c r="AO143" s="17">
        <f>AJ142-90</f>
        <v>-90</v>
      </c>
      <c r="AP143" s="3">
        <v>0</v>
      </c>
    </row>
    <row r="144" spans="3:42" x14ac:dyDescent="0.25">
      <c r="Z144" s="2" t="s">
        <v>52</v>
      </c>
      <c r="AA144" s="17">
        <f>AA142</f>
        <v>0</v>
      </c>
      <c r="AB144">
        <v>0</v>
      </c>
      <c r="AC144">
        <v>0</v>
      </c>
      <c r="AD144" s="17">
        <f>AA142</f>
        <v>0</v>
      </c>
      <c r="AE144">
        <v>0</v>
      </c>
      <c r="AF144" s="17">
        <f>AA142</f>
        <v>0</v>
      </c>
      <c r="AG144" s="18">
        <f>AA142</f>
        <v>0</v>
      </c>
      <c r="AI144" s="2" t="s">
        <v>52</v>
      </c>
      <c r="AJ144" s="17">
        <f>AJ142+120</f>
        <v>120</v>
      </c>
      <c r="AK144">
        <v>0</v>
      </c>
      <c r="AL144">
        <v>0</v>
      </c>
      <c r="AM144" s="17">
        <f>AJ142+120</f>
        <v>120</v>
      </c>
      <c r="AN144">
        <v>0</v>
      </c>
      <c r="AO144" s="17">
        <f>AJ142+90</f>
        <v>90</v>
      </c>
      <c r="AP144" s="18">
        <f>AJ142+150</f>
        <v>150</v>
      </c>
    </row>
    <row r="145" spans="25:42" x14ac:dyDescent="0.25">
      <c r="Z145" s="13" t="s">
        <v>42</v>
      </c>
      <c r="AA145" s="19">
        <v>0</v>
      </c>
      <c r="AB145" s="20">
        <f>AA142</f>
        <v>0</v>
      </c>
      <c r="AC145" s="20">
        <f>AA142</f>
        <v>0</v>
      </c>
      <c r="AD145" s="20">
        <f>AA142</f>
        <v>0</v>
      </c>
      <c r="AE145" s="19">
        <v>0</v>
      </c>
      <c r="AF145" s="19">
        <v>0</v>
      </c>
      <c r="AG145" s="14">
        <v>0</v>
      </c>
      <c r="AI145" s="13" t="s">
        <v>42</v>
      </c>
      <c r="AJ145" s="19">
        <v>0</v>
      </c>
      <c r="AK145" s="20">
        <f>AJ142+180</f>
        <v>180</v>
      </c>
      <c r="AL145" s="20">
        <f>AJ142+180-120</f>
        <v>60</v>
      </c>
      <c r="AM145" s="20">
        <f>AJ142-180+120</f>
        <v>-60</v>
      </c>
      <c r="AN145" s="19">
        <v>0</v>
      </c>
      <c r="AO145" s="19">
        <v>0</v>
      </c>
      <c r="AP145" s="14">
        <v>0</v>
      </c>
    </row>
    <row r="147" spans="25:42" x14ac:dyDescent="0.25">
      <c r="Z147" s="4"/>
      <c r="AA147" s="5">
        <v>1</v>
      </c>
      <c r="AB147" s="5">
        <v>2</v>
      </c>
      <c r="AC147" s="5">
        <v>3</v>
      </c>
      <c r="AD147" s="5">
        <v>4</v>
      </c>
      <c r="AE147" s="5">
        <v>5</v>
      </c>
      <c r="AF147" s="5">
        <v>6</v>
      </c>
      <c r="AG147" s="6">
        <v>7</v>
      </c>
      <c r="AI147" s="4"/>
      <c r="AJ147" s="5">
        <v>1</v>
      </c>
      <c r="AK147" s="5">
        <v>2</v>
      </c>
      <c r="AL147" s="5">
        <v>3</v>
      </c>
      <c r="AM147" s="5">
        <v>4</v>
      </c>
      <c r="AN147" s="5">
        <v>5</v>
      </c>
      <c r="AO147" s="5">
        <v>6</v>
      </c>
      <c r="AP147" s="6">
        <v>7</v>
      </c>
    </row>
    <row r="148" spans="25:42" x14ac:dyDescent="0.25">
      <c r="Z148" s="2"/>
      <c r="AA148" t="s">
        <v>32</v>
      </c>
      <c r="AB148" t="s">
        <v>34</v>
      </c>
      <c r="AC148" t="s">
        <v>35</v>
      </c>
      <c r="AD148" t="s">
        <v>36</v>
      </c>
      <c r="AE148" t="s">
        <v>37</v>
      </c>
      <c r="AF148" t="s">
        <v>38</v>
      </c>
      <c r="AG148" s="3" t="s">
        <v>39</v>
      </c>
      <c r="AI148" s="29" t="s">
        <v>55</v>
      </c>
      <c r="AJ148" t="s">
        <v>32</v>
      </c>
      <c r="AK148" t="s">
        <v>34</v>
      </c>
      <c r="AL148" t="s">
        <v>35</v>
      </c>
      <c r="AM148" t="s">
        <v>36</v>
      </c>
      <c r="AN148" t="s">
        <v>37</v>
      </c>
      <c r="AO148" t="s">
        <v>38</v>
      </c>
      <c r="AP148" s="3" t="s">
        <v>39</v>
      </c>
    </row>
    <row r="149" spans="25:42" x14ac:dyDescent="0.25">
      <c r="Z149" s="2" t="s">
        <v>50</v>
      </c>
      <c r="AA149" s="17">
        <f>H22</f>
        <v>0</v>
      </c>
      <c r="AB149" s="17">
        <f>AA149</f>
        <v>0</v>
      </c>
      <c r="AC149">
        <v>0</v>
      </c>
      <c r="AD149">
        <v>0</v>
      </c>
      <c r="AE149" s="17">
        <f>AA149</f>
        <v>0</v>
      </c>
      <c r="AF149">
        <v>0</v>
      </c>
      <c r="AG149" s="18">
        <f>AA149</f>
        <v>0</v>
      </c>
      <c r="AI149" s="2" t="s">
        <v>50</v>
      </c>
      <c r="AJ149" s="17">
        <f>K22</f>
        <v>0</v>
      </c>
      <c r="AK149" s="17">
        <f>AJ149</f>
        <v>0</v>
      </c>
      <c r="AL149">
        <v>0</v>
      </c>
      <c r="AM149">
        <v>0</v>
      </c>
      <c r="AN149" s="17">
        <f>AJ149+30</f>
        <v>30</v>
      </c>
      <c r="AO149">
        <v>0</v>
      </c>
      <c r="AP149" s="18">
        <f>AJ149-30</f>
        <v>-30</v>
      </c>
    </row>
    <row r="150" spans="25:42" x14ac:dyDescent="0.25">
      <c r="Y150">
        <v>15</v>
      </c>
      <c r="Z150" s="2" t="s">
        <v>51</v>
      </c>
      <c r="AA150" s="17">
        <f>AA149</f>
        <v>0</v>
      </c>
      <c r="AB150">
        <v>0</v>
      </c>
      <c r="AC150" s="17">
        <f>AA149</f>
        <v>0</v>
      </c>
      <c r="AD150">
        <v>0</v>
      </c>
      <c r="AE150" s="17">
        <f>AA149</f>
        <v>0</v>
      </c>
      <c r="AF150" s="17">
        <f>AA149</f>
        <v>0</v>
      </c>
      <c r="AG150" s="3">
        <v>0</v>
      </c>
      <c r="AI150" s="2" t="s">
        <v>51</v>
      </c>
      <c r="AJ150" s="17">
        <f>AJ149-120</f>
        <v>-120</v>
      </c>
      <c r="AK150">
        <v>0</v>
      </c>
      <c r="AL150" s="17">
        <f>AJ149-120</f>
        <v>-120</v>
      </c>
      <c r="AM150">
        <v>0</v>
      </c>
      <c r="AN150" s="17">
        <f>AJ149-150</f>
        <v>-150</v>
      </c>
      <c r="AO150" s="17">
        <f>AJ149-90</f>
        <v>-90</v>
      </c>
      <c r="AP150" s="3">
        <v>0</v>
      </c>
    </row>
    <row r="151" spans="25:42" x14ac:dyDescent="0.25">
      <c r="Z151" s="2" t="s">
        <v>52</v>
      </c>
      <c r="AA151" s="17">
        <f>AA149</f>
        <v>0</v>
      </c>
      <c r="AB151">
        <v>0</v>
      </c>
      <c r="AC151">
        <v>0</v>
      </c>
      <c r="AD151" s="17">
        <f>AA149</f>
        <v>0</v>
      </c>
      <c r="AE151">
        <v>0</v>
      </c>
      <c r="AF151" s="17">
        <f>AA149</f>
        <v>0</v>
      </c>
      <c r="AG151" s="18">
        <f>AA149</f>
        <v>0</v>
      </c>
      <c r="AI151" s="2" t="s">
        <v>52</v>
      </c>
      <c r="AJ151" s="17">
        <f>AJ149+120</f>
        <v>120</v>
      </c>
      <c r="AK151">
        <v>0</v>
      </c>
      <c r="AL151">
        <v>0</v>
      </c>
      <c r="AM151" s="17">
        <f>AJ149+120</f>
        <v>120</v>
      </c>
      <c r="AN151">
        <v>0</v>
      </c>
      <c r="AO151" s="17">
        <f>AJ149+90</f>
        <v>90</v>
      </c>
      <c r="AP151" s="18">
        <f>AJ149+150</f>
        <v>150</v>
      </c>
    </row>
    <row r="152" spans="25:42" x14ac:dyDescent="0.25">
      <c r="Z152" s="13" t="s">
        <v>42</v>
      </c>
      <c r="AA152" s="19">
        <v>0</v>
      </c>
      <c r="AB152" s="20">
        <f>AA149</f>
        <v>0</v>
      </c>
      <c r="AC152" s="20">
        <f>AA149</f>
        <v>0</v>
      </c>
      <c r="AD152" s="20">
        <f>AA149</f>
        <v>0</v>
      </c>
      <c r="AE152" s="19">
        <v>0</v>
      </c>
      <c r="AF152" s="19">
        <v>0</v>
      </c>
      <c r="AG152" s="14">
        <v>0</v>
      </c>
      <c r="AI152" s="13" t="s">
        <v>42</v>
      </c>
      <c r="AJ152" s="19">
        <v>0</v>
      </c>
      <c r="AK152" s="20">
        <f>AJ149+180</f>
        <v>180</v>
      </c>
      <c r="AL152" s="20">
        <f>AJ149+180-120</f>
        <v>60</v>
      </c>
      <c r="AM152" s="20">
        <f>AJ149-180+120</f>
        <v>-60</v>
      </c>
      <c r="AN152" s="19">
        <v>0</v>
      </c>
      <c r="AO152" s="19">
        <v>0</v>
      </c>
      <c r="AP152" s="14">
        <v>0</v>
      </c>
    </row>
    <row r="156" spans="25:42" x14ac:dyDescent="0.25">
      <c r="AA156" s="4"/>
      <c r="AB156" s="5"/>
    </row>
    <row r="157" spans="25:42" x14ac:dyDescent="0.25">
      <c r="AA157" s="2"/>
      <c r="AB157" t="s">
        <v>67</v>
      </c>
    </row>
    <row r="158" spans="25:42" x14ac:dyDescent="0.25">
      <c r="Z158">
        <v>1</v>
      </c>
      <c r="AA158" s="2" t="s">
        <v>50</v>
      </c>
      <c r="AC158" t="s">
        <v>68</v>
      </c>
    </row>
    <row r="159" spans="25:42" x14ac:dyDescent="0.25">
      <c r="Z159">
        <v>2</v>
      </c>
      <c r="AA159" s="2" t="s">
        <v>51</v>
      </c>
      <c r="AC159" t="s">
        <v>68</v>
      </c>
    </row>
    <row r="160" spans="25:42" x14ac:dyDescent="0.25">
      <c r="Z160">
        <v>3</v>
      </c>
      <c r="AA160" s="2" t="s">
        <v>52</v>
      </c>
      <c r="AC160" t="s">
        <v>68</v>
      </c>
    </row>
    <row r="161" spans="11:28" x14ac:dyDescent="0.25">
      <c r="Z161">
        <v>4</v>
      </c>
      <c r="AA161" s="13" t="s">
        <v>42</v>
      </c>
      <c r="AB161" s="19"/>
    </row>
    <row r="164" spans="11:28" x14ac:dyDescent="0.25">
      <c r="K164" t="s">
        <v>81</v>
      </c>
    </row>
    <row r="166" spans="11:28" x14ac:dyDescent="0.25">
      <c r="N166" t="s">
        <v>77</v>
      </c>
    </row>
    <row r="167" spans="11:28" ht="18" x14ac:dyDescent="0.35">
      <c r="N167" s="37" t="s">
        <v>56</v>
      </c>
      <c r="O167" s="38">
        <f>SQRT(E128^2+F128^2)</f>
        <v>0</v>
      </c>
      <c r="P167" s="47" t="s">
        <v>43</v>
      </c>
      <c r="Q167" s="39">
        <f>IFERROR(DEGREES(ATAN($F$128/$E$128)),0)</f>
        <v>0</v>
      </c>
      <c r="R167" s="38">
        <f>SQRT(G128^2+H128^2)</f>
        <v>0</v>
      </c>
      <c r="S167" s="47" t="s">
        <v>43</v>
      </c>
      <c r="T167" s="39">
        <f>IFERROR(-DEGREES(ATAN(G128/H128))-90,0)</f>
        <v>0</v>
      </c>
      <c r="U167" s="38">
        <f>SQRT(I128^2+J128^2)</f>
        <v>0</v>
      </c>
      <c r="V167" s="47" t="s">
        <v>43</v>
      </c>
      <c r="W167" s="39">
        <f>IFERROR(-DEGREES(ATAN(I128/J128))+90,0)</f>
        <v>0</v>
      </c>
      <c r="X167" s="40">
        <f>IMABS(COMPLEX(C134+F134+I134,C135+F135+I135))+I5</f>
        <v>0</v>
      </c>
      <c r="Y167" s="47" t="s">
        <v>43</v>
      </c>
      <c r="Z167" s="39">
        <f>IFERROR(DEGREES(IMARGUMENT(IMSUM(L135)))+180,0)</f>
        <v>0</v>
      </c>
    </row>
    <row r="168" spans="11:28" ht="18" x14ac:dyDescent="0.35">
      <c r="N168" s="37" t="s">
        <v>59</v>
      </c>
      <c r="O168" s="38">
        <f>O167*Q3*T3</f>
        <v>0</v>
      </c>
      <c r="P168" s="47" t="s">
        <v>43</v>
      </c>
      <c r="Q168" s="39">
        <f>Q167</f>
        <v>0</v>
      </c>
      <c r="R168" s="38">
        <f>R167*Q3*T3</f>
        <v>0</v>
      </c>
      <c r="S168" s="47" t="s">
        <v>43</v>
      </c>
      <c r="T168" s="39">
        <f>T167</f>
        <v>0</v>
      </c>
      <c r="U168" s="38">
        <f>U167*Q3*T3</f>
        <v>0</v>
      </c>
      <c r="V168" s="47" t="s">
        <v>43</v>
      </c>
      <c r="W168" s="39">
        <f>W167</f>
        <v>0</v>
      </c>
      <c r="X168" s="40">
        <f>(X167)*Q3*T3</f>
        <v>0</v>
      </c>
      <c r="Y168" s="47" t="s">
        <v>43</v>
      </c>
      <c r="Z168" s="39">
        <f>Z167</f>
        <v>0</v>
      </c>
    </row>
    <row r="169" spans="11:28" x14ac:dyDescent="0.25">
      <c r="N169" s="49" t="s">
        <v>69</v>
      </c>
      <c r="O169" s="50" t="e">
        <f>(($X$168/3)/O168)*100</f>
        <v>#DIV/0!</v>
      </c>
      <c r="P169" s="51" t="s">
        <v>68</v>
      </c>
      <c r="Q169" s="52"/>
      <c r="R169" s="50" t="e">
        <f>(($X$168/3)/R168)*100</f>
        <v>#DIV/0!</v>
      </c>
      <c r="S169" s="51" t="s">
        <v>68</v>
      </c>
      <c r="T169" s="52"/>
      <c r="U169" s="50" t="e">
        <f>(($X$168/3)/U168)*100</f>
        <v>#DIV/0!</v>
      </c>
      <c r="V169" s="51" t="s">
        <v>68</v>
      </c>
      <c r="W169" s="52"/>
      <c r="X169" s="40"/>
      <c r="Y169" s="51"/>
      <c r="Z169" s="52"/>
    </row>
    <row r="171" spans="11:28" x14ac:dyDescent="0.25">
      <c r="K171" s="25"/>
      <c r="L171" s="22"/>
      <c r="M171" s="22"/>
      <c r="N171" s="22"/>
      <c r="O171" s="55" t="s">
        <v>78</v>
      </c>
      <c r="P171" s="22"/>
      <c r="Q171" s="22"/>
      <c r="R171" s="55" t="s">
        <v>79</v>
      </c>
      <c r="S171" s="22"/>
      <c r="T171" s="22"/>
      <c r="U171" s="55" t="s">
        <v>80</v>
      </c>
      <c r="V171" s="22"/>
      <c r="W171" s="23"/>
    </row>
    <row r="172" spans="11:28" x14ac:dyDescent="0.25">
      <c r="K172" s="4" t="s">
        <v>75</v>
      </c>
      <c r="L172" s="5"/>
      <c r="M172" s="5" t="s">
        <v>48</v>
      </c>
      <c r="N172" s="5"/>
      <c r="O172">
        <f>COS(RADIANS(Q167))*O167</f>
        <v>0</v>
      </c>
      <c r="P172" s="5"/>
      <c r="Q172" s="5"/>
      <c r="R172">
        <f>COS(RADIANS(T167))*R167</f>
        <v>0</v>
      </c>
      <c r="S172" s="5"/>
      <c r="T172" s="5"/>
      <c r="U172">
        <f>COS(RADIANS(W167))*U167</f>
        <v>0</v>
      </c>
      <c r="V172" s="5"/>
      <c r="W172" s="6"/>
    </row>
    <row r="173" spans="11:28" x14ac:dyDescent="0.25">
      <c r="K173" s="13"/>
      <c r="L173" s="19"/>
      <c r="M173" s="19" t="s">
        <v>49</v>
      </c>
      <c r="N173" s="19"/>
      <c r="O173">
        <f>SIN(RADIANS(Q167))*O167</f>
        <v>0</v>
      </c>
      <c r="P173" s="19"/>
      <c r="Q173" s="19"/>
      <c r="R173">
        <f>SIN(RADIANS(T167))*R167</f>
        <v>0</v>
      </c>
      <c r="S173" s="19"/>
      <c r="T173" s="19"/>
      <c r="U173">
        <f>SIN(RADIANS(W167))*U167</f>
        <v>0</v>
      </c>
      <c r="V173" s="19"/>
      <c r="W173" s="14"/>
    </row>
    <row r="174" spans="11:28" x14ac:dyDescent="0.25">
      <c r="K174" s="58"/>
      <c r="L174" s="59"/>
      <c r="M174" s="59"/>
      <c r="N174" s="59"/>
      <c r="O174" s="60"/>
      <c r="P174" s="59"/>
      <c r="Q174" s="59"/>
      <c r="R174" s="60"/>
      <c r="S174" s="59"/>
      <c r="T174" s="59"/>
      <c r="U174" s="60"/>
      <c r="V174" s="59"/>
      <c r="W174" s="61"/>
    </row>
    <row r="175" spans="11:28" x14ac:dyDescent="0.25">
      <c r="K175" s="4" t="s">
        <v>63</v>
      </c>
      <c r="L175" s="5"/>
      <c r="M175" s="5" t="s">
        <v>48</v>
      </c>
      <c r="N175" s="5"/>
      <c r="O175" s="57">
        <f>'Tavle +A11'!$C$137</f>
        <v>0</v>
      </c>
      <c r="P175" s="5"/>
      <c r="Q175" s="5"/>
      <c r="R175" s="57">
        <f>'Tavle +A11'!$F$137</f>
        <v>0</v>
      </c>
      <c r="S175" s="5"/>
      <c r="T175" s="5"/>
      <c r="U175" s="57">
        <f>'Tavle +A11'!$I$137</f>
        <v>0</v>
      </c>
      <c r="V175" s="5"/>
      <c r="W175" s="6"/>
    </row>
    <row r="176" spans="11:28" x14ac:dyDescent="0.25">
      <c r="K176" s="13"/>
      <c r="L176" s="19"/>
      <c r="M176" s="19" t="s">
        <v>49</v>
      </c>
      <c r="N176" s="19"/>
      <c r="O176" s="56">
        <f>'Tavle +A11'!$C$138</f>
        <v>0</v>
      </c>
      <c r="P176" s="19"/>
      <c r="Q176" s="19"/>
      <c r="R176" s="56">
        <f>'Tavle +A11'!$F$138</f>
        <v>0</v>
      </c>
      <c r="S176" s="19"/>
      <c r="T176" s="19"/>
      <c r="U176" s="56">
        <f>'Tavle +A11'!$I$138</f>
        <v>0</v>
      </c>
      <c r="V176" s="19"/>
      <c r="W176" s="14"/>
    </row>
    <row r="177" spans="11:27" x14ac:dyDescent="0.25">
      <c r="K177" s="58"/>
      <c r="L177" s="59"/>
      <c r="M177" s="59"/>
      <c r="N177" s="59"/>
      <c r="O177" s="60"/>
      <c r="P177" s="59"/>
      <c r="Q177" s="59"/>
      <c r="R177" s="60"/>
      <c r="S177" s="59"/>
      <c r="T177" s="59"/>
      <c r="U177" s="60"/>
      <c r="V177" s="59"/>
      <c r="W177" s="61"/>
    </row>
    <row r="178" spans="11:27" x14ac:dyDescent="0.25">
      <c r="K178" s="4" t="s">
        <v>71</v>
      </c>
      <c r="L178" s="5"/>
      <c r="M178" s="5" t="s">
        <v>48</v>
      </c>
      <c r="N178" s="5"/>
      <c r="O178" s="57">
        <f>'Tavle +A12'!$C$137</f>
        <v>0</v>
      </c>
      <c r="P178" s="5"/>
      <c r="Q178" s="5"/>
      <c r="R178" s="57">
        <f>'Tavle +A12'!$F$137</f>
        <v>0</v>
      </c>
      <c r="S178" s="5"/>
      <c r="T178" s="5"/>
      <c r="U178" s="57">
        <f>'Tavle +A12'!$I$137</f>
        <v>0</v>
      </c>
      <c r="V178" s="5"/>
      <c r="W178" s="6"/>
    </row>
    <row r="179" spans="11:27" x14ac:dyDescent="0.25">
      <c r="K179" s="13"/>
      <c r="L179" s="19"/>
      <c r="M179" s="19" t="s">
        <v>49</v>
      </c>
      <c r="N179" s="19"/>
      <c r="O179" s="56">
        <f>'Tavle +A12'!$C$138</f>
        <v>0</v>
      </c>
      <c r="P179" s="19"/>
      <c r="Q179" s="19"/>
      <c r="R179" s="56">
        <f>'Tavle +A12'!$F$138</f>
        <v>0</v>
      </c>
      <c r="S179" s="19"/>
      <c r="T179" s="19"/>
      <c r="U179" s="56">
        <f>'Tavle +A12'!$I$138</f>
        <v>0</v>
      </c>
      <c r="V179" s="19"/>
      <c r="W179" s="14"/>
    </row>
    <row r="180" spans="11:27" x14ac:dyDescent="0.25">
      <c r="K180" s="58"/>
      <c r="L180" s="59"/>
      <c r="M180" s="59"/>
      <c r="N180" s="59"/>
      <c r="O180" s="60"/>
      <c r="P180" s="59"/>
      <c r="Q180" s="59"/>
      <c r="R180" s="60"/>
      <c r="S180" s="59"/>
      <c r="T180" s="59"/>
      <c r="U180" s="60"/>
      <c r="V180" s="59"/>
      <c r="W180" s="61"/>
    </row>
    <row r="181" spans="11:27" x14ac:dyDescent="0.25">
      <c r="K181" s="4" t="s">
        <v>72</v>
      </c>
      <c r="L181" s="5"/>
      <c r="M181" s="5" t="s">
        <v>48</v>
      </c>
      <c r="N181" s="5"/>
      <c r="O181" s="57">
        <f>'Tavle +A13'!$C$137</f>
        <v>0</v>
      </c>
      <c r="P181" s="5"/>
      <c r="Q181" s="5"/>
      <c r="R181" s="57">
        <f>'Tavle +A13'!$F$137</f>
        <v>0</v>
      </c>
      <c r="S181" s="5"/>
      <c r="T181" s="5"/>
      <c r="U181" s="57">
        <f>'Tavle +A13'!$I$137</f>
        <v>0</v>
      </c>
      <c r="V181" s="5"/>
      <c r="W181" s="6"/>
    </row>
    <row r="182" spans="11:27" x14ac:dyDescent="0.25">
      <c r="K182" s="13"/>
      <c r="L182" s="19"/>
      <c r="M182" s="19" t="s">
        <v>49</v>
      </c>
      <c r="N182" s="19"/>
      <c r="O182" s="56">
        <f>'Tavle +A13'!$C$138</f>
        <v>0</v>
      </c>
      <c r="P182" s="19"/>
      <c r="Q182" s="19"/>
      <c r="R182" s="56">
        <f>'Tavle +A13'!$F$138</f>
        <v>0</v>
      </c>
      <c r="S182" s="19"/>
      <c r="T182" s="19"/>
      <c r="U182" s="56">
        <f>'Tavle +A13'!$I$138</f>
        <v>0</v>
      </c>
      <c r="V182" s="19"/>
      <c r="W182" s="14"/>
    </row>
    <row r="183" spans="11:27" x14ac:dyDescent="0.25">
      <c r="K183" s="58"/>
      <c r="L183" s="59"/>
      <c r="M183" s="59"/>
      <c r="N183" s="59"/>
      <c r="O183" s="60"/>
      <c r="P183" s="59"/>
      <c r="Q183" s="59"/>
      <c r="R183" s="60"/>
      <c r="S183" s="59"/>
      <c r="T183" s="59"/>
      <c r="U183" s="60"/>
      <c r="V183" s="59"/>
      <c r="W183" s="61"/>
    </row>
    <row r="184" spans="11:27" x14ac:dyDescent="0.25">
      <c r="K184" s="4" t="s">
        <v>73</v>
      </c>
      <c r="L184" s="5"/>
      <c r="M184" s="5" t="s">
        <v>48</v>
      </c>
      <c r="N184" s="5"/>
      <c r="O184" s="57">
        <f>'Tavle +A14'!$C$137</f>
        <v>0</v>
      </c>
      <c r="P184" s="5"/>
      <c r="Q184" s="5"/>
      <c r="R184" s="57">
        <f>'Tavle +A14'!$F$137</f>
        <v>0</v>
      </c>
      <c r="S184" s="5"/>
      <c r="T184" s="5"/>
      <c r="U184" s="57">
        <f>'Tavle +A14'!$I$137</f>
        <v>0</v>
      </c>
      <c r="V184" s="5"/>
      <c r="W184" s="6"/>
    </row>
    <row r="185" spans="11:27" x14ac:dyDescent="0.25">
      <c r="K185" s="13"/>
      <c r="L185" s="19"/>
      <c r="M185" s="19" t="s">
        <v>49</v>
      </c>
      <c r="N185" s="19"/>
      <c r="O185" s="56">
        <f>'Tavle +A14'!$C$138</f>
        <v>0</v>
      </c>
      <c r="P185" s="19"/>
      <c r="Q185" s="19"/>
      <c r="R185" s="56">
        <f>'Tavle +A14'!$F$138</f>
        <v>0</v>
      </c>
      <c r="S185" s="19"/>
      <c r="T185" s="19"/>
      <c r="U185" s="56">
        <f>'Tavle +A14'!$I$138</f>
        <v>0</v>
      </c>
      <c r="V185" s="19"/>
      <c r="W185" s="14"/>
    </row>
    <row r="186" spans="11:27" x14ac:dyDescent="0.25">
      <c r="K186" s="58"/>
      <c r="L186" s="59"/>
      <c r="M186" s="59"/>
      <c r="N186" s="59"/>
      <c r="O186" s="60"/>
      <c r="P186" s="59"/>
      <c r="Q186" s="59"/>
      <c r="R186" s="60"/>
      <c r="S186" s="59"/>
      <c r="T186" s="59"/>
      <c r="U186" s="60"/>
      <c r="V186" s="59"/>
      <c r="W186" s="61"/>
    </row>
    <row r="187" spans="11:27" x14ac:dyDescent="0.25">
      <c r="K187" s="4" t="s">
        <v>74</v>
      </c>
      <c r="L187" s="5"/>
      <c r="M187" s="5" t="s">
        <v>48</v>
      </c>
      <c r="N187" s="5"/>
      <c r="O187" s="57">
        <f>'Tavle +A15'!$C$137</f>
        <v>0</v>
      </c>
      <c r="P187" s="5"/>
      <c r="Q187" s="5"/>
      <c r="R187" s="57">
        <f>'Tavle +A15'!$F$137</f>
        <v>0</v>
      </c>
      <c r="S187" s="5"/>
      <c r="T187" s="5"/>
      <c r="U187" s="57">
        <f>'Tavle +A15'!$I$137</f>
        <v>0</v>
      </c>
      <c r="V187" s="5"/>
      <c r="W187" s="6"/>
    </row>
    <row r="188" spans="11:27" x14ac:dyDescent="0.25">
      <c r="K188" s="13"/>
      <c r="L188" s="19"/>
      <c r="M188" s="19" t="s">
        <v>49</v>
      </c>
      <c r="N188" s="19"/>
      <c r="O188" s="56">
        <f>'Tavle +A15'!$C$138</f>
        <v>0</v>
      </c>
      <c r="P188" s="19"/>
      <c r="Q188" s="19"/>
      <c r="R188" s="56">
        <f>'Tavle +A15'!$F$138</f>
        <v>0</v>
      </c>
      <c r="S188" s="19"/>
      <c r="T188" s="19"/>
      <c r="U188" s="56">
        <f>'Tavle +A15'!$I$138</f>
        <v>0</v>
      </c>
      <c r="V188" s="19"/>
      <c r="W188" s="14"/>
      <c r="X188" t="s">
        <v>85</v>
      </c>
    </row>
    <row r="190" spans="11:27" x14ac:dyDescent="0.25">
      <c r="K190" t="s">
        <v>82</v>
      </c>
      <c r="M190" s="5" t="s">
        <v>48</v>
      </c>
      <c r="O190">
        <f>O172+O175+O178+O181+O184+O187</f>
        <v>0</v>
      </c>
      <c r="R190">
        <f>R172+R175+R178+R181+R184+R187</f>
        <v>0</v>
      </c>
      <c r="U190">
        <f>U172+U175+U178+U181+U184+U187</f>
        <v>0</v>
      </c>
      <c r="X190" s="62">
        <f>O190+R190+U190</f>
        <v>0</v>
      </c>
      <c r="AA190" t="str">
        <f>COMPLEX(O190+R190+U190,O191+R191+U191)</f>
        <v>0</v>
      </c>
    </row>
    <row r="191" spans="11:27" x14ac:dyDescent="0.25">
      <c r="M191" s="19" t="s">
        <v>49</v>
      </c>
      <c r="O191">
        <f>O173+O176+O179+O182+O185+O188</f>
        <v>0</v>
      </c>
      <c r="R191">
        <f>R173+R176+R179+R182+R185+R188</f>
        <v>0</v>
      </c>
      <c r="U191">
        <f>U173+U176+U179+U182+U185+U188</f>
        <v>0</v>
      </c>
      <c r="X191" s="62">
        <f>O191+R191+U191</f>
        <v>0</v>
      </c>
    </row>
    <row r="195" spans="14:26" x14ac:dyDescent="0.25">
      <c r="N195" t="s">
        <v>83</v>
      </c>
      <c r="O195">
        <f>COS(RADIANS(Q28))*O28</f>
        <v>0</v>
      </c>
      <c r="R195">
        <f>COS(RADIANS(T28))*R28</f>
        <v>0</v>
      </c>
      <c r="U195">
        <f>COS(RADIANS(W28))*U28</f>
        <v>0</v>
      </c>
    </row>
    <row r="196" spans="14:26" x14ac:dyDescent="0.25">
      <c r="N196" t="s">
        <v>84</v>
      </c>
      <c r="O196">
        <f>SIN(RADIANS(Q28))*O28</f>
        <v>0</v>
      </c>
      <c r="R196">
        <f>SIN(RADIANS(T28))*R28</f>
        <v>0</v>
      </c>
      <c r="U196">
        <f>SIN(RADIANS(W28))*U28</f>
        <v>0</v>
      </c>
      <c r="X196" t="str">
        <f>COMPLEX(O195+R195+U195,O196+R196+U196)</f>
        <v>0</v>
      </c>
    </row>
    <row r="199" spans="14:26" x14ac:dyDescent="0.25">
      <c r="X199" s="63" t="s">
        <v>97</v>
      </c>
    </row>
    <row r="201" spans="14:26" x14ac:dyDescent="0.25">
      <c r="X201" t="s">
        <v>98</v>
      </c>
      <c r="Z201">
        <f>'Tavle +A11'!I5*'Tavle +A11'!Q3*'Tavle +A11'!T3</f>
        <v>0</v>
      </c>
    </row>
    <row r="202" spans="14:26" x14ac:dyDescent="0.25">
      <c r="X202" t="s">
        <v>99</v>
      </c>
      <c r="Z202">
        <f>'Tavle +A12'!I5*'Tavle +A12'!Q3*'Tavle +A12'!T3</f>
        <v>0</v>
      </c>
    </row>
    <row r="203" spans="14:26" x14ac:dyDescent="0.25">
      <c r="X203" t="s">
        <v>100</v>
      </c>
      <c r="Z203">
        <f>'Tavle +A13'!I5*'Tavle +A13'!Q3*'Tavle +A13'!T3</f>
        <v>0</v>
      </c>
    </row>
    <row r="204" spans="14:26" x14ac:dyDescent="0.25">
      <c r="X204" t="s">
        <v>101</v>
      </c>
      <c r="Z204">
        <f>'Tavle +A14'!I5*'Tavle +A14'!Q3*'Tavle +A14'!T3</f>
        <v>0</v>
      </c>
    </row>
    <row r="205" spans="14:26" x14ac:dyDescent="0.25">
      <c r="X205" t="s">
        <v>102</v>
      </c>
      <c r="Z205">
        <f>'Tavle +A15'!I5*'Tavle +A15'!Q3*'Tavle +A15'!T3</f>
        <v>0</v>
      </c>
    </row>
    <row r="206" spans="14:26" x14ac:dyDescent="0.25">
      <c r="X206" s="22" t="s">
        <v>82</v>
      </c>
      <c r="Y206" s="22"/>
      <c r="Z206" s="22">
        <f>SUM(Z201:Z205)</f>
        <v>0</v>
      </c>
    </row>
    <row r="600" spans="5:5" x14ac:dyDescent="0.25">
      <c r="E600">
        <v>1</v>
      </c>
    </row>
  </sheetData>
  <conditionalFormatting sqref="M8">
    <cfRule type="expression" dxfId="14" priority="15">
      <formula>$L$51=2</formula>
    </cfRule>
  </conditionalFormatting>
  <conditionalFormatting sqref="M9">
    <cfRule type="expression" dxfId="13" priority="14">
      <formula>$L$55=2</formula>
    </cfRule>
  </conditionalFormatting>
  <conditionalFormatting sqref="M10">
    <cfRule type="expression" dxfId="12" priority="13">
      <formula>$L$59=2</formula>
    </cfRule>
  </conditionalFormatting>
  <conditionalFormatting sqref="M11">
    <cfRule type="expression" dxfId="11" priority="12">
      <formula>$L$63=2</formula>
    </cfRule>
  </conditionalFormatting>
  <conditionalFormatting sqref="M12">
    <cfRule type="expression" dxfId="10" priority="11">
      <formula>$L$67=2</formula>
    </cfRule>
  </conditionalFormatting>
  <conditionalFormatting sqref="M13">
    <cfRule type="expression" dxfId="9" priority="10">
      <formula>$L$71=2</formula>
    </cfRule>
  </conditionalFormatting>
  <conditionalFormatting sqref="M14">
    <cfRule type="expression" dxfId="8" priority="9">
      <formula>$L$75=2</formula>
    </cfRule>
  </conditionalFormatting>
  <conditionalFormatting sqref="M15">
    <cfRule type="expression" dxfId="7" priority="8">
      <formula>$L$79=2</formula>
    </cfRule>
  </conditionalFormatting>
  <conditionalFormatting sqref="M16">
    <cfRule type="expression" dxfId="6" priority="7">
      <formula>$L$83=2</formula>
    </cfRule>
  </conditionalFormatting>
  <conditionalFormatting sqref="M17">
    <cfRule type="expression" dxfId="5" priority="6">
      <formula>$L$87=2</formula>
    </cfRule>
  </conditionalFormatting>
  <conditionalFormatting sqref="M18">
    <cfRule type="expression" dxfId="4" priority="5">
      <formula>$L$91=2</formula>
    </cfRule>
  </conditionalFormatting>
  <conditionalFormatting sqref="M19">
    <cfRule type="expression" dxfId="3" priority="4">
      <formula>$L$95=2</formula>
    </cfRule>
  </conditionalFormatting>
  <conditionalFormatting sqref="M20">
    <cfRule type="expression" dxfId="2" priority="3">
      <formula>$L$99=2</formula>
    </cfRule>
  </conditionalFormatting>
  <conditionalFormatting sqref="M21">
    <cfRule type="expression" dxfId="1" priority="2">
      <formula>$L$103=2</formula>
    </cfRule>
  </conditionalFormatting>
  <conditionalFormatting sqref="M22">
    <cfRule type="expression" dxfId="0" priority="1">
      <formula>$L$107=2</formula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Drop Down 1">
              <controlPr locked="0" defaultSize="0" autoLine="0" autoPict="0">
                <anchor moveWithCells="1">
                  <from>
                    <xdr:col>4</xdr:col>
                    <xdr:colOff>9525</xdr:colOff>
                    <xdr:row>7</xdr:row>
                    <xdr:rowOff>9525</xdr:rowOff>
                  </from>
                  <to>
                    <xdr:col>5</xdr:col>
                    <xdr:colOff>9525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5" name="Drop Down 2">
              <controlPr locked="0" defaultSize="0" autoLine="0" autoPict="0">
                <anchor moveWithCells="1">
                  <from>
                    <xdr:col>4</xdr:col>
                    <xdr:colOff>9525</xdr:colOff>
                    <xdr:row>8</xdr:row>
                    <xdr:rowOff>9525</xdr:rowOff>
                  </from>
                  <to>
                    <xdr:col>5</xdr:col>
                    <xdr:colOff>9525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r:id="rId6" name="Drop Down 3">
              <controlPr locked="0" defaultSize="0" autoLine="0" autoPict="0">
                <anchor moveWithCells="1">
                  <from>
                    <xdr:col>4</xdr:col>
                    <xdr:colOff>9525</xdr:colOff>
                    <xdr:row>9</xdr:row>
                    <xdr:rowOff>9525</xdr:rowOff>
                  </from>
                  <to>
                    <xdr:col>5</xdr:col>
                    <xdr:colOff>9525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8" r:id="rId7" name="Drop Down 4">
              <controlPr locked="0" defaultSize="0" autoLine="0" autoPict="0">
                <anchor moveWithCells="1">
                  <from>
                    <xdr:col>4</xdr:col>
                    <xdr:colOff>9525</xdr:colOff>
                    <xdr:row>10</xdr:row>
                    <xdr:rowOff>9525</xdr:rowOff>
                  </from>
                  <to>
                    <xdr:col>5</xdr:col>
                    <xdr:colOff>9525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9" r:id="rId8" name="Drop Down 5">
              <controlPr locked="0" defaultSize="0" autoLine="0" autoPict="0">
                <anchor moveWithCells="1">
                  <from>
                    <xdr:col>4</xdr:col>
                    <xdr:colOff>9525</xdr:colOff>
                    <xdr:row>11</xdr:row>
                    <xdr:rowOff>9525</xdr:rowOff>
                  </from>
                  <to>
                    <xdr:col>5</xdr:col>
                    <xdr:colOff>9525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0" r:id="rId9" name="Drop Down 6">
              <controlPr locked="0" defaultSize="0" autoLine="0" autoPict="0">
                <anchor moveWithCells="1">
                  <from>
                    <xdr:col>4</xdr:col>
                    <xdr:colOff>9525</xdr:colOff>
                    <xdr:row>12</xdr:row>
                    <xdr:rowOff>9525</xdr:rowOff>
                  </from>
                  <to>
                    <xdr:col>5</xdr:col>
                    <xdr:colOff>9525</xdr:colOff>
                    <xdr:row>12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1" r:id="rId10" name="Drop Down 7">
              <controlPr locked="0" defaultSize="0" autoLine="0" autoPict="0">
                <anchor moveWithCells="1">
                  <from>
                    <xdr:col>4</xdr:col>
                    <xdr:colOff>9525</xdr:colOff>
                    <xdr:row>13</xdr:row>
                    <xdr:rowOff>9525</xdr:rowOff>
                  </from>
                  <to>
                    <xdr:col>5</xdr:col>
                    <xdr:colOff>9525</xdr:colOff>
                    <xdr:row>13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2" r:id="rId11" name="Drop Down 8">
              <controlPr locked="0" defaultSize="0" autoLine="0" autoPict="0">
                <anchor moveWithCells="1">
                  <from>
                    <xdr:col>4</xdr:col>
                    <xdr:colOff>9525</xdr:colOff>
                    <xdr:row>14</xdr:row>
                    <xdr:rowOff>9525</xdr:rowOff>
                  </from>
                  <to>
                    <xdr:col>5</xdr:col>
                    <xdr:colOff>9525</xdr:colOff>
                    <xdr:row>14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3" r:id="rId12" name="Drop Down 9">
              <controlPr locked="0" defaultSize="0" autoLine="0" autoPict="0">
                <anchor moveWithCells="1">
                  <from>
                    <xdr:col>4</xdr:col>
                    <xdr:colOff>9525</xdr:colOff>
                    <xdr:row>15</xdr:row>
                    <xdr:rowOff>9525</xdr:rowOff>
                  </from>
                  <to>
                    <xdr:col>5</xdr:col>
                    <xdr:colOff>9525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4" r:id="rId13" name="Drop Down 10">
              <controlPr locked="0" defaultSize="0" autoLine="0" autoPict="0">
                <anchor moveWithCells="1">
                  <from>
                    <xdr:col>4</xdr:col>
                    <xdr:colOff>9525</xdr:colOff>
                    <xdr:row>16</xdr:row>
                    <xdr:rowOff>9525</xdr:rowOff>
                  </from>
                  <to>
                    <xdr:col>5</xdr:col>
                    <xdr:colOff>9525</xdr:colOff>
                    <xdr:row>16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5" r:id="rId14" name="Drop Down 11">
              <controlPr locked="0" defaultSize="0" autoLine="0" autoPict="0">
                <anchor moveWithCells="1">
                  <from>
                    <xdr:col>4</xdr:col>
                    <xdr:colOff>9525</xdr:colOff>
                    <xdr:row>17</xdr:row>
                    <xdr:rowOff>9525</xdr:rowOff>
                  </from>
                  <to>
                    <xdr:col>5</xdr:col>
                    <xdr:colOff>9525</xdr:colOff>
                    <xdr:row>17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6" r:id="rId15" name="Drop Down 12">
              <controlPr locked="0" defaultSize="0" autoLine="0" autoPict="0">
                <anchor moveWithCells="1">
                  <from>
                    <xdr:col>4</xdr:col>
                    <xdr:colOff>9525</xdr:colOff>
                    <xdr:row>18</xdr:row>
                    <xdr:rowOff>9525</xdr:rowOff>
                  </from>
                  <to>
                    <xdr:col>5</xdr:col>
                    <xdr:colOff>9525</xdr:colOff>
                    <xdr:row>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7" r:id="rId16" name="Drop Down 13">
              <controlPr locked="0" defaultSize="0" autoLine="0" autoPict="0">
                <anchor moveWithCells="1">
                  <from>
                    <xdr:col>4</xdr:col>
                    <xdr:colOff>9525</xdr:colOff>
                    <xdr:row>19</xdr:row>
                    <xdr:rowOff>9525</xdr:rowOff>
                  </from>
                  <to>
                    <xdr:col>5</xdr:col>
                    <xdr:colOff>9525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8" r:id="rId17" name="Drop Down 14">
              <controlPr locked="0" defaultSize="0" autoLine="0" autoPict="0">
                <anchor moveWithCells="1">
                  <from>
                    <xdr:col>4</xdr:col>
                    <xdr:colOff>9525</xdr:colOff>
                    <xdr:row>20</xdr:row>
                    <xdr:rowOff>9525</xdr:rowOff>
                  </from>
                  <to>
                    <xdr:col>5</xdr:col>
                    <xdr:colOff>9525</xdr:colOff>
                    <xdr:row>20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9" r:id="rId18" name="Drop Down 15">
              <controlPr locked="0" defaultSize="0" autoLine="0" autoPict="0">
                <anchor moveWithCells="1">
                  <from>
                    <xdr:col>4</xdr:col>
                    <xdr:colOff>9525</xdr:colOff>
                    <xdr:row>21</xdr:row>
                    <xdr:rowOff>9525</xdr:rowOff>
                  </from>
                  <to>
                    <xdr:col>5</xdr:col>
                    <xdr:colOff>9525</xdr:colOff>
                    <xdr:row>21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0" r:id="rId19" name="Drop Down 16">
              <controlPr locked="0" defaultSize="0" autoLine="0" autoPict="0">
                <anchor moveWithCells="1">
                  <from>
                    <xdr:col>9</xdr:col>
                    <xdr:colOff>9525</xdr:colOff>
                    <xdr:row>7</xdr:row>
                    <xdr:rowOff>9525</xdr:rowOff>
                  </from>
                  <to>
                    <xdr:col>10</xdr:col>
                    <xdr:colOff>9525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1" r:id="rId20" name="Drop Down 17">
              <controlPr defaultSize="0" autoLine="0" autoPict="0">
                <anchor moveWithCells="1">
                  <from>
                    <xdr:col>9</xdr:col>
                    <xdr:colOff>9525</xdr:colOff>
                    <xdr:row>8</xdr:row>
                    <xdr:rowOff>9525</xdr:rowOff>
                  </from>
                  <to>
                    <xdr:col>10</xdr:col>
                    <xdr:colOff>9525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2" r:id="rId21" name="Drop Down 18">
              <controlPr defaultSize="0" autoLine="0" autoPict="0">
                <anchor moveWithCells="1">
                  <from>
                    <xdr:col>9</xdr:col>
                    <xdr:colOff>9525</xdr:colOff>
                    <xdr:row>9</xdr:row>
                    <xdr:rowOff>9525</xdr:rowOff>
                  </from>
                  <to>
                    <xdr:col>10</xdr:col>
                    <xdr:colOff>9525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3" r:id="rId22" name="Drop Down 19">
              <controlPr defaultSize="0" autoLine="0" autoPict="0">
                <anchor moveWithCells="1">
                  <from>
                    <xdr:col>9</xdr:col>
                    <xdr:colOff>9525</xdr:colOff>
                    <xdr:row>10</xdr:row>
                    <xdr:rowOff>9525</xdr:rowOff>
                  </from>
                  <to>
                    <xdr:col>10</xdr:col>
                    <xdr:colOff>9525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4" r:id="rId23" name="Drop Down 20">
              <controlPr defaultSize="0" autoLine="0" autoPict="0">
                <anchor moveWithCells="1">
                  <from>
                    <xdr:col>9</xdr:col>
                    <xdr:colOff>9525</xdr:colOff>
                    <xdr:row>11</xdr:row>
                    <xdr:rowOff>9525</xdr:rowOff>
                  </from>
                  <to>
                    <xdr:col>10</xdr:col>
                    <xdr:colOff>9525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5" r:id="rId24" name="Drop Down 21">
              <controlPr defaultSize="0" autoLine="0" autoPict="0">
                <anchor moveWithCells="1">
                  <from>
                    <xdr:col>9</xdr:col>
                    <xdr:colOff>9525</xdr:colOff>
                    <xdr:row>12</xdr:row>
                    <xdr:rowOff>9525</xdr:rowOff>
                  </from>
                  <to>
                    <xdr:col>10</xdr:col>
                    <xdr:colOff>9525</xdr:colOff>
                    <xdr:row>12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6" r:id="rId25" name="Drop Down 22">
              <controlPr defaultSize="0" autoLine="0" autoPict="0">
                <anchor moveWithCells="1">
                  <from>
                    <xdr:col>9</xdr:col>
                    <xdr:colOff>9525</xdr:colOff>
                    <xdr:row>13</xdr:row>
                    <xdr:rowOff>9525</xdr:rowOff>
                  </from>
                  <to>
                    <xdr:col>10</xdr:col>
                    <xdr:colOff>9525</xdr:colOff>
                    <xdr:row>13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7" r:id="rId26" name="Drop Down 23">
              <controlPr defaultSize="0" autoLine="0" autoPict="0">
                <anchor moveWithCells="1">
                  <from>
                    <xdr:col>9</xdr:col>
                    <xdr:colOff>9525</xdr:colOff>
                    <xdr:row>14</xdr:row>
                    <xdr:rowOff>9525</xdr:rowOff>
                  </from>
                  <to>
                    <xdr:col>10</xdr:col>
                    <xdr:colOff>9525</xdr:colOff>
                    <xdr:row>14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8" r:id="rId27" name="Drop Down 24">
              <controlPr defaultSize="0" autoLine="0" autoPict="0">
                <anchor moveWithCells="1">
                  <from>
                    <xdr:col>9</xdr:col>
                    <xdr:colOff>9525</xdr:colOff>
                    <xdr:row>15</xdr:row>
                    <xdr:rowOff>9525</xdr:rowOff>
                  </from>
                  <to>
                    <xdr:col>10</xdr:col>
                    <xdr:colOff>9525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9" r:id="rId28" name="Drop Down 25">
              <controlPr defaultSize="0" autoLine="0" autoPict="0">
                <anchor moveWithCells="1">
                  <from>
                    <xdr:col>9</xdr:col>
                    <xdr:colOff>9525</xdr:colOff>
                    <xdr:row>16</xdr:row>
                    <xdr:rowOff>9525</xdr:rowOff>
                  </from>
                  <to>
                    <xdr:col>10</xdr:col>
                    <xdr:colOff>9525</xdr:colOff>
                    <xdr:row>16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0" r:id="rId29" name="Drop Down 26">
              <controlPr defaultSize="0" autoLine="0" autoPict="0">
                <anchor moveWithCells="1">
                  <from>
                    <xdr:col>9</xdr:col>
                    <xdr:colOff>9525</xdr:colOff>
                    <xdr:row>17</xdr:row>
                    <xdr:rowOff>9525</xdr:rowOff>
                  </from>
                  <to>
                    <xdr:col>10</xdr:col>
                    <xdr:colOff>9525</xdr:colOff>
                    <xdr:row>17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1" r:id="rId30" name="Drop Down 27">
              <controlPr defaultSize="0" autoLine="0" autoPict="0">
                <anchor moveWithCells="1">
                  <from>
                    <xdr:col>9</xdr:col>
                    <xdr:colOff>9525</xdr:colOff>
                    <xdr:row>18</xdr:row>
                    <xdr:rowOff>9525</xdr:rowOff>
                  </from>
                  <to>
                    <xdr:col>10</xdr:col>
                    <xdr:colOff>9525</xdr:colOff>
                    <xdr:row>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2" r:id="rId31" name="Drop Down 28">
              <controlPr defaultSize="0" autoLine="0" autoPict="0">
                <anchor moveWithCells="1">
                  <from>
                    <xdr:col>9</xdr:col>
                    <xdr:colOff>9525</xdr:colOff>
                    <xdr:row>19</xdr:row>
                    <xdr:rowOff>9525</xdr:rowOff>
                  </from>
                  <to>
                    <xdr:col>10</xdr:col>
                    <xdr:colOff>9525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3" r:id="rId32" name="Drop Down 29">
              <controlPr defaultSize="0" autoLine="0" autoPict="0">
                <anchor moveWithCells="1">
                  <from>
                    <xdr:col>9</xdr:col>
                    <xdr:colOff>9525</xdr:colOff>
                    <xdr:row>20</xdr:row>
                    <xdr:rowOff>9525</xdr:rowOff>
                  </from>
                  <to>
                    <xdr:col>10</xdr:col>
                    <xdr:colOff>9525</xdr:colOff>
                    <xdr:row>20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4" r:id="rId33" name="Drop Down 30">
              <controlPr defaultSize="0" autoLine="0" autoPict="0">
                <anchor moveWithCells="1">
                  <from>
                    <xdr:col>9</xdr:col>
                    <xdr:colOff>9525</xdr:colOff>
                    <xdr:row>21</xdr:row>
                    <xdr:rowOff>9525</xdr:rowOff>
                  </from>
                  <to>
                    <xdr:col>10</xdr:col>
                    <xdr:colOff>9525</xdr:colOff>
                    <xdr:row>21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5" r:id="rId34" name="Drop Down 31">
              <controlPr locked="0" defaultSize="0" autoLine="0" autoPict="0">
                <anchor moveWithCells="1">
                  <from>
                    <xdr:col>9</xdr:col>
                    <xdr:colOff>9525</xdr:colOff>
                    <xdr:row>8</xdr:row>
                    <xdr:rowOff>9525</xdr:rowOff>
                  </from>
                  <to>
                    <xdr:col>10</xdr:col>
                    <xdr:colOff>9525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6" r:id="rId35" name="Drop Down 32">
              <controlPr locked="0" defaultSize="0" autoLine="0" autoPict="0">
                <anchor moveWithCells="1">
                  <from>
                    <xdr:col>9</xdr:col>
                    <xdr:colOff>9525</xdr:colOff>
                    <xdr:row>9</xdr:row>
                    <xdr:rowOff>9525</xdr:rowOff>
                  </from>
                  <to>
                    <xdr:col>10</xdr:col>
                    <xdr:colOff>9525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7" r:id="rId36" name="Drop Down 33">
              <controlPr locked="0" defaultSize="0" autoLine="0" autoPict="0">
                <anchor moveWithCells="1">
                  <from>
                    <xdr:col>9</xdr:col>
                    <xdr:colOff>9525</xdr:colOff>
                    <xdr:row>10</xdr:row>
                    <xdr:rowOff>9525</xdr:rowOff>
                  </from>
                  <to>
                    <xdr:col>10</xdr:col>
                    <xdr:colOff>9525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8" r:id="rId37" name="Drop Down 34">
              <controlPr locked="0" defaultSize="0" autoLine="0" autoPict="0">
                <anchor moveWithCells="1">
                  <from>
                    <xdr:col>9</xdr:col>
                    <xdr:colOff>9525</xdr:colOff>
                    <xdr:row>11</xdr:row>
                    <xdr:rowOff>9525</xdr:rowOff>
                  </from>
                  <to>
                    <xdr:col>10</xdr:col>
                    <xdr:colOff>9525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9" r:id="rId38" name="Drop Down 35">
              <controlPr locked="0" defaultSize="0" autoLine="0" autoPict="0">
                <anchor moveWithCells="1">
                  <from>
                    <xdr:col>9</xdr:col>
                    <xdr:colOff>9525</xdr:colOff>
                    <xdr:row>12</xdr:row>
                    <xdr:rowOff>9525</xdr:rowOff>
                  </from>
                  <to>
                    <xdr:col>10</xdr:col>
                    <xdr:colOff>9525</xdr:colOff>
                    <xdr:row>12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0" r:id="rId39" name="Drop Down 36">
              <controlPr locked="0" defaultSize="0" autoLine="0" autoPict="0">
                <anchor moveWithCells="1">
                  <from>
                    <xdr:col>9</xdr:col>
                    <xdr:colOff>9525</xdr:colOff>
                    <xdr:row>13</xdr:row>
                    <xdr:rowOff>9525</xdr:rowOff>
                  </from>
                  <to>
                    <xdr:col>10</xdr:col>
                    <xdr:colOff>9525</xdr:colOff>
                    <xdr:row>13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1" r:id="rId40" name="Drop Down 37">
              <controlPr locked="0" defaultSize="0" autoLine="0" autoPict="0">
                <anchor moveWithCells="1">
                  <from>
                    <xdr:col>9</xdr:col>
                    <xdr:colOff>9525</xdr:colOff>
                    <xdr:row>14</xdr:row>
                    <xdr:rowOff>9525</xdr:rowOff>
                  </from>
                  <to>
                    <xdr:col>10</xdr:col>
                    <xdr:colOff>9525</xdr:colOff>
                    <xdr:row>14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2" r:id="rId41" name="Drop Down 38">
              <controlPr locked="0" defaultSize="0" autoLine="0" autoPict="0">
                <anchor moveWithCells="1">
                  <from>
                    <xdr:col>9</xdr:col>
                    <xdr:colOff>9525</xdr:colOff>
                    <xdr:row>15</xdr:row>
                    <xdr:rowOff>9525</xdr:rowOff>
                  </from>
                  <to>
                    <xdr:col>10</xdr:col>
                    <xdr:colOff>9525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3" r:id="rId42" name="Drop Down 39">
              <controlPr locked="0" defaultSize="0" autoLine="0" autoPict="0">
                <anchor moveWithCells="1">
                  <from>
                    <xdr:col>9</xdr:col>
                    <xdr:colOff>9525</xdr:colOff>
                    <xdr:row>16</xdr:row>
                    <xdr:rowOff>9525</xdr:rowOff>
                  </from>
                  <to>
                    <xdr:col>10</xdr:col>
                    <xdr:colOff>9525</xdr:colOff>
                    <xdr:row>16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4" r:id="rId43" name="Drop Down 40">
              <controlPr locked="0" defaultSize="0" autoLine="0" autoPict="0">
                <anchor moveWithCells="1">
                  <from>
                    <xdr:col>9</xdr:col>
                    <xdr:colOff>9525</xdr:colOff>
                    <xdr:row>17</xdr:row>
                    <xdr:rowOff>9525</xdr:rowOff>
                  </from>
                  <to>
                    <xdr:col>10</xdr:col>
                    <xdr:colOff>9525</xdr:colOff>
                    <xdr:row>17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5" r:id="rId44" name="Drop Down 41">
              <controlPr locked="0" defaultSize="0" autoLine="0" autoPict="0">
                <anchor moveWithCells="1">
                  <from>
                    <xdr:col>9</xdr:col>
                    <xdr:colOff>9525</xdr:colOff>
                    <xdr:row>18</xdr:row>
                    <xdr:rowOff>9525</xdr:rowOff>
                  </from>
                  <to>
                    <xdr:col>10</xdr:col>
                    <xdr:colOff>9525</xdr:colOff>
                    <xdr:row>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6" r:id="rId45" name="Drop Down 42">
              <controlPr locked="0" defaultSize="0" autoLine="0" autoPict="0">
                <anchor moveWithCells="1">
                  <from>
                    <xdr:col>9</xdr:col>
                    <xdr:colOff>9525</xdr:colOff>
                    <xdr:row>19</xdr:row>
                    <xdr:rowOff>9525</xdr:rowOff>
                  </from>
                  <to>
                    <xdr:col>10</xdr:col>
                    <xdr:colOff>9525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7" r:id="rId46" name="Drop Down 43">
              <controlPr locked="0" defaultSize="0" autoLine="0" autoPict="0">
                <anchor moveWithCells="1">
                  <from>
                    <xdr:col>9</xdr:col>
                    <xdr:colOff>9525</xdr:colOff>
                    <xdr:row>20</xdr:row>
                    <xdr:rowOff>9525</xdr:rowOff>
                  </from>
                  <to>
                    <xdr:col>10</xdr:col>
                    <xdr:colOff>9525</xdr:colOff>
                    <xdr:row>20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8" r:id="rId47" name="Drop Down 44">
              <controlPr locked="0" defaultSize="0" autoLine="0" autoPict="0">
                <anchor moveWithCells="1">
                  <from>
                    <xdr:col>9</xdr:col>
                    <xdr:colOff>9525</xdr:colOff>
                    <xdr:row>21</xdr:row>
                    <xdr:rowOff>9525</xdr:rowOff>
                  </from>
                  <to>
                    <xdr:col>10</xdr:col>
                    <xdr:colOff>9525</xdr:colOff>
                    <xdr:row>21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89" r:id="rId48" name="Drop Down 45">
              <controlPr locked="0" defaultSize="0" autoLine="0" autoPict="0">
                <anchor moveWithCells="1">
                  <from>
                    <xdr:col>4</xdr:col>
                    <xdr:colOff>9525</xdr:colOff>
                    <xdr:row>9</xdr:row>
                    <xdr:rowOff>9525</xdr:rowOff>
                  </from>
                  <to>
                    <xdr:col>5</xdr:col>
                    <xdr:colOff>9525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0" r:id="rId49" name="Drop Down 46">
              <controlPr locked="0" defaultSize="0" autoLine="0" autoPict="0">
                <anchor moveWithCells="1">
                  <from>
                    <xdr:col>4</xdr:col>
                    <xdr:colOff>9525</xdr:colOff>
                    <xdr:row>10</xdr:row>
                    <xdr:rowOff>9525</xdr:rowOff>
                  </from>
                  <to>
                    <xdr:col>5</xdr:col>
                    <xdr:colOff>9525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1" r:id="rId50" name="Drop Down 47">
              <controlPr locked="0" defaultSize="0" autoLine="0" autoPict="0">
                <anchor moveWithCells="1">
                  <from>
                    <xdr:col>4</xdr:col>
                    <xdr:colOff>9525</xdr:colOff>
                    <xdr:row>11</xdr:row>
                    <xdr:rowOff>9525</xdr:rowOff>
                  </from>
                  <to>
                    <xdr:col>5</xdr:col>
                    <xdr:colOff>9525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2" r:id="rId51" name="Drop Down 48">
              <controlPr locked="0" defaultSize="0" autoLine="0" autoPict="0">
                <anchor moveWithCells="1">
                  <from>
                    <xdr:col>4</xdr:col>
                    <xdr:colOff>9525</xdr:colOff>
                    <xdr:row>12</xdr:row>
                    <xdr:rowOff>9525</xdr:rowOff>
                  </from>
                  <to>
                    <xdr:col>5</xdr:col>
                    <xdr:colOff>9525</xdr:colOff>
                    <xdr:row>12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3" r:id="rId52" name="Drop Down 49">
              <controlPr locked="0" defaultSize="0" autoLine="0" autoPict="0">
                <anchor moveWithCells="1">
                  <from>
                    <xdr:col>4</xdr:col>
                    <xdr:colOff>9525</xdr:colOff>
                    <xdr:row>13</xdr:row>
                    <xdr:rowOff>9525</xdr:rowOff>
                  </from>
                  <to>
                    <xdr:col>5</xdr:col>
                    <xdr:colOff>9525</xdr:colOff>
                    <xdr:row>13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4" r:id="rId53" name="Drop Down 50">
              <controlPr locked="0" defaultSize="0" autoLine="0" autoPict="0">
                <anchor moveWithCells="1">
                  <from>
                    <xdr:col>4</xdr:col>
                    <xdr:colOff>9525</xdr:colOff>
                    <xdr:row>14</xdr:row>
                    <xdr:rowOff>9525</xdr:rowOff>
                  </from>
                  <to>
                    <xdr:col>5</xdr:col>
                    <xdr:colOff>9525</xdr:colOff>
                    <xdr:row>14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5" r:id="rId54" name="Drop Down 51">
              <controlPr locked="0" defaultSize="0" autoLine="0" autoPict="0">
                <anchor moveWithCells="1">
                  <from>
                    <xdr:col>4</xdr:col>
                    <xdr:colOff>9525</xdr:colOff>
                    <xdr:row>15</xdr:row>
                    <xdr:rowOff>9525</xdr:rowOff>
                  </from>
                  <to>
                    <xdr:col>5</xdr:col>
                    <xdr:colOff>9525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6" r:id="rId55" name="Drop Down 52">
              <controlPr locked="0" defaultSize="0" autoLine="0" autoPict="0">
                <anchor moveWithCells="1">
                  <from>
                    <xdr:col>4</xdr:col>
                    <xdr:colOff>9525</xdr:colOff>
                    <xdr:row>16</xdr:row>
                    <xdr:rowOff>9525</xdr:rowOff>
                  </from>
                  <to>
                    <xdr:col>5</xdr:col>
                    <xdr:colOff>9525</xdr:colOff>
                    <xdr:row>16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7" r:id="rId56" name="Drop Down 53">
              <controlPr locked="0" defaultSize="0" autoLine="0" autoPict="0">
                <anchor moveWithCells="1">
                  <from>
                    <xdr:col>4</xdr:col>
                    <xdr:colOff>9525</xdr:colOff>
                    <xdr:row>17</xdr:row>
                    <xdr:rowOff>9525</xdr:rowOff>
                  </from>
                  <to>
                    <xdr:col>5</xdr:col>
                    <xdr:colOff>9525</xdr:colOff>
                    <xdr:row>17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8" r:id="rId57" name="Drop Down 54">
              <controlPr locked="0" defaultSize="0" autoLine="0" autoPict="0">
                <anchor moveWithCells="1">
                  <from>
                    <xdr:col>4</xdr:col>
                    <xdr:colOff>9525</xdr:colOff>
                    <xdr:row>18</xdr:row>
                    <xdr:rowOff>9525</xdr:rowOff>
                  </from>
                  <to>
                    <xdr:col>5</xdr:col>
                    <xdr:colOff>9525</xdr:colOff>
                    <xdr:row>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9" r:id="rId58" name="Drop Down 55">
              <controlPr locked="0" defaultSize="0" autoLine="0" autoPict="0">
                <anchor moveWithCells="1">
                  <from>
                    <xdr:col>4</xdr:col>
                    <xdr:colOff>9525</xdr:colOff>
                    <xdr:row>19</xdr:row>
                    <xdr:rowOff>9525</xdr:rowOff>
                  </from>
                  <to>
                    <xdr:col>5</xdr:col>
                    <xdr:colOff>9525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0" r:id="rId59" name="Drop Down 56">
              <controlPr locked="0" defaultSize="0" autoLine="0" autoPict="0">
                <anchor moveWithCells="1">
                  <from>
                    <xdr:col>4</xdr:col>
                    <xdr:colOff>9525</xdr:colOff>
                    <xdr:row>20</xdr:row>
                    <xdr:rowOff>9525</xdr:rowOff>
                  </from>
                  <to>
                    <xdr:col>5</xdr:col>
                    <xdr:colOff>9525</xdr:colOff>
                    <xdr:row>20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1" r:id="rId60" name="Drop Down 57">
              <controlPr locked="0" defaultSize="0" autoLine="0" autoPict="0">
                <anchor moveWithCells="1">
                  <from>
                    <xdr:col>4</xdr:col>
                    <xdr:colOff>9525</xdr:colOff>
                    <xdr:row>21</xdr:row>
                    <xdr:rowOff>9525</xdr:rowOff>
                  </from>
                  <to>
                    <xdr:col>5</xdr:col>
                    <xdr:colOff>9525</xdr:colOff>
                    <xdr:row>21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60" r:id="rId61" name="Drop Down 116">
              <controlPr locked="0" defaultSize="0" autoLine="0" autoPict="0">
                <anchor moveWithCells="1">
                  <from>
                    <xdr:col>9</xdr:col>
                    <xdr:colOff>9525</xdr:colOff>
                    <xdr:row>7</xdr:row>
                    <xdr:rowOff>9525</xdr:rowOff>
                  </from>
                  <to>
                    <xdr:col>10</xdr:col>
                    <xdr:colOff>9525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61" r:id="rId62" name="Drop Down 117">
              <controlPr defaultSize="0" autoLine="0" autoPict="0">
                <anchor moveWithCells="1">
                  <from>
                    <xdr:col>9</xdr:col>
                    <xdr:colOff>9525</xdr:colOff>
                    <xdr:row>8</xdr:row>
                    <xdr:rowOff>9525</xdr:rowOff>
                  </from>
                  <to>
                    <xdr:col>10</xdr:col>
                    <xdr:colOff>9525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62" r:id="rId63" name="Drop Down 118">
              <controlPr defaultSize="0" autoLine="0" autoPict="0">
                <anchor moveWithCells="1">
                  <from>
                    <xdr:col>9</xdr:col>
                    <xdr:colOff>9525</xdr:colOff>
                    <xdr:row>9</xdr:row>
                    <xdr:rowOff>9525</xdr:rowOff>
                  </from>
                  <to>
                    <xdr:col>10</xdr:col>
                    <xdr:colOff>9525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63" r:id="rId64" name="Drop Down 119">
              <controlPr defaultSize="0" autoLine="0" autoPict="0">
                <anchor moveWithCells="1">
                  <from>
                    <xdr:col>9</xdr:col>
                    <xdr:colOff>9525</xdr:colOff>
                    <xdr:row>10</xdr:row>
                    <xdr:rowOff>9525</xdr:rowOff>
                  </from>
                  <to>
                    <xdr:col>10</xdr:col>
                    <xdr:colOff>9525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64" r:id="rId65" name="Drop Down 120">
              <controlPr defaultSize="0" autoLine="0" autoPict="0">
                <anchor moveWithCells="1">
                  <from>
                    <xdr:col>9</xdr:col>
                    <xdr:colOff>9525</xdr:colOff>
                    <xdr:row>11</xdr:row>
                    <xdr:rowOff>9525</xdr:rowOff>
                  </from>
                  <to>
                    <xdr:col>10</xdr:col>
                    <xdr:colOff>9525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65" r:id="rId66" name="Drop Down 121">
              <controlPr defaultSize="0" autoLine="0" autoPict="0">
                <anchor moveWithCells="1">
                  <from>
                    <xdr:col>9</xdr:col>
                    <xdr:colOff>9525</xdr:colOff>
                    <xdr:row>12</xdr:row>
                    <xdr:rowOff>9525</xdr:rowOff>
                  </from>
                  <to>
                    <xdr:col>10</xdr:col>
                    <xdr:colOff>9525</xdr:colOff>
                    <xdr:row>12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66" r:id="rId67" name="Drop Down 122">
              <controlPr defaultSize="0" autoLine="0" autoPict="0">
                <anchor moveWithCells="1">
                  <from>
                    <xdr:col>9</xdr:col>
                    <xdr:colOff>9525</xdr:colOff>
                    <xdr:row>13</xdr:row>
                    <xdr:rowOff>9525</xdr:rowOff>
                  </from>
                  <to>
                    <xdr:col>10</xdr:col>
                    <xdr:colOff>9525</xdr:colOff>
                    <xdr:row>13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67" r:id="rId68" name="Drop Down 123">
              <controlPr defaultSize="0" autoLine="0" autoPict="0">
                <anchor moveWithCells="1">
                  <from>
                    <xdr:col>9</xdr:col>
                    <xdr:colOff>9525</xdr:colOff>
                    <xdr:row>14</xdr:row>
                    <xdr:rowOff>9525</xdr:rowOff>
                  </from>
                  <to>
                    <xdr:col>10</xdr:col>
                    <xdr:colOff>9525</xdr:colOff>
                    <xdr:row>14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68" r:id="rId69" name="Drop Down 124">
              <controlPr defaultSize="0" autoLine="0" autoPict="0">
                <anchor moveWithCells="1">
                  <from>
                    <xdr:col>9</xdr:col>
                    <xdr:colOff>9525</xdr:colOff>
                    <xdr:row>15</xdr:row>
                    <xdr:rowOff>9525</xdr:rowOff>
                  </from>
                  <to>
                    <xdr:col>10</xdr:col>
                    <xdr:colOff>9525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69" r:id="rId70" name="Drop Down 125">
              <controlPr defaultSize="0" autoLine="0" autoPict="0">
                <anchor moveWithCells="1">
                  <from>
                    <xdr:col>9</xdr:col>
                    <xdr:colOff>9525</xdr:colOff>
                    <xdr:row>16</xdr:row>
                    <xdr:rowOff>9525</xdr:rowOff>
                  </from>
                  <to>
                    <xdr:col>10</xdr:col>
                    <xdr:colOff>9525</xdr:colOff>
                    <xdr:row>16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70" r:id="rId71" name="Drop Down 126">
              <controlPr defaultSize="0" autoLine="0" autoPict="0">
                <anchor moveWithCells="1">
                  <from>
                    <xdr:col>9</xdr:col>
                    <xdr:colOff>9525</xdr:colOff>
                    <xdr:row>17</xdr:row>
                    <xdr:rowOff>9525</xdr:rowOff>
                  </from>
                  <to>
                    <xdr:col>10</xdr:col>
                    <xdr:colOff>9525</xdr:colOff>
                    <xdr:row>17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71" r:id="rId72" name="Drop Down 127">
              <controlPr defaultSize="0" autoLine="0" autoPict="0">
                <anchor moveWithCells="1">
                  <from>
                    <xdr:col>9</xdr:col>
                    <xdr:colOff>9525</xdr:colOff>
                    <xdr:row>18</xdr:row>
                    <xdr:rowOff>9525</xdr:rowOff>
                  </from>
                  <to>
                    <xdr:col>10</xdr:col>
                    <xdr:colOff>9525</xdr:colOff>
                    <xdr:row>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72" r:id="rId73" name="Drop Down 128">
              <controlPr defaultSize="0" autoLine="0" autoPict="0">
                <anchor moveWithCells="1">
                  <from>
                    <xdr:col>9</xdr:col>
                    <xdr:colOff>9525</xdr:colOff>
                    <xdr:row>19</xdr:row>
                    <xdr:rowOff>9525</xdr:rowOff>
                  </from>
                  <to>
                    <xdr:col>10</xdr:col>
                    <xdr:colOff>9525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73" r:id="rId74" name="Drop Down 129">
              <controlPr defaultSize="0" autoLine="0" autoPict="0">
                <anchor moveWithCells="1">
                  <from>
                    <xdr:col>9</xdr:col>
                    <xdr:colOff>9525</xdr:colOff>
                    <xdr:row>20</xdr:row>
                    <xdr:rowOff>9525</xdr:rowOff>
                  </from>
                  <to>
                    <xdr:col>10</xdr:col>
                    <xdr:colOff>9525</xdr:colOff>
                    <xdr:row>20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74" r:id="rId75" name="Drop Down 130">
              <controlPr defaultSize="0" autoLine="0" autoPict="0">
                <anchor moveWithCells="1">
                  <from>
                    <xdr:col>9</xdr:col>
                    <xdr:colOff>9525</xdr:colOff>
                    <xdr:row>21</xdr:row>
                    <xdr:rowOff>9525</xdr:rowOff>
                  </from>
                  <to>
                    <xdr:col>10</xdr:col>
                    <xdr:colOff>9525</xdr:colOff>
                    <xdr:row>21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75" r:id="rId76" name="Drop Down 131">
              <controlPr locked="0" defaultSize="0" autoLine="0" autoPict="0">
                <anchor moveWithCells="1">
                  <from>
                    <xdr:col>9</xdr:col>
                    <xdr:colOff>9525</xdr:colOff>
                    <xdr:row>8</xdr:row>
                    <xdr:rowOff>9525</xdr:rowOff>
                  </from>
                  <to>
                    <xdr:col>10</xdr:col>
                    <xdr:colOff>9525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76" r:id="rId77" name="Drop Down 132">
              <controlPr locked="0" defaultSize="0" autoLine="0" autoPict="0">
                <anchor moveWithCells="1">
                  <from>
                    <xdr:col>9</xdr:col>
                    <xdr:colOff>9525</xdr:colOff>
                    <xdr:row>9</xdr:row>
                    <xdr:rowOff>9525</xdr:rowOff>
                  </from>
                  <to>
                    <xdr:col>10</xdr:col>
                    <xdr:colOff>9525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77" r:id="rId78" name="Drop Down 133">
              <controlPr locked="0" defaultSize="0" autoLine="0" autoPict="0">
                <anchor moveWithCells="1">
                  <from>
                    <xdr:col>9</xdr:col>
                    <xdr:colOff>9525</xdr:colOff>
                    <xdr:row>10</xdr:row>
                    <xdr:rowOff>9525</xdr:rowOff>
                  </from>
                  <to>
                    <xdr:col>10</xdr:col>
                    <xdr:colOff>9525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78" r:id="rId79" name="Drop Down 134">
              <controlPr locked="0" defaultSize="0" autoLine="0" autoPict="0">
                <anchor moveWithCells="1">
                  <from>
                    <xdr:col>9</xdr:col>
                    <xdr:colOff>9525</xdr:colOff>
                    <xdr:row>11</xdr:row>
                    <xdr:rowOff>9525</xdr:rowOff>
                  </from>
                  <to>
                    <xdr:col>10</xdr:col>
                    <xdr:colOff>9525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79" r:id="rId80" name="Drop Down 135">
              <controlPr locked="0" defaultSize="0" autoLine="0" autoPict="0">
                <anchor moveWithCells="1">
                  <from>
                    <xdr:col>9</xdr:col>
                    <xdr:colOff>9525</xdr:colOff>
                    <xdr:row>12</xdr:row>
                    <xdr:rowOff>9525</xdr:rowOff>
                  </from>
                  <to>
                    <xdr:col>10</xdr:col>
                    <xdr:colOff>9525</xdr:colOff>
                    <xdr:row>12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80" r:id="rId81" name="Drop Down 136">
              <controlPr locked="0" defaultSize="0" autoLine="0" autoPict="0">
                <anchor moveWithCells="1">
                  <from>
                    <xdr:col>9</xdr:col>
                    <xdr:colOff>9525</xdr:colOff>
                    <xdr:row>13</xdr:row>
                    <xdr:rowOff>9525</xdr:rowOff>
                  </from>
                  <to>
                    <xdr:col>10</xdr:col>
                    <xdr:colOff>9525</xdr:colOff>
                    <xdr:row>13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81" r:id="rId82" name="Drop Down 137">
              <controlPr locked="0" defaultSize="0" autoLine="0" autoPict="0">
                <anchor moveWithCells="1">
                  <from>
                    <xdr:col>9</xdr:col>
                    <xdr:colOff>9525</xdr:colOff>
                    <xdr:row>14</xdr:row>
                    <xdr:rowOff>9525</xdr:rowOff>
                  </from>
                  <to>
                    <xdr:col>10</xdr:col>
                    <xdr:colOff>9525</xdr:colOff>
                    <xdr:row>14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82" r:id="rId83" name="Drop Down 138">
              <controlPr locked="0" defaultSize="0" autoLine="0" autoPict="0">
                <anchor moveWithCells="1">
                  <from>
                    <xdr:col>9</xdr:col>
                    <xdr:colOff>9525</xdr:colOff>
                    <xdr:row>15</xdr:row>
                    <xdr:rowOff>9525</xdr:rowOff>
                  </from>
                  <to>
                    <xdr:col>10</xdr:col>
                    <xdr:colOff>9525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83" r:id="rId84" name="Drop Down 139">
              <controlPr locked="0" defaultSize="0" autoLine="0" autoPict="0">
                <anchor moveWithCells="1">
                  <from>
                    <xdr:col>9</xdr:col>
                    <xdr:colOff>9525</xdr:colOff>
                    <xdr:row>16</xdr:row>
                    <xdr:rowOff>9525</xdr:rowOff>
                  </from>
                  <to>
                    <xdr:col>10</xdr:col>
                    <xdr:colOff>9525</xdr:colOff>
                    <xdr:row>16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84" r:id="rId85" name="Drop Down 140">
              <controlPr locked="0" defaultSize="0" autoLine="0" autoPict="0">
                <anchor moveWithCells="1">
                  <from>
                    <xdr:col>9</xdr:col>
                    <xdr:colOff>9525</xdr:colOff>
                    <xdr:row>17</xdr:row>
                    <xdr:rowOff>9525</xdr:rowOff>
                  </from>
                  <to>
                    <xdr:col>10</xdr:col>
                    <xdr:colOff>9525</xdr:colOff>
                    <xdr:row>17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85" r:id="rId86" name="Drop Down 141">
              <controlPr locked="0" defaultSize="0" autoLine="0" autoPict="0">
                <anchor moveWithCells="1">
                  <from>
                    <xdr:col>9</xdr:col>
                    <xdr:colOff>9525</xdr:colOff>
                    <xdr:row>18</xdr:row>
                    <xdr:rowOff>9525</xdr:rowOff>
                  </from>
                  <to>
                    <xdr:col>10</xdr:col>
                    <xdr:colOff>9525</xdr:colOff>
                    <xdr:row>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86" r:id="rId87" name="Drop Down 142">
              <controlPr locked="0" defaultSize="0" autoLine="0" autoPict="0">
                <anchor moveWithCells="1">
                  <from>
                    <xdr:col>9</xdr:col>
                    <xdr:colOff>9525</xdr:colOff>
                    <xdr:row>19</xdr:row>
                    <xdr:rowOff>9525</xdr:rowOff>
                  </from>
                  <to>
                    <xdr:col>10</xdr:col>
                    <xdr:colOff>9525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87" r:id="rId88" name="Drop Down 143">
              <controlPr locked="0" defaultSize="0" autoLine="0" autoPict="0">
                <anchor moveWithCells="1">
                  <from>
                    <xdr:col>9</xdr:col>
                    <xdr:colOff>9525</xdr:colOff>
                    <xdr:row>20</xdr:row>
                    <xdr:rowOff>9525</xdr:rowOff>
                  </from>
                  <to>
                    <xdr:col>10</xdr:col>
                    <xdr:colOff>9525</xdr:colOff>
                    <xdr:row>20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88" r:id="rId89" name="Drop Down 144">
              <controlPr locked="0" defaultSize="0" autoLine="0" autoPict="0">
                <anchor moveWithCells="1">
                  <from>
                    <xdr:col>9</xdr:col>
                    <xdr:colOff>9525</xdr:colOff>
                    <xdr:row>21</xdr:row>
                    <xdr:rowOff>9525</xdr:rowOff>
                  </from>
                  <to>
                    <xdr:col>10</xdr:col>
                    <xdr:colOff>9525</xdr:colOff>
                    <xdr:row>21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89" r:id="rId90" name="Drop Down 145">
              <controlPr locked="0" defaultSize="0" autoLine="0" autoPict="0">
                <anchor moveWithCells="1">
                  <from>
                    <xdr:col>11</xdr:col>
                    <xdr:colOff>9525</xdr:colOff>
                    <xdr:row>7</xdr:row>
                    <xdr:rowOff>9525</xdr:rowOff>
                  </from>
                  <to>
                    <xdr:col>11</xdr:col>
                    <xdr:colOff>714375</xdr:colOff>
                    <xdr:row>7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90" r:id="rId91" name="Drop Down 146">
              <controlPr locked="0" defaultSize="0" autoLine="0" autoPict="0">
                <anchor moveWithCells="1">
                  <from>
                    <xdr:col>11</xdr:col>
                    <xdr:colOff>9525</xdr:colOff>
                    <xdr:row>8</xdr:row>
                    <xdr:rowOff>9525</xdr:rowOff>
                  </from>
                  <to>
                    <xdr:col>11</xdr:col>
                    <xdr:colOff>714375</xdr:colOff>
                    <xdr:row>8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91" r:id="rId92" name="Drop Down 147">
              <controlPr locked="0" defaultSize="0" autoLine="0" autoPict="0">
                <anchor moveWithCells="1">
                  <from>
                    <xdr:col>11</xdr:col>
                    <xdr:colOff>9525</xdr:colOff>
                    <xdr:row>9</xdr:row>
                    <xdr:rowOff>9525</xdr:rowOff>
                  </from>
                  <to>
                    <xdr:col>11</xdr:col>
                    <xdr:colOff>714375</xdr:colOff>
                    <xdr:row>9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92" r:id="rId93" name="Drop Down 148">
              <controlPr locked="0" defaultSize="0" autoLine="0" autoPict="0">
                <anchor moveWithCells="1">
                  <from>
                    <xdr:col>11</xdr:col>
                    <xdr:colOff>9525</xdr:colOff>
                    <xdr:row>10</xdr:row>
                    <xdr:rowOff>9525</xdr:rowOff>
                  </from>
                  <to>
                    <xdr:col>11</xdr:col>
                    <xdr:colOff>714375</xdr:colOff>
                    <xdr:row>10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93" r:id="rId94" name="Drop Down 149">
              <controlPr locked="0" defaultSize="0" autoLine="0" autoPict="0">
                <anchor moveWithCells="1">
                  <from>
                    <xdr:col>11</xdr:col>
                    <xdr:colOff>9525</xdr:colOff>
                    <xdr:row>11</xdr:row>
                    <xdr:rowOff>9525</xdr:rowOff>
                  </from>
                  <to>
                    <xdr:col>11</xdr:col>
                    <xdr:colOff>714375</xdr:colOff>
                    <xdr:row>11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94" r:id="rId95" name="Drop Down 150">
              <controlPr locked="0" defaultSize="0" autoLine="0" autoPict="0">
                <anchor moveWithCells="1">
                  <from>
                    <xdr:col>11</xdr:col>
                    <xdr:colOff>9525</xdr:colOff>
                    <xdr:row>12</xdr:row>
                    <xdr:rowOff>9525</xdr:rowOff>
                  </from>
                  <to>
                    <xdr:col>11</xdr:col>
                    <xdr:colOff>714375</xdr:colOff>
                    <xdr:row>12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95" r:id="rId96" name="Drop Down 151">
              <controlPr locked="0" defaultSize="0" autoLine="0" autoPict="0">
                <anchor moveWithCells="1">
                  <from>
                    <xdr:col>11</xdr:col>
                    <xdr:colOff>9525</xdr:colOff>
                    <xdr:row>13</xdr:row>
                    <xdr:rowOff>9525</xdr:rowOff>
                  </from>
                  <to>
                    <xdr:col>11</xdr:col>
                    <xdr:colOff>714375</xdr:colOff>
                    <xdr:row>13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96" r:id="rId97" name="Drop Down 152">
              <controlPr locked="0" defaultSize="0" autoLine="0" autoPict="0">
                <anchor moveWithCells="1">
                  <from>
                    <xdr:col>11</xdr:col>
                    <xdr:colOff>9525</xdr:colOff>
                    <xdr:row>14</xdr:row>
                    <xdr:rowOff>9525</xdr:rowOff>
                  </from>
                  <to>
                    <xdr:col>11</xdr:col>
                    <xdr:colOff>714375</xdr:colOff>
                    <xdr:row>14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97" r:id="rId98" name="Drop Down 153">
              <controlPr locked="0" defaultSize="0" autoLine="0" autoPict="0">
                <anchor moveWithCells="1">
                  <from>
                    <xdr:col>11</xdr:col>
                    <xdr:colOff>9525</xdr:colOff>
                    <xdr:row>15</xdr:row>
                    <xdr:rowOff>9525</xdr:rowOff>
                  </from>
                  <to>
                    <xdr:col>11</xdr:col>
                    <xdr:colOff>714375</xdr:colOff>
                    <xdr:row>15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98" r:id="rId99" name="Drop Down 154">
              <controlPr locked="0" defaultSize="0" autoLine="0" autoPict="0">
                <anchor moveWithCells="1">
                  <from>
                    <xdr:col>11</xdr:col>
                    <xdr:colOff>9525</xdr:colOff>
                    <xdr:row>16</xdr:row>
                    <xdr:rowOff>9525</xdr:rowOff>
                  </from>
                  <to>
                    <xdr:col>11</xdr:col>
                    <xdr:colOff>714375</xdr:colOff>
                    <xdr:row>16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99" r:id="rId100" name="Drop Down 155">
              <controlPr locked="0" defaultSize="0" autoLine="0" autoPict="0">
                <anchor moveWithCells="1">
                  <from>
                    <xdr:col>11</xdr:col>
                    <xdr:colOff>9525</xdr:colOff>
                    <xdr:row>17</xdr:row>
                    <xdr:rowOff>9525</xdr:rowOff>
                  </from>
                  <to>
                    <xdr:col>11</xdr:col>
                    <xdr:colOff>714375</xdr:colOff>
                    <xdr:row>17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00" r:id="rId101" name="Drop Down 156">
              <controlPr locked="0" defaultSize="0" autoLine="0" autoPict="0">
                <anchor moveWithCells="1">
                  <from>
                    <xdr:col>11</xdr:col>
                    <xdr:colOff>9525</xdr:colOff>
                    <xdr:row>18</xdr:row>
                    <xdr:rowOff>9525</xdr:rowOff>
                  </from>
                  <to>
                    <xdr:col>11</xdr:col>
                    <xdr:colOff>714375</xdr:colOff>
                    <xdr:row>18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01" r:id="rId102" name="Drop Down 157">
              <controlPr locked="0" defaultSize="0" autoLine="0" autoPict="0">
                <anchor moveWithCells="1">
                  <from>
                    <xdr:col>11</xdr:col>
                    <xdr:colOff>9525</xdr:colOff>
                    <xdr:row>19</xdr:row>
                    <xdr:rowOff>9525</xdr:rowOff>
                  </from>
                  <to>
                    <xdr:col>11</xdr:col>
                    <xdr:colOff>714375</xdr:colOff>
                    <xdr:row>19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02" r:id="rId103" name="Drop Down 158">
              <controlPr locked="0" defaultSize="0" autoLine="0" autoPict="0">
                <anchor moveWithCells="1">
                  <from>
                    <xdr:col>11</xdr:col>
                    <xdr:colOff>9525</xdr:colOff>
                    <xdr:row>20</xdr:row>
                    <xdr:rowOff>9525</xdr:rowOff>
                  </from>
                  <to>
                    <xdr:col>11</xdr:col>
                    <xdr:colOff>714375</xdr:colOff>
                    <xdr:row>20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03" r:id="rId104" name="Drop Down 159">
              <controlPr locked="0" defaultSize="0" autoLine="0" autoPict="0">
                <anchor moveWithCells="1">
                  <from>
                    <xdr:col>11</xdr:col>
                    <xdr:colOff>9525</xdr:colOff>
                    <xdr:row>21</xdr:row>
                    <xdr:rowOff>9525</xdr:rowOff>
                  </from>
                  <to>
                    <xdr:col>11</xdr:col>
                    <xdr:colOff>714375</xdr:colOff>
                    <xdr:row>21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04" r:id="rId105" name="Drop Down 160">
              <controlPr locked="0" defaultSize="0" autoLine="0" autoPict="0">
                <anchor moveWithCells="1">
                  <from>
                    <xdr:col>9</xdr:col>
                    <xdr:colOff>9525</xdr:colOff>
                    <xdr:row>8</xdr:row>
                    <xdr:rowOff>9525</xdr:rowOff>
                  </from>
                  <to>
                    <xdr:col>10</xdr:col>
                    <xdr:colOff>9525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05" r:id="rId106" name="Drop Down 161">
              <controlPr locked="0" defaultSize="0" autoLine="0" autoPict="0">
                <anchor moveWithCells="1">
                  <from>
                    <xdr:col>9</xdr:col>
                    <xdr:colOff>9525</xdr:colOff>
                    <xdr:row>9</xdr:row>
                    <xdr:rowOff>9525</xdr:rowOff>
                  </from>
                  <to>
                    <xdr:col>10</xdr:col>
                    <xdr:colOff>9525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06" r:id="rId107" name="Drop Down 162">
              <controlPr locked="0" defaultSize="0" autoLine="0" autoPict="0">
                <anchor moveWithCells="1">
                  <from>
                    <xdr:col>9</xdr:col>
                    <xdr:colOff>9525</xdr:colOff>
                    <xdr:row>10</xdr:row>
                    <xdr:rowOff>9525</xdr:rowOff>
                  </from>
                  <to>
                    <xdr:col>10</xdr:col>
                    <xdr:colOff>9525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07" r:id="rId108" name="Drop Down 163">
              <controlPr locked="0" defaultSize="0" autoLine="0" autoPict="0">
                <anchor moveWithCells="1">
                  <from>
                    <xdr:col>9</xdr:col>
                    <xdr:colOff>9525</xdr:colOff>
                    <xdr:row>11</xdr:row>
                    <xdr:rowOff>9525</xdr:rowOff>
                  </from>
                  <to>
                    <xdr:col>10</xdr:col>
                    <xdr:colOff>9525</xdr:colOff>
                    <xdr:row>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08" r:id="rId109" name="Drop Down 164">
              <controlPr locked="0" defaultSize="0" autoLine="0" autoPict="0">
                <anchor moveWithCells="1">
                  <from>
                    <xdr:col>9</xdr:col>
                    <xdr:colOff>9525</xdr:colOff>
                    <xdr:row>12</xdr:row>
                    <xdr:rowOff>9525</xdr:rowOff>
                  </from>
                  <to>
                    <xdr:col>10</xdr:col>
                    <xdr:colOff>9525</xdr:colOff>
                    <xdr:row>12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09" r:id="rId110" name="Drop Down 165">
              <controlPr locked="0" defaultSize="0" autoLine="0" autoPict="0">
                <anchor moveWithCells="1">
                  <from>
                    <xdr:col>9</xdr:col>
                    <xdr:colOff>9525</xdr:colOff>
                    <xdr:row>13</xdr:row>
                    <xdr:rowOff>9525</xdr:rowOff>
                  </from>
                  <to>
                    <xdr:col>10</xdr:col>
                    <xdr:colOff>9525</xdr:colOff>
                    <xdr:row>13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10" r:id="rId111" name="Drop Down 166">
              <controlPr locked="0" defaultSize="0" autoLine="0" autoPict="0">
                <anchor moveWithCells="1">
                  <from>
                    <xdr:col>9</xdr:col>
                    <xdr:colOff>9525</xdr:colOff>
                    <xdr:row>14</xdr:row>
                    <xdr:rowOff>9525</xdr:rowOff>
                  </from>
                  <to>
                    <xdr:col>10</xdr:col>
                    <xdr:colOff>9525</xdr:colOff>
                    <xdr:row>14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11" r:id="rId112" name="Drop Down 167">
              <controlPr locked="0" defaultSize="0" autoLine="0" autoPict="0">
                <anchor moveWithCells="1">
                  <from>
                    <xdr:col>9</xdr:col>
                    <xdr:colOff>9525</xdr:colOff>
                    <xdr:row>15</xdr:row>
                    <xdr:rowOff>9525</xdr:rowOff>
                  </from>
                  <to>
                    <xdr:col>10</xdr:col>
                    <xdr:colOff>9525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12" r:id="rId113" name="Drop Down 168">
              <controlPr locked="0" defaultSize="0" autoLine="0" autoPict="0">
                <anchor moveWithCells="1">
                  <from>
                    <xdr:col>9</xdr:col>
                    <xdr:colOff>9525</xdr:colOff>
                    <xdr:row>16</xdr:row>
                    <xdr:rowOff>9525</xdr:rowOff>
                  </from>
                  <to>
                    <xdr:col>10</xdr:col>
                    <xdr:colOff>9525</xdr:colOff>
                    <xdr:row>16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13" r:id="rId114" name="Drop Down 169">
              <controlPr locked="0" defaultSize="0" autoLine="0" autoPict="0">
                <anchor moveWithCells="1">
                  <from>
                    <xdr:col>9</xdr:col>
                    <xdr:colOff>9525</xdr:colOff>
                    <xdr:row>17</xdr:row>
                    <xdr:rowOff>9525</xdr:rowOff>
                  </from>
                  <to>
                    <xdr:col>10</xdr:col>
                    <xdr:colOff>9525</xdr:colOff>
                    <xdr:row>17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14" r:id="rId115" name="Drop Down 170">
              <controlPr locked="0" defaultSize="0" autoLine="0" autoPict="0">
                <anchor moveWithCells="1">
                  <from>
                    <xdr:col>9</xdr:col>
                    <xdr:colOff>9525</xdr:colOff>
                    <xdr:row>18</xdr:row>
                    <xdr:rowOff>9525</xdr:rowOff>
                  </from>
                  <to>
                    <xdr:col>10</xdr:col>
                    <xdr:colOff>9525</xdr:colOff>
                    <xdr:row>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15" r:id="rId116" name="Drop Down 171">
              <controlPr locked="0" defaultSize="0" autoLine="0" autoPict="0">
                <anchor moveWithCells="1">
                  <from>
                    <xdr:col>9</xdr:col>
                    <xdr:colOff>9525</xdr:colOff>
                    <xdr:row>19</xdr:row>
                    <xdr:rowOff>9525</xdr:rowOff>
                  </from>
                  <to>
                    <xdr:col>10</xdr:col>
                    <xdr:colOff>9525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16" r:id="rId117" name="Drop Down 172">
              <controlPr locked="0" defaultSize="0" autoLine="0" autoPict="0">
                <anchor moveWithCells="1">
                  <from>
                    <xdr:col>9</xdr:col>
                    <xdr:colOff>9525</xdr:colOff>
                    <xdr:row>20</xdr:row>
                    <xdr:rowOff>9525</xdr:rowOff>
                  </from>
                  <to>
                    <xdr:col>10</xdr:col>
                    <xdr:colOff>9525</xdr:colOff>
                    <xdr:row>20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17" r:id="rId118" name="Drop Down 173">
              <controlPr locked="0" defaultSize="0" autoLine="0" autoPict="0">
                <anchor moveWithCells="1">
                  <from>
                    <xdr:col>9</xdr:col>
                    <xdr:colOff>9525</xdr:colOff>
                    <xdr:row>21</xdr:row>
                    <xdr:rowOff>9525</xdr:rowOff>
                  </from>
                  <to>
                    <xdr:col>10</xdr:col>
                    <xdr:colOff>9525</xdr:colOff>
                    <xdr:row>21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6</vt:i4>
      </vt:variant>
    </vt:vector>
  </HeadingPairs>
  <TitlesOfParts>
    <vt:vector size="6" baseType="lpstr">
      <vt:lpstr>Tavle +A11</vt:lpstr>
      <vt:lpstr>Tavle +A12</vt:lpstr>
      <vt:lpstr>Tavle +A13</vt:lpstr>
      <vt:lpstr>Tavle +A14</vt:lpstr>
      <vt:lpstr>Tavle +A15</vt:lpstr>
      <vt:lpstr>Hovedtavle +A1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Lasse Jørgensen</cp:lastModifiedBy>
  <dcterms:created xsi:type="dcterms:W3CDTF">2012-12-04T11:33:08Z</dcterms:created>
  <dcterms:modified xsi:type="dcterms:W3CDTF">2019-03-17T08:01:44Z</dcterms:modified>
</cp:coreProperties>
</file>